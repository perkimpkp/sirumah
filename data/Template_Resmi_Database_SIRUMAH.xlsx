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comments1.xml" ContentType="application/vnd.openxmlformats-officedocument.spreadsheetml.comments+xml"/>
  <Override PartName="/xl/drawings/drawing1.xml" ContentType="application/vnd.openxmlformats-officedocument.drawing+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13fc6f7cb8246bd" /></Relationships>
</file>

<file path=xl/workbook.xml><?xml version="1.0" encoding="utf-8"?>
<x:workbook xmlns:x="http://schemas.openxmlformats.org/spreadsheetml/2006/main">
  <x:sheets>
    <x:sheet xmlns:r="http://schemas.openxmlformats.org/officeDocument/2006/relationships" name="PERUMAHAN" sheetId="1" r:id="R30d9380c554647fe"/>
    <x:sheet xmlns:r="http://schemas.openxmlformats.org/officeDocument/2006/relationships" name="PERUMAHAN_PSU_DETAIL" sheetId="15" r:id="R320cb36e2d3145e2"/>
    <x:sheet xmlns:r="http://schemas.openxmlformats.org/officeDocument/2006/relationships" name="DOKUMEN_PENDUKUNG" sheetId="14" r:id="Rcccb217c85af4297"/>
    <x:sheet xmlns:r="http://schemas.openxmlformats.org/officeDocument/2006/relationships" name="BACKLOG_KECAMATAN" sheetId="8" r:id="Rd84deb84f24040fd"/>
    <x:sheet xmlns:r="http://schemas.openxmlformats.org/officeDocument/2006/relationships" name="RTLH_RLH_KECAMATAN" sheetId="3" r:id="R5eea6ab5971d49c8"/>
    <x:sheet xmlns:r="http://schemas.openxmlformats.org/officeDocument/2006/relationships" name="RTLH_INDIVIDU" sheetId="7" r:id="Re7c8954836534b0a"/>
    <x:sheet xmlns:r="http://schemas.openxmlformats.org/officeDocument/2006/relationships" name="RUSUNAWA_UNIT" sheetId="4" r:id="R7277bb42a61c4a98"/>
    <x:sheet xmlns:r="http://schemas.openxmlformats.org/officeDocument/2006/relationships" name="RUSUNAWA_RETRIBUSI" sheetId="5" r:id="R2d6ec9095e774bba"/>
    <x:sheet xmlns:r="http://schemas.openxmlformats.org/officeDocument/2006/relationships" name="RUSUNAWA_SARPRAS" sheetId="6" r:id="R0e6844877ead4937"/>
    <x:sheet xmlns:r="http://schemas.openxmlformats.org/officeDocument/2006/relationships" name="KOLABORASI_RTLH" sheetId="9" r:id="R4011478680a84a3d"/>
    <x:sheet xmlns:r="http://schemas.openxmlformats.org/officeDocument/2006/relationships" name="KAWASAN_KUMUH_REKAP" sheetId="10" r:id="R15b27555720841e5"/>
    <x:sheet xmlns:r="http://schemas.openxmlformats.org/officeDocument/2006/relationships" name="KAWASAN_KUMUH_LOKASI" sheetId="11" r:id="Re98e9203609a4ef7"/>
    <x:sheet xmlns:r="http://schemas.openxmlformats.org/officeDocument/2006/relationships" name="SNAPSHOT_TAHUNAN" sheetId="13" r:id="R043eb24e1d1e4984"/>
  </x:sheets>
</x:workbook>
</file>

<file path=xl/comments1.xml><?xml version="1.0" encoding="utf-8"?>
<x:comments xmlns:x="http://schemas.openxmlformats.org/spreadsheetml/2006/main">
  <x:authors>
    <x:author>LEGION</x:author>
  </x:authors>
  <x:commentList>
    <x:comment ref="R5" authorId="0">
      <x:text>
        <x:r>
          <x:t>Pilih Ya apabila:
Terdapat penghuni berusia 60 tahun atau lebih</x:t>
        </x:r>
      </x:text>
    </x:comment>
    <x:comment ref="S5" authorId="0">
      <x:text>
        <x:r>
          <x:t>Pilih Ya apabila:
Terdapat penghuni yang mengalami kesulitan berjalan, melihat, mendengar, berkomunikasi, memahami kondisi sekitar, atau melakukan aktivitas sehari-hari secara mandiri.</x:t>
        </x:r>
      </x:text>
    </x:comment>
    <x:comment ref="T5" authorId="0">
      <x:text>
        <x:r>
          <x:t>Pilih Ya apabila:
Perempuan tercatat sebagai kepala keluarga pada KK</x:t>
        </x:r>
      </x:text>
    </x:comment>
    <x:comment ref="U5" authorId="0">
      <x:text>
        <x:r>
          <x:t>Pilih Ya apabila:
Terdapat penghuni berusia 0 sampai sebelum 5 tahun</x:t>
        </x:r>
      </x:text>
    </x:comment>
    <x:comment ref="V5" authorId="0">
      <x:text>
        <x:r>
          <x:t>Pilih Ya apabila:
Terdapat penghuni yang tidak dapat makan, mandi, berpakaian, berpindah tempat, menggunakan toilet, atau menyelamatkan diri tanpa bantuan. Termasuk penghuni yang terbaring, mengalami sakit berat berkepanjangan, atau membutuhkan pendampingan hampir sepanjang waktu.</x:t>
        </x:r>
      </x:text>
    </x:comment>
    <x:comment ref="AC5" authorId="0">
      <x:text>
        <x:r>
          <x:t>Pilih Ya apabila:
Rumah terlihat miring berat, fondasi turun, beberapa bagian struktur utama rusak, kolom atau balok patah, atau bangunan dapat runtuh sewaktu-waktu.</x:t>
        </x:r>
      </x:text>
    </x:comment>
    <x:comment ref="AD5" authorId="0">
      <x:text>
        <x:r>
          <x:t>Pilih Ya apabila:
Rangka atap, dinding, kolom, plafon, atau instalasi listrik rusak akibat api; terdapat bagian hangus, retak karena panas, atau masih berisiko runtuh dan korsleting.</x:t>
        </x:r>
      </x:text>
    </x:comment>
    <x:comment ref="AE5" authorId="0">
      <x:text>
        <x:r>
          <x:t>Pilih Ya apabila:
Rangka atap melendut, penutup atap hampir jatuh, dinding miring, terlepas, retak besar, menggembung, atau sebagian sudah runtuh.</x:t>
        </x:r>
      </x:text>
    </x:comment>
    <x:comment ref="AF5" authorId="0">
      <x:text>
        <x:r>
          <x:t>Pilih Ya apabila:
Genangan cukup tinggi, terjadi berulang, mengenai instalasi listrik, menghambat keluar rumah, mengancam balita/lansia/disabilitas, atau menyebabkan lantai dan struktur menjadi tidak aman.</x:t>
        </x:r>
      </x:text>
    </x:comment>
    <x:comment ref="AG5" authorId="0">
      <x:text>
        <x:r>
          <x:t>Pilih Ya apabila:
Fondasi turun, lantai amblas, kolom atau balok retak, rangka atap bergeser, dinding miring, sambungan kayu lepas, atau bangunan bergetar/bergerak tidak wajar.</x:t>
        </x:r>
      </x:text>
    </x:comment>
    <x:comment ref="AH5" authorId="0">
      <x:text>
        <x:r>
          <x:t>Pilih Ya apabila:
Kabel terbuka atau terkelupas, sambungan tanpa pelindung, stopkontak terbakar, kabel semrawut, instalasi terkena air, meter/panel terlalu rendah di area banjir, atau sering terjadi korsleting.</x:t>
        </x:r>
      </x:text>
    </x:comment>
    <x:comment ref="AI5" authorId="0">
      <x:text>
        <x:r>
          <x:t>Pilih Ya apabila:
Plafon hampir jatuh, papan lantai lapuk, genteng longgar, kusen rapuh, railing lepas, tangga rusak, atau bagian bangunan lain mudah patah dan membahayakan.</x:t>
        </x:r>
      </x:text>
    </x:comment>
    <x:comment ref="AJ5" authorId="0">
      <x:text>
        <x:r>
          <x:t>Pilih Ya apabila:
Hanya ada satu jalan keluar yang sempit, pintu terhalang, tangga curam atau rusak, jalur keluar terkunci, gang sangat sempit, atau penghuni rentan sulit dievakuasi.</x:t>
        </x:r>
      </x:text>
    </x:comment>
    <x:comment ref="AK5" authorId="0">
      <x:text>
        <x:r>
          <x:t>Pilih Ya apabila:
Rumah berada di titik banjir berulang, tepi sungai, lereng rawan longsor, dekat bangunan/tanah yang tidak stabil, kawasan kebakaran padat.</x:t>
        </x:r>
      </x:text>
    </x:comment>
  </x:commentList>
</x:comments>
</file>

<file path=xl/sharedStrings.xml><?xml version="1.0" encoding="utf-8"?>
<x:sst xmlns:x="http://schemas.openxmlformats.org/spreadsheetml/2006/main">
  <x:si>
    <x:t xml:space="preserve">TEMPLATE RESMI DATABASE SIRUMAH — DATA PERUMAHAN</x:t>
  </x:si>
  <x:si>
    <x:t xml:space="preserve">Sumber utama modul Data Perumahan, Peta Perumahan, PSU &amp; RTH, ringkasan unit, dan komposisi lahan.</x:t>
  </x:si>
  <x:si>
    <x:t xml:space="preserve">PETUNJUK: Jangan mengubah nama header. Isi data mulai baris 6. TAHUN_SITEPLAN dapat berisi satu tahun atau riwayat tahun yang dipisahkan titik koma (contoh 2019; 2025). LUAS_SITEPLAN_M2, LUAS_LAHAN_EFEKTIF_M2, LUAS_LAHAN_NON_EFEKTIF_M2, dan LUAS_RTH_M2 diisi dalam m² sesuai dokumen resmi. LUAS_RTH_M2 adalah luas/alokasi lahan RTH, bukan penanda bahwa fasilitas RTH telah dibangun. STATUS_RTH, STATUS_JALAN, STATUS_PENGEMBANG, dan STATUS_RAWAN_BANJIR digunakan sebagai data terstruktur; CATATAN hanya untuk catatan tambahan. PERSEN_TERBANGUN dan PERSEN_TERHUNI dihitung otomatis.</x:t>
  </x:si>
  <x:si>
    <x:t xml:space="preserve">ID_PERUMAHAN*</x:t>
  </x:si>
  <x:si>
    <x:t xml:space="preserve">NAMA_PERUMAHAN*</x:t>
  </x:si>
  <x:si>
    <x:t xml:space="preserve">KATEGORI</x:t>
  </x:si>
  <x:si>
    <x:t xml:space="preserve">KECAMATAN*</x:t>
  </x:si>
  <x:si>
    <x:t xml:space="preserve">KELURAHAN*</x:t>
  </x:si>
  <x:si>
    <x:t xml:space="preserve">ALAMAT</x:t>
  </x:si>
  <x:si>
    <x:t xml:space="preserve">PENGEMBANG</x:t>
  </x:si>
  <x:si>
    <x:t xml:space="preserve">DIREKTUR/PELAKSANA</x:t>
  </x:si>
  <x:si>
    <x:t xml:space="preserve">ASOSIASI</x:t>
  </x:si>
  <x:si>
    <x:t xml:space="preserve">TAHUN_SITEPLAN</x:t>
  </x:si>
  <x:si>
    <x:t xml:space="preserve">JUMLAH_SITEPLAN</x:t>
  </x:si>
  <x:si>
    <x:t xml:space="preserve">JUMLAH_TERBANGUN</x:t>
  </x:si>
  <x:si>
    <x:t xml:space="preserve">JUMLAH_TERHUNI</x:t>
  </x:si>
  <x:si>
    <x:t xml:space="preserve">STATUS_PSU*</x:t>
  </x:si>
  <x:si>
    <x:t xml:space="preserve">TAHUN_SERAH_TERIMA_PSU</x:t>
  </x:si>
  <x:si>
    <x:t xml:space="preserve">LUAS_RTH_M2</x:t>
  </x:si>
  <x:si>
    <x:t xml:space="preserve">STATUS_RTH</x:t>
  </x:si>
  <x:si>
    <x:t xml:space="preserve">STATUS_JALAN</x:t>
  </x:si>
  <x:si>
    <x:t xml:space="preserve">STATUS_PENGEMBANG</x:t>
  </x:si>
  <x:si>
    <x:t xml:space="preserve">STATUS_RAWAN_BANJIR</x:t>
  </x:si>
  <x:si>
    <x:t xml:space="preserve">CATATAN</x:t>
  </x:si>
  <x:si>
    <x:t xml:space="preserve">LATITUDE</x:t>
  </x:si>
  <x:si>
    <x:t xml:space="preserve">LONGITUDE</x:t>
  </x:si>
  <x:si>
    <x:t xml:space="preserve">GEOJSON</x:t>
  </x:si>
  <x:si>
    <x:t xml:space="preserve">TAHUN_DATA*</x:t>
  </x:si>
  <x:si>
    <x:t xml:space="preserve">SUMBER_DATA*</x:t>
  </x:si>
  <x:si>
    <x:t xml:space="preserve">STATUS_VERIFIKASI*</x:t>
  </x:si>
  <x:si>
    <x:t xml:space="preserve">TANGGAL_UPDATE*</x:t>
  </x:si>
  <x:si>
    <x:t xml:space="preserve">OPERATOR*</x:t>
  </x:si>
  <x:si>
    <x:t xml:space="preserve">PERSEN_TERBANGUN</x:t>
  </x:si>
  <x:si>
    <x:t xml:space="preserve">PERSEN_TERHUNI</x:t>
  </x:si>
  <x:si>
    <x:t xml:space="preserve">LUAS_SITEPLAN_M2</x:t>
  </x:si>
  <x:si>
    <x:t xml:space="preserve">LUAS_LAHAN_EFEKTIF_M2</x:t>
  </x:si>
  <x:si>
    <x:t xml:space="preserve">LUAS_LAHAN_NON_EFEKTIF_M2</x:t>
  </x:si>
  <x:si>
    <x:t xml:space="preserve">PRM-0001</x:t>
  </x:si>
  <x:si>
    <x:t xml:space="preserve">ALAM KAMPAK</x:t>
  </x:si>
  <x:si>
    <x:t xml:space="preserve">Subsidi</x:t>
  </x:si>
  <x:si>
    <x:t xml:space="preserve">Gerunggang</x:t>
  </x:si>
  <x:si>
    <x:t xml:space="preserve">Tua Tunu Indah</x:t>
  </x:si>
  <x:si>
    <x:t xml:space="preserve">Jl. Seniman</x:t>
  </x:si>
  <x:si>
    <x:t xml:space="preserve">PT. ELNOV LANGGENG INDAH</x:t>
  </x:si>
  <x:si>
    <x:t xml:space="preserve">Novian Kasmofit</x:t>
  </x:si>
  <x:si>
    <x:t xml:space="preserve">Asosiasi Pengembang Perumahan dan Permukiman Seluruh Indonesia (APERSI)</x:t>
  </x:si>
  <x:si>
    <x:t xml:space="preserve">SUDAH DISERAHKAN</x:t>
  </x:si>
  <x:si>
    <x:t xml:space="preserve">RTH belum terbangun</x:t>
  </x:si>
  <x:si>
    <x:t xml:space="preserve">Masih Aktif</x:t>
  </x:si>
  <x:si>
    <x:t xml:space="preserve">Titik rawan genangan dan banjir</x:t>
  </x:si>
  <x:si>
    <x:t xml:space="preserve">Disperkim Kota Pangkal Pinang</x:t>
  </x:si>
  <x:si>
    <x:t xml:space="preserve">Dalam Verifikasi</x:t>
  </x:si>
  <x:si>
    <x:t xml:space="preserve">Bid. Perumahan</x:t>
  </x:si>
  <x:si>
    <x:t xml:space="preserve">PRM-0002</x:t>
  </x:si>
  <x:si>
    <x:t xml:space="preserve">ALAM KEMANG PERMATA</x:t>
  </x:si>
  <x:si>
    <x:t xml:space="preserve">Air Kepala Tujuh</x:t>
  </x:si>
  <x:si>
    <x:t xml:space="preserve">Jl. Kemang Permata</x:t>
  </x:si>
  <x:si>
    <x:t xml:space="preserve">PRM-0003</x:t>
  </x:si>
  <x:si>
    <x:t xml:space="preserve">ALAM PINANG PURA</x:t>
  </x:si>
  <x:si>
    <x:t xml:space="preserve">PRM-0004</x:t>
  </x:si>
  <x:si>
    <x:t xml:space="preserve">ALIA HILL RESIDENCE</x:t>
  </x:si>
  <x:si>
    <x:t xml:space="preserve">Jl. Tampuk Pinang Pura</x:t>
  </x:si>
  <x:si>
    <x:t xml:space="preserve">Belum Teridentifikasi</x:t>
  </x:si>
  <x:si>
    <x:t xml:space="preserve">Rusdianto</x:t>
  </x:si>
  <x:si>
    <x:t xml:space="preserve">BELUM DISERAHKAN</x:t>
  </x:si>
  <x:si>
    <x:t xml:space="preserve">PRM-0005</x:t>
  </x:si>
  <x:si>
    <x:t xml:space="preserve">AMIRAH RESIDENCE</x:t>
  </x:si>
  <x:si>
    <x:t xml:space="preserve">Jl. Kulan Kampak</x:t>
  </x:si>
  <x:si>
    <x:t xml:space="preserve">Jalan rusak ringan</x:t>
  </x:si>
  <x:si>
    <x:t xml:space="preserve">PRM-0006</x:t>
  </x:si>
  <x:si>
    <x:t xml:space="preserve">ANJAYA RESIDENCE</x:t>
  </x:si>
  <x:si>
    <x:t xml:space="preserve">PT. BABEL JAYA KONSTRUKSI</x:t>
  </x:si>
  <x:si>
    <x:t xml:space="preserve">Ivan Skyler Anjaya S.T</x:t>
  </x:si>
  <x:si>
    <x:t xml:space="preserve">PRM-0007</x:t>
  </x:si>
  <x:si>
    <x:t xml:space="preserve">ANJAYO RESIDENCE 2</x:t>
  </x:si>
  <x:si>
    <x:t xml:space="preserve">Gabek</x:t>
  </x:si>
  <x:si>
    <x:t xml:space="preserve">Air Salemba</x:t>
  </x:si>
  <x:si>
    <x:t xml:space="preserve">Jl. Fatmawati</x:t>
  </x:si>
  <x:si>
    <x:t xml:space="preserve">PT. MARLINDO BANGUN PERSADA</x:t>
  </x:si>
  <x:si>
    <x:t xml:space="preserve">Andrian Bong</x:t>
  </x:si>
  <x:si>
    <x:t xml:space="preserve">Aliansi Pengembang Perumahan Nasional Jaya (APPERNAS JAYA)</x:t>
  </x:si>
  <x:si>
    <x:t xml:space="preserve">PRM-0008</x:t>
  </x:si>
  <x:si>
    <x:t xml:space="preserve">ANJAYO RESIDENCE 4</x:t>
  </x:si>
  <x:si>
    <x:t xml:space="preserve">Gabek Satu</x:t>
  </x:si>
  <x:si>
    <x:t xml:space="preserve">Jl. Stadion</x:t>
  </x:si>
  <x:si>
    <x:t xml:space="preserve">PRM-0009</x:t>
  </x:si>
  <x:si>
    <x:t xml:space="preserve">ANJAYO RESIDENCE 10</x:t>
  </x:si>
  <x:si>
    <x:t xml:space="preserve">Jerambah Gantung</x:t>
  </x:si>
  <x:si>
    <x:t xml:space="preserve">Jl. Pustu</x:t>
  </x:si>
  <x:si>
    <x:t xml:space="preserve">RTH terbangun</x:t>
  </x:si>
  <x:si>
    <x:t xml:space="preserve">PRM-0010</x:t>
  </x:si>
  <x:si>
    <x:t xml:space="preserve">ANJAYO RESIDENCE 12</x:t>
  </x:si>
  <x:si>
    <x:t xml:space="preserve">Jl. Kampak Dalam</x:t>
  </x:si>
  <x:si>
    <x:t xml:space="preserve">RTH beralih fungsi</x:t>
  </x:si>
  <x:si>
    <x:t xml:space="preserve">PRM-0011</x:t>
  </x:si>
  <x:si>
    <x:t xml:space="preserve">ANJAYO RESIDENCE 15</x:t>
  </x:si>
  <x:si>
    <x:t xml:space="preserve">Jl. Mentangor</x:t>
  </x:si>
  <x:si>
    <x:t xml:space="preserve">PRM-0012</x:t>
  </x:si>
  <x:si>
    <x:t xml:space="preserve">ANJAYO RESIDENCE 16</x:t>
  </x:si>
  <x:si>
    <x:t xml:space="preserve">Jl. Kelompok</x:t>
  </x:si>
  <x:si>
    <x:t xml:space="preserve">PRM-0013</x:t>
  </x:si>
  <x:si>
    <x:t xml:space="preserve">APPLE RESIDENCE 1</x:t>
  </x:si>
  <x:si>
    <x:t xml:space="preserve">Bukit Intan</x:t>
  </x:si>
  <x:si>
    <x:t xml:space="preserve">Bacang</x:t>
  </x:si>
  <x:si>
    <x:t xml:space="preserve">Jl. Air Mangkok</x:t>
  </x:si>
  <x:si>
    <x:t xml:space="preserve">PT. BANGKA JESSTINDO LESTARI</x:t>
  </x:si>
  <x:si>
    <x:t xml:space="preserve">Rince</x:t>
  </x:si>
  <x:si>
    <x:t xml:space="preserve">Real Estate Indonesia (REI)</x:t>
  </x:si>
  <x:si>
    <x:t xml:space="preserve">PRM-0014</x:t>
  </x:si>
  <x:si>
    <x:t xml:space="preserve">APPLE RESIDENCE 1 TAMBAHAN</x:t>
  </x:si>
  <x:si>
    <x:t xml:space="preserve">Jalan belum perkerasan</x:t>
  </x:si>
  <x:si>
    <x:t xml:space="preserve">PRM-0015</x:t>
  </x:si>
  <x:si>
    <x:t xml:space="preserve">APPLE RESIDENCE 2</x:t>
  </x:si>
  <x:si>
    <x:t xml:space="preserve">Subsidi dan Komersil</x:t>
  </x:si>
  <x:si>
    <x:t xml:space="preserve">Selindung</x:t>
  </x:si>
  <x:si>
    <x:t xml:space="preserve">Jl. Sekolah</x:t>
  </x:si>
  <x:si>
    <x:t xml:space="preserve">PRM-0016</x:t>
  </x:si>
  <x:si>
    <x:t xml:space="preserve">APPLE RESIDENCE 2 TAMBAHAN</x:t>
  </x:si>
  <x:si>
    <x:t xml:space="preserve">PRM-0017</x:t>
  </x:si>
  <x:si>
    <x:t xml:space="preserve">APPLE RESIDENCE 3 TAHAP 1</x:t>
  </x:si>
  <x:si>
    <x:t xml:space="preserve">Sinar Bulan</x:t>
  </x:si>
  <x:si>
    <x:t xml:space="preserve">Jl. Sampur</x:t>
  </x:si>
  <x:si>
    <x:t xml:space="preserve">PRM-0018</x:t>
  </x:si>
  <x:si>
    <x:t xml:space="preserve">APPLE RESIDENCE 3 TAHAP 2</x:t>
  </x:si>
  <x:si>
    <x:t xml:space="preserve">PRM-0019</x:t>
  </x:si>
  <x:si>
    <x:t xml:space="preserve">AROMA RESIDENCE</x:t>
  </x:si>
  <x:si>
    <x:t xml:space="preserve">Pangkal Balam</x:t>
  </x:si>
  <x:si>
    <x:t xml:space="preserve">Ketapang</x:t>
  </x:si>
  <x:si>
    <x:t xml:space="preserve">Jl. Selar</x:t>
  </x:si>
  <x:si>
    <x:t xml:space="preserve">PT. CAHAYA KEMULIAAN BERSAMA</x:t>
  </x:si>
  <x:si>
    <x:t xml:space="preserve">PRM-0020</x:t>
  </x:si>
  <x:si>
    <x:t xml:space="preserve">ARTHA USAHA MANDIRI</x:t>
  </x:si>
  <x:si>
    <x:t xml:space="preserve">Jl. Kampung Melayu</x:t>
  </x:si>
  <x:si>
    <x:t xml:space="preserve">PT. ARTHA USAHA MANDIRI INDAH</x:t>
  </x:si>
  <x:si>
    <x:t xml:space="preserve">Dahri</x:t>
  </x:si>
  <x:si>
    <x:t xml:space="preserve">PRM-0021</x:t>
  </x:si>
  <x:si>
    <x:t xml:space="preserve">ARTHA USAHA MANDIRI 2</x:t>
  </x:si>
  <x:si>
    <x:t xml:space="preserve">PRM-0022</x:t>
  </x:si>
  <x:si>
    <x:t xml:space="preserve">ARTISTIK RESIDENCE</x:t>
  </x:si>
  <x:si>
    <x:t xml:space="preserve">Gg. Warisan Budaya Kampak</x:t>
  </x:si>
  <x:si>
    <x:t xml:space="preserve">PT. ARTISTIK JAYA CONT</x:t>
  </x:si>
  <x:si>
    <x:t xml:space="preserve">Eko Yulianto</x:t>
  </x:si>
  <x:si>
    <x:t xml:space="preserve">Pengembang Indonesia (PI)</x:t>
  </x:si>
  <x:si>
    <x:t xml:space="preserve">Jalan rusak berat</x:t>
  </x:si>
  <x:si>
    <x:t xml:space="preserve">PRM-0023</x:t>
  </x:si>
  <x:si>
    <x:t xml:space="preserve">ARTISTIK RESIDENCE 2</x:t>
  </x:si>
  <x:si>
    <x:t xml:space="preserve">Belum Diketahui</x:t>
  </x:si>
  <x:si>
    <x:t xml:space="preserve">PRM-0024</x:t>
  </x:si>
  <x:si>
    <x:t xml:space="preserve">ARTISTIK RESIDENCE 3</x:t>
  </x:si>
  <x:si>
    <x:t xml:space="preserve">Jl. Haji Bakir</x:t>
  </x:si>
  <x:si>
    <x:t xml:space="preserve">PRM-0025</x:t>
  </x:si>
  <x:si>
    <x:t xml:space="preserve">ARTISTIK RESIDENCE 5</x:t>
  </x:si>
  <x:si>
    <x:t xml:space="preserve">Jl. Pikas</x:t>
  </x:si>
  <x:si>
    <x:t xml:space="preserve">PRM-0026</x:t>
  </x:si>
  <x:si>
    <x:t xml:space="preserve">ARTISTIK RESIDENCE 6</x:t>
  </x:si>
  <x:si>
    <x:t xml:space="preserve">Jl. Kurma</x:t>
  </x:si>
  <x:si>
    <x:t xml:space="preserve">PRM-0027</x:t>
  </x:si>
  <x:si>
    <x:t xml:space="preserve">AYRA SRIWIJAYA RESIDENCE</x:t>
  </x:si>
  <x:si>
    <x:t xml:space="preserve">Temberan</x:t>
  </x:si>
  <x:si>
    <x:t xml:space="preserve">Jl. Pantai Pasir Padi</x:t>
  </x:si>
  <x:si>
    <x:t xml:space="preserve">PT. AYRA SRIWIJAYA MANDIRI</x:t>
  </x:si>
  <x:si>
    <x:t xml:space="preserve">Yuyun Mutriani</x:t>
  </x:si>
  <x:si>
    <x:t xml:space="preserve">PRM-0028</x:t>
  </x:si>
  <x:si>
    <x:t xml:space="preserve">AYRA SRIWIJAYA RESIDENCE 2</x:t>
  </x:si>
  <x:si>
    <x:t xml:space="preserve">Jl. Cempaka Putih</x:t>
  </x:si>
  <x:si>
    <x:t xml:space="preserve">PRM-0029</x:t>
  </x:si>
  <x:si>
    <x:t xml:space="preserve">AYRA SRIWIJAYA RESIDENCE 3</x:t>
  </x:si>
  <x:si>
    <x:t xml:space="preserve">Jl. Raya Pasir Padi</x:t>
  </x:si>
  <x:si>
    <x:t xml:space="preserve">PRM-0030</x:t>
  </x:si>
  <x:si>
    <x:t xml:space="preserve">AYRA SRIWIJAYA RESIDENCE 4</x:t>
  </x:si>
  <x:si>
    <x:t xml:space="preserve">PRM-0031</x:t>
  </x:si>
  <x:si>
    <x:t xml:space="preserve">AZKA SQUARE</x:t>
  </x:si>
  <x:si>
    <x:t xml:space="preserve">Jl. Al-Mizan</x:t>
  </x:si>
  <x:si>
    <x:t xml:space="preserve">PT. AZKA CAHAYA GEMILANG</x:t>
  </x:si>
  <x:si>
    <x:t xml:space="preserve">Anggun</x:t>
  </x:si>
  <x:si>
    <x:t xml:space="preserve">PRM-0032</x:t>
  </x:si>
  <x:si>
    <x:t xml:space="preserve">AZURA</x:t>
  </x:si>
  <x:si>
    <x:t xml:space="preserve">Taman Bunga</x:t>
  </x:si>
  <x:si>
    <x:t xml:space="preserve">Gg. Vanila</x:t>
  </x:si>
  <x:si>
    <x:t xml:space="preserve">PRM-0033</x:t>
  </x:si>
  <x:si>
    <x:t xml:space="preserve">AZZAHRAH RESIDENCE</x:t>
  </x:si>
  <x:si>
    <x:t xml:space="preserve">Gg. Palapa</x:t>
  </x:si>
  <x:si>
    <x:t xml:space="preserve">PT. ALEXINDO CIPTA PROPERTI</x:t>
  </x:si>
  <x:si>
    <x:t xml:space="preserve">Yongki Alexander</x:t>
  </x:si>
  <x:si>
    <x:t xml:space="preserve">PRM-0034</x:t>
  </x:si>
  <x:si>
    <x:t xml:space="preserve">AZZAHRAH RESIDENCE II</x:t>
  </x:si>
  <x:si>
    <x:t xml:space="preserve">Jl. Mawar Kampak</x:t>
  </x:si>
  <x:si>
    <x:t xml:space="preserve">PRM-0035</x:t>
  </x:si>
  <x:si>
    <x:t xml:space="preserve">AZZAHRAH RESIDENCE IV</x:t>
  </x:si>
  <x:si>
    <x:t xml:space="preserve">Jl. Air Ketapik</x:t>
  </x:si>
  <x:si>
    <x:t xml:space="preserve">PRM-0036</x:t>
  </x:si>
  <x:si>
    <x:t xml:space="preserve">BABEL RESIDENCE</x:t>
  </x:si>
  <x:si>
    <x:t xml:space="preserve">Jl. Kurma Dalam</x:t>
  </x:si>
  <x:si>
    <x:t xml:space="preserve">PT. IFAN AURA LESTARI</x:t>
  </x:si>
  <x:si>
    <x:t xml:space="preserve">Firmansyah</x:t>
  </x:si>
  <x:si>
    <x:t xml:space="preserve">PRM-0037</x:t>
  </x:si>
  <x:si>
    <x:t xml:space="preserve">BABEL RESIDENCE II</x:t>
  </x:si>
  <x:si>
    <x:t xml:space="preserve">PRM-0038</x:t>
  </x:si>
  <x:si>
    <x:t xml:space="preserve">BABEL RESIDENCE III</x:t>
  </x:si>
  <x:si>
    <x:t xml:space="preserve">PRM-0039</x:t>
  </x:si>
  <x:si>
    <x:t xml:space="preserve">BABEL RESIDENCE IV</x:t>
  </x:si>
  <x:si>
    <x:t xml:space="preserve">PRM-0040</x:t>
  </x:si>
  <x:si>
    <x:t xml:space="preserve">BERKAH MANDIRI</x:t>
  </x:si>
  <x:si>
    <x:t xml:space="preserve">Jl. Kerabut 2</x:t>
  </x:si>
  <x:si>
    <x:t xml:space="preserve">PT. MEGA SAPUTRA PERSADA</x:t>
  </x:si>
  <x:si>
    <x:t xml:space="preserve">Defri Hertanto</x:t>
  </x:si>
  <x:si>
    <x:t xml:space="preserve">PRM-0041</x:t>
  </x:si>
  <x:si>
    <x:t xml:space="preserve">BERKAH SYARIAH MANDIRI</x:t>
  </x:si>
  <x:si>
    <x:t xml:space="preserve">PRM-0042</x:t>
  </x:si>
  <x:si>
    <x:t xml:space="preserve">BHAYANGKARA RESIDENCE</x:t>
  </x:si>
  <x:si>
    <x:t xml:space="preserve">Jl. Komp Sampur</x:t>
  </x:si>
  <x:si>
    <x:t xml:space="preserve">PT. TJEMARA MENTARI</x:t>
  </x:si>
  <x:si>
    <x:t xml:space="preserve">Tan Tok Khian</x:t>
  </x:si>
  <x:si>
    <x:t xml:space="preserve">PRM-0043</x:t>
  </x:si>
  <x:si>
    <x:t xml:space="preserve">BINTANG SAMRATULANGI 3</x:t>
  </x:si>
  <x:si>
    <x:t xml:space="preserve">Jl. Tanjung Bunga</x:t>
  </x:si>
  <x:si>
    <x:t xml:space="preserve">PT. LIMA BINTANG SEMPURNA</x:t>
  </x:si>
  <x:si>
    <x:t xml:space="preserve">M. Nomordin</x:t>
  </x:si>
  <x:si>
    <x:t xml:space="preserve">Asosiasi Pengembang Perumahan Indonesia (APPERINDO)</x:t>
  </x:si>
  <x:si>
    <x:t xml:space="preserve">PRM-0044</x:t>
  </x:si>
  <x:si>
    <x:t xml:space="preserve">BINTANG SAMRATULANGI 6</x:t>
  </x:si>
  <x:si>
    <x:t xml:space="preserve">Jl. Pikas 4</x:t>
  </x:si>
  <x:si>
    <x:t xml:space="preserve">{"type":"Feature","properties":{},"geometry":{"type":"MultiPolygon","coordinates":[[[[106.097130346,-2.100248345],[106.097337045,-2.100017390],[106.097366165,-2.099984853],[106.097464386,-2.100138940],[106.097550068,-2.100273478],[106.097559761,-2.100284293],[106.097560397,-2.100290799],[106.097529724,-2.100334721],[106.097377658,-2.100452981],[106.097130346,-2.100248345]]],[[[106.097240506,-2.099762643],[106.097769683,-2.099410000],[106.097981219,-2.099775623],[106.098047857,-2.099899384],[106.097913628,-2.100002090],[106.097897394,-2.100015606],[106.097831737,-2.100093997],[106.097747467,-2.100169350],[106.097723513,-2.100185839],[106.097599817,-2.100255186],[106.097587402,-2.100259290],[106.097574698,-2.100259348],[106.097566080,-2.100252469],[106.097487105,-2.100124315],[106.097386128,-2.099970408],[106.097240506,-2.099762643]]]]}}</x:t>
  </x:si>
  <x:si>
    <x:t xml:space="preserve">Terverifikasi</x:t>
  </x:si>
  <x:si>
    <x:t xml:space="preserve">PRM-0045</x:t>
  </x:si>
  <x:si>
    <x:t xml:space="preserve">BONA MUTIARA RESIDENCE</x:t>
  </x:si>
  <x:si>
    <x:t xml:space="preserve">Komersil</x:t>
  </x:si>
  <x:si>
    <x:t xml:space="preserve">Jl. Gandaria 1</x:t>
  </x:si>
  <x:si>
    <x:t xml:space="preserve">PRM-0046</x:t>
  </x:si>
  <x:si>
    <x:t xml:space="preserve">BRALING INDAH</x:t>
  </x:si>
  <x:si>
    <x:t xml:space="preserve">PT.GIE SUKSES MANDIRI</x:t>
  </x:si>
  <x:si>
    <x:t xml:space="preserve">Supriyanto</x:t>
  </x:si>
  <x:si>
    <x:t xml:space="preserve">PRM-0047</x:t>
  </x:si>
  <x:si>
    <x:t xml:space="preserve">BUKIT BARU REGENCY</x:t>
  </x:si>
  <x:si>
    <x:t xml:space="preserve">Jl. Cenderawasih</x:t>
  </x:si>
  <x:si>
    <x:t xml:space="preserve">PT. KARYA SUKSES KNEELAND</x:t>
  </x:si>
  <x:si>
    <x:t xml:space="preserve">Muhammad Apriansyah</x:t>
  </x:si>
  <x:si>
    <x:t xml:space="preserve">{"type":"Feature","properties":{},"geometry":{"type":"Polygon","coordinates":[[[106.093711554,-2.107379338],[106.094696991,-2.107840028],[106.094911635,-2.107427137],[106.094158738,-2.106979916],[106.093711554,-2.107379338]]]}}</x:t>
  </x:si>
  <x:si>
    <x:t xml:space="preserve">PRM-0048</x:t>
  </x:si>
  <x:si>
    <x:t xml:space="preserve">BUKIT BARU RESIDENCE 1</x:t>
  </x:si>
  <x:si>
    <x:t xml:space="preserve">Jl. Delima III</x:t>
  </x:si>
  <x:si>
    <x:t xml:space="preserve">Defri Hartanto</x:t>
  </x:si>
  <x:si>
    <x:t xml:space="preserve">Tidak Aktif</x:t>
  </x:si>
  <x:si>
    <x:t xml:space="preserve">PRM-0049</x:t>
  </x:si>
  <x:si>
    <x:t xml:space="preserve">BUKIT BARU RESIDENCE 2</x:t>
  </x:si>
  <x:si>
    <x:t xml:space="preserve">Jl. Rariang</x:t>
  </x:si>
  <x:si>
    <x:t xml:space="preserve">PRM-0050</x:t>
  </x:si>
  <x:si>
    <x:t xml:space="preserve">BUKIT BARU RESIDENCE 3</x:t>
  </x:si>
  <x:si>
    <x:t xml:space="preserve">Jl. Cendrawasih</x:t>
  </x:si>
  <x:si>
    <x:t xml:space="preserve">Jalan rusak sedang</x:t>
  </x:si>
  <x:si>
    <x:t xml:space="preserve">PRM-0051</x:t>
  </x:si>
  <x:si>
    <x:t xml:space="preserve">BUKIT BARU RESIDENCE 4</x:t>
  </x:si>
  <x:si>
    <x:t xml:space="preserve">Bukit Merapin</x:t>
  </x:si>
  <x:si>
    <x:t xml:space="preserve">Jl. Bukit Manggis</x:t>
  </x:si>
  <x:si>
    <x:t xml:space="preserve">PRM-0052</x:t>
  </x:si>
  <x:si>
    <x:t xml:space="preserve">BUKIT INTAN ASRI</x:t>
  </x:si>
  <x:si>
    <x:t xml:space="preserve">Jl. Nilam Raya No II</x:t>
  </x:si>
  <x:si>
    <x:t xml:space="preserve">PRM-0053</x:t>
  </x:si>
  <x:si>
    <x:t xml:space="preserve">BUKIT MANGGIS</x:t>
  </x:si>
  <x:si>
    <x:t xml:space="preserve">Irma Yani</x:t>
  </x:si>
  <x:si>
    <x:t xml:space="preserve">PRM-0054</x:t>
  </x:si>
  <x:si>
    <x:t xml:space="preserve">BUKIT MAS</x:t>
  </x:si>
  <x:si>
    <x:t xml:space="preserve">Jl. Borneo</x:t>
  </x:si>
  <x:si>
    <x:t xml:space="preserve">PRM-0055</x:t>
  </x:si>
  <x:si>
    <x:t xml:space="preserve">BUKIT PRIMER</x:t>
  </x:si>
  <x:si>
    <x:t xml:space="preserve">Gg. Karet</x:t>
  </x:si>
  <x:si>
    <x:t xml:space="preserve">PT. PUNDIMAS</x:t>
  </x:si>
  <x:si>
    <x:t xml:space="preserve">Efran</x:t>
  </x:si>
  <x:si>
    <x:t xml:space="preserve">Himpunan Pengembang Permukiman dan Perumahan Rakyat (HIMPERRA)</x:t>
  </x:si>
  <x:si>
    <x:t xml:space="preserve">PRM-0056</x:t>
  </x:si>
  <x:si>
    <x:t xml:space="preserve">BUMI ASRI PERMAI</x:t>
  </x:si>
  <x:si>
    <x:t xml:space="preserve">PT. RADHI UTAMA NUSA</x:t>
  </x:si>
  <x:si>
    <x:t xml:space="preserve">Rudi Kurniawan</x:t>
  </x:si>
  <x:si>
    <x:t xml:space="preserve">PRM-0057</x:t>
  </x:si>
  <x:si>
    <x:t xml:space="preserve">BUMI ASRI PERMAI 2</x:t>
  </x:si>
  <x:si>
    <x:t xml:space="preserve">PRM-0058</x:t>
  </x:si>
  <x:si>
    <x:t xml:space="preserve">BUMI GANADHYA</x:t>
  </x:si>
  <x:si>
    <x:t xml:space="preserve">Air Itam</x:t>
  </x:si>
  <x:si>
    <x:t xml:space="preserve">PT. MITRA GUNADHYA MANDIRI</x:t>
  </x:si>
  <x:si>
    <x:t xml:space="preserve">Novita Lestari</x:t>
  </x:si>
  <x:si>
    <x:t xml:space="preserve">PRM-0059</x:t>
  </x:si>
  <x:si>
    <x:t xml:space="preserve">BUMI KAMPAK PERMAI</x:t>
  </x:si>
  <x:si>
    <x:t xml:space="preserve">PT. TIMUR JAYA NUGRAHA</x:t>
  </x:si>
  <x:si>
    <x:t xml:space="preserve">Beny Ansory</x:t>
  </x:si>
  <x:si>
    <x:t xml:space="preserve">PRM-0060</x:t>
  </x:si>
  <x:si>
    <x:t xml:space="preserve">BUMI SELINDUNG DAMAI</x:t>
  </x:si>
  <x:si>
    <x:t xml:space="preserve">Jl. Lintas Timur</x:t>
  </x:si>
  <x:si>
    <x:t xml:space="preserve">PT. MUZAZI NURFI ABADI</x:t>
  </x:si>
  <x:si>
    <x:t xml:space="preserve">Nurul Anwar</x:t>
  </x:si>
  <x:si>
    <x:t xml:space="preserve">PRM-0061</x:t>
  </x:si>
  <x:si>
    <x:t xml:space="preserve">CAHAYA PROPERTI</x:t>
  </x:si>
  <x:si>
    <x:t xml:space="preserve">Lontong Pancur</x:t>
  </x:si>
  <x:si>
    <x:t xml:space="preserve">Jl. Dok Kartini</x:t>
  </x:si>
  <x:si>
    <x:t xml:space="preserve">PT. CAHAYA JAYA KONSTRUKSI</x:t>
  </x:si>
  <x:si>
    <x:t xml:space="preserve">Mas'ud</x:t>
  </x:si>
  <x:si>
    <x:t xml:space="preserve">PRM-0062</x:t>
  </x:si>
  <x:si>
    <x:t xml:space="preserve">CAHAYA RESIDENCE</x:t>
  </x:si>
  <x:si>
    <x:t xml:space="preserve">PRM-0063</x:t>
  </x:si>
  <x:si>
    <x:t xml:space="preserve">CAHAYA RESIDENCE 1</x:t>
  </x:si>
  <x:si>
    <x:t xml:space="preserve">PRM-0064</x:t>
  </x:si>
  <x:si>
    <x:t xml:space="preserve">CAHAYA RESIDENCE 2</x:t>
  </x:si>
  <x:si>
    <x:t xml:space="preserve">PRM-0065</x:t>
  </x:si>
  <x:si>
    <x:t xml:space="preserve">CAHAYA RESIDENCE 3</x:t>
  </x:si>
  <x:si>
    <x:t xml:space="preserve">PRM-0066</x:t>
  </x:si>
  <x:si>
    <x:t xml:space="preserve">CAHAYA RESIDENCE 4</x:t>
  </x:si>
  <x:si>
    <x:t xml:space="preserve">PRM-0067</x:t>
  </x:si>
  <x:si>
    <x:t xml:space="preserve">CAHAYA RESIDENCE 5</x:t>
  </x:si>
  <x:si>
    <x:t xml:space="preserve">CV. CAHAYA JAYA ABADI</x:t>
  </x:si>
  <x:si>
    <x:t xml:space="preserve">Hendra Wijaya</x:t>
  </x:si>
  <x:si>
    <x:t xml:space="preserve">PRM-0068</x:t>
  </x:si>
  <x:si>
    <x:t xml:space="preserve">CAHAYA RESIDENCE 6</x:t>
  </x:si>
  <x:si>
    <x:t xml:space="preserve">PRM-0069</x:t>
  </x:si>
  <x:si>
    <x:t xml:space="preserve">CAHAYA RESIDENCE 7</x:t>
  </x:si>
  <x:si>
    <x:t xml:space="preserve">Jl. Stania</x:t>
  </x:si>
  <x:si>
    <x:t xml:space="preserve">PRM-0070</x:t>
  </x:si>
  <x:si>
    <x:t xml:space="preserve">CAHAYA RESIDENCE 8</x:t>
  </x:si>
  <x:si>
    <x:t xml:space="preserve">Jl. Kerabut</x:t>
  </x:si>
  <x:si>
    <x:t xml:space="preserve">PRM-0071</x:t>
  </x:si>
  <x:si>
    <x:t xml:space="preserve">CAHAYA RESIDENCE 9</x:t>
  </x:si>
  <x:si>
    <x:t xml:space="preserve">PRM-0072</x:t>
  </x:si>
  <x:si>
    <x:t xml:space="preserve">CAHAYA RESIDENCE 10</x:t>
  </x:si>
  <x:si>
    <x:t xml:space="preserve">Jl. Fatmawati Gang Keluarga 1</x:t>
  </x:si>
  <x:si>
    <x:t xml:space="preserve">PRM-0073</x:t>
  </x:si>
  <x:si>
    <x:t xml:space="preserve">CAHAYA RESIDENCE 11</x:t>
  </x:si>
  <x:si>
    <x:t xml:space="preserve">Jl. Air Kampak</x:t>
  </x:si>
  <x:si>
    <x:t xml:space="preserve">PRM-0074</x:t>
  </x:si>
  <x:si>
    <x:t xml:space="preserve">CAHAYA RESIDENCE 12</x:t>
  </x:si>
  <x:si>
    <x:t xml:space="preserve">Jl. Ali Asik II</x:t>
  </x:si>
  <x:si>
    <x:t xml:space="preserve">PT.CAHAYA JAYA KONSTRUKSI</x:t>
  </x:si>
  <x:si>
    <x:t xml:space="preserve">PRM-0075</x:t>
  </x:si>
  <x:si>
    <x:t xml:space="preserve">CAHAYA RESIDENCE 13</x:t>
  </x:si>
  <x:si>
    <x:t xml:space="preserve">PRM-0076</x:t>
  </x:si>
  <x:si>
    <x:t xml:space="preserve">CAHAYA RESIDENCE 15</x:t>
  </x:si>
  <x:si>
    <x:t xml:space="preserve">PRM-0077</x:t>
  </x:si>
  <x:si>
    <x:t xml:space="preserve">CAHAYA RESIDENCE 17</x:t>
  </x:si>
  <x:si>
    <x:t xml:space="preserve">Jl. Anggrek</x:t>
  </x:si>
  <x:si>
    <x:t xml:space="preserve">PRM-0078</x:t>
  </x:si>
  <x:si>
    <x:t xml:space="preserve">CAHAYA RESIDENCE 18</x:t>
  </x:si>
  <x:si>
    <x:t xml:space="preserve">Jl. H. Umar</x:t>
  </x:si>
  <x:si>
    <x:t xml:space="preserve">PRM-0079</x:t>
  </x:si>
  <x:si>
    <x:t xml:space="preserve">CEMPAKA MAS RESIDENCE</x:t>
  </x:si>
  <x:si>
    <x:t xml:space="preserve">PT. WANGKA WIJAYA PROPERTY</x:t>
  </x:si>
  <x:si>
    <x:t xml:space="preserve">Ery Wahyudi</x:t>
  </x:si>
  <x:si>
    <x:t xml:space="preserve">PRM-0080</x:t>
  </x:si>
  <x:si>
    <x:t xml:space="preserve">CEMPAKA MAS RESIDENCE 3</x:t>
  </x:si>
  <x:si>
    <x:t xml:space="preserve">Jl. Jalur Dua</x:t>
  </x:si>
  <x:si>
    <x:t xml:space="preserve">PRM-0081</x:t>
  </x:si>
  <x:si>
    <x:t xml:space="preserve">CEMPAKA MAS RESIDENCE 4</x:t>
  </x:si>
  <x:si>
    <x:t xml:space="preserve">PRM-0082</x:t>
  </x:si>
  <x:si>
    <x:t xml:space="preserve">CEMPAKA MAS RESIDENCE 5</x:t>
  </x:si>
  <x:si>
    <x:t xml:space="preserve">PRM-0083</x:t>
  </x:si>
  <x:si>
    <x:t xml:space="preserve">CERIA VILLAGE</x:t>
  </x:si>
  <x:si>
    <x:t xml:space="preserve">Gg. Mirah Delima</x:t>
  </x:si>
  <x:si>
    <x:t xml:space="preserve">PT.INDO BANGKA PROPERTY</x:t>
  </x:si>
  <x:si>
    <x:t xml:space="preserve">Munawir</x:t>
  </x:si>
  <x:si>
    <x:t xml:space="preserve">PRM-0084</x:t>
  </x:si>
  <x:si>
    <x:t xml:space="preserve">CIPTA KARYA</x:t>
  </x:si>
  <x:si>
    <x:t xml:space="preserve">PRM-0085</x:t>
  </x:si>
  <x:si>
    <x:t xml:space="preserve">CITRALAND</x:t>
  </x:si>
  <x:si>
    <x:t xml:space="preserve">Jl. Alexander</x:t>
  </x:si>
  <x:si>
    <x:t xml:space="preserve">PT. CIPUTRA SUKSES PROPERTY</x:t>
  </x:si>
  <x:si>
    <x:t xml:space="preserve">PRM-0086</x:t>
  </x:si>
  <x:si>
    <x:t xml:space="preserve">CITY HILL</x:t>
  </x:si>
  <x:si>
    <x:t xml:space="preserve">PT. BESTINDO PROPERTY</x:t>
  </x:si>
  <x:si>
    <x:t xml:space="preserve">Ir. Thomas Jusman, MM</x:t>
  </x:si>
  <x:si>
    <x:t xml:space="preserve">PRM-0087</x:t>
  </x:si>
  <x:si>
    <x:t xml:space="preserve">DAMAI LESTARI RESIDENCE</x:t>
  </x:si>
  <x:si>
    <x:t xml:space="preserve">Jl. Nilam II</x:t>
  </x:si>
  <x:si>
    <x:t xml:space="preserve">PT.BANGKA DAMAI LESTARI</x:t>
  </x:si>
  <x:si>
    <x:t xml:space="preserve">PRM-0088</x:t>
  </x:si>
  <x:si>
    <x:t xml:space="preserve">DAMAI LESTARI RESIDENCE 1 TAHAP 1</x:t>
  </x:si>
  <x:si>
    <x:t xml:space="preserve">PRM-0089</x:t>
  </x:si>
  <x:si>
    <x:t xml:space="preserve">DAMAI LESTARI RESIDENCE 1 TAHAP 2</x:t>
  </x:si>
  <x:si>
    <x:t xml:space="preserve">PRM-0090</x:t>
  </x:si>
  <x:si>
    <x:t xml:space="preserve">DAMAI LESTARI RESIDENCE 2</x:t>
  </x:si>
  <x:si>
    <x:t xml:space="preserve">Selindung Baru</x:t>
  </x:si>
  <x:si>
    <x:t xml:space="preserve">Jl. Kartini</x:t>
  </x:si>
  <x:si>
    <x:t xml:space="preserve">PT. BANGKA DAMAI LESTARI</x:t>
  </x:si>
  <x:si>
    <x:t xml:space="preserve">PRM-0091</x:t>
  </x:si>
  <x:si>
    <x:t xml:space="preserve">DAMAI LESTARI RESIDENCE 2 B</x:t>
  </x:si>
  <x:si>
    <x:t xml:space="preserve">PRM-0092</x:t>
  </x:si>
  <x:si>
    <x:t xml:space="preserve">DAMAI LESTARI RESIDENCE 6 TAHAP 1</x:t>
  </x:si>
  <x:si>
    <x:t xml:space="preserve">PRM-0093</x:t>
  </x:si>
  <x:si>
    <x:t xml:space="preserve">DAMAI LESTARI RESIDENCE 6 TAHAP 2</x:t>
  </x:si>
  <x:si>
    <x:t xml:space="preserve">PRM-0094</x:t>
  </x:si>
  <x:si>
    <x:t xml:space="preserve">DAMAI LESTARI RESIDENCE 10</x:t>
  </x:si>
  <x:si>
    <x:t xml:space="preserve">PRM-0095</x:t>
  </x:si>
  <x:si>
    <x:t xml:space="preserve">DAMAI LESTARI RESIDENCE 10 TAHAP 2</x:t>
  </x:si>
  <x:si>
    <x:t xml:space="preserve">Jl. Kampak Serasi</x:t>
  </x:si>
  <x:si>
    <x:t xml:space="preserve">PRM-0096</x:t>
  </x:si>
  <x:si>
    <x:t xml:space="preserve">DAMAI LESTARI RESIDENCE 15 TAHAP 1</x:t>
  </x:si>
  <x:si>
    <x:t xml:space="preserve">Jl. Tanjung Bunga 2</x:t>
  </x:si>
  <x:si>
    <x:t xml:space="preserve">PRM-0097</x:t>
  </x:si>
  <x:si>
    <x:t xml:space="preserve">DAMAI LESTARI RESIDENCE 15 TAHAP 2</x:t>
  </x:si>
  <x:si>
    <x:t xml:space="preserve">PRM-0098</x:t>
  </x:si>
  <x:si>
    <x:t xml:space="preserve">DE PURNAMA</x:t>
  </x:si>
  <x:si>
    <x:t xml:space="preserve">PRM-0099</x:t>
  </x:si>
  <x:si>
    <x:t xml:space="preserve">DEALOVA BAHAGIA</x:t>
  </x:si>
  <x:si>
    <x:t xml:space="preserve">Jl. Jalur 2, Tampuk Pinang Pura</x:t>
  </x:si>
  <x:si>
    <x:t xml:space="preserve">PT. STANLEY PROPERTY MANDIRI</x:t>
  </x:si>
  <x:si>
    <x:t xml:space="preserve">Mulyadi Lie</x:t>
  </x:si>
  <x:si>
    <x:t xml:space="preserve">PRM-0100</x:t>
  </x:si>
  <x:si>
    <x:t xml:space="preserve">DEALOVA BAHAGIA TAHAP 2</x:t>
  </x:si>
  <x:si>
    <x:t xml:space="preserve">Jl. Jalur 2</x:t>
  </x:si>
  <x:si>
    <x:t xml:space="preserve">PRM-0101</x:t>
  </x:si>
  <x:si>
    <x:t xml:space="preserve">DELANO RESIDENCE</x:t>
  </x:si>
  <x:si>
    <x:t xml:space="preserve">Jl. Fatmawati Gg. Keluarga</x:t>
  </x:si>
  <x:si>
    <x:t xml:space="preserve">PT . DELANO JAYA PROPERTI</x:t>
  </x:si>
  <x:si>
    <x:t xml:space="preserve">Djong Khian Khie</x:t>
  </x:si>
  <x:si>
    <x:t xml:space="preserve">PRM-0102</x:t>
  </x:si>
  <x:si>
    <x:t xml:space="preserve">DELANO RESIDENCE 4</x:t>
  </x:si>
  <x:si>
    <x:t xml:space="preserve">Air Mawar</x:t>
  </x:si>
  <x:si>
    <x:t xml:space="preserve">Jl. Swadaya</x:t>
  </x:si>
  <x:si>
    <x:t xml:space="preserve">PRM-0103</x:t>
  </x:si>
  <x:si>
    <x:t xml:space="preserve">DELANO RESIDENCE 8</x:t>
  </x:si>
  <x:si>
    <x:t xml:space="preserve">PRM-0104</x:t>
  </x:si>
  <x:si>
    <x:t xml:space="preserve">DELIMA BAHAGIA</x:t>
  </x:si>
  <x:si>
    <x:t xml:space="preserve">Jl. Mirah Delima</x:t>
  </x:si>
  <x:si>
    <x:t xml:space="preserve">PRM-0105</x:t>
  </x:si>
  <x:si>
    <x:t xml:space="preserve">DERIYASA</x:t>
  </x:si>
  <x:si>
    <x:t xml:space="preserve">CV. RIMA JAYA</x:t>
  </x:si>
  <x:si>
    <x:t xml:space="preserve">Asep Hidayat</x:t>
  </x:si>
  <x:si>
    <x:t xml:space="preserve">PRM-0106</x:t>
  </x:si>
  <x:si>
    <x:t xml:space="preserve">DIVA RESIDENCE</x:t>
  </x:si>
  <x:si>
    <x:t xml:space="preserve">CV. ANUGRAH ABADI</x:t>
  </x:si>
  <x:si>
    <x:t xml:space="preserve">Boy Akbar Anugrah</x:t>
  </x:si>
  <x:si>
    <x:t xml:space="preserve">PRM-0107</x:t>
  </x:si>
  <x:si>
    <x:t xml:space="preserve">DIVA RESIDENCE 2</x:t>
  </x:si>
  <x:si>
    <x:t xml:space="preserve">Bukit Sari</x:t>
  </x:si>
  <x:si>
    <x:t xml:space="preserve">Jl. Melangir</x:t>
  </x:si>
  <x:si>
    <x:t xml:space="preserve">PT. ANUGRAH DIVA ABADI</x:t>
  </x:si>
  <x:si>
    <x:t xml:space="preserve">PRM-0108</x:t>
  </x:si>
  <x:si>
    <x:t xml:space="preserve">DIZA RESIDENCE</x:t>
  </x:si>
  <x:si>
    <x:t xml:space="preserve">Girimaya</x:t>
  </x:si>
  <x:si>
    <x:t xml:space="preserve">Sriwijaya</x:t>
  </x:si>
  <x:si>
    <x:t xml:space="preserve">Jl. Basuki Rahmat Ujung 1</x:t>
  </x:si>
  <x:si>
    <x:t xml:space="preserve">PRM-0109</x:t>
  </x:si>
  <x:si>
    <x:t xml:space="preserve">DREAMLAND 1</x:t>
  </x:si>
  <x:si>
    <x:t xml:space="preserve">Jl. Haji Umar</x:t>
  </x:si>
  <x:si>
    <x:t xml:space="preserve">PRM-0110</x:t>
  </x:si>
  <x:si>
    <x:t xml:space="preserve">DREAMLAND 2</x:t>
  </x:si>
  <x:si>
    <x:t xml:space="preserve">Jl. Fajar</x:t>
  </x:si>
  <x:si>
    <x:t xml:space="preserve">PT DREAMLAND PROPERTY</x:t>
  </x:si>
  <x:si>
    <x:t xml:space="preserve">{"type":"Feature","properties":{},"geometry":{"type":"Polygon","coordinates":[[[106.159380870,-2.131781997],[106.159389392,-2.131743837],[106.159398913,-2.131575741],[106.159340636,-2.131474676],[106.159285946,-2.131378430],[106.159240679,-2.131286545],[106.159341053,-2.131199191],[106.159564314,-2.130987588],[106.159871545,-2.130719242],[106.159925797,-2.130791889],[106.160002886,-2.130887639],[106.160181583,-2.131126689],[106.160264722,-2.131233072],[106.160363119,-2.131351156],[106.160211163,-2.131486002],[106.160059602,-2.131619852],[106.159928218,-2.131695923],[106.159792601,-2.131773589],[106.159754053,-2.131794115],[106.159557530,-2.131906417],[106.159427967,-2.131809359],[106.159380870,-2.131781997]]]}}</x:t>
  </x:si>
  <x:si>
    <x:t xml:space="preserve">PRM-0111</x:t>
  </x:si>
  <x:si>
    <x:t xml:space="preserve">D'RICH ADYKA RESIDENCE</x:t>
  </x:si>
  <x:si>
    <x:t xml:space="preserve">Jl R. Hundani</x:t>
  </x:si>
  <x:si>
    <x:t xml:space="preserve">PT. ANUGRAH HARAPAN BARU REGENCY</x:t>
  </x:si>
  <x:si>
    <x:t xml:space="preserve">Ady Irawan/Riska Jesika</x:t>
  </x:si>
  <x:si>
    <x:t xml:space="preserve">PRM-0112</x:t>
  </x:si>
  <x:si>
    <x:t xml:space="preserve">PRM-0113</x:t>
  </x:si>
  <x:si>
    <x:t xml:space="preserve">ELGHANI REGENCY</x:t>
  </x:si>
  <x:si>
    <x:t xml:space="preserve">Jl. Cucak Rowo</x:t>
  </x:si>
  <x:si>
    <x:t xml:space="preserve">PRM-0114</x:t>
  </x:si>
  <x:si>
    <x:t xml:space="preserve">FARRAS RESIDENCE</x:t>
  </x:si>
  <x:si>
    <x:t xml:space="preserve">Jl. Dasalamah</x:t>
  </x:si>
  <x:si>
    <x:t xml:space="preserve">PT. FARRAZY PUTRA CONTRAINDO</x:t>
  </x:si>
  <x:si>
    <x:t xml:space="preserve">PRM-0115</x:t>
  </x:si>
  <x:si>
    <x:t xml:space="preserve">FEIYAZ RESIDENCE</x:t>
  </x:si>
  <x:si>
    <x:t xml:space="preserve">Jl. Pulau Gelasa</x:t>
  </x:si>
  <x:si>
    <x:t xml:space="preserve">PT. KARYA DANISH FAZILA</x:t>
  </x:si>
  <x:si>
    <x:t xml:space="preserve">Zulfani</x:t>
  </x:si>
  <x:si>
    <x:t xml:space="preserve">PRM-0116</x:t>
  </x:si>
  <x:si>
    <x:t xml:space="preserve">FEIYAZ RESIDENCE 2</x:t>
  </x:si>
  <x:si>
    <x:t xml:space="preserve">PRM-0117</x:t>
  </x:si>
  <x:si>
    <x:t xml:space="preserve">FERZA BERLIAN RESIDENCE</x:t>
  </x:si>
  <x:si>
    <x:t xml:space="preserve">CV. BUMI CITRA LESTARI</x:t>
  </x:si>
  <x:si>
    <x:t xml:space="preserve">Reza Eka Aprilianto</x:t>
  </x:si>
  <x:si>
    <x:t xml:space="preserve">PRM-0118</x:t>
  </x:si>
  <x:si>
    <x:t xml:space="preserve">FERZA MUTIARA RESIDENCE</x:t>
  </x:si>
  <x:si>
    <x:t xml:space="preserve">Jl. Gandaria 1 Dalam</x:t>
  </x:si>
  <x:si>
    <x:t xml:space="preserve">PRM-0119</x:t>
  </x:si>
  <x:si>
    <x:t xml:space="preserve">FERZA RESIDENCE</x:t>
  </x:si>
  <x:si>
    <x:t xml:space="preserve">Jl. Pahlawan 12</x:t>
  </x:si>
  <x:si>
    <x:t xml:space="preserve">PRM-0120</x:t>
  </x:si>
  <x:si>
    <x:t xml:space="preserve">FLAMENGO RESIDENCE</x:t>
  </x:si>
  <x:si>
    <x:t xml:space="preserve">Jl. Gandaria 1, No. 12</x:t>
  </x:si>
  <x:si>
    <x:t xml:space="preserve">PT. BANGKA INDO PROPERTY</x:t>
  </x:si>
  <x:si>
    <x:t xml:space="preserve">Sri Devi Agustini</x:t>
  </x:si>
  <x:si>
    <x:t xml:space="preserve">PRM-0121</x:t>
  </x:si>
  <x:si>
    <x:t xml:space="preserve">FLAMENGO RESIDENCE 2</x:t>
  </x:si>
  <x:si>
    <x:t xml:space="preserve">Jl. Haji Bakri</x:t>
  </x:si>
  <x:si>
    <x:t xml:space="preserve">PT. BANGKA INDO PROPERTI</x:t>
  </x:si>
  <x:si>
    <x:t xml:space="preserve">PRM-0122</x:t>
  </x:si>
  <x:si>
    <x:t xml:space="preserve">FLAMENGO RESIDENCE 3</x:t>
  </x:si>
  <x:si>
    <x:t xml:space="preserve">Jl . Gandari 1, Gg. Flamengo</x:t>
  </x:si>
  <x:si>
    <x:t xml:space="preserve">PRM-0123</x:t>
  </x:si>
  <x:si>
    <x:t xml:space="preserve">GADING HIJAU</x:t>
  </x:si>
  <x:si>
    <x:t xml:space="preserve">Bukit Besar</x:t>
  </x:si>
  <x:si>
    <x:t xml:space="preserve">Jl. Belakang Sd 60 Girimaya</x:t>
  </x:si>
  <x:si>
    <x:t xml:space="preserve">PERUMAHAN GADING HIJAU</x:t>
  </x:si>
  <x:si>
    <x:t xml:space="preserve">Hasan Basri</x:t>
  </x:si>
  <x:si>
    <x:t xml:space="preserve">PRM-0124</x:t>
  </x:si>
  <x:si>
    <x:t xml:space="preserve">GADING PERMAI</x:t>
  </x:si>
  <x:si>
    <x:t xml:space="preserve">Jl. Fatmawati Gg. H. Hasan</x:t>
  </x:si>
  <x:si>
    <x:t xml:space="preserve">PT. MAESA BANGUN SEJAHTERA</x:t>
  </x:si>
  <x:si>
    <x:t xml:space="preserve">Andrev Timbong</x:t>
  </x:si>
  <x:si>
    <x:t xml:space="preserve">PRM-0125</x:t>
  </x:si>
  <x:si>
    <x:t xml:space="preserve">GANDARIA GREEN RESIDENCE</x:t>
  </x:si>
  <x:si>
    <x:t xml:space="preserve">Jl. Gandaria Dalam</x:t>
  </x:si>
  <x:si>
    <x:t xml:space="preserve">PRM-0126</x:t>
  </x:si>
  <x:si>
    <x:t xml:space="preserve">GANDARIA MAS 2</x:t>
  </x:si>
  <x:si>
    <x:t xml:space="preserve">PT. ANGKASA RAYA MAS</x:t>
  </x:si>
  <x:si>
    <x:t xml:space="preserve">Daniel Surya Putra</x:t>
  </x:si>
  <x:si>
    <x:t xml:space="preserve">PRM-0127</x:t>
  </x:si>
  <x:si>
    <x:t xml:space="preserve">GANTUNG BRIDGE RESIDENCE</x:t>
  </x:si>
  <x:si>
    <x:t xml:space="preserve">{"type":"Feature","properties":{},"geometry":{"type":"Polygon","coordinates":[[[106.097058117,-2.088862388],[106.097002472,-2.088875453],[106.096906960,-2.088965070],[106.096958217,-2.089236581],[106.096851314,-2.089237199],[106.096853185,-2.089341402],[106.096671670,-2.089362515],[106.096499678,-2.089501666],[106.096820450,-2.089849332],[106.096910398,-2.089903180],[106.097035018,-2.090168759],[106.096892241,-2.090299477],[106.097269681,-2.090811550],[106.097413401,-2.090615433],[106.097219788,-2.090044977],[106.097153920,-2.089708801],[106.097144507,-2.089618805],[106.097103091,-2.089407621],[106.097058117,-2.088862388]]]}}</x:t>
  </x:si>
  <x:si>
    <x:t xml:space="preserve">PRM-0128</x:t>
  </x:si>
  <x:si>
    <x:t xml:space="preserve">GARDEN INDAH RESIDENCE 1</x:t>
  </x:si>
  <x:si>
    <x:t xml:space="preserve">PT. KHANZANAH BABEL LESTARI</x:t>
  </x:si>
  <x:si>
    <x:t xml:space="preserve">Robiani</x:t>
  </x:si>
  <x:si>
    <x:t xml:space="preserve">PRM-0129</x:t>
  </x:si>
  <x:si>
    <x:t xml:space="preserve">GARDEN INDAH RESIDENCE 2</x:t>
  </x:si>
  <x:si>
    <x:t xml:space="preserve">PRM-0130</x:t>
  </x:si>
  <x:si>
    <x:t xml:space="preserve">GARDEN INDAH RESIDENCE 3</x:t>
  </x:si>
  <x:si>
    <x:t xml:space="preserve">Jl. Pinang Pura</x:t>
  </x:si>
  <x:si>
    <x:t xml:space="preserve">PRM-0131</x:t>
  </x:si>
  <x:si>
    <x:t xml:space="preserve">GENIO CITY RESIDENCE 1</x:t>
  </x:si>
  <x:si>
    <x:t xml:space="preserve">Jl. Seluang III</x:t>
  </x:si>
  <x:si>
    <x:t xml:space="preserve">CV. NAGA MAS</x:t>
  </x:si>
  <x:si>
    <x:t xml:space="preserve">Zulkifli</x:t>
  </x:si>
  <x:si>
    <x:t xml:space="preserve">PRM-0132</x:t>
  </x:si>
  <x:si>
    <x:t xml:space="preserve">GENIO CITY RESIDENCE 2</x:t>
  </x:si>
  <x:si>
    <x:t xml:space="preserve">Gabek Dua</x:t>
  </x:si>
  <x:si>
    <x:t xml:space="preserve">Jl. Raya Kartini</x:t>
  </x:si>
  <x:si>
    <x:t xml:space="preserve">PRM-0133</x:t>
  </x:si>
  <x:si>
    <x:t xml:space="preserve">GOLDEN RESIDENCE 1 TAHAP 1</x:t>
  </x:si>
  <x:si>
    <x:t xml:space="preserve">Jl. Almizan Gang Seniman</x:t>
  </x:si>
  <x:si>
    <x:t xml:space="preserve">PT. CITRA PRATAMA GASINDO</x:t>
  </x:si>
  <x:si>
    <x:t xml:space="preserve">Emida</x:t>
  </x:si>
  <x:si>
    <x:t xml:space="preserve">PRM-0134</x:t>
  </x:si>
  <x:si>
    <x:t xml:space="preserve">GOLDEN RESIDENCE 1 TAHAP 2</x:t>
  </x:si>
  <x:si>
    <x:t xml:space="preserve">PRM-0135</x:t>
  </x:si>
  <x:si>
    <x:t xml:space="preserve">GRAHA ARTA</x:t>
  </x:si>
  <x:si>
    <x:t xml:space="preserve">PT. TIRTA LOKA</x:t>
  </x:si>
  <x:si>
    <x:t xml:space="preserve">PRM-0136</x:t>
  </x:si>
  <x:si>
    <x:t xml:space="preserve">GRAHA FAMILY</x:t>
  </x:si>
  <x:si>
    <x:t xml:space="preserve">Jl. Laksamana Malahayatii</x:t>
  </x:si>
  <x:si>
    <x:t xml:space="preserve">PT. ANUGRAH FIJAR MENUMBING</x:t>
  </x:si>
  <x:si>
    <x:t xml:space="preserve">Wandha Purnama</x:t>
  </x:si>
  <x:si>
    <x:t xml:space="preserve">PRM-0137</x:t>
  </x:si>
  <x:si>
    <x:t xml:space="preserve">GRAHA FAMILY TAHAP 2</x:t>
  </x:si>
  <x:si>
    <x:t xml:space="preserve">2023; 2026</x:t>
  </x:si>
  <x:si>
    <x:t xml:space="preserve">{"type":"Feature","properties":{},"geometry":{"type":"Polygon","coordinates":[[[106.161333176,-2.124105651],[106.161220124,-2.124685424],[106.159431216,-2.124977248],[106.159036830,-2.124468086],[106.159052007,-2.124322508],[106.159030324,-2.124316003],[106.159182130,-2.123436944],[106.159805684,-2.123398827],[106.160322426,-2.123231325],[106.160323622,-2.123255710],[106.160406085,-2.123420028],[106.160434270,-2.123622496],[106.160540364,-2.123671242],[106.161185123,-2.123951350],[106.161311088,-2.124109449],[106.161333176,-2.124105651]]]}}</x:t>
  </x:si>
  <x:si>
    <x:t xml:space="preserve">PRM-0138</x:t>
  </x:si>
  <x:si>
    <x:t xml:space="preserve">GRAHA GADING MAS</x:t>
  </x:si>
  <x:si>
    <x:t xml:space="preserve">Jl. Alexander, Depan Citraland</x:t>
  </x:si>
  <x:si>
    <x:t xml:space="preserve">PT. PINANG MAS DUA</x:t>
  </x:si>
  <x:si>
    <x:t xml:space="preserve">Sri Hartati</x:t>
  </x:si>
  <x:si>
    <x:t xml:space="preserve">PRM-0139</x:t>
  </x:si>
  <x:si>
    <x:t xml:space="preserve">GRAHA KENCANA</x:t>
  </x:si>
  <x:si>
    <x:t xml:space="preserve">Jl. Masjid Al-Husna Dalam</x:t>
  </x:si>
  <x:si>
    <x:t xml:space="preserve">PT. SYIRA JAYA PROPERTI</x:t>
  </x:si>
  <x:si>
    <x:t xml:space="preserve">Imrin</x:t>
  </x:si>
  <x:si>
    <x:t xml:space="preserve">PRM-0140</x:t>
  </x:si>
  <x:si>
    <x:t xml:space="preserve">GRAHA KORPRI / SINAR MAS</x:t>
  </x:si>
  <x:si>
    <x:t xml:space="preserve">Jl. Air Geligit</x:t>
  </x:si>
  <x:si>
    <x:t xml:space="preserve">PT. GUNA MITRA PRIMA PROPERTINDO</x:t>
  </x:si>
  <x:si>
    <x:t xml:space="preserve">PRM-0141</x:t>
  </x:si>
  <x:si>
    <x:t xml:space="preserve">GRAHA LOKA ESTATE</x:t>
  </x:si>
  <x:si>
    <x:t xml:space="preserve">Jl. Jend. Sudirman</x:t>
  </x:si>
  <x:si>
    <x:t xml:space="preserve">PT. GRAHA LOKA</x:t>
  </x:si>
  <x:si>
    <x:t xml:space="preserve">Dymas Dwi Setia</x:t>
  </x:si>
  <x:si>
    <x:t xml:space="preserve">PRM-0142</x:t>
  </x:si>
  <x:si>
    <x:t xml:space="preserve">GRAHA PESONA</x:t>
  </x:si>
  <x:si>
    <x:t xml:space="preserve">Jl. Raya Tua Tunu</x:t>
  </x:si>
  <x:si>
    <x:t xml:space="preserve">PRM-0143</x:t>
  </x:si>
  <x:si>
    <x:t xml:space="preserve">GRAHA PINANG MAS 2</x:t>
  </x:si>
  <x:si>
    <x:t xml:space="preserve">PRM-0144</x:t>
  </x:si>
  <x:si>
    <x:t xml:space="preserve">GRAHA PURI</x:t>
  </x:si>
  <x:si>
    <x:t xml:space="preserve">PRM-0145</x:t>
  </x:si>
  <x:si>
    <x:t xml:space="preserve">GRAHA ROSMANIA</x:t>
  </x:si>
  <x:si>
    <x:t xml:space="preserve">Jl. Yos Sudarso</x:t>
  </x:si>
  <x:si>
    <x:t xml:space="preserve">PT. SYAMSI INVES TAMA</x:t>
  </x:si>
  <x:si>
    <x:t xml:space="preserve">Indra Setiawan</x:t>
  </x:si>
  <x:si>
    <x:t xml:space="preserve">PRM-0146</x:t>
  </x:si>
  <x:si>
    <x:t xml:space="preserve">GRAND BANGKA CITY</x:t>
  </x:si>
  <x:si>
    <x:t xml:space="preserve">Semabung Lama</x:t>
  </x:si>
  <x:si>
    <x:t xml:space="preserve">Jl. Batu Kaldera</x:t>
  </x:si>
  <x:si>
    <x:t xml:space="preserve">PT. PINANG JAYA MURNI</x:t>
  </x:si>
  <x:si>
    <x:t xml:space="preserve">Ho Har Aty</x:t>
  </x:si>
  <x:si>
    <x:t xml:space="preserve">PRM-0147</x:t>
  </x:si>
  <x:si>
    <x:t xml:space="preserve">GRAND ERANES</x:t>
  </x:si>
  <x:si>
    <x:t xml:space="preserve">Gg. Abadi 1</x:t>
  </x:si>
  <x:si>
    <x:t xml:space="preserve">PT. ERFOLG MANDIRI INDONESIA</x:t>
  </x:si>
  <x:si>
    <x:t xml:space="preserve">Zhaud Marully Wisudawan Silaban</x:t>
  </x:si>
  <x:si>
    <x:t xml:space="preserve">{"type":"Feature","properties":{},"geometry":{"type":"Polygon","coordinates":[[[106.082901417,-2.127593901],[106.082452295,-2.127582640],[106.082587042,-2.127020815],[106.082685975,-2.127061993],[106.082832266,-2.127065508],[106.083032041,-2.127049447],[106.083089723,-2.127117881],[106.083189274,-2.127143681],[106.083654481,-2.127139463],[106.083658711,-2.127145792],[106.083669350,-2.127187122],[106.083688188,-2.127383217],[106.083703316,-2.127415499],[106.083710785,-2.127424268],[106.083770892,-2.127746247],[106.083825018,-2.128001113],[106.083619012,-2.127979821],[106.083489810,-2.127984435],[106.083367578,-2.127925906],[106.083048766,-2.127695831],[106.082901417,-2.127593901]]]}}</x:t>
  </x:si>
  <x:si>
    <x:t xml:space="preserve">PRM-0148</x:t>
  </x:si>
  <x:si>
    <x:t xml:space="preserve">GRAND GANDARIA TAHAP 1</x:t>
  </x:si>
  <x:si>
    <x:t xml:space="preserve">Jl. Kampung Melayu No.16</x:t>
  </x:si>
  <x:si>
    <x:t xml:space="preserve">PT. MADINA INVESTAMA SEJAHTERA</x:t>
  </x:si>
  <x:si>
    <x:t xml:space="preserve">Munajat</x:t>
  </x:si>
  <x:si>
    <x:t xml:space="preserve">PRM-0149</x:t>
  </x:si>
  <x:si>
    <x:t xml:space="preserve">GRAND GANDARIA TAHAP 2</x:t>
  </x:si>
  <x:si>
    <x:t xml:space="preserve">PRM-0150</x:t>
  </x:si>
  <x:si>
    <x:t xml:space="preserve">GRAND GANDARIA TAHAP 3</x:t>
  </x:si>
  <x:si>
    <x:t xml:space="preserve">PRM-0151</x:t>
  </x:si>
  <x:si>
    <x:t xml:space="preserve">GRAND PAPIN'K ESTATE</x:t>
  </x:si>
  <x:si>
    <x:t xml:space="preserve">Jl. Masjid Al Husna</x:t>
  </x:si>
  <x:si>
    <x:t xml:space="preserve">PT.PAPINK INDAH PROPERTY</x:t>
  </x:si>
  <x:si>
    <x:t xml:space="preserve">Rita</x:t>
  </x:si>
  <x:si>
    <x:t xml:space="preserve">PRM-0152</x:t>
  </x:si>
  <x:si>
    <x:t xml:space="preserve">GRAND PAPIN'K ESTATE II</x:t>
  </x:si>
  <x:si>
    <x:t xml:space="preserve">PRM-0153</x:t>
  </x:si>
  <x:si>
    <x:t xml:space="preserve">GRAND PAPIN'K ESTATE III</x:t>
  </x:si>
  <x:si>
    <x:t xml:space="preserve">Jl. Pasir Padi</x:t>
  </x:si>
  <x:si>
    <x:t xml:space="preserve">PRM-0154</x:t>
  </x:si>
  <x:si>
    <x:t xml:space="preserve">GRAND PAPIN'K ESTATE IV</x:t>
  </x:si>
  <x:si>
    <x:t xml:space="preserve">PRM-0155</x:t>
  </x:si>
  <x:si>
    <x:t xml:space="preserve">GREEN HILL</x:t>
  </x:si>
  <x:si>
    <x:t xml:space="preserve">Naser Salim</x:t>
  </x:si>
  <x:si>
    <x:t xml:space="preserve">2019; 2026</x:t>
  </x:si>
  <x:si>
    <x:t xml:space="preserve">{"type":"Feature","properties":{},"geometry":{"type":"Polygon","coordinates":[[[106.060788691,-2.107538161],[106.060619541,-2.107700501],[106.060371409,-2.107619604],[106.060176114,-2.107626007],[106.060145701,-2.107672567],[106.059989571,-2.107822416],[106.059959428,-2.107869265],[106.059646914,-2.108167913],[106.059850012,-2.108266507],[106.059734789,-2.108637991],[106.060056813,-2.108694902],[106.060170152,-2.108527671],[106.060273048,-2.108475868],[106.060445034,-2.108464326],[106.060517874,-2.108360513],[106.060569149,-2.108303789],[106.060632112,-2.108260698],[106.060719935,-2.108335382],[106.060666606,-2.108491872],[106.060722336,-2.108602000],[106.060723513,-2.109117429],[106.060921581,-2.109170165],[106.060972969,-2.109068945],[106.061016687,-2.109071927],[106.061075212,-2.108968134],[106.061113686,-2.108995570],[106.061169041,-2.108882009],[106.061181003,-2.108901015],[106.061276353,-2.108831027],[106.061297751,-2.108789529],[106.061409043,-2.108868014],[106.061575309,-2.108708443],[106.061500746,-2.108629987],[106.061669986,-2.108467556],[106.060788691,-2.107538161]]]}}</x:t>
  </x:si>
  <x:si>
    <x:t xml:space="preserve">Perlu Perbaikan</x:t>
  </x:si>
  <x:si>
    <x:t xml:space="preserve">PRM-0156</x:t>
  </x:si>
  <x:si>
    <x:t xml:space="preserve">GREEN HILL 3</x:t>
  </x:si>
  <x:si>
    <x:t xml:space="preserve">PT. BANGKA MANDIRI PROPERTY</x:t>
  </x:si>
  <x:si>
    <x:t xml:space="preserve">Edy Susanto</x:t>
  </x:si>
  <x:si>
    <x:t xml:space="preserve">PRM-0157</x:t>
  </x:si>
  <x:si>
    <x:t xml:space="preserve">GREEN HILL TAHAP 2</x:t>
  </x:si>
  <x:si>
    <x:t xml:space="preserve">PRM-0158</x:t>
  </x:si>
  <x:si>
    <x:t xml:space="preserve">GREEN PESONA SELINDUNG</x:t>
  </x:si>
  <x:si>
    <x:t xml:space="preserve">Jl. Rustam Effendi</x:t>
  </x:si>
  <x:si>
    <x:t xml:space="preserve">PT. PRIMASCO GLOBAL DWISTAMA</x:t>
  </x:si>
  <x:si>
    <x:t xml:space="preserve">Ir. Dwi Herlanto</x:t>
  </x:si>
  <x:si>
    <x:t xml:space="preserve">PRM-0159</x:t>
  </x:si>
  <x:si>
    <x:t xml:space="preserve">GREEN VALLEY RESIDENCE</x:t>
  </x:si>
  <x:si>
    <x:t xml:space="preserve">PT. ELANG GEMILANG PROPERTINDO</x:t>
  </x:si>
  <x:si>
    <x:t xml:space="preserve">{"type":"Feature","properties":{},"geometry":{"type":"Polygon","coordinates":[[[106.062170308,-2.106072835],[106.062497356,-2.106260127],[106.062489188,-2.106280304],[106.062188406,-2.107039258],[106.062220153,-2.107050814],[106.062223221,-2.107067999],[106.062215618,-2.107125534],[106.062166002,-2.107281877],[106.061971279,-2.107189021],[106.062010216,-2.107063532],[106.061879798,-2.106997317],[106.061840780,-2.107002590],[106.061773498,-2.107094720],[106.061724480,-2.107071326],[106.062170308,-2.106072835]]]}}</x:t>
  </x:si>
  <x:si>
    <x:t xml:space="preserve">PRM-0160</x:t>
  </x:si>
  <x:si>
    <x:t xml:space="preserve">GREEN VILLA</x:t>
  </x:si>
  <x:si>
    <x:t xml:space="preserve">PT. PEDS GRUP PROPERTI</x:t>
  </x:si>
  <x:si>
    <x:t xml:space="preserve">Dedy</x:t>
  </x:si>
  <x:si>
    <x:t xml:space="preserve">PRM-0161</x:t>
  </x:si>
  <x:si>
    <x:t xml:space="preserve">GRIYA BANGKA POS</x:t>
  </x:si>
  <x:si>
    <x:t xml:space="preserve">Jl. Pulau Pelepas</x:t>
  </x:si>
  <x:si>
    <x:t xml:space="preserve">SEBELUM TAHUN 2014</x:t>
  </x:si>
  <x:si>
    <x:t xml:space="preserve">PRM-0162</x:t>
  </x:si>
  <x:si>
    <x:t xml:space="preserve">GRIYA BERKAH</x:t>
  </x:si>
  <x:si>
    <x:t xml:space="preserve">Jl. Bukit Tunggal</x:t>
  </x:si>
  <x:si>
    <x:t xml:space="preserve">PT.BERKAH ABADI BERJAYA</x:t>
  </x:si>
  <x:si>
    <x:t xml:space="preserve">Fiter</x:t>
  </x:si>
  <x:si>
    <x:t xml:space="preserve">PRM-0163</x:t>
  </x:si>
  <x:si>
    <x:t xml:space="preserve">GRIYA BUKIT INTAN</x:t>
  </x:si>
  <x:si>
    <x:t xml:space="preserve">PRM-0164</x:t>
  </x:si>
  <x:si>
    <x:t xml:space="preserve">GRIYA ELANG</x:t>
  </x:si>
  <x:si>
    <x:t xml:space="preserve">PT.ELANG PERKASA PROPERTY</x:t>
  </x:si>
  <x:si>
    <x:t xml:space="preserve">Muhammad Pharevi</x:t>
  </x:si>
  <x:si>
    <x:t xml:space="preserve">PRM-0165</x:t>
  </x:si>
  <x:si>
    <x:t xml:space="preserve">GRIYA ELANG 2</x:t>
  </x:si>
  <x:si>
    <x:t xml:space="preserve">PT. ELANG PERKASA PROPERTI</x:t>
  </x:si>
  <x:si>
    <x:t xml:space="preserve">PRM-0166</x:t>
  </x:si>
  <x:si>
    <x:t xml:space="preserve">GRIYA ELANG 3</x:t>
  </x:si>
  <x:si>
    <x:t xml:space="preserve">Jl. Sungai Salim Dalam</x:t>
  </x:si>
  <x:si>
    <x:t xml:space="preserve">PRM-0167</x:t>
  </x:si>
  <x:si>
    <x:t xml:space="preserve">GRIYA ELANG 4</x:t>
  </x:si>
  <x:si>
    <x:t xml:space="preserve">PRM-0168</x:t>
  </x:si>
  <x:si>
    <x:t xml:space="preserve">GRIYA GANDARIA INDAH</x:t>
  </x:si>
  <x:si>
    <x:t xml:space="preserve">CV. MADINA INVESTAMA SEJAHTERA</x:t>
  </x:si>
  <x:si>
    <x:t xml:space="preserve">PRM-0169</x:t>
  </x:si>
  <x:si>
    <x:t xml:space="preserve">GRIYA INTAN ASRI</x:t>
  </x:si>
  <x:si>
    <x:t xml:space="preserve">Jl. Padang Lama</x:t>
  </x:si>
  <x:si>
    <x:t xml:space="preserve">PT.BANGKA INDO PROPERTY</x:t>
  </x:si>
  <x:si>
    <x:t xml:space="preserve">PRM-0170</x:t>
  </x:si>
  <x:si>
    <x:t xml:space="preserve">GRIYA KHARISMA</x:t>
  </x:si>
  <x:si>
    <x:t xml:space="preserve">PT. GANDARIA SUKSES SEJAHTERA</x:t>
  </x:si>
  <x:si>
    <x:t xml:space="preserve">Zuiyita</x:t>
  </x:si>
  <x:si>
    <x:t xml:space="preserve">PRM-0171</x:t>
  </x:si>
  <x:si>
    <x:t xml:space="preserve">GRIYA MUSTIKA 1</x:t>
  </x:si>
  <x:si>
    <x:t xml:space="preserve">Jl. Masjid Al-Husna</x:t>
  </x:si>
  <x:si>
    <x:t xml:space="preserve">PT. RIZKI AGUNG PROPERTINDO</x:t>
  </x:si>
  <x:si>
    <x:t xml:space="preserve">Risky Rexcy</x:t>
  </x:si>
  <x:si>
    <x:t xml:space="preserve">PRM-0172</x:t>
  </x:si>
  <x:si>
    <x:t xml:space="preserve">GRIYA PANGKALPINANG</x:t>
  </x:si>
  <x:si>
    <x:t xml:space="preserve">Jl. Kartini Utama Raya</x:t>
  </x:si>
  <x:si>
    <x:t xml:space="preserve">PT. GRAHA KARUNIA PERKASA</x:t>
  </x:si>
  <x:si>
    <x:t xml:space="preserve">PRM-0173</x:t>
  </x:si>
  <x:si>
    <x:t xml:space="preserve">GRIYA PANGKALPINANG 1</x:t>
  </x:si>
  <x:si>
    <x:t xml:space="preserve">Jl. Gabek I</x:t>
  </x:si>
  <x:si>
    <x:t xml:space="preserve">PRM-0174</x:t>
  </x:si>
  <x:si>
    <x:t xml:space="preserve">GRIYA PANGKALPINANG 2</x:t>
  </x:si>
  <x:si>
    <x:t xml:space="preserve">CV. MANDIRI SUKSES</x:t>
  </x:si>
  <x:si>
    <x:t xml:space="preserve">PRM-0175</x:t>
  </x:si>
  <x:si>
    <x:t xml:space="preserve">GRIYA PANGKALPINANG 3</x:t>
  </x:si>
  <x:si>
    <x:t xml:space="preserve">Jl. Jebung Dalam</x:t>
  </x:si>
  <x:si>
    <x:t xml:space="preserve">PRM-0176</x:t>
  </x:si>
  <x:si>
    <x:t xml:space="preserve">GRIYA PESONA</x:t>
  </x:si>
  <x:si>
    <x:t xml:space="preserve">Gunawan</x:t>
  </x:si>
  <x:si>
    <x:t xml:space="preserve">PRM-0177</x:t>
  </x:si>
  <x:si>
    <x:t xml:space="preserve">GRIYA PESONA SELINDUNG</x:t>
  </x:si>
  <x:si>
    <x:t xml:space="preserve">Jl. Bedukang Raya</x:t>
  </x:si>
  <x:si>
    <x:t xml:space="preserve">PRM-0178</x:t>
  </x:si>
  <x:si>
    <x:t xml:space="preserve">GRIYA ROSMANIA RESIDENCE</x:t>
  </x:si>
  <x:si>
    <x:t xml:space="preserve">Jl. Salma</x:t>
  </x:si>
  <x:si>
    <x:t xml:space="preserve">PRM-0179</x:t>
  </x:si>
  <x:si>
    <x:t xml:space="preserve">GRIYA SAFARIAH</x:t>
  </x:si>
  <x:si>
    <x:t xml:space="preserve">PRM-0180</x:t>
  </x:si>
  <x:si>
    <x:t xml:space="preserve">GRIYA SHENA PERMAI</x:t>
  </x:si>
  <x:si>
    <x:t xml:space="preserve">Jl. M. Zainuddin</x:t>
  </x:si>
  <x:si>
    <x:t xml:space="preserve">Hendry Sujono</x:t>
  </x:si>
  <x:si>
    <x:t xml:space="preserve">PRM-0181</x:t>
  </x:si>
  <x:si>
    <x:t xml:space="preserve">GRIYA SYARIAH</x:t>
  </x:si>
  <x:si>
    <x:t xml:space="preserve">PRM-0182</x:t>
  </x:si>
  <x:si>
    <x:t xml:space="preserve">HARMONI RESIDENCE</x:t>
  </x:si>
  <x:si>
    <x:t xml:space="preserve">Jl. Lingkar Barat</x:t>
  </x:si>
  <x:si>
    <x:t xml:space="preserve">PT. HARMONI CITRA BANGKA</x:t>
  </x:si>
  <x:si>
    <x:t xml:space="preserve">Susantri</x:t>
  </x:si>
  <x:si>
    <x:t xml:space="preserve">PRM-0183</x:t>
  </x:si>
  <x:si>
    <x:t xml:space="preserve">HARVEST RESIDENCE 1</x:t>
  </x:si>
  <x:si>
    <x:t xml:space="preserve">Jl. Padat Karya</x:t>
  </x:si>
  <x:si>
    <x:t xml:space="preserve">PT. TRIMADYA PRIMA JAYA</x:t>
  </x:si>
  <x:si>
    <x:t xml:space="preserve">Lilis Martono</x:t>
  </x:si>
  <x:si>
    <x:t xml:space="preserve">PRM-0184</x:t>
  </x:si>
  <x:si>
    <x:t xml:space="preserve">HARVEST RESIDENCE 2</x:t>
  </x:si>
  <x:si>
    <x:t xml:space="preserve">PRM-0185</x:t>
  </x:si>
  <x:si>
    <x:t xml:space="preserve">HARVEST RESIDENCE 3</x:t>
  </x:si>
  <x:si>
    <x:t xml:space="preserve">Jl. Jamrud III</x:t>
  </x:si>
  <x:si>
    <x:t xml:space="preserve">PRM-0186</x:t>
  </x:si>
  <x:si>
    <x:t xml:space="preserve">HARVEST RESIDENCE 5</x:t>
  </x:si>
  <x:si>
    <x:t xml:space="preserve">PRM-0187</x:t>
  </x:si>
  <x:si>
    <x:t xml:space="preserve">HARVEST RESIDENCE 6</x:t>
  </x:si>
  <x:si>
    <x:t xml:space="preserve">Jl. Line Listrik</x:t>
  </x:si>
  <x:si>
    <x:t xml:space="preserve">PRM-0188</x:t>
  </x:si>
  <x:si>
    <x:t xml:space="preserve">HARVEST RESIDENCE 7</x:t>
  </x:si>
  <x:si>
    <x:t xml:space="preserve">Jl. Line Listrik (Kampak-Kerabut)</x:t>
  </x:si>
  <x:si>
    <x:t xml:space="preserve">PRM-0189</x:t>
  </x:si>
  <x:si>
    <x:t xml:space="preserve">HARVEST RESIDENCE 8</x:t>
  </x:si>
  <x:si>
    <x:t xml:space="preserve">PRM-0190</x:t>
  </x:si>
  <x:si>
    <x:t xml:space="preserve">HARVEST RESIDENCE 9</x:t>
  </x:si>
  <x:si>
    <x:t xml:space="preserve">{"type":"Feature","properties":{},"geometry":{"type":"Polygon","coordinates":[[[106.089851090,-2.106891394],[106.090038176,-2.106863709],[106.090126186,-2.106857035],[106.090200040,-2.106858096],[106.090221683,-2.106859618],[106.090235869,-2.106818044],[106.090326255,-2.106853791],[106.090367274,-2.106714181],[106.090412083,-2.106567114],[106.090599942,-2.106641408],[106.090939439,-2.106862677],[106.091120018,-2.106230239],[106.091027663,-2.106193805],[106.090900615,-2.106137794],[106.090908500,-2.106112524],[106.090609266,-2.106008313],[106.090316657,-2.105891551],[106.090269157,-2.105865398],[106.090051728,-2.106193587],[106.089580439,-2.106143020],[106.089576030,-2.106176536],[106.089575129,-2.106238038],[106.089574045,-2.106257649],[106.089575596,-2.106276056],[106.089579055,-2.106298912],[106.089590938,-2.106346275],[106.089608532,-2.106394837],[106.089654631,-2.106487729],[106.089699875,-2.106579510],[106.089733427,-2.106652764],[106.089736662,-2.106662685],[106.089768648,-2.106721513],[106.089851090,-2.106891394]]]}}</x:t>
  </x:si>
  <x:si>
    <x:t xml:space="preserve">PRM-0191</x:t>
  </x:si>
  <x:si>
    <x:t xml:space="preserve">INDAH RESIDENCE</x:t>
  </x:si>
  <x:si>
    <x:t xml:space="preserve">Jl. Kenari Rt.03 Rw.01</x:t>
  </x:si>
  <x:si>
    <x:t xml:space="preserve">PRM-0192</x:t>
  </x:si>
  <x:si>
    <x:t xml:space="preserve">INDO GRAHA</x:t>
  </x:si>
  <x:si>
    <x:t xml:space="preserve">Jl. Kampak</x:t>
  </x:si>
  <x:si>
    <x:t xml:space="preserve">PRM-0193</x:t>
  </x:si>
  <x:si>
    <x:t xml:space="preserve">INDO GRIYA</x:t>
  </x:si>
  <x:si>
    <x:t xml:space="preserve">PRM-0194</x:t>
  </x:si>
  <x:si>
    <x:t xml:space="preserve">INDO RESIDENCE</x:t>
  </x:si>
  <x:si>
    <x:t xml:space="preserve">Jl. Singkur No.83</x:t>
  </x:si>
  <x:si>
    <x:t xml:space="preserve">PRM-0195</x:t>
  </x:si>
  <x:si>
    <x:t xml:space="preserve">INDO WANEKA RESIDENCE 1</x:t>
  </x:si>
  <x:si>
    <x:t xml:space="preserve">CV.INDO SEJAHTERA</x:t>
  </x:si>
  <x:si>
    <x:t xml:space="preserve">PRM-0196</x:t>
  </x:si>
  <x:si>
    <x:t xml:space="preserve">INDO WANEKA RESIDENCE 2</x:t>
  </x:si>
  <x:si>
    <x:t xml:space="preserve">PRM-0197</x:t>
  </x:si>
  <x:si>
    <x:t xml:space="preserve">INDO WANEKA RESIDENCE 3</x:t>
  </x:si>
  <x:si>
    <x:t xml:space="preserve">PRM-0198</x:t>
  </x:si>
  <x:si>
    <x:t xml:space="preserve">INDO WANEKA RESIDENCE 4</x:t>
  </x:si>
  <x:si>
    <x:t xml:space="preserve">PRM-0199</x:t>
  </x:si>
  <x:si>
    <x:t xml:space="preserve">INDO WANEKA RESIDENCE 5</x:t>
  </x:si>
  <x:si>
    <x:t xml:space="preserve">PRM-0200</x:t>
  </x:si>
  <x:si>
    <x:t xml:space="preserve">KALENDRA RESIDENCE</x:t>
  </x:si>
  <x:si>
    <x:t xml:space="preserve">Jl. Pikas IV</x:t>
  </x:si>
  <x:si>
    <x:t xml:space="preserve">PT. TEKNIK KONSTRUKSI PROPERTINDO</x:t>
  </x:si>
  <x:si>
    <x:t xml:space="preserve">Tri Wibowo</x:t>
  </x:si>
  <x:si>
    <x:t xml:space="preserve">PRM-0201</x:t>
  </x:si>
  <x:si>
    <x:t xml:space="preserve">KALENDRA RESIDENCE 2</x:t>
  </x:si>
  <x:si>
    <x:t xml:space="preserve">Jl. Gandaria</x:t>
  </x:si>
  <x:si>
    <x:t xml:space="preserve">PRM-0202</x:t>
  </x:si>
  <x:si>
    <x:t xml:space="preserve">KAMPUNG ASRI 3</x:t>
  </x:si>
  <x:si>
    <x:t xml:space="preserve">PRM-0203</x:t>
  </x:si>
  <x:si>
    <x:t xml:space="preserve">KAMPUNG MELAYU ASRI 2</x:t>
  </x:si>
  <x:si>
    <x:t xml:space="preserve">Jl. Rumbia</x:t>
  </x:si>
  <x:si>
    <x:t xml:space="preserve">PRM-0204</x:t>
  </x:si>
  <x:si>
    <x:t xml:space="preserve">KORPRI PERMAI</x:t>
  </x:si>
  <x:si>
    <x:t xml:space="preserve">PT. BELMA</x:t>
  </x:si>
  <x:si>
    <x:t xml:space="preserve">PRM-0205</x:t>
  </x:si>
  <x:si>
    <x:t xml:space="preserve">KOTA BARU RESIDENCE</x:t>
  </x:si>
  <x:si>
    <x:t xml:space="preserve">Jl. Gerunggang</x:t>
  </x:si>
  <x:si>
    <x:t xml:space="preserve">PRM-0206</x:t>
  </x:si>
  <x:si>
    <x:t xml:space="preserve">LAVANDE RESIDENCE 1</x:t>
  </x:si>
  <x:si>
    <x:t xml:space="preserve">Jl. Kelenteng</x:t>
  </x:si>
  <x:si>
    <x:t xml:space="preserve">PT. TANAMAS BERKAH JAYA</x:t>
  </x:si>
  <x:si>
    <x:t xml:space="preserve">Darwanto</x:t>
  </x:si>
  <x:si>
    <x:t xml:space="preserve">{"type":"Feature","properties":{},"geometry":{"type":"Polygon","coordinates":[[[106.095519711,-2.096717441],[106.095230362,-2.096332178],[106.095143878,-2.096204787],[106.094806798,-2.095693138],[106.094954333,-2.095590792],[106.095078731,-2.095509693],[106.095210799,-2.095416512],[106.095190121,-2.095379802],[106.095026285,-2.095443281],[106.094999687,-2.095452915],[106.094932546,-2.095316791],[106.094708572,-2.095411067],[106.094783345,-2.095544382],[106.094788368,-2.095553343],[106.094579244,-2.095643674],[106.094670277,-2.095783083],[106.094855437,-2.096115883],[106.094941291,-2.096294535],[106.094748868,-2.096236272],[106.094809424,-2.096367562],[106.094789989,-2.096593081],[106.094888019,-2.096618185],[106.095064269,-2.096666808],[106.095123962,-2.096682460],[106.095140714,-2.096684565],[106.095256389,-2.096690906],[106.095319205,-2.096698043],[106.095344852,-2.096703362],[106.095475827,-2.096732279],[106.095519711,-2.096717441]]]}}</x:t>
  </x:si>
  <x:si>
    <x:t xml:space="preserve">PRM-0207</x:t>
  </x:si>
  <x:si>
    <x:t xml:space="preserve">LAVANDE RESIDENCE 2</x:t>
  </x:si>
  <x:si>
    <x:t xml:space="preserve">Jl. Pasir</x:t>
  </x:si>
  <x:si>
    <x:t xml:space="preserve">{"type":"Feature","properties":{},"geometry":{"type":"Polygon","coordinates":[[[106.145731508,-2.145182471],[106.145588402,-2.145167735],[106.145198858,-2.147256976],[106.145446501,-2.147302577],[106.145731508,-2.145182471]]]}}</x:t>
  </x:si>
  <x:si>
    <x:t xml:space="preserve">PRM-0208</x:t>
  </x:si>
  <x:si>
    <x:t xml:space="preserve">LEGAVISTA 4</x:t>
  </x:si>
  <x:si>
    <x:t xml:space="preserve">Jl. Fatmawati Dalam</x:t>
  </x:si>
  <x:si>
    <x:t xml:space="preserve">PT. LEGA CIPTA PROPERTINDO</x:t>
  </x:si>
  <x:si>
    <x:t xml:space="preserve">Noviko</x:t>
  </x:si>
  <x:si>
    <x:t xml:space="preserve">PRM-0209</x:t>
  </x:si>
  <x:si>
    <x:t xml:space="preserve">LEGAVISTA 4 TAHAP 2</x:t>
  </x:si>
  <x:si>
    <x:t xml:space="preserve">PRM-0210</x:t>
  </x:si>
  <x:si>
    <x:t xml:space="preserve">LENTERA BAHAGIA</x:t>
  </x:si>
  <x:si>
    <x:t xml:space="preserve">Jl. Pustu Kerabut</x:t>
  </x:si>
  <x:si>
    <x:t xml:space="preserve">PRM-0211</x:t>
  </x:si>
  <x:si>
    <x:t xml:space="preserve">MADANI RESIDENCE</x:t>
  </x:si>
  <x:si>
    <x:t xml:space="preserve">PT. GRAHA MADANI SUKSES BERSAMA</x:t>
  </x:si>
  <x:si>
    <x:t xml:space="preserve">Mardani</x:t>
  </x:si>
  <x:si>
    <x:t xml:space="preserve">PRM-0212</x:t>
  </x:si>
  <x:si>
    <x:t xml:space="preserve">MAHARANI RESIDENCE</x:t>
  </x:si>
  <x:si>
    <x:t xml:space="preserve">Jl. Bukit Intan</x:t>
  </x:si>
  <x:si>
    <x:t xml:space="preserve">PT. MAHARANI BERKAH COI PROPERTI</x:t>
  </x:si>
  <x:si>
    <x:t xml:space="preserve">Corri Ihsani</x:t>
  </x:si>
  <x:si>
    <x:t xml:space="preserve">PRM-0213</x:t>
  </x:si>
  <x:si>
    <x:t xml:space="preserve">MATAHARI RESIDENCE</x:t>
  </x:si>
  <x:si>
    <x:t xml:space="preserve">CV. BANGKA INDO KARYA</x:t>
  </x:si>
  <x:si>
    <x:t xml:space="preserve">Andri</x:t>
  </x:si>
  <x:si>
    <x:t xml:space="preserve">PRM-0214</x:t>
  </x:si>
  <x:si>
    <x:t xml:space="preserve">MATAHARI RESIDENCE 2</x:t>
  </x:si>
  <x:si>
    <x:t xml:space="preserve">PT. BANGKA INDO KARYA</x:t>
  </x:si>
  <x:si>
    <x:t xml:space="preserve">PRM-0215</x:t>
  </x:si>
  <x:si>
    <x:t xml:space="preserve">MEGA HARMONI</x:t>
  </x:si>
  <x:si>
    <x:t xml:space="preserve">PRM-0216</x:t>
  </x:si>
  <x:si>
    <x:t xml:space="preserve">MENARA KAMPAK RESIDENCE</x:t>
  </x:si>
  <x:si>
    <x:t xml:space="preserve">CV.MENARA JAYA</x:t>
  </x:si>
  <x:si>
    <x:t xml:space="preserve">PRM-0217</x:t>
  </x:si>
  <x:si>
    <x:t xml:space="preserve">MENTARI RESIDENCE</x:t>
  </x:si>
  <x:si>
    <x:t xml:space="preserve">Kacang Pedang</x:t>
  </x:si>
  <x:si>
    <x:t xml:space="preserve">PRM-0218</x:t>
  </x:si>
  <x:si>
    <x:t xml:space="preserve">PT. MENTARI BERSAUDARA BABEL</x:t>
  </x:si>
  <x:si>
    <x:t xml:space="preserve">Muhammad Iqbal</x:t>
  </x:si>
  <x:si>
    <x:t xml:space="preserve">PRM-0219</x:t>
  </x:si>
  <x:si>
    <x:t xml:space="preserve">MIRACLE LAND</x:t>
  </x:si>
  <x:si>
    <x:t xml:space="preserve">PRM-0220</x:t>
  </x:si>
  <x:si>
    <x:t xml:space="preserve">MONACO RESIDENCE</x:t>
  </x:si>
  <x:si>
    <x:t xml:space="preserve">Jl. Kartini Utama</x:t>
  </x:si>
  <x:si>
    <x:t xml:space="preserve">PT. GERHANA KARUNIA PERKASA</x:t>
  </x:si>
  <x:si>
    <x:t xml:space="preserve">PRM-0221</x:t>
  </x:si>
  <x:si>
    <x:t xml:space="preserve">MUTIARA RUBY</x:t>
  </x:si>
  <x:si>
    <x:t xml:space="preserve">PRM-0222</x:t>
  </x:si>
  <x:si>
    <x:t xml:space="preserve">MUTIARA SELINDUNG</x:t>
  </x:si>
  <x:si>
    <x:t xml:space="preserve">Jl. Betutu</x:t>
  </x:si>
  <x:si>
    <x:t xml:space="preserve">PT. PBERLY'S JAYA PROPERTI</x:t>
  </x:si>
  <x:si>
    <x:t xml:space="preserve">Subuadi</x:t>
  </x:si>
  <x:si>
    <x:t xml:space="preserve">PRM-0223</x:t>
  </x:si>
  <x:si>
    <x:t xml:space="preserve">MUTIARA SELINDUNG TAHAP 2</x:t>
  </x:si>
  <x:si>
    <x:t xml:space="preserve">PRM-0224</x:t>
  </x:si>
  <x:si>
    <x:t xml:space="preserve">NILAM PERMATA RESIDENCE</x:t>
  </x:si>
  <x:si>
    <x:t xml:space="preserve">Jl. Nilam Raya</x:t>
  </x:si>
  <x:si>
    <x:t xml:space="preserve">PT.PLASMA JAYA PERKASA</x:t>
  </x:si>
  <x:si>
    <x:t xml:space="preserve">Yanto</x:t>
  </x:si>
  <x:si>
    <x:t xml:space="preserve">PRM-0225</x:t>
  </x:si>
  <x:si>
    <x:t xml:space="preserve">NILAM PERMATA RESIDENCE 2 TAHAP 1</x:t>
  </x:si>
  <x:si>
    <x:t xml:space="preserve">PT. PLASMA JAYA PERKASA</x:t>
  </x:si>
  <x:si>
    <x:t xml:space="preserve">PRM-0226</x:t>
  </x:si>
  <x:si>
    <x:t xml:space="preserve">NILAM PERMATA RESIDENCE 2 TAHAP 2</x:t>
  </x:si>
  <x:si>
    <x:t xml:space="preserve">PRM-0227</x:t>
  </x:si>
  <x:si>
    <x:t xml:space="preserve">NILAM PERMATA RESIDENCE 2 TAHAP 3</x:t>
  </x:si>
  <x:si>
    <x:t xml:space="preserve">PRM-0228</x:t>
  </x:si>
  <x:si>
    <x:t xml:space="preserve">NILAM PERMATA RESIDENCE 2 TAHAP 4</x:t>
  </x:si>
  <x:si>
    <x:t xml:space="preserve">PRM-0229</x:t>
  </x:si>
  <x:si>
    <x:t xml:space="preserve">NIRWANA ASRI</x:t>
  </x:si>
  <x:si>
    <x:t xml:space="preserve">PT. RIZKI NUGRAHA SEJAHTERA</x:t>
  </x:si>
  <x:si>
    <x:t xml:space="preserve">Zuyyika Aditama Putra</x:t>
  </x:si>
  <x:si>
    <x:t xml:space="preserve">PRM-0230</x:t>
  </x:si>
  <x:si>
    <x:t xml:space="preserve">ORIZA PERMAI</x:t>
  </x:si>
  <x:si>
    <x:t xml:space="preserve">PRM-0231</x:t>
  </x:si>
  <x:si>
    <x:t xml:space="preserve">PANORAMA ZAMRUD RESIDENCE</x:t>
  </x:si>
  <x:si>
    <x:t xml:space="preserve">PT. PUTRA LIMBUNG JAYA PROPERTINDO</x:t>
  </x:si>
  <x:si>
    <x:t xml:space="preserve">Zam Zami</x:t>
  </x:si>
  <x:si>
    <x:t xml:space="preserve">PRM-0232</x:t>
  </x:si>
  <x:si>
    <x:t xml:space="preserve">PAPINKA VALLEY (JASMINE)</x:t>
  </x:si>
  <x:si>
    <x:t xml:space="preserve">Jl. Raya Air Itam</x:t>
  </x:si>
  <x:si>
    <x:t xml:space="preserve">PT. TIGA KOTA SEMACANG</x:t>
  </x:si>
  <x:si>
    <x:t xml:space="preserve">PRM-0233</x:t>
  </x:si>
  <x:si>
    <x:t xml:space="preserve">PAPINKA VALLEY (ORCHID)</x:t>
  </x:si>
  <x:si>
    <x:t xml:space="preserve">Jl. Depati Hamzah</x:t>
  </x:si>
  <x:si>
    <x:t xml:space="preserve">PRM-0234</x:t>
  </x:si>
  <x:si>
    <x:t xml:space="preserve">PARADISE RESIDENCE 1</x:t>
  </x:si>
  <x:si>
    <x:t xml:space="preserve">Jl. Tampak Pinang Pura</x:t>
  </x:si>
  <x:si>
    <x:t xml:space="preserve">CV. ANUGRAH KARYA KONSTRUKSI</x:t>
  </x:si>
  <x:si>
    <x:t xml:space="preserve">Dori Setiawan</x:t>
  </x:si>
  <x:si>
    <x:t xml:space="preserve">PRM-0235</x:t>
  </x:si>
  <x:si>
    <x:t xml:space="preserve">PARADISE RESIDENCE 2</x:t>
  </x:si>
  <x:si>
    <x:t xml:space="preserve">PRM-0236</x:t>
  </x:si>
  <x:si>
    <x:t xml:space="preserve">PARADISE RESIDENCE 3</x:t>
  </x:si>
  <x:si>
    <x:t xml:space="preserve">Jl. Warisan Budaya</x:t>
  </x:si>
  <x:si>
    <x:t xml:space="preserve">PT. ANUGERAH KARYA KONSTRUKSI</x:t>
  </x:si>
  <x:si>
    <x:t xml:space="preserve">PRM-0237</x:t>
  </x:si>
  <x:si>
    <x:t xml:space="preserve">PARADISE RESIDENCE 4</x:t>
  </x:si>
  <x:si>
    <x:t xml:space="preserve">PRM-0238</x:t>
  </x:si>
  <x:si>
    <x:t xml:space="preserve">PARADISE RESIDENCE 5</x:t>
  </x:si>
  <x:si>
    <x:t xml:space="preserve">Jl. Lingkar Barat Jalur 30 M</x:t>
  </x:si>
  <x:si>
    <x:t xml:space="preserve">PRM-0239</x:t>
  </x:si>
  <x:si>
    <x:t xml:space="preserve">PARADISE RESIDENCE 6</x:t>
  </x:si>
  <x:si>
    <x:t xml:space="preserve">PT. ANUGRAH KARYA KONSTRUKSI</x:t>
  </x:si>
  <x:si>
    <x:t xml:space="preserve">PRM-0240</x:t>
  </x:si>
  <x:si>
    <x:t xml:space="preserve">PARADISE RESIDENCE 7</x:t>
  </x:si>
  <x:si>
    <x:t xml:space="preserve">PRM-0241</x:t>
  </x:si>
  <x:si>
    <x:t xml:space="preserve">PARADISE RESIDENCE 8</x:t>
  </x:si>
  <x:si>
    <x:t xml:space="preserve">PRM-0242</x:t>
  </x:si>
  <x:si>
    <x:t xml:space="preserve">PARADISE RESIDENCE 9 GANDARIA</x:t>
  </x:si>
  <x:si>
    <x:t xml:space="preserve">Jl. Dealova Bahagia</x:t>
  </x:si>
  <x:si>
    <x:t xml:space="preserve">Tisnu Rehatta</x:t>
  </x:si>
  <x:si>
    <x:t xml:space="preserve">PRM-0243</x:t>
  </x:si>
  <x:si>
    <x:t xml:space="preserve">PARIS RESIDENCE</x:t>
  </x:si>
  <x:si>
    <x:t xml:space="preserve">PRM-0244</x:t>
  </x:si>
  <x:si>
    <x:t xml:space="preserve">PASIR MUTIARA RESIDENCE</x:t>
  </x:si>
  <x:si>
    <x:t xml:space="preserve">PT. BHAKTI AISYAH ATAYA</x:t>
  </x:si>
  <x:si>
    <x:t xml:space="preserve">M. Aditiya Mebiantara</x:t>
  </x:si>
  <x:si>
    <x:t xml:space="preserve">PRM-0245</x:t>
  </x:si>
  <x:si>
    <x:t xml:space="preserve">PASIR PADI RESIDENCE</x:t>
  </x:si>
  <x:si>
    <x:t xml:space="preserve">PT.KARYA PUTRA BANGKA MANDIRI</x:t>
  </x:si>
  <x:si>
    <x:t xml:space="preserve">Steven Wijaya</x:t>
  </x:si>
  <x:si>
    <x:t xml:space="preserve">PRM-0246</x:t>
  </x:si>
  <x:si>
    <x:t xml:space="preserve">PEARL RESIDENCE 1</x:t>
  </x:si>
  <x:si>
    <x:t xml:space="preserve">Jl. Bukit Tunggal 1</x:t>
  </x:si>
  <x:si>
    <x:t xml:space="preserve">CV. AGRIKULTUR RUMPUT LAUT</x:t>
  </x:si>
  <x:si>
    <x:t xml:space="preserve">Prigunardi Tjhia</x:t>
  </x:si>
  <x:si>
    <x:t xml:space="preserve">PRM-0247</x:t>
  </x:si>
  <x:si>
    <x:t xml:space="preserve">PEARL RESIDENCE 2</x:t>
  </x:si>
  <x:si>
    <x:t xml:space="preserve">Jl. Perbakin Rt.01 Rw.02</x:t>
  </x:si>
  <x:si>
    <x:t xml:space="preserve">PRM-0248</x:t>
  </x:si>
  <x:si>
    <x:t xml:space="preserve">PEARL RESIDENCE 3</x:t>
  </x:si>
  <x:si>
    <x:t xml:space="preserve">Jl. Batu Akik</x:t>
  </x:si>
  <x:si>
    <x:t xml:space="preserve">PRM-0249</x:t>
  </x:si>
  <x:si>
    <x:t xml:space="preserve">PEARL RESIDENCE 5</x:t>
  </x:si>
  <x:si>
    <x:t xml:space="preserve">Jl. Basuki Rahmat Ujung II</x:t>
  </x:si>
  <x:si>
    <x:t xml:space="preserve">PRM-0250</x:t>
  </x:si>
  <x:si>
    <x:t xml:space="preserve">PELANGI RESIDENCE</x:t>
  </x:si>
  <x:si>
    <x:t xml:space="preserve">Jl. Sungkur Dalam</x:t>
  </x:si>
  <x:si>
    <x:t xml:space="preserve">PRM-0251</x:t>
  </x:si>
  <x:si>
    <x:t xml:space="preserve">PERMATA GANDARIA</x:t>
  </x:si>
  <x:si>
    <x:t xml:space="preserve">Gg. Al Mukaromah</x:t>
  </x:si>
  <x:si>
    <x:t xml:space="preserve">PT. KAYYESA ELMA MAZEA</x:t>
  </x:si>
  <x:si>
    <x:t xml:space="preserve">Sariati</x:t>
  </x:si>
  <x:si>
    <x:t xml:space="preserve">PRM-0252</x:t>
  </x:si>
  <x:si>
    <x:t xml:space="preserve">PERMATA INTI KAMPAK</x:t>
  </x:si>
  <x:si>
    <x:t xml:space="preserve">PRM-0253</x:t>
  </x:si>
  <x:si>
    <x:t xml:space="preserve">PERMATA KULAN</x:t>
  </x:si>
  <x:si>
    <x:t xml:space="preserve">Jl. Kulan</x:t>
  </x:si>
  <x:si>
    <x:t xml:space="preserve">PT. LAUTAN EMAS ADI GRAHA</x:t>
  </x:si>
  <x:si>
    <x:t xml:space="preserve">Hendri</x:t>
  </x:si>
  <x:si>
    <x:t xml:space="preserve">PRM-0254</x:t>
  </x:si>
  <x:si>
    <x:t xml:space="preserve">PERMATA MANDIRI RESIDENCE 2</x:t>
  </x:si>
  <x:si>
    <x:t xml:space="preserve">PRM-0255</x:t>
  </x:si>
  <x:si>
    <x:t xml:space="preserve">PERMATA SELINDUNG RESIDENCE</x:t>
  </x:si>
  <x:si>
    <x:t xml:space="preserve">Jl. Lintas Timur No. 18</x:t>
  </x:si>
  <x:si>
    <x:t xml:space="preserve">PRM-0256</x:t>
  </x:si>
  <x:si>
    <x:t xml:space="preserve">PERMATA SRIWIJAYA</x:t>
  </x:si>
  <x:si>
    <x:t xml:space="preserve">Jl. Basuki Rahmat Ujung</x:t>
  </x:si>
  <x:si>
    <x:t xml:space="preserve">Suwandi</x:t>
  </x:si>
  <x:si>
    <x:t xml:space="preserve">PRM-0257</x:t>
  </x:si>
  <x:si>
    <x:t xml:space="preserve">PESONA ASROBAN INDAH</x:t>
  </x:si>
  <x:si>
    <x:t xml:space="preserve">CV. PBERLY'S</x:t>
  </x:si>
  <x:si>
    <x:t xml:space="preserve">PRM-0258</x:t>
  </x:si>
  <x:si>
    <x:t xml:space="preserve">PESONA KAMPAK PERMAI</x:t>
  </x:si>
  <x:si>
    <x:t xml:space="preserve">PRM-0259</x:t>
  </x:si>
  <x:si>
    <x:t xml:space="preserve">PESONA SELINDUNG</x:t>
  </x:si>
  <x:si>
    <x:t xml:space="preserve">Jl. Puri Kencana</x:t>
  </x:si>
  <x:si>
    <x:t xml:space="preserve">PRM-0260</x:t>
  </x:si>
  <x:si>
    <x:t xml:space="preserve">PINANG MAS</x:t>
  </x:si>
  <x:si>
    <x:t xml:space="preserve">PRM-0261</x:t>
  </x:si>
  <x:si>
    <x:t xml:space="preserve">PONDOK GRIYA KEDATON</x:t>
  </x:si>
  <x:si>
    <x:t xml:space="preserve">Jl. Depati Hamzah, Gg. Bandes</x:t>
  </x:si>
  <x:si>
    <x:t xml:space="preserve">PT. SUNGAILIAT BERKAH JAYA SENTOSA</x:t>
  </x:si>
  <x:si>
    <x:t xml:space="preserve">Hermawan Bayu Seno</x:t>
  </x:si>
  <x:si>
    <x:t xml:space="preserve">PRM-0262</x:t>
  </x:si>
  <x:si>
    <x:t xml:space="preserve">PONDOK INDAH</x:t>
  </x:si>
  <x:si>
    <x:t xml:space="preserve">Jl. Rustam Efendi</x:t>
  </x:si>
  <x:si>
    <x:t xml:space="preserve">PRM-0263</x:t>
  </x:si>
  <x:si>
    <x:t xml:space="preserve">PONDOK INDAH 2</x:t>
  </x:si>
  <x:si>
    <x:t xml:space="preserve">PT . BANGKA CIPTA MANDIRI</x:t>
  </x:si>
  <x:si>
    <x:t xml:space="preserve">Yuswan</x:t>
  </x:si>
  <x:si>
    <x:t xml:space="preserve">PRM-0264</x:t>
  </x:si>
  <x:si>
    <x:t xml:space="preserve">PONDOK INDAH 3</x:t>
  </x:si>
  <x:si>
    <x:t xml:space="preserve">PT.SUMBER MAS PRATAMA</x:t>
  </x:si>
  <x:si>
    <x:t xml:space="preserve">Selly</x:t>
  </x:si>
  <x:si>
    <x:t xml:space="preserve">PRM-0265</x:t>
  </x:si>
  <x:si>
    <x:t xml:space="preserve">PONDOK INDAH 5</x:t>
  </x:si>
  <x:si>
    <x:t xml:space="preserve">Jl. Laksamana Hayati</x:t>
  </x:si>
  <x:si>
    <x:t xml:space="preserve">PT. SUMBER MAS PRATAMA</x:t>
  </x:si>
  <x:si>
    <x:t xml:space="preserve">PRM-0266</x:t>
  </x:si>
  <x:si>
    <x:t xml:space="preserve">PONDOK INDAH 6</x:t>
  </x:si>
  <x:si>
    <x:t xml:space="preserve">PRM-0267</x:t>
  </x:si>
  <x:si>
    <x:t xml:space="preserve">PONDOK INDAH 7</x:t>
  </x:si>
  <x:si>
    <x:t xml:space="preserve">Feri Sardani</x:t>
  </x:si>
  <x:si>
    <x:t xml:space="preserve">PRM-0268</x:t>
  </x:si>
  <x:si>
    <x:t xml:space="preserve">PONDOK INDAH 8</x:t>
  </x:si>
  <x:si>
    <x:t xml:space="preserve">Muhammad Rizki Ramadhan</x:t>
  </x:si>
  <x:si>
    <x:t xml:space="preserve">PRM-0269</x:t>
  </x:si>
  <x:si>
    <x:t xml:space="preserve">PONDOK INDAH 9</x:t>
  </x:si>
  <x:si>
    <x:t xml:space="preserve">PRM-0270</x:t>
  </x:si>
  <x:si>
    <x:t xml:space="preserve">PONDOK INDAH 10</x:t>
  </x:si>
  <x:si>
    <x:t xml:space="preserve">PRM-0271</x:t>
  </x:si>
  <x:si>
    <x:t xml:space="preserve">PONDOK INDAH 11</x:t>
  </x:si>
  <x:si>
    <x:t xml:space="preserve">PRM-0272</x:t>
  </x:si>
  <x:si>
    <x:t xml:space="preserve">PRIMA GARDEN 1</x:t>
  </x:si>
  <x:si>
    <x:t xml:space="preserve">Jl. Fatmawati Gg. Kulan</x:t>
  </x:si>
  <x:si>
    <x:t xml:space="preserve">PT. BABELINDO NUSANTARA PRIMA</x:t>
  </x:si>
  <x:si>
    <x:t xml:space="preserve">Muksen</x:t>
  </x:si>
  <x:si>
    <x:t xml:space="preserve">PRM-0273</x:t>
  </x:si>
  <x:si>
    <x:t xml:space="preserve">PRIMA GARDEN 1 TAHAP 2</x:t>
  </x:si>
  <x:si>
    <x:t xml:space="preserve">PRM-0274</x:t>
  </x:si>
  <x:si>
    <x:t xml:space="preserve">PURI ARWANA</x:t>
  </x:si>
  <x:si>
    <x:t xml:space="preserve">PT. GIBSI HMS SEJAHTERA PERSADA</x:t>
  </x:si>
  <x:si>
    <x:t xml:space="preserve">M. Dollar</x:t>
  </x:si>
  <x:si>
    <x:t xml:space="preserve">PRM-0275</x:t>
  </x:si>
  <x:si>
    <x:t xml:space="preserve">PURI KENCANA</x:t>
  </x:si>
  <x:si>
    <x:t xml:space="preserve">Edward</x:t>
  </x:si>
  <x:si>
    <x:t xml:space="preserve">PRM-0276</x:t>
  </x:si>
  <x:si>
    <x:t xml:space="preserve">PURI MANSION</x:t>
  </x:si>
  <x:si>
    <x:t xml:space="preserve">PT. MAHA KARYA KREASI</x:t>
  </x:si>
  <x:si>
    <x:t xml:space="preserve">Romitama Purwanto Wibowo</x:t>
  </x:si>
  <x:si>
    <x:t xml:space="preserve">PRM-0277</x:t>
  </x:si>
  <x:si>
    <x:t xml:space="preserve">PURI RESIDENCE</x:t>
  </x:si>
  <x:si>
    <x:t xml:space="preserve">PRM-0278</x:t>
  </x:si>
  <x:si>
    <x:t xml:space="preserve">PURI SEMABUNG INDAH</x:t>
  </x:si>
  <x:si>
    <x:t xml:space="preserve">Jl. Mustika II</x:t>
  </x:si>
  <x:si>
    <x:t xml:space="preserve">Heriyanto</x:t>
  </x:si>
  <x:si>
    <x:t xml:space="preserve">PRM-0279</x:t>
  </x:si>
  <x:si>
    <x:t xml:space="preserve">PURI SEMABUNG INDAH 1</x:t>
  </x:si>
  <x:si>
    <x:t xml:space="preserve">Jl. Semabung Lama</x:t>
  </x:si>
  <x:si>
    <x:t xml:space="preserve">PRM-0280</x:t>
  </x:si>
  <x:si>
    <x:t xml:space="preserve">RED WOOD</x:t>
  </x:si>
  <x:si>
    <x:t xml:space="preserve">Jl. Tayib</x:t>
  </x:si>
  <x:si>
    <x:t xml:space="preserve">PRM-0281</x:t>
  </x:si>
  <x:si>
    <x:t xml:space="preserve">RIVERA RESIDENCE</x:t>
  </x:si>
  <x:si>
    <x:t xml:space="preserve">Jl. Tanjung Bunga II</x:t>
  </x:si>
  <x:si>
    <x:t xml:space="preserve">Eko Yuliyanto</x:t>
  </x:si>
  <x:si>
    <x:t xml:space="preserve">PRM-0282</x:t>
  </x:si>
  <x:si>
    <x:t xml:space="preserve">RIZKI RESIDENCE</x:t>
  </x:si>
  <x:si>
    <x:t xml:space="preserve">PT.SUKMA KARYA ABADI</x:t>
  </x:si>
  <x:si>
    <x:t xml:space="preserve">Ebit Sugiarto</x:t>
  </x:si>
  <x:si>
    <x:t xml:space="preserve">PRM-0283</x:t>
  </x:si>
  <x:si>
    <x:t xml:space="preserve">RIZKY RESIDENCE 2</x:t>
  </x:si>
  <x:si>
    <x:t xml:space="preserve">PT. SUKMA KARYA ABADI PROPERTI</x:t>
  </x:si>
  <x:si>
    <x:t xml:space="preserve">Ebid Sugiarto</x:t>
  </x:si>
  <x:si>
    <x:t xml:space="preserve">PRM-0284</x:t>
  </x:si>
  <x:si>
    <x:t xml:space="preserve">ROSE WATER ESTATE</x:t>
  </x:si>
  <x:si>
    <x:t xml:space="preserve">PRM-0285</x:t>
  </x:si>
  <x:si>
    <x:t xml:space="preserve">ROYAL PERMATA INDAH</x:t>
  </x:si>
  <x:si>
    <x:t xml:space="preserve">PT. BERKAH BERSAMA KONSTRUKSI</x:t>
  </x:si>
  <x:si>
    <x:t xml:space="preserve">Agustian Safitri</x:t>
  </x:si>
  <x:si>
    <x:t xml:space="preserve">PRM-0286</x:t>
  </x:si>
  <x:si>
    <x:t xml:space="preserve">SILAM PARI</x:t>
  </x:si>
  <x:si>
    <x:t xml:space="preserve">PT. TUNGGARA BERKAH PROPERTY</x:t>
  </x:si>
  <x:si>
    <x:t xml:space="preserve">Rivaldy Oki Rudiansyah</x:t>
  </x:si>
  <x:si>
    <x:t xml:space="preserve">PRM-0287</x:t>
  </x:si>
  <x:si>
    <x:t xml:space="preserve">SINAR BANGKA INDAH</x:t>
  </x:si>
  <x:si>
    <x:t xml:space="preserve">Jl. Depati Hamzah Gg. Mirah Delima I</x:t>
  </x:si>
  <x:si>
    <x:t xml:space="preserve">PT. SINAR BANGKA INDAH</x:t>
  </x:si>
  <x:si>
    <x:t xml:space="preserve">PRM-0288</x:t>
  </x:si>
  <x:si>
    <x:t xml:space="preserve">TAMAN ANGGREK RESIDENCE 1</x:t>
  </x:si>
  <x:si>
    <x:t xml:space="preserve">PRM-0289</x:t>
  </x:si>
  <x:si>
    <x:t xml:space="preserve">TAMAN ANGGREK RESIDENCE 2</x:t>
  </x:si>
  <x:si>
    <x:t xml:space="preserve">Jl. Parit Lalang</x:t>
  </x:si>
  <x:si>
    <x:t xml:space="preserve">PRM-0290</x:t>
  </x:si>
  <x:si>
    <x:t xml:space="preserve">TAMAN GANDARIA MAS</x:t>
  </x:si>
  <x:si>
    <x:t xml:space="preserve">PRM-0291</x:t>
  </x:si>
  <x:si>
    <x:t xml:space="preserve">TAMAN GANDARIA MAS 3</x:t>
  </x:si>
  <x:si>
    <x:t xml:space="preserve">Gg. Melati</x:t>
  </x:si>
  <x:si>
    <x:t xml:space="preserve">PRM-0292</x:t>
  </x:si>
  <x:si>
    <x:t xml:space="preserve">TAMAN JAGUNG RESIDENCE 1</x:t>
  </x:si>
  <x:si>
    <x:t xml:space="preserve">Jl. Betutu Dalam</x:t>
  </x:si>
  <x:si>
    <x:t xml:space="preserve">PT. KARYA TEKNIK KONTRUKSI</x:t>
  </x:si>
  <x:si>
    <x:t xml:space="preserve">Dwi Pramono</x:t>
  </x:si>
  <x:si>
    <x:t xml:space="preserve">PRM-0293</x:t>
  </x:si>
  <x:si>
    <x:t xml:space="preserve">TAMAN JAGUNG RESIDENCE 2</x:t>
  </x:si>
  <x:si>
    <x:t xml:space="preserve">Jl. Jebung 1</x:t>
  </x:si>
  <x:si>
    <x:t xml:space="preserve">PT. KARYATEK PRIMA</x:t>
  </x:si>
  <x:si>
    <x:t xml:space="preserve">PRM-0294</x:t>
  </x:si>
  <x:si>
    <x:t xml:space="preserve">TAMAN JAGUNG RESIDENCE 3</x:t>
  </x:si>
  <x:si>
    <x:t xml:space="preserve">PT. KARYA TEKNIK KONSTRUKSI</x:t>
  </x:si>
  <x:si>
    <x:t xml:space="preserve">PRM-0295</x:t>
  </x:si>
  <x:si>
    <x:t xml:space="preserve">TAMAN JAGUNG RESIDENCE 4</x:t>
  </x:si>
  <x:si>
    <x:t xml:space="preserve">PRM-0296</x:t>
  </x:si>
  <x:si>
    <x:t xml:space="preserve">TAMAN JAGUNG RESIDENCE 5</x:t>
  </x:si>
  <x:si>
    <x:t xml:space="preserve">Jl. Terubuk Dalam</x:t>
  </x:si>
  <x:si>
    <x:t xml:space="preserve">PRM-0297</x:t>
  </x:si>
  <x:si>
    <x:t xml:space="preserve">TAMAN JAGUNG RESIDENCE 6</x:t>
  </x:si>
  <x:si>
    <x:t xml:space="preserve">Jl. Stadion Depati Amir</x:t>
  </x:si>
  <x:si>
    <x:t xml:space="preserve">PRM-0298</x:t>
  </x:si>
  <x:si>
    <x:t xml:space="preserve">TAMAN JAGUNG RESIDENCE 7</x:t>
  </x:si>
  <x:si>
    <x:t xml:space="preserve">Jl. Fatmawati Kampak</x:t>
  </x:si>
  <x:si>
    <x:t xml:space="preserve">PRM-0299</x:t>
  </x:si>
  <x:si>
    <x:t xml:space="preserve">TAMAN JAGUNG RESIDENCE 8</x:t>
  </x:si>
  <x:si>
    <x:t xml:space="preserve">PRM-0300</x:t>
  </x:si>
  <x:si>
    <x:t xml:space="preserve">TAMAN JAGUNG RESIDENCE 9</x:t>
  </x:si>
  <x:si>
    <x:t xml:space="preserve">Jl. M. Saleh Zainudin</x:t>
  </x:si>
  <x:si>
    <x:t xml:space="preserve">PRM-0301</x:t>
  </x:si>
  <x:si>
    <x:t xml:space="preserve">TAMAN JAGUNG RESIDENCE 10</x:t>
  </x:si>
  <x:si>
    <x:t xml:space="preserve">PRM-0302</x:t>
  </x:si>
  <x:si>
    <x:t xml:space="preserve">TAMAN JAGUNG RESIDENCE 11</x:t>
  </x:si>
  <x:si>
    <x:t xml:space="preserve">PRM-0303</x:t>
  </x:si>
  <x:si>
    <x:t xml:space="preserve">TAMAN JAGUNG RESIDENCE 12</x:t>
  </x:si>
  <x:si>
    <x:t xml:space="preserve">Jl. Mawar</x:t>
  </x:si>
  <x:si>
    <x:t xml:space="preserve">PRM-0304</x:t>
  </x:si>
  <x:si>
    <x:t xml:space="preserve">TAMAN JAGUNG RESIDENCE 14</x:t>
  </x:si>
  <x:si>
    <x:t xml:space="preserve">PRM-0305</x:t>
  </x:si>
  <x:si>
    <x:t xml:space="preserve">TAMAN JAGUNG RESIDENCE 15</x:t>
  </x:si>
  <x:si>
    <x:t xml:space="preserve">Rifky Pramana Putra</x:t>
  </x:si>
  <x:si>
    <x:t xml:space="preserve">PRM-0306</x:t>
  </x:si>
  <x:si>
    <x:t xml:space="preserve">TAMAN JAGUNG RESIDENCE 16</x:t>
  </x:si>
  <x:si>
    <x:t xml:space="preserve">Jl. Pikas 1</x:t>
  </x:si>
  <x:si>
    <x:t xml:space="preserve">PRM-0307</x:t>
  </x:si>
  <x:si>
    <x:t xml:space="preserve">TAMAN JAGUNG RESIDENCE 17</x:t>
  </x:si>
  <x:si>
    <x:t xml:space="preserve">PRM-0308</x:t>
  </x:si>
  <x:si>
    <x:t xml:space="preserve">TAMAN JAGUNG RESIDENCE 18</x:t>
  </x:si>
  <x:si>
    <x:t xml:space="preserve">Jl. Stadion Dalam</x:t>
  </x:si>
  <x:si>
    <x:t xml:space="preserve">PRM-0309</x:t>
  </x:si>
  <x:si>
    <x:t xml:space="preserve">TAMAN JAGUNG RESIDENCE ICON 1</x:t>
  </x:si>
  <x:si>
    <x:t xml:space="preserve">PRM-0310</x:t>
  </x:si>
  <x:si>
    <x:t xml:space="preserve">TAMAN JAGUNG RESIDENCE ICON 2</x:t>
  </x:si>
  <x:si>
    <x:t xml:space="preserve">PRM-0311</x:t>
  </x:si>
  <x:si>
    <x:t xml:space="preserve">TAMAN KOTA</x:t>
  </x:si>
  <x:si>
    <x:t xml:space="preserve">Jl. Pulad Bangka</x:t>
  </x:si>
  <x:si>
    <x:t xml:space="preserve">PRM-0312</x:t>
  </x:si>
  <x:si>
    <x:t xml:space="preserve">TAMAN MANGGIS 1</x:t>
  </x:si>
  <x:si>
    <x:t xml:space="preserve">PT. PARAHYANGAN DWI KARYA</x:t>
  </x:si>
  <x:si>
    <x:t xml:space="preserve">Hendrawan/Anugrah Wiyogo</x:t>
  </x:si>
  <x:si>
    <x:t xml:space="preserve">PRM-0313</x:t>
  </x:si>
  <x:si>
    <x:t xml:space="preserve">TAMAN MANGGIS 2</x:t>
  </x:si>
  <x:si>
    <x:t xml:space="preserve">PRM-0314</x:t>
  </x:si>
  <x:si>
    <x:t xml:space="preserve">TAMAN MANGGIS 2 TAHAP 2</x:t>
  </x:si>
  <x:si>
    <x:t xml:space="preserve">PT. PARAHYANGAN DWIKARYA</x:t>
  </x:si>
  <x:si>
    <x:t xml:space="preserve">PRM-0315</x:t>
  </x:si>
  <x:si>
    <x:t xml:space="preserve">TAMAN NAZHALEA</x:t>
  </x:si>
  <x:si>
    <x:t xml:space="preserve">PT. GITA PUTRI BANGKA</x:t>
  </x:si>
  <x:si>
    <x:t xml:space="preserve">Muhammad Ikhsan Suryaatmaja</x:t>
  </x:si>
  <x:si>
    <x:t xml:space="preserve">PRM-0316</x:t>
  </x:si>
  <x:si>
    <x:t xml:space="preserve">TAMAN PAPINKA</x:t>
  </x:si>
  <x:si>
    <x:t xml:space="preserve">CV. TAMAN PAPINKA</x:t>
  </x:si>
  <x:si>
    <x:t xml:space="preserve">PRM-0317</x:t>
  </x:si>
  <x:si>
    <x:t xml:space="preserve">TAMAN SEMESTA MAS</x:t>
  </x:si>
  <x:si>
    <x:t xml:space="preserve">PRM-0318</x:t>
  </x:si>
  <x:si>
    <x:t xml:space="preserve">TAMAN SRIWIJAYA</x:t>
  </x:si>
  <x:si>
    <x:t xml:space="preserve">Jl. Kubis</x:t>
  </x:si>
  <x:si>
    <x:t xml:space="preserve">PRM-0319</x:t>
  </x:si>
  <x:si>
    <x:t xml:space="preserve">TAMAN SRIWIJAYA II</x:t>
  </x:si>
  <x:si>
    <x:t xml:space="preserve">Jl. Kubis II</x:t>
  </x:si>
  <x:si>
    <x:t xml:space="preserve">PRM-0320</x:t>
  </x:si>
  <x:si>
    <x:t xml:space="preserve">TAMAN SURYA</x:t>
  </x:si>
  <x:si>
    <x:t xml:space="preserve">Jl. Fatmawati Gg. Makmur</x:t>
  </x:si>
  <x:si>
    <x:t xml:space="preserve">PT. BANGKA RAYA JAYA</x:t>
  </x:si>
  <x:si>
    <x:t xml:space="preserve">Julu Wahyono</x:t>
  </x:si>
  <x:si>
    <x:t xml:space="preserve">PRM-0321</x:t>
  </x:si>
  <x:si>
    <x:t xml:space="preserve">TAMAN SURYA MAS</x:t>
  </x:si>
  <x:si>
    <x:t xml:space="preserve">Jl. Kampak Gg. Haji Umar</x:t>
  </x:si>
  <x:si>
    <x:t xml:space="preserve">PRM-0322</x:t>
  </x:si>
  <x:si>
    <x:t xml:space="preserve">TAMAN SURYA MAS INDAH</x:t>
  </x:si>
  <x:si>
    <x:t xml:space="preserve">PRM-0323</x:t>
  </x:si>
  <x:si>
    <x:t xml:space="preserve">TAMAN TANJUNG BUNGA CLUSTER ANGGREK</x:t>
  </x:si>
  <x:si>
    <x:t xml:space="preserve">PT.CAHAYA INTAN ABADI SAKTI</x:t>
  </x:si>
  <x:si>
    <x:t xml:space="preserve">Welly Abdullah</x:t>
  </x:si>
  <x:si>
    <x:t xml:space="preserve">PRM-0324</x:t>
  </x:si>
  <x:si>
    <x:t xml:space="preserve">TAMAN TANJUNG BUNGA CLUSTER DAHLIA</x:t>
  </x:si>
  <x:si>
    <x:t xml:space="preserve">Jl. Perumahan Tanjung Bunga</x:t>
  </x:si>
  <x:si>
    <x:t xml:space="preserve">PT. CAHAYA INDAH ABADISAKTI</x:t>
  </x:si>
  <x:si>
    <x:t xml:space="preserve">Ferdinan</x:t>
  </x:si>
  <x:si>
    <x:t xml:space="preserve">PRM-0325</x:t>
  </x:si>
  <x:si>
    <x:t xml:space="preserve">TAMAN TANJUNG BUNGA CLUSTER LILI</x:t>
  </x:si>
  <x:si>
    <x:t xml:space="preserve">Jl. Taman Indah No 212</x:t>
  </x:si>
  <x:si>
    <x:t xml:space="preserve">PRM-0326</x:t>
  </x:si>
  <x:si>
    <x:t xml:space="preserve">TAMAN TANJUNG BUNGA CLUSTER MAWAR 1</x:t>
  </x:si>
  <x:si>
    <x:t xml:space="preserve">PRM-0327</x:t>
  </x:si>
  <x:si>
    <x:t xml:space="preserve">TAMAN TANJUNG BUNGA CLUSTER MAWAR 2</x:t>
  </x:si>
  <x:si>
    <x:t xml:space="preserve">PRM-0328</x:t>
  </x:si>
  <x:si>
    <x:t xml:space="preserve">TAMAN TANJUNG BUNGA CLUSTER SERUNI</x:t>
  </x:si>
  <x:si>
    <x:t xml:space="preserve">PRM-0329</x:t>
  </x:si>
  <x:si>
    <x:t xml:space="preserve">TAMARA DREAM LAND 2</x:t>
  </x:si>
  <x:si>
    <x:t xml:space="preserve">PT. BUSNI IPAH GEMA</x:t>
  </x:si>
  <x:si>
    <x:t xml:space="preserve">Harini</x:t>
  </x:si>
  <x:si>
    <x:t xml:space="preserve">PRM-0330</x:t>
  </x:si>
  <x:si>
    <x:t xml:space="preserve">TAMARA DREAM LAND 2 TAHAP 2</x:t>
  </x:si>
  <x:si>
    <x:t xml:space="preserve">Jl. Air Bebar</x:t>
  </x:si>
  <x:si>
    <x:t xml:space="preserve">PRM-0331</x:t>
  </x:si>
  <x:si>
    <x:t xml:space="preserve">TANJUNG MANDIRI</x:t>
  </x:si>
  <x:si>
    <x:t xml:space="preserve">PRM-0332</x:t>
  </x:si>
  <x:si>
    <x:t xml:space="preserve">TELAGA TIMUR 1</x:t>
  </x:si>
  <x:si>
    <x:t xml:space="preserve">Jl. Tambak Udang</x:t>
  </x:si>
  <x:si>
    <x:t xml:space="preserve">PT. CAHAYA VIATINDO PRIMA</x:t>
  </x:si>
  <x:si>
    <x:t xml:space="preserve">Doddy Primananda</x:t>
  </x:si>
  <x:si>
    <x:t xml:space="preserve">PRM-0333</x:t>
  </x:si>
  <x:si>
    <x:t xml:space="preserve">TELAGA TIMUR 2</x:t>
  </x:si>
  <x:si>
    <x:t xml:space="preserve">PRM-0334</x:t>
  </x:si>
  <x:si>
    <x:t xml:space="preserve">TELAGA TIMUR 3</x:t>
  </x:si>
  <x:si>
    <x:t xml:space="preserve">Jl. Lingkar Timur</x:t>
  </x:si>
  <x:si>
    <x:t xml:space="preserve">Efviar Said</x:t>
  </x:si>
  <x:si>
    <x:t xml:space="preserve">PRM-0335</x:t>
  </x:si>
  <x:si>
    <x:t xml:space="preserve">THE GREENLAND CITY</x:t>
  </x:si>
  <x:si>
    <x:t xml:space="preserve">Jl. Selindung Raya</x:t>
  </x:si>
  <x:si>
    <x:t xml:space="preserve">PT. MITRA ANUGRAH PERDANA</x:t>
  </x:si>
  <x:si>
    <x:t xml:space="preserve">Gunadi</x:t>
  </x:si>
  <x:si>
    <x:t xml:space="preserve">PRM-0336</x:t>
  </x:si>
  <x:si>
    <x:t xml:space="preserve">THE ZAMRUD LAND</x:t>
  </x:si>
  <x:si>
    <x:t xml:space="preserve">Jl. Perumahan Bhayangkara</x:t>
  </x:si>
  <x:si>
    <x:t xml:space="preserve">PT. BAPALINDO JAYA PROPERTI</x:t>
  </x:si>
  <x:si>
    <x:t xml:space="preserve">PRM-0337</x:t>
  </x:si>
  <x:si>
    <x:t xml:space="preserve">TIRTA KENCANA PERMAI</x:t>
  </x:si>
  <x:si>
    <x:t xml:space="preserve">Asiong</x:t>
  </x:si>
  <x:si>
    <x:t xml:space="preserve">PRM-0338</x:t>
  </x:si>
  <x:si>
    <x:t xml:space="preserve">TUNAS ILALANG</x:t>
  </x:si>
  <x:si>
    <x:t xml:space="preserve">PT. PERSLY DONNY SIREGAR</x:t>
  </x:si>
  <x:si>
    <x:t xml:space="preserve">Kristory Glorius S.</x:t>
  </x:si>
  <x:si>
    <x:t xml:space="preserve">PRM-0339</x:t>
  </x:si>
  <x:si>
    <x:t xml:space="preserve">TUNAS JERAMBAH GANTUNG</x:t>
  </x:si>
  <x:si>
    <x:t xml:space="preserve">PRM-0340</x:t>
  </x:si>
  <x:si>
    <x:t xml:space="preserve">TUNAS KAMPAK REGAR</x:t>
  </x:si>
  <x:si>
    <x:t xml:space="preserve">PRM-0341</x:t>
  </x:si>
  <x:si>
    <x:t xml:space="preserve">TUNAS TANJUNG BUNGA</x:t>
  </x:si>
  <x:si>
    <x:t xml:space="preserve">PRM-0342</x:t>
  </x:si>
  <x:si>
    <x:t xml:space="preserve">VALERI RESIDENCE</x:t>
  </x:si>
  <x:si>
    <x:t xml:space="preserve">Rangkui</x:t>
  </x:si>
  <x:si>
    <x:t xml:space="preserve">Asam</x:t>
  </x:si>
  <x:si>
    <x:t xml:space="preserve">Jl. Jeruk</x:t>
  </x:si>
  <x:si>
    <x:t xml:space="preserve">PT. PRESTIGE LAND PROPERTI</x:t>
  </x:si>
  <x:si>
    <x:t xml:space="preserve">Warino</x:t>
  </x:si>
  <x:si>
    <x:t xml:space="preserve">PRM-0343</x:t>
  </x:si>
  <x:si>
    <x:t xml:space="preserve">VALERI RESIDENCE 2</x:t>
  </x:si>
  <x:si>
    <x:t xml:space="preserve">PRM-0344</x:t>
  </x:si>
  <x:si>
    <x:t xml:space="preserve">VALERI RESIDENCE 3</x:t>
  </x:si>
  <x:si>
    <x:t xml:space="preserve">Jl. Tirta Darma 1</x:t>
  </x:si>
  <x:si>
    <x:t xml:space="preserve">{"type":"Feature","properties":{},"geometry":{"type":"Polygon","coordinates":[[[106.142287243,-2.124916539],[106.141484977,-2.126520611],[106.141466720,-2.126513931],[106.141200034,-2.126377906],[106.141240936,-2.125632897],[106.141287520,-2.125402657],[106.141319074,-2.125395850],[106.141580135,-2.125339665],[106.141830866,-2.125420525],[106.141980545,-2.125145434],[106.142192704,-2.124857633],[106.142287243,-2.124916539]]]}}</x:t>
  </x:si>
  <x:si>
    <x:t xml:space="preserve">PRM-0345</x:t>
  </x:si>
  <x:si>
    <x:t xml:space="preserve">VILLA BUKIT ASRI</x:t>
  </x:si>
  <x:si>
    <x:t xml:space="preserve">PRM-0346</x:t>
  </x:si>
  <x:si>
    <x:t xml:space="preserve">VILLA HARMONI</x:t>
  </x:si>
  <x:si>
    <x:t xml:space="preserve">Ampui</x:t>
  </x:si>
  <x:si>
    <x:t xml:space="preserve">Jl. Teluk Bayur</x:t>
  </x:si>
  <x:si>
    <x:t xml:space="preserve">Yurita Sari</x:t>
  </x:si>
  <x:si>
    <x:t xml:space="preserve">PRM-0347</x:t>
  </x:si>
  <x:si>
    <x:t xml:space="preserve">VILLA JAM'S RESIDENCE</x:t>
  </x:si>
  <x:si>
    <x:t xml:space="preserve">Jl. Padat Karya Dalam</x:t>
  </x:si>
  <x:si>
    <x:t xml:space="preserve">PT. FARISLA JAYA MAKMUR</x:t>
  </x:si>
  <x:si>
    <x:t xml:space="preserve">PRM-0348</x:t>
  </x:si>
  <x:si>
    <x:t xml:space="preserve">VILLA KAYU MAS</x:t>
  </x:si>
  <x:si>
    <x:t xml:space="preserve">Jl. Tua Tunu Raya</x:t>
  </x:si>
  <x:si>
    <x:t xml:space="preserve">PT. BUMI CITRA LESTARI PROPERTINDO</x:t>
  </x:si>
  <x:si>
    <x:t xml:space="preserve">PRM-0349</x:t>
  </x:si>
  <x:si>
    <x:t xml:space="preserve">VILLA SAKINAH INDAH</x:t>
  </x:si>
  <x:si>
    <x:t xml:space="preserve">Jl. Galanggang Kapal Selindung</x:t>
  </x:si>
  <x:si>
    <x:t xml:space="preserve">PD. DOK KARTINI</x:t>
  </x:si>
  <x:si>
    <x:t xml:space="preserve">Jibran Chairozi</x:t>
  </x:si>
  <x:si>
    <x:t xml:space="preserve">PRM-0350</x:t>
  </x:si>
  <x:si>
    <x:t xml:space="preserve">VIONA VILLAGE</x:t>
  </x:si>
  <x:si>
    <x:t xml:space="preserve">Jl. Sembilang No. 2</x:t>
  </x:si>
  <x:si>
    <x:t xml:space="preserve">PRM-0351</x:t>
  </x:si>
  <x:si>
    <x:t xml:space="preserve">WAN RESIDENCE 1</x:t>
  </x:si>
  <x:si>
    <x:t xml:space="preserve">Jl. Puskesmas/Len 30</x:t>
  </x:si>
  <x:si>
    <x:t xml:space="preserve">PT. WAN JANNAH RIA</x:t>
  </x:si>
  <x:si>
    <x:t xml:space="preserve">Dahlia</x:t>
  </x:si>
  <x:si>
    <x:t xml:space="preserve">PRM-0352</x:t>
  </x:si>
  <x:si>
    <x:t xml:space="preserve">WATERGATE PARK RESIDENCE</x:t>
  </x:si>
  <x:si>
    <x:t xml:space="preserve">Pengembang Indonesia (PI)ntu Air</x:t>
  </x:si>
  <x:si>
    <x:t xml:space="preserve">Jl. Batin Iso No. 429</x:t>
  </x:si>
  <x:si>
    <x:t xml:space="preserve">PRM-0353</x:t>
  </x:si>
  <x:si>
    <x:t xml:space="preserve">ZIKRI RESIDENCE TAHAP 1</x:t>
  </x:si>
  <x:si>
    <x:t xml:space="preserve">PT. ROBIATUL RUBIEQA RABBANI</x:t>
  </x:si>
  <x:si>
    <x:t xml:space="preserve">Zikri</x:t>
  </x:si>
  <x:si>
    <x:t xml:space="preserve">PRM-0354</x:t>
  </x:si>
  <x:si>
    <x:t xml:space="preserve">ZIKRI RESIDENCE TAHAP 2</x:t>
  </x:si>
  <x:si>
    <x:t xml:space="preserve">PRM-0355</x:t>
  </x:si>
  <x:si>
    <x:t xml:space="preserve">ZIKRY RESIDENCE TAHAP 3</x:t>
  </x:si>
  <x:si>
    <x:t xml:space="preserve">PRM-0356</x:t>
  </x:si>
  <x:si>
    <x:t xml:space="preserve">ZIKRY RESIDENCE TAHAP 4</x:t>
  </x:si>
  <x:si>
    <x:t xml:space="preserve">Jl. Sungai Liat</x:t>
  </x:si>
  <x:si>
    <x:t xml:space="preserve">TEMPLATE RESMI DATABASE SIRUMAH — DETAIL PSU PERUMAHAN</x:t>
  </x:si>
  <x:si>
    <x:t xml:space="preserve">REFERENSI JENIS PSU — PERWAKO 44/2024 PASAL 2</x:t>
  </x:si>
  <x:si>
    <x:t xml:space="preserve">Satu baris mewakili satu komponen PSU pada satu perumahan dan satu versi site plan. Gunakan untuk mencatat rencana PSU, status fisik, dan realisasi penyerahan kepada Pemerintah Kota.</x:t>
  </x:si>
  <x:si>
    <x:t xml:space="preserve">KELOMPOK</x:t>
  </x:si>
  <x:si>
    <x:t xml:space="preserve">JENIS_PSU</x:t>
  </x:si>
  <x:si>
    <x:t xml:space="preserve">PRASARANA</x:t>
  </x:si>
  <x:si>
    <x:t xml:space="preserve">Jaringan Jalan</x:t>
  </x:si>
  <x:si>
    <x:t xml:space="preserve">Jaringan Saluran Pembuangan Air Limbah</x:t>
  </x:si>
  <x:si>
    <x:t xml:space="preserve">ID_PSU_DETAIL*</x:t>
  </x:si>
  <x:si>
    <x:t xml:space="preserve">TAHUN_SITEPLAN_ACUAN*</x:t>
  </x:si>
  <x:si>
    <x:t xml:space="preserve">KELOMPOK_PSU*</x:t>
  </x:si>
  <x:si>
    <x:t xml:space="preserve">JENIS_PSU*</x:t>
  </x:si>
  <x:si>
    <x:t xml:space="preserve">URAIAN</x:t>
  </x:si>
  <x:si>
    <x:t xml:space="preserve">LUAS_RENCANA_M2</x:t>
  </x:si>
  <x:si>
    <x:t xml:space="preserve">JUMLAH_RENCANA</x:t>
  </x:si>
  <x:si>
    <x:t xml:space="preserve">SATUAN*</x:t>
  </x:si>
  <x:si>
    <x:t xml:space="preserve">STATUS_FISIK</x:t>
  </x:si>
  <x:si>
    <x:t xml:space="preserve">RENCANA_DISERAHKAN*</x:t>
  </x:si>
  <x:si>
    <x:t xml:space="preserve">STATUS_PENYERAHAN*</x:t>
  </x:si>
  <x:si>
    <x:t xml:space="preserve">LUAS_SUDAH_DISERAHKAN_M2</x:t>
  </x:si>
  <x:si>
    <x:t xml:space="preserve">JUMLAH_SUDAH_DISERAHKAN</x:t>
  </x:si>
  <x:si>
    <x:t xml:space="preserve">TAHUN_SERAH_TERIMA</x:t>
  </x:si>
  <x:si>
    <x:t xml:space="preserve">KETERANGAN</x:t>
  </x:si>
  <x:si>
    <x:t xml:space="preserve">Jaringan Saluran Pembuangan Air Hujan (Drainase)</x:t>
  </x:si>
  <x:si>
    <x:t xml:space="preserve">PSU-00001</x:t>
  </x:si>
  <x:si>
    <x:t xml:space="preserve">m²</x:t>
  </x:si>
  <x:si>
    <x:t xml:space="preserve">BELUM TERBANGUN</x:t>
  </x:si>
  <x:si>
    <x:t xml:space="preserve">YA</x:t>
  </x:si>
  <x:si>
    <x:t xml:space="preserve">Site Plan</x:t>
  </x:si>
  <x:si>
    <x:t xml:space="preserve">Sumur Resapan Komunal</x:t>
  </x:si>
  <x:si>
    <x:t xml:space="preserve">PSU-00002</x:t>
  </x:si>
  <x:si>
    <x:t xml:space="preserve">Tempat Pembuangan dan/atau Pengolahan Sampah</x:t>
  </x:si>
  <x:si>
    <x:t xml:space="preserve">PSU-00003</x:t>
  </x:si>
  <x:si>
    <x:t xml:space="preserve">SARANA</x:t>
  </x:si>
  <x:si>
    <x:t xml:space="preserve">Pertamanan dan Ruang Terbuka Hijau</x:t>
  </x:si>
  <x:si>
    <x:t xml:space="preserve">LAHAN TERSEDIA / BELUM TERBANGUN</x:t>
  </x:si>
  <x:si>
    <x:t xml:space="preserve">Perniagaan/Perbelanjaan</x:t>
  </x:si>
  <x:si>
    <x:t xml:space="preserve">PSU-00004</x:t>
  </x:si>
  <x:si>
    <x:t xml:space="preserve">UTILITAS UMUM</x:t>
  </x:si>
  <x:si>
    <x:t xml:space="preserve">Penerangan Jalan Umum</x:t>
  </x:si>
  <x:si>
    <x:t xml:space="preserve">titik</x:t>
  </x:si>
  <x:si>
    <x:t xml:space="preserve">Pelayanan Umum dan Pemerintahan</x:t>
  </x:si>
  <x:si>
    <x:t xml:space="preserve">PSU-00005</x:t>
  </x:si>
  <x:si>
    <x:t xml:space="preserve">Pendidikan</x:t>
  </x:si>
  <x:si>
    <x:t xml:space="preserve">PSU-00006</x:t>
  </x:si>
  <x:si>
    <x:t xml:space="preserve">Kesehatan</x:t>
  </x:si>
  <x:si>
    <x:t xml:space="preserve">PSU-00007</x:t>
  </x:si>
  <x:si>
    <x:t xml:space="preserve">Peribadatan</x:t>
  </x:si>
  <x:si>
    <x:t xml:space="preserve">PSU-00008</x:t>
  </x:si>
  <x:si>
    <x:t xml:space="preserve">unit</x:t>
  </x:si>
  <x:si>
    <x:t xml:space="preserve">Rekreasi dan Olahraga</x:t>
  </x:si>
  <x:si>
    <x:t xml:space="preserve">PSU-00009</x:t>
  </x:si>
  <x:si>
    <x:t xml:space="preserve">LAINNYA</x:t>
  </x:si>
  <x:si>
    <x:t xml:space="preserve">Lainnya (sesuai dokumen resmi)</x:t>
  </x:si>
  <x:si>
    <x:t xml:space="preserve">Cermin Cembung</x:t>
  </x:si>
  <x:si>
    <x:t xml:space="preserve">BELUM TERSEDIA</x:t>
  </x:si>
  <x:si>
    <x:t xml:space="preserve">Pemakaman</x:t>
  </x:si>
  <x:si>
    <x:t xml:space="preserve">PSU-00010</x:t>
  </x:si>
  <x:si>
    <x:t xml:space="preserve">APAR (Alat Pemadam Api Ringan)</x:t>
  </x:si>
  <x:si>
    <x:t xml:space="preserve">PSU-00011</x:t>
  </x:si>
  <x:si>
    <x:t xml:space="preserve">Parkir</x:t>
  </x:si>
  <x:si>
    <x:t xml:space="preserve">PSU-00012</x:t>
  </x:si>
  <x:si>
    <x:t xml:space="preserve">Jaringan Air Bersih</x:t>
  </x:si>
  <x:si>
    <x:t xml:space="preserve">PSU-00013</x:t>
  </x:si>
  <x:si>
    <x:t xml:space="preserve">Jaringan Listrik</x:t>
  </x:si>
  <x:si>
    <x:t xml:space="preserve">Jaringan Telepon</x:t>
  </x:si>
  <x:si>
    <x:t xml:space="preserve">Jaringan Gas</x:t>
  </x:si>
  <x:si>
    <x:t xml:space="preserve">Jaringan Transportasi</x:t>
  </x:si>
  <x:si>
    <x:t xml:space="preserve">Pemadam Kebakaran</x:t>
  </x:si>
  <x:si>
    <x:t xml:space="preserve">TEMPLATE RESMI DATABASE SIRUMAH — DOKUMEN PENDUKUNG / DATA EVIDENCE</x:t>
  </x:si>
  <x:si>
    <x:t xml:space="preserve">Satu baris mewakili satu dokumen atau bukti pendukung yang dikaitkan dengan satu objek SIRUMAH melalui JENIS_OBJEK dan ID_OBJEK. File fisik tetap disimpan pada Google Drive/OneDrive/penyimpanan resmi; sheet ini hanya menyimpan metadata dan URL.</x:t>
  </x:si>
  <x:si>
    <x:t xml:space="preserve">ID_DOKUMEN*</x:t>
  </x:si>
  <x:si>
    <x:t xml:space="preserve">JENIS_OBJEK*</x:t>
  </x:si>
  <x:si>
    <x:t xml:space="preserve">ID_OBJEK*</x:t>
  </x:si>
  <x:si>
    <x:t xml:space="preserve">JENIS_DOKUMEN*</x:t>
  </x:si>
  <x:si>
    <x:t xml:space="preserve">JUDUL_DOKUMEN*</x:t>
  </x:si>
  <x:si>
    <x:t xml:space="preserve">NOMOR_DOKUMEN</x:t>
  </x:si>
  <x:si>
    <x:t xml:space="preserve">TANGGAL_DOKUMEN</x:t>
  </x:si>
  <x:si>
    <x:t xml:space="preserve">URL_DOKUMEN*</x:t>
  </x:si>
  <x:si>
    <x:t xml:space="preserve">AKSES*</x:t>
  </x:si>
  <x:si>
    <x:t xml:space="preserve">SUMBER_DATA</x:t>
  </x:si>
  <x:si>
    <x:t xml:space="preserve">TEMPLATE RESMI DATABASE SIRUMAH — STATUS KEPEMILIKAN TEMPAT TINGGAL DAN BACKLOG</x:t>
  </x:si>
  <x:si>
    <x:t xml:space="preserve">Data per kecamatan dan total Kota Pangkal Pinang. Unit Hunian Terdata adalah jumlah rumah tangga menurut status tempat tinggal, bukan seluruh bangunan rumah yang ada.</x:t>
  </x:si>
  <x:si>
    <x:t xml:space="preserve">RUMUS: Unit Hunian Terdata = seluruh status tempat tinggal; Backlog Kepemilikan = selain Milik Sendiri; Backlog Penghunian = Jumlah KK − (Milik Sendiri + Sewa/Kontrak + Rumah Dinas).</x:t>
  </x:si>
  <x:si>
    <x:t xml:space="preserve">ID_BACKLOG*</x:t>
  </x:si>
  <x:si>
    <x:t xml:space="preserve">TINGKAT_WILAYAH*</x:t>
  </x:si>
  <x:si>
    <x:t xml:space="preserve">KECAMATAN/WILAYAH*</x:t>
  </x:si>
  <x:si>
    <x:t xml:space="preserve">JUMLAH_KK*</x:t>
  </x:si>
  <x:si>
    <x:t xml:space="preserve">MILIK_SENDIRI*</x:t>
  </x:si>
  <x:si>
    <x:t xml:space="preserve">SEWA_KONTRAK*</x:t>
  </x:si>
  <x:si>
    <x:t xml:space="preserve">MENUMPANG_BEBAS_SEWA*</x:t>
  </x:si>
  <x:si>
    <x:t xml:space="preserve">RUMAH_DINAS*</x:t>
  </x:si>
  <x:si>
    <x:t xml:space="preserve">LAINNYA*</x:t>
  </x:si>
  <x:si>
    <x:t xml:space="preserve">UNIT_HUNIAN_TERDATA</x:t>
  </x:si>
  <x:si>
    <x:t xml:space="preserve">BACKLOG_KEPEMILIKAN</x:t>
  </x:si>
  <x:si>
    <x:t xml:space="preserve">BACKLOG_HUNIAN</x:t>
  </x:si>
  <x:si>
    <x:t xml:space="preserve">BLG-001</x:t>
  </x:si>
  <x:si>
    <x:t xml:space="preserve">Kecamatan</x:t>
  </x:si>
  <x:si>
    <x:t xml:space="preserve">BKKBN — diolah Dinas Perkim Kota Pangkal Pinang</x:t>
  </x:si>
  <x:si>
    <x:t xml:space="preserve">BLG-002</x:t>
  </x:si>
  <x:si>
    <x:t xml:space="preserve">Taman Sari</x:t>
  </x:si>
  <x:si>
    <x:t xml:space="preserve">BLG-003</x:t>
  </x:si>
  <x:si>
    <x:t xml:space="preserve">BLG-004</x:t>
  </x:si>
  <x:si>
    <x:t xml:space="preserve">BLG-005</x:t>
  </x:si>
  <x:si>
    <x:t xml:space="preserve">BLG-006</x:t>
  </x:si>
  <x:si>
    <x:t xml:space="preserve">BLG-007</x:t>
  </x:si>
  <x:si>
    <x:t xml:space="preserve">BLG-KOTA</x:t>
  </x:si>
  <x:si>
    <x:t xml:space="preserve">Kota</x:t>
  </x:si>
  <x:si>
    <x:t xml:space="preserve">Kota Pangkal Pinang</x:t>
  </x:si>
  <x:si>
    <x:t xml:space="preserve">Total Kota Pangkal Pinang</x:t>
  </x:si>
  <x:si>
    <x:t xml:space="preserve">TEMPLATE RESMI DATABASE SIRUMAH — RTLH &amp; RLH PER KECAMATAN</x:t>
  </x:si>
  <x:si>
    <x:t xml:space="preserve">Kolom RLH dan Persentase RTLH dihitung otomatis. Pastikan Jumlah Rumah dan RTLH telah diverifikasi.</x:t>
  </x:si>
  <x:si>
    <x:t xml:space="preserve">PETUNJUK: Jangan mengubah nama header. Kolom bertanda * wajib diisi. Isi data mulai baris 6. Kolom berwarna biru muda dihitung otomatis oleh Excel.</x:t>
  </x:si>
  <x:si>
    <x:t xml:space="preserve">ID_REKAP*</x:t>
  </x:si>
  <x:si>
    <x:t xml:space="preserve">JUMLAH_RUMAH*</x:t>
  </x:si>
  <x:si>
    <x:t xml:space="preserve">RTLH*</x:t>
  </x:si>
  <x:si>
    <x:t xml:space="preserve">RLH</x:t>
  </x:si>
  <x:si>
    <x:t xml:space="preserve">PERSENTASE_RTLH</x:t>
  </x:si>
  <x:si>
    <x:t xml:space="preserve">1</x:t>
  </x:si>
  <x:si>
    <x:t xml:space="preserve">BKKBN</x:t>
  </x:si>
  <x:si>
    <x:t xml:space="preserve">2</x:t>
  </x:si>
  <x:si>
    <x:t xml:space="preserve">3</x:t>
  </x:si>
  <x:si>
    <x:t xml:space="preserve">4</x:t>
  </x:si>
  <x:si>
    <x:t xml:space="preserve">5</x:t>
  </x:si>
  <x:si>
    <x:t xml:space="preserve">6</x:t>
  </x:si>
  <x:si>
    <x:t xml:space="preserve">7</x:t>
  </x:si>
  <x:si>
    <x:t xml:space="preserve">TEMPLATE RESMI DATABASE SIRUMAH — DATA INDIVIDU RTLH</x:t>
  </x:si>
  <x:si>
    <x:t xml:space="preserve">KECAMATAN</x:t>
  </x:si>
  <x:si>
    <x:t xml:space="preserve">JENIS_USULAN</x:t>
  </x:si>
  <x:si>
    <x:t xml:space="preserve">TIPE_KONSTRUKSI</x:t>
  </x:si>
  <x:si>
    <x:t xml:space="preserve">MATERIAL_ATAP</x:t>
  </x:si>
  <x:si>
    <x:t xml:space="preserve">KONDISI_ATAP</x:t>
  </x:si>
  <x:si>
    <x:t xml:space="preserve">MATERIAL_DINDING</x:t>
  </x:si>
  <x:si>
    <x:t xml:space="preserve">KONDISI_DINDING</x:t>
  </x:si>
  <x:si>
    <x:t xml:space="preserve">MATERIAL_LANTAI</x:t>
  </x:si>
  <x:si>
    <x:t xml:space="preserve">KONDISI_LANTAI</x:t>
  </x:si>
  <x:si>
    <x:t xml:space="preserve">STATUS_MBR</x:t>
  </x:si>
  <x:si>
    <x:t xml:space="preserve">CHECKLIST_YA_TIDAK</x:t>
  </x:si>
  <x:si>
    <x:t xml:space="preserve">TINGKAT_RISIKO_LAINNYA</x:t>
  </x:si>
  <x:si>
    <x:t xml:space="preserve">STATUS_ADMINISTRASI</x:t>
  </x:si>
  <x:si>
    <x:t xml:space="preserve">STATUS_VERIFIKASI</x:t>
  </x:si>
  <x:si>
    <x:t xml:space="preserve">STATUS_PENANGANAN</x:t>
  </x:si>
  <x:si>
    <x:t xml:space="preserve">SUMBER_DANA</x:t>
  </x:si>
  <x:si>
    <x:t xml:space="preserve">STATUS_KEPEMILIKAN_TANAH</x:t>
  </x:si>
  <x:si>
    <x:t xml:space="preserve">DATA INTERNAL. Berisi usulan Musrenbang dan Pokir DPRD. Lindungi NIK, No. KK, alamat lengkap, dan nomor telepon; dashboard publik hanya menampilkan data agregat.</x:t>
  </x:si>
  <x:si>
    <x:t xml:space="preserve">Pembangunan Baru</x:t>
  </x:si>
  <x:si>
    <x:t xml:space="preserve">Permanen</x:t>
  </x:si>
  <x:si>
    <x:t xml:space="preserve">Genteng</x:t>
  </x:si>
  <x:si>
    <x:t xml:space="preserve">Baik</x:t>
  </x:si>
  <x:si>
    <x:t xml:space="preserve">Bata/Batako Diplester</x:t>
  </x:si>
  <x:si>
    <x:t xml:space="preserve">Keramik</x:t>
  </x:si>
  <x:si>
    <x:t xml:space="preserve">Terverifikasi DTKS/P3KE/MBR</x:t>
  </x:si>
  <x:si>
    <x:t xml:space="preserve">Ya</x:t>
  </x:si>
  <x:si>
    <x:t xml:space="preserve">Risiko Sedang</x:t>
  </x:si>
  <x:si>
    <x:t xml:space="preserve">Lengkap</x:t>
  </x:si>
  <x:si>
    <x:t xml:space="preserve">Belum Diverifikasi</x:t>
  </x:si>
  <x:si>
    <x:t xml:space="preserve">Belum Ditangani</x:t>
  </x:si>
  <x:si>
    <x:t xml:space="preserve">Belum Ada</x:t>
  </x:si>
  <x:si>
    <x:t xml:space="preserve">Milik Sendiri</x:t>
  </x:si>
  <x:si>
    <x:t xml:space="preserve">Usulan Musrenbang/Pokir DPRD</x:t>
  </x:si>
  <x:si>
    <x:t xml:space="preserve">PETUNJUK: Kolom faktor rentan dan risiko berfungsi seperti checklist. Pilih Ya, Tidak, atau Belum Dinilai. Ringkasan faktor dan poin dihitung otomatis.</x:t>
  </x:si>
  <x:si>
    <x:t xml:space="preserve">Peningkatan Kualitas</x:t>
  </x:si>
  <x:si>
    <x:t xml:space="preserve">Semipermanen</x:t>
  </x:si>
  <x:si>
    <x:t xml:space="preserve">Seng</x:t>
  </x:si>
  <x:si>
    <x:t xml:space="preserve">Rusak Ringan</x:t>
  </x:si>
  <x:si>
    <x:t xml:space="preserve">Bata/Batako Belum Diplester</x:t>
  </x:si>
  <x:si>
    <x:t xml:space="preserve">Tegel/Ubin</x:t>
  </x:si>
  <x:si>
    <x:t xml:space="preserve">Diusulkan, Belum Terverifikasi</x:t>
  </x:si>
  <x:si>
    <x:t xml:space="preserve">Tidak</x:t>
  </x:si>
  <x:si>
    <x:t xml:space="preserve">Risiko Tinggi/Darurat</x:t>
  </x:si>
  <x:si>
    <x:t xml:space="preserve">Belum Lengkap</x:t>
  </x:si>
  <x:si>
    <x:t xml:space="preserve">Sudah Diverifikasi</x:t>
  </x:si>
  <x:si>
    <x:t xml:space="preserve">Masuk Prioritas</x:t>
  </x:si>
  <x:si>
    <x:t xml:space="preserve">APBD Kota</x:t>
  </x:si>
  <x:si>
    <x:t xml:space="preserve">Kepemilikan Keluarga</x:t>
  </x:si>
  <x:si>
    <x:t xml:space="preserve">Musrenbang</x:t>
  </x:si>
  <x:si>
    <x:t xml:space="preserve">Belum Prioritas</x:t>
  </x:si>
  <x:si>
    <x:t xml:space="preserve">Nonpermanen</x:t>
  </x:si>
  <x:si>
    <x:t xml:space="preserve">Asbes/Fiber Semen</x:t>
  </x:si>
  <x:si>
    <x:t xml:space="preserve">Rusak Sedang</x:t>
  </x:si>
  <x:si>
    <x:t xml:space="preserve">Beton</x:t>
  </x:si>
  <x:si>
    <x:t xml:space="preserve">Semen/Plester</x:t>
  </x:si>
  <x:si>
    <x:t xml:space="preserve">Tidak Terdata</x:t>
  </x:si>
  <x:si>
    <x:t xml:space="preserve">Belum Dinilai</x:t>
  </x:si>
  <x:si>
    <x:t xml:space="preserve">Dalam Pelaksanaan</x:t>
  </x:si>
  <x:si>
    <x:t xml:space="preserve">APBD Provinsi</x:t>
  </x:si>
  <x:si>
    <x:t xml:space="preserve">Sewa/Kontrak</x:t>
  </x:si>
  <x:si>
    <x:t xml:space="preserve">Pokir DPRD</x:t>
  </x:si>
  <x:si>
    <x:t xml:space="preserve">ID_RTLH*</x:t>
  </x:si>
  <x:si>
    <x:t xml:space="preserve">NAMA_KEPALA_KELUARGA*</x:t>
  </x:si>
  <x:si>
    <x:t xml:space="preserve">NIK</x:t>
  </x:si>
  <x:si>
    <x:t xml:space="preserve">NO_KK</x:t>
  </x:si>
  <x:si>
    <x:t xml:space="preserve">ALAMAT*</x:t>
  </x:si>
  <x:si>
    <x:t xml:space="preserve">JENIS_USULAN*</x:t>
  </x:si>
  <x:si>
    <x:t xml:space="preserve">CATATAN_VERIFIKASI*</x:t>
  </x:si>
  <x:si>
    <x:t xml:space="preserve">TIPE_KONSTRUKSI_RUMAH*</x:t>
  </x:si>
  <x:si>
    <x:t xml:space="preserve">STATUS_MBR*</x:t>
  </x:si>
  <x:si>
    <x:t xml:space="preserve">RENTAN_LANSIA*</x:t>
  </x:si>
  <x:si>
    <x:t xml:space="preserve">RENTAN_DISABILITAS*</x:t>
  </x:si>
  <x:si>
    <x:t xml:space="preserve">RENTAN_KEPALA_KELUARGA_PEREMPUAN*</x:t>
  </x:si>
  <x:si>
    <x:t xml:space="preserve">RENTAN_BALITA*</x:t>
  </x:si>
  <x:si>
    <x:t xml:space="preserve">RENTAN_KETERGANTUNGAN_TINGGI*</x:t>
  </x:si>
  <x:si>
    <x:t xml:space="preserve">CATATAN_KERENTANAN_PENGHUNI</x:t>
  </x:si>
  <x:si>
    <x:t xml:space="preserve">FAKTOR_KERENTANAN_TERPILIH</x:t>
  </x:si>
  <x:si>
    <x:t xml:space="preserve">TINGKAT_KERENTANAN_PENGHUNI</x:t>
  </x:si>
  <x:si>
    <x:t xml:space="preserve">SKOR_MBR</x:t>
  </x:si>
  <x:si>
    <x:t xml:space="preserve">SKOR_FAKTOR_RENTAN</x:t>
  </x:si>
  <x:si>
    <x:t xml:space="preserve">SKOR_KERENTANAN</x:t>
  </x:si>
  <x:si>
    <x:t xml:space="preserve">RISIKO_BANGUNAN_BERPOTENSI_ROBOH*</x:t>
  </x:si>
  <x:si>
    <x:t xml:space="preserve">RISIKO_BEKAS_KEBAKARAN_TIDAK_AMAN*</x:t>
  </x:si>
  <x:si>
    <x:t xml:space="preserve">RISIKO_ATAP_DINDING_HAMPIR_RUNTUH*</x:t>
  </x:si>
  <x:si>
    <x:t xml:space="preserve">RISIKO_GENANGAN_MEMBAHAYAKAN*</x:t>
  </x:si>
  <x:si>
    <x:t xml:space="preserve">RISIKO_STRUKTUR_TIDAK_STABIL*</x:t>
  </x:si>
  <x:si>
    <x:t xml:space="preserve">RISIKO_INSTALASI_LISTRIK_BERBAHAYA*</x:t>
  </x:si>
  <x:si>
    <x:t xml:space="preserve">RISIKO_KOMPONEN_LEPAS_LAPUK*</x:t>
  </x:si>
  <x:si>
    <x:t xml:space="preserve">RISIKO_AKSES_EVAKUASI_TERBATAS*</x:t>
  </x:si>
  <x:si>
    <x:t xml:space="preserve">RISIKO_LOKASI_RAWAN_BENCANA*</x:t>
  </x:si>
  <x:si>
    <x:t xml:space="preserve">RISIKO_LAINNYA</x:t>
  </x:si>
  <x:si>
    <x:t xml:space="preserve">FAKTOR_RISIKO_TERPILIH</x:t>
  </x:si>
  <x:si>
    <x:t xml:space="preserve">TINGKAT_RISIKO_KESELAMATAN</x:t>
  </x:si>
  <x:si>
    <x:t xml:space="preserve">CATATAN_RISIKO_KESELAMATAN</x:t>
  </x:si>
  <x:si>
    <x:t xml:space="preserve">SKOR_TEKNIS</x:t>
  </x:si>
  <x:si>
    <x:t xml:space="preserve">SKOR_RISIKO</x:t>
  </x:si>
  <x:si>
    <x:t xml:space="preserve">SKOR_PRIORITAS</x:t>
  </x:si>
  <x:si>
    <x:t xml:space="preserve">TINGKAT_PRIORITAS</x:t>
  </x:si>
  <x:si>
    <x:t xml:space="preserve">STATUS_ADMINISTRASI*</x:t>
  </x:si>
  <x:si>
    <x:t xml:space="preserve">STATUS_PENANGANAN*</x:t>
  </x:si>
  <x:si>
    <x:t xml:space="preserve">TAHUN_PENANGANAN</x:t>
  </x:si>
  <x:si>
    <x:t xml:space="preserve">NOMOR_HP</x:t>
  </x:si>
  <x:si>
    <x:t xml:space="preserve">TANGGAL_SURVEI</x:t>
  </x:si>
  <x:si>
    <x:t xml:space="preserve">Belum Ditentukan</x:t>
  </x:si>
  <x:si>
    <x:t xml:space="preserve">Belum Dapat Ditentukan</x:t>
  </x:si>
  <x:si>
    <x:t xml:space="preserve">Spandek</x:t>
  </x:si>
  <x:si>
    <x:t xml:space="preserve">Rusak Berat</x:t>
  </x:si>
  <x:si>
    <x:t xml:space="preserve">Dinding Permanen (Material tidak dirinci)</x:t>
  </x:si>
  <x:si>
    <x:t xml:space="preserve">Papan/Kayu</x:t>
  </x:si>
  <x:si>
    <x:t xml:space="preserve">Selesai</x:t>
  </x:si>
  <x:si>
    <x:t xml:space="preserve">BSPS</x:t>
  </x:si>
  <x:si>
    <x:t xml:space="preserve">Menumpang</x:t>
  </x:si>
  <x:si>
    <x:t xml:space="preserve">Pendataan Dinas</x:t>
  </x:si>
  <x:si>
    <x:t xml:space="preserve">RTLH-0001</x:t>
  </x:si>
  <x:si>
    <x:t xml:space="preserve">WAHYU KURNIADI</x:t>
  </x:si>
  <x:si>
    <x:t xml:space="preserve">JL. BATU RUBI XI RT.003 RW.001</x:t>
  </x:si>
  <x:si>
    <x:t xml:space="preserve">BUKIT BESAR</x:t>
  </x:si>
  <x:si>
    <x:t xml:space="preserve">GIRIMAYA</x:t>
  </x:si>
  <x:si>
    <x:t xml:space="preserve">RUMAH BAGIAN UTAMA FULL PAPAN, BAGIAN DAPUR BARU DI RENOVASI (PERMANEN), ATAP ASBES,</x:t>
  </x:si>
  <x:si>
    <x:t xml:space="preserve">Campuran Permanen dan Papan</x:t>
  </x:si>
  <x:si>
    <x:t xml:space="preserve">Dinas Perkim Kota Pangkal Pinang</x:t>
  </x:si>
  <x:si>
    <x:t xml:space="preserve">Beton/Dak</x:t>
  </x:si>
  <x:si>
    <x:t xml:space="preserve">Tidak Ada/Terbuka</x:t>
  </x:si>
  <x:si>
    <x:t xml:space="preserve">Tanah</x:t>
  </x:si>
  <x:si>
    <x:t xml:space="preserve">Tidak Layak</x:t>
  </x:si>
  <x:si>
    <x:t xml:space="preserve">CSR</x:t>
  </x:si>
  <x:si>
    <x:t xml:space="preserve">Lainnya</x:t>
  </x:si>
  <x:si>
    <x:t xml:space="preserve">RTLH-0002</x:t>
  </x:si>
  <x:si>
    <x:t xml:space="preserve">SUSANTO</x:t>
  </x:si>
  <x:si>
    <x:t xml:space="preserve">JL. AIR MAWAR DALAM RT.003 RW.002</x:t>
  </x:si>
  <x:si>
    <x:t xml:space="preserve">AIR MAWAR</x:t>
  </x:si>
  <x:si>
    <x:t xml:space="preserve">BUKIT INTAN</x:t>
  </x:si>
  <x:si>
    <x:t xml:space="preserve">RUMAH FULL PAPAN</x:t>
  </x:si>
  <x:si>
    <x:t xml:space="preserve">Sirap</x:t>
  </x:si>
  <x:si>
    <x:t xml:space="preserve">Bambu</x:t>
  </x:si>
  <x:si>
    <x:t xml:space="preserve">Campuran</x:t>
  </x:si>
  <x:si>
    <x:t xml:space="preserve">BAZNAS</x:t>
  </x:si>
  <x:si>
    <x:t xml:space="preserve">RTLH-0003</x:t>
  </x:si>
  <x:si>
    <x:t xml:space="preserve">MOIFA</x:t>
  </x:si>
  <x:si>
    <x:t xml:space="preserve">JL. ARUS DALAM RT.003 RW.002</x:t>
  </x:si>
  <x:si>
    <x:t xml:space="preserve">RUMAH FULL PAPAN,DINDING PAPAN RUSAK SEDANG,ATAP SENG,</x:t>
  </x:si>
  <x:si>
    <x:t xml:space="preserve">Belum Diidentifikasi</x:t>
  </x:si>
  <x:si>
    <x:t xml:space="preserve">Selesai Ditangani</x:t>
  </x:si>
  <x:si>
    <x:t xml:space="preserve">Belum tersedia</x:t>
  </x:si>
  <x:si>
    <x:t xml:space="preserve">RTLH-0004</x:t>
  </x:si>
  <x:si>
    <x:t xml:space="preserve">ERLY TAHAR</x:t>
  </x:si>
  <x:si>
    <x:t xml:space="preserve">JL RATNA RAYA RT.002 RW.001</x:t>
  </x:si>
  <x:si>
    <x:t xml:space="preserve">SEMABUNG BARU</x:t>
  </x:si>
  <x:si>
    <x:t xml:space="preserve">RUMAH SEMI PERMANEN,DINGDING PAPAN, RUSAK RINGAN,ATAP SENG</x:t>
  </x:si>
  <x:si>
    <x:t xml:space="preserve">RTLH-0005</x:t>
  </x:si>
  <x:si>
    <x:t xml:space="preserve">SULAEHA SUNDARI</x:t>
  </x:si>
  <x:si>
    <x:t xml:space="preserve">JL. DEPATI HAMZAH RT.001 RW.001</x:t>
  </x:si>
  <x:si>
    <x:t xml:space="preserve">GAJAH MADA</x:t>
  </x:si>
  <x:si>
    <x:t xml:space="preserve">RANGKUI</x:t>
  </x:si>
  <x:si>
    <x:t xml:space="preserve">RUMAH PERMANEN,KENDALA ( BANJIR SAAT HUJAN) BANGUNAN RUMAH DI ATAS SALURAN AIR (BANDAR)</x:t>
  </x:si>
  <x:si>
    <x:t xml:space="preserve">RTLH-0006</x:t>
  </x:si>
  <x:si>
    <x:t xml:space="preserve">MUTROFIN</x:t>
  </x:si>
  <x:si>
    <x:t xml:space="preserve">JL. MUSTIKA 4 RT.008 RW.002</x:t>
  </x:si>
  <x:si>
    <x:t xml:space="preserve">SEMABUNG LAMA</x:t>
  </x:si>
  <x:si>
    <x:t xml:space="preserve">RTLH-0007</x:t>
  </x:si>
  <x:si>
    <x:t xml:space="preserve">LAIJ TJHUN MOIJ</x:t>
  </x:si>
  <x:si>
    <x:t xml:space="preserve">JL. NIPAH III RT.006 RW.002</x:t>
  </x:si>
  <x:si>
    <x:t xml:space="preserve">PASIR PUTIH</x:t>
  </x:si>
  <x:si>
    <x:t xml:space="preserve">RUMAH RUSAK PARAH, RUMAH DAERAH RAWA-RAWA,</x:t>
  </x:si>
  <x:si>
    <x:t xml:space="preserve">RTLH-0008</x:t>
  </x:si>
  <x:si>
    <x:t xml:space="preserve">FIKA RAMADHANI</x:t>
  </x:si>
  <x:si>
    <x:t xml:space="preserve">JL. NILA DAAM NO.74</x:t>
  </x:si>
  <x:si>
    <x:t xml:space="preserve">REJOSARI</x:t>
  </x:si>
  <x:si>
    <x:t xml:space="preserve">PANGKAL BALAM</x:t>
  </x:si>
  <x:si>
    <x:t xml:space="preserve">RUMAH RUSAK SEDANG ,BAGIAN DINDING DAN ATAP RUSAK BERAT SEBAGIAN</x:t>
  </x:si>
  <x:si>
    <x:t xml:space="preserve">RTLH-0009</x:t>
  </x:si>
  <x:si>
    <x:t xml:space="preserve">MARIYATI</x:t>
  </x:si>
  <x:si>
    <x:t xml:space="preserve">GG. LOHAN II NO.47</x:t>
  </x:si>
  <x:si>
    <x:t xml:space="preserve">GABEK I</x:t>
  </x:si>
  <x:si>
    <x:t xml:space="preserve">GABEK</x:t>
  </x:si>
  <x:si>
    <x:t xml:space="preserve">RUMAH KONDISI MASIH BAGUS</x:t>
  </x:si>
  <x:si>
    <x:t xml:space="preserve">RTLH-0010</x:t>
  </x:si>
  <x:si>
    <x:t xml:space="preserve">SADUANTO</x:t>
  </x:si>
  <x:si>
    <x:t xml:space="preserve">GG YOS SUDARSO III</x:t>
  </x:si>
  <x:si>
    <x:t xml:space="preserve">GABEK II</x:t>
  </x:si>
  <x:si>
    <x:t xml:space="preserve">KONDISI KESELURUHAN RUMAH RUSAK SEDANG ,CUMA ATAP RUSAK BERAT</x:t>
  </x:si>
  <x:si>
    <x:t xml:space="preserve">RTLH-0011</x:t>
  </x:si>
  <x:si>
    <x:t xml:space="preserve">JANUAR FIKRI</x:t>
  </x:si>
  <x:si>
    <x:t xml:space="preserve">JL. FATMAWATI DALAM</x:t>
  </x:si>
  <x:si>
    <x:t xml:space="preserve">JERAMBAH GANTUNG</x:t>
  </x:si>
  <x:si>
    <x:t xml:space="preserve">KESELURUHAN RUMAH RUSAK SEDANG</x:t>
  </x:si>
  <x:si>
    <x:t xml:space="preserve">RTLH-0012</x:t>
  </x:si>
  <x:si>
    <x:t xml:space="preserve">MARTOYAH</x:t>
  </x:si>
  <x:si>
    <x:t xml:space="preserve">JL. EKOR KUNING VI</x:t>
  </x:si>
  <x:si>
    <x:t xml:space="preserve">KONDISI RUMAH RUSAK PARAH TERMASUK DINDING ,ATAP</x:t>
  </x:si>
  <x:si>
    <x:t xml:space="preserve">RTLH-0013</x:t>
  </x:si>
  <x:si>
    <x:t xml:space="preserve">M.YAMIN</x:t>
  </x:si>
  <x:si>
    <x:t xml:space="preserve">JL. A YANI GG.17</x:t>
  </x:si>
  <x:si>
    <x:t xml:space="preserve">KEJAKSAAN</x:t>
  </x:si>
  <x:si>
    <x:t xml:space="preserve">TAMAN SARI</x:t>
  </x:si>
  <x:si>
    <x:t xml:space="preserve">KESELURUHAN RUMAH RUSAK PARAH , ATAP DAN DNDING BOCOR</x:t>
  </x:si>
  <x:si>
    <x:t xml:space="preserve">RTLH-0014</x:t>
  </x:si>
  <x:si>
    <x:t xml:space="preserve">KASMAH</x:t>
  </x:si>
  <x:si>
    <x:t xml:space="preserve">GG. BANDES RT.007 RW.003</x:t>
  </x:si>
  <x:si>
    <x:t xml:space="preserve">AIR ITAM</x:t>
  </x:si>
  <x:si>
    <x:t xml:space="preserve">RTLH-0015</x:t>
  </x:si>
  <x:si>
    <x:t xml:space="preserve">USMAN</x:t>
  </x:si>
  <x:si>
    <x:t xml:space="preserve">JL. MENGKUDU RT.008 RW.003</x:t>
  </x:si>
  <x:si>
    <x:t xml:space="preserve">TUATUNU</x:t>
  </x:si>
  <x:si>
    <x:t xml:space="preserve">GERUNGGANG</x:t>
  </x:si>
  <x:si>
    <x:t xml:space="preserve">SURAT TANAH ATAS NAMA SENDIRI.RUMAH FULL PAPAN.ATAP ASBES.LANTAI SEMEN.</x:t>
  </x:si>
  <x:si>
    <x:t xml:space="preserve">RTLH-0016</x:t>
  </x:si>
  <x:si>
    <x:t xml:space="preserve">ROHANA</x:t>
  </x:si>
  <x:si>
    <x:t xml:space="preserve">JL.KURMA RT.003 RW.001</x:t>
  </x:si>
  <x:si>
    <x:t xml:space="preserve">AIR KEPALA TUJUH</x:t>
  </x:si>
  <x:si>
    <x:t xml:space="preserve">SURAT TANAH Lengkap. RUMAH FULL PAPAN. ATAP ASBES.</x:t>
  </x:si>
  <x:si>
    <x:t xml:space="preserve">RTLH-0017</x:t>
  </x:si>
  <x:si>
    <x:t xml:space="preserve">BONG A THIN</x:t>
  </x:si>
  <x:si>
    <x:t xml:space="preserve">JL. TELUK BAYUR RT.009 RW.003</x:t>
  </x:si>
  <x:si>
    <x:t xml:space="preserve">RUMAH FULL PAPAN,ATAP GENTENG,SEBAGIAN ASBES, DINDING RUSAK RINGAN, KEADAAN DAPUR RUSAK PARAH, LANTAI FULL FLOOR,</x:t>
  </x:si>
  <x:si>
    <x:t xml:space="preserve">RTLH-0018</x:t>
  </x:si>
  <x:si>
    <x:t xml:space="preserve">NASIR</x:t>
  </x:si>
  <x:si>
    <x:t xml:space="preserve">JL. PADANG LAMA RT.009 RW.003</x:t>
  </x:si>
  <x:si>
    <x:t xml:space="preserve">RUMAH FULL PAPAN, ATAP SENG ,DINDING PAPAN RUSAK SEDANG, LANTAI FLOOR</x:t>
  </x:si>
  <x:si>
    <x:t xml:space="preserve">RTLH-0019</x:t>
  </x:si>
  <x:si>
    <x:t xml:space="preserve">JONI</x:t>
  </x:si>
  <x:si>
    <x:t xml:space="preserve">GG. MERAH DELIMA RT.004 RW.002</x:t>
  </x:si>
  <x:si>
    <x:t xml:space="preserve">TEMBERAN</x:t>
  </x:si>
  <x:si>
    <x:t xml:space="preserve">RUMAH SEMI PERMANEN, SEBAGIAN DINDING PAPAN, ATAP SENG, BAGIAN DAPUR PERMANEN</x:t>
  </x:si>
  <x:si>
    <x:t xml:space="preserve">RTLH-0020</x:t>
  </x:si>
  <x:si>
    <x:t xml:space="preserve">WIDYA</x:t>
  </x:si>
  <x:si>
    <x:t xml:space="preserve">GG. INTAN III RT.006</x:t>
  </x:si>
  <x:si>
    <x:t xml:space="preserve">BATU INTAN</x:t>
  </x:si>
  <x:si>
    <x:t xml:space="preserve">RUMAH PERMANEN, MINTA REHAB ATAP BAGIAN DAPUR</x:t>
  </x:si>
  <x:si>
    <x:t xml:space="preserve">RTLH-0021</x:t>
  </x:si>
  <x:si>
    <x:t xml:space="preserve">MUNG SULLAH / ATET</x:t>
  </x:si>
  <x:si>
    <x:t xml:space="preserve">GG. NILAM VI RT.004 RW.001</x:t>
  </x:si>
  <x:si>
    <x:t xml:space="preserve">BACANG</x:t>
  </x:si>
  <x:si>
    <x:t xml:space="preserve">RUMAH SEBAGIAN BETON</x:t>
  </x:si>
  <x:si>
    <x:t xml:space="preserve">RTLH-0022</x:t>
  </x:si>
  <x:si>
    <x:t xml:space="preserve">YUHANA HANSI</x:t>
  </x:si>
  <x:si>
    <x:t xml:space="preserve">JL. AKASIA DALAM RT.009 RW.003</x:t>
  </x:si>
  <x:si>
    <x:t xml:space="preserve">BUKIT MERAPIN</x:t>
  </x:si>
  <x:si>
    <x:t xml:space="preserve">RUMAH FULL PAPAN, ATAP SENG ,DINDING PAPAN RUSAK SEDANG,LANTAI PLASTERAN. RUMAH BOCOR RINGAN.</x:t>
  </x:si>
  <x:si>
    <x:t xml:space="preserve">RTLH-0023</x:t>
  </x:si>
  <x:si>
    <x:t xml:space="preserve">RUSTAM EFENDI</x:t>
  </x:si>
  <x:si>
    <x:t xml:space="preserve">JL. SUMEDANG GG.PIPIT RT.006 RW.002</x:t>
  </x:si>
  <x:si>
    <x:t xml:space="preserve">KACANG PEDANG</x:t>
  </x:si>
  <x:si>
    <x:t xml:space="preserve">RUMAH PERMANEN, DAPUR RUSAK RINGAN. ATAP RUSAK RINGAN</x:t>
  </x:si>
  <x:si>
    <x:t xml:space="preserve">RTLH-0024</x:t>
  </x:si>
  <x:si>
    <x:t xml:space="preserve">LIM JIT SEN</x:t>
  </x:si>
  <x:si>
    <x:t xml:space="preserve">JL. MATRI URIP DALAM 1 NO.06 RT.001 RW.001</x:t>
  </x:si>
  <x:si>
    <x:t xml:space="preserve">TAMAN BUNGA</x:t>
  </x:si>
  <x:si>
    <x:t xml:space="preserve">RTLH-0025</x:t>
  </x:si>
  <x:si>
    <x:t xml:space="preserve">RASIDI</x:t>
  </x:si>
  <x:si>
    <x:t xml:space="preserve">JL. DELIMA DALAM RT.004</x:t>
  </x:si>
  <x:si>
    <x:t xml:space="preserve">RUMAH SEMI PERMANEN,DINGDING PAPAN, RUSAK RINGAN,ATAP ASBES. LANTAI PLASTERAN.</x:t>
  </x:si>
  <x:si>
    <x:t xml:space="preserve">RTLH-0026</x:t>
  </x:si>
  <x:si>
    <x:t xml:space="preserve">BAHARUDIN</x:t>
  </x:si>
  <x:si>
    <x:t xml:space="preserve">JL. NYATOH RT.006 RW.002</x:t>
  </x:si>
  <x:si>
    <x:t xml:space="preserve">BUKIT SARI</x:t>
  </x:si>
  <x:si>
    <x:t xml:space="preserve">RUMAH PERMANEN</x:t>
  </x:si>
  <x:si>
    <x:t xml:space="preserve">RTLH-0027</x:t>
  </x:si>
  <x:si>
    <x:t xml:space="preserve">MARSIDA</x:t>
  </x:si>
  <x:si>
    <x:t xml:space="preserve">JL. H JUMAT YAHYA DALAM RT.006 RW.002</x:t>
  </x:si>
  <x:si>
    <x:t xml:space="preserve">RTLH-0028</x:t>
  </x:si>
  <x:si>
    <x:t xml:space="preserve">NURSINAH</x:t>
  </x:si>
  <x:si>
    <x:t xml:space="preserve">JL KAMPUNG MELAYU RT.008 RW.003</x:t>
  </x:si>
  <x:si>
    <x:t xml:space="preserve">RTLH-0029</x:t>
  </x:si>
  <x:si>
    <x:t xml:space="preserve">LIM MUK SUAN</x:t>
  </x:si>
  <x:si>
    <x:t xml:space="preserve">RTLH-0030</x:t>
  </x:si>
  <x:si>
    <x:t xml:space="preserve">SOLMI</x:t>
  </x:si>
  <x:si>
    <x:t xml:space="preserve">1971044407600003</x:t>
  </x:si>
  <x:si>
    <x:t xml:space="preserve">1971040411080011</x:t>
  </x:si>
  <x:si>
    <x:t xml:space="preserve">GG. SEMPAYO 1 RT.003 RW.001</x:t>
  </x:si>
  <x:si>
    <x:t xml:space="preserve">ASAM</x:t>
  </x:si>
  <x:si>
    <x:t xml:space="preserve">RTLH-0031</x:t>
  </x:si>
  <x:si>
    <x:t xml:space="preserve">SENAH</x:t>
  </x:si>
  <x:si>
    <x:t xml:space="preserve">JL. BATIN ISO RT.005 RW.002</x:t>
  </x:si>
  <x:si>
    <x:t xml:space="preserve">PINTU AIR</x:t>
  </x:si>
  <x:si>
    <x:t xml:space="preserve">RUMAH FULL PAPAN RUSAK BERAT, ATAP SENG RUSAK RINGAN, LANTAI PAPAN RUSAK BERAT ( MINTA REHAB KESELURUHAN)</x:t>
  </x:si>
  <x:si>
    <x:t xml:space="preserve">RTLH-0032</x:t>
  </x:si>
  <x:si>
    <x:t xml:space="preserve">MUSLIM</x:t>
  </x:si>
  <x:si>
    <x:t xml:space="preserve">RUMAH FULL PAPAN, ATAP ASBES, DINDING PAPAN RUSAK RINGAN, LANTAI FLOOR</x:t>
  </x:si>
  <x:si>
    <x:t xml:space="preserve">RTLH-0033</x:t>
  </x:si>
  <x:si>
    <x:t xml:space="preserve">UJANG ANDI WIJAYA</x:t>
  </x:si>
  <x:si>
    <x:t xml:space="preserve">JL. MARICA RT.008 RW.003</x:t>
  </x:si>
  <x:si>
    <x:t xml:space="preserve">RUMAH BAGI DUA DENGAN SAUDARA ( SATU ATAP), DINDING PAPAN,LANTAI FLOOR, ATAP SENG RUSAK RINGAN ( SAUDARA DARI RESKY RANGKUTI)</x:t>
  </x:si>
  <x:si>
    <x:t xml:space="preserve">RTLH-0034</x:t>
  </x:si>
  <x:si>
    <x:t xml:space="preserve">RESKY RANGKUTI</x:t>
  </x:si>
  <x:si>
    <x:t xml:space="preserve">RTLH-0035</x:t>
  </x:si>
  <x:si>
    <x:t xml:space="preserve">BUIKA M.AA</x:t>
  </x:si>
  <x:si>
    <x:t xml:space="preserve">JL. ABDURRACHMAN NO.58 RT.003 RW.001</x:t>
  </x:si>
  <x:si>
    <x:t xml:space="preserve">RUMAH,SEMI PERMANEN, LANTAI KERAMIK, ATAP SENG RUSAK SEDANG, DINDING RUSAK RINGAN</x:t>
  </x:si>
  <x:si>
    <x:t xml:space="preserve">RTLH-0036</x:t>
  </x:si>
  <x:si>
    <x:t xml:space="preserve">IRWAN RIZALI</x:t>
  </x:si>
  <x:si>
    <x:t xml:space="preserve">JL. KH MOESLIMIN MANAB NO.04 RT.006 RW.002</x:t>
  </x:si>
  <x:si>
    <x:t xml:space="preserve">RUMAH SEMI PERMANEN, ATAP GENTENG RUSAK BERAT, LANTAI FLOOR RUSAK RINGAN, DINDING PAPAN RUSAK SEDANG,</x:t>
  </x:si>
  <x:si>
    <x:t xml:space="preserve">RTLH-0037</x:t>
  </x:si>
  <x:si>
    <x:t xml:space="preserve">AGUS CIK</x:t>
  </x:si>
  <x:si>
    <x:t xml:space="preserve">GG. RUKAM IV NO.166 RT.005 RW.002</x:t>
  </x:si>
  <x:si>
    <x:t xml:space="preserve">RUMAH PERMANEN, LANTAI FLOOR, ATAP SENG, KELAYAKAN 80% MINTA REHAB BAGIAN ATAP</x:t>
  </x:si>
  <x:si>
    <x:t xml:space="preserve">RTLH-0038</x:t>
  </x:si>
  <x:si>
    <x:t xml:space="preserve">RIMA</x:t>
  </x:si>
  <x:si>
    <x:t xml:space="preserve">JL. BANGKALAN NO.25 RT.009 RW.003</x:t>
  </x:si>
  <x:si>
    <x:t xml:space="preserve">MELINTANG</x:t>
  </x:si>
  <x:si>
    <x:t xml:space="preserve">RUMAH FULL PAPAN, ATAP GENTENG,DINDING PAPAN, ATAP RUSAK SEDANG,DINDING RUSAK RINGAN,</x:t>
  </x:si>
  <x:si>
    <x:t xml:space="preserve">RTLH-0039</x:t>
  </x:si>
  <x:si>
    <x:t xml:space="preserve">SANKA</x:t>
  </x:si>
  <x:si>
    <x:t xml:space="preserve">JL. SRIWIJAYA RT.005 RW.002</x:t>
  </x:si>
  <x:si>
    <x:t xml:space="preserve">BELUM PRIORITAS</x:t>
  </x:si>
  <x:si>
    <x:t xml:space="preserve">RUMAH SEMI PERMANEN, ATAP SENG RUSAK RINGAN,DIDING PAPAN RUSAK RINGAN, LANTAI KERAMIK</x:t>
  </x:si>
  <x:si>
    <x:t xml:space="preserve">RTLH-0040</x:t>
  </x:si>
  <x:si>
    <x:t xml:space="preserve">SITANIA</x:t>
  </x:si>
  <x:si>
    <x:t xml:space="preserve">DINDING PERMANEN, LANTAI FLOOR,ATAP SENG, ( MINTA REHAB BAGIAN ATAP)</x:t>
  </x:si>
  <x:si>
    <x:t xml:space="preserve">RTLH-0041</x:t>
  </x:si>
  <x:si>
    <x:t xml:space="preserve">SRIWATI</x:t>
  </x:si>
  <x:si>
    <x:t xml:space="preserve">RTLH-0042</x:t>
  </x:si>
  <x:si>
    <x:t xml:space="preserve">BASTIAR</x:t>
  </x:si>
  <x:si>
    <x:t xml:space="preserve">PARITLALANG</x:t>
  </x:si>
  <x:si>
    <x:t xml:space="preserve">RUMAH FULL PAPAN,LANTAI FLOOR, ATAP SENG, DINDING RUSAK BERAT, LANTAI RUSAK SEDANG, ATAP RUSAK SEDANG.</x:t>
  </x:si>
  <x:si>
    <x:t xml:space="preserve">RTLH-0043</x:t>
  </x:si>
  <x:si>
    <x:t xml:space="preserve">HATIMAH</x:t>
  </x:si>
  <x:si>
    <x:t xml:space="preserve">JL. PAMEKASAN RT.002 RW.002</x:t>
  </x:si>
  <x:si>
    <x:t xml:space="preserve">RUMAH SEMI PERMANEN, BAGIAN BELAKANG PERMANEN, ATAP GENTENG,LANTAI FLOOR ( PERNAH MENDAPATKAN BANTUAN SWADAYA )</x:t>
  </x:si>
  <x:si>
    <x:t xml:space="preserve">RTLH-0044</x:t>
  </x:si>
  <x:si>
    <x:t xml:space="preserve">YULIA ANJANI</x:t>
  </x:si>
  <x:si>
    <x:t xml:space="preserve">JL. VETERAN NO.8 RT.002 RW.001</x:t>
  </x:si>
  <x:si>
    <x:t xml:space="preserve">RUMAH SEMI PERMANEN, BAGIAN DAPUR PERMANEN, BAGIAN UTAMA FULL PAPAN, ATAP ASBES, DINDING PAPAN RUSAK RINGAN, LANTAI FLOOR</x:t>
  </x:si>
  <x:si>
    <x:t xml:space="preserve">RTLH-0045</x:t>
  </x:si>
  <x:si>
    <x:t xml:space="preserve">LIONG NGIAT FUN</x:t>
  </x:si>
  <x:si>
    <x:t xml:space="preserve">JL.BATU KADERA RT.011 RW.003</x:t>
  </x:si>
  <x:si>
    <x:t xml:space="preserve">RUMAH FULL PAPAN, DINDING RUSAK BERAT,ATAP GENTENG RUSAK BERAT,LANTAI FLOOR RUSAK RINGAN</x:t>
  </x:si>
  <x:si>
    <x:t xml:space="preserve">RTLH-0046</x:t>
  </x:si>
  <x:si>
    <x:t xml:space="preserve">RIRIN</x:t>
  </x:si>
  <x:si>
    <x:t xml:space="preserve">JL. AIR MAWAR DALAM RT.002 RW.001</x:t>
  </x:si>
  <x:si>
    <x:t xml:space="preserve">RTLH-0047</x:t>
  </x:si>
  <x:si>
    <x:t xml:space="preserve">UYAN SOPIANDI</x:t>
  </x:si>
  <x:si>
    <x:t xml:space="preserve">GG. HAJI LAUT RT.006 RW.002</x:t>
  </x:si>
  <x:si>
    <x:t xml:space="preserve">RUMAH SEMI PERMANEN TANPA PONDASI, DINDING PAPAN, ATAP ASBES, LANTAI FLOOR</x:t>
  </x:si>
  <x:si>
    <x:t xml:space="preserve">RTLH-0048</x:t>
  </x:si>
  <x:si>
    <x:t xml:space="preserve">KUSLINA</x:t>
  </x:si>
  <x:si>
    <x:t xml:space="preserve">GG. H.SALEH RT.003 RW.001</x:t>
  </x:si>
  <x:si>
    <x:t xml:space="preserve">RUMAH KEBAKARAN</x:t>
  </x:si>
  <x:si>
    <x:t xml:space="preserve">RTLH-0049</x:t>
  </x:si>
  <x:si>
    <x:t xml:space="preserve">AHMAD YANTO</x:t>
  </x:si>
  <x:si>
    <x:t xml:space="preserve">JL. TANJUNG GUNUNG II RT.001 RW.001</x:t>
  </x:si>
  <x:si>
    <x:t xml:space="preserve">DINDING ASBES, LANTAI FLOOR, ATAP SENG, WC TIDAK ADA</x:t>
  </x:si>
  <x:si>
    <x:t xml:space="preserve">RTLH-0050</x:t>
  </x:si>
  <x:si>
    <x:t xml:space="preserve">ROYADI</x:t>
  </x:si>
  <x:si>
    <x:t xml:space="preserve">JL. KASIR RT.009 RW.003</x:t>
  </x:si>
  <x:si>
    <x:t xml:space="preserve">SINAR BULAN</x:t>
  </x:si>
  <x:si>
    <x:t xml:space="preserve">RUMAH PERMANEN, (MINTA REHAB BAGIAN DEPAN )</x:t>
  </x:si>
  <x:si>
    <x:t xml:space="preserve">RTLH-0051</x:t>
  </x:si>
  <x:si>
    <x:t xml:space="preserve">ASNI</x:t>
  </x:si>
  <x:si>
    <x:t xml:space="preserve">JL. SINAR BULAN RT.005 RW.003</x:t>
  </x:si>
  <x:si>
    <x:t xml:space="preserve">RUMAH SEMI PERMANEN , LANTAI FLOOR, DINDING PAPAN RUSAK RINGAN, ATAP GENTENG RUSAK SEDANG )</x:t>
  </x:si>
  <x:si>
    <x:t xml:space="preserve">RTLH-0052</x:t>
  </x:si>
  <x:si>
    <x:t xml:space="preserve">RIZKA</x:t>
  </x:si>
  <x:si>
    <x:t xml:space="preserve">RUMAH SEMI PERMANEN, LANTAI FLOOR, BAGIAN DAPUR PERMANEN LANTAI KERAMIK, DINDING PAPAN, ATAP SENG RUSAK SEDANG )\</x:t>
  </x:si>
  <x:si>
    <x:t xml:space="preserve">RTLH-0053</x:t>
  </x:si>
  <x:si>
    <x:t xml:space="preserve">NOVITA SARI</x:t>
  </x:si>
  <x:si>
    <x:t xml:space="preserve">RUMAH SEMI PERMANEN, TANPA PONDASI, DINDING PAPAN RUSAK SEDANG, ATAP ASBES</x:t>
  </x:si>
  <x:si>
    <x:t xml:space="preserve">RTLH-0054</x:t>
  </x:si>
  <x:si>
    <x:t xml:space="preserve">EKO</x:t>
  </x:si>
  <x:si>
    <x:t xml:space="preserve">GG.MAJID AL IHSAN RT/RW 003/001</x:t>
  </x:si>
  <x:si>
    <x:t xml:space="preserve">LONTONG PANCUR</x:t>
  </x:si>
  <x:si>
    <x:t xml:space="preserve">RUMAH FULL DINDING, ATAS ASBES DAN TIDAK AD KAMAR MANDI</x:t>
  </x:si>
  <x:si>
    <x:t xml:space="preserve">RTLH-0055</x:t>
  </x:si>
  <x:si>
    <x:t xml:space="preserve">YUNI RETNO WATI</x:t>
  </x:si>
  <x:si>
    <x:t xml:space="preserve">JL.KAYU PUTIH.RT/RW. 002/001</x:t>
  </x:si>
  <x:si>
    <x:t xml:space="preserve">RUMAH FULL DINDING , ATAP ASBES RUSAK BERAT (BOCOR)</x:t>
  </x:si>
  <x:si>
    <x:t xml:space="preserve">RTLH-0056</x:t>
  </x:si>
  <x:si>
    <x:t xml:space="preserve">BEENISHYA UKHRA NAJWA NURLAILA</x:t>
  </x:si>
  <x:si>
    <x:t xml:space="preserve">JL.VETERAN RT/RW 002/003</x:t>
  </x:si>
  <x:si>
    <x:t xml:space="preserve">RUMAH TIADK LAYAK HUNI, DINDING ASBES/SENG, ATAP SENG,</x:t>
  </x:si>
  <x:si>
    <x:t xml:space="preserve">RTLH-0057</x:t>
  </x:si>
  <x:si>
    <x:t xml:space="preserve">DAVINDRA</x:t>
  </x:si>
  <x:si>
    <x:t xml:space="preserve">JL. TREM SEBRANG</x:t>
  </x:si>
  <x:si>
    <x:t xml:space="preserve">GEDUNG NASIONAL</x:t>
  </x:si>
  <x:si>
    <x:t xml:space="preserve">RUMAH DAN TANAH MILIK KELURGA DAN HNYA REHAB WC</x:t>
  </x:si>
  <x:si>
    <x:t xml:space="preserve">RTLH-0058</x:t>
  </x:si>
  <x:si>
    <x:t xml:space="preserve">NAYARA/FITRA LATIFA</x:t>
  </x:si>
  <x:si>
    <x:t xml:space="preserve">JL. AHMAD YANI</x:t>
  </x:si>
  <x:si>
    <x:t xml:space="preserve">BATIN TIKAL</x:t>
  </x:si>
  <x:si>
    <x:t xml:space="preserve">RTLH-0059</x:t>
  </x:si>
  <x:si>
    <x:t xml:space="preserve">RAHMA SHOLEHA</x:t>
  </x:si>
  <x:si>
    <x:t xml:space="preserve">RTLH-0060</x:t>
  </x:si>
  <x:si>
    <x:t xml:space="preserve">AGUSTOMO</x:t>
  </x:si>
  <x:si>
    <x:t xml:space="preserve">JL. NILA RAYA NO 30, RT/RW 008/003</x:t>
  </x:si>
  <x:si>
    <x:t xml:space="preserve">RUMAH ADA 2. TERLETAK DIBELAKANG RUMAH, DINDING SETENGAH BATA, ATAP GENTENG</x:t>
  </x:si>
  <x:si>
    <x:t xml:space="preserve">RTLH-0061</x:t>
  </x:si>
  <x:si>
    <x:t xml:space="preserve">NAMIWATI</x:t>
  </x:si>
  <x:si>
    <x:t xml:space="preserve">JL. NILA RAYA NO 153, RT/RW 005/003</x:t>
  </x:si>
  <x:si>
    <x:t xml:space="preserve">DINDING SETENGAH BATA, ATAP GENTENG</x:t>
  </x:si>
  <x:si>
    <x:t xml:space="preserve">RTLH-0062</x:t>
  </x:si>
  <x:si>
    <x:t xml:space="preserve">BUDI</x:t>
  </x:si>
  <x:si>
    <x:t xml:space="preserve">JL. BEDUKANG DALAM , RT/RW 002/001</x:t>
  </x:si>
  <x:si>
    <x:t xml:space="preserve">PASIR GARAM</x:t>
  </x:si>
  <x:si>
    <x:t xml:space="preserve">RUMAH RUSAK SEDANG.DINDING PAPAN, LANTAIO PLASTER,ATAP SENG,</x:t>
  </x:si>
  <x:si>
    <x:t xml:space="preserve">RTLH-0063</x:t>
  </x:si>
  <x:si>
    <x:t xml:space="preserve">ROZALI</x:t>
  </x:si>
  <x:si>
    <x:t xml:space="preserve">JL. SUMEDANG , RT/RW 002/001</x:t>
  </x:si>
  <x:si>
    <x:t xml:space="preserve">RUMAH RUSAK SEDANG,ATAP SENG.DINDING BETON.LANTAI EKRAMIK.</x:t>
  </x:si>
  <x:si>
    <x:t xml:space="preserve">RTLH-0064</x:t>
  </x:si>
  <x:si>
    <x:t xml:space="preserve">ACHMAD HASIBIN</x:t>
  </x:si>
  <x:si>
    <x:t xml:space="preserve">JL.DELIMA SIAM IV RT/RW . 005/002</x:t>
  </x:si>
  <x:si>
    <x:t xml:space="preserve">SRIWIJAYA</x:t>
  </x:si>
  <x:si>
    <x:t xml:space="preserve">RUMAH BANTUAN DARI DINSOS (10 THN LALU), ATAP BOCOR, DINDING RETAK,LANTAI FLOOR, YBS SEKARANG TINGGAL DI RUMAH SAUDARA</x:t>
  </x:si>
  <x:si>
    <x:t xml:space="preserve">RTLH-0065</x:t>
  </x:si>
  <x:si>
    <x:t xml:space="preserve">ROSIAH</x:t>
  </x:si>
  <x:si>
    <x:t xml:space="preserve">GG, MUTIARA II</x:t>
  </x:si>
  <x:si>
    <x:t xml:space="preserve">RUMAH FULL PAPAN, DINDING RUSAK BERAT, ATAP SENG RUSAK RINGAN, RUMAH BAGI DUA DENGAN SAUDARA</x:t>
  </x:si>
  <x:si>
    <x:t xml:space="preserve">RTLH-0066</x:t>
  </x:si>
  <x:si>
    <x:t xml:space="preserve">NINA</x:t>
  </x:si>
  <x:si>
    <x:t xml:space="preserve">JL. BASUKI RACHMAN, RT/RW 003/001</x:t>
  </x:si>
  <x:si>
    <x:t xml:space="preserve">RUMAH SEMI PERMANEN, LANTAI FLOOR RUSAK RINGAN, ATAP GENTENG RUSAK SEDANG, RUMAH BAGI DUA DENGAN SAUDARA</x:t>
  </x:si>
  <x:si>
    <x:t xml:space="preserve">RTLH-0067</x:t>
  </x:si>
  <x:si>
    <x:t xml:space="preserve">KANDAR SUNARWAN</x:t>
  </x:si>
  <x:si>
    <x:t xml:space="preserve">JL. BASUKI RACHMAN RT/RW OO2/001</x:t>
  </x:si>
  <x:si>
    <x:t xml:space="preserve">RTLH-0068</x:t>
  </x:si>
  <x:si>
    <x:t xml:space="preserve">RITA</x:t>
  </x:si>
  <x:si>
    <x:t xml:space="preserve">GG,BATU AKIK V, RT/RW 006/002</x:t>
  </x:si>
  <x:si>
    <x:t xml:space="preserve">RUMAH PERMANEN, LANTAI RUSAK SEDANG BAGIAN DAPUR, ATAP SENG BOCOR, MINTA REHAB BAGIAN ATAP</x:t>
  </x:si>
  <x:si>
    <x:t xml:space="preserve">RTLH-0069</x:t>
  </x:si>
  <x:si>
    <x:t xml:space="preserve">ZULIANA</x:t>
  </x:si>
  <x:si>
    <x:t xml:space="preserve">JL. RAYA PASIR PADI RT/RW 006/002</x:t>
  </x:si>
  <x:si>
    <x:t xml:space="preserve">RUMAH PERMANEN, TANPA, STRUKTUR PEMBESIAN</x:t>
  </x:si>
  <x:si>
    <x:t xml:space="preserve">RTLH-0070</x:t>
  </x:si>
  <x:si>
    <x:t xml:space="preserve">GUSTI MARIN</x:t>
  </x:si>
  <x:si>
    <x:t xml:space="preserve">JL. PASIR PADI RT/RW 006/002</x:t>
  </x:si>
  <x:si>
    <x:t xml:space="preserve">RUMAH FULL PAPAN, DINDING RUSAK BERAT, ATAP ASBES RUSAK RINGAN</x:t>
  </x:si>
  <x:si>
    <x:t xml:space="preserve">RTLH-0071</x:t>
  </x:si>
  <x:si>
    <x:t xml:space="preserve">BURHANUDIN</x:t>
  </x:si>
  <x:si>
    <x:t xml:space="preserve">1901040808800010</x:t>
  </x:si>
  <x:si>
    <x:t xml:space="preserve">1971011006170003</x:t>
  </x:si>
  <x:si>
    <x:t xml:space="preserve">JL. PASAR PADI, GG. BAROKAH RT/RW 006/002</x:t>
  </x:si>
  <x:si>
    <x:t xml:space="preserve">RTLH-0072</x:t>
  </x:si>
  <x:si>
    <x:t xml:space="preserve">KUANNIE HASAN</x:t>
  </x:si>
  <x:si>
    <x:t xml:space="preserve">JL. RE.MARTADINATA NO.75.RT/RW.005/003</x:t>
  </x:si>
  <x:si>
    <x:t xml:space="preserve">DINDING FULL PAPAN,ATAP GENTENG,LANTAI PLASTERAN, RUMAH RUSAK SEDANG</x:t>
  </x:si>
  <x:si>
    <x:t xml:space="preserve">RTLH-0073</x:t>
  </x:si>
  <x:si>
    <x:t xml:space="preserve">MAMAN RACHMANSYAH</x:t>
  </x:si>
  <x:si>
    <x:t xml:space="preserve">1971031002570005</x:t>
  </x:si>
  <x:si>
    <x:t xml:space="preserve">1971032403090013</x:t>
  </x:si>
  <x:si>
    <x:t xml:space="preserve">JL. RE .MARTADINATA. RT.002 RW.001</x:t>
  </x:si>
  <x:si>
    <x:t xml:space="preserve">AMPUI</x:t>
  </x:si>
  <x:si>
    <x:t xml:space="preserve">DINDING FULL PAPAN,ATAP SENG,LANTAI PLASTERAN, RUMAH RUSAK SEDANG</x:t>
  </x:si>
  <x:si>
    <x:t xml:space="preserve">RTLH-0074</x:t>
  </x:si>
  <x:si>
    <x:t xml:space="preserve">TAMSIR</x:t>
  </x:si>
  <x:si>
    <x:t xml:space="preserve">JL. RE .MARTADINATA. RT/RW.002/001</x:t>
  </x:si>
  <x:si>
    <x:t xml:space="preserve">RUMAH ADA 2,</x:t>
  </x:si>
  <x:si>
    <x:t xml:space="preserve">RTLH-0075</x:t>
  </x:si>
  <x:si>
    <x:t xml:space="preserve">MUS MULYADI NURDIN</x:t>
  </x:si>
  <x:si>
    <x:t xml:space="preserve">JL. TENGGIRI 1. RT/RT.007/003</x:t>
  </x:si>
  <x:si>
    <x:t xml:space="preserve">KETAPANG</x:t>
  </x:si>
  <x:si>
    <x:t xml:space="preserve">RUMAH FULL.TRIPLEK,SENG,ASBES BEKAS.</x:t>
  </x:si>
  <x:si>
    <x:t xml:space="preserve">RTLH-0076</x:t>
  </x:si>
  <x:si>
    <x:t xml:space="preserve">ZUNIAR</x:t>
  </x:si>
  <x:si>
    <x:t xml:space="preserve">RUMAH SEBAGIAN PAPAN, DAN LANTAI KERAMIK</x:t>
  </x:si>
  <x:si>
    <x:t xml:space="preserve">RTLH-0077</x:t>
  </x:si>
  <x:si>
    <x:t xml:space="preserve">PUNADI</x:t>
  </x:si>
  <x:si>
    <x:t xml:space="preserve">JL. AIR PAMD RT002/RW003</x:t>
  </x:si>
  <x:si>
    <x:t xml:space="preserve">RUMAH SETENGAH BETON , LANTAI FULL FLOOR. POSIS RUMAH AREA DAS</x:t>
  </x:si>
  <x:si>
    <x:t xml:space="preserve">RTLH-0078</x:t>
  </x:si>
  <x:si>
    <x:t xml:space="preserve">RUMAH FULL PAPAN , LANTAI FLOOR, ATAP RUSAK PARAH</x:t>
  </x:si>
  <x:si>
    <x:t xml:space="preserve">RTLH-0079</x:t>
  </x:si>
  <x:si>
    <x:t xml:space="preserve">BUDIMAN</x:t>
  </x:si>
  <x:si>
    <x:t xml:space="preserve">JL. VETERAN RT/002 RW/003</x:t>
  </x:si>
  <x:si>
    <x:t xml:space="preserve">RUMAH FULL PAPAN, RUSAK PARAH, LANTAI FLOOR</x:t>
  </x:si>
  <x:si>
    <x:t xml:space="preserve">RTLH-0080</x:t>
  </x:si>
  <x:si>
    <x:t xml:space="preserve">ROZIYANTI</x:t>
  </x:si>
  <x:si>
    <x:t xml:space="preserve">JL,KH,AHMAD DAHLAN RT/RW:008/002</x:t>
  </x:si>
  <x:si>
    <x:t xml:space="preserve">KERAMAT</x:t>
  </x:si>
  <x:si>
    <x:t xml:space="preserve">RTLH-0081</x:t>
  </x:si>
  <x:si>
    <x:t xml:space="preserve">YUNIAR</x:t>
  </x:si>
  <x:si>
    <x:t xml:space="preserve">JL,KH.AHMAD DAHLAN</x:t>
  </x:si>
  <x:si>
    <x:t xml:space="preserve">RTLH-0082</x:t>
  </x:si>
  <x:si>
    <x:t xml:space="preserve">HARY A.R.SUHAILI</x:t>
  </x:si>
  <x:si>
    <x:t xml:space="preserve">JL,MENARA RT/RW 009/003</x:t>
  </x:si>
  <x:si>
    <x:t xml:space="preserve">FULL PAPAN ,LANTAI TANAH, WC DI LUAR</x:t>
  </x:si>
  <x:si>
    <x:t xml:space="preserve">RTLH-0083</x:t>
  </x:si>
  <x:si>
    <x:t xml:space="preserve">SUNARTI</x:t>
  </x:si>
  <x:si>
    <x:t xml:space="preserve">JL.TREM RT/RW 007/003</x:t>
  </x:si>
  <x:si>
    <x:t xml:space="preserve">RTLH-0084</x:t>
  </x:si>
  <x:si>
    <x:t xml:space="preserve">ROSMAH</x:t>
  </x:si>
  <x:si>
    <x:t xml:space="preserve">GG.RUKEM RT/RW 005/002</x:t>
  </x:si>
  <x:si>
    <x:t xml:space="preserve">RUMAH FULL BETON ATAP RUASK SEDANG</x:t>
  </x:si>
  <x:si>
    <x:t xml:space="preserve">RTLH-0085</x:t>
  </x:si>
  <x:si>
    <x:t xml:space="preserve">SYAMSUL BAHRI</x:t>
  </x:si>
  <x:si>
    <x:t xml:space="preserve">JL.KELAPA RT/RW 002/001</x:t>
  </x:si>
  <x:si>
    <x:t xml:space="preserve">PASAR PADI</x:t>
  </x:si>
  <x:si>
    <x:t xml:space="preserve">RUMAH BENCANA KEBAKARAN, TERSISA PONDASI. DAN SEKARANG TINGGAL DIKONTRAKAN</x:t>
  </x:si>
  <x:si>
    <x:t xml:space="preserve">RTLH-0086</x:t>
  </x:si>
  <x:si>
    <x:t xml:space="preserve">ASLAMIAH</x:t>
  </x:si>
  <x:si>
    <x:t xml:space="preserve">RUMAH BENCANA KEBAKARAN, TERSISA PONDASI. DAN SEKARANG TINGGAL DIKAMPUNG</x:t>
  </x:si>
  <x:si>
    <x:t xml:space="preserve">RTLH-0087</x:t>
  </x:si>
  <x:si>
    <x:t xml:space="preserve">LAIN CUN MOY</x:t>
  </x:si>
  <x:si>
    <x:t xml:space="preserve">BELUM PRIORITAS, LOKASI RUMAH DI PINGGIR DAS</x:t>
  </x:si>
  <x:si>
    <x:t xml:space="preserve">RTLH-0088</x:t>
  </x:si>
  <x:si>
    <x:t xml:space="preserve">SILAWATI</x:t>
  </x:si>
  <x:si>
    <x:t xml:space="preserve">JL.VETERAN RT/RW 003/001</x:t>
  </x:si>
  <x:si>
    <x:t xml:space="preserve">RUMAH ROBOH KURANG LEBIH 1TAHUN, SEKARANG TINGGAL DI KONTRAKAN</x:t>
  </x:si>
  <x:si>
    <x:t xml:space="preserve">RTLH-0089</x:t>
  </x:si>
  <x:si>
    <x:t xml:space="preserve">MARZUKI</x:t>
  </x:si>
  <x:si>
    <x:t xml:space="preserve">RUMAH FULL PAPAN, LANTAI FLOOR, ATAP RUSAK PARAH, TANAH BERMASALAH DENGAN SAUDARA</x:t>
  </x:si>
  <x:si>
    <x:t xml:space="preserve">RTLH-0090</x:t>
  </x:si>
  <x:si>
    <x:t xml:space="preserve">SOLEHA</x:t>
  </x:si>
  <x:si>
    <x:t xml:space="preserve">JL.VETERAN RT/RW 001/003</x:t>
  </x:si>
  <x:si>
    <x:t xml:space="preserve">RUMAH FULL PAPAN, LANTAI FLOOR</x:t>
  </x:si>
  <x:si>
    <x:t xml:space="preserve">RTLH-0091</x:t>
  </x:si>
  <x:si>
    <x:t xml:space="preserve">HERMAN</x:t>
  </x:si>
  <x:si>
    <x:t xml:space="preserve">RUMAH FULL PAPAN, LANTAI FLOOR, ATAP RUSAK PARAH, DAN ADA ASET LAIN</x:t>
  </x:si>
  <x:si>
    <x:t xml:space="preserve">RTLH-0092</x:t>
  </x:si>
  <x:si>
    <x:t xml:space="preserve">JL.PASIR PADI RT/RW 006/002</x:t>
  </x:si>
  <x:si>
    <x:t xml:space="preserve">RUMAH SETENGAH BETON , LANTAI FULL FLOOR</x:t>
  </x:si>
  <x:si>
    <x:t xml:space="preserve">RTLH-0093</x:t>
  </x:si>
  <x:si>
    <x:t xml:space="preserve">NUR TIA</x:t>
  </x:si>
  <x:si>
    <x:t xml:space="preserve">JL.HIDAYATUSSALIKIN DALAM RT/RW 004/002</x:t>
  </x:si>
  <x:si>
    <x:t xml:space="preserve">FULL PAPAN</x:t>
  </x:si>
  <x:si>
    <x:t xml:space="preserve">RTLH-0094</x:t>
  </x:si>
  <x:si>
    <x:t xml:space="preserve">AGUS SUTANTO</x:t>
  </x:si>
  <x:si>
    <x:t xml:space="preserve">RUMAH SETENGAH BETON.</x:t>
  </x:si>
  <x:si>
    <x:t xml:space="preserve">RTLH-0095</x:t>
  </x:si>
  <x:si>
    <x:t xml:space="preserve">AGUSTIAR FERNANDI</x:t>
  </x:si>
  <x:si>
    <x:t xml:space="preserve">RT/02 SAMPING RUMAH PAK RT</x:t>
  </x:si>
  <x:si>
    <x:t xml:space="preserve">RTLH-0096</x:t>
  </x:si>
  <x:si>
    <x:t xml:space="preserve">ACUNG</x:t>
  </x:si>
  <x:si>
    <x:t xml:space="preserve">JL.ALEXANDER RT/RW 002/003</x:t>
  </x:si>
  <x:si>
    <x:t xml:space="preserve">RTLH-0097</x:t>
  </x:si>
  <x:si>
    <x:t xml:space="preserve">LEO SANDI</x:t>
  </x:si>
  <x:si>
    <x:t xml:space="preserve">GG.ALEKSANDER II RT/RW 007/003</x:t>
  </x:si>
  <x:si>
    <x:t xml:space="preserve">RUMAH KORBAN KEBAKARAN, ATAP RUSAK BERAT</x:t>
  </x:si>
  <x:si>
    <x:t xml:space="preserve">RTLH-0098</x:t>
  </x:si>
  <x:si>
    <x:t xml:space="preserve">APO</x:t>
  </x:si>
  <x:si>
    <x:t xml:space="preserve">RTLH-0099</x:t>
  </x:si>
  <x:si>
    <x:t xml:space="preserve">BELUM DIISI</x:t>
  </x:si>
  <x:si>
    <x:t xml:space="preserve">RUMAH FULL PAPAN, DAN LANTAI TANAH</x:t>
  </x:si>
  <x:si>
    <x:t xml:space="preserve">RTLH-0100</x:t>
  </x:si>
  <x:si>
    <x:t xml:space="preserve">Belum ada catatan verifikasi</x:t>
  </x:si>
  <x:si>
    <x:t xml:space="preserve">RTLH-0101</x:t>
  </x:si>
  <x:si>
    <x:t xml:space="preserve">FARIZAL</x:t>
  </x:si>
  <x:si>
    <x:t xml:space="preserve">GG.KEMILI I RT/RW 002/001</x:t>
  </x:si>
  <x:si>
    <x:t xml:space="preserve">SEBAGIAN BETON, LANTAI FLOOR</x:t>
  </x:si>
  <x:si>
    <x:t xml:space="preserve">RTLH-0102</x:t>
  </x:si>
  <x:si>
    <x:t xml:space="preserve">TERYANTO</x:t>
  </x:si>
  <x:si>
    <x:t xml:space="preserve">RUMAH SETENGAH BETON</x:t>
  </x:si>
  <x:si>
    <x:t xml:space="preserve">RTLH-0103</x:t>
  </x:si>
  <x:si>
    <x:t xml:space="preserve">ROMLI</x:t>
  </x:si>
  <x:si>
    <x:t xml:space="preserve">JL. VETERAN RT/003 RW/003 KEL:PARIT LALANG</x:t>
  </x:si>
  <x:si>
    <x:t xml:space="preserve">RTLH-0104</x:t>
  </x:si>
  <x:si>
    <x:t xml:space="preserve">FIRDIANSYAH</x:t>
  </x:si>
  <x:si>
    <x:t xml:space="preserve">JL.KELAPA RT/RW :002/001</x:t>
  </x:si>
  <x:si>
    <x:t xml:space="preserve">RTLH-0105</x:t>
  </x:si>
  <x:si>
    <x:t xml:space="preserve">HOLID</x:t>
  </x:si>
  <x:si>
    <x:t xml:space="preserve">RUMAH FULL PAPAN , LANTAI CONBLOK</x:t>
  </x:si>
  <x:si>
    <x:t xml:space="preserve">RTLH-0106</x:t>
  </x:si>
  <x:si>
    <x:t xml:space="preserve">RISNA HERTIAYU</x:t>
  </x:si>
  <x:si>
    <x:t xml:space="preserve">RUMAH FULL PAPAN. LANTAI FLOOR</x:t>
  </x:si>
  <x:si>
    <x:t xml:space="preserve">RTLH-0107</x:t>
  </x:si>
  <x:si>
    <x:t xml:space="preserve">MUHAMMAD UNTUNG</x:t>
  </x:si>
  <x:si>
    <x:t xml:space="preserve">RTLH-0108</x:t>
  </x:si>
  <x:si>
    <x:t xml:space="preserve">SOBRI SUGARI PUTRA</x:t>
  </x:si>
  <x:si>
    <x:t xml:space="preserve">RUMAH FULL PAPAN, LANTAI PAPAN</x:t>
  </x:si>
  <x:si>
    <x:t xml:space="preserve">RTLH-0109</x:t>
  </x:si>
  <x:si>
    <x:t xml:space="preserve">SOLEH</x:t>
  </x:si>
  <x:si>
    <x:t xml:space="preserve">JL.GIRIMAYA NO 66 RT/RW 05/02</x:t>
  </x:si>
  <x:si>
    <x:t xml:space="preserve">RUMAH FULLPAPAN, LANTAI FLOOR</x:t>
  </x:si>
  <x:si>
    <x:t xml:space="preserve">RTLH-0110</x:t>
  </x:si>
  <x:si>
    <x:t xml:space="preserve">THAM KIM SIAN</x:t>
  </x:si>
  <x:si>
    <x:t xml:space="preserve">JL.RASAKUNDA RT/RW: 003/001 KEL: BUKIT BESAR</x:t>
  </x:si>
  <x:si>
    <x:t xml:space="preserve">DEPAN BETON, DAN BAGIAN DALAM KAYU, LANTAI FLOOR .</x:t>
  </x:si>
  <x:si>
    <x:t xml:space="preserve">RTLH-0111</x:t>
  </x:si>
  <x:si>
    <x:t xml:space="preserve">ASNAWI</x:t>
  </x:si>
  <x:si>
    <x:t xml:space="preserve">JL.BATU RUBI 11 RT/RW 003/001</x:t>
  </x:si>
  <x:si>
    <x:t xml:space="preserve">FULL PAPAN , LANTAI FLOOR DAN BAGIAN BELAKANG BETON.</x:t>
  </x:si>
  <x:si>
    <x:t xml:space="preserve">RTLH-0112</x:t>
  </x:si>
  <x:si>
    <x:t xml:space="preserve">ABDUR RAWI</x:t>
  </x:si>
  <x:si>
    <x:t xml:space="preserve">RTLH-0113</x:t>
  </x:si>
  <x:si>
    <x:t xml:space="preserve">MARTAWAN</x:t>
  </x:si>
  <x:si>
    <x:t xml:space="preserve">JL,PERBAKIN RT/RW 007/003</x:t>
  </x:si>
  <x:si>
    <x:t xml:space="preserve">FULL PAPAN , LANTAI FLOOR</x:t>
  </x:si>
  <x:si>
    <x:t xml:space="preserve">RTLH-0114</x:t>
  </x:si>
  <x:si>
    <x:t xml:space="preserve">ZULKIFLI HASYIM</x:t>
  </x:si>
  <x:si>
    <x:t xml:space="preserve">JL,BERLIAN IV RT/RW 004/001</x:t>
  </x:si>
  <x:si>
    <x:t xml:space="preserve">RUMAH FULL PAPAN, ATAP SENG, LANTIA FLOOR / RUMAH BAGI DUA DENGAN SAUDARA</x:t>
  </x:si>
  <x:si>
    <x:t xml:space="preserve">RTLH-0115</x:t>
  </x:si>
  <x:si>
    <x:t xml:space="preserve">MASKUR</x:t>
  </x:si>
  <x:si>
    <x:t xml:space="preserve">RUMAH FULL BETON,LANTAI FULL FLOOR, ATAP SENG</x:t>
  </x:si>
  <x:si>
    <x:t xml:space="preserve">RTLH-0116</x:t>
  </x:si>
  <x:si>
    <x:t xml:space="preserve">ASMAD</x:t>
  </x:si>
  <x:si>
    <x:t xml:space="preserve">GG,ARUS DALAM RT/RW 03/02</x:t>
  </x:si>
  <x:si>
    <x:t xml:space="preserve">RUMAH FULL PAPAN. DINDING RUSAK RINGAN LANTAI FLOOR, ATAP SENGRUSAK RINGAN</x:t>
  </x:si>
  <x:si>
    <x:t xml:space="preserve">RTLH-0117</x:t>
  </x:si>
  <x:si>
    <x:t xml:space="preserve">MAINAH</x:t>
  </x:si>
  <x:si>
    <x:t xml:space="preserve">JL.AIR MAWAR RT/RW 03/02 KEL.AIR MAWAR</x:t>
  </x:si>
  <x:si>
    <x:t xml:space="preserve">RUMAH SEMI,PERMANEN,DIDING PAPAN RUSAK RINGAN, ATAP SENG RUSAK RINGAN,</x:t>
  </x:si>
  <x:si>
    <x:t xml:space="preserve">RTLH-0118</x:t>
  </x:si>
  <x:si>
    <x:t xml:space="preserve">TJHIN MUK NA</x:t>
  </x:si>
  <x:si>
    <x:t xml:space="preserve">JL,TELUK BAYUR</x:t>
  </x:si>
  <x:si>
    <x:t xml:space="preserve">RUMAH FULL PAPAN, LANTAI KERAMIK,ATAP SENG, DINDING RUSAK RINGAN,ATAP RUSAK RINGAN,</x:t>
  </x:si>
  <x:si>
    <x:t xml:space="preserve">RTLH-0119</x:t>
  </x:si>
  <x:si>
    <x:t xml:space="preserve">ASHAB</x:t>
  </x:si>
  <x:si>
    <x:t xml:space="preserve">JL,KUBIS NO 217 RT/RW 003/001</x:t>
  </x:si>
  <x:si>
    <x:t xml:space="preserve">RUMAH SEMI PERMANEN,LANTAI FULL FLOOR,ATAP SEBAGIAN GENTENG/SENG LANTAI RUSAK RINGAN,DINDING RUSAK RINGAN,ATAP RUSAK RINGAN</x:t>
  </x:si>
  <x:si>
    <x:t xml:space="preserve">RTLH-0120</x:t>
  </x:si>
  <x:si>
    <x:t xml:space="preserve">MARTALI</x:t>
  </x:si>
  <x:si>
    <x:t xml:space="preserve">JL,VETERAN NO 125 RT/RW 003/001</x:t>
  </x:si>
  <x:si>
    <x:t xml:space="preserve">RUMAH ,SEMI PERMANEN, RUSAK HANYA BAGIAN DAPUR</x:t>
  </x:si>
  <x:si>
    <x:t xml:space="preserve">RTLH-0121</x:t>
  </x:si>
  <x:si>
    <x:t xml:space="preserve">HAMDANI</x:t>
  </x:si>
  <x:si>
    <x:t xml:space="preserve">JL.KUBIS RT/RW 003/001</x:t>
  </x:si>
  <x:si>
    <x:t xml:space="preserve">RUMAH SEMI PERMANEN,LANTAI SEBAGIAN KERAMIK,DINDING PAPAN,RUSAK RINGAN, ATAP SENG RUSAK RINGAN.</x:t>
  </x:si>
  <x:si>
    <x:t xml:space="preserve">RTLH-0122</x:t>
  </x:si>
  <x:si>
    <x:t xml:space="preserve">SUJONO</x:t>
  </x:si>
  <x:si>
    <x:t xml:space="preserve">JL,PEMEKASAN RT/RW 002/002</x:t>
  </x:si>
  <x:si>
    <x:t xml:space="preserve">RUMAH BERDAMPINGAN DENGAN ORANG TUA, LANTAI FUL FLOOR.</x:t>
  </x:si>
  <x:si>
    <x:t xml:space="preserve">RTLH-0123</x:t>
  </x:si>
  <x:si>
    <x:t xml:space="preserve">SUPANDI</x:t>
  </x:si>
  <x:si>
    <x:t xml:space="preserve">JL,PEMEKASAN II RT 002 RW 002</x:t>
  </x:si>
  <x:si>
    <x:t xml:space="preserve">RUMAH SEMI PERMANEN, LANTAI FULL FLOOR DINDING RUSAK RINGAN, ATAP ASBES RUSAK RINGAN</x:t>
  </x:si>
  <x:si>
    <x:t xml:space="preserve">RTLH-0124</x:t>
  </x:si>
  <x:si>
    <x:t xml:space="preserve">PUSI</x:t>
  </x:si>
  <x:si>
    <x:t xml:space="preserve">JL,VETERAN RT/RW 002/003</x:t>
  </x:si>
  <x:si>
    <x:t xml:space="preserve">RUMAH SEMI PERMANEN,BAGIAN DAPUR PERMANEN, LANTAI FULL FLOOR,DINDING PAPAN RUSAK RINGAN,ATAP RUSAK RINGAN.</x:t>
  </x:si>
  <x:si>
    <x:t xml:space="preserve">RTLH-0125</x:t>
  </x:si>
  <x:si>
    <x:t xml:space="preserve">YULITAR</x:t>
  </x:si>
  <x:si>
    <x:t xml:space="preserve">JL,LAP BOLA RT/RW 002/003</x:t>
  </x:si>
  <x:si>
    <x:t xml:space="preserve">RUMAH FULL PAPAN.LANTAI FULL FLOR,DINDING RUSAK RINGAN ATAP SENG RUSAK RINGAN</x:t>
  </x:si>
  <x:si>
    <x:t xml:space="preserve">RTLH-0126</x:t>
  </x:si>
  <x:si>
    <x:t xml:space="preserve">KUWATNO</x:t>
  </x:si>
  <x:si>
    <x:t xml:space="preserve">JL.LAP BOLA RT/RW 002/003</x:t>
  </x:si>
  <x:si>
    <x:t xml:space="preserve">RUMAH FULL PAPAN, DINDING RUSAK RINGAN, LANTAI FULL KERAMIK, ATAP ASBES</x:t>
  </x:si>
  <x:si>
    <x:t xml:space="preserve">RTLH-0127</x:t>
  </x:si>
  <x:si>
    <x:t xml:space="preserve">SUHAIKAH</x:t>
  </x:si>
  <x:si>
    <x:t xml:space="preserve">JL,DELIMA SIAM VIII RT/RW 003/001</x:t>
  </x:si>
  <x:si>
    <x:t xml:space="preserve">RUMAH PERMANEN ( MINTA REHAB BAGIAN DAPIUR)</x:t>
  </x:si>
  <x:si>
    <x:t xml:space="preserve">RTLH-0128</x:t>
  </x:si>
  <x:si>
    <x:t xml:space="preserve">MISLIYEH</x:t>
  </x:si>
  <x:si>
    <x:t xml:space="preserve">JL,BASUKI RACHMAD UJUNG II RT/RW 008/003</x:t>
  </x:si>
  <x:si>
    <x:t xml:space="preserve">RUMAH FULL PAPAN, SEBAGIAN BETON WC,PERMANEN, LANTAI FULL FLOOR,ATAP ASBES RUSAK RINGAN</x:t>
  </x:si>
  <x:si>
    <x:t xml:space="preserve">RTLH-0129</x:t>
  </x:si>
  <x:si>
    <x:t xml:space="preserve">NIRAH</x:t>
  </x:si>
  <x:si>
    <x:t xml:space="preserve">RUMAH FULL PAPAN, DINDING RUSAK RINGAN, LANTAI FULL FLOOR ATAP SENG, DINDING RUSAK RINGAN, ATAP RUSAK RINGAN LANTAI RUSAK RINGAN</x:t>
  </x:si>
  <x:si>
    <x:t xml:space="preserve">RTLH-0130</x:t>
  </x:si>
  <x:si>
    <x:t xml:space="preserve">MARYEMAH</x:t>
  </x:si>
  <x:si>
    <x:t xml:space="preserve">RUMAH FULL PAPAN,LANTAI FULL FLOOR, ATAP SENG RUSAK RINGAN, DINDING PAPAN RUSAK RINGAN, LANTAI RUSAK RINGAN</x:t>
  </x:si>
  <x:si>
    <x:t xml:space="preserve">RTLH-0131</x:t>
  </x:si>
  <x:si>
    <x:t xml:space="preserve">LIN HON JON</x:t>
  </x:si>
  <x:si>
    <x:t xml:space="preserve">JL,BUKIT TUNGGAL RT/RW 008/003</x:t>
  </x:si>
  <x:si>
    <x:t xml:space="preserve">RUMAH SEMI PERMANEN, SEBAGIAN DINDING PAPAN RUSAK RINGAN, LANTAI FULL FLOOR, LANTAI RUSAK RINGAN,BAGIAN DAPUR PERMANEN, ATAP RUSAK RINGAN</x:t>
  </x:si>
  <x:si>
    <x:t xml:space="preserve">RTLH-0132</x:t>
  </x:si>
  <x:si>
    <x:t xml:space="preserve">SUHAILI</x:t>
  </x:si>
  <x:si>
    <x:t xml:space="preserve">JL.SOLIHIN GP, GG BUAH BATU 1 RT/RW 001/002</x:t>
  </x:si>
  <x:si>
    <x:t xml:space="preserve">RUMAH PERMANEN,ATAP SENG RUSAK RINGAN, DINDING RUSAK RINGAN,LANTAI FLOOR,</x:t>
  </x:si>
  <x:si>
    <x:t xml:space="preserve">RTLH-0133</x:t>
  </x:si>
  <x:si>
    <x:t xml:space="preserve">DAHLIA</x:t>
  </x:si>
  <x:si>
    <x:t xml:space="preserve">RT,01 RW,01</x:t>
  </x:si>
  <x:si>
    <x:t xml:space="preserve">RUMAH FULL PAPAN, DINDING RUSAK RINGAN, LANTAI FLOOR, ATAP ASBES</x:t>
  </x:si>
  <x:si>
    <x:t xml:space="preserve">RTLH-0134</x:t>
  </x:si>
  <x:si>
    <x:t xml:space="preserve">ALING</x:t>
  </x:si>
  <x:si>
    <x:t xml:space="preserve">Keadaan Rumah Semi Permanen, Hanya bagian ruang tamu, (Full Papan)</x:t>
  </x:si>
  <x:si>
    <x:t xml:space="preserve">RTLH-0135</x:t>
  </x:si>
  <x:si>
    <x:t xml:space="preserve">ZAHRO</x:t>
  </x:si>
  <x:si>
    <x:t xml:space="preserve">RT,03 RW,01</x:t>
  </x:si>
  <x:si>
    <x:t xml:space="preserve">Rumah Bagi DUA Dengan Anak, ( Saudara Zahro, menepati bagian Belakang, Keadaan Rumah Semi Permanen, Hanya bagian ruang tamu, (Full Papan)</x:t>
  </x:si>
  <x:si>
    <x:t xml:space="preserve">RTLH-0136</x:t>
  </x:si>
  <x:si>
    <x:t xml:space="preserve">MAHMUDAH</x:t>
  </x:si>
  <x:si>
    <x:t xml:space="preserve">RT,05 RW,02</x:t>
  </x:si>
  <x:si>
    <x:t xml:space="preserve">RUMAH BENTUK L, SEBAGIAN DINDING PERMANEN DAN PAPAN, LANTAI FLOOR, ATAP SENG</x:t>
  </x:si>
  <x:si>
    <x:t xml:space="preserve">RTLH-0137</x:t>
  </x:si>
  <x:si>
    <x:t xml:space="preserve">SUBANA</x:t>
  </x:si>
  <x:si>
    <x:t xml:space="preserve">RT:001 / RW : 001</x:t>
  </x:si>
  <x:si>
    <x:t xml:space="preserve">RUMAH FULL PAPAN, LANTAI FLOOR ATAP SENG, WC DI LUAR</x:t>
  </x:si>
  <x:si>
    <x:t xml:space="preserve">RTLH-0138</x:t>
  </x:si>
  <x:si>
    <x:t xml:space="preserve">AI WE</x:t>
  </x:si>
  <x:si>
    <x:t xml:space="preserve">RUMAH FULL PAPAN, LANTAI FLOOR, ATAP SENG</x:t>
  </x:si>
  <x:si>
    <x:t xml:space="preserve">RTLH-0139</x:t>
  </x:si>
  <x:si>
    <x:t xml:space="preserve">KOSGORO</x:t>
  </x:si>
  <x:si>
    <x:t xml:space="preserve">1704020707820004</x:t>
  </x:si>
  <x:si>
    <x:t xml:space="preserve">1971012507170008</x:t>
  </x:si>
  <x:si>
    <x:t xml:space="preserve">JL. DEPATI HAMZAH RT.003 RW.001</x:t>
  </x:si>
  <x:si>
    <x:t xml:space="preserve">RUMAH INDUK FULL PAPAN, BAGIAN DAPUR PERMANEN, ATAP GENTENG BOOCR</x:t>
  </x:si>
  <x:si>
    <x:t xml:space="preserve">RTLH-0140</x:t>
  </x:si>
  <x:si>
    <x:t xml:space="preserve">ZURYANA</x:t>
  </x:si>
  <x:si>
    <x:t xml:space="preserve">RT,02/RW,001</x:t>
  </x:si>
  <x:si>
    <x:t xml:space="preserve">RUMAH PERMANEN, KERUSAKAN HANYA BAGIAN ATAP</x:t>
  </x:si>
  <x:si>
    <x:t xml:space="preserve">RTLH-0141</x:t>
  </x:si>
  <x:si>
    <x:t xml:space="preserve">APHI</x:t>
  </x:si>
  <x:si>
    <x:t xml:space="preserve">JL,Batu Kadera RT,04/RW,02</x:t>
  </x:si>
  <x:si>
    <x:t xml:space="preserve">RTLH-0142</x:t>
  </x:si>
  <x:si>
    <x:t xml:space="preserve">RUDY</x:t>
  </x:si>
  <x:si>
    <x:t xml:space="preserve">JL.HORMEN MADDATI NO 24</x:t>
  </x:si>
  <x:si>
    <x:t xml:space="preserve">RTLH-0143</x:t>
  </x:si>
  <x:si>
    <x:t xml:space="preserve">RIVA GUSTI</x:t>
  </x:si>
  <x:si>
    <x:t xml:space="preserve">RUMAH SEMI PERMANEN, BAGIAN UTAM FULL PAPAN, BAGIAN DAPUR PERMANEN</x:t>
  </x:si>
  <x:si>
    <x:t xml:space="preserve">RTLH-0144</x:t>
  </x:si>
  <x:si>
    <x:t xml:space="preserve">MARDIYAN</x:t>
  </x:si>
  <x:si>
    <x:t xml:space="preserve">JL. AIR MAWAR</x:t>
  </x:si>
  <x:si>
    <x:t xml:space="preserve">RTLH-0145</x:t>
  </x:si>
  <x:si>
    <x:t xml:space="preserve">JOHAN</x:t>
  </x:si>
  <x:si>
    <x:t xml:space="preserve">RUMAH FULL PAPAN , DINDING RUSAK RINGAN, ATAP RUSAK RINGAN, LANTAI FLOOR</x:t>
  </x:si>
  <x:si>
    <x:t xml:space="preserve">RTLH-0146</x:t>
  </x:si>
  <x:si>
    <x:t xml:space="preserve">ATTAYATUL</x:t>
  </x:si>
  <x:si>
    <x:t xml:space="preserve">JL.NANAS II</x:t>
  </x:si>
  <x:si>
    <x:t xml:space="preserve">RUMAH PERMANEN, HANYA MINTA REHAB BAGIAN DAPUR</x:t>
  </x:si>
  <x:si>
    <x:t xml:space="preserve">RTLH-0147</x:t>
  </x:si>
  <x:si>
    <x:t xml:space="preserve">ZAIMAH</x:t>
  </x:si>
  <x:si>
    <x:t xml:space="preserve">JL.IRIAN NO 90</x:t>
  </x:si>
  <x:si>
    <x:t xml:space="preserve">RUMAH SEMI PERMANEN, BAGIAN DEPAN PERMANEN, BAGIAN BELAKANG PAPAN</x:t>
  </x:si>
  <x:si>
    <x:t xml:space="preserve">RTLH-0148</x:t>
  </x:si>
  <x:si>
    <x:t xml:space="preserve">A.HANAN / ZAENAB</x:t>
  </x:si>
  <x:si>
    <x:t xml:space="preserve">RUMAH SEMI PERMANEN, LANTAI FLOOR ( SELALU BANJIR SAAT HUJAN)]</x:t>
  </x:si>
  <x:si>
    <x:t xml:space="preserve">RTLH-0149</x:t>
  </x:si>
  <x:si>
    <x:t xml:space="preserve">AZIZAH</x:t>
  </x:si>
  <x:si>
    <x:t xml:space="preserve">JL,KERABUT GG.SD 44</x:t>
  </x:si>
  <x:si>
    <x:t xml:space="preserve">RUMAH PERMANEN,LANTAI FLOOR,KEADAAN DINDING TANPA PLESTERAN,ATAP SENG</x:t>
  </x:si>
  <x:si>
    <x:t xml:space="preserve">RTLH-0150</x:t>
  </x:si>
  <x:si>
    <x:t xml:space="preserve">SUYANTO</x:t>
  </x:si>
  <x:si>
    <x:t xml:space="preserve">JL,KELOMPOK</x:t>
  </x:si>
  <x:si>
    <x:t xml:space="preserve">RUMAH FULL PAPAN,LANTAI FLOOR,ATAP SENG, KEADAAN DINDING RUSAK ,ATAP BAIK, LANTAI RUSAK RINGAN (Lengkap)</x:t>
  </x:si>
  <x:si>
    <x:t xml:space="preserve">RTLH-0151</x:t>
  </x:si>
  <x:si>
    <x:t xml:space="preserve">ASNAH . D</x:t>
  </x:si>
  <x:si>
    <x:t xml:space="preserve">RT/RW 002 / 001 , JALAN HORMEN MADDATI NO 65</x:t>
  </x:si>
  <x:si>
    <x:t xml:space="preserve">RTLH-0152</x:t>
  </x:si>
  <x:si>
    <x:t xml:space="preserve">RT/RW 005/002, JL. MASJID ALHUDA NO.95</x:t>
  </x:si>
  <x:si>
    <x:t xml:space="preserve">SURAT-Lengkap, RUMAH SEMI PERMANEN, BAGIAN DAPUR PERMANEN, DINDING RUSAK RINGAN, ATAP RUSAK RINGAN, LANTAI FULL FLOR,</x:t>
  </x:si>
  <x:si>
    <x:t xml:space="preserve">RTLH-0153</x:t>
  </x:si>
  <x:si>
    <x:t xml:space="preserve">SYARIFUDIN</x:t>
  </x:si>
  <x:si>
    <x:t xml:space="preserve">GG.TOMAT I NO.6</x:t>
  </x:si>
  <x:si>
    <x:t xml:space="preserve">RUMAH SEMI PERMANEN,</x:t>
  </x:si>
  <x:si>
    <x:t xml:space="preserve">RTLH-0154</x:t>
  </x:si>
  <x:si>
    <x:t xml:space="preserve">SITI MASITOH</x:t>
  </x:si>
  <x:si>
    <x:t xml:space="preserve">RUMAH SEMI PERMANEN , BAGIAN DAPUR PERMANEN, BAGIAN DEPAN PAPAN</x:t>
  </x:si>
  <x:si>
    <x:t xml:space="preserve">RTLH-0155</x:t>
  </x:si>
  <x:si>
    <x:t xml:space="preserve">ANAWATI</x:t>
  </x:si>
  <x:si>
    <x:t xml:space="preserve">JL: HORMEN MADDATI NO.55</x:t>
  </x:si>
  <x:si>
    <x:t xml:space="preserve">RUMAH SEMI PERMANEN, BAGIAN DEPAN PAPAN, LANTAI FLOOR , ATAP SENG</x:t>
  </x:si>
  <x:si>
    <x:t xml:space="preserve">RTLH-0156</x:t>
  </x:si>
  <x:si>
    <x:t xml:space="preserve">ADRI</x:t>
  </x:si>
  <x:si>
    <x:t xml:space="preserve">JL.LETKOL H.SULAIMAN SALAM GG.BINJAI 3</x:t>
  </x:si>
  <x:si>
    <x:t xml:space="preserve">RTLH-0157</x:t>
  </x:si>
  <x:si>
    <x:t xml:space="preserve">BUCE DE QUALYU</x:t>
  </x:si>
  <x:si>
    <x:t xml:space="preserve">JL,LIONG BIEN NO.13 RT/RW 006/002</x:t>
  </x:si>
  <x:si>
    <x:t xml:space="preserve">RUMAH FULL PAPAN, ATAP SENG, LANTAI FLOOR ( PERNAH MENGUNDURKAN DIRI TAHUN 2018)</x:t>
  </x:si>
  <x:si>
    <x:t xml:space="preserve">RTLH-0158</x:t>
  </x:si>
  <x:si>
    <x:t xml:space="preserve">NURSIAH</x:t>
  </x:si>
  <x:si>
    <x:t xml:space="preserve">JL.SOLIHIN GP NO,67</x:t>
  </x:si>
  <x:si>
    <x:t xml:space="preserve">RUMAH BAGI DUA DENGAN SAUDARA, LANTAI FLOOR, DINDING PAPAN, ATAP SENG</x:t>
  </x:si>
  <x:si>
    <x:t xml:space="preserve">RTLH-0159</x:t>
  </x:si>
  <x:si>
    <x:t xml:space="preserve">ISKANDAR</x:t>
  </x:si>
  <x:si>
    <x:t xml:space="preserve">JL,GIRIMAYA DALAM NO.31 RT/RW 005/001</x:t>
  </x:si>
  <x:si>
    <x:t xml:space="preserve">RUMAH SEMI PERMANEN, BAGIAN BELAKANG FULL PAPAN ( RUMAH BAGI DUA DENGAN SAUDARA)</x:t>
  </x:si>
  <x:si>
    <x:t xml:space="preserve">RTLH-0160</x:t>
  </x:si>
  <x:si>
    <x:t xml:space="preserve">EFFENDI</x:t>
  </x:si>
  <x:si>
    <x:t xml:space="preserve">1971022211650001</x:t>
  </x:si>
  <x:si>
    <x:t xml:space="preserve">1971021403081170</x:t>
  </x:si>
  <x:si>
    <x:t xml:space="preserve">GG. SAKURA II RT.001 RW.001</x:t>
  </x:si>
  <x:si>
    <x:t xml:space="preserve">RTLH-0161</x:t>
  </x:si>
  <x:si>
    <x:t xml:space="preserve">BUSTAMI</x:t>
  </x:si>
  <x:si>
    <x:t xml:space="preserve">1971021802840005</x:t>
  </x:si>
  <x:si>
    <x:t xml:space="preserve">1971020506090001</x:t>
  </x:si>
  <x:si>
    <x:t xml:space="preserve">JL. RE MARTADINATA RT.007 RW.002</x:t>
  </x:si>
  <x:si>
    <x:t xml:space="preserve">RTLH-0162</x:t>
  </x:si>
  <x:si>
    <x:t xml:space="preserve">ABAS</x:t>
  </x:si>
  <x:si>
    <x:t xml:space="preserve">1971010107700018</x:t>
  </x:si>
  <x:si>
    <x:t xml:space="preserve">1971011801170002</x:t>
  </x:si>
  <x:si>
    <x:t xml:space="preserve">JL. DEPATI HAMZAH RT.004 RW.002</x:t>
  </x:si>
  <x:si>
    <x:t xml:space="preserve">RTLH-0163</x:t>
  </x:si>
  <x:si>
    <x:t xml:space="preserve">NURSAYDAH</x:t>
  </x:si>
  <x:si>
    <x:t xml:space="preserve">1901045404040000</x:t>
  </x:si>
  <x:si>
    <x:t xml:space="preserve">1971071907240002</x:t>
  </x:si>
  <x:si>
    <x:t xml:space="preserve">JL. KELAPA II RT.002 RW.001</x:t>
  </x:si>
  <x:si>
    <x:t xml:space="preserve">RTLH-0164</x:t>
  </x:si>
  <x:si>
    <x:t xml:space="preserve">SUMIYATI</x:t>
  </x:si>
  <x:si>
    <x:t xml:space="preserve">1971024505570001</x:t>
  </x:si>
  <x:si>
    <x:t xml:space="preserve">1971021403082636</x:t>
  </x:si>
  <x:si>
    <x:t xml:space="preserve">JL. KH ABDULLAH ADDARI NO.45 RT.001 RW.001</x:t>
  </x:si>
  <x:si>
    <x:t xml:space="preserve">RAWA BANGUN</x:t>
  </x:si>
  <x:si>
    <x:t xml:space="preserve">RTLH-0165</x:t>
  </x:si>
  <x:si>
    <x:t xml:space="preserve">ABU BAKAR</x:t>
  </x:si>
  <x:si>
    <x:t xml:space="preserve">1971022506500001</x:t>
  </x:si>
  <x:si>
    <x:t xml:space="preserve">1971020509110002</x:t>
  </x:si>
  <x:si>
    <x:t xml:space="preserve">JL. TERATAI NO.219 RT.007 RW.002</x:t>
  </x:si>
  <x:si>
    <x:t xml:space="preserve">RTLH-0166</x:t>
  </x:si>
  <x:si>
    <x:t xml:space="preserve">MELLY</x:t>
  </x:si>
  <x:si>
    <x:t xml:space="preserve">1904044205900004</x:t>
  </x:si>
  <x:si>
    <x:t xml:space="preserve">1904041106150002</x:t>
  </x:si>
  <x:si>
    <x:t xml:space="preserve">JL. TERATAI RT.007 RW.002</x:t>
  </x:si>
  <x:si>
    <x:t xml:space="preserve">RTLH-0167</x:t>
  </x:si>
  <x:si>
    <x:t xml:space="preserve">SLAMET / ROMADHON</x:t>
  </x:si>
  <x:si>
    <x:t xml:space="preserve">1971020212100014</x:t>
  </x:si>
  <x:si>
    <x:t xml:space="preserve">JL. TERATAI RT.007 RW.003</x:t>
  </x:si>
  <x:si>
    <x:t xml:space="preserve">RTLH-0168</x:t>
  </x:si>
  <x:si>
    <x:t xml:space="preserve">DARMAWAN/ SRI SEPTRIANTI    </x:t>
  </x:si>
  <x:si>
    <x:t xml:space="preserve">1971020711680001</x:t>
  </x:si>
  <x:si>
    <x:t xml:space="preserve">1971021403081714</x:t>
  </x:si>
  <x:si>
    <x:t xml:space="preserve">JL. TERATAI RT.007 RW.004</x:t>
  </x:si>
  <x:si>
    <x:t xml:space="preserve">RTLH-0169</x:t>
  </x:si>
  <x:si>
    <x:t xml:space="preserve">Alm. AMPERAWATI / AKBAL SAPUTRA</x:t>
  </x:si>
  <x:si>
    <x:t xml:space="preserve">1971021510990002</x:t>
  </x:si>
  <x:si>
    <x:t xml:space="preserve">1971023009110001</x:t>
  </x:si>
  <x:si>
    <x:t xml:space="preserve">JL. TERATAI RT.007 RW.005</x:t>
  </x:si>
  <x:si>
    <x:t xml:space="preserve">RTLH-0170</x:t>
  </x:si>
  <x:si>
    <x:t xml:space="preserve">ILHAMSYAH / LUSIANI</x:t>
  </x:si>
  <x:si>
    <x:t xml:space="preserve">1971021403081713</x:t>
  </x:si>
  <x:si>
    <x:t xml:space="preserve">JL. TERATAI RT.007 RW.006</x:t>
  </x:si>
  <x:si>
    <x:t xml:space="preserve">RTLH-0171</x:t>
  </x:si>
  <x:si>
    <x:t xml:space="preserve">BONARANG</x:t>
  </x:si>
  <x:si>
    <x:t xml:space="preserve">1971020310760003</x:t>
  </x:si>
  <x:si>
    <x:t xml:space="preserve">1971022403090005</x:t>
  </x:si>
  <x:si>
    <x:t xml:space="preserve">JL. TERATAI RT.007 RW.007</x:t>
  </x:si>
  <x:si>
    <x:t xml:space="preserve">RTLH-0172</x:t>
  </x:si>
  <x:si>
    <x:t xml:space="preserve">EMAN KOTO / INDA SASTRA</x:t>
  </x:si>
  <x:si>
    <x:t xml:space="preserve">1971040509710001</x:t>
  </x:si>
  <x:si>
    <x:t xml:space="preserve">1971041403086448</x:t>
  </x:si>
  <x:si>
    <x:t xml:space="preserve">JL. MASJID ALHUDA NO.77 RT.007 RW.002</x:t>
  </x:si>
  <x:si>
    <x:t xml:space="preserve">RTLH-0173</x:t>
  </x:si>
  <x:si>
    <x:t xml:space="preserve">SUGIANA</x:t>
  </x:si>
  <x:si>
    <x:t xml:space="preserve">1971054410790003</x:t>
  </x:si>
  <x:si>
    <x:t xml:space="preserve">1971020501240003</x:t>
  </x:si>
  <x:si>
    <x:t xml:space="preserve">JL. A YANI, GG. PELITA DALAM RT.003 RW.004</x:t>
  </x:si>
  <x:si>
    <x:t xml:space="preserve">RTLH-0174</x:t>
  </x:si>
  <x:si>
    <x:t xml:space="preserve">RUSYATI</x:t>
  </x:si>
  <x:si>
    <x:t xml:space="preserve">1971035604520001</x:t>
  </x:si>
  <x:si>
    <x:t xml:space="preserve">1971060312180004</x:t>
  </x:si>
  <x:si>
    <x:t xml:space="preserve">JL. KERABUT RT.004 RW.002</x:t>
  </x:si>
  <x:si>
    <x:t xml:space="preserve">RTLH-0175</x:t>
  </x:si>
  <x:si>
    <x:t xml:space="preserve">SURYA MARGARETHA</x:t>
  </x:si>
  <x:si>
    <x:t xml:space="preserve">1901014709770003</x:t>
  </x:si>
  <x:si>
    <x:t xml:space="preserve">1901012807220008</x:t>
  </x:si>
  <x:si>
    <x:t xml:space="preserve">JL. ISTIQRAB DALAM</x:t>
  </x:si>
  <x:si>
    <x:t xml:space="preserve">RTLH-0176</x:t>
  </x:si>
  <x:si>
    <x:t xml:space="preserve">ZAINI</x:t>
  </x:si>
  <x:si>
    <x:t xml:space="preserve">1971041008510002</x:t>
  </x:si>
  <x:si>
    <x:t xml:space="preserve">1971041002100001</x:t>
  </x:si>
  <x:si>
    <x:t xml:space="preserve">RTLH-0177</x:t>
  </x:si>
  <x:si>
    <x:t xml:space="preserve">AJIJAH</x:t>
  </x:si>
  <x:si>
    <x:t xml:space="preserve">1971046908540002</x:t>
  </x:si>
  <x:si>
    <x:t xml:space="preserve">1971042302220003</x:t>
  </x:si>
  <x:si>
    <x:t xml:space="preserve">JL. JAKFAR YUSUF RT.008 RW.003</x:t>
  </x:si>
  <x:si>
    <x:t xml:space="preserve">RTLH-0178</x:t>
  </x:si>
  <x:si>
    <x:t xml:space="preserve">TERY WAHYUDI</x:t>
  </x:si>
  <x:si>
    <x:t xml:space="preserve">1971042006970002</x:t>
  </x:si>
  <x:si>
    <x:t xml:space="preserve">1971042707200002</x:t>
  </x:si>
  <x:si>
    <x:t xml:space="preserve">RTLH-0179</x:t>
  </x:si>
  <x:si>
    <x:t xml:space="preserve">M. TAUPIK HIDAYAT</x:t>
  </x:si>
  <x:si>
    <x:t xml:space="preserve">1971031206600004</x:t>
  </x:si>
  <x:si>
    <x:t xml:space="preserve">1971030503090006</x:t>
  </x:si>
  <x:si>
    <x:t xml:space="preserve">JL. PIKAS 9 NO.50B RT.002 RW.001</x:t>
  </x:si>
  <x:si>
    <x:t xml:space="preserve">AIR SALEMBA</x:t>
  </x:si>
  <x:si>
    <x:t xml:space="preserve">RTLH-0180</x:t>
  </x:si>
  <x:si>
    <x:t xml:space="preserve">ARSITA SAMPURNA / DARLENA</x:t>
  </x:si>
  <x:si>
    <x:t xml:space="preserve">1971021511110007</x:t>
  </x:si>
  <x:si>
    <x:t xml:space="preserve">RTLH-0181</x:t>
  </x:si>
  <x:si>
    <x:t xml:space="preserve">ALM. DARMAWAN/ JARIAH</x:t>
  </x:si>
  <x:si>
    <x:t xml:space="preserve">1971022411510001</x:t>
  </x:si>
  <x:si>
    <x:t xml:space="preserve">1971023009090003</x:t>
  </x:si>
  <x:si>
    <x:t xml:space="preserve">RTLH-0182</x:t>
  </x:si>
  <x:si>
    <x:t xml:space="preserve">M. ZALDI</x:t>
  </x:si>
  <x:si>
    <x:t xml:space="preserve">1971020705720001</x:t>
  </x:si>
  <x:si>
    <x:t xml:space="preserve">1971021512080005</x:t>
  </x:si>
  <x:si>
    <x:t xml:space="preserve">RTLH-0183</x:t>
  </x:si>
  <x:si>
    <x:t xml:space="preserve">RUSDIN/ATIE</x:t>
  </x:si>
  <x:si>
    <x:t xml:space="preserve">JL.PABRIK LIMUS RT/RW 009/003</x:t>
  </x:si>
  <x:si>
    <x:t xml:space="preserve">RTLH-0184</x:t>
  </x:si>
  <x:si>
    <x:t xml:space="preserve">RUAIDAH</x:t>
  </x:si>
  <x:si>
    <x:t xml:space="preserve">GG.TOMAT IV RT/RW 006/002</x:t>
  </x:si>
  <x:si>
    <x:t xml:space="preserve">RTLH-0185</x:t>
  </x:si>
  <x:si>
    <x:t xml:space="preserve">SYARIFUDDIN</x:t>
  </x:si>
  <x:si>
    <x:t xml:space="preserve">1971042505730002</x:t>
  </x:si>
  <x:si>
    <x:t xml:space="preserve">1971041403086219</x:t>
  </x:si>
  <x:si>
    <x:t xml:space="preserve">GG.TOMAT IV RT/RW 005/002</x:t>
  </x:si>
  <x:si>
    <x:t xml:space="preserve">RTLH-0186</x:t>
  </x:si>
  <x:si>
    <x:t xml:space="preserve">RAHMI ANDARI</x:t>
  </x:si>
  <x:si>
    <x:t xml:space="preserve">1971055603950002</x:t>
  </x:si>
  <x:si>
    <x:t xml:space="preserve">1971022210140002</x:t>
  </x:si>
  <x:si>
    <x:t xml:space="preserve">JL.M TOYIB RT/RW 003/004</x:t>
  </x:si>
  <x:si>
    <x:t xml:space="preserve">RTLH-0187</x:t>
  </x:si>
  <x:si>
    <x:t xml:space="preserve">JOHAN/JUNIATI</x:t>
  </x:si>
  <x:si>
    <x:t xml:space="preserve">JL. M TOYIB RT/RW 003/004</x:t>
  </x:si>
  <x:si>
    <x:t xml:space="preserve">RTLH-0188</x:t>
  </x:si>
  <x:si>
    <x:t xml:space="preserve">ROSIDI</x:t>
  </x:si>
  <x:si>
    <x:t xml:space="preserve">JL.AYANI GG AIDA RT/RW 002/004</x:t>
  </x:si>
  <x:si>
    <x:t xml:space="preserve">RTLH-0189</x:t>
  </x:si>
  <x:si>
    <x:t xml:space="preserve">ZANIMAR</x:t>
  </x:si>
  <x:si>
    <x:t xml:space="preserve">1971054304480000</x:t>
  </x:si>
  <x:si>
    <x:t xml:space="preserve">1971051403084412</x:t>
  </x:si>
  <x:si>
    <x:t xml:space="preserve">JL.SUMEDANG GG SALAM RT/RW 002/001</x:t>
  </x:si>
  <x:si>
    <x:t xml:space="preserve">RTLH-0190</x:t>
  </x:si>
  <x:si>
    <x:t xml:space="preserve">N ENDANG</x:t>
  </x:si>
  <x:si>
    <x:t xml:space="preserve">JL.SAHABAT RT/RW 001/004</x:t>
  </x:si>
  <x:si>
    <x:t xml:space="preserve">RTLH-0191</x:t>
  </x:si>
  <x:si>
    <x:t xml:space="preserve">TJHANG MUK LOI</x:t>
  </x:si>
  <x:si>
    <x:t xml:space="preserve">PARIT LALANG</x:t>
  </x:si>
  <x:si>
    <x:t xml:space="preserve">RTLH-0192</x:t>
  </x:si>
  <x:si>
    <x:t xml:space="preserve">NUZUL ANDANI</x:t>
  </x:si>
  <x:si>
    <x:t xml:space="preserve">RTLH-0193</x:t>
  </x:si>
  <x:si>
    <x:t xml:space="preserve">SANIAH</x:t>
  </x:si>
  <x:si>
    <x:t xml:space="preserve">JL.PAMEKASAN RT/RW 002/002</x:t>
  </x:si>
  <x:si>
    <x:t xml:space="preserve">RTLH-0194</x:t>
  </x:si>
  <x:si>
    <x:t xml:space="preserve">AMINAH</x:t>
  </x:si>
  <x:si>
    <x:t xml:space="preserve">JL.VETERAN UJUNG RT/RW 001/003</x:t>
  </x:si>
  <x:si>
    <x:t xml:space="preserve">RTLH-0195</x:t>
  </x:si>
  <x:si>
    <x:t xml:space="preserve">KAMALUDDIN</x:t>
  </x:si>
  <x:si>
    <x:t xml:space="preserve">JL.VETERAN GG.KEMANGI I RT/RW 003/002</x:t>
  </x:si>
  <x:si>
    <x:t xml:space="preserve">RTLH-0196</x:t>
  </x:si>
  <x:si>
    <x:t xml:space="preserve">MUNZIR</x:t>
  </x:si>
  <x:si>
    <x:t xml:space="preserve">JL.MASJID JAMIK ALHUSNA RT/RW 004/002</x:t>
  </x:si>
  <x:si>
    <x:t xml:space="preserve">RTLH-0197</x:t>
  </x:si>
  <x:si>
    <x:t xml:space="preserve">PILOMON POLUS</x:t>
  </x:si>
  <x:si>
    <x:t xml:space="preserve">JL.SMP N 10 RT/RW 007/002</x:t>
  </x:si>
  <x:si>
    <x:t xml:space="preserve">RTLH-0198</x:t>
  </x:si>
  <x:si>
    <x:t xml:space="preserve">SAHARI ( ORG TUA) / ERIC JAYAPRAJA (ANAK)</x:t>
  </x:si>
  <x:si>
    <x:t xml:space="preserve">JL.DEMANG SINGA YUDA, GG MUTIARA IV DEPAN MASJID AL MUTAQQIN RT/RW 007/003</x:t>
  </x:si>
  <x:si>
    <x:t xml:space="preserve">RTLH-0199</x:t>
  </x:si>
  <x:si>
    <x:t xml:space="preserve">ARIATI</x:t>
  </x:si>
  <x:si>
    <x:t xml:space="preserve">1904026503740001</x:t>
  </x:si>
  <x:si>
    <x:t xml:space="preserve">1904022812080004</x:t>
  </x:si>
  <x:si>
    <x:t xml:space="preserve">RTLH-0200</x:t>
  </x:si>
  <x:si>
    <x:t xml:space="preserve">RENNY OKTAVIANI</x:t>
  </x:si>
  <x:si>
    <x:t xml:space="preserve">JL.AIR MAWAR RT/RW 002/001</x:t>
  </x:si>
  <x:si>
    <x:t xml:space="preserve">AIR MAWAR </x:t>
  </x:si>
  <x:si>
    <x:t xml:space="preserve">RTLH-0201</x:t>
  </x:si>
  <x:si>
    <x:t xml:space="preserve">ROSIAH </x:t>
  </x:si>
  <x:si>
    <x:t xml:space="preserve">1971015509620003</x:t>
  </x:si>
  <x:si>
    <x:t xml:space="preserve">1971070607150002</x:t>
  </x:si>
  <x:si>
    <x:t xml:space="preserve">RTLH-0202</x:t>
  </x:si>
  <x:si>
    <x:t xml:space="preserve">MAUN RASIMA</x:t>
  </x:si>
  <x:si>
    <x:t xml:space="preserve">1971010907750003</x:t>
  </x:si>
  <x:si>
    <x:t xml:space="preserve">1971011403082801</x:t>
  </x:si>
  <x:si>
    <x:t xml:space="preserve">JL.ARUS DALAM RT/RW 003/002</x:t>
  </x:si>
  <x:si>
    <x:t xml:space="preserve">RTLH-0203</x:t>
  </x:si>
  <x:si>
    <x:t xml:space="preserve">IMRON</x:t>
  </x:si>
  <x:si>
    <x:t xml:space="preserve">1971010707730003</x:t>
  </x:si>
  <x:si>
    <x:t xml:space="preserve">1971011403082730</x:t>
  </x:si>
  <x:si>
    <x:t xml:space="preserve">RTLH-0204</x:t>
  </x:si>
  <x:si>
    <x:t xml:space="preserve">ZAINUDDIN </x:t>
  </x:si>
  <x:si>
    <x:t xml:space="preserve">RTLH-0205</x:t>
  </x:si>
  <x:si>
    <x:t xml:space="preserve">TOHAR MARTONO SUDIRO</x:t>
  </x:si>
  <x:si>
    <x:t xml:space="preserve">1971031404570001</x:t>
  </x:si>
  <x:si>
    <x:t xml:space="preserve">1971031403086512</x:t>
  </x:si>
  <x:si>
    <x:t xml:space="preserve">JL.MUJAIR RT/RW 006/002</x:t>
  </x:si>
  <x:si>
    <x:t xml:space="preserve">PANGKALBALAM</x:t>
  </x:si>
  <x:si>
    <x:t xml:space="preserve">RTLH-0206</x:t>
  </x:si>
  <x:si>
    <x:t xml:space="preserve">DEDI SISWANTO</x:t>
  </x:si>
  <x:si>
    <x:t xml:space="preserve">1971030606750002</x:t>
  </x:si>
  <x:si>
    <x:t xml:space="preserve">'1971031403086727</x:t>
  </x:si>
  <x:si>
    <x:t xml:space="preserve">JL. NILA DALAM RT/RW 008/003</x:t>
  </x:si>
  <x:si>
    <x:t xml:space="preserve">RTLH-0207</x:t>
  </x:si>
  <x:si>
    <x:t xml:space="preserve">USMAN/ DIAN LARASATI</x:t>
  </x:si>
  <x:si>
    <x:t xml:space="preserve">1971051409880006</x:t>
  </x:si>
  <x:si>
    <x:t xml:space="preserve">1971050602240002</x:t>
  </x:si>
  <x:si>
    <x:t xml:space="preserve">JL. KAMPUNG MELAYU RT.007 RW.003</x:t>
  </x:si>
  <x:si>
    <x:t xml:space="preserve">RTLH-0208</x:t>
  </x:si>
  <x:si>
    <x:t xml:space="preserve">USMAN/ NOVA</x:t>
  </x:si>
  <x:si>
    <x:t xml:space="preserve">1971051005910001</x:t>
  </x:si>
  <x:si>
    <x:t xml:space="preserve">1971053107130002</x:t>
  </x:si>
  <x:si>
    <x:t xml:space="preserve">JL. GERUNGGANG DALAM</x:t>
  </x:si>
  <x:si>
    <x:t xml:space="preserve">selesai</x:t>
  </x:si>
  <x:si>
    <x:t xml:space="preserve">TEMPLATE RESMI DATABASE SIRUMAH — DATA UNIT RUSUNAWA</x:t>
  </x:si>
  <x:si>
    <x:t xml:space="preserve">Sumber Ringkasan Utama RUSUNAWA, status unit, tingkat hunian, unit siap huni, dan kondisi unit.</x:t>
  </x:si>
  <x:si>
    <x:t xml:space="preserve">ID_UNIT*</x:t>
  </x:si>
  <x:si>
    <x:t xml:space="preserve">NAMA_RUSUNAWA*</x:t>
  </x:si>
  <x:si>
    <x:t xml:space="preserve">BLOK*</x:t>
  </x:si>
  <x:si>
    <x:t xml:space="preserve">LANTAI*</x:t>
  </x:si>
  <x:si>
    <x:t xml:space="preserve">NOMOR_UNIT*</x:t>
  </x:si>
  <x:si>
    <x:t xml:space="preserve">TIPE_UNIT</x:t>
  </x:si>
  <x:si>
    <x:t xml:space="preserve">STATUS_UNIT*</x:t>
  </x:si>
  <x:si>
    <x:t xml:space="preserve">KONDISI_UNIT*</x:t>
  </x:si>
  <x:si>
    <x:t xml:space="preserve">UNIT-0001</x:t>
  </x:si>
  <x:si>
    <x:t xml:space="preserve">RUSUNAWA Kota Pangkal Pinang</x:t>
  </x:si>
  <x:si>
    <x:t xml:space="preserve">BLOK C</x:t>
  </x:si>
  <x:si>
    <x:t xml:space="preserve">I</x:t>
  </x:si>
  <x:si>
    <x:t xml:space="preserve">Terisi</x:t>
  </x:si>
  <x:si>
    <x:t xml:space="preserve">UNIT-0002</x:t>
  </x:si>
  <x:si>
    <x:t xml:space="preserve">UNIT-0003</x:t>
  </x:si>
  <x:si>
    <x:t xml:space="preserve">UNIT-0004</x:t>
  </x:si>
  <x:si>
    <x:t xml:space="preserve">UNIT-0005</x:t>
  </x:si>
  <x:si>
    <x:t xml:space="preserve">Kosong</x:t>
  </x:si>
  <x:si>
    <x:t xml:space="preserve">UNIT-0006</x:t>
  </x:si>
  <x:si>
    <x:t xml:space="preserve">UNIT-0007</x:t>
  </x:si>
  <x:si>
    <x:t xml:space="preserve">UNIT-0008</x:t>
  </x:si>
  <x:si>
    <x:t xml:space="preserve">8</x:t>
  </x:si>
  <x:si>
    <x:t xml:space="preserve">UNIT-0009</x:t>
  </x:si>
  <x:si>
    <x:t xml:space="preserve">9</x:t>
  </x:si>
  <x:si>
    <x:t xml:space="preserve">UNIT-0010</x:t>
  </x:si>
  <x:si>
    <x:t xml:space="preserve">10</x:t>
  </x:si>
  <x:si>
    <x:t xml:space="preserve">Tidak Dapat Digunakan</x:t>
  </x:si>
  <x:si>
    <x:t xml:space="preserve">UNIT-0011</x:t>
  </x:si>
  <x:si>
    <x:t xml:space="preserve">11</x:t>
  </x:si>
  <x:si>
    <x:t xml:space="preserve">UNIT-0012</x:t>
  </x:si>
  <x:si>
    <x:t xml:space="preserve">12</x:t>
  </x:si>
  <x:si>
    <x:t xml:space="preserve">UNIT-0013</x:t>
  </x:si>
  <x:si>
    <x:t xml:space="preserve">13</x:t>
  </x:si>
  <x:si>
    <x:t xml:space="preserve">UNIT-0014</x:t>
  </x:si>
  <x:si>
    <x:t xml:space="preserve">14</x:t>
  </x:si>
  <x:si>
    <x:t xml:space="preserve">UNIT-0015</x:t>
  </x:si>
  <x:si>
    <x:t xml:space="preserve">15</x:t>
  </x:si>
  <x:si>
    <x:t xml:space="preserve">UNIT-0016</x:t>
  </x:si>
  <x:si>
    <x:t xml:space="preserve">16</x:t>
  </x:si>
  <x:si>
    <x:t xml:space="preserve">UNIT-0017</x:t>
  </x:si>
  <x:si>
    <x:t xml:space="preserve">17</x:t>
  </x:si>
  <x:si>
    <x:t xml:space="preserve">UNIT-0018</x:t>
  </x:si>
  <x:si>
    <x:t xml:space="preserve">18</x:t>
  </x:si>
  <x:si>
    <x:t xml:space="preserve">UNIT-0019</x:t>
  </x:si>
  <x:si>
    <x:t xml:space="preserve">19</x:t>
  </x:si>
  <x:si>
    <x:t xml:space="preserve">UNIT-0020</x:t>
  </x:si>
  <x:si>
    <x:t xml:space="preserve">20</x:t>
  </x:si>
  <x:si>
    <x:t xml:space="preserve">UNIT-0021</x:t>
  </x:si>
  <x:si>
    <x:t xml:space="preserve">21</x:t>
  </x:si>
  <x:si>
    <x:t xml:space="preserve">UNIT-0022</x:t>
  </x:si>
  <x:si>
    <x:t xml:space="preserve">22</x:t>
  </x:si>
  <x:si>
    <x:t xml:space="preserve">UNIT-0023</x:t>
  </x:si>
  <x:si>
    <x:t xml:space="preserve">23</x:t>
  </x:si>
  <x:si>
    <x:t xml:space="preserve">UNIT-0024</x:t>
  </x:si>
  <x:si>
    <x:t xml:space="preserve">24</x:t>
  </x:si>
  <x:si>
    <x:t xml:space="preserve">UNIT-0025</x:t>
  </x:si>
  <x:si>
    <x:t xml:space="preserve">II</x:t>
  </x:si>
  <x:si>
    <x:t xml:space="preserve">UNIT-0026</x:t>
  </x:si>
  <x:si>
    <x:t xml:space="preserve">UNIT-0027</x:t>
  </x:si>
  <x:si>
    <x:t xml:space="preserve">UNIT-0028</x:t>
  </x:si>
  <x:si>
    <x:t xml:space="preserve">UNIT-0029</x:t>
  </x:si>
  <x:si>
    <x:t xml:space="preserve">UNIT-0030</x:t>
  </x:si>
  <x:si>
    <x:t xml:space="preserve">UNIT-0031</x:t>
  </x:si>
  <x:si>
    <x:t xml:space="preserve">UNIT-0032</x:t>
  </x:si>
  <x:si>
    <x:t xml:space="preserve">UNIT-0033</x:t>
  </x:si>
  <x:si>
    <x:t xml:space="preserve">UNIT-0034</x:t>
  </x:si>
  <x:si>
    <x:t xml:space="preserve">UNIT-0035</x:t>
  </x:si>
  <x:si>
    <x:t xml:space="preserve">UNIT-0036</x:t>
  </x:si>
  <x:si>
    <x:t xml:space="preserve">UNIT-0037</x:t>
  </x:si>
  <x:si>
    <x:t xml:space="preserve">UNIT-0038</x:t>
  </x:si>
  <x:si>
    <x:t xml:space="preserve">UNIT-0039</x:t>
  </x:si>
  <x:si>
    <x:t xml:space="preserve">UNIT-0040</x:t>
  </x:si>
  <x:si>
    <x:t xml:space="preserve">UNIT-0041</x:t>
  </x:si>
  <x:si>
    <x:t xml:space="preserve">UNIT-0042</x:t>
  </x:si>
  <x:si>
    <x:t xml:space="preserve">UNIT-0043</x:t>
  </x:si>
  <x:si>
    <x:t xml:space="preserve">UNIT-0044</x:t>
  </x:si>
  <x:si>
    <x:t xml:space="preserve">UNIT-0045</x:t>
  </x:si>
  <x:si>
    <x:t xml:space="preserve">UNIT-0046</x:t>
  </x:si>
  <x:si>
    <x:t xml:space="preserve">UNIT-0047</x:t>
  </x:si>
  <x:si>
    <x:t xml:space="preserve">UNIT-0048</x:t>
  </x:si>
  <x:si>
    <x:t xml:space="preserve">UNIT-0049</x:t>
  </x:si>
  <x:si>
    <x:t xml:space="preserve">III</x:t>
  </x:si>
  <x:si>
    <x:t xml:space="preserve">UNIT-0050</x:t>
  </x:si>
  <x:si>
    <x:t xml:space="preserve">UNIT-0051</x:t>
  </x:si>
  <x:si>
    <x:t xml:space="preserve">UNIT-0052</x:t>
  </x:si>
  <x:si>
    <x:t xml:space="preserve">UNIT-0053</x:t>
  </x:si>
  <x:si>
    <x:t xml:space="preserve">UNIT-0054</x:t>
  </x:si>
  <x:si>
    <x:t xml:space="preserve">UNIT-0055</x:t>
  </x:si>
  <x:si>
    <x:t xml:space="preserve">UNIT-0056</x:t>
  </x:si>
  <x:si>
    <x:t xml:space="preserve">UNIT-0057</x:t>
  </x:si>
  <x:si>
    <x:t xml:space="preserve">UNIT-0058</x:t>
  </x:si>
  <x:si>
    <x:t xml:space="preserve">UNIT-0059</x:t>
  </x:si>
  <x:si>
    <x:t xml:space="preserve">UNIT-0060</x:t>
  </x:si>
  <x:si>
    <x:t xml:space="preserve">UNIT-0061</x:t>
  </x:si>
  <x:si>
    <x:t xml:space="preserve">UNIT-0062</x:t>
  </x:si>
  <x:si>
    <x:t xml:space="preserve">UNIT-0063</x:t>
  </x:si>
  <x:si>
    <x:t xml:space="preserve">UNIT-0064</x:t>
  </x:si>
  <x:si>
    <x:t xml:space="preserve">UNIT-0065</x:t>
  </x:si>
  <x:si>
    <x:t xml:space="preserve">UNIT-0066</x:t>
  </x:si>
  <x:si>
    <x:t xml:space="preserve">UNIT-0067</x:t>
  </x:si>
  <x:si>
    <x:t xml:space="preserve">UNIT-0068</x:t>
  </x:si>
  <x:si>
    <x:t xml:space="preserve">UNIT-0069</x:t>
  </x:si>
  <x:si>
    <x:t xml:space="preserve">UNIT-0070</x:t>
  </x:si>
  <x:si>
    <x:t xml:space="preserve">UNIT-0071</x:t>
  </x:si>
  <x:si>
    <x:t xml:space="preserve">UNIT-0072</x:t>
  </x:si>
  <x:si>
    <x:t xml:space="preserve">UNIT-0073</x:t>
  </x:si>
  <x:si>
    <x:t xml:space="preserve">IV</x:t>
  </x:si>
  <x:si>
    <x:t xml:space="preserve">UNIT-0074</x:t>
  </x:si>
  <x:si>
    <x:t xml:space="preserve">UNIT-0075</x:t>
  </x:si>
  <x:si>
    <x:t xml:space="preserve">UNIT-0076</x:t>
  </x:si>
  <x:si>
    <x:t xml:space="preserve">UNIT-0077</x:t>
  </x:si>
  <x:si>
    <x:t xml:space="preserve">UNIT-0078</x:t>
  </x:si>
  <x:si>
    <x:t xml:space="preserve">UNIT-0079</x:t>
  </x:si>
  <x:si>
    <x:t xml:space="preserve">UNIT-0080</x:t>
  </x:si>
  <x:si>
    <x:t xml:space="preserve">UNIT-0081</x:t>
  </x:si>
  <x:si>
    <x:t xml:space="preserve">UNIT-0082</x:t>
  </x:si>
  <x:si>
    <x:t xml:space="preserve">UNIT-0083</x:t>
  </x:si>
  <x:si>
    <x:t xml:space="preserve">UNIT-0084</x:t>
  </x:si>
  <x:si>
    <x:t xml:space="preserve">UNIT-0085</x:t>
  </x:si>
  <x:si>
    <x:t xml:space="preserve">UNIT-0086</x:t>
  </x:si>
  <x:si>
    <x:t xml:space="preserve">UNIT-0087</x:t>
  </x:si>
  <x:si>
    <x:t xml:space="preserve">UNIT-0088</x:t>
  </x:si>
  <x:si>
    <x:t xml:space="preserve">UNIT-0089</x:t>
  </x:si>
  <x:si>
    <x:t xml:space="preserve">UNIT-0090</x:t>
  </x:si>
  <x:si>
    <x:t xml:space="preserve">UNIT-0091</x:t>
  </x:si>
  <x:si>
    <x:t xml:space="preserve">UNIT-0092</x:t>
  </x:si>
  <x:si>
    <x:t xml:space="preserve">UNIT-0093</x:t>
  </x:si>
  <x:si>
    <x:t xml:space="preserve">UNIT-0094</x:t>
  </x:si>
  <x:si>
    <x:t xml:space="preserve">UNIT-0095</x:t>
  </x:si>
  <x:si>
    <x:t xml:space="preserve">UNIT-0096</x:t>
  </x:si>
  <x:si>
    <x:t xml:space="preserve">UNIT-0097</x:t>
  </x:si>
  <x:si>
    <x:t xml:space="preserve">BLOK D</x:t>
  </x:si>
  <x:si>
    <x:t xml:space="preserve">DASAR</x:t>
  </x:si>
  <x:si>
    <x:t xml:space="preserve">UNIT-0098</x:t>
  </x:si>
  <x:si>
    <x:t xml:space="preserve">UNIT-0099</x:t>
  </x:si>
  <x:si>
    <x:t xml:space="preserve">UNIT-0100</x:t>
  </x:si>
  <x:si>
    <x:t xml:space="preserve">UNIT-0101</x:t>
  </x:si>
  <x:si>
    <x:t xml:space="preserve">UNIT-0102</x:t>
  </x:si>
  <x:si>
    <x:t xml:space="preserve">UNIT-0103</x:t>
  </x:si>
  <x:si>
    <x:t xml:space="preserve">UNIT-0104</x:t>
  </x:si>
  <x:si>
    <x:t xml:space="preserve">UNIT-0105</x:t>
  </x:si>
  <x:si>
    <x:t xml:space="preserve">UNIT-0106</x:t>
  </x:si>
  <x:si>
    <x:t xml:space="preserve">UNIT-0107</x:t>
  </x:si>
  <x:si>
    <x:t xml:space="preserve">UNIT-0108</x:t>
  </x:si>
  <x:si>
    <x:t xml:space="preserve">UNIT-0109</x:t>
  </x:si>
  <x:si>
    <x:t xml:space="preserve">UNIT-0110</x:t>
  </x:si>
  <x:si>
    <x:t xml:space="preserve">UNIT-0111</x:t>
  </x:si>
  <x:si>
    <x:t xml:space="preserve">UNIT-0112</x:t>
  </x:si>
  <x:si>
    <x:t xml:space="preserve">UNIT-0113</x:t>
  </x:si>
  <x:si>
    <x:t xml:space="preserve">UNIT-0114</x:t>
  </x:si>
  <x:si>
    <x:t xml:space="preserve">UNIT-0115</x:t>
  </x:si>
  <x:si>
    <x:t xml:space="preserve">UNIT-0116</x:t>
  </x:si>
  <x:si>
    <x:t xml:space="preserve">UNIT-0117</x:t>
  </x:si>
  <x:si>
    <x:t xml:space="preserve">UNIT-0118</x:t>
  </x:si>
  <x:si>
    <x:t xml:space="preserve">UNIT-0119</x:t>
  </x:si>
  <x:si>
    <x:t xml:space="preserve">UNIT-0120</x:t>
  </x:si>
  <x:si>
    <x:t xml:space="preserve">UNIT-0121</x:t>
  </x:si>
  <x:si>
    <x:t xml:space="preserve">UNIT-0122</x:t>
  </x:si>
  <x:si>
    <x:t xml:space="preserve">UNIT-0123</x:t>
  </x:si>
  <x:si>
    <x:t xml:space="preserve">UNIT-0124</x:t>
  </x:si>
  <x:si>
    <x:t xml:space="preserve">UNIT-0125</x:t>
  </x:si>
  <x:si>
    <x:t xml:space="preserve">UNIT-0126</x:t>
  </x:si>
  <x:si>
    <x:t xml:space="preserve">UNIT-0127</x:t>
  </x:si>
  <x:si>
    <x:t xml:space="preserve">UNIT-0128</x:t>
  </x:si>
  <x:si>
    <x:t xml:space="preserve">UNIT-0129</x:t>
  </x:si>
  <x:si>
    <x:t xml:space="preserve">UNIT-0130</x:t>
  </x:si>
  <x:si>
    <x:t xml:space="preserve">UNIT-0131</x:t>
  </x:si>
  <x:si>
    <x:t xml:space="preserve">UNIT-0132</x:t>
  </x:si>
  <x:si>
    <x:t xml:space="preserve">UNIT-0133</x:t>
  </x:si>
  <x:si>
    <x:t xml:space="preserve">UNIT-0134</x:t>
  </x:si>
  <x:si>
    <x:t xml:space="preserve">UNIT-0135</x:t>
  </x:si>
  <x:si>
    <x:t xml:space="preserve">UNIT-0136</x:t>
  </x:si>
  <x:si>
    <x:t xml:space="preserve">UNIT-0137</x:t>
  </x:si>
  <x:si>
    <x:t xml:space="preserve">UNIT-0138</x:t>
  </x:si>
  <x:si>
    <x:t xml:space="preserve">UNIT-0139</x:t>
  </x:si>
  <x:si>
    <x:t xml:space="preserve">UNIT-0140</x:t>
  </x:si>
  <x:si>
    <x:t xml:space="preserve">UNIT-0141</x:t>
  </x:si>
  <x:si>
    <x:t xml:space="preserve">UNIT-0142</x:t>
  </x:si>
  <x:si>
    <x:t xml:space="preserve">UNIT-0143</x:t>
  </x:si>
  <x:si>
    <x:t xml:space="preserve">UNIT-0144</x:t>
  </x:si>
  <x:si>
    <x:t xml:space="preserve">UNIT-0145</x:t>
  </x:si>
  <x:si>
    <x:t xml:space="preserve">UNIT-0146</x:t>
  </x:si>
  <x:si>
    <x:t xml:space="preserve">UNIT-0147</x:t>
  </x:si>
  <x:si>
    <x:t xml:space="preserve">UNIT-0148</x:t>
  </x:si>
  <x:si>
    <x:t xml:space="preserve">UNIT-0149</x:t>
  </x:si>
  <x:si>
    <x:t xml:space="preserve">UNIT-0150</x:t>
  </x:si>
  <x:si>
    <x:t xml:space="preserve">UNIT-0151</x:t>
  </x:si>
  <x:si>
    <x:t xml:space="preserve">UNIT-0152</x:t>
  </x:si>
  <x:si>
    <x:t xml:space="preserve">UNIT-0153</x:t>
  </x:si>
  <x:si>
    <x:t xml:space="preserve">UNIT-0154</x:t>
  </x:si>
  <x:si>
    <x:t xml:space="preserve">UNIT-0155</x:t>
  </x:si>
  <x:si>
    <x:t xml:space="preserve">UNIT-0156</x:t>
  </x:si>
  <x:si>
    <x:t xml:space="preserve">UNIT-0157</x:t>
  </x:si>
  <x:si>
    <x:t xml:space="preserve">UNIT-0158</x:t>
  </x:si>
  <x:si>
    <x:t xml:space="preserve">UNIT-0159</x:t>
  </x:si>
  <x:si>
    <x:t xml:space="preserve">UNIT-0160</x:t>
  </x:si>
  <x:si>
    <x:t xml:space="preserve">UNIT-0161</x:t>
  </x:si>
  <x:si>
    <x:t xml:space="preserve">UNIT-0162</x:t>
  </x:si>
  <x:si>
    <x:t xml:space="preserve">UNIT-0163</x:t>
  </x:si>
  <x:si>
    <x:t xml:space="preserve">UNIT-0164</x:t>
  </x:si>
  <x:si>
    <x:t xml:space="preserve">UNIT-0165</x:t>
  </x:si>
  <x:si>
    <x:t xml:space="preserve">UNIT-0166</x:t>
  </x:si>
  <x:si>
    <x:t xml:space="preserve">UNIT-0167</x:t>
  </x:si>
  <x:si>
    <x:t xml:space="preserve">UNIT-0168</x:t>
  </x:si>
  <x:si>
    <x:t xml:space="preserve">UNIT-0169</x:t>
  </x:si>
  <x:si>
    <x:t xml:space="preserve">UNIT-0170</x:t>
  </x:si>
  <x:si>
    <x:t xml:space="preserve">UNIT-0171</x:t>
  </x:si>
  <x:si>
    <x:t xml:space="preserve">UNIT-0172</x:t>
  </x:si>
  <x:si>
    <x:t xml:space="preserve">UNIT-0173</x:t>
  </x:si>
  <x:si>
    <x:t xml:space="preserve">UNIT-0174</x:t>
  </x:si>
  <x:si>
    <x:t xml:space="preserve">UNIT-0175</x:t>
  </x:si>
  <x:si>
    <x:t xml:space="preserve">UNIT-0176</x:t>
  </x:si>
  <x:si>
    <x:t xml:space="preserve">UNIT-0177</x:t>
  </x:si>
  <x:si>
    <x:t xml:space="preserve">UNIT-0178</x:t>
  </x:si>
  <x:si>
    <x:t xml:space="preserve">UNIT-0179</x:t>
  </x:si>
  <x:si>
    <x:t xml:space="preserve">UNIT-0180</x:t>
  </x:si>
  <x:si>
    <x:t xml:space="preserve">UNIT-0181</x:t>
  </x:si>
  <x:si>
    <x:t xml:space="preserve">UNIT-0182</x:t>
  </x:si>
  <x:si>
    <x:t xml:space="preserve">UNIT-0183</x:t>
  </x:si>
  <x:si>
    <x:t xml:space="preserve">UNIT-0184</x:t>
  </x:si>
  <x:si>
    <x:t xml:space="preserve">UNIT-0185</x:t>
  </x:si>
  <x:si>
    <x:t xml:space="preserve">UNIT-0186</x:t>
  </x:si>
  <x:si>
    <x:t xml:space="preserve">UNIT-0187</x:t>
  </x:si>
  <x:si>
    <x:t xml:space="preserve">UNIT-0188</x:t>
  </x:si>
  <x:si>
    <x:t xml:space="preserve">UNIT-0189</x:t>
  </x:si>
  <x:si>
    <x:t xml:space="preserve">UNIT-0190</x:t>
  </x:si>
  <x:si>
    <x:t xml:space="preserve">UNIT-0191</x:t>
  </x:si>
  <x:si>
    <x:t xml:space="preserve">UNIT-0192</x:t>
  </x:si>
  <x:si>
    <x:t xml:space="preserve">UNIT-0193</x:t>
  </x:si>
  <x:si>
    <x:t xml:space="preserve">UNIT-0194</x:t>
  </x:si>
  <x:si>
    <x:t xml:space="preserve">UNIT-0195</x:t>
  </x:si>
  <x:si>
    <x:t xml:space="preserve">TEMPLATE RESMI DATABASE SIRUMAH — RETRIBUSI SEWA RUSUNAWA BULANAN DENGAN TARGET TAHUNAN</x:t>
  </x:si>
  <x:si>
    <x:t xml:space="preserve">Satu baris mewakili realisasi satu bulan. TARGET_TAHUNAN adalah target satu tahun anggaran, bukan target bulanan, dan harus bernilai sama pada seluruh baris bulan untuk RUSUNAWA dan tahun yang sama.</x:t>
  </x:si>
  <x:si>
    <x:t xml:space="preserve">PETUNJUK: Jangan mengubah nama header. Kolom bertanda * wajib diisi. Dashboard hanya menampilkan data tahun berjalan. REALISASI diisi per bulan; REALISASI_KUMULATIF dan CAPAIAN_PERSEN dihitung otomatis oleh Excel.</x:t>
  </x:si>
  <x:si>
    <x:t xml:space="preserve">ID_RETRIBUSI*</x:t>
  </x:si>
  <x:si>
    <x:t xml:space="preserve">TAHUN*</x:t>
  </x:si>
  <x:si>
    <x:t xml:space="preserve">BULAN*</x:t>
  </x:si>
  <x:si>
    <x:t xml:space="preserve">TARGET_TAHUNAN*</x:t>
  </x:si>
  <x:si>
    <x:t xml:space="preserve">REALISASI*</x:t>
  </x:si>
  <x:si>
    <x:t xml:space="preserve">REALISASI_KUMULATIF</x:t>
  </x:si>
  <x:si>
    <x:t xml:space="preserve">CAPAIAN_PERSEN</x:t>
  </x:si>
  <x:si>
    <x:t xml:space="preserve">RET-2026-001</x:t>
  </x:si>
  <x:si>
    <x:t xml:space="preserve">Januari</x:t>
  </x:si>
  <x:si>
    <x:t xml:space="preserve">RET-2026-002</x:t>
  </x:si>
  <x:si>
    <x:t xml:space="preserve">Februari</x:t>
  </x:si>
  <x:si>
    <x:t xml:space="preserve">RET-2026-003</x:t>
  </x:si>
  <x:si>
    <x:t xml:space="preserve">Maret</x:t>
  </x:si>
  <x:si>
    <x:t xml:space="preserve">RET-2026-004</x:t>
  </x:si>
  <x:si>
    <x:t xml:space="preserve">April</x:t>
  </x:si>
  <x:si>
    <x:t xml:space="preserve">RET-2026-005</x:t>
  </x:si>
  <x:si>
    <x:t xml:space="preserve">Mei</x:t>
  </x:si>
  <x:si>
    <x:t xml:space="preserve">RET-2026-006</x:t>
  </x:si>
  <x:si>
    <x:t xml:space="preserve">Juni</x:t>
  </x:si>
  <x:si>
    <x:t xml:space="preserve">RET-2026-007</x:t>
  </x:si>
  <x:si>
    <x:t xml:space="preserve">Juli</x:t>
  </x:si>
  <x:si>
    <x:t xml:space="preserve">TEMPLATE RESMI DATABASE SIRUMAH — SARANA PRASARANA RUSUNAWA</x:t>
  </x:si>
  <x:si>
    <x:t xml:space="preserve">Gunakan untuk monitoring kondisi bangunan, utilitas, fasilitas bersama, prioritas, dan tindak lanjut.</x:t>
  </x:si>
  <x:si>
    <x:t xml:space="preserve">ID_SARPRAS*</x:t>
  </x:si>
  <x:si>
    <x:t xml:space="preserve">KOMPONEN*</x:t>
  </x:si>
  <x:si>
    <x:t xml:space="preserve">LOKASI</x:t>
  </x:si>
  <x:si>
    <x:t xml:space="preserve">KONDISI*</x:t>
  </x:si>
  <x:si>
    <x:t xml:space="preserve">PRIORITAS*</x:t>
  </x:si>
  <x:si>
    <x:t xml:space="preserve">TINDAK_LANJUT*</x:t>
  </x:si>
  <x:si>
    <x:t xml:space="preserve">STATUS_TINDAK_LANJUT*</x:t>
  </x:si>
  <x:si>
    <x:t xml:space="preserve">TANGGAL_PEMERIKSAAN*</x:t>
  </x:si>
  <x:si>
    <x:t xml:space="preserve">SARPRAS-001</x:t>
  </x:si>
  <x:si>
    <x:t xml:space="preserve">Atap dan talang</x:t>
  </x:si>
  <x:si>
    <x:t xml:space="preserve">Gangguan Ringan</x:t>
  </x:si>
  <x:si>
    <x:t xml:space="preserve">Rendah</x:t>
  </x:si>
  <x:si>
    <x:t xml:space="preserve">SARPRAS-002</x:t>
  </x:si>
  <x:si>
    <x:t xml:space="preserve">Air bersih</x:t>
  </x:si>
  <x:si>
    <x:t xml:space="preserve">SARPRAS-003</x:t>
  </x:si>
  <x:si>
    <x:t xml:space="preserve">Listrik koridor</x:t>
  </x:si>
  <x:si>
    <x:t xml:space="preserve">Sedang</x:t>
  </x:si>
  <x:si>
    <x:t xml:space="preserve">SARPRAS-004</x:t>
  </x:si>
  <x:si>
    <x:t xml:space="preserve">Drainase lingkungan</x:t>
  </x:si>
  <x:si>
    <x:t xml:space="preserve">SARPRAS-005</x:t>
  </x:si>
  <x:si>
    <x:t xml:space="preserve">IPAL / septic tank</x:t>
  </x:si>
  <x:si>
    <x:t xml:space="preserve">SARPRAS-006</x:t>
  </x:si>
  <x:si>
    <x:t xml:space="preserve">Tangga dan railing</x:t>
  </x:si>
  <x:si>
    <x:t xml:space="preserve">SARPRAS-007</x:t>
  </x:si>
  <x:si>
    <x:t xml:space="preserve">Area parkir</x:t>
  </x:si>
  <x:si>
    <x:t xml:space="preserve">TEMPLATE RESMI DATABASE SIRUMAH — KOLABORASI PENANGANAN RTLH KOTA PANGKAL PINANG</x:t>
  </x:si>
  <x:si>
    <x:t xml:space="preserve">Satu baris mewakili penanganan RTLH pada satu tahun dan satu status kawasan. Satuan seluruh kolom pendanaan dan TOTAL adalah unit rumah.</x:t>
  </x:si>
  <x:si>
    <x:t xml:space="preserve">PETUNJUK: Jangan mengubah nama header. Kolom bertanda * wajib diisi. TOTAL dihitung otomatis dari APBD Kota, APBD Provinsi, DAK, BSPS, dan CSR. Gunakan STATUS_DATA = Proses untuk kegiatan yang belum selesai.</x:t>
  </x:si>
  <x:si>
    <x:t xml:space="preserve">ID_KOLABORASI*</x:t>
  </x:si>
  <x:si>
    <x:t xml:space="preserve">STATUS_DATA*</x:t>
  </x:si>
  <x:si>
    <x:t xml:space="preserve">STATUS_KAWASAN*</x:t>
  </x:si>
  <x:si>
    <x:t xml:space="preserve">APBD_KOTA*</x:t>
  </x:si>
  <x:si>
    <x:t xml:space="preserve">APBD_PROVINSI*</x:t>
  </x:si>
  <x:si>
    <x:t xml:space="preserve">DAK*</x:t>
  </x:si>
  <x:si>
    <x:t xml:space="preserve">BSPS*</x:t>
  </x:si>
  <x:si>
    <x:t xml:space="preserve">CSR*</x:t>
  </x:si>
  <x:si>
    <x:t xml:space="preserve">TOTAL</x:t>
  </x:si>
  <x:si>
    <x:t xml:space="preserve">KOL-2018-01</x:t>
  </x:si>
  <x:si>
    <x:t xml:space="preserve">Realisasi</x:t>
  </x:si>
  <x:si>
    <x:t xml:space="preserve">Kumuh</x:t>
  </x:si>
  <x:si>
    <x:t xml:space="preserve">KOL-2018-02</x:t>
  </x:si>
  <x:si>
    <x:t xml:space="preserve">Luar Kumuh</x:t>
  </x:si>
  <x:si>
    <x:t xml:space="preserve">KOL-2019-01</x:t>
  </x:si>
  <x:si>
    <x:t xml:space="preserve">KOL-2019-02</x:t>
  </x:si>
  <x:si>
    <x:t xml:space="preserve">KOL-2020-01</x:t>
  </x:si>
  <x:si>
    <x:t xml:space="preserve">KOL-2020-02</x:t>
  </x:si>
  <x:si>
    <x:t xml:space="preserve">KOL-2021-01</x:t>
  </x:si>
  <x:si>
    <x:t xml:space="preserve">KOL-2021-02</x:t>
  </x:si>
  <x:si>
    <x:t xml:space="preserve">KOL-2022-01</x:t>
  </x:si>
  <x:si>
    <x:t xml:space="preserve">KOL-2022-02</x:t>
  </x:si>
  <x:si>
    <x:t xml:space="preserve">KOL-2023-01</x:t>
  </x:si>
  <x:si>
    <x:t xml:space="preserve">KOL-2023-02</x:t>
  </x:si>
  <x:si>
    <x:t xml:space="preserve">KOL-2024-01</x:t>
  </x:si>
  <x:si>
    <x:t xml:space="preserve">KOL-2024-02</x:t>
  </x:si>
  <x:si>
    <x:t xml:space="preserve">KOL-2025-01</x:t>
  </x:si>
  <x:si>
    <x:t xml:space="preserve">KOL-2025-02</x:t>
  </x:si>
  <x:si>
    <x:t xml:space="preserve">KOL-2026-01</x:t>
  </x:si>
  <x:si>
    <x:t xml:space="preserve">Proses</x:t>
  </x:si>
  <x:si>
    <x:t xml:space="preserve">Data tahun 2026 masih dalam proses.</x:t>
  </x:si>
  <x:si>
    <x:t xml:space="preserve">KOL-2026-02</x:t>
  </x:si>
  <x:si>
    <x:t xml:space="preserve">TOTAL REALISASI DAN PROSES</x:t>
  </x:si>
  <x:si>
    <x:t xml:space="preserve">REALISASI SELESAI 2018–2025</x:t>
  </x:si>
  <x:si>
    <x:t xml:space="preserve">PROSES TAHUN 2026</x:t>
  </x:si>
  <x:si>
    <x:t xml:space="preserve">Data tahun 2026 belum diperlakukan sebagai realisasi selesai.</x:t>
  </x:si>
  <x:si>
    <x:t xml:space="preserve">TEMPLATE RESMI DATABASE SIRUMAH — REKAP PERKEMBANGAN KAWASAN KUMUH KOTA PANGKAL PINANG</x:t>
  </x:si>
  <x:si>
    <x:t xml:space="preserve">Satu baris mewakili satu tahun penetapan, evaluasi, atau pemutakhiran luas kawasan kumuh. Satuan luas adalah hektare (Ha).</x:t>
  </x:si>
  <x:si>
    <x:t xml:space="preserve">PETUNJUK: Jangan mengubah nama header. Kolom bertanda * wajib diisi. Nilai PERUBAHAN negatif menunjukkan penurunan luas; nilai positif menunjukkan peningkatan. Baris tanpa ID tidak dibaca dashboard.</x:t>
  </x:si>
  <x:si>
    <x:t xml:space="preserve">ID_REKAP_KUMUH*</x:t>
  </x:si>
  <x:si>
    <x:t xml:space="preserve">JENIS_TAHUN*</x:t>
  </x:si>
  <x:si>
    <x:t xml:space="preserve">DASAR_HUKUM*</x:t>
  </x:si>
  <x:si>
    <x:t xml:space="preserve">NOMOR_SK</x:t>
  </x:si>
  <x:si>
    <x:t xml:space="preserve">JUMLAH_KELURAHAN*</x:t>
  </x:si>
  <x:si>
    <x:t xml:space="preserve">LUAS_KUMUH_HA*</x:t>
  </x:si>
  <x:si>
    <x:t xml:space="preserve">PERUBAHAN_LUAS_HA</x:t>
  </x:si>
  <x:si>
    <x:t xml:space="preserve">PERSENTASE_PERUBAHAN</x:t>
  </x:si>
  <x:si>
    <x:t xml:space="preserve">PENGURANGAN_DARI_BASELINE_HA</x:t>
  </x:si>
  <x:si>
    <x:t xml:space="preserve">PERSENTASE_PENGURANGAN_DARI_BASELINE</x:t>
  </x:si>
  <x:si>
    <x:t xml:space="preserve">DAFTAR_KELURAHAN</x:t>
  </x:si>
  <x:si>
    <x:t xml:space="preserve">FASE_PERKEMBANGAN*</x:t>
  </x:si>
  <x:si>
    <x:t xml:space="preserve">KUMUH-REKAP-2014</x:t>
  </x:si>
  <x:si>
    <x:t xml:space="preserve">Baseline/SK</x:t>
  </x:si>
  <x:si>
    <x:t xml:space="preserve">Peraturan Menteri Pekerjaan Umum Nomor 02/PRT/M/2016</x:t>
  </x:si>
  <x:si>
    <x:t xml:space="preserve">Pasir Putih; Semabung Lama; Batu Intan; Pasar Padi; Semabung Baru; Ketapang; Lontong Pancur; Bintang; Parit Lalang; Batin Tikal; Gedung Nasional; Kejaksaan; Opas Indah; Rawa Bangun</x:t>
  </x:si>
  <x:si>
    <x:t xml:space="preserve">Fase 1 — Penurunan awal</x:t>
  </x:si>
  <x:si>
    <x:t xml:space="preserve">Historis</x:t>
  </x:si>
  <x:si>
    <x:t xml:space="preserve">Titik awal pencatatan terdiri atas 14 kelurahan. Tahun data 2014 berada sebelum regulasi 2016 dan dicatat sebagai baseline pada kelompok metode tersebut.</x:t>
  </x:si>
  <x:si>
    <x:t xml:space="preserve">Perlu Konfirmasi Dokumen</x:t>
  </x:si>
  <x:si>
    <x:t xml:space="preserve">KUMUH-REKAP-2018</x:t>
  </x:si>
  <x:si>
    <x:t xml:space="preserve">Evaluasi</x:t>
  </x:si>
  <x:si>
    <x:t xml:space="preserve">Sama dengan 14 kelurahan pada baseline 2014</x:t>
  </x:si>
  <x:si>
    <x:t xml:space="preserve">Luas menurun setelah intervensi awal, sedangkan jumlah kelurahan tetap sama.</x:t>
  </x:si>
  <x:si>
    <x:t xml:space="preserve">KUMUH-REKAP-2019</x:t>
  </x:si>
  <x:si>
    <x:t xml:space="preserve">Berita Acara</x:t>
  </x:si>
  <x:si>
    <x:t xml:space="preserve">Parit Lalang</x:t>
  </x:si>
  <x:si>
    <x:t xml:space="preserve">Sesuai berita acara akhir tahun 2018, kawasan kumuh tersisa 21,90 Ha di Kelurahan Parit Lalang.</x:t>
  </x:si>
  <x:si>
    <x:t xml:space="preserve">KUMUH-REKAP-2020</x:t>
  </x:si>
  <x:si>
    <x:t xml:space="preserve">Penetapan/Pemutakhiran</x:t>
  </x:si>
  <x:si>
    <x:t xml:space="preserve">Permen PUPR Nomor 14/PRT/M/2018</x:t>
  </x:si>
  <x:si>
    <x:t xml:space="preserve">Kelurahan Asam; Keramat; Rejosari; Temberan; serta 4 kelurahan lama</x:t>
  </x:si>
  <x:si>
    <x:t xml:space="preserve">Fase 2 — Perubahan metode</x:t>
  </x:si>
  <x:si>
    <x:t xml:space="preserve">Luas meningkat karena perubahan metode penilaian dan masuknya empat kelurahan baru yang belum tercakup pada SK sebelumnya.</x:t>
  </x:si>
  <x:si>
    <x:t xml:space="preserve">KUMUH-REKAP-2021</x:t>
  </x:si>
  <x:si>
    <x:t xml:space="preserve">Termasuk Pintu Air dan 1 kelurahan baru lainnya; dua kelurahan keluar setelah intervensi 2020</x:t>
  </x:si>
  <x:si>
    <x:t xml:space="preserve">Jumlah kelurahan tetap delapan. Penambahan luasan pada dua kelurahan baru menyebabkan luas sedikit meningkat.</x:t>
  </x:si>
  <x:si>
    <x:t xml:space="preserve">KUMUH-REKAP-2022</x:t>
  </x:si>
  <x:si>
    <x:t xml:space="preserve">Termasuk Kelurahan Selindung sebagai satu lokasi baru</x:t>
  </x:si>
  <x:si>
    <x:t xml:space="preserve">Fase 3 — Penurunan konsisten</x:t>
  </x:si>
  <x:si>
    <x:t xml:space="preserve">Intervensi tahun 2021 menurunkan luas secara signifikan. Angka mengikuti tabel sumber 85,30 Ha; narasi 83,20 Ha perlu diselaraskan.</x:t>
  </x:si>
  <x:si>
    <x:t xml:space="preserve">KUMUH-REKAP-2023</x:t>
  </x:si>
  <x:si>
    <x:t xml:space="preserve">Dua kelurahan tersisa</x:t>
  </x:si>
  <x:si>
    <x:t xml:space="preserve">Penurunan berlanjut dan menyisakan dua kelurahan.</x:t>
  </x:si>
  <x:si>
    <x:t xml:space="preserve">KUMUH-REKAP-2024</x:t>
  </x:si>
  <x:si>
    <x:t xml:space="preserve">Verifikasi/Pemutakhiran</x:t>
  </x:si>
  <x:si>
    <x:t xml:space="preserve">Parit Lalang; Kejaksaan</x:t>
  </x:si>
  <x:si>
    <x:t xml:space="preserve">Terkini</x:t>
  </x:si>
  <x:si>
    <x:t xml:space="preserve">Hasil verifikasi BPBPK Bangka Belitung: Parit Lalang 8,80 Ha pada 1 RT dan Kejaksaan 15,28 Ha pada 6 RT.</x:t>
  </x:si>
  <x:si>
    <x:t xml:space="preserve">RINGKASAN KONDISI TERKINI</x:t>
  </x:si>
  <x:si>
    <x:t xml:space="preserve">Nilai</x:t>
  </x:si>
  <x:si>
    <x:t xml:space="preserve">Baseline 2014 (Ha)</x:t>
  </x:si>
  <x:si>
    <x:t xml:space="preserve">Luas terkini 2024 (Ha)</x:t>
  </x:si>
  <x:si>
    <x:t xml:space="preserve">Pengurangan dari baseline (Ha)</x:t>
  </x:si>
  <x:si>
    <x:t xml:space="preserve">Persentase pengurangan</x:t>
  </x:si>
  <x:si>
    <x:t xml:space="preserve">TEMPLATE RESMI DATABASE SIRUMAH — LOKASI KAWASAN KUMUH KOTA PANGKAL PINANG</x:t>
  </x:si>
  <x:si>
    <x:t xml:space="preserve">Satu baris mewakili satu lokasi/delineasi kawasan kumuh. Isi LATITUDE dan LONGITUDE untuk titik pusat, atau GEOJSON untuk menampilkan batas polygon pada peta.</x:t>
  </x:si>
  <x:si>
    <x:t xml:space="preserve">PETUNJUK: Jangan mengubah nama header. Koordinat dan GeoJSON belum diisi karena tidak tersedia pada data sumber yang dilampirkan. Dashboard tidak akan mengarang posisi lokasi.</x:t>
  </x:si>
  <x:si>
    <x:t xml:space="preserve">ID_LOKASI_KUMUH*</x:t>
  </x:si>
  <x:si>
    <x:t xml:space="preserve">NAMA_LOKASI*</x:t>
  </x:si>
  <x:si>
    <x:t xml:space="preserve">JUMLAH_RT*</x:t>
  </x:si>
  <x:si>
    <x:t xml:space="preserve">TAHUN_PENETAPAN*</x:t>
  </x:si>
  <x:si>
    <x:t xml:space="preserve">KUMUH-LOC-2014-01</x:t>
  </x:si>
  <x:si>
    <x:t xml:space="preserve">Delineasi Kawasan Kumuh Pasir Putih</x:t>
  </x:si>
  <x:si>
    <x:t xml:space="preserve">Pasir Putih</x:t>
  </x:si>
  <x:si>
    <x:t xml:space="preserve">Permen PUPR Nomor 02/PRT/M/2016</x:t>
  </x:si>
  <x:si>
    <x:t xml:space="preserve">388/KEP/BAPPEDA/XII/2014</x:t>
  </x:si>
  <x:si>
    <x:t xml:space="preserve">-2.12956</x:t>
  </x:si>
  <x:si>
    <x:t xml:space="preserve">106.12142</x:t>
  </x:si>
  <x:si>
    <x:t xml:space="preserve">Wilayah Kumuh baru yang belum di tangani pada tahun berjalan. Pada tahun ini pengentasan wilayah kumuh belum menjadi prioritas, program dukungan dari pemerintah pusat juga masih berfokus pada masyarakat miskin saja, sehingga belum ada intervensi khusus di wilayah kumuh sejak di terbitkan SK tahun berjalan.</x:t>
  </x:si>
  <x:si>
    <x:t xml:space="preserve">Bapperida Kota Pangkal Pinang</x:t>
  </x:si>
  <x:si>
    <x:t xml:space="preserve">KUMUH-LOC-2014-02</x:t>
  </x:si>
  <x:si>
    <x:t xml:space="preserve">Delineasi Kawasan Kumuh Semabung Lama</x:t>
  </x:si>
  <x:si>
    <x:t xml:space="preserve">-2.13760</x:t>
  </x:si>
  <x:si>
    <x:t xml:space="preserve">106.12749</x:t>
  </x:si>
  <x:si>
    <x:t xml:space="preserve">KUMUH-LOC-2014-03</x:t>
  </x:si>
  <x:si>
    <x:t xml:space="preserve">Delineasi Kawasan Kumuh Batu Intan</x:t>
  </x:si>
  <x:si>
    <x:t xml:space="preserve">Batu Intan</x:t>
  </x:si>
  <x:si>
    <x:t xml:space="preserve">-2.13511</x:t>
  </x:si>
  <x:si>
    <x:t xml:space="preserve">106.11641</x:t>
  </x:si>
  <x:si>
    <x:t xml:space="preserve">KUMUH-LOC-2014-04</x:t>
  </x:si>
  <x:si>
    <x:t xml:space="preserve">Delineasi Kawasan Kumuh Pasar Padi</x:t>
  </x:si>
  <x:si>
    <x:t xml:space="preserve">Pasar Padi</x:t>
  </x:si>
  <x:si>
    <x:t xml:space="preserve">-2.12653</x:t>
  </x:si>
  <x:si>
    <x:t xml:space="preserve">106.11832</x:t>
  </x:si>
  <x:si>
    <x:t xml:space="preserve">KUMUH-LOC-2014-05</x:t>
  </x:si>
  <x:si>
    <x:t xml:space="preserve">Delineasi Kawasan Kumuh Semabung Baru</x:t>
  </x:si>
  <x:si>
    <x:t xml:space="preserve">Semabung Baru</x:t>
  </x:si>
  <x:si>
    <x:t xml:space="preserve">-2.13353</x:t>
  </x:si>
  <x:si>
    <x:t xml:space="preserve">106.12177</x:t>
  </x:si>
  <x:si>
    <x:t xml:space="preserve">KUMUH-LOC-2014-06</x:t>
  </x:si>
  <x:si>
    <x:t xml:space="preserve">Delineasi Kawasan Kumuh Ketapang</x:t>
  </x:si>
  <x:si>
    <x:t xml:space="preserve">-2.10357</x:t>
  </x:si>
  <x:si>
    <x:t xml:space="preserve">106.131171</x:t>
  </x:si>
  <x:si>
    <x:t xml:space="preserve">KUMUH-LOC-2014-07</x:t>
  </x:si>
  <x:si>
    <x:t xml:space="preserve">Delineasi Kawasan Kumuh Lontong Pancur</x:t>
  </x:si>
  <x:si>
    <x:t xml:space="preserve">-2.09231</x:t>
  </x:si>
  <x:si>
    <x:t xml:space="preserve">106.12019</x:t>
  </x:si>
  <x:si>
    <x:t xml:space="preserve">KUMUH-LOC-2014-08</x:t>
  </x:si>
  <x:si>
    <x:t xml:space="preserve">Delineasi Kawasan Kumuh Bintang</x:t>
  </x:si>
  <x:si>
    <x:t xml:space="preserve">Bintang</x:t>
  </x:si>
  <x:si>
    <x:t xml:space="preserve">-2.13671</x:t>
  </x:si>
  <x:si>
    <x:t xml:space="preserve">106.11008</x:t>
  </x:si>
  <x:si>
    <x:t xml:space="preserve">KUMUH-LOC-2014-09</x:t>
  </x:si>
  <x:si>
    <x:t xml:space="preserve">Delineasi Kawasan Kumuh Parit Lalang</x:t>
  </x:si>
  <x:si>
    <x:t xml:space="preserve">-2.14030</x:t>
  </x:si>
  <x:si>
    <x:t xml:space="preserve">106.11197\</x:t>
  </x:si>
  <x:si>
    <x:t xml:space="preserve">KUMUH-LOC-2014-10</x:t>
  </x:si>
  <x:si>
    <x:t xml:space="preserve">Delineasi Kawasan Kumuh Batin Tikal</x:t>
  </x:si>
  <x:si>
    <x:t xml:space="preserve">Batin Tikal</x:t>
  </x:si>
  <x:si>
    <x:t xml:space="preserve">-2.12338</x:t>
  </x:si>
  <x:si>
    <x:t xml:space="preserve">106.11147</x:t>
  </x:si>
  <x:si>
    <x:t xml:space="preserve">KUMUH-LOC-2014-11</x:t>
  </x:si>
  <x:si>
    <x:t xml:space="preserve">Delineasi Kawasan Kumuh Gedung Nasional</x:t>
  </x:si>
  <x:si>
    <x:t xml:space="preserve">Gedung Nasional</x:t>
  </x:si>
  <x:si>
    <x:t xml:space="preserve">-2.121099</x:t>
  </x:si>
  <x:si>
    <x:t xml:space="preserve">106.117040</x:t>
  </x:si>
  <x:si>
    <x:t xml:space="preserve">KUMUH-LOC-2014-12</x:t>
  </x:si>
  <x:si>
    <x:t xml:space="preserve">Delineasi Kawasan Kumuh Kejaksaan</x:t>
  </x:si>
  <x:si>
    <x:t xml:space="preserve">Kejaksaan</x:t>
  </x:si>
  <x:si>
    <x:t xml:space="preserve">-2.12804</x:t>
  </x:si>
  <x:si>
    <x:t xml:space="preserve">106.10393</x:t>
  </x:si>
  <x:si>
    <x:t xml:space="preserve">KUMUH-LOC-2014-13</x:t>
  </x:si>
  <x:si>
    <x:t xml:space="preserve">Delineasi Kawasan Kumuh Opas Indah</x:t>
  </x:si>
  <x:si>
    <x:t xml:space="preserve">Opas Indah</x:t>
  </x:si>
  <x:si>
    <x:t xml:space="preserve">-2.120490</x:t>
  </x:si>
  <x:si>
    <x:t xml:space="preserve">106.116940</x:t>
  </x:si>
  <x:si>
    <x:t xml:space="preserve">KUMUH-LOC-2014-14</x:t>
  </x:si>
  <x:si>
    <x:t xml:space="preserve">Delineasi Kawasan Kumuh Rawa Bangun</x:t>
  </x:si>
  <x:si>
    <x:t xml:space="preserve">Rawa Bangun</x:t>
  </x:si>
  <x:si>
    <x:t xml:space="preserve">106.11025</x:t>
  </x:si>
  <x:si>
    <x:t xml:space="preserve">KUMUH-LOC-2018-01</x:t>
  </x:si>
  <x:si>
    <x:t xml:space="preserve">282/KEP/BAPPEDA&amp;LITBANG/IV/2018</x:t>
  </x:si>
  <x:si>
    <x:t xml:space="preserve">Luasan kumuh berkurang setelah di intervensi menjadi 0 Ha (Tuntas) </x:t>
  </x:si>
  <x:si>
    <x:t xml:space="preserve">KUMUH-LOC-2018-02</x:t>
  </x:si>
  <x:si>
    <x:t xml:space="preserve">KUMUH-LOC-2018-03</x:t>
  </x:si>
  <x:si>
    <x:t xml:space="preserve">KUMUH-LOC-2018-04</x:t>
  </x:si>
  <x:si>
    <x:t xml:space="preserve">KUMUH-LOC-2018-05</x:t>
  </x:si>
  <x:si>
    <x:t xml:space="preserve">KUMUH-LOC-2018-06</x:t>
  </x:si>
  <x:si>
    <x:t xml:space="preserve">KUMUH-LOC-2018-07</x:t>
  </x:si>
  <x:si>
    <x:t xml:space="preserve">KUMUH-LOC-2018-08</x:t>
  </x:si>
  <x:si>
    <x:t xml:space="preserve">KUMUH-LOC-2018-09</x:t>
  </x:si>
  <x:si>
    <x:t xml:space="preserve">KUMUH-LOC-2018-10</x:t>
  </x:si>
  <x:si>
    <x:t xml:space="preserve">KUMUH-LOC-2018-11</x:t>
  </x:si>
  <x:si>
    <x:t xml:space="preserve">KUMUH-LOC-2018-12</x:t>
  </x:si>
  <x:si>
    <x:t xml:space="preserve">KUMUH-LOC-2018-13</x:t>
  </x:si>
  <x:si>
    <x:t xml:space="preserve">KUMUH-LOC-2018-14</x:t>
  </x:si>
  <x:si>
    <x:t xml:space="preserve">KUMUH-LOC-2020-01</x:t>
  </x:si>
  <x:si>
    <x:t xml:space="preserve">465/KEP/BAPPEDA&amp;LITBANG/IX/2020</x:t>
  </x:si>
  <x:si>
    <x:t xml:space="preserve">Melanjutkan intervensi sebelumnya untuk Skala Kawasan Opas Genas sehingga hanya 2 kelurahan ini yang berkurang luasan kumuhnya</x:t>
  </x:si>
  <x:si>
    <x:t xml:space="preserve">KUMUH-LOC-2020-02</x:t>
  </x:si>
  <x:si>
    <x:t xml:space="preserve">KUMUH-LOC-2020-03</x:t>
  </x:si>
  <x:si>
    <x:t xml:space="preserve">Deliniase Kawasan Kumuh Asam</x:t>
  </x:si>
  <x:si>
    <x:t xml:space="preserve">-2.143522</x:t>
  </x:si>
  <x:si>
    <x:t xml:space="preserve">106.102554</x:t>
  </x:si>
  <x:si>
    <x:t xml:space="preserve">Wilayah Kumuh baru yang belum di tangani pada tahun berjalan karena perubahan kebijakan yang menjadi dasar perhitungan nilai kumuh</x:t>
  </x:si>
  <x:si>
    <x:t xml:space="preserve">KUMUH-LOC-2020-04</x:t>
  </x:si>
  <x:si>
    <x:t xml:space="preserve">Delineasi Kawasan Kumuh Keramat</x:t>
  </x:si>
  <x:si>
    <x:t xml:space="preserve">Keramat</x:t>
  </x:si>
  <x:si>
    <x:t xml:space="preserve">-2138574</x:t>
  </x:si>
  <x:si>
    <x:t xml:space="preserve">106.090707</x:t>
  </x:si>
  <x:si>
    <x:t xml:space="preserve">KUMUH-LOC-2020-05</x:t>
  </x:si>
  <x:si>
    <x:t xml:space="preserve">Delineasi Kawasan Kumuh Rejosari</x:t>
  </x:si>
  <x:si>
    <x:t xml:space="preserve">Rejosari</x:t>
  </x:si>
  <x:si>
    <x:t xml:space="preserve">-2.109298</x:t>
  </x:si>
  <x:si>
    <x:t xml:space="preserve">106.119221</x:t>
  </x:si>
  <x:si>
    <x:t xml:space="preserve">KUMUH-LOC-2020-06</x:t>
  </x:si>
  <x:si>
    <x:t xml:space="preserve">Delineasi Kawasan Kumuh Temberan</x:t>
  </x:si>
  <x:si>
    <x:t xml:space="preserve">-2.140322</x:t>
  </x:si>
  <x:si>
    <x:t xml:space="preserve">106.159168</x:t>
  </x:si>
  <x:si>
    <x:t xml:space="preserve">KUMUH-LOC-2020-07</x:t>
  </x:si>
  <x:si>
    <x:t xml:space="preserve">-2.139584</x:t>
  </x:si>
  <x:si>
    <x:t xml:space="preserve">106.111468</x:t>
  </x:si>
  <x:si>
    <x:t xml:space="preserve">KUMUH-LOC-2020-08</x:t>
  </x:si>
  <x:si>
    <x:t xml:space="preserve">-2.136562</x:t>
  </x:si>
  <x:si>
    <x:t xml:space="preserve">106.112882</x:t>
  </x:si>
  <x:si>
    <x:t xml:space="preserve">KUMUH-LOC-2021-01</x:t>
  </x:si>
  <x:si>
    <x:t xml:space="preserve">Delineasi Kawasan Kumuh Asam</x:t>
  </x:si>
  <x:si>
    <x:t xml:space="preserve">426/KEP/BAPPEDA&amp;LITBANG/X/2021</x:t>
  </x:si>
  <x:si>
    <x:t xml:space="preserve">KUMUH-LOC-2021-02</x:t>
  </x:si>
  <x:si>
    <x:t xml:space="preserve">Luasan kumuh berkurang setelah di intervensi di 2 RT menyisakan 12,50 Ha Kumuh yang tertuang dalam BA Perhitungan dan Penetapan Penguranagn Luasan Kumuh Kota Pangkal Pinang, NO. 050/332/Bappeda-Litbang/XI/2021</x:t>
  </x:si>
  <x:si>
    <x:t xml:space="preserve">KUMUH-LOC-2021-03</x:t>
  </x:si>
  <x:si>
    <x:t xml:space="preserve">KUMUH-LOC-2021-04</x:t>
  </x:si>
  <x:si>
    <x:t xml:space="preserve">KUMUH-LOC-2021-05</x:t>
  </x:si>
  <x:si>
    <x:t xml:space="preserve">Luasan kumuh berkurang setelah di intervensi di 2 RT menyisakan 32,09 Ha Kumuh yang tertuang dalam BA Perhitungan dan Penetapan Penguranagn Luasan Kumuh Kota Pangkal Pinang, NO. 050/332/Bappeda-Litbang/XI/2021</x:t>
  </x:si>
  <x:si>
    <x:t xml:space="preserve">KUMUH-LOC-2021-06</x:t>
  </x:si>
  <x:si>
    <x:t xml:space="preserve">Dalam Penanganan</x:t>
  </x:si>
  <x:si>
    <x:t xml:space="preserve">Intervensi yang dilakukan pada wilayah ini tidak membuat luasan wilayah kumuh berkurang, hanya saja nilai kekumuhan berkurang</x:t>
  </x:si>
  <x:si>
    <x:t xml:space="preserve">KUMUH-LOC-2021-07</x:t>
  </x:si>
  <x:si>
    <x:t xml:space="preserve">-2.127368</x:t>
  </x:si>
  <x:si>
    <x:t xml:space="preserve">106.104078</x:t>
  </x:si>
  <x:si>
    <x:t xml:space="preserve">Wilayah Kumuh baru yang belum di tangani pada tahun berjalan</x:t>
  </x:si>
  <x:si>
    <x:t xml:space="preserve">KUMUH-LOC-2021-08</x:t>
  </x:si>
  <x:si>
    <x:t xml:space="preserve">Delineasi Kawasan Kumuh Pintu Air</x:t>
  </x:si>
  <x:si>
    <x:t xml:space="preserve">Pintu Air</x:t>
  </x:si>
  <x:si>
    <x:t xml:space="preserve">-2.131628</x:t>
  </x:si>
  <x:si>
    <x:t xml:space="preserve">106.103006</x:t>
  </x:si>
  <x:si>
    <x:t xml:space="preserve">KUMUH-LOC-2022-01</x:t>
  </x:si>
  <x:si>
    <x:t xml:space="preserve">237/KEP/PERKIM/VII/2022</x:t>
  </x:si>
  <x:si>
    <x:t xml:space="preserve">KUMUH-LOC-2022-02</x:t>
  </x:si>
  <x:si>
    <x:t xml:space="preserve">Luasan kumuh berkurang setelah di intervensi di 2 RT menyisakan 10,30 Ha Kumuh yang tertuang dalam BA Perhitungan dan Penetapan Penguranagn Luasan Kumuh Kota Pangkal Pinang, NO. 650.4/10/PERKIM/IX/2023</x:t>
  </x:si>
  <x:si>
    <x:t xml:space="preserve">KUMUH-LOC-2022-03</x:t>
  </x:si>
  <x:si>
    <x:t xml:space="preserve">KUMUH-LOC-2022-04</x:t>
  </x:si>
  <x:si>
    <x:t xml:space="preserve">KUMUH-LOC-2022-05</x:t>
  </x:si>
  <x:si>
    <x:t xml:space="preserve">KUMUH-LOC-2022-06</x:t>
  </x:si>
  <x:si>
    <x:t xml:space="preserve">Delineasi Kawasan Kumuh Selindung</x:t>
  </x:si>
  <x:si>
    <x:t xml:space="preserve">-2.082876</x:t>
  </x:si>
  <x:si>
    <x:t xml:space="preserve">106.124794</x:t>
  </x:si>
  <x:si>
    <x:t xml:space="preserve">KUMUH-LOC-2024-01</x:t>
  </x:si>
  <x:si>
    <x:t xml:space="preserve">Kawasan Kumuh Tersisa</x:t>
  </x:si>
  <x:si>
    <x:t xml:space="preserve">Pengurangan Luasan hasil verifikasi BPBPK Babel menjadi 8,80 Ha pada 1 RT yang semula 10,30 Ha</x:t>
  </x:si>
  <x:si>
    <x:t xml:space="preserve">KUMUH-LOC-2024-02</x:t>
  </x:si>
  <x:si>
    <x:t xml:space="preserve">Pengurangan Luasan hasil verifikasi BPBPK Babel menjadi 15,28 Ha pada 6 RT yang semula 18,13 Ha</x:t>
  </x:si>
  <x:si>
    <x:t xml:space="preserve">RINGKASAN LOKASI TERKINI</x:t>
  </x:si>
  <x:si>
    <x:t xml:space="preserve">Jumlah lokasi</x:t>
  </x:si>
  <x:si>
    <x:t xml:space="preserve">Jumlah RT</x:t>
  </x:si>
  <x:si>
    <x:t xml:space="preserve">Total luas (Ha)</x:t>
  </x:si>
  <x:si>
    <x:t xml:space="preserve">Lokasi dengan koordinat</x:t>
  </x:si>
  <x:si>
    <x:t xml:space="preserve">TEMPLATE RESMI DATABASE SIRUMAH — SNAPSHOT TAHUNAN INDIKATOR</x:t>
  </x:si>
  <x:si>
    <x:t xml:space="preserve">Satu baris mewakili satu snapshot resmi untuk satu tahun dan satu wilayah. Snapshot menyimpan kondisi indikator pada periode tersebut agar tidak berubah ketika database operasional diperbarui.</x:t>
  </x:si>
  <x:si>
    <x:t xml:space="preserve">PETUNJUK: Jangan mengubah nama header. Kolom bertanda * wajib diisi. Gunakan STATUS_SNAPSHOT = DRAFT selama data masih diperiksa dan FINAL setelah ditetapkan. Baris FINAL tidak sebaiknya diubah tanpa koreksi yang terdokumentasi. CAPAIAN_PSU, TINGKAT_HUNIAN_RUSUNAWA, dan CAPAIAN_RETRIBUSI dihitung otomatis.</x:t>
  </x:si>
  <x:si>
    <x:t xml:space="preserve">ID_SNAPSHOT*</x:t>
  </x:si>
  <x:si>
    <x:t xml:space="preserve">TANGGAL_SNAPSHOT*</x:t>
  </x:si>
  <x:si>
    <x:t xml:space="preserve">WILAYAH*</x:t>
  </x:si>
  <x:si>
    <x:t xml:space="preserve">STATUS_SNAPSHOT*</x:t>
  </x:si>
  <x:si>
    <x:t xml:space="preserve">TOTAL_PERUMAHAN</x:t>
  </x:si>
  <x:si>
    <x:t xml:space="preserve">RENCANA_UNIT</x:t>
  </x:si>
  <x:si>
    <x:t xml:space="preserve">UNIT_TERBANGUN</x:t>
  </x:si>
  <x:si>
    <x:t xml:space="preserve">UNIT_TERHUNI</x:t>
  </x:si>
  <x:si>
    <x:t xml:space="preserve">PSU_SUDAH</x:t>
  </x:si>
  <x:si>
    <x:t xml:space="preserve">PSU_BELUM</x:t>
  </x:si>
  <x:si>
    <x:t xml:space="preserve">CAPAIAN_PSU_PERSEN</x:t>
  </x:si>
  <x:si>
    <x:t xml:space="preserve">BACKLOG_PENGHUNIAN</x:t>
  </x:si>
  <x:si>
    <x:t xml:space="preserve">JUMLAH_RUMAH_AGREGAT</x:t>
  </x:si>
  <x:si>
    <x:t xml:space="preserve">RTLH</x:t>
  </x:si>
  <x:si>
    <x:t xml:space="preserve">LUAS_KUMUH_HA</x:t>
  </x:si>
  <x:si>
    <x:t xml:space="preserve">RUSUNAWA_JUMLAH_UNIT</x:t>
  </x:si>
  <x:si>
    <x:t xml:space="preserve">RUSUNAWA_UNIT_TERISI</x:t>
  </x:si>
  <x:si>
    <x:t xml:space="preserve">RUSUNAWA_UNIT_KOSONG</x:t>
  </x:si>
  <x:si>
    <x:t xml:space="preserve">RUSUNAWA_UNIT_TIDAK_DAPAT_DIGUNAKAN</x:t>
  </x:si>
  <x:si>
    <x:t xml:space="preserve">RUSUNAWA_TINGKAT_HUNIAN_PERSEN</x:t>
  </x:si>
  <x:si>
    <x:t xml:space="preserve">RUSUNAWA_TARGET_RETRIBUSI</x:t>
  </x:si>
  <x:si>
    <x:t xml:space="preserve">RUSUNAWA_REALISASI_RETRIBUSI</x:t>
  </x:si>
  <x:si>
    <x:t xml:space="preserve">RUSUNAWA_CAPAIAN_RETRIBUSI_PERSEN</x:t>
  </x:si>
</x:sst>
</file>

<file path=xl/styles.xml><?xml version="1.0" encoding="utf-8"?>
<x:styleSheet xmlns:x="http://schemas.openxmlformats.org/spreadsheetml/2006/main">
  <x:numFmts count="6">
    <x:numFmt numFmtId="164" formatCode="dd/mm/yyyy"/>
    <x:numFmt numFmtId="165" formatCode="0.000000"/>
    <x:numFmt numFmtId="166" formatCode="[$Rp-421]\ #,##0"/>
    <x:numFmt numFmtId="167" formatCode="[$-421]dd\ mmmm\ yyyy;@"/>
    <x:numFmt numFmtId="168" formatCode="0.0"/>
    <x:numFmt numFmtId="169" formatCode="#,##0.##"/>
  </x:numFmts>
  <x:fonts count="41">
    <x:font>
      <x:sz val="11"/>
      <x:name val="Carlito"/>
    </x:font>
    <x:font>
      <x:b/>
      <x:sz val="18"/>
      <x:color rgb="FFFFFFFF"/>
      <x:name val="Carlito"/>
    </x:font>
    <x:font>
      <x:i/>
      <x:sz val="10"/>
      <x:color rgb="FF0F3F50"/>
      <x:name val="Carlito"/>
    </x:font>
    <x:font>
      <x:b/>
      <x:sz val="9"/>
      <x:color rgb="FF0F3F50"/>
      <x:name val="Carlito"/>
    </x:font>
    <x:font>
      <x:b/>
      <x:sz val="10"/>
      <x:color rgb="FFD3C584"/>
      <x:name val="Carlito"/>
    </x:font>
    <x:font>
      <x:sz val="10"/>
      <x:color rgb="FF1F2937"/>
      <x:name val="Carlito"/>
    </x:font>
    <x:font>
      <x:b/>
      <x:sz val="11"/>
      <x:color rgb="FFD3C584"/>
      <x:name val="Carlito"/>
    </x:font>
    <x:font>
      <x:sz val="11"/>
      <x:color rgb="FF1F2937"/>
      <x:name val="Carlito"/>
    </x:font>
    <x:font>
      <x:sz val="10"/>
      <x:name val="Carlito"/>
    </x:font>
    <x:font>
      <x:b/>
      <x:sz val="16"/>
      <x:color rgb="FFFFFFFF"/>
      <x:name val="Carlito"/>
    </x:font>
    <x:font>
      <x:i/>
      <x:sz val="11"/>
      <x:color rgb="FF334155"/>
      <x:name val="Carlito"/>
    </x:font>
    <x:font>
      <x:b/>
      <x:sz val="10"/>
      <x:color rgb="FF334155"/>
      <x:name val="Carlito"/>
    </x:font>
    <x:font>
      <x:b/>
      <x:sz val="10"/>
      <x:color rgb="FFDCCF79"/>
      <x:name val="Carlito"/>
    </x:font>
    <x:font>
      <x:b/>
      <x:sz val="11"/>
      <x:color rgb="FFFFFFFF"/>
      <x:name val="Carlito"/>
    </x:font>
    <x:font>
      <x:i/>
      <x:sz val="11"/>
      <x:color rgb="FF0F3F50"/>
      <x:name val="Carlito"/>
    </x:font>
    <x:font>
      <x:b/>
      <x:sz val="11"/>
      <x:color rgb="FF0F3F50"/>
      <x:name val="Carlito"/>
    </x:font>
    <x:font>
      <x:b/>
      <x:sz val="11"/>
      <x:color rgb="FF334155"/>
      <x:name val="Carlito"/>
    </x:font>
    <x:font>
      <x:b/>
      <x:sz val="9"/>
      <x:color rgb="FF92400E"/>
      <x:name val="Carlito"/>
    </x:font>
    <x:font>
      <x:b/>
      <x:sz val="11"/>
      <x:color rgb="FF92400E"/>
      <x:name val="Carlito"/>
    </x:font>
    <x:font>
      <x:b/>
      <x:sz val="10"/>
      <x:color rgb="FFFFFFFF"/>
      <x:name val="Carlito"/>
    </x:font>
    <x:font>
      <x:b/>
      <x:sz val="10"/>
      <x:color rgb="FF0F172A"/>
      <x:name val="Carlito"/>
    </x:font>
    <x:font>
      <x:b/>
      <x:sz val="11"/>
      <x:color rgb="FF0F172A"/>
      <x:name val="Carlito"/>
    </x:font>
    <x:font>
      <x:i/>
      <x:sz val="11"/>
      <x:color rgb="FF9A3412"/>
      <x:name val="Carlito"/>
    </x:font>
    <x:font>
      <x:b/>
      <x:sz val="11"/>
      <x:color rgb="FF1E3A8A"/>
      <x:name val="Carlito"/>
    </x:font>
    <x:font>
      <x:sz val="10"/>
      <x:color rgb="FF334155"/>
      <x:name val="Carlito"/>
    </x:font>
    <x:font>
      <x:b/>
      <x:sz val="10"/>
      <x:color rgb="FFFDE68A"/>
      <x:name val="Carlito"/>
    </x:font>
    <x:font>
      <x:b/>
      <x:sz val="10"/>
      <x:color rgb="FF7C4A03"/>
      <x:name val="Carlito"/>
    </x:font>
    <x:font>
      <x:i/>
      <x:sz val="11"/>
      <x:color rgb="FF475569"/>
      <x:name val="Carlito"/>
    </x:font>
    <x:font>
      <x:sz val="9"/>
      <x:color rgb="FF334155"/>
      <x:name val="Carlito"/>
    </x:font>
    <x:font>
      <x:b/>
      <x:sz val="9"/>
      <x:color rgb="FFF2D36B"/>
      <x:name val="Carlito"/>
    </x:font>
    <x:font>
      <x:sz val="9"/>
      <x:color rgb="FF7C4A03"/>
      <x:name val="Carlito"/>
    </x:font>
    <x:font>
      <x:i/>
      <x:sz val="10"/>
      <x:color rgb="FF64748B"/>
      <x:name val="Carlito"/>
    </x:font>
    <x:font>
      <x:b/>
      <x:sz val="14"/>
      <x:color rgb="FFFFFFFF"/>
      <x:name val="Carlito"/>
    </x:font>
    <x:font>
      <x:sz val="9"/>
      <x:color rgb="FF1E293B"/>
      <x:name val="Carlito"/>
    </x:font>
    <x:font>
      <x:b/>
      <x:sz val="9"/>
      <x:color rgb="FFD3C584"/>
      <x:name val="Carlito"/>
    </x:font>
    <x:font>
      <x:sz val="11"/>
      <x:color theme="10"/>
      <x:name val="Carlito"/>
    </x:font>
    <x:font>
      <x:sz val="11"/>
      <x:color rgb="FF334E52"/>
      <x:name val="Carlito"/>
    </x:font>
    <x:font>
      <x:sz val="8"/>
      <x:name val="Carlito"/>
    </x:font>
    <x:font>
      <x:sz val="11"/>
      <x:color rgb="FF245A63"/>
      <x:name val="Carlito"/>
    </x:font>
    <x:font>
      <x:sz val="9"/>
      <x:color rgb="FF245A63"/>
      <x:name val="Carlito"/>
    </x:font>
    <x:font>
      <x:b/>
      <x:sz val="11"/>
      <x:color rgb="FFE7CD91"/>
      <x:name val="Carlito"/>
    </x:font>
  </x:fonts>
  <x:fills count="56">
    <x:fill>
      <x:patternFill patternType="none"/>
    </x:fill>
    <x:fill>
      <x:patternFill patternType="gray125"/>
    </x:fill>
    <x:fill>
      <x:patternFill patternType="solid">
        <x:fgColor rgb="FF175B72"/>
      </x:patternFill>
    </x:fill>
    <x:fill>
      <x:patternFill patternType="solid">
        <x:fgColor rgb="FFE8F4F4"/>
      </x:patternFill>
    </x:fill>
    <x:fill>
      <x:patternFill patternType="solid">
        <x:fgColor rgb="FFF6F1DA"/>
      </x:patternFill>
    </x:fill>
    <x:fill>
      <x:patternFill patternType="solid">
        <x:fgColor rgb="FF0F3F50"/>
      </x:patternFill>
    </x:fill>
    <x:fill>
      <x:patternFill patternType="solid">
        <x:fgColor rgb="FFFFFFFF"/>
      </x:patternFill>
    </x:fill>
    <x:fill>
      <x:patternFill patternType="solid">
        <x:fgColor rgb="FFFFF8DD"/>
      </x:patternFill>
    </x:fill>
    <x:fill>
      <x:patternFill patternType="solid">
        <x:fgColor rgb="FFEAF2F8"/>
      </x:patternFill>
    </x:fill>
    <x:fill>
      <x:patternFill patternType="solid">
        <x:fgColor rgb="FF0F3F50"/>
      </x:patternFill>
    </x:fill>
    <x:fill>
      <x:patternFill patternType="solid">
        <x:fgColor rgb="FFFFF9E6"/>
      </x:patternFill>
    </x:fill>
    <x:fill>
      <x:patternFill patternType="solid">
        <x:fgColor rgb="FFEAF2F8"/>
      </x:patternFill>
    </x:fill>
    <x:fill>
      <x:patternFill patternType="solid">
        <x:fgColor theme="0"/>
      </x:patternFill>
    </x:fill>
    <x:fill>
      <x:patternFill patternType="solid">
        <x:fgColor rgb="FFFFF8DD"/>
      </x:patternFill>
    </x:fill>
    <x:fill>
      <x:patternFill patternType="solid">
        <x:fgColor rgb="FFEAF2F8"/>
      </x:patternFill>
    </x:fill>
    <x:fill>
      <x:patternFill patternType="solid">
        <x:fgColor rgb="FF1C6A80"/>
      </x:patternFill>
    </x:fill>
    <x:fill>
      <x:patternFill patternType="solid">
        <x:fgColor rgb="FFE6F3F7"/>
      </x:patternFill>
    </x:fill>
    <x:fill>
      <x:patternFill patternType="solid">
        <x:fgColor rgb="FFFFF7D6"/>
      </x:patternFill>
    </x:fill>
    <x:fill>
      <x:patternFill patternType="solid">
        <x:fgColor rgb="FF0F5366"/>
      </x:patternFill>
    </x:fill>
    <x:fill>
      <x:patternFill patternType="solid">
        <x:fgColor rgb="FFFFFBEA"/>
      </x:patternFill>
    </x:fill>
    <x:fill>
      <x:patternFill patternType="solid">
        <x:fgColor rgb="FFDDF0FF"/>
      </x:patternFill>
    </x:fill>
    <x:fill>
      <x:patternFill patternType="solid">
        <x:fgColor rgb="FF175B72"/>
      </x:patternFill>
    </x:fill>
    <x:fill>
      <x:patternFill patternType="solid">
        <x:fgColor rgb="FFE8F4F4"/>
      </x:patternFill>
    </x:fill>
    <x:fill>
      <x:patternFill patternType="solid">
        <x:fgColor rgb="FFF6F1DA"/>
      </x:patternFill>
    </x:fill>
    <x:fill>
      <x:patternFill patternType="solid">
        <x:fgColor rgb="FF0F3F50"/>
      </x:patternFill>
    </x:fill>
    <x:fill>
      <x:patternFill patternType="solid">
        <x:fgColor rgb="FFFFFDF0"/>
      </x:patternFill>
    </x:fill>
    <x:fill>
      <x:patternFill patternType="solid">
        <x:fgColor rgb="FFF5F3FF"/>
      </x:patternFill>
    </x:fill>
    <x:fill>
      <x:patternFill patternType="solid">
        <x:fgColor rgb="FFFFF7ED"/>
      </x:patternFill>
    </x:fill>
    <x:fill>
      <x:patternFill patternType="solid">
        <x:fgColor rgb="FFE2E8F0"/>
      </x:patternFill>
    </x:fill>
    <x:fill>
      <x:patternFill patternType="solid">
        <x:fgColor rgb="FFE8F4F4"/>
      </x:patternFill>
    </x:fill>
    <x:fill>
      <x:patternFill patternType="solid">
        <x:fgColor rgb="FFFFFDF0"/>
      </x:patternFill>
    </x:fill>
    <x:fill>
      <x:patternFill patternType="solid">
        <x:fgColor rgb="FFF8FAFC"/>
      </x:patternFill>
    </x:fill>
    <x:fill>
      <x:patternFill patternType="solid">
        <x:fgColor rgb="FFEFF6FF"/>
      </x:patternFill>
    </x:fill>
    <x:fill>
      <x:patternFill patternType="solid">
        <x:fgColor rgb="FFDBEAFE"/>
      </x:patternFill>
    </x:fill>
    <x:fill>
      <x:patternFill patternType="solid">
        <x:fgColor rgb="FFFEF2F2"/>
      </x:patternFill>
    </x:fill>
    <x:fill>
      <x:patternFill patternType="solid">
        <x:fgColor rgb="FFF1F5F9"/>
      </x:patternFill>
    </x:fill>
    <x:fill>
      <x:patternFill patternType="solid">
        <x:fgColor rgb="FFFFFCED"/>
      </x:patternFill>
    </x:fill>
    <x:fill>
      <x:patternFill patternType="solid">
        <x:fgColor rgb="FF155E75"/>
      </x:patternFill>
    </x:fill>
    <x:fill>
      <x:patternFill patternType="solid">
        <x:fgColor theme="4" tint="0.59993"/>
      </x:patternFill>
    </x:fill>
    <x:fill>
      <x:patternFill patternType="solid">
        <x:fgColor theme="3" tint="0.89993"/>
      </x:patternFill>
    </x:fill>
    <x:fill>
      <x:patternFill patternType="solid">
        <x:fgColor rgb="FFFFF9E7"/>
      </x:patternFill>
    </x:fill>
    <x:fill>
      <x:patternFill patternType="solid">
        <x:fgColor rgb="FFEEF7FA"/>
      </x:patternFill>
    </x:fill>
    <x:fill>
      <x:patternFill patternType="solid">
        <x:fgColor rgb="FF0B6177"/>
      </x:patternFill>
    </x:fill>
    <x:fill>
      <x:patternFill patternType="solid">
        <x:fgColor rgb="FFFFF4C7"/>
      </x:patternFill>
    </x:fill>
    <x:fill>
      <x:patternFill patternType="solid">
        <x:fgColor rgb="FF0F566B"/>
      </x:patternFill>
    </x:fill>
    <x:fill>
      <x:patternFill patternType="solid">
        <x:fgColor rgb="FF175B72"/>
      </x:patternFill>
    </x:fill>
    <x:fill>
      <x:patternFill patternType="solid">
        <x:fgColor rgb="FFE8F4F4"/>
      </x:patternFill>
    </x:fill>
    <x:fill>
      <x:patternFill patternType="solid">
        <x:fgColor rgb="FFF6F1DA"/>
      </x:patternFill>
    </x:fill>
    <x:fill>
      <x:patternFill patternType="solid">
        <x:fgColor rgb="FF0F3F50"/>
      </x:patternFill>
    </x:fill>
    <x:fill>
      <x:patternFill patternType="solid">
        <x:fgColor rgb="FFFFFFFF"/>
      </x:patternFill>
    </x:fill>
    <x:fill>
      <x:patternFill patternType="solid">
        <x:fgColor rgb="FFFFFDF5"/>
      </x:patternFill>
    </x:fill>
    <x:fill>
      <x:patternFill patternType="solid">
        <x:fgColor rgb="FF2B5C63"/>
      </x:patternFill>
    </x:fill>
    <x:fill>
      <x:patternFill patternType="solid">
        <x:fgColor rgb="FFD3C584"/>
      </x:patternFill>
    </x:fill>
    <x:fill>
      <x:patternFill patternType="solid">
        <x:fgColor rgb="FFF7F5EF"/>
      </x:patternFill>
    </x:fill>
    <x:fill>
      <x:patternFill patternType="solid">
        <x:fgColor rgb="FFEDF4F2"/>
      </x:patternFill>
    </x:fill>
    <x:fill>
      <x:patternFill patternType="solid">
        <x:fgColor rgb="FF0F4C5C"/>
      </x:patternFill>
    </x:fill>
  </x:fills>
  <x:borders count="99">
    <x:border/>
    <x:border>
      <x:bottom style="thin">
        <x:color rgb="FFD3C584"/>
      </x:bottom>
    </x:border>
    <x:border>
      <x:left style="thin">
        <x:color rgb="FFD9E2E7"/>
      </x:left>
      <x:top style="thin">
        <x:color rgb="FFD9E2E7"/>
      </x:top>
      <x:bottom style="thin">
        <x:color rgb="FFD9E2E7"/>
      </x:bottom>
    </x:border>
    <x:border>
      <x:top style="thin">
        <x:color rgb="FFD9E2E7"/>
      </x:top>
      <x:bottom style="thin">
        <x:color rgb="FFD9E2E7"/>
      </x:bottom>
    </x:border>
    <x:border>
      <x:right style="thin">
        <x:color rgb="FFD9E2E7"/>
      </x:right>
      <x:top style="thin">
        <x:color rgb="FFD9E2E7"/>
      </x:top>
      <x:bottom style="thin">
        <x:color rgb="FFD9E2E7"/>
      </x:bottom>
    </x:border>
    <x:border>
      <x:left style="thin">
        <x:color rgb="FFD9E2E7"/>
      </x:left>
      <x:top style="thin">
        <x:color rgb="FFD9E2E7"/>
      </x:top>
    </x:border>
    <x:border>
      <x:top style="thin">
        <x:color rgb="FFD9E2E7"/>
      </x:top>
    </x:border>
    <x:border>
      <x:right style="thin">
        <x:color rgb="FFD9E2E7"/>
      </x:right>
      <x:top style="thin">
        <x:color rgb="FFD9E2E7"/>
      </x:top>
    </x:border>
    <x:border>
      <x:left style="thin">
        <x:color rgb="FFD9E2E7"/>
      </x:left>
    </x:border>
    <x:border>
      <x:right style="thin">
        <x:color rgb="FFD9E2E7"/>
      </x:right>
    </x:border>
    <x:border>
      <x:left style="thin">
        <x:color rgb="FFD9E2E7"/>
      </x:left>
      <x:bottom style="thin">
        <x:color rgb="FFD9E2E7"/>
      </x:bottom>
    </x:border>
    <x:border>
      <x:bottom style="thin">
        <x:color rgb="FFD9E2E7"/>
      </x:bottom>
    </x:border>
    <x:border>
      <x:right style="thin">
        <x:color rgb="FFD9E2E7"/>
      </x:right>
      <x:bottom style="thin">
        <x:color rgb="FFD9E2E7"/>
      </x:bottom>
    </x:border>
    <x:border>
      <x:right style="thin">
        <x:color rgb="FFD9E2E7"/>
      </x:right>
    </x:border>
    <x:border>
      <x:left style="thin">
        <x:color theme="0"/>
      </x:left>
      <x:right style="thin">
        <x:color theme="0"/>
      </x:right>
      <x:top style="thin">
        <x:color theme="0"/>
      </x:top>
      <x:bottom style="thin">
        <x:color theme="0"/>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D9E2E7"/>
      </x:right>
      <x:top style="thin">
        <x:color rgb="FFCBD5E1"/>
      </x:top>
      <x:bottom style="thin">
        <x:color rgb="FFCBD5E1"/>
      </x:bottom>
    </x:border>
    <x:border>
      <x:right style="thin">
        <x:color rgb="FFCBD5E1"/>
      </x:right>
      <x:top style="thin">
        <x:color rgb="FFCBD5E1"/>
      </x:top>
      <x:bottom style="thin">
        <x:color rgb="FFCBD5E1"/>
      </x:bottom>
    </x:border>
    <x:border>
      <x:left style="thin">
        <x:color rgb="FFD9E2E7"/>
      </x:left>
      <x:top style="medium">
        <x:color rgb="FF475569"/>
      </x:top>
      <x:bottom style="thin">
        <x:color rgb="FF94A3B8"/>
      </x:bottom>
    </x:border>
    <x:border>
      <x:top style="medium">
        <x:color rgb="FF475569"/>
      </x:top>
      <x:bottom style="thin">
        <x:color rgb="FF94A3B8"/>
      </x:bottom>
    </x:border>
    <x:border>
      <x:right style="thin">
        <x:color rgb="FFD9E2E7"/>
      </x:right>
      <x:top style="medium">
        <x:color rgb="FF475569"/>
      </x:top>
      <x:bottom style="thin">
        <x:color rgb="FF94A3B8"/>
      </x:bottom>
    </x:border>
    <x:border>
      <x:top style="medium">
        <x:color rgb="FF475569"/>
      </x:top>
      <x:bottom style="thin">
        <x:color rgb="FF93C5FD"/>
      </x:bottom>
    </x:border>
    <x:border>
      <x:right style="thin">
        <x:color rgb="FFBAE6FD"/>
      </x:right>
      <x:bottom style="thin">
        <x:color rgb="FFBAE6FD"/>
      </x:bottom>
    </x:border>
    <x:border>
      <x:bottom style="thin">
        <x:color rgb="FFBAE6FD"/>
      </x:bottom>
    </x:border>
    <x:border>
      <x:left style="thin">
        <x:color rgb="FFBAE6FD"/>
      </x:left>
      <x:bottom style="thin">
        <x:color rgb="FFBAE6FD"/>
      </x:bottom>
    </x:border>
    <x:border>
      <x:right style="thin">
        <x:color rgb="FFBAE6FD"/>
      </x:right>
    </x:border>
    <x:border>
      <x:left style="thin">
        <x:color rgb="FFBAE6FD"/>
      </x:left>
    </x:border>
    <x:border>
      <x:right style="thin">
        <x:color rgb="FFBAE6FD"/>
      </x:right>
      <x:top style="thin">
        <x:color rgb="FFBAE6FD"/>
      </x:top>
    </x:border>
    <x:border>
      <x:top style="thin">
        <x:color rgb="FFBAE6FD"/>
      </x:top>
    </x:border>
    <x:border>
      <x:left style="thin">
        <x:color rgb="FFBAE6FD"/>
      </x:left>
      <x:top style="thin">
        <x:color rgb="FFBAE6FD"/>
      </x:top>
    </x:border>
    <x:border>
      <x:right style="thin">
        <x:color rgb="FFFFFFFF"/>
      </x:right>
      <x:top style="thin">
        <x:color rgb="FFFFFFFF"/>
      </x:top>
      <x:bottom style="thin">
        <x:color rgb="FFFFFFFF"/>
      </x:bottom>
    </x:border>
    <x:border>
      <x:top style="thin">
        <x:color rgb="FFFFFFFF"/>
      </x:top>
      <x:bottom style="thin">
        <x:color rgb="FFFFFFFF"/>
      </x:bottom>
    </x:border>
    <x:border>
      <x:left style="thin">
        <x:color rgb="FFFFFFFF"/>
      </x:left>
      <x:top style="thin">
        <x:color rgb="FFFFFFFF"/>
      </x:top>
      <x:bottom style="thin">
        <x:color rgb="FFFFFFFF"/>
      </x:bottom>
    </x:border>
    <x:border>
      <x:bottom style="thin">
        <x:color rgb="FFCBD5E1"/>
      </x:bottom>
    </x:border>
    <x:border>
      <x:top style="thin">
        <x:color rgb="FFCBD5E1"/>
      </x:top>
    </x:border>
    <x:border>
      <x:left style="thin">
        <x:color indexed="64"/>
      </x:left>
      <x:right style="thin">
        <x:color indexed="64"/>
      </x:right>
      <x:top style="thin">
        <x:color indexed="64"/>
      </x:top>
      <x:bottom style="thin">
        <x:color indexed="64"/>
      </x:bottom>
    </x:border>
    <x:border>
      <x:right style="thin">
        <x:color indexed="64"/>
      </x:right>
      <x:top style="thin">
        <x:color indexed="64"/>
      </x:top>
      <x:bottom style="thin">
        <x:color indexed="64"/>
      </x:bottom>
    </x:border>
    <x:border>
      <x:right style="thin">
        <x:color rgb="FFE8EEF1"/>
      </x:right>
      <x:bottom style="thin">
        <x:color rgb="FFD7E1E5"/>
      </x:bottom>
    </x:border>
    <x:border>
      <x:bottom style="thin">
        <x:color rgb="FFD7E1E5"/>
      </x:bottom>
    </x:border>
    <x:border>
      <x:right style="thin">
        <x:color rgb="FFE8EEF1"/>
      </x:right>
    </x:border>
    <x:border>
      <x:right style="thin">
        <x:color rgb="FF2B7485"/>
      </x:right>
      <x:bottom style="thin">
        <x:color rgb="FF0A4858"/>
      </x:bottom>
    </x:border>
    <x:border>
      <x:bottom style="thin">
        <x:color rgb="FF0A4858"/>
      </x:bottom>
    </x:border>
    <x:border>
      <x:bottom style="hair">
        <x:color rgb="FFE2E8F0"/>
      </x:bottom>
    </x:border>
    <x:border>
      <x:left style="thin">
        <x:color rgb="FFE3E9EC"/>
      </x:left>
    </x:border>
    <x:border>
      <x:right style="thin">
        <x:color rgb="FFE3E9EC"/>
      </x:right>
    </x:border>
    <x:border>
      <x:left style="thin">
        <x:color rgb="FFE3E9EC"/>
      </x:left>
      <x:bottom style="thin">
        <x:color rgb="FFE3E9EC"/>
      </x:bottom>
    </x:border>
    <x:border>
      <x:bottom style="thin">
        <x:color rgb="FFE3E9EC"/>
      </x:bottom>
    </x:border>
    <x:border>
      <x:right style="thin">
        <x:color rgb="FFE3E9EC"/>
      </x:right>
      <x:bottom style="thin">
        <x:color rgb="FFE3E9EC"/>
      </x:bottom>
    </x:border>
    <x:border>
      <x:left style="hair">
        <x:color auto="1"/>
      </x:left>
      <x:right style="hair">
        <x:color auto="1"/>
      </x:right>
      <x:top style="hair">
        <x:color auto="1"/>
      </x:top>
      <x:bottom style="hair">
        <x:color auto="1"/>
      </x:bottom>
    </x:border>
    <x:border/>
    <x:border>
      <x:left style="thin">
        <x:color rgb="FFD9E2E7"/>
      </x:left>
      <x:top style="thin">
        <x:color rgb="FFD9E2E7"/>
      </x:top>
      <x:bottom style="thin">
        <x:color rgb="FFD9E2E7"/>
      </x:bottom>
    </x:border>
    <x:border>
      <x:top style="thin">
        <x:color rgb="FFD9E2E7"/>
      </x:top>
      <x:bottom style="thin">
        <x:color rgb="FFD9E2E7"/>
      </x:bottom>
    </x:border>
    <x:border>
      <x:right style="thin">
        <x:color rgb="FFD9E2E7"/>
      </x:right>
      <x:top style="thin">
        <x:color rgb="FFD9E2E7"/>
      </x:top>
      <x:bottom style="thin">
        <x:color rgb="FFD9E2E7"/>
      </x:bottom>
    </x:border>
    <x:border>
      <x:top style="thin">
        <x:color rgb="FFD9E2E7"/>
      </x:top>
    </x:border>
    <x:border>
      <x:bottom style="thin">
        <x:color rgb="FFD9E2E7"/>
      </x:bottom>
    </x:border>
    <x:border>
      <x:right style="thin">
        <x:color rgb="FFD9E2E7"/>
      </x:right>
      <x:bottom style="thin">
        <x:color rgb="FFD9E2E7"/>
      </x:bottom>
    </x:border>
    <x:border>
      <x:right style="thin">
        <x:color rgb="FFD9E2E7"/>
      </x:right>
      <x:top style="thin">
        <x:color rgb="FFD9E2E7"/>
      </x:top>
    </x:border>
    <x:border>
      <x:left style="thin">
        <x:color rgb="FFD9E2E7"/>
      </x:left>
      <x:top style="thin">
        <x:color rgb="FFD9E2E7"/>
      </x:top>
    </x:border>
    <x:border>
      <x:left style="thin">
        <x:color rgb="FFD9E2E7"/>
      </x:left>
    </x:border>
    <x:border>
      <x:left style="thin">
        <x:color rgb="FFD9E2E7"/>
      </x:left>
      <x:bottom style="thin">
        <x:color rgb="FFD9E2E7"/>
      </x:bottom>
    </x:border>
    <x:border>
      <x:right style="thin">
        <x:color rgb="FFD9E2E7"/>
      </x:right>
    </x:border>
    <x:border>
      <x:left style="thin">
        <x:color theme="0"/>
      </x:left>
      <x:right style="thin">
        <x:color theme="0"/>
      </x:right>
      <x:top style="thin">
        <x:color theme="0"/>
      </x:top>
      <x:bottom style="thin">
        <x:color theme="0"/>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D9E2E7"/>
      </x:right>
      <x:top style="thin">
        <x:color rgb="FFCBD5E1"/>
      </x:top>
      <x:bottom style="thin">
        <x:color rgb="FFCBD5E1"/>
      </x:bottom>
    </x:border>
    <x:border>
      <x:right style="thin">
        <x:color rgb="FFCBD5E1"/>
      </x:right>
      <x:top style="thin">
        <x:color rgb="FFCBD5E1"/>
      </x:top>
      <x:bottom style="thin">
        <x:color rgb="FFCBD5E1"/>
      </x:bottom>
    </x:border>
    <x:border>
      <x:left style="thin">
        <x:color rgb="FFD9E2E7"/>
      </x:left>
      <x:top style="medium">
        <x:color rgb="FF475569"/>
      </x:top>
      <x:bottom style="thin">
        <x:color rgb="FF94A3B8"/>
      </x:bottom>
    </x:border>
    <x:border>
      <x:top style="medium">
        <x:color rgb="FF475569"/>
      </x:top>
      <x:bottom style="thin">
        <x:color rgb="FF94A3B8"/>
      </x:bottom>
    </x:border>
    <x:border>
      <x:right style="thin">
        <x:color rgb="FFD9E2E7"/>
      </x:right>
      <x:top style="medium">
        <x:color rgb="FF475569"/>
      </x:top>
      <x:bottom style="thin">
        <x:color rgb="FF94A3B8"/>
      </x:bottom>
    </x:border>
    <x:border>
      <x:top style="medium">
        <x:color rgb="FF475569"/>
      </x:top>
      <x:bottom style="thin">
        <x:color rgb="FF93C5FD"/>
      </x:bottom>
    </x:border>
    <x:border>
      <x:right style="thin">
        <x:color rgb="FFBAE6FD"/>
      </x:right>
      <x:bottom style="thin">
        <x:color rgb="FFBAE6FD"/>
      </x:bottom>
    </x:border>
    <x:border>
      <x:bottom style="thin">
        <x:color rgb="FFBAE6FD"/>
      </x:bottom>
    </x:border>
    <x:border>
      <x:left style="thin">
        <x:color rgb="FFBAE6FD"/>
      </x:left>
      <x:bottom style="thin">
        <x:color rgb="FFBAE6FD"/>
      </x:bottom>
    </x:border>
    <x:border>
      <x:right style="thin">
        <x:color rgb="FFBAE6FD"/>
      </x:right>
    </x:border>
    <x:border>
      <x:left style="thin">
        <x:color rgb="FFBAE6FD"/>
      </x:left>
    </x:border>
    <x:border>
      <x:right style="thin">
        <x:color rgb="FFBAE6FD"/>
      </x:right>
      <x:top style="thin">
        <x:color rgb="FFBAE6FD"/>
      </x:top>
    </x:border>
    <x:border>
      <x:top style="thin">
        <x:color rgb="FFBAE6FD"/>
      </x:top>
    </x:border>
    <x:border>
      <x:left style="thin">
        <x:color rgb="FFBAE6FD"/>
      </x:left>
      <x:top style="thin">
        <x:color rgb="FFBAE6FD"/>
      </x:top>
    </x:border>
    <x:border>
      <x:right style="thin">
        <x:color rgb="FFFFFFFF"/>
      </x:right>
      <x:top style="thin">
        <x:color rgb="FFFFFFFF"/>
      </x:top>
      <x:bottom style="thin">
        <x:color rgb="FFFFFFFF"/>
      </x:bottom>
    </x:border>
    <x:border>
      <x:top style="thin">
        <x:color rgb="FFFFFFFF"/>
      </x:top>
      <x:bottom style="thin">
        <x:color rgb="FFFFFFFF"/>
      </x:bottom>
    </x:border>
    <x:border>
      <x:left style="thin">
        <x:color rgb="FFFFFFFF"/>
      </x:left>
      <x:top style="thin">
        <x:color rgb="FFFFFFFF"/>
      </x:top>
      <x:bottom style="thin">
        <x:color rgb="FFFFFFFF"/>
      </x:bottom>
    </x:border>
    <x:border>
      <x:bottom style="thin">
        <x:color rgb="FFCBD5E1"/>
      </x:bottom>
    </x:border>
    <x:border>
      <x:top style="thin">
        <x:color rgb="FFCBD5E1"/>
      </x:top>
    </x:border>
    <x:border>
      <x:left style="thin">
        <x:color indexed="64"/>
      </x:left>
      <x:right style="thin">
        <x:color indexed="64"/>
      </x:right>
      <x:top style="thin">
        <x:color indexed="64"/>
      </x:top>
      <x:bottom style="thin">
        <x:color indexed="64"/>
      </x:bottom>
    </x:border>
    <x:border>
      <x:right style="thin">
        <x:color indexed="64"/>
      </x:right>
      <x:top style="thin">
        <x:color indexed="64"/>
      </x:top>
      <x:bottom style="thin">
        <x:color indexed="64"/>
      </x:bottom>
    </x:border>
    <x:border>
      <x:right style="thin">
        <x:color rgb="FFE8EEF1"/>
      </x:right>
      <x:bottom style="thin">
        <x:color rgb="FFD7E1E5"/>
      </x:bottom>
    </x:border>
    <x:border>
      <x:bottom style="thin">
        <x:color rgb="FFD7E1E5"/>
      </x:bottom>
    </x:border>
    <x:border>
      <x:right style="thin">
        <x:color rgb="FFE8EEF1"/>
      </x:right>
    </x:border>
    <x:border>
      <x:right style="thin">
        <x:color rgb="FF2B7485"/>
      </x:right>
      <x:bottom style="thin">
        <x:color rgb="FF0A4858"/>
      </x:bottom>
    </x:border>
    <x:border>
      <x:bottom style="thin">
        <x:color rgb="FF0A4858"/>
      </x:bottom>
    </x:border>
    <x:border>
      <x:bottom style="hair">
        <x:color rgb="FFE2E8F0"/>
      </x:bottom>
    </x:border>
    <x:border>
      <x:bottom style="thin">
        <x:color rgb="FFD3C584"/>
      </x:bottom>
    </x:border>
    <x:border>
      <x:bottom style="thin">
        <x:color rgb="FFE3E9EC"/>
      </x:bottom>
    </x:border>
    <x:border>
      <x:left style="thin">
        <x:color rgb="FFE3E9EC"/>
      </x:left>
    </x:border>
    <x:border>
      <x:left style="thin">
        <x:color rgb="FFE3E9EC"/>
      </x:left>
      <x:bottom style="thin">
        <x:color rgb="FFE3E9EC"/>
      </x:bottom>
    </x:border>
    <x:border>
      <x:right style="thin">
        <x:color rgb="FFE3E9EC"/>
      </x:right>
    </x:border>
    <x:border>
      <x:right style="thin">
        <x:color rgb="FFE3E9EC"/>
      </x:right>
      <x:bottom style="thin">
        <x:color rgb="FFE3E9EC"/>
      </x:bottom>
    </x:border>
    <x:border>
      <x:left style="hair">
        <x:color auto="1"/>
      </x:left>
      <x:right style="hair">
        <x:color auto="1"/>
      </x:right>
      <x:top style="hair">
        <x:color auto="1"/>
      </x:top>
      <x:bottom style="hair">
        <x:color auto="1"/>
      </x:bottom>
    </x:border>
  </x:borders>
  <x:cellStyleXfs count="2">
    <x:xf numFmtId="0" fontId="0" fillId="0" borderId="0"/>
    <x:xf numFmtId="0" fontId="35" fillId="0" borderId="0" applyNumberFormat="0" applyFill="0" applyBorder="0" applyAlignment="0" applyProtection="0"/>
  </x:cellStyleXfs>
  <x:cellXfs count="589">
    <x:xf numFmtId="0" fontId="0" fillId="0" borderId="0" xfId="0"/>
    <x:xf numFmtId="0" fontId="4" fillId="5" borderId="2" xfId="0" applyFont="1" applyFill="1" applyBorder="1" applyAlignment="1">
      <x:alignment horizontal="center" vertical="center" wrapText="1"/>
    </x:xf>
    <x:xf numFmtId="0" fontId="4" fillId="5" borderId="3" xfId="0" applyFont="1" applyFill="1" applyBorder="1" applyAlignment="1">
      <x:alignment horizontal="center" vertical="center" wrapText="1"/>
    </x:xf>
    <x:xf numFmtId="0" fontId="4" fillId="5" borderId="4" xfId="0" applyFont="1" applyFill="1" applyBorder="1" applyAlignment="1">
      <x:alignment horizontal="center" vertical="center" wrapText="1"/>
    </x:xf>
    <x:xf numFmtId="0" fontId="5" fillId="6" borderId="6" xfId="0" applyFont="1" applyFill="1" applyBorder="1" applyAlignment="1">
      <x:alignment vertical="center" wrapText="1"/>
    </x:xf>
    <x:xf numFmtId="0" fontId="5" fillId="6" borderId="0" xfId="0" applyFont="1" applyFill="1" applyAlignment="1">
      <x:alignment vertical="center" wrapText="1"/>
    </x:xf>
    <x:xf numFmtId="0" fontId="5" fillId="6" borderId="11" xfId="0" applyFont="1" applyFill="1" applyBorder="1" applyAlignment="1">
      <x:alignment vertical="center" wrapText="1"/>
    </x:xf>
    <x:xf numFmtId="0" fontId="5" fillId="6" borderId="12" xfId="0" applyFont="1" applyFill="1" applyBorder="1" applyAlignment="1">
      <x:alignment vertical="center" wrapText="1"/>
    </x:xf>
    <x:xf numFmtId="0" fontId="5" fillId="7" borderId="6" xfId="0" applyFont="1" applyFill="1" applyBorder="1" applyAlignment="1">
      <x:alignment vertical="center" wrapText="1"/>
    </x:xf>
    <x:xf numFmtId="0" fontId="5" fillId="7" borderId="0" xfId="0" applyFont="1" applyFill="1" applyAlignment="1">
      <x:alignment vertical="center" wrapText="1"/>
    </x:xf>
    <x:xf numFmtId="0" fontId="5" fillId="7" borderId="11" xfId="0" applyFont="1" applyFill="1" applyBorder="1" applyAlignment="1">
      <x:alignment vertical="center" wrapText="1"/>
    </x:xf>
    <x:xf numFmtId="164" fontId="5" fillId="7" borderId="6" xfId="0" applyNumberFormat="1" applyFont="1" applyFill="1" applyBorder="1" applyAlignment="1">
      <x:alignment vertical="center" wrapText="1"/>
    </x:xf>
    <x:xf numFmtId="164" fontId="5" fillId="7" borderId="0" xfId="0" applyNumberFormat="1" applyFont="1" applyFill="1" applyAlignment="1">
      <x:alignment vertical="center" wrapText="1"/>
    </x:xf>
    <x:xf numFmtId="164" fontId="5" fillId="7" borderId="11" xfId="0" applyNumberFormat="1" applyFont="1" applyFill="1" applyBorder="1" applyAlignment="1">
      <x:alignment vertical="center" wrapText="1"/>
    </x:xf>
    <x:xf numFmtId="3" fontId="5" fillId="6" borderId="6" xfId="0" applyNumberFormat="1" applyFont="1" applyFill="1" applyBorder="1" applyAlignment="1">
      <x:alignment vertical="center" wrapText="1"/>
    </x:xf>
    <x:xf numFmtId="3" fontId="5" fillId="6" borderId="0" xfId="0" applyNumberFormat="1" applyFont="1" applyFill="1" applyAlignment="1">
      <x:alignment vertical="center" wrapText="1"/>
    </x:xf>
    <x:xf numFmtId="3" fontId="5" fillId="6" borderId="11" xfId="0" applyNumberFormat="1" applyFont="1" applyFill="1" applyBorder="1" applyAlignment="1">
      <x:alignment vertical="center" wrapText="1"/>
    </x:xf>
    <x:xf numFmtId="3" fontId="5" fillId="7" borderId="6" xfId="0" applyNumberFormat="1" applyFont="1" applyFill="1" applyBorder="1" applyAlignment="1">
      <x:alignment vertical="center" wrapText="1"/>
    </x:xf>
    <x:xf numFmtId="3" fontId="5" fillId="7" borderId="0" xfId="0" applyNumberFormat="1" applyFont="1" applyFill="1" applyAlignment="1">
      <x:alignment vertical="center" wrapText="1"/>
    </x:xf>
    <x:xf numFmtId="3" fontId="5" fillId="7" borderId="11" xfId="0" applyNumberFormat="1" applyFont="1" applyFill="1" applyBorder="1" applyAlignment="1">
      <x:alignment vertical="center" wrapText="1"/>
    </x:xf>
    <x:xf numFmtId="165" fontId="5" fillId="6" borderId="6" xfId="0" applyNumberFormat="1" applyFont="1" applyFill="1" applyBorder="1" applyAlignment="1">
      <x:alignment vertical="center" wrapText="1"/>
    </x:xf>
    <x:xf numFmtId="165" fontId="5" fillId="6" borderId="0" xfId="0" applyNumberFormat="1" applyFont="1" applyFill="1" applyAlignment="1">
      <x:alignment vertical="center" wrapText="1"/>
    </x:xf>
    <x:xf numFmtId="165" fontId="5" fillId="6" borderId="11" xfId="0" applyNumberFormat="1" applyFont="1" applyFill="1" applyBorder="1" applyAlignment="1">
      <x:alignment vertical="center" wrapText="1"/>
    </x:xf>
    <x:xf numFmtId="9" fontId="5" fillId="8" borderId="6" xfId="0" applyNumberFormat="1" applyFont="1" applyFill="1" applyBorder="1" applyAlignment="1">
      <x:alignment vertical="center" wrapText="1"/>
    </x:xf>
    <x:xf numFmtId="9" fontId="5" fillId="8" borderId="0" xfId="0" applyNumberFormat="1" applyFont="1" applyFill="1" applyAlignment="1">
      <x:alignment vertical="center" wrapText="1"/>
    </x:xf>
    <x:xf numFmtId="9" fontId="5" fillId="8" borderId="11" xfId="0" applyNumberFormat="1" applyFont="1" applyFill="1" applyBorder="1" applyAlignment="1">
      <x:alignment vertical="center" wrapText="1"/>
    </x:xf>
    <x:xf numFmtId="9" fontId="5" fillId="8" borderId="7" xfId="0" applyNumberFormat="1" applyFont="1" applyFill="1" applyBorder="1" applyAlignment="1">
      <x:alignment vertical="center" wrapText="1"/>
    </x:xf>
    <x:xf numFmtId="49" fontId="5" fillId="7" borderId="5" xfId="0" applyNumberFormat="1" applyFont="1" applyFill="1" applyBorder="1" applyAlignment="1">
      <x:alignment vertical="center" wrapText="1"/>
    </x:xf>
    <x:xf numFmtId="49" fontId="5" fillId="7" borderId="8" xfId="0" applyNumberFormat="1" applyFont="1" applyFill="1" applyBorder="1" applyAlignment="1">
      <x:alignment vertical="center" wrapText="1"/>
    </x:xf>
    <x:xf numFmtId="49" fontId="5" fillId="7" borderId="10" xfId="0" applyNumberFormat="1" applyFont="1" applyFill="1" applyBorder="1" applyAlignment="1">
      <x:alignment vertical="center" wrapText="1"/>
    </x:xf>
    <x:xf numFmtId="0" fontId="5" fillId="7" borderId="7" xfId="0" applyFont="1" applyFill="1" applyBorder="1" applyAlignment="1">
      <x:alignment vertical="center" wrapText="1"/>
    </x:xf>
    <x:xf numFmtId="0" fontId="5" fillId="7" borderId="9" xfId="0" applyFont="1" applyFill="1" applyBorder="1" applyAlignment="1">
      <x:alignment vertical="center" wrapText="1"/>
    </x:xf>
    <x:xf numFmtId="0" fontId="5" fillId="7" borderId="12" xfId="0" applyFont="1" applyFill="1" applyBorder="1" applyAlignment="1">
      <x:alignment vertical="center" wrapText="1"/>
    </x:xf>
    <x:xf numFmtId="3" fontId="5" fillId="8" borderId="6" xfId="0" applyNumberFormat="1" applyFont="1" applyFill="1" applyBorder="1" applyAlignment="1">
      <x:alignment vertical="center" wrapText="1"/>
    </x:xf>
    <x:xf numFmtId="3" fontId="5" fillId="8" borderId="0" xfId="0" applyNumberFormat="1" applyFont="1" applyFill="1" applyAlignment="1">
      <x:alignment vertical="center" wrapText="1"/>
    </x:xf>
    <x:xf numFmtId="3" fontId="5" fillId="8" borderId="11" xfId="0" applyNumberFormat="1" applyFont="1" applyFill="1" applyBorder="1" applyAlignment="1">
      <x:alignment vertical="center" wrapText="1"/>
    </x:xf>
    <x:xf numFmtId="49" fontId="5" fillId="7" borderId="0" xfId="0" applyNumberFormat="1" applyFont="1" applyFill="1" applyAlignment="1">
      <x:alignment vertical="center" wrapText="1"/>
    </x:xf>
    <x:xf numFmtId="49" fontId="5" fillId="7" borderId="11" xfId="0" applyNumberFormat="1" applyFont="1" applyFill="1" applyBorder="1" applyAlignment="1">
      <x:alignment vertical="center" wrapText="1"/>
    </x:xf>
    <x:xf numFmtId="0" fontId="6" fillId="9" borderId="3" xfId="0" applyFont="1" applyFill="1" applyBorder="1" applyAlignment="1">
      <x:alignment horizontal="center" vertical="center" wrapText="1"/>
    </x:xf>
    <x:xf numFmtId="0" fontId="7" fillId="10" borderId="6" xfId="0" applyFont="1" applyFill="1" applyBorder="1" applyAlignment="1">
      <x:alignment wrapText="1"/>
    </x:xf>
    <x:xf numFmtId="0" fontId="6" fillId="9" borderId="4" xfId="0" applyFont="1" applyFill="1" applyBorder="1" applyAlignment="1">
      <x:alignment horizontal="center" vertical="center" wrapText="1"/>
    </x:xf>
    <x:xf numFmtId="9" fontId="7" fillId="11" borderId="7" xfId="0" applyNumberFormat="1" applyFont="1" applyFill="1" applyBorder="1" applyAlignment="1">
      <x:alignment wrapText="1"/>
    </x:xf>
    <x:xf numFmtId="0" fontId="8" fillId="13" borderId="0" xfId="0" applyFont="1" applyFill="1"/>
    <x:xf numFmtId="0" fontId="8" fillId="12" borderId="0" xfId="0" applyFont="1" applyFill="1"/>
    <x:xf numFmtId="0" fontId="8" fillId="14" borderId="0" xfId="0" applyFont="1" applyFill="1"/>
    <x:xf numFmtId="0" fontId="8" fillId="0" borderId="0" xfId="0" applyFont="1"/>
    <x:xf numFmtId="0" fontId="5" fillId="8" borderId="6" xfId="0" applyFont="1" applyFill="1" applyBorder="1" applyAlignment="1">
      <x:alignment vertical="center" wrapText="1"/>
    </x:xf>
    <x:xf numFmtId="0" fontId="5" fillId="8" borderId="0" xfId="0" applyFont="1" applyFill="1" applyAlignment="1">
      <x:alignment vertical="center" wrapText="1"/>
    </x:xf>
    <x:xf numFmtId="0" fontId="5" fillId="8" borderId="11" xfId="0" applyFont="1" applyFill="1" applyBorder="1" applyAlignment="1">
      <x:alignment vertical="center" wrapText="1"/>
    </x:xf>
    <x:xf numFmtId="0" fontId="12" fillId="18" borderId="0" xfId="0" applyFont="1" applyFill="1" applyAlignment="1">
      <x:alignment horizontal="center" vertical="center" wrapText="1"/>
    </x:xf>
    <x:xf numFmtId="0" fontId="5" fillId="19" borderId="0" xfId="0" applyFont="1" applyFill="1" applyAlignment="1">
      <x:alignment horizontal="center" vertical="center" wrapText="1"/>
    </x:xf>
    <x:xf numFmtId="0" fontId="5" fillId="19" borderId="0" xfId="0" applyFont="1" applyFill="1" applyAlignment="1">
      <x:alignment vertical="center" wrapText="1"/>
    </x:xf>
    <x:xf numFmtId="1" fontId="5" fillId="19" borderId="0" xfId="0" applyNumberFormat="1" applyFont="1" applyFill="1" applyAlignment="1">
      <x:alignment horizontal="center" vertical="center" wrapText="1"/>
    </x:xf>
    <x:xf numFmtId="166" fontId="5" fillId="19" borderId="0" xfId="0" applyNumberFormat="1" applyFont="1" applyFill="1" applyAlignment="1">
      <x:alignment vertical="center" wrapText="1"/>
    </x:xf>
    <x:xf numFmtId="166" fontId="5" fillId="20" borderId="0" xfId="0" applyNumberFormat="1" applyFont="1" applyFill="1" applyAlignment="1">
      <x:alignment horizontal="center" vertical="center" wrapText="1"/>
    </x:xf>
    <x:xf numFmtId="10" fontId="5" fillId="20" borderId="0" xfId="0" applyNumberFormat="1" applyFont="1" applyFill="1" applyAlignment="1">
      <x:alignment horizontal="center" vertical="center" wrapText="1"/>
    </x:xf>
    <x:xf numFmtId="164" fontId="5" fillId="19" borderId="0" xfId="0" applyNumberFormat="1" applyFont="1" applyFill="1" applyAlignment="1">
      <x:alignment horizontal="center" vertical="center" wrapText="1"/>
    </x:xf>
    <x:xf numFmtId="0" fontId="0" fillId="0" borderId="0" xfId="0" applyAlignment="1">
      <x:alignment vertical="center"/>
    </x:xf>
    <x:xf numFmtId="0" fontId="4" fillId="5" borderId="3" xfId="0" applyFont="1" applyFill="1" applyBorder="1" applyAlignment="1">
      <x:alignment vertical="center" wrapText="1"/>
    </x:xf>
    <x:xf numFmtId="0" fontId="0" fillId="25" borderId="0" xfId="0" applyFill="1" applyAlignment="1">
      <x:alignment vertical="top" wrapText="1"/>
    </x:xf>
    <x:xf numFmtId="0" fontId="0" fillId="26" borderId="0" xfId="0" applyFill="1" applyAlignment="1">
      <x:alignment vertical="top" wrapText="1"/>
    </x:xf>
    <x:xf numFmtId="0" fontId="0" fillId="27" borderId="0" xfId="0" applyFill="1" applyAlignment="1">
      <x:alignment vertical="top" wrapText="1"/>
    </x:xf>
    <x:xf numFmtId="0" fontId="0" fillId="22" borderId="0" xfId="0" applyFill="1" applyAlignment="1">
      <x:alignment vertical="top" wrapText="1"/>
    </x:xf>
    <x:xf numFmtId="0" fontId="16" fillId="28" borderId="0" xfId="0" applyFont="1" applyFill="1"/>
    <x:xf numFmtId="1" fontId="0" fillId="22" borderId="0" xfId="0" applyNumberFormat="1" applyFill="1" applyAlignment="1">
      <x:alignment vertical="top" wrapText="1"/>
    </x:xf>
    <x:xf numFmtId="1" fontId="0" fillId="25" borderId="0" xfId="0" applyNumberFormat="1" applyFill="1" applyAlignment="1">
      <x:alignment vertical="top" wrapText="1"/>
    </x:xf>
    <x:xf numFmtId="165" fontId="5" fillId="7" borderId="6" xfId="0" applyNumberFormat="1" applyFont="1" applyFill="1" applyBorder="1" applyAlignment="1">
      <x:alignment vertical="center" wrapText="1"/>
    </x:xf>
    <x:xf numFmtId="165" fontId="5" fillId="7" borderId="0" xfId="0" applyNumberFormat="1" applyFont="1" applyFill="1" applyAlignment="1">
      <x:alignment vertical="center" wrapText="1"/>
    </x:xf>
    <x:xf numFmtId="165" fontId="5" fillId="7" borderId="11" xfId="0" applyNumberFormat="1" applyFont="1" applyFill="1" applyBorder="1" applyAlignment="1">
      <x:alignment vertical="center" wrapText="1"/>
    </x:xf>
    <x:xf numFmtId="165" fontId="8" fillId="13" borderId="0" xfId="0" applyNumberFormat="1" applyFont="1" applyFill="1"/>
    <x:xf numFmtId="167" fontId="6" fillId="9" borderId="3" xfId="0" applyNumberFormat="1" applyFont="1" applyFill="1" applyBorder="1" applyAlignment="1">
      <x:alignment horizontal="center" vertical="center" wrapText="1"/>
    </x:xf>
    <x:xf numFmtId="167" fontId="7" fillId="11" borderId="6" xfId="0" applyNumberFormat="1" applyFont="1" applyFill="1" applyBorder="1" applyAlignment="1">
      <x:alignment wrapText="1"/>
    </x:xf>
    <x:xf numFmtId="167" fontId="0" fillId="0" borderId="0" xfId="0" applyNumberFormat="1"/>
    <x:xf numFmtId="0" fontId="0" fillId="29" borderId="0" xfId="0" applyFill="1" applyAlignment="1">
      <x:alignment vertical="top" wrapText="1"/>
    </x:xf>
    <x:xf numFmtId="1" fontId="0" fillId="29" borderId="0" xfId="0" applyNumberFormat="1" applyFill="1" applyAlignment="1">
      <x:alignment vertical="top" wrapText="1"/>
    </x:xf>
    <x:xf numFmtId="0" fontId="0" fillId="30" borderId="0" xfId="0" applyFill="1" applyAlignment="1">
      <x:alignment vertical="top" wrapText="1"/>
    </x:xf>
    <x:xf numFmtId="0" fontId="6" fillId="24" borderId="14" xfId="0" applyFont="1" applyFill="1" applyBorder="1" applyAlignment="1">
      <x:alignment horizontal="center" vertical="center" wrapText="1"/>
    </x:xf>
    <x:xf numFmtId="0" fontId="0" fillId="0" borderId="14" xfId="0" applyBorder="1"/>
    <x:xf numFmtId="0" fontId="13" fillId="21" borderId="0" xfId="0" applyFont="1" applyFill="1" applyAlignment="1">
      <x:alignment vertical="center"/>
    </x:xf>
    <x:xf numFmtId="0" fontId="19" fillId="24" borderId="15" xfId="0" applyFont="1" applyFill="1" applyBorder="1" applyAlignment="1">
      <x:alignment horizontal="center" vertical="center" wrapText="1"/>
    </x:xf>
    <x:xf numFmtId="0" fontId="19" fillId="24" borderId="16" xfId="0" applyFont="1" applyFill="1" applyBorder="1" applyAlignment="1">
      <x:alignment horizontal="center" vertical="center" wrapText="1"/>
    </x:xf>
    <x:xf numFmtId="0" fontId="19" fillId="24" borderId="17" xfId="0" applyFont="1" applyFill="1" applyBorder="1" applyAlignment="1">
      <x:alignment horizontal="center" vertical="center" wrapText="1"/>
    </x:xf>
    <x:xf numFmtId="0" fontId="13" fillId="24" borderId="16" xfId="0" applyFont="1" applyFill="1" applyBorder="1" applyAlignment="1">
      <x:alignment horizontal="center" vertical="center" wrapText="1"/>
    </x:xf>
    <x:xf numFmtId="0" fontId="13" fillId="24" borderId="18" xfId="0" applyFont="1" applyFill="1" applyBorder="1" applyAlignment="1">
      <x:alignment horizontal="center" vertical="center" wrapText="1"/>
    </x:xf>
    <x:xf numFmtId="49" fontId="5" fillId="31" borderId="5" xfId="0" applyNumberFormat="1" applyFont="1" applyFill="1" applyBorder="1" applyAlignment="1">
      <x:alignment vertical="center" wrapText="1"/>
    </x:xf>
    <x:xf numFmtId="0" fontId="5" fillId="31" borderId="6" xfId="0" applyFont="1" applyFill="1" applyBorder="1" applyAlignment="1">
      <x:alignment vertical="center" wrapText="1"/>
    </x:xf>
    <x:xf numFmtId="3" fontId="5" fillId="32" borderId="6" xfId="0" applyNumberFormat="1" applyFont="1" applyFill="1" applyBorder="1" applyAlignment="1">
      <x:alignment vertical="center" wrapText="1"/>
    </x:xf>
    <x:xf numFmtId="3" fontId="5" fillId="33" borderId="6" xfId="0" applyNumberFormat="1" applyFont="1" applyFill="1" applyBorder="1" applyAlignment="1">
      <x:alignment vertical="center" wrapText="1"/>
    </x:xf>
    <x:xf numFmtId="3" fontId="5" fillId="27" borderId="7" xfId="0" applyNumberFormat="1" applyFont="1" applyFill="1" applyBorder="1" applyAlignment="1">
      <x:alignment vertical="center" wrapText="1"/>
    </x:xf>
    <x:xf numFmtId="3" fontId="0" fillId="34" borderId="0" xfId="0" applyNumberFormat="1" applyFill="1" applyAlignment="1">
      <x:alignment vertical="center" wrapText="1"/>
    </x:xf>
    <x:xf numFmtId="1" fontId="0" fillId="31" borderId="0" xfId="0" applyNumberFormat="1" applyFill="1" applyAlignment="1">
      <x:alignment vertical="center" wrapText="1"/>
    </x:xf>
    <x:xf numFmtId="0" fontId="0" fillId="31" borderId="0" xfId="0" applyFill="1" applyAlignment="1">
      <x:alignment vertical="center" wrapText="1"/>
    </x:xf>
    <x:xf numFmtId="164" fontId="0" fillId="31" borderId="0" xfId="0" applyNumberFormat="1" applyFill="1" applyAlignment="1">
      <x:alignment vertical="center" wrapText="1"/>
    </x:xf>
    <x:xf numFmtId="49" fontId="5" fillId="31" borderId="8" xfId="0" applyNumberFormat="1" applyFont="1" applyFill="1" applyBorder="1" applyAlignment="1">
      <x:alignment vertical="center" wrapText="1"/>
    </x:xf>
    <x:xf numFmtId="0" fontId="5" fillId="31" borderId="0" xfId="0" applyFont="1" applyFill="1" applyAlignment="1">
      <x:alignment vertical="center" wrapText="1"/>
    </x:xf>
    <x:xf numFmtId="3" fontId="5" fillId="32" borderId="0" xfId="0" applyNumberFormat="1" applyFont="1" applyFill="1" applyAlignment="1">
      <x:alignment vertical="center" wrapText="1"/>
    </x:xf>
    <x:xf numFmtId="3" fontId="5" fillId="33" borderId="0" xfId="0" applyNumberFormat="1" applyFont="1" applyFill="1" applyAlignment="1">
      <x:alignment vertical="center" wrapText="1"/>
    </x:xf>
    <x:xf numFmtId="3" fontId="5" fillId="27" borderId="13" xfId="0" applyNumberFormat="1" applyFont="1" applyFill="1" applyBorder="1" applyAlignment="1">
      <x:alignment vertical="center" wrapText="1"/>
    </x:xf>
    <x:xf numFmtId="49" fontId="20" fillId="28" borderId="19" xfId="0" applyNumberFormat="1" applyFont="1" applyFill="1" applyBorder="1" applyAlignment="1">
      <x:alignment vertical="center" wrapText="1"/>
    </x:xf>
    <x:xf numFmtId="0" fontId="20" fillId="28" borderId="20" xfId="0" applyFont="1" applyFill="1" applyBorder="1" applyAlignment="1">
      <x:alignment vertical="center" wrapText="1"/>
    </x:xf>
    <x:xf numFmtId="3" fontId="20" fillId="28" borderId="20" xfId="0" applyNumberFormat="1" applyFont="1" applyFill="1" applyBorder="1" applyAlignment="1">
      <x:alignment vertical="center" wrapText="1"/>
    </x:xf>
    <x:xf numFmtId="3" fontId="20" fillId="28" borderId="21" xfId="0" applyNumberFormat="1" applyFont="1" applyFill="1" applyBorder="1" applyAlignment="1">
      <x:alignment vertical="center" wrapText="1"/>
    </x:xf>
    <x:xf numFmtId="3" fontId="21" fillId="28" borderId="20" xfId="0" applyNumberFormat="1" applyFont="1" applyFill="1" applyBorder="1" applyAlignment="1">
      <x:alignment vertical="center" wrapText="1"/>
    </x:xf>
    <x:xf numFmtId="1" fontId="21" fillId="28" borderId="20" xfId="0" applyNumberFormat="1" applyFont="1" applyFill="1" applyBorder="1" applyAlignment="1">
      <x:alignment vertical="center" wrapText="1"/>
    </x:xf>
    <x:xf numFmtId="0" fontId="21" fillId="28" borderId="20" xfId="0" applyFont="1" applyFill="1" applyBorder="1" applyAlignment="1">
      <x:alignment vertical="center" wrapText="1"/>
    </x:xf>
    <x:xf numFmtId="164" fontId="21" fillId="28" borderId="20" xfId="0" applyNumberFormat="1" applyFont="1" applyFill="1" applyBorder="1" applyAlignment="1">
      <x:alignment vertical="center" wrapText="1"/>
    </x:xf>
    <x:xf numFmtId="49" fontId="5" fillId="13" borderId="8" xfId="0" applyNumberFormat="1" applyFont="1" applyFill="1" applyBorder="1" applyAlignment="1">
      <x:alignment vertical="center" wrapText="1"/>
    </x:xf>
    <x:xf numFmtId="0" fontId="5" fillId="13" borderId="0" xfId="0" applyFont="1" applyFill="1" applyAlignment="1">
      <x:alignment vertical="center" wrapText="1"/>
    </x:xf>
    <x:xf numFmtId="3" fontId="5" fillId="13" borderId="0" xfId="0" applyNumberFormat="1" applyFont="1" applyFill="1" applyAlignment="1">
      <x:alignment vertical="center" wrapText="1"/>
    </x:xf>
    <x:xf numFmtId="164" fontId="5" fillId="13" borderId="0" xfId="0" applyNumberFormat="1" applyFont="1" applyFill="1" applyAlignment="1">
      <x:alignment vertical="center" wrapText="1"/>
    </x:xf>
    <x:xf numFmtId="0" fontId="5" fillId="6" borderId="13" xfId="0" applyFont="1" applyFill="1" applyBorder="1" applyAlignment="1">
      <x:alignment vertical="center" wrapText="1"/>
    </x:xf>
    <x:xf numFmtId="49" fontId="5" fillId="13" borderId="10" xfId="0" applyNumberFormat="1" applyFont="1" applyFill="1" applyBorder="1" applyAlignment="1">
      <x:alignment vertical="center" wrapText="1"/>
    </x:xf>
    <x:xf numFmtId="0" fontId="5" fillId="13" borderId="11" xfId="0" applyFont="1" applyFill="1" applyBorder="1" applyAlignment="1">
      <x:alignment vertical="center" wrapText="1"/>
    </x:xf>
    <x:xf numFmtId="3" fontId="5" fillId="13" borderId="11" xfId="0" applyNumberFormat="1" applyFont="1" applyFill="1" applyBorder="1" applyAlignment="1">
      <x:alignment vertical="center" wrapText="1"/>
    </x:xf>
    <x:xf numFmtId="164" fontId="5" fillId="13" borderId="11" xfId="0" applyNumberFormat="1" applyFont="1" applyFill="1" applyBorder="1" applyAlignment="1">
      <x:alignment vertical="center" wrapText="1"/>
    </x:xf>
    <x:xf numFmtId="49" fontId="19" fillId="21" borderId="8" xfId="0" applyNumberFormat="1" applyFont="1" applyFill="1" applyBorder="1" applyAlignment="1">
      <x:alignment vertical="center" wrapText="1"/>
    </x:xf>
    <x:xf numFmtId="0" fontId="19" fillId="21" borderId="0" xfId="0" applyFont="1" applyFill="1" applyAlignment="1">
      <x:alignment vertical="center" wrapText="1"/>
    </x:xf>
    <x:xf numFmtId="3" fontId="19" fillId="21" borderId="0" xfId="0" applyNumberFormat="1" applyFont="1" applyFill="1" applyAlignment="1">
      <x:alignment vertical="center" wrapText="1"/>
    </x:xf>
    <x:xf numFmtId="164" fontId="19" fillId="21" borderId="0" xfId="0" applyNumberFormat="1" applyFont="1" applyFill="1" applyAlignment="1">
      <x:alignment vertical="center" wrapText="1"/>
    </x:xf>
    <x:xf numFmtId="0" fontId="19" fillId="21" borderId="13" xfId="0" applyFont="1" applyFill="1" applyBorder="1" applyAlignment="1">
      <x:alignment vertical="center" wrapText="1"/>
    </x:xf>
    <x:xf numFmtId="49" fontId="19" fillId="24" borderId="15" xfId="0" applyNumberFormat="1" applyFont="1" applyFill="1" applyBorder="1" applyAlignment="1">
      <x:alignment horizontal="center" vertical="center" wrapText="1"/>
    </x:xf>
    <x:xf numFmtId="0" fontId="19" fillId="24" borderId="18" xfId="0" applyFont="1" applyFill="1" applyBorder="1" applyAlignment="1">
      <x:alignment horizontal="center" vertical="center" wrapText="1"/>
    </x:xf>
    <x:xf numFmtId="3" fontId="19" fillId="24" borderId="16" xfId="0" applyNumberFormat="1" applyFont="1" applyFill="1" applyBorder="1" applyAlignment="1">
      <x:alignment horizontal="center" vertical="center" wrapText="1"/>
    </x:xf>
    <x:xf numFmtId="164" fontId="19" fillId="24" borderId="16" xfId="0" applyNumberFormat="1" applyFont="1" applyFill="1" applyBorder="1" applyAlignment="1">
      <x:alignment horizontal="center" vertical="center" wrapText="1"/>
    </x:xf>
    <x:xf numFmtId="49" fontId="5" fillId="31" borderId="8" xfId="0" applyNumberFormat="1" applyFont="1" applyFill="1" applyBorder="1" applyAlignment="1">
      <x:alignment vertical="top" wrapText="1"/>
    </x:xf>
    <x:xf numFmtId="0" fontId="5" fillId="31" borderId="0" xfId="0" applyFont="1" applyFill="1" applyAlignment="1">
      <x:alignment vertical="top" wrapText="1"/>
    </x:xf>
    <x:xf numFmtId="3" fontId="5" fillId="31" borderId="0" xfId="0" applyNumberFormat="1" applyFont="1" applyFill="1" applyAlignment="1">
      <x:alignment vertical="top" wrapText="1"/>
    </x:xf>
    <x:xf numFmtId="164" fontId="5" fillId="31" borderId="0" xfId="0" applyNumberFormat="1" applyFont="1" applyFill="1" applyAlignment="1">
      <x:alignment vertical="top" wrapText="1"/>
    </x:xf>
    <x:xf numFmtId="0" fontId="5" fillId="31" borderId="13" xfId="0" applyFont="1" applyFill="1" applyBorder="1" applyAlignment="1">
      <x:alignment vertical="top" wrapText="1"/>
    </x:xf>
    <x:xf numFmtId="0" fontId="0" fillId="31" borderId="0" xfId="0" applyFill="1" applyAlignment="1">
      <x:alignment vertical="top" wrapText="1"/>
    </x:xf>
    <x:xf numFmtId="3" fontId="16" fillId="35" borderId="0" xfId="0" applyNumberFormat="1" applyFont="1" applyFill="1" applyAlignment="1">
      <x:alignment horizontal="right" vertical="center"/>
    </x:xf>
    <x:xf numFmtId="0" fontId="16" fillId="35" borderId="0" xfId="0" applyFont="1" applyFill="1" applyAlignment="1">
      <x:alignment vertical="center"/>
    </x:xf>
    <x:xf numFmtId="0" fontId="23" fillId="33" borderId="22" xfId="0" applyFont="1" applyFill="1" applyBorder="1" applyAlignment="1">
      <x:alignment vertical="center"/>
    </x:xf>
    <x:xf numFmtId="3" fontId="23" fillId="33" borderId="22" xfId="0" applyNumberFormat="1" applyFont="1" applyFill="1" applyBorder="1" applyAlignment="1">
      <x:alignment horizontal="right" vertical="center"/>
    </x:xf>
    <x:xf numFmtId="3" fontId="0" fillId="0" borderId="0" xfId="0" applyNumberFormat="1" applyAlignment="1">
      <x:alignment horizontal="right"/>
    </x:xf>
    <x:xf numFmtId="0" fontId="24" fillId="36" borderId="23" xfId="0" applyFont="1" applyFill="1" applyBorder="1" applyAlignment="1">
      <x:alignment vertical="center" wrapText="1"/>
    </x:xf>
    <x:xf numFmtId="0" fontId="24" fillId="36" borderId="24" xfId="0" applyFont="1" applyFill="1" applyBorder="1" applyAlignment="1">
      <x:alignment vertical="center" wrapText="1"/>
    </x:xf>
    <x:xf numFmtId="3" fontId="24" fillId="36" borderId="24" xfId="0" applyNumberFormat="1" applyFont="1" applyFill="1" applyBorder="1" applyAlignment="1">
      <x:alignment horizontal="right" vertical="center"/>
    </x:xf>
    <x:xf numFmtId="0" fontId="24" fillId="36" borderId="24" xfId="0" applyFont="1" applyFill="1" applyBorder="1" applyAlignment="1">
      <x:alignment horizontal="center" vertical="center"/>
    </x:xf>
    <x:xf numFmtId="0" fontId="24" fillId="36" borderId="25" xfId="0" applyFont="1" applyFill="1" applyBorder="1" applyAlignment="1">
      <x:alignment horizontal="center" vertical="center"/>
    </x:xf>
    <x:xf numFmtId="0" fontId="24" fillId="36" borderId="26" xfId="0" applyFont="1" applyFill="1" applyBorder="1" applyAlignment="1">
      <x:alignment vertical="center" wrapText="1"/>
    </x:xf>
    <x:xf numFmtId="0" fontId="24" fillId="36" borderId="0" xfId="0" applyFont="1" applyFill="1" applyAlignment="1">
      <x:alignment vertical="center" wrapText="1"/>
    </x:xf>
    <x:xf numFmtId="3" fontId="24" fillId="36" borderId="0" xfId="0" applyNumberFormat="1" applyFont="1" applyFill="1" applyAlignment="1">
      <x:alignment horizontal="right" vertical="center"/>
    </x:xf>
    <x:xf numFmtId="0" fontId="24" fillId="36" borderId="0" xfId="0" applyFont="1" applyFill="1" applyAlignment="1">
      <x:alignment horizontal="center" vertical="center"/>
    </x:xf>
    <x:xf numFmtId="0" fontId="24" fillId="36" borderId="27" xfId="0" applyFont="1" applyFill="1" applyBorder="1" applyAlignment="1">
      <x:alignment horizontal="center" vertical="center"/>
    </x:xf>
    <x:xf numFmtId="0" fontId="24" fillId="36" borderId="28" xfId="0" applyFont="1" applyFill="1" applyBorder="1" applyAlignment="1">
      <x:alignment vertical="center" wrapText="1"/>
    </x:xf>
    <x:xf numFmtId="0" fontId="24" fillId="36" borderId="29" xfId="0" applyFont="1" applyFill="1" applyBorder="1" applyAlignment="1">
      <x:alignment vertical="center" wrapText="1"/>
    </x:xf>
    <x:xf numFmtId="3" fontId="24" fillId="36" borderId="29" xfId="0" applyNumberFormat="1" applyFont="1" applyFill="1" applyBorder="1" applyAlignment="1">
      <x:alignment horizontal="right" vertical="center"/>
    </x:xf>
    <x:xf numFmtId="0" fontId="24" fillId="36" borderId="29" xfId="0" applyFont="1" applyFill="1" applyBorder="1" applyAlignment="1">
      <x:alignment horizontal="center" vertical="center"/>
    </x:xf>
    <x:xf numFmtId="0" fontId="24" fillId="36" borderId="30" xfId="0" applyFont="1" applyFill="1" applyBorder="1" applyAlignment="1">
      <x:alignment horizontal="center" vertical="center"/>
    </x:xf>
    <x:xf numFmtId="0" fontId="25" fillId="37" borderId="31" xfId="0" applyFont="1" applyFill="1" applyBorder="1" applyAlignment="1">
      <x:alignment horizontal="center" vertical="center" wrapText="1"/>
    </x:xf>
    <x:xf numFmtId="0" fontId="25" fillId="37" borderId="32" xfId="0" applyFont="1" applyFill="1" applyBorder="1" applyAlignment="1">
      <x:alignment horizontal="center" vertical="center" wrapText="1"/>
    </x:xf>
    <x:xf numFmtId="0" fontId="25" fillId="37" borderId="33" xfId="0" applyFont="1" applyFill="1" applyBorder="1" applyAlignment="1">
      <x:alignment horizontal="center" vertical="center" wrapText="1"/>
    </x:xf>
    <x:xf numFmtId="10" fontId="16" fillId="35" borderId="34" xfId="0" applyNumberFormat="1" applyFont="1" applyFill="1" applyBorder="1" applyAlignment="1">
      <x:alignment vertical="center"/>
    </x:xf>
    <x:xf numFmtId="0" fontId="16" fillId="35" borderId="34" xfId="0" applyFont="1" applyFill="1" applyBorder="1" applyAlignment="1">
      <x:alignment vertical="center"/>
    </x:xf>
    <x:xf numFmtId="2" fontId="16" fillId="35" borderId="0" xfId="0" applyNumberFormat="1" applyFont="1" applyFill="1" applyAlignment="1">
      <x:alignment vertical="center"/>
    </x:xf>
    <x:xf numFmtId="2" fontId="16" fillId="35" borderId="35" xfId="0" applyNumberFormat="1" applyFont="1" applyFill="1" applyBorder="1" applyAlignment="1">
      <x:alignment vertical="center"/>
    </x:xf>
    <x:xf numFmtId="0" fontId="16" fillId="35" borderId="35" xfId="0" applyFont="1" applyFill="1" applyBorder="1" applyAlignment="1">
      <x:alignment vertical="center"/>
    </x:xf>
    <x:xf numFmtId="0" fontId="23" fillId="33" borderId="0" xfId="0" applyFont="1" applyFill="1" applyAlignment="1">
      <x:alignment vertical="center"/>
    </x:xf>
    <x:xf numFmtId="10" fontId="24" fillId="36" borderId="24" xfId="0" applyNumberFormat="1" applyFont="1" applyFill="1" applyBorder="1" applyAlignment="1">
      <x:alignment horizontal="center" vertical="center"/>
    </x:xf>
    <x:xf numFmtId="2" fontId="24" fillId="36" borderId="24" xfId="0" applyNumberFormat="1" applyFont="1" applyFill="1" applyBorder="1" applyAlignment="1">
      <x:alignment horizontal="center" vertical="center"/>
    </x:xf>
    <x:xf numFmtId="10" fontId="24" fillId="36" borderId="0" xfId="0" applyNumberFormat="1" applyFont="1" applyFill="1" applyAlignment="1">
      <x:alignment horizontal="center" vertical="center"/>
    </x:xf>
    <x:xf numFmtId="2" fontId="24" fillId="36" borderId="0" xfId="0" applyNumberFormat="1" applyFont="1" applyFill="1" applyAlignment="1">
      <x:alignment horizontal="center" vertical="center"/>
    </x:xf>
    <x:xf numFmtId="10" fontId="24" fillId="36" borderId="29" xfId="0" applyNumberFormat="1" applyFont="1" applyFill="1" applyBorder="1" applyAlignment="1">
      <x:alignment horizontal="center" vertical="center"/>
    </x:xf>
    <x:xf numFmtId="2" fontId="24" fillId="36" borderId="29" xfId="0" applyNumberFormat="1" applyFont="1" applyFill="1" applyBorder="1" applyAlignment="1">
      <x:alignment horizontal="center" vertical="center"/>
    </x:xf>
    <x:xf numFmtId="165" fontId="0" fillId="0" borderId="0" xfId="0" applyNumberFormat="1"/>
    <x:xf numFmtId="165" fontId="24" fillId="36" borderId="24" xfId="0" applyNumberFormat="1" applyFont="1" applyFill="1" applyBorder="1" applyAlignment="1">
      <x:alignment horizontal="center" vertical="center"/>
    </x:xf>
    <x:xf numFmtId="14" fontId="0" fillId="25" borderId="0" xfId="0" applyNumberFormat="1" applyFill="1" applyAlignment="1">
      <x:alignment vertical="top" wrapText="1"/>
    </x:xf>
    <x:xf numFmtId="0" fontId="0" fillId="38" borderId="0" xfId="0" applyFill="1"/>
    <x:xf numFmtId="0" fontId="0" fillId="0" borderId="0" xfId="0" applyAlignment="1">
      <x:alignment vertical="top" wrapText="1"/>
    </x:xf>
    <x:xf numFmtId="1" fontId="0" fillId="0" borderId="0" xfId="0" applyNumberFormat="1" applyAlignment="1">
      <x:alignment vertical="top" wrapText="1"/>
    </x:xf>
    <x:xf numFmtId="14" fontId="0" fillId="0" borderId="0" xfId="0" applyNumberFormat="1" applyAlignment="1">
      <x:alignment vertical="top" wrapText="1"/>
    </x:xf>
    <x:xf numFmtId="3" fontId="5" fillId="13" borderId="6" xfId="0" applyNumberFormat="1" applyFont="1" applyFill="1" applyBorder="1" applyAlignment="1">
      <x:alignment vertical="center" wrapText="1"/>
    </x:xf>
    <x:xf numFmtId="0" fontId="24" fillId="36" borderId="36" xfId="0" applyFont="1" applyFill="1" applyBorder="1" applyAlignment="1">
      <x:alignment horizontal="center" vertical="center"/>
    </x:xf>
    <x:xf numFmtId="2" fontId="24" fillId="36" borderId="36" xfId="0" applyNumberFormat="1" applyFont="1" applyFill="1" applyBorder="1" applyAlignment="1">
      <x:alignment horizontal="center" vertical="center"/>
    </x:xf>
    <x:xf numFmtId="1" fontId="24" fillId="36" borderId="36" xfId="0" applyNumberFormat="1" applyFont="1" applyFill="1" applyBorder="1" applyAlignment="1">
      <x:alignment horizontal="center" vertical="center"/>
    </x:xf>
    <x:xf numFmtId="0" fontId="24" fillId="36" borderId="36" xfId="0" applyFont="1" applyFill="1" applyBorder="1" applyAlignment="1">
      <x:alignment vertical="center" wrapText="1"/>
    </x:xf>
    <x:xf numFmtId="0" fontId="24" fillId="39" borderId="36" xfId="0" applyFont="1" applyFill="1" applyBorder="1" applyAlignment="1">
      <x:alignment horizontal="center" vertical="center"/>
    </x:xf>
    <x:xf numFmtId="2" fontId="24" fillId="39" borderId="36" xfId="0" applyNumberFormat="1" applyFont="1" applyFill="1" applyBorder="1" applyAlignment="1">
      <x:alignment horizontal="center" vertical="center"/>
    </x:xf>
    <x:xf numFmtId="1" fontId="24" fillId="39" borderId="36" xfId="0" applyNumberFormat="1" applyFont="1" applyFill="1" applyBorder="1" applyAlignment="1">
      <x:alignment horizontal="center" vertical="center"/>
    </x:xf>
    <x:xf numFmtId="0" fontId="24" fillId="39" borderId="36" xfId="0" applyFont="1" applyFill="1" applyBorder="1" applyAlignment="1">
      <x:alignment vertical="center" wrapText="1"/>
    </x:xf>
    <x:xf numFmtId="0" fontId="0" fillId="39" borderId="37" xfId="0" applyFill="1" applyBorder="1"/>
    <x:xf numFmtId="0" fontId="0" fillId="39" borderId="36" xfId="0" applyFill="1" applyBorder="1"/>
    <x:xf numFmtId="0" fontId="24" fillId="36" borderId="36" xfId="0" applyFont="1" applyFill="1" applyBorder="1" applyAlignment="1">
      <x:alignment horizontal="center" vertical="center" wrapText="1"/>
    </x:xf>
    <x:xf numFmtId="0" fontId="0" fillId="0" borderId="37" xfId="0" applyBorder="1"/>
    <x:xf numFmtId="0" fontId="0" fillId="0" borderId="36" xfId="0" applyBorder="1"/>
    <x:xf numFmtId="0" fontId="24" fillId="39" borderId="36" xfId="0" applyFont="1" applyFill="1" applyBorder="1" applyAlignment="1">
      <x:alignment horizontal="center" vertical="center" wrapText="1"/>
    </x:xf>
    <x:xf numFmtId="168" fontId="24" fillId="39" borderId="36" xfId="0" applyNumberFormat="1" applyFont="1" applyFill="1" applyBorder="1" applyAlignment="1">
      <x:alignment horizontal="center" vertical="center"/>
    </x:xf>
    <x:xf numFmtId="0" fontId="0" fillId="39" borderId="0" xfId="0" applyFill="1"/>
    <x:xf numFmtId="164" fontId="28" fillId="40" borderId="38" xfId="0" applyNumberFormat="1" applyFont="1" applyFill="1" applyBorder="1" applyAlignment="1">
      <x:alignment vertical="center" wrapText="1"/>
    </x:xf>
    <x:xf numFmtId="0" fontId="28" fillId="40" borderId="39" xfId="0" applyFont="1" applyFill="1" applyBorder="1" applyAlignment="1">
      <x:alignment vertical="center" wrapText="1"/>
    </x:xf>
    <x:xf numFmtId="10" fontId="28" fillId="41" borderId="39" xfId="0" applyNumberFormat="1" applyFont="1" applyFill="1" applyBorder="1" applyAlignment="1">
      <x:alignment vertical="center" wrapText="1"/>
    </x:xf>
    <x:xf numFmtId="3" fontId="28" fillId="40" borderId="39" xfId="0" applyNumberFormat="1" applyFont="1" applyFill="1" applyBorder="1" applyAlignment="1">
      <x:alignment vertical="center" wrapText="1"/>
    </x:xf>
    <x:xf numFmtId="2" fontId="28" fillId="40" borderId="39" xfId="0" applyNumberFormat="1" applyFont="1" applyFill="1" applyBorder="1" applyAlignment="1">
      <x:alignment vertical="center" wrapText="1"/>
    </x:xf>
    <x:xf numFmtId="164" fontId="28" fillId="40" borderId="39" xfId="0" applyNumberFormat="1" applyFont="1" applyFill="1" applyBorder="1" applyAlignment="1">
      <x:alignment vertical="center" wrapText="1"/>
    </x:xf>
    <x:xf numFmtId="1" fontId="28" fillId="40" borderId="39" xfId="0" applyNumberFormat="1" applyFont="1" applyFill="1" applyBorder="1" applyAlignment="1">
      <x:alignment vertical="center" wrapText="1"/>
    </x:xf>
    <x:xf numFmtId="164" fontId="28" fillId="40" borderId="40" xfId="0" applyNumberFormat="1" applyFont="1" applyFill="1" applyBorder="1" applyAlignment="1">
      <x:alignment vertical="center" wrapText="1"/>
    </x:xf>
    <x:xf numFmtId="0" fontId="28" fillId="40" borderId="0" xfId="0" applyFont="1" applyFill="1" applyAlignment="1">
      <x:alignment vertical="center" wrapText="1"/>
    </x:xf>
    <x:xf numFmtId="10" fontId="28" fillId="41" borderId="0" xfId="0" applyNumberFormat="1" applyFont="1" applyFill="1" applyAlignment="1">
      <x:alignment vertical="center" wrapText="1"/>
    </x:xf>
    <x:xf numFmtId="3" fontId="28" fillId="40" borderId="0" xfId="0" applyNumberFormat="1" applyFont="1" applyFill="1" applyAlignment="1">
      <x:alignment vertical="center" wrapText="1"/>
    </x:xf>
    <x:xf numFmtId="2" fontId="28" fillId="40" borderId="0" xfId="0" applyNumberFormat="1" applyFont="1" applyFill="1" applyAlignment="1">
      <x:alignment vertical="center" wrapText="1"/>
    </x:xf>
    <x:xf numFmtId="164" fontId="28" fillId="40" borderId="0" xfId="0" applyNumberFormat="1" applyFont="1" applyFill="1" applyAlignment="1">
      <x:alignment vertical="center" wrapText="1"/>
    </x:xf>
    <x:xf numFmtId="1" fontId="28" fillId="40" borderId="0" xfId="0" applyNumberFormat="1" applyFont="1" applyFill="1" applyAlignment="1">
      <x:alignment vertical="center" wrapText="1"/>
    </x:xf>
    <x:xf numFmtId="0" fontId="29" fillId="42" borderId="41" xfId="0" applyFont="1" applyFill="1" applyBorder="1" applyAlignment="1">
      <x:alignment horizontal="center" vertical="center" wrapText="1"/>
    </x:xf>
    <x:xf numFmtId="0" fontId="29" fillId="42" borderId="42" xfId="0" applyFont="1" applyFill="1" applyBorder="1" applyAlignment="1">
      <x:alignment horizontal="center" vertical="center" wrapText="1"/>
    </x:xf>
    <x:xf numFmtId="164" fontId="0" fillId="0" borderId="0" xfId="0" applyNumberFormat="1"/>
    <x:xf numFmtId="0" fontId="33" fillId="6" borderId="43" xfId="0" applyFont="1" applyFill="1" applyBorder="1" applyAlignment="1">
      <x:alignment vertical="top" wrapText="1"/>
    </x:xf>
    <x:xf numFmtId="164" fontId="33" fillId="6" borderId="43" xfId="0" applyNumberFormat="1" applyFont="1" applyFill="1" applyBorder="1" applyAlignment="1">
      <x:alignment vertical="top" wrapText="1"/>
    </x:xf>
    <x:xf numFmtId="0" fontId="33" fillId="6" borderId="0" xfId="0" applyFont="1" applyFill="1" applyAlignment="1">
      <x:alignment vertical="top" wrapText="1"/>
    </x:xf>
    <x:xf numFmtId="164" fontId="33" fillId="6" borderId="0" xfId="0" applyNumberFormat="1" applyFont="1" applyFill="1" applyAlignment="1">
      <x:alignment vertical="top" wrapText="1"/>
    </x:xf>
    <x:xf numFmtId="0" fontId="34" fillId="24" borderId="3" xfId="0" applyFont="1" applyFill="1" applyBorder="1" applyAlignment="1">
      <x:alignment horizontal="center" vertical="center" wrapText="1"/>
    </x:xf>
    <x:xf numFmtId="167" fontId="34" fillId="24" borderId="3" xfId="0" applyNumberFormat="1" applyFont="1" applyFill="1" applyBorder="1" applyAlignment="1">
      <x:alignment horizontal="center" vertical="center" wrapText="1"/>
    </x:xf>
    <x:xf numFmtId="167" fontId="33" fillId="6" borderId="0" xfId="0" applyNumberFormat="1" applyFont="1" applyFill="1" applyAlignment="1">
      <x:alignment vertical="top" wrapText="1"/>
    </x:xf>
    <x:xf numFmtId="167" fontId="33" fillId="6" borderId="43" xfId="0" applyNumberFormat="1" applyFont="1" applyFill="1" applyBorder="1" applyAlignment="1">
      <x:alignment vertical="top" wrapText="1"/>
    </x:xf>
    <x:xf numFmtId="0" fontId="35" fillId="6" borderId="0" xfId="1" applyFill="1" applyAlignment="1">
      <x:alignment vertical="top" wrapText="1"/>
    </x:xf>
    <x:xf numFmtId="0" fontId="8" fillId="12" borderId="0" xfId="0" applyFont="1" applyFill="1" applyAlignment="1">
      <x:alignment wrapText="1"/>
    </x:xf>
    <x:xf numFmtId="0" fontId="8" fillId="13" borderId="0" xfId="0" applyFont="1" applyFill="1" applyAlignment="1">
      <x:alignment wrapText="1"/>
    </x:xf>
    <x:xf numFmtId="0" fontId="8" fillId="12" borderId="0" xfId="0" applyFont="1" applyFill="1" applyAlignment="1">
      <x:alignment vertical="center"/>
    </x:xf>
    <x:xf numFmtId="0" fontId="13" fillId="45" borderId="0" xfId="0" applyFont="1" applyFill="1"/>
    <x:xf numFmtId="0" fontId="14" fillId="46" borderId="0" xfId="0" applyFont="1" applyFill="1"/>
    <x:xf numFmtId="0" fontId="15" fillId="47" borderId="1" xfId="0" applyFont="1" applyFill="1" applyBorder="1"/>
    <x:xf numFmtId="0" fontId="6" fillId="48" borderId="2" xfId="0" applyFont="1" applyFill="1" applyBorder="1" applyAlignment="1">
      <x:alignment horizontal="center" vertical="center" wrapText="1"/>
    </x:xf>
    <x:xf numFmtId="0" fontId="6" fillId="48" borderId="3" xfId="0" applyFont="1" applyFill="1" applyBorder="1" applyAlignment="1">
      <x:alignment horizontal="center" vertical="center" wrapText="1"/>
    </x:xf>
    <x:xf numFmtId="0" fontId="6" fillId="48" borderId="4" xfId="0" applyFont="1" applyFill="1" applyBorder="1" applyAlignment="1">
      <x:alignment horizontal="center" vertical="center" wrapText="1"/>
    </x:xf>
    <x:xf numFmtId="169" fontId="7" fillId="49" borderId="5" xfId="0" applyNumberFormat="1" applyFont="1" applyFill="1" applyBorder="1" applyAlignment="1">
      <x:alignment horizontal="right" vertical="center" wrapText="1"/>
    </x:xf>
    <x:xf numFmtId="169" fontId="7" fillId="49" borderId="6" xfId="0" applyNumberFormat="1" applyFont="1" applyFill="1" applyBorder="1" applyAlignment="1">
      <x:alignment horizontal="right" vertical="center" wrapText="1"/>
    </x:xf>
    <x:xf numFmtId="169" fontId="7" fillId="49" borderId="7" xfId="0" applyNumberFormat="1" applyFont="1" applyFill="1" applyBorder="1" applyAlignment="1">
      <x:alignment horizontal="right" vertical="center" wrapText="1"/>
    </x:xf>
    <x:xf numFmtId="169" fontId="7" fillId="49" borderId="8" xfId="0" applyNumberFormat="1" applyFont="1" applyFill="1" applyBorder="1" applyAlignment="1">
      <x:alignment horizontal="right" vertical="center" wrapText="1"/>
    </x:xf>
    <x:xf numFmtId="169" fontId="7" fillId="49" borderId="0" xfId="0" applyNumberFormat="1" applyFont="1" applyFill="1" applyAlignment="1">
      <x:alignment horizontal="right" vertical="center" wrapText="1"/>
    </x:xf>
    <x:xf numFmtId="169" fontId="7" fillId="49" borderId="9" xfId="0" applyNumberFormat="1" applyFont="1" applyFill="1" applyBorder="1" applyAlignment="1">
      <x:alignment horizontal="right" vertical="center" wrapText="1"/>
    </x:xf>
    <x:xf numFmtId="169" fontId="7" fillId="49" borderId="10" xfId="0" applyNumberFormat="1" applyFont="1" applyFill="1" applyBorder="1" applyAlignment="1">
      <x:alignment horizontal="right" vertical="center" wrapText="1"/>
    </x:xf>
    <x:xf numFmtId="169" fontId="7" fillId="49" borderId="11" xfId="0" applyNumberFormat="1" applyFont="1" applyFill="1" applyBorder="1" applyAlignment="1">
      <x:alignment horizontal="right" vertical="center" wrapText="1"/>
    </x:xf>
    <x:xf numFmtId="169" fontId="7" fillId="49" borderId="12" xfId="0" applyNumberFormat="1" applyFont="1" applyFill="1" applyBorder="1" applyAlignment="1">
      <x:alignment horizontal="right" vertical="center" wrapText="1"/>
    </x:xf>
    <x:xf numFmtId="169" fontId="7" fillId="49" borderId="0" xfId="0" applyNumberFormat="1" applyFont="1" applyFill="1" applyAlignment="1">
      <x:alignment vertical="center" wrapText="1"/>
    </x:xf>
    <x:xf numFmtId="169" fontId="7" fillId="49" borderId="47" xfId="0" applyNumberFormat="1" applyFont="1" applyFill="1" applyBorder="1" applyAlignment="1">
      <x:alignment vertical="center" wrapText="1"/>
    </x:xf>
    <x:xf numFmtId="0" fontId="7" fillId="50" borderId="44" xfId="0" applyFont="1" applyFill="1" applyBorder="1" applyAlignment="1">
      <x:alignment vertical="center" wrapText="1"/>
    </x:xf>
    <x:xf numFmtId="0" fontId="7" fillId="50" borderId="0" xfId="0" applyFont="1" applyFill="1" applyAlignment="1">
      <x:alignment vertical="center" wrapText="1"/>
    </x:xf>
    <x:xf numFmtId="1" fontId="7" fillId="50" borderId="0" xfId="0" applyNumberFormat="1" applyFont="1" applyFill="1" applyAlignment="1">
      <x:alignment vertical="center" wrapText="1"/>
    </x:xf>
    <x:xf numFmtId="0" fontId="7" fillId="50" borderId="46" xfId="0" applyFont="1" applyFill="1" applyBorder="1" applyAlignment="1">
      <x:alignment vertical="center" wrapText="1"/>
    </x:xf>
    <x:xf numFmtId="0" fontId="7" fillId="50" borderId="47" xfId="0" applyFont="1" applyFill="1" applyBorder="1" applyAlignment="1">
      <x:alignment vertical="center" wrapText="1"/>
    </x:xf>
    <x:xf numFmtId="1" fontId="7" fillId="50" borderId="47" xfId="0" applyNumberFormat="1" applyFont="1" applyFill="1" applyBorder="1" applyAlignment="1">
      <x:alignment vertical="center" wrapText="1"/>
    </x:xf>
    <x:xf numFmtId="167" fontId="7" fillId="50" borderId="0" xfId="0" applyNumberFormat="1" applyFont="1" applyFill="1" applyAlignment="1">
      <x:alignment vertical="center" wrapText="1"/>
    </x:xf>
    <x:xf numFmtId="0" fontId="7" fillId="50" borderId="45" xfId="0" applyFont="1" applyFill="1" applyBorder="1" applyAlignment="1">
      <x:alignment vertical="center" wrapText="1"/>
    </x:xf>
    <x:xf numFmtId="167" fontId="7" fillId="50" borderId="47" xfId="0" applyNumberFormat="1" applyFont="1" applyFill="1" applyBorder="1" applyAlignment="1">
      <x:alignment vertical="center" wrapText="1"/>
    </x:xf>
    <x:xf numFmtId="0" fontId="7" fillId="50" borderId="48" xfId="0" applyFont="1" applyFill="1" applyBorder="1" applyAlignment="1">
      <x:alignment vertical="center" wrapText="1"/>
    </x:xf>
    <x:xf numFmtId="0" fontId="15" fillId="52" borderId="0" xfId="0" applyFont="1" applyFill="1" applyAlignment="1">
      <x:alignment horizontal="center"/>
    </x:xf>
    <x:xf numFmtId="0" fontId="36" fillId="53" borderId="0" xfId="0" applyFont="1" applyFill="1" applyAlignment="1">
      <x:alignment wrapText="1"/>
    </x:xf>
    <x:xf numFmtId="0" fontId="6" fillId="48" borderId="49" xfId="0" applyFont="1" applyFill="1" applyBorder="1" applyAlignment="1">
      <x:alignment horizontal="center" vertical="center" wrapText="1"/>
    </x:xf>
    <x:xf numFmtId="0" fontId="0" fillId="0" borderId="49" xfId="0" applyBorder="1"/>
    <x:xf numFmtId="0" fontId="36" fillId="53" borderId="49" xfId="0" applyFont="1" applyFill="1" applyBorder="1" applyAlignment="1">
      <x:alignment wrapText="1"/>
    </x:xf>
    <x:xf numFmtId="0" fontId="7" fillId="50" borderId="49" xfId="0" applyFont="1" applyFill="1" applyBorder="1" applyAlignment="1">
      <x:alignment vertical="center" wrapText="1"/>
    </x:xf>
    <x:xf numFmtId="1" fontId="7" fillId="50" borderId="49" xfId="0" applyNumberFormat="1" applyFont="1" applyFill="1" applyBorder="1" applyAlignment="1">
      <x:alignment vertical="center" wrapText="1"/>
    </x:xf>
    <x:xf numFmtId="169" fontId="7" fillId="49" borderId="49" xfId="0" applyNumberFormat="1" applyFont="1" applyFill="1" applyBorder="1" applyAlignment="1">
      <x:alignment vertical="center" wrapText="1"/>
    </x:xf>
    <x:xf numFmtId="167" fontId="7" fillId="50" borderId="49" xfId="0" applyNumberFormat="1" applyFont="1" applyFill="1" applyBorder="1" applyAlignment="1">
      <x:alignment vertical="center" wrapText="1"/>
    </x:xf>
    <x:xf numFmtId="0" fontId="13" fillId="45" borderId="0" xfId="0" applyFont="1" applyFill="1" applyAlignment="1">
      <x:alignment horizontal="left" vertical="center"/>
    </x:xf>
    <x:xf numFmtId="0" fontId="14" fillId="46" borderId="0" xfId="0" applyFont="1" applyFill="1" applyAlignment="1">
      <x:alignment horizontal="left" vertical="center" wrapText="1"/>
    </x:xf>
    <x:xf numFmtId="0" fontId="15" fillId="47" borderId="1" xfId="0" applyFont="1" applyFill="1" applyBorder="1" applyAlignment="1">
      <x:alignment horizontal="left" vertical="center" wrapText="1"/>
    </x:xf>
    <x:xf numFmtId="0" fontId="13" fillId="51" borderId="0" xfId="0" applyFont="1" applyFill="1" applyAlignment="1">
      <x:alignment horizontal="left"/>
    </x:xf>
    <x:xf numFmtId="0" fontId="1" fillId="2" borderId="0" xfId="0" applyFont="1" applyFill="1" applyAlignment="1">
      <x:alignment horizontal="left" vertical="center"/>
    </x:xf>
    <x:xf numFmtId="0" fontId="0" fillId="0" borderId="0" xfId="0"/>
    <x:xf numFmtId="0" fontId="2" fillId="3" borderId="0" xfId="0" applyFont="1" applyFill="1" applyAlignment="1">
      <x:alignment horizontal="left" vertical="center" wrapText="1"/>
    </x:xf>
    <x:xf numFmtId="0" fontId="3" fillId="4" borderId="1" xfId="0" applyFont="1" applyFill="1" applyBorder="1" applyAlignment="1">
      <x:alignment horizontal="left" vertical="center" wrapText="1"/>
    </x:xf>
    <x:xf numFmtId="0" fontId="0" fillId="0" borderId="0" xfId="0" applyAlignment="1">
      <x:alignment wrapText="1"/>
    </x:xf>
    <x:xf numFmtId="0" fontId="32" fillId="21" borderId="0" xfId="0" applyFont="1" applyFill="1" applyAlignment="1">
      <x:alignment vertical="center"/>
    </x:xf>
    <x:xf numFmtId="0" fontId="2" fillId="22" borderId="0" xfId="0" applyFont="1" applyFill="1" applyAlignment="1">
      <x:alignment vertical="center" wrapText="1"/>
    </x:xf>
    <x:xf numFmtId="0" fontId="3" fillId="23" borderId="1" xfId="0" applyFont="1" applyFill="1" applyBorder="1" applyAlignment="1">
      <x:alignment vertical="center" wrapText="1"/>
    </x:xf>
    <x:xf numFmtId="0" fontId="1" fillId="21" borderId="0" xfId="0" applyFont="1" applyFill="1" applyAlignment="1">
      <x:alignment horizontal="left" vertical="center"/>
    </x:xf>
    <x:xf numFmtId="0" fontId="13" fillId="21" borderId="0" xfId="0" applyFont="1" applyFill="1" applyAlignment="1">
      <x:alignment vertical="center"/>
    </x:xf>
    <x:xf numFmtId="0" fontId="2" fillId="22" borderId="0" xfId="0" applyFont="1" applyFill="1" applyAlignment="1">
      <x:alignment horizontal="left" vertical="center" wrapText="1"/>
    </x:xf>
    <x:xf numFmtId="0" fontId="14" fillId="22" borderId="0" xfId="0" applyFont="1" applyFill="1" applyAlignment="1">
      <x:alignment vertical="center" wrapText="1"/>
    </x:xf>
    <x:xf numFmtId="0" fontId="17" fillId="27" borderId="1" xfId="0" applyFont="1" applyFill="1" applyBorder="1" applyAlignment="1">
      <x:alignment horizontal="left" vertical="center" wrapText="1"/>
    </x:xf>
    <x:xf numFmtId="0" fontId="18" fillId="27" borderId="0" xfId="0" applyFont="1" applyFill="1" applyAlignment="1">
      <x:alignment vertical="center" wrapText="1"/>
    </x:xf>
    <x:xf numFmtId="0" fontId="14" fillId="22" borderId="0" xfId="0" applyFont="1" applyFill="1" applyAlignment="1">
      <x:alignment wrapText="1"/>
    </x:xf>
    <x:xf numFmtId="0" fontId="15" fillId="23" borderId="0" xfId="0" applyFont="1" applyFill="1" applyAlignment="1">
      <x:alignment wrapText="1"/>
    </x:xf>
    <x:xf numFmtId="0" fontId="9" fillId="15" borderId="0" xfId="0" applyFont="1" applyFill="1" applyAlignment="1">
      <x:alignment horizontal="left" vertical="center" wrapText="1"/>
    </x:xf>
    <x:xf numFmtId="0" fontId="9" fillId="15" borderId="0" xfId="0" applyFont="1" applyFill="1" applyAlignment="1">
      <x:alignment vertical="center"/>
    </x:xf>
    <x:xf numFmtId="0" fontId="10" fillId="16" borderId="0" xfId="0" applyFont="1" applyFill="1" applyAlignment="1">
      <x:alignment horizontal="left" vertical="center" wrapText="1"/>
    </x:xf>
    <x:xf numFmtId="0" fontId="10" fillId="16" borderId="0" xfId="0" applyFont="1" applyFill="1" applyAlignment="1">
      <x:alignment vertical="center" wrapText="1"/>
    </x:xf>
    <x:xf numFmtId="0" fontId="11" fillId="17" borderId="1" xfId="0" applyFont="1" applyFill="1" applyBorder="1" applyAlignment="1">
      <x:alignment horizontal="left" vertical="center" wrapText="1"/>
    </x:xf>
    <x:xf numFmtId="0" fontId="11" fillId="17" borderId="0" xfId="0" applyFont="1" applyFill="1" applyAlignment="1">
      <x:alignment vertical="center" wrapText="1"/>
    </x:xf>
    <x:xf numFmtId="0" fontId="16" fillId="35" borderId="0" xfId="0" applyFont="1" applyFill="1" applyAlignment="1">
      <x:alignment vertical="center"/>
    </x:xf>
    <x:xf numFmtId="3" fontId="16" fillId="35" borderId="0" xfId="0" applyNumberFormat="1" applyFont="1" applyFill="1" applyAlignment="1">
      <x:alignment horizontal="right" vertical="center"/>
    </x:xf>
    <x:xf numFmtId="0" fontId="22" fillId="27" borderId="0" xfId="0" applyFont="1" applyFill="1" applyAlignment="1">
      <x:alignment vertical="center" wrapText="1"/>
    </x:xf>
    <x:xf numFmtId="0" fontId="9" fillId="21" borderId="0" xfId="0" applyFont="1" applyFill="1" applyAlignment="1">
      <x:alignment horizontal="left" vertical="center"/>
    </x:xf>
    <x:xf numFmtId="0" fontId="27" fillId="31" borderId="0" xfId="0" applyFont="1" applyFill="1" applyAlignment="1">
      <x:alignment vertical="center" wrapText="1"/>
    </x:xf>
    <x:xf numFmtId="0" fontId="26" fillId="17" borderId="0" xfId="0" applyFont="1" applyFill="1" applyAlignment="1">
      <x:alignment vertical="center" wrapText="1"/>
    </x:xf>
    <x:xf numFmtId="0" fontId="23" fillId="33" borderId="22" xfId="0" applyFont="1" applyFill="1" applyBorder="1" applyAlignment="1">
      <x:alignment vertical="center"/>
    </x:xf>
    <x:xf numFmtId="0" fontId="16" fillId="35" borderId="34" xfId="0" applyFont="1" applyFill="1" applyBorder="1" applyAlignment="1">
      <x:alignment vertical="center"/>
    </x:xf>
    <x:xf numFmtId="0" fontId="23" fillId="33" borderId="0" xfId="0" applyFont="1" applyFill="1" applyAlignment="1">
      <x:alignment vertical="center"/>
    </x:xf>
    <x:xf numFmtId="0" fontId="16" fillId="35" borderId="35" xfId="0" applyFont="1" applyFill="1" applyBorder="1" applyAlignment="1">
      <x:alignment vertical="center"/>
    </x:xf>
    <x:xf numFmtId="0" fontId="23" fillId="33" borderId="34" xfId="0" applyFont="1" applyFill="1" applyBorder="1" applyAlignment="1">
      <x:alignment vertical="center"/>
    </x:xf>
    <x:xf numFmtId="0" fontId="32" fillId="44" borderId="0" xfId="0" applyFont="1" applyFill="1" applyAlignment="1">
      <x:alignment vertical="center"/>
    </x:xf>
    <x:xf numFmtId="0" fontId="31" fillId="6" borderId="0" xfId="0" applyFont="1" applyFill="1" applyAlignment="1">
      <x:alignment vertical="center" wrapText="1"/>
    </x:xf>
    <x:xf numFmtId="0" fontId="30" fillId="43" borderId="0" xfId="0" applyFont="1" applyFill="1" applyAlignment="1">
      <x:alignment vertical="center" wrapText="1"/>
    </x:xf>
    <x:xf numFmtId="0" fontId="0" fillId="0" borderId="50" xfId="0" applyNumberFormat="1" applyFont="1" applyFill="1" applyBorder="1"/>
    <x:xf numFmtId="0" fontId="4" fillId="5" borderId="51" xfId="0" applyNumberFormat="1" applyFont="1" applyFill="1" applyBorder="1" applyAlignment="1">
      <x:alignment horizontal="center" vertical="center" wrapText="1"/>
    </x:xf>
    <x:xf numFmtId="0" fontId="4" fillId="5" borderId="52" xfId="0" applyNumberFormat="1" applyFont="1" applyFill="1" applyBorder="1" applyAlignment="1">
      <x:alignment horizontal="center" vertical="center" wrapText="1"/>
    </x:xf>
    <x:xf numFmtId="0" fontId="4" fillId="5" borderId="53" xfId="0" applyNumberFormat="1" applyFont="1" applyFill="1" applyBorder="1" applyAlignment="1">
      <x:alignment horizontal="center" vertical="center" wrapText="1"/>
    </x:xf>
    <x:xf numFmtId="0" fontId="5" fillId="6" borderId="54" xfId="0" applyNumberFormat="1" applyFont="1" applyFill="1" applyBorder="1" applyAlignment="1">
      <x:alignment vertical="center" wrapText="1"/>
    </x:xf>
    <x:xf numFmtId="0" fontId="5" fillId="6" borderId="50" xfId="0" applyNumberFormat="1" applyFont="1" applyFill="1" applyBorder="1" applyAlignment="1">
      <x:alignment vertical="center" wrapText="1"/>
    </x:xf>
    <x:xf numFmtId="0" fontId="5" fillId="6" borderId="55" xfId="0" applyNumberFormat="1" applyFont="1" applyFill="1" applyBorder="1" applyAlignment="1">
      <x:alignment vertical="center" wrapText="1"/>
    </x:xf>
    <x:xf numFmtId="0" fontId="5" fillId="6" borderId="56" xfId="0" applyNumberFormat="1" applyFont="1" applyFill="1" applyBorder="1" applyAlignment="1">
      <x:alignment vertical="center" wrapText="1"/>
    </x:xf>
    <x:xf numFmtId="0" fontId="5" fillId="7" borderId="54" xfId="0" applyNumberFormat="1" applyFont="1" applyFill="1" applyBorder="1" applyAlignment="1">
      <x:alignment vertical="center" wrapText="1"/>
    </x:xf>
    <x:xf numFmtId="0" fontId="5" fillId="7" borderId="50" xfId="0" applyNumberFormat="1" applyFont="1" applyFill="1" applyBorder="1" applyAlignment="1">
      <x:alignment vertical="center" wrapText="1"/>
    </x:xf>
    <x:xf numFmtId="0" fontId="5" fillId="7" borderId="55" xfId="0" applyNumberFormat="1" applyFont="1" applyFill="1" applyBorder="1" applyAlignment="1">
      <x:alignment vertical="center" wrapText="1"/>
    </x:xf>
    <x:xf numFmtId="164" fontId="5" fillId="7" borderId="54" xfId="0" applyNumberFormat="1" applyFont="1" applyFill="1" applyBorder="1" applyAlignment="1">
      <x:alignment vertical="center" wrapText="1"/>
    </x:xf>
    <x:xf numFmtId="164" fontId="5" fillId="7" borderId="50" xfId="0" applyNumberFormat="1" applyFont="1" applyFill="1" applyBorder="1" applyAlignment="1">
      <x:alignment vertical="center" wrapText="1"/>
    </x:xf>
    <x:xf numFmtId="164" fontId="5" fillId="7" borderId="55" xfId="0" applyNumberFormat="1" applyFont="1" applyFill="1" applyBorder="1" applyAlignment="1">
      <x:alignment vertical="center" wrapText="1"/>
    </x:xf>
    <x:xf numFmtId="3" fontId="5" fillId="6" borderId="54" xfId="0" applyNumberFormat="1" applyFont="1" applyFill="1" applyBorder="1" applyAlignment="1">
      <x:alignment vertical="center" wrapText="1"/>
    </x:xf>
    <x:xf numFmtId="3" fontId="5" fillId="6" borderId="50" xfId="0" applyNumberFormat="1" applyFont="1" applyFill="1" applyBorder="1" applyAlignment="1">
      <x:alignment vertical="center" wrapText="1"/>
    </x:xf>
    <x:xf numFmtId="3" fontId="5" fillId="6" borderId="55" xfId="0" applyNumberFormat="1" applyFont="1" applyFill="1" applyBorder="1" applyAlignment="1">
      <x:alignment vertical="center" wrapText="1"/>
    </x:xf>
    <x:xf numFmtId="3" fontId="5" fillId="7" borderId="54" xfId="0" applyNumberFormat="1" applyFont="1" applyFill="1" applyBorder="1" applyAlignment="1">
      <x:alignment vertical="center" wrapText="1"/>
    </x:xf>
    <x:xf numFmtId="3" fontId="5" fillId="7" borderId="50" xfId="0" applyNumberFormat="1" applyFont="1" applyFill="1" applyBorder="1" applyAlignment="1">
      <x:alignment vertical="center" wrapText="1"/>
    </x:xf>
    <x:xf numFmtId="3" fontId="5" fillId="7" borderId="55" xfId="0" applyNumberFormat="1" applyFont="1" applyFill="1" applyBorder="1" applyAlignment="1">
      <x:alignment vertical="center" wrapText="1"/>
    </x:xf>
    <x:xf numFmtId="165" fontId="5" fillId="6" borderId="54" xfId="0" applyNumberFormat="1" applyFont="1" applyFill="1" applyBorder="1" applyAlignment="1">
      <x:alignment vertical="center" wrapText="1"/>
    </x:xf>
    <x:xf numFmtId="165" fontId="5" fillId="6" borderId="50" xfId="0" applyNumberFormat="1" applyFont="1" applyFill="1" applyBorder="1" applyAlignment="1">
      <x:alignment vertical="center" wrapText="1"/>
    </x:xf>
    <x:xf numFmtId="165" fontId="5" fillId="6" borderId="55" xfId="0" applyNumberFormat="1" applyFont="1" applyFill="1" applyBorder="1" applyAlignment="1">
      <x:alignment vertical="center" wrapText="1"/>
    </x:xf>
    <x:xf numFmtId="9" fontId="5" fillId="8" borderId="54" xfId="0" applyNumberFormat="1" applyFont="1" applyFill="1" applyBorder="1" applyAlignment="1">
      <x:alignment vertical="center" wrapText="1"/>
    </x:xf>
    <x:xf numFmtId="9" fontId="5" fillId="8" borderId="50" xfId="0" applyNumberFormat="1" applyFont="1" applyFill="1" applyBorder="1" applyAlignment="1">
      <x:alignment vertical="center" wrapText="1"/>
    </x:xf>
    <x:xf numFmtId="9" fontId="5" fillId="8" borderId="55" xfId="0" applyNumberFormat="1" applyFont="1" applyFill="1" applyBorder="1" applyAlignment="1">
      <x:alignment vertical="center" wrapText="1"/>
    </x:xf>
    <x:xf numFmtId="9" fontId="5" fillId="8" borderId="57" xfId="0" applyNumberFormat="1" applyFont="1" applyFill="1" applyBorder="1" applyAlignment="1">
      <x:alignment vertical="center" wrapText="1"/>
    </x:xf>
    <x:xf numFmtId="49" fontId="5" fillId="7" borderId="58" xfId="0" applyNumberFormat="1" applyFont="1" applyFill="1" applyBorder="1" applyAlignment="1">
      <x:alignment vertical="center" wrapText="1"/>
    </x:xf>
    <x:xf numFmtId="49" fontId="5" fillId="7" borderId="59" xfId="0" applyNumberFormat="1" applyFont="1" applyFill="1" applyBorder="1" applyAlignment="1">
      <x:alignment vertical="center" wrapText="1"/>
    </x:xf>
    <x:xf numFmtId="49" fontId="5" fillId="7" borderId="60" xfId="0" applyNumberFormat="1" applyFont="1" applyFill="1" applyBorder="1" applyAlignment="1">
      <x:alignment vertical="center" wrapText="1"/>
    </x:xf>
    <x:xf numFmtId="0" fontId="5" fillId="7" borderId="57" xfId="0" applyNumberFormat="1" applyFont="1" applyFill="1" applyBorder="1" applyAlignment="1">
      <x:alignment vertical="center" wrapText="1"/>
    </x:xf>
    <x:xf numFmtId="0" fontId="5" fillId="7" borderId="61" xfId="0" applyNumberFormat="1" applyFont="1" applyFill="1" applyBorder="1" applyAlignment="1">
      <x:alignment vertical="center" wrapText="1"/>
    </x:xf>
    <x:xf numFmtId="0" fontId="5" fillId="7" borderId="56" xfId="0" applyNumberFormat="1" applyFont="1" applyFill="1" applyBorder="1" applyAlignment="1">
      <x:alignment vertical="center" wrapText="1"/>
    </x:xf>
    <x:xf numFmtId="3" fontId="5" fillId="8" borderId="54" xfId="0" applyNumberFormat="1" applyFont="1" applyFill="1" applyBorder="1" applyAlignment="1">
      <x:alignment vertical="center" wrapText="1"/>
    </x:xf>
    <x:xf numFmtId="3" fontId="5" fillId="8" borderId="50" xfId="0" applyNumberFormat="1" applyFont="1" applyFill="1" applyBorder="1" applyAlignment="1">
      <x:alignment vertical="center" wrapText="1"/>
    </x:xf>
    <x:xf numFmtId="3" fontId="5" fillId="8" borderId="55" xfId="0" applyNumberFormat="1" applyFont="1" applyFill="1" applyBorder="1" applyAlignment="1">
      <x:alignment vertical="center" wrapText="1"/>
    </x:xf>
    <x:xf numFmtId="49" fontId="5" fillId="7" borderId="50" xfId="0" applyNumberFormat="1" applyFont="1" applyFill="1" applyBorder="1" applyAlignment="1">
      <x:alignment vertical="center" wrapText="1"/>
    </x:xf>
    <x:xf numFmtId="49" fontId="5" fillId="7" borderId="55" xfId="0" applyNumberFormat="1" applyFont="1" applyFill="1" applyBorder="1" applyAlignment="1">
      <x:alignment vertical="center" wrapText="1"/>
    </x:xf>
    <x:xf numFmtId="0" fontId="6" fillId="5" borderId="52" xfId="0" applyNumberFormat="1" applyFont="1" applyFill="1" applyBorder="1" applyAlignment="1">
      <x:alignment horizontal="center" vertical="center" wrapText="1"/>
    </x:xf>
    <x:xf numFmtId="0" fontId="7" fillId="10" borderId="54" xfId="0" applyNumberFormat="1" applyFont="1" applyFill="1" applyBorder="1" applyAlignment="1">
      <x:alignment wrapText="1"/>
    </x:xf>
    <x:xf numFmtId="0" fontId="6" fillId="5" borderId="53" xfId="0" applyNumberFormat="1" applyFont="1" applyFill="1" applyBorder="1" applyAlignment="1">
      <x:alignment horizontal="center" vertical="center" wrapText="1"/>
    </x:xf>
    <x:xf numFmtId="9" fontId="7" fillId="8" borderId="57" xfId="0" applyNumberFormat="1" applyFont="1" applyFill="1" applyBorder="1" applyAlignment="1">
      <x:alignment wrapText="1"/>
    </x:xf>
    <x:xf numFmtId="0" fontId="8" fillId="7" borderId="50" xfId="0" applyNumberFormat="1" applyFont="1" applyFill="1" applyBorder="1"/>
    <x:xf numFmtId="0" fontId="8" fillId="12" borderId="50" xfId="0" applyNumberFormat="1" applyFont="1" applyFill="1" applyBorder="1"/>
    <x:xf numFmtId="0" fontId="8" fillId="8" borderId="50" xfId="0" applyNumberFormat="1" applyFont="1" applyFill="1" applyBorder="1"/>
    <x:xf numFmtId="0" fontId="8" fillId="0" borderId="50" xfId="0" applyNumberFormat="1" applyFont="1" applyFill="1" applyBorder="1"/>
    <x:xf numFmtId="0" fontId="5" fillId="8" borderId="54" xfId="0" applyNumberFormat="1" applyFont="1" applyFill="1" applyBorder="1" applyAlignment="1">
      <x:alignment vertical="center" wrapText="1"/>
    </x:xf>
    <x:xf numFmtId="0" fontId="5" fillId="8" borderId="50" xfId="0" applyNumberFormat="1" applyFont="1" applyFill="1" applyBorder="1" applyAlignment="1">
      <x:alignment vertical="center" wrapText="1"/>
    </x:xf>
    <x:xf numFmtId="0" fontId="5" fillId="8" borderId="55" xfId="0" applyNumberFormat="1" applyFont="1" applyFill="1" applyBorder="1" applyAlignment="1">
      <x:alignment vertical="center" wrapText="1"/>
    </x:xf>
    <x:xf numFmtId="0" fontId="12" fillId="18" borderId="50" xfId="0" applyNumberFormat="1" applyFont="1" applyFill="1" applyBorder="1" applyAlignment="1">
      <x:alignment horizontal="center" vertical="center" wrapText="1"/>
    </x:xf>
    <x:xf numFmtId="0" fontId="5" fillId="19" borderId="50" xfId="0" applyNumberFormat="1" applyFont="1" applyFill="1" applyBorder="1" applyAlignment="1">
      <x:alignment horizontal="center" vertical="center" wrapText="1"/>
    </x:xf>
    <x:xf numFmtId="0" fontId="5" fillId="19" borderId="50" xfId="0" applyNumberFormat="1" applyFont="1" applyFill="1" applyBorder="1" applyAlignment="1">
      <x:alignment vertical="center" wrapText="1"/>
    </x:xf>
    <x:xf numFmtId="1" fontId="5" fillId="19" borderId="50" xfId="0" applyNumberFormat="1" applyFont="1" applyFill="1" applyBorder="1" applyAlignment="1">
      <x:alignment horizontal="center" vertical="center" wrapText="1"/>
    </x:xf>
    <x:xf numFmtId="166" fontId="5" fillId="19" borderId="50" xfId="0" applyNumberFormat="1" applyFont="1" applyFill="1" applyBorder="1" applyAlignment="1">
      <x:alignment vertical="center" wrapText="1"/>
    </x:xf>
    <x:xf numFmtId="166" fontId="5" fillId="20" borderId="50" xfId="0" applyNumberFormat="1" applyFont="1" applyFill="1" applyBorder="1" applyAlignment="1">
      <x:alignment horizontal="center" vertical="center" wrapText="1"/>
    </x:xf>
    <x:xf numFmtId="10" fontId="5" fillId="20" borderId="50" xfId="0" applyNumberFormat="1" applyFont="1" applyFill="1" applyBorder="1" applyAlignment="1">
      <x:alignment horizontal="center" vertical="center" wrapText="1"/>
    </x:xf>
    <x:xf numFmtId="164" fontId="5" fillId="19" borderId="50" xfId="0" applyNumberFormat="1" applyFont="1" applyFill="1" applyBorder="1" applyAlignment="1">
      <x:alignment horizontal="center" vertical="center" wrapText="1"/>
    </x:xf>
    <x:xf numFmtId="0" fontId="0" fillId="0" borderId="50" xfId="0" applyNumberFormat="1" applyFont="1" applyFill="1" applyBorder="1" applyAlignment="1">
      <x:alignment vertical="center"/>
    </x:xf>
    <x:xf numFmtId="0" fontId="4" fillId="5" borderId="52" xfId="0" applyNumberFormat="1" applyFont="1" applyFill="1" applyBorder="1" applyAlignment="1">
      <x:alignment vertical="center" wrapText="1"/>
    </x:xf>
    <x:xf numFmtId="0" fontId="0" fillId="25" borderId="50" xfId="0" applyNumberFormat="1" applyFont="1" applyFill="1" applyBorder="1" applyAlignment="1">
      <x:alignment vertical="top" wrapText="1"/>
    </x:xf>
    <x:xf numFmtId="0" fontId="0" fillId="26" borderId="50" xfId="0" applyNumberFormat="1" applyFont="1" applyFill="1" applyBorder="1" applyAlignment="1">
      <x:alignment vertical="top" wrapText="1"/>
    </x:xf>
    <x:xf numFmtId="0" fontId="0" fillId="27" borderId="50" xfId="0" applyNumberFormat="1" applyFont="1" applyFill="1" applyBorder="1" applyAlignment="1">
      <x:alignment vertical="top" wrapText="1"/>
    </x:xf>
    <x:xf numFmtId="0" fontId="0" fillId="3" borderId="50" xfId="0" applyNumberFormat="1" applyFont="1" applyFill="1" applyBorder="1" applyAlignment="1">
      <x:alignment vertical="top" wrapText="1"/>
    </x:xf>
    <x:xf numFmtId="0" fontId="16" fillId="28" borderId="50" xfId="0" applyNumberFormat="1" applyFont="1" applyFill="1" applyBorder="1"/>
    <x:xf numFmtId="1" fontId="0" fillId="3" borderId="50" xfId="0" applyNumberFormat="1" applyFont="1" applyFill="1" applyBorder="1" applyAlignment="1">
      <x:alignment vertical="top" wrapText="1"/>
    </x:xf>
    <x:xf numFmtId="1" fontId="0" fillId="25" borderId="50" xfId="0" applyNumberFormat="1" applyFont="1" applyFill="1" applyBorder="1" applyAlignment="1">
      <x:alignment vertical="top" wrapText="1"/>
    </x:xf>
    <x:xf numFmtId="165" fontId="5" fillId="7" borderId="54" xfId="0" applyNumberFormat="1" applyFont="1" applyFill="1" applyBorder="1" applyAlignment="1">
      <x:alignment vertical="center" wrapText="1"/>
    </x:xf>
    <x:xf numFmtId="165" fontId="5" fillId="7" borderId="50" xfId="0" applyNumberFormat="1" applyFont="1" applyFill="1" applyBorder="1" applyAlignment="1">
      <x:alignment vertical="center" wrapText="1"/>
    </x:xf>
    <x:xf numFmtId="165" fontId="5" fillId="7" borderId="55" xfId="0" applyNumberFormat="1" applyFont="1" applyFill="1" applyBorder="1" applyAlignment="1">
      <x:alignment vertical="center" wrapText="1"/>
    </x:xf>
    <x:xf numFmtId="165" fontId="8" fillId="7" borderId="50" xfId="0" applyNumberFormat="1" applyFont="1" applyFill="1" applyBorder="1"/>
    <x:xf numFmtId="167" fontId="6" fillId="5" borderId="52" xfId="0" applyNumberFormat="1" applyFont="1" applyFill="1" applyBorder="1" applyAlignment="1">
      <x:alignment horizontal="center" vertical="center" wrapText="1"/>
    </x:xf>
    <x:xf numFmtId="167" fontId="7" fillId="8" borderId="54" xfId="0" applyNumberFormat="1" applyFont="1" applyFill="1" applyBorder="1" applyAlignment="1">
      <x:alignment wrapText="1"/>
    </x:xf>
    <x:xf numFmtId="167" fontId="0" fillId="0" borderId="50" xfId="0" applyNumberFormat="1" applyFont="1" applyFill="1" applyBorder="1"/>
    <x:xf numFmtId="0" fontId="6" fillId="5" borderId="62" xfId="0" applyNumberFormat="1" applyFont="1" applyFill="1" applyBorder="1" applyAlignment="1">
      <x:alignment horizontal="center" vertical="center" wrapText="1"/>
    </x:xf>
    <x:xf numFmtId="0" fontId="0" fillId="0" borderId="62" xfId="0" applyNumberFormat="1" applyFont="1" applyFill="1" applyBorder="1"/>
    <x:xf numFmtId="0" fontId="13" fillId="2" borderId="50" xfId="0" applyNumberFormat="1" applyFont="1" applyFill="1" applyBorder="1" applyAlignment="1">
      <x:alignment vertical="center"/>
    </x:xf>
    <x:xf numFmtId="0" fontId="19" fillId="5" borderId="63" xfId="0" applyNumberFormat="1" applyFont="1" applyFill="1" applyBorder="1" applyAlignment="1">
      <x:alignment horizontal="center" vertical="center" wrapText="1"/>
    </x:xf>
    <x:xf numFmtId="0" fontId="19" fillId="5" borderId="64" xfId="0" applyNumberFormat="1" applyFont="1" applyFill="1" applyBorder="1" applyAlignment="1">
      <x:alignment horizontal="center" vertical="center" wrapText="1"/>
    </x:xf>
    <x:xf numFmtId="0" fontId="19" fillId="5" borderId="65" xfId="0" applyNumberFormat="1" applyFont="1" applyFill="1" applyBorder="1" applyAlignment="1">
      <x:alignment horizontal="center" vertical="center" wrapText="1"/>
    </x:xf>
    <x:xf numFmtId="0" fontId="13" fillId="5" borderId="64" xfId="0" applyNumberFormat="1" applyFont="1" applyFill="1" applyBorder="1" applyAlignment="1">
      <x:alignment horizontal="center" vertical="center" wrapText="1"/>
    </x:xf>
    <x:xf numFmtId="0" fontId="13" fillId="5" borderId="66" xfId="0" applyNumberFormat="1" applyFont="1" applyFill="1" applyBorder="1" applyAlignment="1">
      <x:alignment horizontal="center" vertical="center" wrapText="1"/>
    </x:xf>
    <x:xf numFmtId="49" fontId="5" fillId="31" borderId="58" xfId="0" applyNumberFormat="1" applyFont="1" applyFill="1" applyBorder="1" applyAlignment="1">
      <x:alignment vertical="center" wrapText="1"/>
    </x:xf>
    <x:xf numFmtId="0" fontId="5" fillId="31" borderId="54" xfId="0" applyNumberFormat="1" applyFont="1" applyFill="1" applyBorder="1" applyAlignment="1">
      <x:alignment vertical="center" wrapText="1"/>
    </x:xf>
    <x:xf numFmtId="3" fontId="5" fillId="32" borderId="54" xfId="0" applyNumberFormat="1" applyFont="1" applyFill="1" applyBorder="1" applyAlignment="1">
      <x:alignment vertical="center" wrapText="1"/>
    </x:xf>
    <x:xf numFmtId="3" fontId="5" fillId="33" borderId="54" xfId="0" applyNumberFormat="1" applyFont="1" applyFill="1" applyBorder="1" applyAlignment="1">
      <x:alignment vertical="center" wrapText="1"/>
    </x:xf>
    <x:xf numFmtId="3" fontId="5" fillId="27" borderId="57" xfId="0" applyNumberFormat="1" applyFont="1" applyFill="1" applyBorder="1" applyAlignment="1">
      <x:alignment vertical="center" wrapText="1"/>
    </x:xf>
    <x:xf numFmtId="3" fontId="0" fillId="34" borderId="50" xfId="0" applyNumberFormat="1" applyFont="1" applyFill="1" applyBorder="1" applyAlignment="1">
      <x:alignment vertical="center" wrapText="1"/>
    </x:xf>
    <x:xf numFmtId="1" fontId="0" fillId="31" borderId="50" xfId="0" applyNumberFormat="1" applyFont="1" applyFill="1" applyBorder="1" applyAlignment="1">
      <x:alignment vertical="center" wrapText="1"/>
    </x:xf>
    <x:xf numFmtId="0" fontId="0" fillId="31" borderId="50" xfId="0" applyNumberFormat="1" applyFont="1" applyFill="1" applyBorder="1" applyAlignment="1">
      <x:alignment vertical="center" wrapText="1"/>
    </x:xf>
    <x:xf numFmtId="164" fontId="0" fillId="31" borderId="50" xfId="0" applyNumberFormat="1" applyFont="1" applyFill="1" applyBorder="1" applyAlignment="1">
      <x:alignment vertical="center" wrapText="1"/>
    </x:xf>
    <x:xf numFmtId="49" fontId="5" fillId="31" borderId="59" xfId="0" applyNumberFormat="1" applyFont="1" applyFill="1" applyBorder="1" applyAlignment="1">
      <x:alignment vertical="center" wrapText="1"/>
    </x:xf>
    <x:xf numFmtId="0" fontId="5" fillId="31" borderId="50" xfId="0" applyNumberFormat="1" applyFont="1" applyFill="1" applyBorder="1" applyAlignment="1">
      <x:alignment vertical="center" wrapText="1"/>
    </x:xf>
    <x:xf numFmtId="3" fontId="5" fillId="32" borderId="50" xfId="0" applyNumberFormat="1" applyFont="1" applyFill="1" applyBorder="1" applyAlignment="1">
      <x:alignment vertical="center" wrapText="1"/>
    </x:xf>
    <x:xf numFmtId="3" fontId="5" fillId="33" borderId="50" xfId="0" applyNumberFormat="1" applyFont="1" applyFill="1" applyBorder="1" applyAlignment="1">
      <x:alignment vertical="center" wrapText="1"/>
    </x:xf>
    <x:xf numFmtId="3" fontId="5" fillId="27" borderId="61" xfId="0" applyNumberFormat="1" applyFont="1" applyFill="1" applyBorder="1" applyAlignment="1">
      <x:alignment vertical="center" wrapText="1"/>
    </x:xf>
    <x:xf numFmtId="49" fontId="20" fillId="28" borderId="67" xfId="0" applyNumberFormat="1" applyFont="1" applyFill="1" applyBorder="1" applyAlignment="1">
      <x:alignment vertical="center" wrapText="1"/>
    </x:xf>
    <x:xf numFmtId="0" fontId="20" fillId="28" borderId="68" xfId="0" applyNumberFormat="1" applyFont="1" applyFill="1" applyBorder="1" applyAlignment="1">
      <x:alignment vertical="center" wrapText="1"/>
    </x:xf>
    <x:xf numFmtId="3" fontId="20" fillId="28" borderId="68" xfId="0" applyNumberFormat="1" applyFont="1" applyFill="1" applyBorder="1" applyAlignment="1">
      <x:alignment vertical="center" wrapText="1"/>
    </x:xf>
    <x:xf numFmtId="3" fontId="20" fillId="28" borderId="69" xfId="0" applyNumberFormat="1" applyFont="1" applyFill="1" applyBorder="1" applyAlignment="1">
      <x:alignment vertical="center" wrapText="1"/>
    </x:xf>
    <x:xf numFmtId="3" fontId="21" fillId="28" borderId="68" xfId="0" applyNumberFormat="1" applyFont="1" applyFill="1" applyBorder="1" applyAlignment="1">
      <x:alignment vertical="center" wrapText="1"/>
    </x:xf>
    <x:xf numFmtId="1" fontId="21" fillId="28" borderId="68" xfId="0" applyNumberFormat="1" applyFont="1" applyFill="1" applyBorder="1" applyAlignment="1">
      <x:alignment vertical="center" wrapText="1"/>
    </x:xf>
    <x:xf numFmtId="0" fontId="21" fillId="28" borderId="68" xfId="0" applyNumberFormat="1" applyFont="1" applyFill="1" applyBorder="1" applyAlignment="1">
      <x:alignment vertical="center" wrapText="1"/>
    </x:xf>
    <x:xf numFmtId="164" fontId="21" fillId="28" borderId="68" xfId="0" applyNumberFormat="1" applyFont="1" applyFill="1" applyBorder="1" applyAlignment="1">
      <x:alignment vertical="center" wrapText="1"/>
    </x:xf>
    <x:xf numFmtId="0" fontId="5" fillId="6" borderId="61" xfId="0" applyNumberFormat="1" applyFont="1" applyFill="1" applyBorder="1" applyAlignment="1">
      <x:alignment vertical="center" wrapText="1"/>
    </x:xf>
    <x:xf numFmtId="49" fontId="19" fillId="2" borderId="59" xfId="0" applyNumberFormat="1" applyFont="1" applyFill="1" applyBorder="1" applyAlignment="1">
      <x:alignment vertical="center" wrapText="1"/>
    </x:xf>
    <x:xf numFmtId="0" fontId="19" fillId="2" borderId="50" xfId="0" applyNumberFormat="1" applyFont="1" applyFill="1" applyBorder="1" applyAlignment="1">
      <x:alignment vertical="center" wrapText="1"/>
    </x:xf>
    <x:xf numFmtId="3" fontId="19" fillId="2" borderId="50" xfId="0" applyNumberFormat="1" applyFont="1" applyFill="1" applyBorder="1" applyAlignment="1">
      <x:alignment vertical="center" wrapText="1"/>
    </x:xf>
    <x:xf numFmtId="164" fontId="19" fillId="2" borderId="50" xfId="0" applyNumberFormat="1" applyFont="1" applyFill="1" applyBorder="1" applyAlignment="1">
      <x:alignment vertical="center" wrapText="1"/>
    </x:xf>
    <x:xf numFmtId="0" fontId="19" fillId="2" borderId="61" xfId="0" applyNumberFormat="1" applyFont="1" applyFill="1" applyBorder="1" applyAlignment="1">
      <x:alignment vertical="center" wrapText="1"/>
    </x:xf>
    <x:xf numFmtId="49" fontId="19" fillId="5" borderId="63" xfId="0" applyNumberFormat="1" applyFont="1" applyFill="1" applyBorder="1" applyAlignment="1">
      <x:alignment horizontal="center" vertical="center" wrapText="1"/>
    </x:xf>
    <x:xf numFmtId="0" fontId="19" fillId="5" borderId="66" xfId="0" applyNumberFormat="1" applyFont="1" applyFill="1" applyBorder="1" applyAlignment="1">
      <x:alignment horizontal="center" vertical="center" wrapText="1"/>
    </x:xf>
    <x:xf numFmtId="3" fontId="19" fillId="5" borderId="64" xfId="0" applyNumberFormat="1" applyFont="1" applyFill="1" applyBorder="1" applyAlignment="1">
      <x:alignment horizontal="center" vertical="center" wrapText="1"/>
    </x:xf>
    <x:xf numFmtId="164" fontId="19" fillId="5" borderId="64" xfId="0" applyNumberFormat="1" applyFont="1" applyFill="1" applyBorder="1" applyAlignment="1">
      <x:alignment horizontal="center" vertical="center" wrapText="1"/>
    </x:xf>
    <x:xf numFmtId="49" fontId="5" fillId="31" borderId="59" xfId="0" applyNumberFormat="1" applyFont="1" applyFill="1" applyBorder="1" applyAlignment="1">
      <x:alignment vertical="top" wrapText="1"/>
    </x:xf>
    <x:xf numFmtId="0" fontId="5" fillId="31" borderId="50" xfId="0" applyNumberFormat="1" applyFont="1" applyFill="1" applyBorder="1" applyAlignment="1">
      <x:alignment vertical="top" wrapText="1"/>
    </x:xf>
    <x:xf numFmtId="3" fontId="5" fillId="31" borderId="50" xfId="0" applyNumberFormat="1" applyFont="1" applyFill="1" applyBorder="1" applyAlignment="1">
      <x:alignment vertical="top" wrapText="1"/>
    </x:xf>
    <x:xf numFmtId="164" fontId="5" fillId="31" borderId="50" xfId="0" applyNumberFormat="1" applyFont="1" applyFill="1" applyBorder="1" applyAlignment="1">
      <x:alignment vertical="top" wrapText="1"/>
    </x:xf>
    <x:xf numFmtId="0" fontId="5" fillId="31" borderId="61" xfId="0" applyNumberFormat="1" applyFont="1" applyFill="1" applyBorder="1" applyAlignment="1">
      <x:alignment vertical="top" wrapText="1"/>
    </x:xf>
    <x:xf numFmtId="0" fontId="0" fillId="31" borderId="50" xfId="0" applyNumberFormat="1" applyFont="1" applyFill="1" applyBorder="1" applyAlignment="1">
      <x:alignment vertical="top" wrapText="1"/>
    </x:xf>
    <x:xf numFmtId="3" fontId="16" fillId="35" borderId="50" xfId="0" applyNumberFormat="1" applyFont="1" applyFill="1" applyBorder="1" applyAlignment="1">
      <x:alignment horizontal="right" vertical="center"/>
    </x:xf>
    <x:xf numFmtId="0" fontId="16" fillId="35" borderId="50" xfId="0" applyNumberFormat="1" applyFont="1" applyFill="1" applyBorder="1" applyAlignment="1">
      <x:alignment vertical="center"/>
    </x:xf>
    <x:xf numFmtId="0" fontId="23" fillId="33" borderId="70" xfId="0" applyNumberFormat="1" applyFont="1" applyFill="1" applyBorder="1" applyAlignment="1">
      <x:alignment vertical="center"/>
    </x:xf>
    <x:xf numFmtId="3" fontId="23" fillId="33" borderId="70" xfId="0" applyNumberFormat="1" applyFont="1" applyFill="1" applyBorder="1" applyAlignment="1">
      <x:alignment horizontal="right" vertical="center"/>
    </x:xf>
    <x:xf numFmtId="3" fontId="0" fillId="0" borderId="50" xfId="0" applyNumberFormat="1" applyFont="1" applyFill="1" applyBorder="1" applyAlignment="1">
      <x:alignment horizontal="right"/>
    </x:xf>
    <x:xf numFmtId="0" fontId="24" fillId="36" borderId="71" xfId="0" applyNumberFormat="1" applyFont="1" applyFill="1" applyBorder="1" applyAlignment="1">
      <x:alignment vertical="center" wrapText="1"/>
    </x:xf>
    <x:xf numFmtId="0" fontId="24" fillId="36" borderId="72" xfId="0" applyNumberFormat="1" applyFont="1" applyFill="1" applyBorder="1" applyAlignment="1">
      <x:alignment vertical="center" wrapText="1"/>
    </x:xf>
    <x:xf numFmtId="3" fontId="24" fillId="36" borderId="72" xfId="0" applyNumberFormat="1" applyFont="1" applyFill="1" applyBorder="1" applyAlignment="1">
      <x:alignment horizontal="right" vertical="center"/>
    </x:xf>
    <x:xf numFmtId="0" fontId="24" fillId="36" borderId="72" xfId="0" applyNumberFormat="1" applyFont="1" applyFill="1" applyBorder="1" applyAlignment="1">
      <x:alignment horizontal="center" vertical="center"/>
    </x:xf>
    <x:xf numFmtId="0" fontId="24" fillId="36" borderId="73" xfId="0" applyNumberFormat="1" applyFont="1" applyFill="1" applyBorder="1" applyAlignment="1">
      <x:alignment horizontal="center" vertical="center"/>
    </x:xf>
    <x:xf numFmtId="0" fontId="24" fillId="36" borderId="74" xfId="0" applyNumberFormat="1" applyFont="1" applyFill="1" applyBorder="1" applyAlignment="1">
      <x:alignment vertical="center" wrapText="1"/>
    </x:xf>
    <x:xf numFmtId="0" fontId="24" fillId="36" borderId="50" xfId="0" applyNumberFormat="1" applyFont="1" applyFill="1" applyBorder="1" applyAlignment="1">
      <x:alignment vertical="center" wrapText="1"/>
    </x:xf>
    <x:xf numFmtId="3" fontId="24" fillId="36" borderId="50" xfId="0" applyNumberFormat="1" applyFont="1" applyFill="1" applyBorder="1" applyAlignment="1">
      <x:alignment horizontal="right" vertical="center"/>
    </x:xf>
    <x:xf numFmtId="0" fontId="24" fillId="36" borderId="50" xfId="0" applyNumberFormat="1" applyFont="1" applyFill="1" applyBorder="1" applyAlignment="1">
      <x:alignment horizontal="center" vertical="center"/>
    </x:xf>
    <x:xf numFmtId="0" fontId="24" fillId="36" borderId="75" xfId="0" applyNumberFormat="1" applyFont="1" applyFill="1" applyBorder="1" applyAlignment="1">
      <x:alignment horizontal="center" vertical="center"/>
    </x:xf>
    <x:xf numFmtId="0" fontId="24" fillId="36" borderId="76" xfId="0" applyNumberFormat="1" applyFont="1" applyFill="1" applyBorder="1" applyAlignment="1">
      <x:alignment vertical="center" wrapText="1"/>
    </x:xf>
    <x:xf numFmtId="0" fontId="24" fillId="36" borderId="77" xfId="0" applyNumberFormat="1" applyFont="1" applyFill="1" applyBorder="1" applyAlignment="1">
      <x:alignment vertical="center" wrapText="1"/>
    </x:xf>
    <x:xf numFmtId="3" fontId="24" fillId="36" borderId="77" xfId="0" applyNumberFormat="1" applyFont="1" applyFill="1" applyBorder="1" applyAlignment="1">
      <x:alignment horizontal="right" vertical="center"/>
    </x:xf>
    <x:xf numFmtId="0" fontId="24" fillId="36" borderId="77" xfId="0" applyNumberFormat="1" applyFont="1" applyFill="1" applyBorder="1" applyAlignment="1">
      <x:alignment horizontal="center" vertical="center"/>
    </x:xf>
    <x:xf numFmtId="0" fontId="24" fillId="36" borderId="78" xfId="0" applyNumberFormat="1" applyFont="1" applyFill="1" applyBorder="1" applyAlignment="1">
      <x:alignment horizontal="center" vertical="center"/>
    </x:xf>
    <x:xf numFmtId="0" fontId="25" fillId="37" borderId="79" xfId="0" applyNumberFormat="1" applyFont="1" applyFill="1" applyBorder="1" applyAlignment="1">
      <x:alignment horizontal="center" vertical="center" wrapText="1"/>
    </x:xf>
    <x:xf numFmtId="0" fontId="25" fillId="37" borderId="80" xfId="0" applyNumberFormat="1" applyFont="1" applyFill="1" applyBorder="1" applyAlignment="1">
      <x:alignment horizontal="center" vertical="center" wrapText="1"/>
    </x:xf>
    <x:xf numFmtId="0" fontId="25" fillId="37" borderId="81" xfId="0" applyNumberFormat="1" applyFont="1" applyFill="1" applyBorder="1" applyAlignment="1">
      <x:alignment horizontal="center" vertical="center" wrapText="1"/>
    </x:xf>
    <x:xf numFmtId="10" fontId="16" fillId="35" borderId="82" xfId="0" applyNumberFormat="1" applyFont="1" applyFill="1" applyBorder="1" applyAlignment="1">
      <x:alignment vertical="center"/>
    </x:xf>
    <x:xf numFmtId="0" fontId="16" fillId="35" borderId="82" xfId="0" applyNumberFormat="1" applyFont="1" applyFill="1" applyBorder="1" applyAlignment="1">
      <x:alignment vertical="center"/>
    </x:xf>
    <x:xf numFmtId="2" fontId="16" fillId="35" borderId="50" xfId="0" applyNumberFormat="1" applyFont="1" applyFill="1" applyBorder="1" applyAlignment="1">
      <x:alignment vertical="center"/>
    </x:xf>
    <x:xf numFmtId="2" fontId="16" fillId="35" borderId="83" xfId="0" applyNumberFormat="1" applyFont="1" applyFill="1" applyBorder="1" applyAlignment="1">
      <x:alignment vertical="center"/>
    </x:xf>
    <x:xf numFmtId="0" fontId="16" fillId="35" borderId="83" xfId="0" applyNumberFormat="1" applyFont="1" applyFill="1" applyBorder="1" applyAlignment="1">
      <x:alignment vertical="center"/>
    </x:xf>
    <x:xf numFmtId="0" fontId="23" fillId="33" borderId="50" xfId="0" applyNumberFormat="1" applyFont="1" applyFill="1" applyBorder="1" applyAlignment="1">
      <x:alignment vertical="center"/>
    </x:xf>
    <x:xf numFmtId="10" fontId="24" fillId="36" borderId="72" xfId="0" applyNumberFormat="1" applyFont="1" applyFill="1" applyBorder="1" applyAlignment="1">
      <x:alignment horizontal="center" vertical="center"/>
    </x:xf>
    <x:xf numFmtId="2" fontId="24" fillId="36" borderId="72" xfId="0" applyNumberFormat="1" applyFont="1" applyFill="1" applyBorder="1" applyAlignment="1">
      <x:alignment horizontal="center" vertical="center"/>
    </x:xf>
    <x:xf numFmtId="10" fontId="24" fillId="36" borderId="50" xfId="0" applyNumberFormat="1" applyFont="1" applyFill="1" applyBorder="1" applyAlignment="1">
      <x:alignment horizontal="center" vertical="center"/>
    </x:xf>
    <x:xf numFmtId="2" fontId="24" fillId="36" borderId="50" xfId="0" applyNumberFormat="1" applyFont="1" applyFill="1" applyBorder="1" applyAlignment="1">
      <x:alignment horizontal="center" vertical="center"/>
    </x:xf>
    <x:xf numFmtId="10" fontId="24" fillId="36" borderId="77" xfId="0" applyNumberFormat="1" applyFont="1" applyFill="1" applyBorder="1" applyAlignment="1">
      <x:alignment horizontal="center" vertical="center"/>
    </x:xf>
    <x:xf numFmtId="2" fontId="24" fillId="36" borderId="77" xfId="0" applyNumberFormat="1" applyFont="1" applyFill="1" applyBorder="1" applyAlignment="1">
      <x:alignment horizontal="center" vertical="center"/>
    </x:xf>
    <x:xf numFmtId="165" fontId="0" fillId="0" borderId="50" xfId="0" applyNumberFormat="1" applyFont="1" applyFill="1" applyBorder="1"/>
    <x:xf numFmtId="165" fontId="24" fillId="36" borderId="72" xfId="0" applyNumberFormat="1" applyFont="1" applyFill="1" applyBorder="1" applyAlignment="1">
      <x:alignment horizontal="center" vertical="center"/>
    </x:xf>
    <x:xf numFmtId="14" fontId="0" fillId="25" borderId="50" xfId="0" applyNumberFormat="1" applyFont="1" applyFill="1" applyBorder="1" applyAlignment="1">
      <x:alignment vertical="top" wrapText="1"/>
    </x:xf>
    <x:xf numFmtId="0" fontId="0" fillId="38" borderId="50" xfId="0" applyNumberFormat="1" applyFont="1" applyFill="1" applyBorder="1"/>
    <x:xf numFmtId="0" fontId="0" fillId="0" borderId="50" xfId="0" applyNumberFormat="1" applyFont="1" applyFill="1" applyBorder="1" applyAlignment="1">
      <x:alignment vertical="top" wrapText="1"/>
    </x:xf>
    <x:xf numFmtId="1" fontId="0" fillId="0" borderId="50" xfId="0" applyNumberFormat="1" applyFont="1" applyFill="1" applyBorder="1" applyAlignment="1">
      <x:alignment vertical="top" wrapText="1"/>
    </x:xf>
    <x:xf numFmtId="14" fontId="0" fillId="0" borderId="50" xfId="0" applyNumberFormat="1" applyFont="1" applyFill="1" applyBorder="1" applyAlignment="1">
      <x:alignment vertical="top" wrapText="1"/>
    </x:xf>
    <x:xf numFmtId="0" fontId="24" fillId="36" borderId="84" xfId="0" applyNumberFormat="1" applyFont="1" applyFill="1" applyBorder="1" applyAlignment="1">
      <x:alignment horizontal="center" vertical="center"/>
    </x:xf>
    <x:xf numFmtId="2" fontId="24" fillId="36" borderId="84" xfId="0" applyNumberFormat="1" applyFont="1" applyFill="1" applyBorder="1" applyAlignment="1">
      <x:alignment horizontal="center" vertical="center"/>
    </x:xf>
    <x:xf numFmtId="1" fontId="24" fillId="36" borderId="84" xfId="0" applyNumberFormat="1" applyFont="1" applyFill="1" applyBorder="1" applyAlignment="1">
      <x:alignment horizontal="center" vertical="center"/>
    </x:xf>
    <x:xf numFmtId="0" fontId="24" fillId="36" borderId="84" xfId="0" applyNumberFormat="1" applyFont="1" applyFill="1" applyBorder="1" applyAlignment="1">
      <x:alignment vertical="center" wrapText="1"/>
    </x:xf>
    <x:xf numFmtId="0" fontId="24" fillId="39" borderId="84" xfId="0" applyNumberFormat="1" applyFont="1" applyFill="1" applyBorder="1" applyAlignment="1">
      <x:alignment horizontal="center" vertical="center"/>
    </x:xf>
    <x:xf numFmtId="2" fontId="24" fillId="39" borderId="84" xfId="0" applyNumberFormat="1" applyFont="1" applyFill="1" applyBorder="1" applyAlignment="1">
      <x:alignment horizontal="center" vertical="center"/>
    </x:xf>
    <x:xf numFmtId="1" fontId="24" fillId="39" borderId="84" xfId="0" applyNumberFormat="1" applyFont="1" applyFill="1" applyBorder="1" applyAlignment="1">
      <x:alignment horizontal="center" vertical="center"/>
    </x:xf>
    <x:xf numFmtId="0" fontId="24" fillId="39" borderId="84" xfId="0" applyNumberFormat="1" applyFont="1" applyFill="1" applyBorder="1" applyAlignment="1">
      <x:alignment vertical="center" wrapText="1"/>
    </x:xf>
    <x:xf numFmtId="0" fontId="0" fillId="39" borderId="85" xfId="0" applyNumberFormat="1" applyFont="1" applyFill="1" applyBorder="1"/>
    <x:xf numFmtId="0" fontId="0" fillId="39" borderId="84" xfId="0" applyNumberFormat="1" applyFont="1" applyFill="1" applyBorder="1"/>
    <x:xf numFmtId="0" fontId="24" fillId="36" borderId="84" xfId="0" applyNumberFormat="1" applyFont="1" applyFill="1" applyBorder="1" applyAlignment="1">
      <x:alignment horizontal="center" vertical="center" wrapText="1"/>
    </x:xf>
    <x:xf numFmtId="0" fontId="0" fillId="0" borderId="85" xfId="0" applyNumberFormat="1" applyFont="1" applyFill="1" applyBorder="1"/>
    <x:xf numFmtId="0" fontId="0" fillId="0" borderId="84" xfId="0" applyNumberFormat="1" applyFont="1" applyFill="1" applyBorder="1"/>
    <x:xf numFmtId="0" fontId="24" fillId="39" borderId="84" xfId="0" applyNumberFormat="1" applyFont="1" applyFill="1" applyBorder="1" applyAlignment="1">
      <x:alignment horizontal="center" vertical="center" wrapText="1"/>
    </x:xf>
    <x:xf numFmtId="168" fontId="24" fillId="39" borderId="84" xfId="0" applyNumberFormat="1" applyFont="1" applyFill="1" applyBorder="1" applyAlignment="1">
      <x:alignment horizontal="center" vertical="center"/>
    </x:xf>
    <x:xf numFmtId="0" fontId="0" fillId="39" borderId="50" xfId="0" applyNumberFormat="1" applyFont="1" applyFill="1" applyBorder="1"/>
    <x:xf numFmtId="164" fontId="28" fillId="40" borderId="86" xfId="0" applyNumberFormat="1" applyFont="1" applyFill="1" applyBorder="1" applyAlignment="1">
      <x:alignment vertical="center" wrapText="1"/>
    </x:xf>
    <x:xf numFmtId="0" fontId="28" fillId="40" borderId="87" xfId="0" applyNumberFormat="1" applyFont="1" applyFill="1" applyBorder="1" applyAlignment="1">
      <x:alignment vertical="center" wrapText="1"/>
    </x:xf>
    <x:xf numFmtId="10" fontId="28" fillId="41" borderId="87" xfId="0" applyNumberFormat="1" applyFont="1" applyFill="1" applyBorder="1" applyAlignment="1">
      <x:alignment vertical="center" wrapText="1"/>
    </x:xf>
    <x:xf numFmtId="3" fontId="28" fillId="40" borderId="87" xfId="0" applyNumberFormat="1" applyFont="1" applyFill="1" applyBorder="1" applyAlignment="1">
      <x:alignment vertical="center" wrapText="1"/>
    </x:xf>
    <x:xf numFmtId="2" fontId="28" fillId="40" borderId="87" xfId="0" applyNumberFormat="1" applyFont="1" applyFill="1" applyBorder="1" applyAlignment="1">
      <x:alignment vertical="center" wrapText="1"/>
    </x:xf>
    <x:xf numFmtId="164" fontId="28" fillId="40" borderId="87" xfId="0" applyNumberFormat="1" applyFont="1" applyFill="1" applyBorder="1" applyAlignment="1">
      <x:alignment vertical="center" wrapText="1"/>
    </x:xf>
    <x:xf numFmtId="1" fontId="28" fillId="40" borderId="87" xfId="0" applyNumberFormat="1" applyFont="1" applyFill="1" applyBorder="1" applyAlignment="1">
      <x:alignment vertical="center" wrapText="1"/>
    </x:xf>
    <x:xf numFmtId="164" fontId="28" fillId="40" borderId="88" xfId="0" applyNumberFormat="1" applyFont="1" applyFill="1" applyBorder="1" applyAlignment="1">
      <x:alignment vertical="center" wrapText="1"/>
    </x:xf>
    <x:xf numFmtId="0" fontId="28" fillId="40" borderId="50" xfId="0" applyNumberFormat="1" applyFont="1" applyFill="1" applyBorder="1" applyAlignment="1">
      <x:alignment vertical="center" wrapText="1"/>
    </x:xf>
    <x:xf numFmtId="10" fontId="28" fillId="41" borderId="50" xfId="0" applyNumberFormat="1" applyFont="1" applyFill="1" applyBorder="1" applyAlignment="1">
      <x:alignment vertical="center" wrapText="1"/>
    </x:xf>
    <x:xf numFmtId="3" fontId="28" fillId="40" borderId="50" xfId="0" applyNumberFormat="1" applyFont="1" applyFill="1" applyBorder="1" applyAlignment="1">
      <x:alignment vertical="center" wrapText="1"/>
    </x:xf>
    <x:xf numFmtId="2" fontId="28" fillId="40" borderId="50" xfId="0" applyNumberFormat="1" applyFont="1" applyFill="1" applyBorder="1" applyAlignment="1">
      <x:alignment vertical="center" wrapText="1"/>
    </x:xf>
    <x:xf numFmtId="164" fontId="28" fillId="40" borderId="50" xfId="0" applyNumberFormat="1" applyFont="1" applyFill="1" applyBorder="1" applyAlignment="1">
      <x:alignment vertical="center" wrapText="1"/>
    </x:xf>
    <x:xf numFmtId="1" fontId="28" fillId="40" borderId="50" xfId="0" applyNumberFormat="1" applyFont="1" applyFill="1" applyBorder="1" applyAlignment="1">
      <x:alignment vertical="center" wrapText="1"/>
    </x:xf>
    <x:xf numFmtId="0" fontId="29" fillId="42" borderId="89" xfId="0" applyNumberFormat="1" applyFont="1" applyFill="1" applyBorder="1" applyAlignment="1">
      <x:alignment horizontal="center" vertical="center" wrapText="1"/>
    </x:xf>
    <x:xf numFmtId="0" fontId="29" fillId="42" borderId="90" xfId="0" applyNumberFormat="1" applyFont="1" applyFill="1" applyBorder="1" applyAlignment="1">
      <x:alignment horizontal="center" vertical="center" wrapText="1"/>
    </x:xf>
    <x:xf numFmtId="164" fontId="0" fillId="0" borderId="50" xfId="0" applyNumberFormat="1" applyFont="1" applyFill="1" applyBorder="1"/>
    <x:xf numFmtId="0" fontId="33" fillId="6" borderId="91" xfId="0" applyNumberFormat="1" applyFont="1" applyFill="1" applyBorder="1" applyAlignment="1">
      <x:alignment vertical="top" wrapText="1"/>
    </x:xf>
    <x:xf numFmtId="164" fontId="33" fillId="6" borderId="91" xfId="0" applyNumberFormat="1" applyFont="1" applyFill="1" applyBorder="1" applyAlignment="1">
      <x:alignment vertical="top" wrapText="1"/>
    </x:xf>
    <x:xf numFmtId="0" fontId="33" fillId="6" borderId="50" xfId="0" applyNumberFormat="1" applyFont="1" applyFill="1" applyBorder="1" applyAlignment="1">
      <x:alignment vertical="top" wrapText="1"/>
    </x:xf>
    <x:xf numFmtId="164" fontId="33" fillId="6" borderId="50" xfId="0" applyNumberFormat="1" applyFont="1" applyFill="1" applyBorder="1" applyAlignment="1">
      <x:alignment vertical="top" wrapText="1"/>
    </x:xf>
    <x:xf numFmtId="0" fontId="34" fillId="5" borderId="52" xfId="0" applyNumberFormat="1" applyFont="1" applyFill="1" applyBorder="1" applyAlignment="1">
      <x:alignment horizontal="center" vertical="center" wrapText="1"/>
    </x:xf>
    <x:xf numFmtId="167" fontId="34" fillId="5" borderId="52" xfId="0" applyNumberFormat="1" applyFont="1" applyFill="1" applyBorder="1" applyAlignment="1">
      <x:alignment horizontal="center" vertical="center" wrapText="1"/>
    </x:xf>
    <x:xf numFmtId="167" fontId="33" fillId="6" borderId="50" xfId="0" applyNumberFormat="1" applyFont="1" applyFill="1" applyBorder="1" applyAlignment="1">
      <x:alignment vertical="top" wrapText="1"/>
    </x:xf>
    <x:xf numFmtId="167" fontId="33" fillId="6" borderId="91" xfId="0" applyNumberFormat="1" applyFont="1" applyFill="1" applyBorder="1" applyAlignment="1">
      <x:alignment vertical="top" wrapText="1"/>
    </x:xf>
    <x:xf numFmtId="0" fontId="35" fillId="6" borderId="50" xfId="0" applyNumberFormat="1" applyFont="1" applyFill="1" applyBorder="1" applyAlignment="1">
      <x:alignment vertical="top" wrapText="1"/>
    </x:xf>
    <x:xf numFmtId="0" fontId="8" fillId="12" borderId="50" xfId="0" applyNumberFormat="1" applyFont="1" applyFill="1" applyBorder="1" applyAlignment="1">
      <x:alignment wrapText="1"/>
    </x:xf>
    <x:xf numFmtId="0" fontId="8" fillId="7" borderId="50" xfId="0" applyNumberFormat="1" applyFont="1" applyFill="1" applyBorder="1" applyAlignment="1">
      <x:alignment wrapText="1"/>
    </x:xf>
    <x:xf numFmtId="0" fontId="8" fillId="12" borderId="50" xfId="0" applyNumberFormat="1" applyFont="1" applyFill="1" applyBorder="1" applyAlignment="1">
      <x:alignment vertical="center"/>
    </x:xf>
    <x:xf numFmtId="0" fontId="13" fillId="2" borderId="50" xfId="0" applyNumberFormat="1" applyFont="1" applyFill="1" applyBorder="1"/>
    <x:xf numFmtId="0" fontId="14" fillId="3" borderId="50" xfId="0" applyNumberFormat="1" applyFont="1" applyFill="1" applyBorder="1"/>
    <x:xf numFmtId="0" fontId="15" fillId="4" borderId="92" xfId="0" applyNumberFormat="1" applyFont="1" applyFill="1" applyBorder="1"/>
    <x:xf numFmtId="0" fontId="6" fillId="5" borderId="51" xfId="0" applyNumberFormat="1" applyFont="1" applyFill="1" applyBorder="1" applyAlignment="1">
      <x:alignment horizontal="center" vertical="center" wrapText="1"/>
    </x:xf>
    <x:xf numFmtId="169" fontId="7" fillId="6" borderId="58" xfId="0" applyNumberFormat="1" applyFont="1" applyFill="1" applyBorder="1" applyAlignment="1">
      <x:alignment horizontal="right" vertical="center" wrapText="1"/>
    </x:xf>
    <x:xf numFmtId="169" fontId="7" fillId="6" borderId="54" xfId="0" applyNumberFormat="1" applyFont="1" applyFill="1" applyBorder="1" applyAlignment="1">
      <x:alignment horizontal="right" vertical="center" wrapText="1"/>
    </x:xf>
    <x:xf numFmtId="169" fontId="7" fillId="6" borderId="57" xfId="0" applyNumberFormat="1" applyFont="1" applyFill="1" applyBorder="1" applyAlignment="1">
      <x:alignment horizontal="right" vertical="center" wrapText="1"/>
    </x:xf>
    <x:xf numFmtId="169" fontId="7" fillId="6" borderId="59" xfId="0" applyNumberFormat="1" applyFont="1" applyFill="1" applyBorder="1" applyAlignment="1">
      <x:alignment horizontal="right" vertical="center" wrapText="1"/>
    </x:xf>
    <x:xf numFmtId="169" fontId="7" fillId="6" borderId="50" xfId="0" applyNumberFormat="1" applyFont="1" applyFill="1" applyBorder="1" applyAlignment="1">
      <x:alignment horizontal="right" vertical="center" wrapText="1"/>
    </x:xf>
    <x:xf numFmtId="169" fontId="7" fillId="6" borderId="61" xfId="0" applyNumberFormat="1" applyFont="1" applyFill="1" applyBorder="1" applyAlignment="1">
      <x:alignment horizontal="right" vertical="center" wrapText="1"/>
    </x:xf>
    <x:xf numFmtId="169" fontId="7" fillId="6" borderId="60" xfId="0" applyNumberFormat="1" applyFont="1" applyFill="1" applyBorder="1" applyAlignment="1">
      <x:alignment horizontal="right" vertical="center" wrapText="1"/>
    </x:xf>
    <x:xf numFmtId="169" fontId="7" fillId="6" borderId="55" xfId="0" applyNumberFormat="1" applyFont="1" applyFill="1" applyBorder="1" applyAlignment="1">
      <x:alignment horizontal="right" vertical="center" wrapText="1"/>
    </x:xf>
    <x:xf numFmtId="169" fontId="7" fillId="6" borderId="56" xfId="0" applyNumberFormat="1" applyFont="1" applyFill="1" applyBorder="1" applyAlignment="1">
      <x:alignment horizontal="right" vertical="center" wrapText="1"/>
    </x:xf>
    <x:xf numFmtId="169" fontId="7" fillId="6" borderId="50" xfId="0" applyNumberFormat="1" applyFont="1" applyFill="1" applyBorder="1" applyAlignment="1">
      <x:alignment vertical="center" wrapText="1"/>
    </x:xf>
    <x:xf numFmtId="169" fontId="7" fillId="6" borderId="93" xfId="0" applyNumberFormat="1" applyFont="1" applyFill="1" applyBorder="1" applyAlignment="1">
      <x:alignment vertical="center" wrapText="1"/>
    </x:xf>
    <x:xf numFmtId="0" fontId="7" fillId="50" borderId="94" xfId="0" applyNumberFormat="1" applyFont="1" applyFill="1" applyBorder="1" applyAlignment="1">
      <x:alignment vertical="center" wrapText="1"/>
    </x:xf>
    <x:xf numFmtId="0" fontId="7" fillId="50" borderId="50" xfId="0" applyNumberFormat="1" applyFont="1" applyFill="1" applyBorder="1" applyAlignment="1">
      <x:alignment vertical="center" wrapText="1"/>
    </x:xf>
    <x:xf numFmtId="1" fontId="7" fillId="50" borderId="50" xfId="0" applyNumberFormat="1" applyFont="1" applyFill="1" applyBorder="1" applyAlignment="1">
      <x:alignment vertical="center" wrapText="1"/>
    </x:xf>
    <x:xf numFmtId="0" fontId="7" fillId="50" borderId="95" xfId="0" applyNumberFormat="1" applyFont="1" applyFill="1" applyBorder="1" applyAlignment="1">
      <x:alignment vertical="center" wrapText="1"/>
    </x:xf>
    <x:xf numFmtId="0" fontId="7" fillId="50" borderId="93" xfId="0" applyNumberFormat="1" applyFont="1" applyFill="1" applyBorder="1" applyAlignment="1">
      <x:alignment vertical="center" wrapText="1"/>
    </x:xf>
    <x:xf numFmtId="1" fontId="7" fillId="50" borderId="93" xfId="0" applyNumberFormat="1" applyFont="1" applyFill="1" applyBorder="1" applyAlignment="1">
      <x:alignment vertical="center" wrapText="1"/>
    </x:xf>
    <x:xf numFmtId="167" fontId="7" fillId="50" borderId="50" xfId="0" applyNumberFormat="1" applyFont="1" applyFill="1" applyBorder="1" applyAlignment="1">
      <x:alignment vertical="center" wrapText="1"/>
    </x:xf>
    <x:xf numFmtId="0" fontId="7" fillId="50" borderId="96" xfId="0" applyNumberFormat="1" applyFont="1" applyFill="1" applyBorder="1" applyAlignment="1">
      <x:alignment vertical="center" wrapText="1"/>
    </x:xf>
    <x:xf numFmtId="167" fontId="7" fillId="50" borderId="93" xfId="0" applyNumberFormat="1" applyFont="1" applyFill="1" applyBorder="1" applyAlignment="1">
      <x:alignment vertical="center" wrapText="1"/>
    </x:xf>
    <x:xf numFmtId="0" fontId="7" fillId="50" borderId="97" xfId="0" applyNumberFormat="1" applyFont="1" applyFill="1" applyBorder="1" applyAlignment="1">
      <x:alignment vertical="center" wrapText="1"/>
    </x:xf>
    <x:xf numFmtId="0" fontId="15" fillId="52" borderId="50" xfId="0" applyNumberFormat="1" applyFont="1" applyFill="1" applyBorder="1" applyAlignment="1">
      <x:alignment horizontal="center"/>
    </x:xf>
    <x:xf numFmtId="0" fontId="36" fillId="53" borderId="50" xfId="0" applyNumberFormat="1" applyFont="1" applyFill="1" applyBorder="1" applyAlignment="1">
      <x:alignment wrapText="1"/>
    </x:xf>
    <x:xf numFmtId="0" fontId="6" fillId="5" borderId="98" xfId="0" applyNumberFormat="1" applyFont="1" applyFill="1" applyBorder="1" applyAlignment="1">
      <x:alignment horizontal="center" vertical="center" wrapText="1"/>
    </x:xf>
    <x:xf numFmtId="0" fontId="0" fillId="0" borderId="98" xfId="0" applyNumberFormat="1" applyFont="1" applyFill="1" applyBorder="1"/>
    <x:xf numFmtId="0" fontId="36" fillId="53" borderId="98" xfId="0" applyNumberFormat="1" applyFont="1" applyFill="1" applyBorder="1" applyAlignment="1">
      <x:alignment wrapText="1"/>
    </x:xf>
    <x:xf numFmtId="0" fontId="7" fillId="50" borderId="98" xfId="0" applyNumberFormat="1" applyFont="1" applyFill="1" applyBorder="1" applyAlignment="1">
      <x:alignment vertical="center" wrapText="1"/>
    </x:xf>
    <x:xf numFmtId="1" fontId="7" fillId="50" borderId="98" xfId="0" applyNumberFormat="1" applyFont="1" applyFill="1" applyBorder="1" applyAlignment="1">
      <x:alignment vertical="center" wrapText="1"/>
    </x:xf>
    <x:xf numFmtId="169" fontId="7" fillId="6" borderId="98" xfId="0" applyNumberFormat="1" applyFont="1" applyFill="1" applyBorder="1" applyAlignment="1">
      <x:alignment vertical="center" wrapText="1"/>
    </x:xf>
    <x:xf numFmtId="167" fontId="7" fillId="50" borderId="98" xfId="0" applyNumberFormat="1" applyFont="1" applyFill="1" applyBorder="1" applyAlignment="1">
      <x:alignment vertical="center" wrapText="1"/>
    </x:xf>
    <x:xf numFmtId="0" fontId="13" fillId="2" borderId="50" xfId="0" applyNumberFormat="1" applyFont="1" applyFill="1" applyBorder="1" applyAlignment="1">
      <x:alignment horizontal="left" vertical="center"/>
    </x:xf>
    <x:xf numFmtId="0" fontId="14" fillId="3" borderId="50" xfId="0" applyNumberFormat="1" applyFont="1" applyFill="1" applyBorder="1" applyAlignment="1">
      <x:alignment horizontal="left" vertical="center" wrapText="1"/>
    </x:xf>
    <x:xf numFmtId="0" fontId="15" fillId="4" borderId="92" xfId="0" applyNumberFormat="1" applyFont="1" applyFill="1" applyBorder="1" applyAlignment="1">
      <x:alignment horizontal="left" vertical="center" wrapText="1"/>
    </x:xf>
    <x:xf numFmtId="0" fontId="13" fillId="51" borderId="50" xfId="0" applyNumberFormat="1" applyFont="1" applyFill="1" applyBorder="1" applyAlignment="1">
      <x:alignment horizontal="left"/>
    </x:xf>
    <x:xf numFmtId="0" fontId="1" fillId="2" borderId="50" xfId="0" applyNumberFormat="1" applyFont="1" applyFill="1" applyBorder="1" applyAlignment="1">
      <x:alignment horizontal="left" vertical="center"/>
    </x:xf>
    <x:xf numFmtId="0" fontId="2" fillId="3" borderId="50" xfId="0" applyNumberFormat="1" applyFont="1" applyFill="1" applyBorder="1" applyAlignment="1">
      <x:alignment horizontal="left" vertical="center" wrapText="1"/>
    </x:xf>
    <x:xf numFmtId="0" fontId="3" fillId="4" borderId="92" xfId="0" applyNumberFormat="1" applyFont="1" applyFill="1" applyBorder="1" applyAlignment="1">
      <x:alignment horizontal="left" vertical="center" wrapText="1"/>
    </x:xf>
    <x:xf numFmtId="0" fontId="0" fillId="0" borderId="50" xfId="0" applyNumberFormat="1" applyFont="1" applyFill="1" applyBorder="1" applyAlignment="1">
      <x:alignment wrapText="1"/>
    </x:xf>
    <x:xf numFmtId="0" fontId="32" fillId="2" borderId="50" xfId="0" applyNumberFormat="1" applyFont="1" applyFill="1" applyBorder="1" applyAlignment="1">
      <x:alignment vertical="center"/>
    </x:xf>
    <x:xf numFmtId="0" fontId="2" fillId="3" borderId="50" xfId="0" applyNumberFormat="1" applyFont="1" applyFill="1" applyBorder="1" applyAlignment="1">
      <x:alignment vertical="center" wrapText="1"/>
    </x:xf>
    <x:xf numFmtId="0" fontId="3" fillId="4" borderId="92" xfId="0" applyNumberFormat="1" applyFont="1" applyFill="1" applyBorder="1" applyAlignment="1">
      <x:alignment vertical="center" wrapText="1"/>
    </x:xf>
    <x:xf numFmtId="0" fontId="14" fillId="3" borderId="50" xfId="0" applyNumberFormat="1" applyFont="1" applyFill="1" applyBorder="1" applyAlignment="1">
      <x:alignment vertical="center" wrapText="1"/>
    </x:xf>
    <x:xf numFmtId="0" fontId="17" fillId="27" borderId="92" xfId="0" applyNumberFormat="1" applyFont="1" applyFill="1" applyBorder="1" applyAlignment="1">
      <x:alignment horizontal="left" vertical="center" wrapText="1"/>
    </x:xf>
    <x:xf numFmtId="0" fontId="18" fillId="27" borderId="50" xfId="0" applyNumberFormat="1" applyFont="1" applyFill="1" applyBorder="1" applyAlignment="1">
      <x:alignment vertical="center" wrapText="1"/>
    </x:xf>
    <x:xf numFmtId="0" fontId="14" fillId="3" borderId="50" xfId="0" applyNumberFormat="1" applyFont="1" applyFill="1" applyBorder="1" applyAlignment="1">
      <x:alignment wrapText="1"/>
    </x:xf>
    <x:xf numFmtId="0" fontId="15" fillId="4" borderId="50" xfId="0" applyNumberFormat="1" applyFont="1" applyFill="1" applyBorder="1" applyAlignment="1">
      <x:alignment wrapText="1"/>
    </x:xf>
    <x:xf numFmtId="0" fontId="9" fillId="15" borderId="50" xfId="0" applyNumberFormat="1" applyFont="1" applyFill="1" applyBorder="1" applyAlignment="1">
      <x:alignment horizontal="left" vertical="center" wrapText="1"/>
    </x:xf>
    <x:xf numFmtId="0" fontId="9" fillId="15" borderId="50" xfId="0" applyNumberFormat="1" applyFont="1" applyFill="1" applyBorder="1" applyAlignment="1">
      <x:alignment vertical="center"/>
    </x:xf>
    <x:xf numFmtId="0" fontId="10" fillId="16" borderId="50" xfId="0" applyNumberFormat="1" applyFont="1" applyFill="1" applyBorder="1" applyAlignment="1">
      <x:alignment horizontal="left" vertical="center" wrapText="1"/>
    </x:xf>
    <x:xf numFmtId="0" fontId="10" fillId="16" borderId="50" xfId="0" applyNumberFormat="1" applyFont="1" applyFill="1" applyBorder="1" applyAlignment="1">
      <x:alignment vertical="center" wrapText="1"/>
    </x:xf>
    <x:xf numFmtId="0" fontId="11" fillId="17" borderId="92" xfId="0" applyNumberFormat="1" applyFont="1" applyFill="1" applyBorder="1" applyAlignment="1">
      <x:alignment horizontal="left" vertical="center" wrapText="1"/>
    </x:xf>
    <x:xf numFmtId="0" fontId="11" fillId="17" borderId="50" xfId="0" applyNumberFormat="1" applyFont="1" applyFill="1" applyBorder="1" applyAlignment="1">
      <x:alignment vertical="center" wrapText="1"/>
    </x:xf>
    <x:xf numFmtId="0" fontId="22" fillId="27" borderId="50" xfId="0" applyNumberFormat="1" applyFont="1" applyFill="1" applyBorder="1" applyAlignment="1">
      <x:alignment vertical="center" wrapText="1"/>
    </x:xf>
    <x:xf numFmtId="0" fontId="9" fillId="2" borderId="50" xfId="0" applyNumberFormat="1" applyFont="1" applyFill="1" applyBorder="1" applyAlignment="1">
      <x:alignment horizontal="left" vertical="center"/>
    </x:xf>
    <x:xf numFmtId="0" fontId="27" fillId="31" borderId="50" xfId="0" applyNumberFormat="1" applyFont="1" applyFill="1" applyBorder="1" applyAlignment="1">
      <x:alignment vertical="center" wrapText="1"/>
    </x:xf>
    <x:xf numFmtId="0" fontId="26" fillId="17" borderId="50" xfId="0" applyNumberFormat="1" applyFont="1" applyFill="1" applyBorder="1" applyAlignment="1">
      <x:alignment vertical="center" wrapText="1"/>
    </x:xf>
    <x:xf numFmtId="0" fontId="23" fillId="33" borderId="82" xfId="0" applyNumberFormat="1" applyFont="1" applyFill="1" applyBorder="1" applyAlignment="1">
      <x:alignment vertical="center"/>
    </x:xf>
    <x:xf numFmtId="0" fontId="32" fillId="44" borderId="50" xfId="0" applyNumberFormat="1" applyFont="1" applyFill="1" applyBorder="1" applyAlignment="1">
      <x:alignment vertical="center"/>
    </x:xf>
    <x:xf numFmtId="0" fontId="31" fillId="6" borderId="50" xfId="0" applyNumberFormat="1" applyFont="1" applyFill="1" applyBorder="1" applyAlignment="1">
      <x:alignment vertical="center" wrapText="1"/>
    </x:xf>
    <x:xf numFmtId="0" fontId="30" fillId="43" borderId="50" xfId="0" applyNumberFormat="1" applyFont="1" applyFill="1" applyBorder="1" applyAlignment="1">
      <x:alignment vertical="center" wrapText="1"/>
    </x:xf>
    <x:xf numFmtId="1" fontId="7" fillId="54" borderId="49" xfId="0" applyNumberFormat="1" applyFont="1" applyFill="1" applyBorder="1" applyAlignment="1">
      <x:alignment vertical="center" wrapText="1"/>
    </x:xf>
    <x:xf numFmtId="1" fontId="7" fillId="54" borderId="98" xfId="0" applyNumberFormat="1" applyFont="1" applyFill="1" applyBorder="1" applyAlignment="1">
      <x:alignment vertical="center" wrapText="1"/>
    </x:xf>
    <x:xf numFmtId="1" fontId="38" fillId="54" borderId="49" xfId="0" applyNumberFormat="1" applyFont="1" applyFill="1" applyBorder="1" applyAlignment="1">
      <x:alignment vertical="center" wrapText="1"/>
    </x:xf>
    <x:xf numFmtId="1" fontId="38" fillId="54" borderId="98" xfId="0" applyNumberFormat="1" applyFont="1" applyFill="1" applyBorder="1" applyAlignment="1">
      <x:alignment vertical="center" wrapText="1"/>
    </x:xf>
    <x:xf numFmtId="0" fontId="6" fillId="5" borderId="49" xfId="0" applyNumberFormat="1" applyFont="1" applyFill="1" applyBorder="1" applyAlignment="1">
      <x:alignment horizontal="center" vertical="center" wrapText="1"/>
    </x:xf>
    <x:xf numFmtId="0" fontId="33" fillId="54" borderId="0" xfId="0" applyNumberFormat="1" applyFont="1" applyFill="1" applyBorder="1" applyAlignment="1">
      <x:alignment vertical="top" wrapText="1"/>
    </x:xf>
    <x:xf numFmtId="0" fontId="33" fillId="54" borderId="43" xfId="0" applyNumberFormat="1" applyFont="1" applyFill="1" applyBorder="1" applyAlignment="1">
      <x:alignment vertical="top" wrapText="1"/>
    </x:xf>
    <x:xf numFmtId="0" fontId="0" fillId="54" borderId="0" xfId="0" applyNumberFormat="1" applyFont="1" applyFill="1" applyBorder="1"/>
    <x:xf numFmtId="0" fontId="33" fillId="54" borderId="50" xfId="0" applyNumberFormat="1" applyFont="1" applyFill="1" applyBorder="1" applyAlignment="1">
      <x:alignment vertical="top" wrapText="1"/>
    </x:xf>
    <x:xf numFmtId="0" fontId="33" fillId="54" borderId="91" xfId="0" applyNumberFormat="1" applyFont="1" applyFill="1" applyBorder="1" applyAlignment="1">
      <x:alignment vertical="top" wrapText="1"/>
    </x:xf>
    <x:xf numFmtId="0" fontId="0" fillId="54" borderId="50" xfId="0" applyNumberFormat="1" applyFont="1" applyFill="1" applyBorder="1"/>
    <x:xf numFmtId="0" fontId="39" fillId="54" borderId="0" xfId="0" applyNumberFormat="1" applyFont="1" applyFill="1" applyBorder="1" applyAlignment="1">
      <x:alignment vertical="top" wrapText="1"/>
    </x:xf>
    <x:xf numFmtId="0" fontId="39" fillId="54" borderId="43" xfId="0" applyNumberFormat="1" applyFont="1" applyFill="1" applyBorder="1" applyAlignment="1">
      <x:alignment vertical="top" wrapText="1"/>
    </x:xf>
    <x:xf numFmtId="0" fontId="38" fillId="54" borderId="0" xfId="0" applyNumberFormat="1" applyFont="1" applyFill="1" applyBorder="1"/>
    <x:xf numFmtId="0" fontId="39" fillId="54" borderId="50" xfId="0" applyNumberFormat="1" applyFont="1" applyFill="1" applyBorder="1" applyAlignment="1">
      <x:alignment vertical="top" wrapText="1"/>
    </x:xf>
    <x:xf numFmtId="0" fontId="39" fillId="54" borderId="91" xfId="0" applyNumberFormat="1" applyFont="1" applyFill="1" applyBorder="1" applyAlignment="1">
      <x:alignment vertical="top" wrapText="1"/>
    </x:xf>
    <x:xf numFmtId="0" fontId="38" fillId="54" borderId="50" xfId="0" applyNumberFormat="1" applyFont="1" applyFill="1" applyBorder="1"/>
    <x:xf numFmtId="0" fontId="34" fillId="5" borderId="3" xfId="0" applyNumberFormat="1" applyFont="1" applyFill="1" applyBorder="1" applyAlignment="1">
      <x:alignment horizontal="center" vertical="center" wrapText="1"/>
    </x:xf>
    <x:xf numFmtId="0" fontId="38" fillId="54" borderId="0" xfId="0" applyNumberFormat="1" applyFont="1" applyFill="1" applyBorder="1" applyAlignment="1">
      <x:alignment wrapText="1"/>
    </x:xf>
    <x:xf numFmtId="0" fontId="38" fillId="54" borderId="50" xfId="0" applyNumberFormat="1" applyFont="1" applyFill="1" applyBorder="1" applyAlignment="1">
      <x:alignment wrapText="1"/>
    </x:xf>
    <x:xf numFmtId="0" fontId="0" fillId="55" borderId="0" xfId="0" applyNumberFormat="1" applyFont="1" applyFill="1" applyBorder="1"/>
    <x:xf numFmtId="0" fontId="40" fillId="55" borderId="0" xfId="0" applyNumberFormat="1" applyFont="1" applyFill="1" applyBorder="1"/>
    <x:xf numFmtId="0" fontId="40" fillId="55" borderId="0" xfId="0" applyNumberFormat="1" applyFont="1" applyFill="1" applyBorder="1" applyAlignment="1">
      <x:alignment wrapText="1"/>
    </x:xf>
    <x:xf numFmtId="0" fontId="40" fillId="55" borderId="0" xfId="0" applyNumberFormat="1" applyFont="1" applyFill="1" applyBorder="1" applyAlignment="1">
      <x:alignment horizontal="center" wrapText="1"/>
    </x:xf>
    <x:xf numFmtId="0" fontId="40" fillId="55" borderId="0" xfId="0" applyNumberFormat="1" applyFont="1" applyFill="1" applyBorder="1" applyAlignment="1">
      <x:alignment horizontal="center" vertical="center" wrapText="1"/>
    </x:xf>
  </x:cellXfs>
  <x:cellStyles count="2">
    <x:cellStyle name="Hyperlink" xfId="1"/>
    <x:cellStyle name="Normal" xfId="0"/>
  </x:cellStyles>
  <x:dxfs count="35">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E40AF"/>
      </x:font>
      <x:fill>
        <x:patternFill>
          <x:bgColor rgb="FFDBEAFE"/>
        </x:patternFill>
      </x:fill>
    </x:dxf>
    <x:dxf>
      <x:font>
        <x:b/>
        <x:color rgb="FF9A3412"/>
      </x:font>
      <x:fill>
        <x:patternFill>
          <x:bgColor rgb="FFFFEDD5"/>
        </x:patternFill>
      </x:fill>
    </x:dxf>
    <x:dxf>
      <x:font>
        <x:b/>
        <x:color rgb="FF166534"/>
      </x:font>
      <x:fill>
        <x:patternFill>
          <x:bgColor rgb="FFDCFCE7"/>
        </x:patternFill>
      </x:fill>
    </x:dxf>
    <x:dxf>
      <x:font>
        <x:b/>
        <x:color rgb="FF92400E"/>
      </x:font>
      <x:fill>
        <x:patternFill>
          <x:bgColor rgb="FFFEF3C7"/>
        </x:patternFill>
      </x:fill>
    </x:dxf>
    <x:dxf>
      <x:font>
        <x:b/>
        <x:color rgb="FF92400E"/>
      </x:font>
      <x:fill>
        <x:patternFill>
          <x:bgColor rgb="FFFEF3C7"/>
        </x:patternFill>
      </x:fill>
    </x:dxf>
    <x:dxf>
      <x:font>
        <x:b/>
        <x:color rgb="FF166534"/>
      </x:font>
      <x:fill>
        <x:patternFill>
          <x:bgColor rgb="FFDCFCE7"/>
        </x:patternFill>
      </x:fill>
    </x:dxf>
    <x:dxf>
      <x:font>
        <x:b/>
        <x:color rgb="FF075985"/>
      </x:font>
      <x:fill>
        <x:patternFill>
          <x:bgColor rgb="FFE0F2FE"/>
        </x:patternFill>
      </x:fill>
    </x:dxf>
    <x:dxf>
      <x:font>
        <x:b/>
        <x:color rgb="FF166534"/>
      </x:font>
      <x:fill>
        <x:patternFill>
          <x:bgColor rgb="FFDCFCE7"/>
        </x:patternFill>
      </x:fill>
    </x:dxf>
    <x:dxf>
      <x:font>
        <x:b/>
        <x:color rgb="FF8A5A24"/>
      </x:font>
      <x:fill>
        <x:patternFill>
          <x:bgColor rgb="FFF3E8D2"/>
        </x:patternFill>
      </x:fill>
    </x:dxf>
    <x:dxf>
      <x:font>
        <x:b/>
        <x:color rgb="FF99601F"/>
      </x:font>
      <x:fill>
        <x:patternFill>
          <x:bgColor rgb="FFF8EEDC"/>
        </x:patternFill>
      </x:fill>
    </x:dxf>
    <x:dxf>
      <x:font>
        <x:b/>
        <x:color rgb="FF23745C"/>
      </x:font>
      <x:fill>
        <x:patternFill>
          <x:bgColor rgb="FFE7F5EE"/>
        </x:patternFill>
      </x:fill>
    </x:dxf>
    <x:dxf>
      <x:font>
        <x:color rgb="FF6F642B"/>
      </x:font>
      <x:fill>
        <x:patternFill>
          <x:bgColor rgb="FFF6F1DA"/>
        </x:patternFill>
      </x:fill>
    </x:dxf>
    <x:dxf>
      <x:font>
        <x:color rgb="FF23745C"/>
      </x:font>
      <x:fill>
        <x:patternFill>
          <x:bgColor rgb="FFE7F5EE"/>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fill>
        <x:patternFill>
          <x:bgColor indexed="64"/>
        </x:patternFill>
      </x:fill>
    </x:dxf>
    <x:dxf>
      <x:border>
        <x:bottom style="thin">
          <x:color theme="0"/>
        </x:bottom>
      </x:border>
    </x:dxf>
    <x:dxf>
      <x:numFmt numFmtId="167" formatCode="[$-421]dd\ mmmm\ yyyy;@"/>
    </x:dxf>
    <x:dxf>
      <x:font>
        <x:u val="none"/>
        <x:sz val="10"/>
        <x:color auto="1"/>
        <x:name val="Carlito"/>
        <x:scheme val="none"/>
      </x:font>
      <x:fill>
        <x:patternFill>
          <x:bgColor indexed="64"/>
        </x:patternFill>
      </x:fill>
    </x:dxf>
    <x:dxf>
      <x:numFmt numFmtId="165" formatCode="0.000000"/>
    </x:dxf>
  </x:dxfs>
</x:styleSheet>
</file>

<file path=xl/_rels/workbook.xml.rels>&#65279;<?xml version="1.0" encoding="utf-8"?><Relationships xmlns="http://schemas.openxmlformats.org/package/2006/relationships"><Relationship Type="http://schemas.openxmlformats.org/officeDocument/2006/relationships/styles" Target="/xl/styles.xml" Id="Rff7cd40edf27404f" /><Relationship Type="http://schemas.openxmlformats.org/officeDocument/2006/relationships/theme" Target="/xl/theme/theme1.xml" Id="R3a8acbdda6e047c8" /><Relationship Type="http://schemas.openxmlformats.org/officeDocument/2006/relationships/sharedStrings" Target="/xl/sharedStrings.xml" Id="R06b526355af44b83" /><Relationship Type="http://schemas.openxmlformats.org/officeDocument/2006/relationships/worksheet" Target="/xl/worksheets/sheet1.xml" Id="R30d9380c554647fe" /><Relationship Type="http://schemas.openxmlformats.org/officeDocument/2006/relationships/worksheet" Target="/xl/worksheets/sheet2.xml" Id="R320cb36e2d3145e2" /><Relationship Type="http://schemas.openxmlformats.org/officeDocument/2006/relationships/worksheet" Target="/xl/worksheets/sheet3.xml" Id="Rcccb217c85af4297" /><Relationship Type="http://schemas.openxmlformats.org/officeDocument/2006/relationships/worksheet" Target="/xl/worksheets/sheet4.xml" Id="Rd84deb84f24040fd" /><Relationship Type="http://schemas.openxmlformats.org/officeDocument/2006/relationships/worksheet" Target="/xl/worksheets/sheet5.xml" Id="R5eea6ab5971d49c8" /><Relationship Type="http://schemas.openxmlformats.org/officeDocument/2006/relationships/worksheet" Target="/xl/worksheets/sheet6.xml" Id="Re7c8954836534b0a" /><Relationship Type="http://schemas.openxmlformats.org/officeDocument/2006/relationships/worksheet" Target="/xl/worksheets/sheet7.xml" Id="R7277bb42a61c4a98" /><Relationship Type="http://schemas.openxmlformats.org/officeDocument/2006/relationships/worksheet" Target="/xl/worksheets/sheet8.xml" Id="R2d6ec9095e774bba" /><Relationship Type="http://schemas.openxmlformats.org/officeDocument/2006/relationships/worksheet" Target="/xl/worksheets/sheet9.xml" Id="R0e6844877ead4937" /><Relationship Type="http://schemas.openxmlformats.org/officeDocument/2006/relationships/worksheet" Target="/xl/worksheets/sheet10.xml" Id="R4011478680a84a3d" /><Relationship Type="http://schemas.openxmlformats.org/officeDocument/2006/relationships/worksheet" Target="/xl/worksheets/sheet11.xml" Id="R15b27555720841e5" /><Relationship Type="http://schemas.openxmlformats.org/officeDocument/2006/relationships/worksheet" Target="/xl/worksheets/sheet12.xml" Id="Re98e9203609a4ef7" /><Relationship Type="http://schemas.openxmlformats.org/officeDocument/2006/relationships/worksheet" Target="/xl/worksheets/sheet13.xml" Id="R043eb24e1d1e4984" /><Relationship Type="http://schemas.microsoft.com/office/2017/10/relationships/person" Target="/xl/persons/person.xml" Id="R03e528b506914fb9" /></Relationships>
</file>

<file path=xl/drawings/drawing1.xml><?xml version="1.0" encoding="utf-8"?>
<xdr:wsDr xmlns:xdr="http://schemas.openxmlformats.org/drawingml/2006/spreadsheetDrawing">
  <xdr:twoCellAnchor editAs="oneCell">
    <xdr:from>
      <xdr:col>0</xdr:col>
      <xdr:colOff>0</xdr:colOff>
      <xdr:row>0</xdr:row>
      <xdr:rowOff>0</xdr:rowOff>
    </xdr:from>
    <xdr:to>
      <xdr:col>3</xdr:col>
      <xdr:colOff>1352550</xdr:colOff>
      <xdr:row>19</xdr:row>
      <xdr:rowOff>133350</xdr:rowOff>
    </xdr:to>
    <xdr:sp>
      <xdr:nvSpPr>
        <xdr:cNvPr id="1" name="Text Box 15"/>
        <xdr:cNvSpPr>
          <a:spLocks xmlns:a="http://schemas.openxmlformats.org/drawingml/2006/main" noGrp="1"/>
        </xdr:cNvSpPr>
      </xdr:nvSpPr>
      <xdr:spPr>
        <a:xfrm xmlns:a="http://schemas.openxmlformats.org/drawingml/2006/main">
          <a:off x="0" y="0"/>
          <a:ext cx="6350000" cy="6350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twoCellAnchor editAs="oneCell">
    <xdr:from>
      <xdr:col>0</xdr:col>
      <xdr:colOff>0</xdr:colOff>
      <xdr:row>0</xdr:row>
      <xdr:rowOff>0</xdr:rowOff>
    </xdr:from>
    <xdr:to>
      <xdr:col>3</xdr:col>
      <xdr:colOff>1352550</xdr:colOff>
      <xdr:row>19</xdr:row>
      <xdr:rowOff>133350</xdr:rowOff>
    </xdr:to>
    <xdr:sp>
      <xdr:nvSpPr>
        <xdr:cNvPr id="2" name="AutoShape 15"/>
        <xdr:cNvSpPr>
          <a:spLocks xmlns:a="http://schemas.openxmlformats.org/drawingml/2006/main" noGrp="1"/>
        </xdr:cNvSpPr>
      </xdr:nvSpPr>
      <xdr:spPr>
        <a:xfrm xmlns:a="http://schemas.openxmlformats.org/drawingml/2006/main">
          <a:off x="0" y="0"/>
          <a:ext cx="6350000" cy="6350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1352550</xdr:colOff>
      <xdr:row>19</xdr:row>
      <xdr:rowOff>133350</xdr:rowOff>
    </xdr:to>
    <xdr:sp>
      <xdr:nvSpPr>
        <xdr:cNvPr id="3" name="AutoShape 15"/>
        <xdr:cNvSpPr>
          <a:spLocks xmlns:a="http://schemas.openxmlformats.org/drawingml/2006/main" noGrp="1"/>
        </xdr:cNvSpPr>
      </xdr:nvSpPr>
      <xdr:spPr>
        <a:xfrm xmlns:a="http://schemas.openxmlformats.org/drawingml/2006/main">
          <a:off x="0" y="0"/>
          <a:ext cx="6350000" cy="6350000"/>
        </a:xfrm>
        <a:prstGeom xmlns:a="http://schemas.openxmlformats.org/drawingml/2006/main" prst="rect">
          <a:avLst/>
        </a:prstGeom>
        <a:solidFill xmlns:a="http://schemas.openxmlformats.org/drawingml/2006/main">
          <a:srgbClr val="FFFFFF"/>
        </a:solidFill>
      </xdr:spPr>
    </xdr:sp>
    <xdr:clientData/>
  </xdr:twoCellAnchor>
  <xdr:twoCellAnchor editAs="oneCell">
    <xdr:from>
      <xdr:col>0</xdr:col>
      <xdr:colOff>0</xdr:colOff>
      <xdr:row>0</xdr:row>
      <xdr:rowOff>0</xdr:rowOff>
    </xdr:from>
    <xdr:to>
      <xdr:col>3</xdr:col>
      <xdr:colOff>1352550</xdr:colOff>
      <xdr:row>20</xdr:row>
      <xdr:rowOff>76200</xdr:rowOff>
    </xdr:to>
    <xdr:sp>
      <xdr:nvSpPr>
        <xdr:cNvPr id="4" name="Text Box 15"/>
        <xdr:cNvSpPr>
          <a:spLocks xmlns:a="http://schemas.openxmlformats.org/drawingml/2006/main" noGrp="1"/>
        </xdr:cNvSpPr>
      </xdr:nvSpPr>
      <xdr:spPr>
        <a:xfrm xmlns:a="http://schemas.openxmlformats.org/drawingml/2006/main">
          <a:off x="0" y="0"/>
          <a:ext cx="6350000" cy="6350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twoCellAnchor editAs="oneCell">
    <xdr:from>
      <xdr:col>0</xdr:col>
      <xdr:colOff>0</xdr:colOff>
      <xdr:row>0</xdr:row>
      <xdr:rowOff>0</xdr:rowOff>
    </xdr:from>
    <xdr:to>
      <xdr:col>3</xdr:col>
      <xdr:colOff>1352550</xdr:colOff>
      <xdr:row>20</xdr:row>
      <xdr:rowOff>76200</xdr:rowOff>
    </xdr:to>
    <xdr:sp>
      <xdr:nvSpPr>
        <xdr:cNvPr id="5" name="AutoShape 15"/>
        <xdr:cNvSpPr>
          <a:spLocks xmlns:a="http://schemas.openxmlformats.org/drawingml/2006/main" noGrp="1"/>
        </xdr:cNvSpPr>
      </xdr:nvSpPr>
      <xdr:spPr>
        <a:xfrm xmlns:a="http://schemas.openxmlformats.org/drawingml/2006/main">
          <a:off x="0" y="0"/>
          <a:ext cx="6350000" cy="6350000"/>
        </a:xfrm>
        <a:prstGeom xmlns:a="http://schemas.openxmlformats.org/drawingml/2006/main" prst="rect">
          <a:avLst/>
        </a:prstGeom>
        <a:solidFill xmlns:a="http://schemas.openxmlformats.org/drawingml/2006/main">
          <a:srgbClr val="FFFFFF"/>
        </a:solidFill>
      </xdr:spPr>
    </xdr:sp>
    <xdr:clientData/>
  </xdr:twoCellAnchor>
</xdr:wsDr>
</file>

<file path=xl/persons/person.xml><?xml version="1.0" encoding="utf-8"?>
<xltc:personList xmlns:xltc="http://schemas.microsoft.com/office/spreadsheetml/2018/threadedcomments">
  <xltc:person displayName="LEGION" id="{C9EDECE1-6C84-331C-8B7B-2A2057625F76}"/>
</xltc:personList>
</file>

<file path=xl/tables/table1.xml><?xml version="1.0" encoding="utf-8"?>
<x:table xmlns:x="http://schemas.openxmlformats.org/spreadsheetml/2006/main" id="8" name="TblPerumahan" displayName="TblPerumahan" ref="A5:AE361">
  <x:autoFilter ref="A5:AE361"/>
  <x:tableColumns count="31">
    <x:tableColumn id="1" name="ID_PERUMAHAN*"/>
    <x:tableColumn id="2" name="NAMA_PERUMAHAN*"/>
    <x:tableColumn id="3" name="KATEGORI"/>
    <x:tableColumn id="4" name="KECAMATAN*"/>
    <x:tableColumn id="5" name="KELURAHAN*"/>
    <x:tableColumn id="6" name="ALAMAT"/>
    <x:tableColumn id="7" name="PENGEMBANG"/>
    <x:tableColumn id="8" name="DIREKTUR/PELAKSANA"/>
    <x:tableColumn id="9" name="ASOSIASI"/>
    <x:tableColumn id="10" name="TAHUN_SITEPLAN"/>
    <x:tableColumn id="11" name="JUMLAH_SITEPLAN"/>
    <x:tableColumn id="12" name="JUMLAH_TERBANGUN"/>
    <x:tableColumn id="13" name="JUMLAH_TERHUNI"/>
    <x:tableColumn id="14" name="STATUS_PSU*"/>
    <x:tableColumn id="15" name="TAHUN_SERAH_TERIMA_PSU"/>
    <x:tableColumn id="16" name="LUAS_RTH_M2"/>
    <x:tableColumn id="17" name="STATUS_RTH"/>
    <x:tableColumn id="18" name="STATUS_JALAN"/>
    <x:tableColumn id="19" name="STATUS_PENGEMBANG"/>
    <x:tableColumn id="20" name="STATUS_RAWAN_BANJIR"/>
    <x:tableColumn id="21" name="CATATAN"/>
    <x:tableColumn id="22" name="LATITUDE" dataDxfId="34"/>
    <x:tableColumn id="23" name="LONGITUDE"/>
    <x:tableColumn id="31" name="GEOJSON" dataDxfId="33"/>
    <x:tableColumn id="24" name="TAHUN_DATA*"/>
    <x:tableColumn id="25" name="SUMBER_DATA*"/>
    <x:tableColumn id="26" name="STATUS_VERIFIKASI*"/>
    <x:tableColumn id="27" name="TANGGAL_UPDATE*" dataDxfId="32"/>
    <x:tableColumn id="28" name="OPERATOR*"/>
    <x:tableColumn id="29" name="PERSEN_TERBANGUN"/>
    <x:tableColumn id="30" name="PERSEN_TERHUNI"/>
  </x:tableColumns>
  <x:tableStyleInfo name="TableStyleMedium2" showFirstColumn="0" showLastColumn="0" showRowStripes="1" showColumnStripes="0"/>
</x:table>
</file>

<file path=xl/tables/table2.xml><?xml version="1.0" encoding="utf-8"?>
<x:table xmlns:x="http://schemas.openxmlformats.org/spreadsheetml/2006/main" id="2" name="TblBacklogKecamatan3" displayName="TblBacklogKecamatan3" ref="A5:R13">
  <x:tableColumns count="18">
    <x:tableColumn id="1" name="ID_BACKLOG*"/>
    <x:tableColumn id="2" name="TINGKAT_WILAYAH*"/>
    <x:tableColumn id="3" name="KECAMATAN/WILAYAH*"/>
    <x:tableColumn id="4" name="JUMLAH_KK*"/>
    <x:tableColumn id="5" name="MILIK_SENDIRI*"/>
    <x:tableColumn id="6" name="SEWA_KONTRAK*"/>
    <x:tableColumn id="7" name="MENUMPANG_BEBAS_SEWA*"/>
    <x:tableColumn id="8" name="RUMAH_DINAS*"/>
    <x:tableColumn id="9" name="LAINNYA*"/>
    <x:tableColumn id="10" name="UNIT_HUNIAN_TERDATA"/>
    <x:tableColumn id="11" name="BACKLOG_KEPEMILIKAN"/>
    <x:tableColumn id="12" name="BACKLOG_HUNIAN"/>
    <x:tableColumn id="13" name="TAHUN_DATA*"/>
    <x:tableColumn id="14" name="SUMBER_DATA*"/>
    <x:tableColumn id="15" name="STATUS_VERIFIKASI*"/>
    <x:tableColumn id="16" name="TANGGAL_UPDATE*"/>
    <x:tableColumn id="17" name="OPERATOR*"/>
    <x:tableColumn id="18" name="KETERANGAN"/>
  </x:tableColumns>
  <x:tableStyleInfo name="TableStyleMedium2" showFirstColumn="0" showLastColumn="0" showRowStripes="1" showColumnStripes="0"/>
</x:table>
</file>

<file path=xl/tables/table3.xml><?xml version="1.0" encoding="utf-8"?>
<x:table xmlns:x="http://schemas.openxmlformats.org/spreadsheetml/2006/main" id="3" name="TblRTLHRLH" displayName="TblRTLHRLH" ref="A5:K55">
  <x:tableColumns count="11">
    <x:tableColumn id="1" name="ID_REKAP*"/>
    <x:tableColumn id="2" name="KECAMATAN*"/>
    <x:tableColumn id="3" name="JUMLAH_RUMAH*"/>
    <x:tableColumn id="4" name="RTLH*"/>
    <x:tableColumn id="5" name="RLH"/>
    <x:tableColumn id="6" name="PERSENTASE_RTLH"/>
    <x:tableColumn id="7" name="TAHUN_DATA*"/>
    <x:tableColumn id="8" name="SUMBER_DATA*"/>
    <x:tableColumn id="9" name="STATUS_VERIFIKASI*"/>
    <x:tableColumn id="10" name="TANGGAL_UPDATE*"/>
    <x:tableColumn id="11" name="OPERATOR*"/>
  </x:tableColumns>
  <x:tableStyleInfo name="TableStyleMedium2" showFirstColumn="0" showLastColumn="0" showRowStripes="1" showColumnStripes="0"/>
</x:table>
</file>

<file path=xl/tables/table4.xml><?xml version="1.0" encoding="utf-8"?>
<x:table xmlns:x="http://schemas.openxmlformats.org/spreadsheetml/2006/main" id="1" name="TblRTLHIndividu2" displayName="TblRTLHIndividu2" ref="A5:BF289" headerRowBorderDxfId="31">
  <x:sortState ref="A6:BF289">
    <x:sortCondition ref="A6"/>
  </x:sortState>
  <x:tableColumns count="58">
    <x:tableColumn id="1" name="ID_RTLH*"/>
    <x:tableColumn id="2" name="NAMA_KEPALA_KELUARGA*"/>
    <x:tableColumn id="3" name="NIK"/>
    <x:tableColumn id="4" name="NO_KK"/>
    <x:tableColumn id="5" name="ALAMAT*"/>
    <x:tableColumn id="6" name="KELURAHAN*"/>
    <x:tableColumn id="7" name="KECAMATAN*"/>
    <x:tableColumn id="8" name="JENIS_USULAN*"/>
    <x:tableColumn id="9" name="CATATAN_VERIFIKASI*"/>
    <x:tableColumn id="10" name="TIPE_KONSTRUKSI_RUMAH*"/>
    <x:tableColumn id="11" name="MATERIAL_ATAP"/>
    <x:tableColumn id="12" name="KONDISI_ATAP"/>
    <x:tableColumn id="13" name="MATERIAL_DINDING"/>
    <x:tableColumn id="14" name="KONDISI_DINDING"/>
    <x:tableColumn id="15" name="MATERIAL_LANTAI"/>
    <x:tableColumn id="16" name="KONDISI_LANTAI"/>
    <x:tableColumn id="17" name="STATUS_MBR*" dataDxfId="30"/>
    <x:tableColumn id="18" name="RENTAN_LANSIA*" dataDxfId="29"/>
    <x:tableColumn id="19" name="RENTAN_DISABILITAS*" dataDxfId="28"/>
    <x:tableColumn id="20" name="RENTAN_KEPALA_KELUARGA_PEREMPUAN*" dataDxfId="27"/>
    <x:tableColumn id="21" name="RENTAN_BALITA*" dataDxfId="26"/>
    <x:tableColumn id="22" name="RENTAN_KETERGANTUNGAN_TINGGI*" dataDxfId="25"/>
    <x:tableColumn id="23" name="CATATAN_KERENTANAN_PENGHUNI"/>
    <x:tableColumn id="24" name="FAKTOR_KERENTANAN_TERPILIH" dataDxfId="24">
      <x:calculatedColumnFormula>IF(COUNTIF(R6:V6,"Belum Dinilai")&gt;0,"Belum Dinilai",IF(COUNTIF(R6:V6,"Ya")=0,"Tidak ada faktor rentan",IF(R6="Ya","Lansia; ","")&amp;IF(S6="Ya","Penyandang disabilitas; ","")&amp;IF(T6="Ya","Kepala keluarga perempuan; ","")&amp;IF(U6="Ya","Balita; ","")&amp;IF(V6="Ya","Anggota keluarga dengan ketergantungan tinggi; ","")))</x:calculatedColumnFormula>
    </x:tableColumn>
    <x:tableColumn id="25" name="TINGKAT_KERENTANAN_PENGHUNI" dataDxfId="23">
      <x:calculatedColumnFormula>IF(COUNTIF(R6:V6,"Belum Dinilai")&gt;0,"Belum Dinilai",IF(COUNTIF(R6:V6,"Ya")=0,"Tidak Ada Faktor Rentan",IF(COUNTIF(R6:V6,"Ya")=1,"1 Faktor Rentan","2 atau Lebih Faktor Rentan")))</x:calculatedColumnFormula>
    </x:tableColumn>
    <x:tableColumn id="26" name="SKOR_MBR" dataDxfId="22">
      <x:calculatedColumnFormula>IF(OR(Q6="",Q6="Belum Dinilai"),"",IF(Q6="Terverifikasi DTKS/P3KE/MBR",10,IF(Q6="Diusulkan, Belum Terverifikasi",5,0)))</x:calculatedColumnFormula>
    </x:tableColumn>
    <x:tableColumn id="27" name="SKOR_FAKTOR_RENTAN" dataDxfId="21">
      <x:calculatedColumnFormula>IF(COUNTIF(R6:V6,"Belum Dinilai")&gt;0,"",IF(COUNTIF(R6:V6,"Ya")=0,0,IF(COUNTIF(R6:V6,"Ya")=1,5,10)))</x:calculatedColumnFormula>
    </x:tableColumn>
    <x:tableColumn id="28" name="SKOR_KERENTANAN" dataDxfId="20">
      <x:calculatedColumnFormula>IF(OR(Z6="",AA6=""),"",Z6+AA6)</x:calculatedColumnFormula>
    </x:tableColumn>
    <x:tableColumn id="29" name="RISIKO_BANGUNAN_BERPOTENSI_ROBOH*"/>
    <x:tableColumn id="30" name="RISIKO_BEKAS_KEBAKARAN_TIDAK_AMAN*"/>
    <x:tableColumn id="31" name="RISIKO_ATAP_DINDING_HAMPIR_RUNTUH*"/>
    <x:tableColumn id="32" name="RISIKO_GENANGAN_MEMBAHAYAKAN*"/>
    <x:tableColumn id="33" name="RISIKO_STRUKTUR_TIDAK_STABIL*"/>
    <x:tableColumn id="34" name="RISIKO_INSTALASI_LISTRIK_BERBAHAYA*"/>
    <x:tableColumn id="35" name="RISIKO_KOMPONEN_LEPAS_LAPUK*"/>
    <x:tableColumn id="36" name="RISIKO_AKSES_EVAKUASI_TERBATAS*"/>
    <x:tableColumn id="37" name="RISIKO_LOKASI_RAWAN_BENCANA*"/>
    <x:tableColumn id="38" name="RISIKO_LAINNYA"/>
    <x:tableColumn id="39" name="TINGKAT_RISIKO_LAINNYA"/>
    <x:tableColumn id="40" name="FAKTOR_RISIKO_TERPILIH" dataDxfId="19">
      <x:calculatedColumnFormula>IF(AND(COUNTIF(AC6:AK6,"Ya")=0,AL6=""),IF(COUNTIF(AC6:AK6,"Belum Dinilai")&gt;0,"Belum Dinilai","Tidak ada risiko khusus"),IF(AC6="Ya","Bangunan berpotensi roboh; ","")&amp;IF(AD6="Ya","Bekas kebakaran dan tidak aman dihuni; ","")&amp;IF(AE6="Ya","Atap atau dinding utama hampir runtuh; ","")&amp;IF(AF6="Ya","Genangan yang membahayakan; ","")&amp;IF(AG6="Ya","Struktur rumah tidak stabil; ","")&amp;IF(AH6="Ya","Instalasi listrik berbahaya; ","")&amp;IF(AI6="Ya","Komponen bangunan lepas atau lapuk; ","")&amp;IF(AJ6="Ya","Akses keluar atau evakuasi terbatas; ","")&amp;IF(AK6="Ya","Lokasi rawan bencana; ","")&amp;IF(AL6&lt;&gt;"","Lainnya: "&amp;AL6,""))</x:calculatedColumnFormula>
    </x:tableColumn>
    <x:tableColumn id="41" name="TINGKAT_RISIKO_KESELAMATAN" dataDxfId="18">
      <x:calculatedColumnFormula>IF(AR6="","Belum Dinilai",IF(AR6=10,"Risiko Tinggi/Darurat",IF(AR6=5,"Risiko Sedang","Tidak Ada Risiko Khusus")))</x:calculatedColumnFormula>
    </x:tableColumn>
    <x:tableColumn id="42" name="CATATAN_RISIKO_KESELAMATAN"/>
    <x:tableColumn id="43" name="SKOR_TEKNIS">
      <x:calculatedColumnFormula>IF(OR(J6="",J6="Belum Dapat Ditentukan",L6="",L6="Belum Dinilai",N6="",N6="Belum Dinilai",P6="",P6="Belum Dinilai"),"",IF(J6="Permanen",0,IF(J6="Semipermanen",8,IF(J6="Nonpermanen",15,0)))+IF(L6="Baik",0,IF(L6="Rusak Ringan",5,IF(L6="Rusak Sedang",10,IF(L6="Rusak Berat",15,IF(L6="Tidak Ada/Terbuka",20,0)))))+IF(N6="Baik",0,IF(N6="Rusak Ringan",5,IF(N6="Rusak Sedang",10,IF(N6="Rusak Berat",15,IF(N6="Tidak Ada/Terbuka",20,0)))))+IF(P6="Baik",0,IF(P6="Rusak Ringan",4,IF(P6="Rusak Sedang",8,IF(P6="Rusak Berat",12,IF(P6="Tidak Layak",15,0))))))</x:calculatedColumnFormula>
    </x:tableColumn>
    <x:tableColumn id="44" name="SKOR_RISIKO">
      <x:calculatedColumnFormula>IF(
 OR(
  COUNTIF(AC6:AH6,"Ya")&gt;0,
  AND(AL6&lt;&gt;"",AM6="Risiko Tinggi/Darurat"),
  COUNTIF(AI6:AK6,"Ya")+IF(AND(AL6&lt;&gt;"",AM6="Risiko Sedang"),1,0)&gt;=2
 ),
 10,
 IF(
  OR(
   COUNTIF(AC6:AK6,"Belum Dinilai")&gt;0,
   AND(AL6&lt;&gt;"",OR(AM6="",AM6="Belum Dinilai")),
   AND(AL6="",OR(AM6="Risiko Sedang",AM6="Risiko Tinggi/Darurat"))
  ),
  "",
  IF(
   COUNTIF(AI6:AK6,"Ya")+IF(AND(AL6&lt;&gt;"",AM6="Risiko Sedang"),1,0)=1,
   5,
   0
  )
 )
)</x:calculatedColumnFormula>
    </x:tableColumn>
    <x:tableColumn id="45" name="SKOR_PRIORITAS">
      <x:calculatedColumnFormula>IF(OR(AQ6="",AB6="",AR6=""),"",AQ6+AB6+AR6)</x:calculatedColumnFormula>
    </x:tableColumn>
    <x:tableColumn id="46" name="TINGKAT_PRIORITAS">
      <x:calculatedColumnFormula>IF(AS6="","Belum Dapat Ditentukan",IF(AS6&gt;=80,"Sangat Tinggi",IF(OR(AO6="Risiko Tinggi/Darurat",(IF(L6="Rusak Berat",1,0)+IF(L6="Tidak Ada/Terbuka",1,0)+IF(N6="Rusak Berat",1,0)+IF(N6="Tidak Ada/Terbuka",1,0)+IF(P6="Rusak Berat",1,0)+IF(P6="Tidak Layak",1,0))&gt;=2),"Tinggi",IF(AS6&gt;=65,"Tinggi",IF(AS6&gt;=50,"Sedang","Rendah")))))</x:calculatedColumnFormula>
    </x:tableColumn>
    <x:tableColumn id="47" name="STATUS_ADMINISTRASI*"/>
    <x:tableColumn id="48" name="STATUS_VERIFIKASI*"/>
    <x:tableColumn id="49" name="STATUS_PENANGANAN*"/>
    <x:tableColumn id="50" name="SUMBER_DANA"/>
    <x:tableColumn id="51" name="TAHUN_PENANGANAN"/>
    <x:tableColumn id="52" name="STATUS_KEPEMILIKAN_TANAH"/>
    <x:tableColumn id="53" name="NOMOR_HP"/>
    <x:tableColumn id="54" name="TANGGAL_SURVEI"/>
    <x:tableColumn id="55" name="TAHUN_DATA*"/>
    <x:tableColumn id="56" name="SUMBER_DATA*"/>
    <x:tableColumn id="57" name="TANGGAL_UPDATE*"/>
    <x:tableColumn id="58" name="OPERATOR*"/>
  </x:tableColumns>
  <x:tableStyleInfo name="TableStyleMedium2" showFirstColumn="0" showLastColumn="0" showRowStripes="1" showColumnStripes="0"/>
</x:table>
</file>

<file path=xl/tables/table5.xml><?xml version="1.0" encoding="utf-8"?>
<x:table xmlns:x="http://schemas.openxmlformats.org/spreadsheetml/2006/main" id="5" name="TblRusunawaUnit" displayName="TblRusunawaUnit" ref="A5:N202">
  <x:tableColumns count="14">
    <x:tableColumn id="1" name="ID_UNIT*"/>
    <x:tableColumn id="2" name="NAMA_RUSUNAWA*"/>
    <x:tableColumn id="3" name="BLOK*"/>
    <x:tableColumn id="4" name="LANTAI*"/>
    <x:tableColumn id="5" name="NOMOR_UNIT*"/>
    <x:tableColumn id="6" name="TIPE_UNIT"/>
    <x:tableColumn id="7" name="STATUS_UNIT*"/>
    <x:tableColumn id="8" name="KONDISI_UNIT*"/>
    <x:tableColumn id="9" name="KETERANGAN"/>
    <x:tableColumn id="10" name="TAHUN_DATA*"/>
    <x:tableColumn id="11" name="SUMBER_DATA*"/>
    <x:tableColumn id="12" name="STATUS_VERIFIKASI*"/>
    <x:tableColumn id="13" name="TANGGAL_UPDATE*"/>
    <x:tableColumn id="14" name="OPERATOR*"/>
  </x:tableColumns>
  <x:tableStyleInfo name="TableStyleMedium2" showFirstColumn="0" showLastColumn="0" showRowStripes="1" showColumnStripes="0"/>
</x:table>
</file>

<file path=xl/tables/table6.xml><?xml version="1.0" encoding="utf-8"?>
<x:table xmlns:x="http://schemas.openxmlformats.org/spreadsheetml/2006/main" id="9" name="TblRusunawaRetribusi2" displayName="TblRusunawaRetribusi2" ref="A5:M105">
  <x:tableColumns count="13">
    <x:tableColumn id="1" name="ID_RETRIBUSI*"/>
    <x:tableColumn id="2" name="NAMA_RUSUNAWA*"/>
    <x:tableColumn id="3" name="TAHUN*"/>
    <x:tableColumn id="4" name="BULAN*"/>
    <x:tableColumn id="5" name="TARGET_TAHUNAN*"/>
    <x:tableColumn id="6" name="REALISASI*"/>
    <x:tableColumn id="7" name="REALISASI_KUMULATIF"/>
    <x:tableColumn id="8" name="CAPAIAN_PERSEN"/>
    <x:tableColumn id="9" name="STATUS_VERIFIKASI*"/>
    <x:tableColumn id="10" name="SUMBER_DATA*"/>
    <x:tableColumn id="11" name="TANGGAL_UPDATE*"/>
    <x:tableColumn id="12" name="OPERATOR*"/>
    <x:tableColumn id="13" name="CATATAN"/>
  </x:tableColumns>
  <x:tableStyleInfo name="TableStyleMedium2" showFirstColumn="0" showLastColumn="0" showRowStripes="1" showColumnStripes="0"/>
</x:table>
</file>

<file path=xl/tables/table7.xml><?xml version="1.0" encoding="utf-8"?>
<x:table xmlns:x="http://schemas.openxmlformats.org/spreadsheetml/2006/main" id="7" name="TblRusunawaSarpras" displayName="TblRusunawaSarpras" ref="A5:N155">
  <x:tableColumns count="14">
    <x:tableColumn id="1" name="ID_SARPRAS*"/>
    <x:tableColumn id="2" name="NAMA_RUSUNAWA*"/>
    <x:tableColumn id="3" name="KOMPONEN*"/>
    <x:tableColumn id="4" name="LOKASI"/>
    <x:tableColumn id="5" name="KONDISI*"/>
    <x:tableColumn id="6" name="PRIORITAS*"/>
    <x:tableColumn id="7" name="TINDAK_LANJUT*"/>
    <x:tableColumn id="8" name="STATUS_TINDAK_LANJUT*"/>
    <x:tableColumn id="9" name="TANGGAL_PEMERIKSAAN*"/>
    <x:tableColumn id="10" name="TAHUN_DATA*"/>
    <x:tableColumn id="11" name="SUMBER_DATA*"/>
    <x:tableColumn id="12" name="STATUS_VERIFIKASI*"/>
    <x:tableColumn id="13" name="TANGGAL_UPDATE*"/>
    <x:tableColumn id="14" name="OPERATO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b2aea70d05340b1" /></Relationships>
</file>

<file path=xl/worksheets/_rels/sheet4.xml.rels>&#65279;<?xml version="1.0" encoding="utf-8"?><Relationships xmlns="http://schemas.openxmlformats.org/package/2006/relationships"><Relationship Type="http://schemas.openxmlformats.org/officeDocument/2006/relationships/table" Target="/xl/tables/table2.xml" Id="R231d85e4afc742ec" /></Relationships>
</file>

<file path=xl/worksheets/_rels/sheet5.xml.rels>&#65279;<?xml version="1.0" encoding="utf-8"?><Relationships xmlns="http://schemas.openxmlformats.org/package/2006/relationships"><Relationship Type="http://schemas.openxmlformats.org/officeDocument/2006/relationships/table" Target="/xl/tables/table3.xml" Id="Rd992db9d82d24b57" /></Relationships>
</file>

<file path=xl/worksheets/_rels/sheet6.xml.rels>&#65279;<?xml version="1.0" encoding="utf-8"?><Relationships xmlns="http://schemas.openxmlformats.org/package/2006/relationships"><Relationship Type="http://schemas.openxmlformats.org/officeDocument/2006/relationships/comments" Target="/xl/comments1.xml" Id="R20f869d2aa0c4619" /><Relationship Type="http://schemas.openxmlformats.org/officeDocument/2006/relationships/vmlDrawing" Target="/xl/drawings/vmldrawing.vml" Id="Rb49c3ef88c8d4e63" /><Relationship Type="http://schemas.openxmlformats.org/officeDocument/2006/relationships/drawing" Target="/xl/drawings/drawing1.xml" Id="R60f85fa203464165" /><Relationship Type="http://schemas.openxmlformats.org/officeDocument/2006/relationships/table" Target="/xl/tables/table4.xml" Id="Rf45a1ee234cb428d" /></Relationships>
</file>

<file path=xl/worksheets/_rels/sheet7.xml.rels>&#65279;<?xml version="1.0" encoding="utf-8"?><Relationships xmlns="http://schemas.openxmlformats.org/package/2006/relationships"><Relationship Type="http://schemas.openxmlformats.org/officeDocument/2006/relationships/table" Target="/xl/tables/table5.xml" Id="R0a1a06f421994a17" /></Relationships>
</file>

<file path=xl/worksheets/_rels/sheet8.xml.rels>&#65279;<?xml version="1.0" encoding="utf-8"?><Relationships xmlns="http://schemas.openxmlformats.org/package/2006/relationships"><Relationship Type="http://schemas.openxmlformats.org/officeDocument/2006/relationships/table" Target="/xl/tables/table6.xml" Id="Rd6613e3ae15143c4" /></Relationships>
</file>

<file path=xl/worksheets/_rels/sheet9.xml.rels>&#65279;<?xml version="1.0" encoding="utf-8"?><Relationships xmlns="http://schemas.openxmlformats.org/package/2006/relationships"><Relationship Type="http://schemas.openxmlformats.org/officeDocument/2006/relationships/table" Target="/xl/tables/table7.xml" Id="R9cca0dd02e4e46eb" /></Relationships>
</file>

<file path=xl/worksheets/sheet1.xml><?xml version="1.0" encoding="utf-8"?>
<x:worksheet xmlns:x="http://schemas.openxmlformats.org/spreadsheetml/2006/main">
  <x:sheetFormatPr defaultRowHeight="14"/>
  <x:cols>
    <x:col min="1" max="1" width="14.4140625" customWidth="1"/>
    <x:col min="2" max="2" width="37.83203125" customWidth="1"/>
    <x:col min="3" max="3" width="16.08203125" customWidth="1"/>
    <x:col min="4" max="4" width="11.75" customWidth="1"/>
    <x:col min="5" max="5" width="26.08203125" customWidth="1"/>
    <x:col min="6" max="6" width="28.6640625" customWidth="1"/>
    <x:col min="7" max="7" width="34.83203125" customWidth="1"/>
    <x:col min="8" max="8" width="26.08203125" customWidth="1"/>
    <x:col min="9" max="9" width="60.4140625" customWidth="1"/>
    <x:col min="10" max="10" width="18.6640625" customWidth="1"/>
    <x:col min="11" max="11" width="16.5" customWidth="1"/>
    <x:col min="12" max="12" width="19" customWidth="1"/>
    <x:col min="13" max="13" width="15.75" customWidth="1"/>
    <x:col min="14" max="14" width="17.4140625" customWidth="1"/>
    <x:col min="15" max="15" width="24.58203125" customWidth="1"/>
    <x:col min="16" max="16" width="12.6640625" customWidth="1"/>
    <x:col min="17" max="17" width="16.6640625" customWidth="1"/>
    <x:col min="18" max="18" width="18.33203125" customWidth="1"/>
    <x:col min="19" max="19" width="20.33203125" customWidth="1"/>
    <x:col min="20" max="20" width="24.1640625" customWidth="1"/>
    <x:col min="21" max="21" width="8.5" customWidth="1"/>
    <x:col min="22" max="22" width="8.83203125" customWidth="1"/>
    <x:col min="23" max="23" width="10.83203125" customWidth="1"/>
    <x:col min="24" max="24" width="19" customWidth="1"/>
    <x:col min="25" max="25" width="12.4140625" customWidth="1"/>
    <x:col min="26" max="26" width="13.9140625" customWidth="1"/>
    <x:col min="27" max="27" width="20.25" customWidth="1"/>
    <x:col min="28" max="28" width="19.33203125" style="72" customWidth="1"/>
    <x:col min="29" max="29" width="13.58203125" customWidth="1"/>
    <x:col min="30" max="30" width="22.58203125" customWidth="1"/>
    <x:col min="31" max="31" width="17.83203125" customWidth="1"/>
    <x:col min="32" max="34" width="22" customWidth="1"/>
  </x:cols>
  <x:sheetData>
    <x:row r="1" ht="23">
      <x:c r="A1" s="258" t="s">
        <x:v>0</x:v>
      </x:c>
      <x:c r="B1" s="258"/>
      <x:c r="C1" s="258"/>
      <x:c r="D1" s="258"/>
      <x:c r="E1" s="258"/>
      <x:c r="F1" s="258"/>
      <x:c r="G1" s="258"/>
      <x:c r="H1" s="258"/>
      <x:c r="I1" s="258"/>
      <x:c r="J1" s="258"/>
      <x:c r="K1" s="258"/>
      <x:c r="L1" s="258"/>
      <x:c r="M1" s="258"/>
      <x:c r="N1" s="258"/>
      <x:c r="O1" s="258"/>
      <x:c r="P1" s="258"/>
      <x:c r="Q1" s="258"/>
      <x:c r="R1" s="258"/>
      <x:c r="S1" s="258"/>
      <x:c r="T1" s="258"/>
      <x:c r="U1" s="258"/>
      <x:c r="V1" s="258"/>
      <x:c r="W1" s="258"/>
      <x:c r="X1" s="258"/>
      <x:c r="Y1" s="258"/>
      <x:c r="Z1" s="258"/>
      <x:c r="AA1" s="259"/>
      <x:c r="AB1" s="259"/>
      <x:c r="AC1" s="259"/>
      <x:c r="AD1" s="259"/>
      <x:c r="AE1" s="259"/>
      <x:c r="AF1" s="218"/>
      <x:c r="AG1" s="218"/>
      <x:c r="AH1" s="218"/>
    </x:row>
    <x:row r="2" ht="14.5">
      <x:c r="A2" s="260" t="s">
        <x:v>1</x:v>
      </x:c>
      <x:c r="B2" s="260"/>
      <x:c r="C2" s="260"/>
      <x:c r="D2" s="260"/>
      <x:c r="E2" s="260"/>
      <x:c r="F2" s="260"/>
      <x:c r="G2" s="260"/>
      <x:c r="H2" s="260"/>
      <x:c r="I2" s="260"/>
      <x:c r="J2" s="260"/>
      <x:c r="K2" s="260"/>
      <x:c r="L2" s="260"/>
      <x:c r="M2" s="260"/>
      <x:c r="N2" s="260"/>
      <x:c r="O2" s="260"/>
      <x:c r="P2" s="260"/>
      <x:c r="Q2" s="260"/>
      <x:c r="R2" s="260"/>
      <x:c r="S2" s="260"/>
      <x:c r="T2" s="260"/>
      <x:c r="U2" s="260"/>
      <x:c r="V2" s="260"/>
      <x:c r="W2" s="260"/>
      <x:c r="X2" s="260"/>
      <x:c r="Y2" s="260"/>
      <x:c r="Z2" s="260"/>
      <x:c r="AA2" s="259"/>
      <x:c r="AB2" s="259"/>
      <x:c r="AC2" s="259"/>
      <x:c r="AD2" s="259"/>
      <x:c r="AE2" s="259"/>
      <x:c r="AF2" s="219"/>
      <x:c r="AG2" s="219"/>
      <x:c r="AH2" s="219"/>
    </x:row>
    <x:row r="3">
      <x:c r="A3" s="261" t="s">
        <x:v>2</x:v>
      </x:c>
      <x:c r="B3" s="261"/>
      <x:c r="C3" s="261"/>
      <x:c r="D3" s="261"/>
      <x:c r="E3" s="261"/>
      <x:c r="F3" s="261"/>
      <x:c r="G3" s="261"/>
      <x:c r="H3" s="261"/>
      <x:c r="I3" s="261"/>
      <x:c r="J3" s="261"/>
      <x:c r="K3" s="261"/>
      <x:c r="L3" s="261"/>
      <x:c r="M3" s="261"/>
      <x:c r="N3" s="261"/>
      <x:c r="O3" s="261"/>
      <x:c r="P3" s="261"/>
      <x:c r="Q3" s="261"/>
      <x:c r="R3" s="261"/>
      <x:c r="S3" s="261"/>
      <x:c r="T3" s="261"/>
      <x:c r="U3" s="261"/>
      <x:c r="V3" s="261"/>
      <x:c r="W3" s="261"/>
      <x:c r="X3" s="261"/>
      <x:c r="Y3" s="261"/>
      <x:c r="Z3" s="261"/>
      <x:c r="AA3" s="262"/>
      <x:c r="AB3" s="262"/>
      <x:c r="AC3" s="262"/>
      <x:c r="AD3" s="262"/>
      <x:c r="AE3" s="262"/>
      <x:c r="AF3" s="220"/>
      <x:c r="AG3" s="220"/>
      <x:c r="AH3" s="220"/>
    </x:row>
    <x:row r="5" ht="24" customHeight="1">
      <x:c r="A5" s="1" t="s">
        <x:v>3</x:v>
      </x:c>
      <x:c r="B5" s="2" t="s">
        <x:v>4</x:v>
      </x:c>
      <x:c r="C5" s="2" t="s">
        <x:v>5</x:v>
      </x:c>
      <x:c r="D5" s="2" t="s">
        <x:v>6</x:v>
      </x:c>
      <x:c r="E5" s="2" t="s">
        <x:v>7</x:v>
      </x:c>
      <x:c r="F5" s="2" t="s">
        <x:v>8</x:v>
      </x:c>
      <x:c r="G5" s="2" t="s">
        <x:v>9</x:v>
      </x:c>
      <x:c r="H5" s="2" t="s">
        <x:v>10</x:v>
      </x:c>
      <x:c r="I5" s="2" t="s">
        <x:v>11</x:v>
      </x:c>
      <x:c r="J5" s="2" t="s">
        <x:v>12</x:v>
      </x:c>
      <x:c r="K5" s="2" t="s">
        <x:v>13</x:v>
      </x:c>
      <x:c r="L5" s="2" t="s">
        <x:v>14</x:v>
      </x:c>
      <x:c r="M5" s="2" t="s">
        <x:v>15</x:v>
      </x:c>
      <x:c r="N5" s="2" t="s">
        <x:v>16</x:v>
      </x:c>
      <x:c r="O5" s="2" t="s">
        <x:v>17</x:v>
      </x:c>
      <x:c r="P5" s="2" t="s">
        <x:v>18</x:v>
      </x:c>
      <x:c r="Q5" s="2" t="s">
        <x:v>19</x:v>
      </x:c>
      <x:c r="R5" s="2" t="s">
        <x:v>20</x:v>
      </x:c>
      <x:c r="S5" s="2" t="s">
        <x:v>21</x:v>
      </x:c>
      <x:c r="T5" s="2" t="s">
        <x:v>22</x:v>
      </x:c>
      <x:c r="U5" s="2" t="s">
        <x:v>23</x:v>
      </x:c>
      <x:c r="V5" s="2" t="s">
        <x:v>24</x:v>
      </x:c>
      <x:c r="W5" s="2" t="s">
        <x:v>25</x:v>
      </x:c>
      <x:c r="X5" s="2" t="s">
        <x:v>26</x:v>
      </x:c>
      <x:c r="Y5" s="2" t="s">
        <x:v>27</x:v>
      </x:c>
      <x:c r="Z5" s="3" t="s">
        <x:v>28</x:v>
      </x:c>
      <x:c r="AA5" s="38" t="s">
        <x:v>29</x:v>
      </x:c>
      <x:c r="AB5" s="70" t="s">
        <x:v>30</x:v>
      </x:c>
      <x:c r="AC5" s="40" t="s">
        <x:v>31</x:v>
      </x:c>
      <x:c r="AD5" t="s">
        <x:v>32</x:v>
      </x:c>
      <x:c r="AE5" t="s">
        <x:v>33</x:v>
      </x:c>
      <x:c r="AF5" s="221" t="s">
        <x:v>34</x:v>
      </x:c>
      <x:c r="AG5" s="222" t="s">
        <x:v>35</x:v>
      </x:c>
      <x:c r="AH5" s="223" t="s">
        <x:v>36</x:v>
      </x:c>
    </x:row>
    <x:row r="6" ht="25">
      <x:c r="A6" s="27" t="s">
        <x:v>37</x:v>
      </x:c>
      <x:c r="B6" s="8" t="s">
        <x:v>38</x:v>
      </x:c>
      <x:c r="C6" s="4" t="s">
        <x:v>39</x:v>
      </x:c>
      <x:c r="D6" s="8" t="s">
        <x:v>40</x:v>
      </x:c>
      <x:c r="E6" s="8" t="s">
        <x:v>41</x:v>
      </x:c>
      <x:c r="F6" s="4" t="s">
        <x:v>42</x:v>
      </x:c>
      <x:c r="G6" s="4" t="s">
        <x:v>43</x:v>
      </x:c>
      <x:c r="H6" s="14" t="s">
        <x:v>44</x:v>
      </x:c>
      <x:c r="I6" s="15" t="s">
        <x:v>45</x:v>
      </x:c>
      <x:c r="J6" s="4">
        <x:v>2019</x:v>
      </x:c>
      <x:c r="K6" s="14">
        <x:v>54</x:v>
      </x:c>
      <x:c r="L6" s="8">
        <x:v>54</x:v>
      </x:c>
      <x:c r="M6" s="14">
        <x:v>54</x:v>
      </x:c>
      <x:c r="N6" s="14" t="s">
        <x:v>46</x:v>
      </x:c>
      <x:c r="O6" s="4">
        <x:v>2026</x:v>
      </x:c>
      <x:c r="P6" s="4"/>
      <x:c r="Q6" s="20" t="s">
        <x:v>47</x:v>
      </x:c>
      <x:c r="R6" s="20"/>
      <x:c r="S6" s="17" t="s">
        <x:v>48</x:v>
      </x:c>
      <x:c r="T6" s="8" t="s">
        <x:v>49</x:v>
      </x:c>
      <x:c r="U6" s="8"/>
      <x:c r="V6" s="66">
        <x:v>-2.0965340000000001</x:v>
      </x:c>
      <x:c r="W6" s="8">
        <x:v>106.07686699999999</x:v>
      </x:c>
      <x:c r="X6" s="8"/>
      <x:c r="Y6" s="46"/>
      <x:c r="Z6" s="26" t="s">
        <x:v>50</x:v>
      </x:c>
      <x:c r="AA6" s="39" t="s">
        <x:v>51</x:v>
      </x:c>
      <x:c r="AB6" s="71">
        <x:v>46220</x:v>
      </x:c>
      <x:c r="AC6" s="41" t="s">
        <x:v>52</x:v>
      </x:c>
      <x:c r="AD6" t="n">
        <x:f t="shared" ref="AD6:AD51" si="0">IF(A6="","",IFERROR(L6/K6,0))</x:f>
        <x:v>1</x:v>
      </x:c>
      <x:c r="AE6" t="n">
        <x:f t="shared" ref="AE6:AE51" si="1">IF(A6="","",IFERROR(M6/L6,0))</x:f>
        <x:v>1</x:v>
      </x:c>
      <x:c r="AF6" s="224"/>
      <x:c r="AG6" s="225"/>
      <x:c r="AH6" s="226"/>
    </x:row>
    <x:row r="7" ht="25">
      <x:c r="A7" s="27" t="s">
        <x:v>53</x:v>
      </x:c>
      <x:c r="B7" s="9" t="s">
        <x:v>54</x:v>
      </x:c>
      <x:c r="C7" s="5" t="s">
        <x:v>39</x:v>
      </x:c>
      <x:c r="D7" s="9" t="s">
        <x:v>40</x:v>
      </x:c>
      <x:c r="E7" s="9" t="s">
        <x:v>55</x:v>
      </x:c>
      <x:c r="F7" s="5" t="s">
        <x:v>56</x:v>
      </x:c>
      <x:c r="G7" s="5" t="s">
        <x:v>43</x:v>
      </x:c>
      <x:c r="H7" s="15" t="s">
        <x:v>44</x:v>
      </x:c>
      <x:c r="I7" s="15" t="s">
        <x:v>45</x:v>
      </x:c>
      <x:c r="J7" s="5">
        <x:v>2023</x:v>
      </x:c>
      <x:c r="K7" s="15">
        <x:v>46</x:v>
      </x:c>
      <x:c r="L7" s="9">
        <x:v>40</x:v>
      </x:c>
      <x:c r="M7" s="15">
        <x:v>40</x:v>
      </x:c>
      <x:c r="N7" s="15" t="s">
        <x:v>46</x:v>
      </x:c>
      <x:c r="O7" s="5">
        <x:v>2025</x:v>
      </x:c>
      <x:c r="P7" s="5"/>
      <x:c r="Q7" s="21" t="s">
        <x:v>47</x:v>
      </x:c>
      <x:c r="R7" s="21"/>
      <x:c r="S7" s="17" t="s">
        <x:v>48</x:v>
      </x:c>
      <x:c r="T7" s="9"/>
      <x:c r="U7" s="9"/>
      <x:c r="V7" s="67">
        <x:v>-2.1163816999999998</x:v>
      </x:c>
      <x:c r="W7" s="9">
        <x:v>106.06782029999999</x:v>
      </x:c>
      <x:c r="X7" s="9"/>
      <x:c r="Y7" s="46"/>
      <x:c r="Z7" s="26" t="s">
        <x:v>50</x:v>
      </x:c>
      <x:c r="AA7" s="39" t="s">
        <x:v>51</x:v>
      </x:c>
      <x:c r="AB7" s="71">
        <x:v>46220</x:v>
      </x:c>
      <x:c r="AC7" s="41" t="s">
        <x:v>52</x:v>
      </x:c>
      <x:c r="AD7">
        <x:f t="shared" si="0"/>
        <x:v>0.86956521739130432</x:v>
      </x:c>
      <x:c r="AE7">
        <x:f t="shared" si="1"/>
        <x:v>1</x:v>
      </x:c>
      <x:c r="AF7" s="227"/>
      <x:c r="AG7" s="228"/>
      <x:c r="AH7" s="229"/>
    </x:row>
    <x:row r="8" ht="25">
      <x:c r="A8" s="27" t="s">
        <x:v>57</x:v>
      </x:c>
      <x:c r="B8" s="9" t="s">
        <x:v>58</x:v>
      </x:c>
      <x:c r="C8" s="5" t="s">
        <x:v>39</x:v>
      </x:c>
      <x:c r="D8" s="9" t="s">
        <x:v>40</x:v>
      </x:c>
      <x:c r="E8" s="9" t="s">
        <x:v>55</x:v>
      </x:c>
      <x:c r="F8" s="5" t="s">
        <x:v>56</x:v>
      </x:c>
      <x:c r="G8" s="5" t="s">
        <x:v>43</x:v>
      </x:c>
      <x:c r="H8" s="15" t="s">
        <x:v>44</x:v>
      </x:c>
      <x:c r="I8" s="15" t="s">
        <x:v>45</x:v>
      </x:c>
      <x:c r="J8" s="5">
        <x:v>2020</x:v>
      </x:c>
      <x:c r="K8" s="15">
        <x:v>52</x:v>
      </x:c>
      <x:c r="L8" s="9">
        <x:v>52</x:v>
      </x:c>
      <x:c r="M8" s="15">
        <x:v>52</x:v>
      </x:c>
      <x:c r="N8" s="15" t="s">
        <x:v>46</x:v>
      </x:c>
      <x:c r="O8" s="5">
        <x:v>2025</x:v>
      </x:c>
      <x:c r="P8" s="5"/>
      <x:c r="Q8" s="21" t="s">
        <x:v>47</x:v>
      </x:c>
      <x:c r="R8" s="21"/>
      <x:c r="S8" s="17" t="s">
        <x:v>48</x:v>
      </x:c>
      <x:c r="T8" s="9"/>
      <x:c r="U8" s="9"/>
      <x:c r="V8" s="67">
        <x:v>-2.1144223000000002</x:v>
      </x:c>
      <x:c r="W8" s="9">
        <x:v>106.06633170000001</x:v>
      </x:c>
      <x:c r="X8" s="9"/>
      <x:c r="Y8" s="46"/>
      <x:c r="Z8" s="26" t="s">
        <x:v>50</x:v>
      </x:c>
      <x:c r="AA8" s="39" t="s">
        <x:v>51</x:v>
      </x:c>
      <x:c r="AB8" s="71">
        <x:v>46220</x:v>
      </x:c>
      <x:c r="AC8" s="41" t="s">
        <x:v>52</x:v>
      </x:c>
      <x:c r="AD8">
        <x:f t="shared" si="0"/>
        <x:v>1</x:v>
      </x:c>
      <x:c r="AE8">
        <x:f t="shared" si="1"/>
        <x:v>1</x:v>
      </x:c>
      <x:c r="AF8" s="227"/>
      <x:c r="AG8" s="228"/>
      <x:c r="AH8" s="229"/>
    </x:row>
    <x:row r="9" ht="25">
      <x:c r="A9" s="27" t="s">
        <x:v>59</x:v>
      </x:c>
      <x:c r="B9" s="9" t="s">
        <x:v>60</x:v>
      </x:c>
      <x:c r="C9" s="5" t="s">
        <x:v>39</x:v>
      </x:c>
      <x:c r="D9" s="9" t="s">
        <x:v>40</x:v>
      </x:c>
      <x:c r="E9" s="9" t="s">
        <x:v>41</x:v>
      </x:c>
      <x:c r="F9" s="5" t="s">
        <x:v>61</x:v>
      </x:c>
      <x:c r="G9" s="5" t="s">
        <x:v>62</x:v>
      </x:c>
      <x:c r="H9" s="15" t="s">
        <x:v>63</x:v>
      </x:c>
      <x:c r="I9" s="15" t="s">
        <x:v>62</x:v>
      </x:c>
      <x:c r="J9" s="5">
        <x:v>2016</x:v>
      </x:c>
      <x:c r="K9" s="15">
        <x:v>41</x:v>
      </x:c>
      <x:c r="L9" s="9">
        <x:v>41</x:v>
      </x:c>
      <x:c r="M9" s="15">
        <x:v>41</x:v>
      </x:c>
      <x:c r="N9" s="15" t="s">
        <x:v>64</x:v>
      </x:c>
      <x:c r="O9" s="5"/>
      <x:c r="P9" s="5"/>
      <x:c r="Q9" s="21" t="s">
        <x:v>47</x:v>
      </x:c>
      <x:c r="R9" s="21"/>
      <x:c r="S9" s="18"/>
      <x:c r="T9" s="9"/>
      <x:c r="U9" s="9"/>
      <x:c r="V9" s="67">
        <x:v>-2.1202549999999998</x:v>
      </x:c>
      <x:c r="W9" s="9">
        <x:v>106.07257199999999</x:v>
      </x:c>
      <x:c r="X9" s="9"/>
      <x:c r="Y9" s="47"/>
      <x:c r="Z9" s="26" t="s">
        <x:v>50</x:v>
      </x:c>
      <x:c r="AA9" s="39" t="s">
        <x:v>51</x:v>
      </x:c>
      <x:c r="AB9" s="71">
        <x:v>46220</x:v>
      </x:c>
      <x:c r="AC9" s="41" t="s">
        <x:v>52</x:v>
      </x:c>
      <x:c r="AD9">
        <x:f t="shared" si="0"/>
        <x:v>1</x:v>
      </x:c>
      <x:c r="AE9">
        <x:f t="shared" si="1"/>
        <x:v>1</x:v>
      </x:c>
      <x:c r="AF9" s="227"/>
      <x:c r="AG9" s="228"/>
      <x:c r="AH9" s="229"/>
    </x:row>
    <x:row r="10" ht="25">
      <x:c r="A10" s="27" t="s">
        <x:v>65</x:v>
      </x:c>
      <x:c r="B10" s="9" t="s">
        <x:v>66</x:v>
      </x:c>
      <x:c r="C10" s="5" t="s">
        <x:v>39</x:v>
      </x:c>
      <x:c r="D10" s="9" t="s">
        <x:v>40</x:v>
      </x:c>
      <x:c r="E10" s="9" t="s">
        <x:v>41</x:v>
      </x:c>
      <x:c r="F10" s="5" t="s">
        <x:v>67</x:v>
      </x:c>
      <x:c r="G10" s="5" t="s">
        <x:v>62</x:v>
      </x:c>
      <x:c r="H10" s="15" t="s">
        <x:v>62</x:v>
      </x:c>
      <x:c r="I10" s="15" t="s">
        <x:v>62</x:v>
      </x:c>
      <x:c r="J10" s="5">
        <x:v>2015</x:v>
      </x:c>
      <x:c r="K10" s="15">
        <x:v>37</x:v>
      </x:c>
      <x:c r="L10" s="9">
        <x:v>37</x:v>
      </x:c>
      <x:c r="M10" s="15">
        <x:v>37</x:v>
      </x:c>
      <x:c r="N10" s="15" t="s">
        <x:v>64</x:v>
      </x:c>
      <x:c r="O10" s="5"/>
      <x:c r="P10" s="5"/>
      <x:c r="Q10" s="21" t="s">
        <x:v>47</x:v>
      </x:c>
      <x:c r="R10" s="21" t="s">
        <x:v>68</x:v>
      </x:c>
      <x:c r="S10" s="18"/>
      <x:c r="T10" s="9"/>
      <x:c r="U10" s="9"/>
      <x:c r="V10" s="67">
        <x:v>-2.094214</x:v>
      </x:c>
      <x:c r="W10" s="9">
        <x:v>106.0800655</x:v>
      </x:c>
      <x:c r="X10" s="9"/>
      <x:c r="Y10" s="47"/>
      <x:c r="Z10" s="26" t="s">
        <x:v>50</x:v>
      </x:c>
      <x:c r="AA10" s="39" t="s">
        <x:v>51</x:v>
      </x:c>
      <x:c r="AB10" s="71">
        <x:v>46220</x:v>
      </x:c>
      <x:c r="AC10" s="41" t="s">
        <x:v>52</x:v>
      </x:c>
      <x:c r="AD10">
        <x:f t="shared" si="0"/>
        <x:v>1</x:v>
      </x:c>
      <x:c r="AE10">
        <x:f t="shared" si="1"/>
        <x:v>1</x:v>
      </x:c>
      <x:c r="AF10" s="227"/>
      <x:c r="AG10" s="228"/>
      <x:c r="AH10" s="229"/>
    </x:row>
    <x:row r="11" ht="25">
      <x:c r="A11" s="27" t="s">
        <x:v>69</x:v>
      </x:c>
      <x:c r="B11" s="9" t="s">
        <x:v>70</x:v>
      </x:c>
      <x:c r="C11" s="5" t="s">
        <x:v>39</x:v>
      </x:c>
      <x:c r="D11" s="9" t="s">
        <x:v>40</x:v>
      </x:c>
      <x:c r="E11" s="9" t="s">
        <x:v>55</x:v>
      </x:c>
      <x:c r="F11" s="5" t="s">
        <x:v>56</x:v>
      </x:c>
      <x:c r="G11" s="5" t="s">
        <x:v>71</x:v>
      </x:c>
      <x:c r="H11" s="15" t="s">
        <x:v>72</x:v>
      </x:c>
      <x:c r="I11" s="15" t="s">
        <x:v>45</x:v>
      </x:c>
      <x:c r="J11" s="5">
        <x:v>2023</x:v>
      </x:c>
      <x:c r="K11" s="15">
        <x:v>80</x:v>
      </x:c>
      <x:c r="L11" s="9">
        <x:v>27</x:v>
      </x:c>
      <x:c r="M11" s="15">
        <x:v>21</x:v>
      </x:c>
      <x:c r="N11" s="15" t="s">
        <x:v>64</x:v>
      </x:c>
      <x:c r="O11" s="5"/>
      <x:c r="P11" s="5"/>
      <x:c r="Q11" s="21" t="s">
        <x:v>47</x:v>
      </x:c>
      <x:c r="R11" s="21"/>
      <x:c r="S11" s="18"/>
      <x:c r="T11" s="9"/>
      <x:c r="U11" s="9"/>
      <x:c r="V11" s="67">
        <x:v>-2.1142946999999999</x:v>
      </x:c>
      <x:c r="W11" s="9">
        <x:v>106.0637443</x:v>
      </x:c>
      <x:c r="X11" s="9"/>
      <x:c r="Y11" s="47"/>
      <x:c r="Z11" s="26" t="s">
        <x:v>50</x:v>
      </x:c>
      <x:c r="AA11" s="39" t="s">
        <x:v>51</x:v>
      </x:c>
      <x:c r="AB11" s="71">
        <x:v>46220</x:v>
      </x:c>
      <x:c r="AC11" s="41" t="s">
        <x:v>52</x:v>
      </x:c>
      <x:c r="AD11">
        <x:f t="shared" si="0"/>
        <x:v>0.33750000000000002</x:v>
      </x:c>
      <x:c r="AE11">
        <x:f t="shared" si="1"/>
        <x:v>0.77777777777777779</x:v>
      </x:c>
      <x:c r="AF11" s="227"/>
      <x:c r="AG11" s="228"/>
      <x:c r="AH11" s="229"/>
    </x:row>
    <x:row r="12" ht="25">
      <x:c r="A12" s="27" t="s">
        <x:v>73</x:v>
      </x:c>
      <x:c r="B12" s="9" t="s">
        <x:v>74</x:v>
      </x:c>
      <x:c r="C12" s="5" t="s">
        <x:v>39</x:v>
      </x:c>
      <x:c r="D12" s="9" t="s">
        <x:v>75</x:v>
      </x:c>
      <x:c r="E12" s="9" t="s">
        <x:v>76</x:v>
      </x:c>
      <x:c r="F12" s="5" t="s">
        <x:v>77</x:v>
      </x:c>
      <x:c r="G12" s="5" t="s">
        <x:v>78</x:v>
      </x:c>
      <x:c r="H12" s="15" t="s">
        <x:v>79</x:v>
      </x:c>
      <x:c r="I12" s="15" t="s">
        <x:v>80</x:v>
      </x:c>
      <x:c r="J12" s="5">
        <x:v>2015</x:v>
      </x:c>
      <x:c r="K12" s="15">
        <x:v>36</x:v>
      </x:c>
      <x:c r="L12" s="9">
        <x:v>36</x:v>
      </x:c>
      <x:c r="M12" s="15">
        <x:v>36</x:v>
      </x:c>
      <x:c r="N12" s="15" t="s">
        <x:v>64</x:v>
      </x:c>
      <x:c r="O12" s="5"/>
      <x:c r="P12" s="5"/>
      <x:c r="Q12" s="21" t="s">
        <x:v>47</x:v>
      </x:c>
      <x:c r="R12" s="21" t="s">
        <x:v>68</x:v>
      </x:c>
      <x:c r="S12" s="17" t="s">
        <x:v>48</x:v>
      </x:c>
      <x:c r="T12" s="9"/>
      <x:c r="U12" s="9"/>
      <x:c r="V12" s="67">
        <x:v>-2.1036899</x:v>
      </x:c>
      <x:c r="W12" s="9">
        <x:v>106.0958978</x:v>
      </x:c>
      <x:c r="X12" s="9"/>
      <x:c r="Y12" s="47"/>
      <x:c r="Z12" s="26" t="s">
        <x:v>50</x:v>
      </x:c>
      <x:c r="AA12" s="39" t="s">
        <x:v>51</x:v>
      </x:c>
      <x:c r="AB12" s="71">
        <x:v>46220</x:v>
      </x:c>
      <x:c r="AC12" s="41" t="s">
        <x:v>52</x:v>
      </x:c>
      <x:c r="AD12">
        <x:f t="shared" si="0"/>
        <x:v>1</x:v>
      </x:c>
      <x:c r="AE12">
        <x:f t="shared" si="1"/>
        <x:v>1</x:v>
      </x:c>
      <x:c r="AF12" s="227"/>
      <x:c r="AG12" s="228"/>
      <x:c r="AH12" s="229"/>
    </x:row>
    <x:row r="13" ht="25">
      <x:c r="A13" s="27" t="s">
        <x:v>81</x:v>
      </x:c>
      <x:c r="B13" s="9" t="s">
        <x:v>82</x:v>
      </x:c>
      <x:c r="C13" s="5" t="s">
        <x:v>39</x:v>
      </x:c>
      <x:c r="D13" s="9" t="s">
        <x:v>75</x:v>
      </x:c>
      <x:c r="E13" s="9" t="s">
        <x:v>83</x:v>
      </x:c>
      <x:c r="F13" s="5" t="s">
        <x:v>84</x:v>
      </x:c>
      <x:c r="G13" s="5" t="s">
        <x:v>78</x:v>
      </x:c>
      <x:c r="H13" s="15" t="s">
        <x:v>79</x:v>
      </x:c>
      <x:c r="I13" s="15" t="s">
        <x:v>80</x:v>
      </x:c>
      <x:c r="J13" s="5">
        <x:v>2018</x:v>
      </x:c>
      <x:c r="K13" s="15">
        <x:v>22</x:v>
      </x:c>
      <x:c r="L13" s="9">
        <x:v>22</x:v>
      </x:c>
      <x:c r="M13" s="15">
        <x:v>22</x:v>
      </x:c>
      <x:c r="N13" s="15" t="s">
        <x:v>64</x:v>
      </x:c>
      <x:c r="O13" s="5"/>
      <x:c r="P13" s="5"/>
      <x:c r="Q13" s="21" t="s">
        <x:v>47</x:v>
      </x:c>
      <x:c r="R13" s="21"/>
      <x:c r="S13" s="17" t="s">
        <x:v>48</x:v>
      </x:c>
      <x:c r="T13" s="9"/>
      <x:c r="U13" s="9"/>
      <x:c r="V13" s="67">
        <x:v>-2.1060007000000001</x:v>
      </x:c>
      <x:c r="W13" s="9">
        <x:v>106.10589899999999</x:v>
      </x:c>
      <x:c r="X13" s="9"/>
      <x:c r="Y13" s="47"/>
      <x:c r="Z13" s="26" t="s">
        <x:v>50</x:v>
      </x:c>
      <x:c r="AA13" s="39" t="s">
        <x:v>51</x:v>
      </x:c>
      <x:c r="AB13" s="71">
        <x:v>46220</x:v>
      </x:c>
      <x:c r="AC13" s="41" t="s">
        <x:v>52</x:v>
      </x:c>
      <x:c r="AD13">
        <x:f t="shared" si="0"/>
        <x:v>1</x:v>
      </x:c>
      <x:c r="AE13">
        <x:f t="shared" si="1"/>
        <x:v>1</x:v>
      </x:c>
      <x:c r="AF13" s="227"/>
      <x:c r="AG13" s="228"/>
      <x:c r="AH13" s="229"/>
    </x:row>
    <x:row r="14" ht="25">
      <x:c r="A14" s="27" t="s">
        <x:v>85</x:v>
      </x:c>
      <x:c r="B14" s="9" t="s">
        <x:v>86</x:v>
      </x:c>
      <x:c r="C14" s="5" t="s">
        <x:v>39</x:v>
      </x:c>
      <x:c r="D14" s="9" t="s">
        <x:v>75</x:v>
      </x:c>
      <x:c r="E14" s="9" t="s">
        <x:v>87</x:v>
      </x:c>
      <x:c r="F14" s="5" t="s">
        <x:v>88</x:v>
      </x:c>
      <x:c r="G14" s="5" t="s">
        <x:v>78</x:v>
      </x:c>
      <x:c r="H14" s="15" t="s">
        <x:v>79</x:v>
      </x:c>
      <x:c r="I14" s="15" t="s">
        <x:v>80</x:v>
      </x:c>
      <x:c r="J14" s="5">
        <x:v>2019</x:v>
      </x:c>
      <x:c r="K14" s="15">
        <x:v>45</x:v>
      </x:c>
      <x:c r="L14" s="9">
        <x:v>45</x:v>
      </x:c>
      <x:c r="M14" s="15">
        <x:v>45</x:v>
      </x:c>
      <x:c r="N14" s="15" t="s">
        <x:v>46</x:v>
      </x:c>
      <x:c r="O14" s="5">
        <x:v>2020</x:v>
      </x:c>
      <x:c r="P14" s="5"/>
      <x:c r="Q14" s="21" t="s">
        <x:v>89</x:v>
      </x:c>
      <x:c r="R14" s="21"/>
      <x:c r="S14" s="17" t="s">
        <x:v>48</x:v>
      </x:c>
      <x:c r="T14" s="9"/>
      <x:c r="U14" s="9"/>
      <x:c r="V14" s="67">
        <x:v>-2.0904376</x:v>
      </x:c>
      <x:c r="W14" s="9">
        <x:v>106.09290710000001</x:v>
      </x:c>
      <x:c r="X14" s="9"/>
      <x:c r="Y14" s="47"/>
      <x:c r="Z14" s="26" t="s">
        <x:v>50</x:v>
      </x:c>
      <x:c r="AA14" s="39" t="s">
        <x:v>51</x:v>
      </x:c>
      <x:c r="AB14" s="71">
        <x:v>46220</x:v>
      </x:c>
      <x:c r="AC14" s="41" t="s">
        <x:v>52</x:v>
      </x:c>
      <x:c r="AD14">
        <x:f t="shared" si="0"/>
        <x:v>1</x:v>
      </x:c>
      <x:c r="AE14">
        <x:f t="shared" si="1"/>
        <x:v>1</x:v>
      </x:c>
      <x:c r="AF14" s="227"/>
      <x:c r="AG14" s="228"/>
      <x:c r="AH14" s="229"/>
    </x:row>
    <x:row r="15" ht="25">
      <x:c r="A15" s="27" t="s">
        <x:v>90</x:v>
      </x:c>
      <x:c r="B15" s="9" t="s">
        <x:v>91</x:v>
      </x:c>
      <x:c r="C15" s="5" t="s">
        <x:v>39</x:v>
      </x:c>
      <x:c r="D15" s="9" t="s">
        <x:v>40</x:v>
      </x:c>
      <x:c r="E15" s="9" t="s">
        <x:v>41</x:v>
      </x:c>
      <x:c r="F15" s="5" t="s">
        <x:v>92</x:v>
      </x:c>
      <x:c r="G15" s="5" t="s">
        <x:v>78</x:v>
      </x:c>
      <x:c r="H15" s="15" t="s">
        <x:v>79</x:v>
      </x:c>
      <x:c r="I15" s="15" t="s">
        <x:v>80</x:v>
      </x:c>
      <x:c r="J15" s="5">
        <x:v>2020</x:v>
      </x:c>
      <x:c r="K15" s="15">
        <x:v>75</x:v>
      </x:c>
      <x:c r="L15" s="9">
        <x:v>75</x:v>
      </x:c>
      <x:c r="M15" s="15">
        <x:v>75</x:v>
      </x:c>
      <x:c r="N15" s="15" t="s">
        <x:v>64</x:v>
      </x:c>
      <x:c r="O15" s="5"/>
      <x:c r="P15" s="5"/>
      <x:c r="Q15" s="21" t="s">
        <x:v>93</x:v>
      </x:c>
      <x:c r="R15" s="21" t="s">
        <x:v>68</x:v>
      </x:c>
      <x:c r="S15" s="17" t="s">
        <x:v>48</x:v>
      </x:c>
      <x:c r="T15" s="9" t="s">
        <x:v>49</x:v>
      </x:c>
      <x:c r="U15" s="9"/>
      <x:c r="V15" s="67">
        <x:v>-2.100133</x:v>
      </x:c>
      <x:c r="W15" s="9">
        <x:v>106.07501499999999</x:v>
      </x:c>
      <x:c r="X15" s="9"/>
      <x:c r="Y15" s="47"/>
      <x:c r="Z15" s="26" t="s">
        <x:v>50</x:v>
      </x:c>
      <x:c r="AA15" s="39" t="s">
        <x:v>51</x:v>
      </x:c>
      <x:c r="AB15" s="71">
        <x:v>46220</x:v>
      </x:c>
      <x:c r="AC15" s="41" t="s">
        <x:v>52</x:v>
      </x:c>
      <x:c r="AD15">
        <x:f t="shared" si="0"/>
        <x:v>1</x:v>
      </x:c>
      <x:c r="AE15">
        <x:f t="shared" si="1"/>
        <x:v>1</x:v>
      </x:c>
      <x:c r="AF15" s="227"/>
      <x:c r="AG15" s="228"/>
      <x:c r="AH15" s="229"/>
    </x:row>
    <x:row r="16" ht="25">
      <x:c r="A16" s="27" t="s">
        <x:v>94</x:v>
      </x:c>
      <x:c r="B16" s="9" t="s">
        <x:v>95</x:v>
      </x:c>
      <x:c r="C16" s="5" t="s">
        <x:v>39</x:v>
      </x:c>
      <x:c r="D16" s="9" t="s">
        <x:v>40</x:v>
      </x:c>
      <x:c r="E16" s="9" t="s">
        <x:v>41</x:v>
      </x:c>
      <x:c r="F16" s="5" t="s">
        <x:v>96</x:v>
      </x:c>
      <x:c r="G16" s="5" t="s">
        <x:v>78</x:v>
      </x:c>
      <x:c r="H16" s="15" t="s">
        <x:v>79</x:v>
      </x:c>
      <x:c r="I16" s="15" t="s">
        <x:v>80</x:v>
      </x:c>
      <x:c r="J16" s="5">
        <x:v>2022</x:v>
      </x:c>
      <x:c r="K16" s="15">
        <x:v>51</x:v>
      </x:c>
      <x:c r="L16" s="9">
        <x:v>51</x:v>
      </x:c>
      <x:c r="M16" s="15">
        <x:v>51</x:v>
      </x:c>
      <x:c r="N16" s="15" t="s">
        <x:v>64</x:v>
      </x:c>
      <x:c r="O16" s="5"/>
      <x:c r="P16" s="5"/>
      <x:c r="Q16" s="21" t="s">
        <x:v>47</x:v>
      </x:c>
      <x:c r="R16" s="21"/>
      <x:c r="S16" s="17" t="s">
        <x:v>48</x:v>
      </x:c>
      <x:c r="T16" s="9"/>
      <x:c r="U16" s="9"/>
      <x:c r="V16" s="67">
        <x:v>-2.1091386999999999</x:v>
      </x:c>
      <x:c r="W16" s="9">
        <x:v>106.0656738</x:v>
      </x:c>
      <x:c r="X16" s="9"/>
      <x:c r="Y16" s="47"/>
      <x:c r="Z16" s="26" t="s">
        <x:v>50</x:v>
      </x:c>
      <x:c r="AA16" s="39" t="s">
        <x:v>51</x:v>
      </x:c>
      <x:c r="AB16" s="71">
        <x:v>46220</x:v>
      </x:c>
      <x:c r="AC16" s="41" t="s">
        <x:v>52</x:v>
      </x:c>
      <x:c r="AD16">
        <x:f t="shared" si="0"/>
        <x:v>1</x:v>
      </x:c>
      <x:c r="AE16">
        <x:f t="shared" si="1"/>
        <x:v>1</x:v>
      </x:c>
      <x:c r="AF16" s="227"/>
      <x:c r="AG16" s="228"/>
      <x:c r="AH16" s="229"/>
    </x:row>
    <x:row r="17" ht="25">
      <x:c r="A17" s="27" t="s">
        <x:v>97</x:v>
      </x:c>
      <x:c r="B17" s="9" t="s">
        <x:v>98</x:v>
      </x:c>
      <x:c r="C17" s="5" t="s">
        <x:v>39</x:v>
      </x:c>
      <x:c r="D17" s="9" t="s">
        <x:v>75</x:v>
      </x:c>
      <x:c r="E17" s="9" t="s">
        <x:v>87</x:v>
      </x:c>
      <x:c r="F17" s="5" t="s">
        <x:v>99</x:v>
      </x:c>
      <x:c r="G17" s="5" t="s">
        <x:v>78</x:v>
      </x:c>
      <x:c r="H17" s="15" t="s">
        <x:v>79</x:v>
      </x:c>
      <x:c r="I17" s="15" t="s">
        <x:v>80</x:v>
      </x:c>
      <x:c r="J17" s="5">
        <x:v>2023</x:v>
      </x:c>
      <x:c r="K17" s="15">
        <x:v>84</x:v>
      </x:c>
      <x:c r="L17" s="9">
        <x:v>51</x:v>
      </x:c>
      <x:c r="M17" s="15">
        <x:v>38</x:v>
      </x:c>
      <x:c r="N17" s="15" t="s">
        <x:v>64</x:v>
      </x:c>
      <x:c r="O17" s="5"/>
      <x:c r="P17" s="5"/>
      <x:c r="Q17" s="21" t="s">
        <x:v>47</x:v>
      </x:c>
      <x:c r="R17" s="21"/>
      <x:c r="S17" s="17" t="s">
        <x:v>48</x:v>
      </x:c>
      <x:c r="T17" s="9" t="s">
        <x:v>49</x:v>
      </x:c>
      <x:c r="U17" s="9"/>
      <x:c r="V17" s="67">
        <x:v>-2.0843104000000001</x:v>
      </x:c>
      <x:c r="W17" s="9">
        <x:v>106.09608110000001</x:v>
      </x:c>
      <x:c r="X17" s="9"/>
      <x:c r="Y17" s="47"/>
      <x:c r="Z17" s="26" t="s">
        <x:v>50</x:v>
      </x:c>
      <x:c r="AA17" s="39" t="s">
        <x:v>51</x:v>
      </x:c>
      <x:c r="AB17" s="71">
        <x:v>46220</x:v>
      </x:c>
      <x:c r="AC17" s="41" t="s">
        <x:v>52</x:v>
      </x:c>
      <x:c r="AD17">
        <x:f t="shared" si="0"/>
        <x:v>0.6071428571428571</x:v>
      </x:c>
      <x:c r="AE17">
        <x:f t="shared" si="1"/>
        <x:v>0.74509803921568629</x:v>
      </x:c>
      <x:c r="AF17" s="227"/>
      <x:c r="AG17" s="228"/>
      <x:c r="AH17" s="229"/>
    </x:row>
    <x:row r="18" ht="25">
      <x:c r="A18" s="27" t="s">
        <x:v>100</x:v>
      </x:c>
      <x:c r="B18" s="9" t="s">
        <x:v>101</x:v>
      </x:c>
      <x:c r="C18" s="5" t="s">
        <x:v>39</x:v>
      </x:c>
      <x:c r="D18" s="9" t="s">
        <x:v>102</x:v>
      </x:c>
      <x:c r="E18" s="9" t="s">
        <x:v>103</x:v>
      </x:c>
      <x:c r="F18" s="5" t="s">
        <x:v>104</x:v>
      </x:c>
      <x:c r="G18" s="5" t="s">
        <x:v>105</x:v>
      </x:c>
      <x:c r="H18" s="15" t="s">
        <x:v>106</x:v>
      </x:c>
      <x:c r="I18" s="15" t="s">
        <x:v>107</x:v>
      </x:c>
      <x:c r="J18" s="5">
        <x:v>2022</x:v>
      </x:c>
      <x:c r="K18" s="15">
        <x:v>112</x:v>
      </x:c>
      <x:c r="L18" s="9">
        <x:v>109</x:v>
      </x:c>
      <x:c r="M18" s="15">
        <x:v>109</x:v>
      </x:c>
      <x:c r="N18" s="15" t="s">
        <x:v>64</x:v>
      </x:c>
      <x:c r="O18" s="5"/>
      <x:c r="P18" s="5"/>
      <x:c r="Q18" s="21" t="s">
        <x:v>47</x:v>
      </x:c>
      <x:c r="R18" s="21"/>
      <x:c r="S18" s="17" t="s">
        <x:v>48</x:v>
      </x:c>
      <x:c r="T18" s="9" t="s">
        <x:v>49</x:v>
      </x:c>
      <x:c r="U18" s="9"/>
      <x:c r="V18" s="67">
        <x:v>-2.1291820000000001</x:v>
      </x:c>
      <x:c r="W18" s="9">
        <x:v>106.14707799999999</x:v>
      </x:c>
      <x:c r="X18" s="9"/>
      <x:c r="Y18" s="47"/>
      <x:c r="Z18" s="26" t="s">
        <x:v>50</x:v>
      </x:c>
      <x:c r="AA18" s="39" t="s">
        <x:v>51</x:v>
      </x:c>
      <x:c r="AB18" s="71">
        <x:v>46220</x:v>
      </x:c>
      <x:c r="AC18" s="41" t="s">
        <x:v>52</x:v>
      </x:c>
      <x:c r="AD18">
        <x:f t="shared" si="0"/>
        <x:v>0.9732142857142857</x:v>
      </x:c>
      <x:c r="AE18">
        <x:f t="shared" si="1"/>
        <x:v>1</x:v>
      </x:c>
      <x:c r="AF18" s="227"/>
      <x:c r="AG18" s="228"/>
      <x:c r="AH18" s="229"/>
    </x:row>
    <x:row r="19" ht="25">
      <x:c r="A19" s="27" t="s">
        <x:v>108</x:v>
      </x:c>
      <x:c r="B19" s="9" t="s">
        <x:v>109</x:v>
      </x:c>
      <x:c r="C19" s="5" t="s">
        <x:v>39</x:v>
      </x:c>
      <x:c r="D19" s="9" t="s">
        <x:v>102</x:v>
      </x:c>
      <x:c r="E19" s="9" t="s">
        <x:v>103</x:v>
      </x:c>
      <x:c r="F19" s="5" t="s">
        <x:v>104</x:v>
      </x:c>
      <x:c r="G19" s="5" t="s">
        <x:v>105</x:v>
      </x:c>
      <x:c r="H19" s="15" t="s">
        <x:v>106</x:v>
      </x:c>
      <x:c r="I19" s="15" t="s">
        <x:v>107</x:v>
      </x:c>
      <x:c r="J19" s="5">
        <x:v>2023</x:v>
      </x:c>
      <x:c r="K19" s="15">
        <x:v>41</x:v>
      </x:c>
      <x:c r="L19" s="9">
        <x:v>37</x:v>
      </x:c>
      <x:c r="M19" s="15">
        <x:v>37</x:v>
      </x:c>
      <x:c r="N19" s="15" t="s">
        <x:v>64</x:v>
      </x:c>
      <x:c r="O19" s="5"/>
      <x:c r="P19" s="5"/>
      <x:c r="Q19" s="21" t="s">
        <x:v>47</x:v>
      </x:c>
      <x:c r="R19" s="21" t="s">
        <x:v>110</x:v>
      </x:c>
      <x:c r="S19" s="17" t="s">
        <x:v>48</x:v>
      </x:c>
      <x:c r="T19" s="9" t="s">
        <x:v>49</x:v>
      </x:c>
      <x:c r="U19" s="9"/>
      <x:c r="V19" s="67">
        <x:v>-2.1291820000000001</x:v>
      </x:c>
      <x:c r="W19" s="9">
        <x:v>106.14707900000001</x:v>
      </x:c>
      <x:c r="X19" s="9"/>
      <x:c r="Y19" s="47"/>
      <x:c r="Z19" s="26" t="s">
        <x:v>50</x:v>
      </x:c>
      <x:c r="AA19" s="39" t="s">
        <x:v>51</x:v>
      </x:c>
      <x:c r="AB19" s="71">
        <x:v>46220</x:v>
      </x:c>
      <x:c r="AC19" s="41" t="s">
        <x:v>52</x:v>
      </x:c>
      <x:c r="AD19">
        <x:f t="shared" si="0"/>
        <x:v>0.90243902439024393</x:v>
      </x:c>
      <x:c r="AE19">
        <x:f t="shared" si="1"/>
        <x:v>1</x:v>
      </x:c>
      <x:c r="AF19" s="227"/>
      <x:c r="AG19" s="228"/>
      <x:c r="AH19" s="229"/>
    </x:row>
    <x:row r="20" ht="25">
      <x:c r="A20" s="27" t="s">
        <x:v>111</x:v>
      </x:c>
      <x:c r="B20" s="9" t="s">
        <x:v>112</x:v>
      </x:c>
      <x:c r="C20" s="5" t="s">
        <x:v>113</x:v>
      </x:c>
      <x:c r="D20" s="9" t="s">
        <x:v>75</x:v>
      </x:c>
      <x:c r="E20" s="9" t="s">
        <x:v>114</x:v>
      </x:c>
      <x:c r="F20" s="5" t="s">
        <x:v>115</x:v>
      </x:c>
      <x:c r="G20" s="5" t="s">
        <x:v>105</x:v>
      </x:c>
      <x:c r="H20" s="15" t="s">
        <x:v>106</x:v>
      </x:c>
      <x:c r="I20" s="15" t="s">
        <x:v>107</x:v>
      </x:c>
      <x:c r="J20" s="5">
        <x:v>2022</x:v>
      </x:c>
      <x:c r="K20" s="15">
        <x:v>107</x:v>
      </x:c>
      <x:c r="L20" s="9">
        <x:v>90</x:v>
      </x:c>
      <x:c r="M20" s="15">
        <x:v>0</x:v>
      </x:c>
      <x:c r="N20" s="15" t="s">
        <x:v>64</x:v>
      </x:c>
      <x:c r="O20" s="5"/>
      <x:c r="P20" s="5"/>
      <x:c r="Q20" s="21" t="s">
        <x:v>47</x:v>
      </x:c>
      <x:c r="R20" s="21" t="s">
        <x:v>110</x:v>
      </x:c>
      <x:c r="S20" s="17" t="s">
        <x:v>48</x:v>
      </x:c>
      <x:c r="T20" s="9" t="s">
        <x:v>49</x:v>
      </x:c>
      <x:c r="U20" s="9"/>
      <x:c r="V20" s="67">
        <x:v>-2.0851687000000001</x:v>
      </x:c>
      <x:c r="W20" s="9">
        <x:v>106.1168948</x:v>
      </x:c>
      <x:c r="X20" s="9"/>
      <x:c r="Y20" s="47"/>
      <x:c r="Z20" s="26" t="s">
        <x:v>50</x:v>
      </x:c>
      <x:c r="AA20" s="39" t="s">
        <x:v>51</x:v>
      </x:c>
      <x:c r="AB20" s="71">
        <x:v>46220</x:v>
      </x:c>
      <x:c r="AC20" s="41" t="s">
        <x:v>52</x:v>
      </x:c>
      <x:c r="AD20">
        <x:f t="shared" si="0"/>
        <x:v>0.84112149532710279</x:v>
      </x:c>
      <x:c r="AE20">
        <x:f t="shared" si="1"/>
        <x:v>0</x:v>
      </x:c>
      <x:c r="AF20" s="227"/>
      <x:c r="AG20" s="228"/>
      <x:c r="AH20" s="229"/>
    </x:row>
    <x:row r="21" ht="25">
      <x:c r="A21" s="27" t="s">
        <x:v>116</x:v>
      </x:c>
      <x:c r="B21" s="9" t="s">
        <x:v>117</x:v>
      </x:c>
      <x:c r="C21" s="5" t="s">
        <x:v>39</x:v>
      </x:c>
      <x:c r="D21" s="9" t="s">
        <x:v>75</x:v>
      </x:c>
      <x:c r="E21" s="9" t="s">
        <x:v>114</x:v>
      </x:c>
      <x:c r="F21" s="5" t="s">
        <x:v>115</x:v>
      </x:c>
      <x:c r="G21" s="5" t="s">
        <x:v>105</x:v>
      </x:c>
      <x:c r="H21" s="15" t="s">
        <x:v>106</x:v>
      </x:c>
      <x:c r="I21" s="15" t="s">
        <x:v>107</x:v>
      </x:c>
      <x:c r="J21" s="5">
        <x:v>2023</x:v>
      </x:c>
      <x:c r="K21" s="15">
        <x:v>24</x:v>
      </x:c>
      <x:c r="L21" s="9">
        <x:v>0</x:v>
      </x:c>
      <x:c r="M21" s="15">
        <x:v>0</x:v>
      </x:c>
      <x:c r="N21" s="15" t="s">
        <x:v>64</x:v>
      </x:c>
      <x:c r="O21" s="5"/>
      <x:c r="P21" s="5"/>
      <x:c r="Q21" s="21" t="s">
        <x:v>47</x:v>
      </x:c>
      <x:c r="R21" s="21" t="s">
        <x:v>110</x:v>
      </x:c>
      <x:c r="S21" s="17" t="s">
        <x:v>48</x:v>
      </x:c>
      <x:c r="T21" s="9" t="s">
        <x:v>49</x:v>
      </x:c>
      <x:c r="U21" s="9"/>
      <x:c r="V21" s="67">
        <x:v>-2.0851687000000001</x:v>
      </x:c>
      <x:c r="W21" s="9">
        <x:v>106.11689490000001</x:v>
      </x:c>
      <x:c r="X21" s="9"/>
      <x:c r="Y21" s="47"/>
      <x:c r="Z21" s="26" t="s">
        <x:v>50</x:v>
      </x:c>
      <x:c r="AA21" s="39" t="s">
        <x:v>51</x:v>
      </x:c>
      <x:c r="AB21" s="71">
        <x:v>46220</x:v>
      </x:c>
      <x:c r="AC21" s="41" t="s">
        <x:v>52</x:v>
      </x:c>
      <x:c r="AD21">
        <x:f t="shared" si="0"/>
        <x:v>0</x:v>
      </x:c>
      <x:c r="AE21">
        <x:f t="shared" si="1"/>
        <x:v>0</x:v>
      </x:c>
      <x:c r="AF21" s="227"/>
      <x:c r="AG21" s="228"/>
      <x:c r="AH21" s="229"/>
    </x:row>
    <x:row r="22" ht="25">
      <x:c r="A22" s="27" t="s">
        <x:v>118</x:v>
      </x:c>
      <x:c r="B22" s="9" t="s">
        <x:v>119</x:v>
      </x:c>
      <x:c r="C22" s="5" t="s">
        <x:v>39</x:v>
      </x:c>
      <x:c r="D22" s="9" t="s">
        <x:v>102</x:v>
      </x:c>
      <x:c r="E22" s="9" t="s">
        <x:v>120</x:v>
      </x:c>
      <x:c r="F22" s="5" t="s">
        <x:v>121</x:v>
      </x:c>
      <x:c r="G22" s="5" t="s">
        <x:v>105</x:v>
      </x:c>
      <x:c r="H22" s="15" t="s">
        <x:v>106</x:v>
      </x:c>
      <x:c r="I22" s="15" t="s">
        <x:v>107</x:v>
      </x:c>
      <x:c r="J22" s="5">
        <x:v>2023</x:v>
      </x:c>
      <x:c r="K22" s="15">
        <x:v>144</x:v>
      </x:c>
      <x:c r="L22" s="9">
        <x:v>8</x:v>
      </x:c>
      <x:c r="M22" s="15">
        <x:v>6</x:v>
      </x:c>
      <x:c r="N22" s="15" t="s">
        <x:v>64</x:v>
      </x:c>
      <x:c r="O22" s="5"/>
      <x:c r="P22" s="5"/>
      <x:c r="Q22" s="21" t="s">
        <x:v>47</x:v>
      </x:c>
      <x:c r="R22" s="21" t="s">
        <x:v>110</x:v>
      </x:c>
      <x:c r="S22" s="17" t="s">
        <x:v>48</x:v>
      </x:c>
      <x:c r="T22" s="9"/>
      <x:c r="U22" s="9"/>
      <x:c r="V22" s="67">
        <x:v>-2.1510370000000001</x:v>
      </x:c>
      <x:c r="W22" s="9">
        <x:v>106.1741657</x:v>
      </x:c>
      <x:c r="X22" s="9"/>
      <x:c r="Y22" s="47"/>
      <x:c r="Z22" s="26" t="s">
        <x:v>50</x:v>
      </x:c>
      <x:c r="AA22" s="39" t="s">
        <x:v>51</x:v>
      </x:c>
      <x:c r="AB22" s="71">
        <x:v>46220</x:v>
      </x:c>
      <x:c r="AC22" s="41" t="s">
        <x:v>52</x:v>
      </x:c>
      <x:c r="AD22">
        <x:f t="shared" si="0"/>
        <x:v>5.5555555555555552E-2</x:v>
      </x:c>
      <x:c r="AE22">
        <x:f t="shared" si="1"/>
        <x:v>0.75</x:v>
      </x:c>
      <x:c r="AF22" s="227"/>
      <x:c r="AG22" s="228"/>
      <x:c r="AH22" s="229"/>
    </x:row>
    <x:row r="23" ht="25">
      <x:c r="A23" s="27" t="s">
        <x:v>122</x:v>
      </x:c>
      <x:c r="B23" s="9" t="s">
        <x:v>123</x:v>
      </x:c>
      <x:c r="C23" s="5" t="s">
        <x:v>39</x:v>
      </x:c>
      <x:c r="D23" s="9" t="s">
        <x:v>102</x:v>
      </x:c>
      <x:c r="E23" s="9" t="s">
        <x:v>120</x:v>
      </x:c>
      <x:c r="F23" s="5" t="s">
        <x:v>121</x:v>
      </x:c>
      <x:c r="G23" s="5" t="s">
        <x:v>105</x:v>
      </x:c>
      <x:c r="H23" s="15" t="s">
        <x:v>106</x:v>
      </x:c>
      <x:c r="I23" s="15" t="s">
        <x:v>107</x:v>
      </x:c>
      <x:c r="J23" s="5">
        <x:v>2023</x:v>
      </x:c>
      <x:c r="K23" s="15">
        <x:v>82</x:v>
      </x:c>
      <x:c r="L23" s="9">
        <x:v>0</x:v>
      </x:c>
      <x:c r="M23" s="15">
        <x:v>0</x:v>
      </x:c>
      <x:c r="N23" s="15" t="s">
        <x:v>64</x:v>
      </x:c>
      <x:c r="O23" s="5"/>
      <x:c r="P23" s="5"/>
      <x:c r="Q23" s="21" t="s">
        <x:v>47</x:v>
      </x:c>
      <x:c r="R23" s="21" t="s">
        <x:v>110</x:v>
      </x:c>
      <x:c r="S23" s="17" t="s">
        <x:v>48</x:v>
      </x:c>
      <x:c r="T23" s="9"/>
      <x:c r="U23" s="9"/>
      <x:c r="V23" s="67">
        <x:v>-2.1510370000000001</x:v>
      </x:c>
      <x:c r="W23" s="9">
        <x:v>106.1741657</x:v>
      </x:c>
      <x:c r="X23" s="9"/>
      <x:c r="Y23" s="47"/>
      <x:c r="Z23" s="26" t="s">
        <x:v>50</x:v>
      </x:c>
      <x:c r="AA23" s="39" t="s">
        <x:v>51</x:v>
      </x:c>
      <x:c r="AB23" s="71">
        <x:v>46220</x:v>
      </x:c>
      <x:c r="AC23" s="41" t="s">
        <x:v>52</x:v>
      </x:c>
      <x:c r="AD23">
        <x:f t="shared" si="0"/>
        <x:v>0</x:v>
      </x:c>
      <x:c r="AE23">
        <x:f t="shared" si="1"/>
        <x:v>0</x:v>
      </x:c>
      <x:c r="AF23" s="227"/>
      <x:c r="AG23" s="228"/>
      <x:c r="AH23" s="229"/>
    </x:row>
    <x:row r="24" ht="25">
      <x:c r="A24" s="27" t="s">
        <x:v>124</x:v>
      </x:c>
      <x:c r="B24" s="9" t="s">
        <x:v>125</x:v>
      </x:c>
      <x:c r="C24" s="5" t="s">
        <x:v>39</x:v>
      </x:c>
      <x:c r="D24" s="9" t="s">
        <x:v>126</x:v>
      </x:c>
      <x:c r="E24" s="9" t="s">
        <x:v>127</x:v>
      </x:c>
      <x:c r="F24" s="5" t="s">
        <x:v>128</x:v>
      </x:c>
      <x:c r="G24" s="5" t="s">
        <x:v>129</x:v>
      </x:c>
      <x:c r="H24" s="15" t="s">
        <x:v>62</x:v>
      </x:c>
      <x:c r="I24" s="15" t="s">
        <x:v>62</x:v>
      </x:c>
      <x:c r="J24" s="5">
        <x:v>2023</x:v>
      </x:c>
      <x:c r="K24" s="15">
        <x:v>34</x:v>
      </x:c>
      <x:c r="L24" s="9">
        <x:v>11</x:v>
      </x:c>
      <x:c r="M24" s="15">
        <x:v>0</x:v>
      </x:c>
      <x:c r="N24" s="15" t="s">
        <x:v>64</x:v>
      </x:c>
      <x:c r="O24" s="5"/>
      <x:c r="P24" s="5"/>
      <x:c r="Q24" s="21" t="s">
        <x:v>47</x:v>
      </x:c>
      <x:c r="R24" s="21"/>
      <x:c r="S24" s="18"/>
      <x:c r="T24" s="9"/>
      <x:c r="U24" s="9"/>
      <x:c r="V24" s="67">
        <x:v>-2.1040527</x:v>
      </x:c>
      <x:c r="W24" s="9">
        <x:v>106.13135629999999</x:v>
      </x:c>
      <x:c r="X24" s="9"/>
      <x:c r="Y24" s="47"/>
      <x:c r="Z24" s="26" t="s">
        <x:v>50</x:v>
      </x:c>
      <x:c r="AA24" s="39" t="s">
        <x:v>51</x:v>
      </x:c>
      <x:c r="AB24" s="71">
        <x:v>46220</x:v>
      </x:c>
      <x:c r="AC24" s="41" t="s">
        <x:v>52</x:v>
      </x:c>
      <x:c r="AD24">
        <x:f t="shared" si="0"/>
        <x:v>0.3235294117647059</x:v>
      </x:c>
      <x:c r="AE24">
        <x:f t="shared" si="1"/>
        <x:v>0</x:v>
      </x:c>
      <x:c r="AF24" s="227"/>
      <x:c r="AG24" s="228"/>
      <x:c r="AH24" s="229"/>
    </x:row>
    <x:row r="25" ht="25">
      <x:c r="A25" s="27" t="s">
        <x:v>130</x:v>
      </x:c>
      <x:c r="B25" s="9" t="s">
        <x:v>131</x:v>
      </x:c>
      <x:c r="C25" s="5" t="s">
        <x:v>39</x:v>
      </x:c>
      <x:c r="D25" s="9" t="s">
        <x:v>40</x:v>
      </x:c>
      <x:c r="E25" s="9" t="s">
        <x:v>41</x:v>
      </x:c>
      <x:c r="F25" s="5" t="s">
        <x:v>132</x:v>
      </x:c>
      <x:c r="G25" s="5" t="s">
        <x:v>133</x:v>
      </x:c>
      <x:c r="H25" s="15" t="s">
        <x:v>134</x:v>
      </x:c>
      <x:c r="I25" s="15" t="s">
        <x:v>107</x:v>
      </x:c>
      <x:c r="J25" s="5">
        <x:v>2017</x:v>
      </x:c>
      <x:c r="K25" s="15">
        <x:v>75</x:v>
      </x:c>
      <x:c r="L25" s="9">
        <x:v>75</x:v>
      </x:c>
      <x:c r="M25" s="15">
        <x:v>75</x:v>
      </x:c>
      <x:c r="N25" s="15" t="s">
        <x:v>64</x:v>
      </x:c>
      <x:c r="O25" s="5"/>
      <x:c r="P25" s="5"/>
      <x:c r="Q25" s="21" t="s">
        <x:v>47</x:v>
      </x:c>
      <x:c r="R25" s="21"/>
      <x:c r="S25" s="18"/>
      <x:c r="T25" s="9"/>
      <x:c r="U25" s="9"/>
      <x:c r="V25" s="67">
        <x:v>-2.1027433000000002</x:v>
      </x:c>
      <x:c r="W25" s="9">
        <x:v>106.0581504</x:v>
      </x:c>
      <x:c r="X25" s="9"/>
      <x:c r="Y25" s="47"/>
      <x:c r="Z25" s="26" t="s">
        <x:v>50</x:v>
      </x:c>
      <x:c r="AA25" s="39" t="s">
        <x:v>51</x:v>
      </x:c>
      <x:c r="AB25" s="71">
        <x:v>46220</x:v>
      </x:c>
      <x:c r="AC25" s="41" t="s">
        <x:v>52</x:v>
      </x:c>
      <x:c r="AD25">
        <x:f t="shared" si="0"/>
        <x:v>1</x:v>
      </x:c>
      <x:c r="AE25">
        <x:f t="shared" si="1"/>
        <x:v>1</x:v>
      </x:c>
      <x:c r="AF25" s="227"/>
      <x:c r="AG25" s="228"/>
      <x:c r="AH25" s="229"/>
    </x:row>
    <x:row r="26" ht="25">
      <x:c r="A26" s="27" t="s">
        <x:v>135</x:v>
      </x:c>
      <x:c r="B26" s="9" t="s">
        <x:v>136</x:v>
      </x:c>
      <x:c r="C26" s="5" t="s">
        <x:v>39</x:v>
      </x:c>
      <x:c r="D26" s="9" t="s">
        <x:v>40</x:v>
      </x:c>
      <x:c r="E26" s="9" t="s">
        <x:v>41</x:v>
      </x:c>
      <x:c r="F26" s="5" t="s">
        <x:v>132</x:v>
      </x:c>
      <x:c r="G26" s="5" t="s">
        <x:v>133</x:v>
      </x:c>
      <x:c r="H26" s="15" t="s">
        <x:v>134</x:v>
      </x:c>
      <x:c r="I26" s="15" t="s">
        <x:v>107</x:v>
      </x:c>
      <x:c r="J26" s="5">
        <x:v>2018</x:v>
      </x:c>
      <x:c r="K26" s="15">
        <x:v>42</x:v>
      </x:c>
      <x:c r="L26" s="9">
        <x:v>28</x:v>
      </x:c>
      <x:c r="M26" s="15">
        <x:v>28</x:v>
      </x:c>
      <x:c r="N26" s="15" t="s">
        <x:v>64</x:v>
      </x:c>
      <x:c r="O26" s="5"/>
      <x:c r="P26" s="5"/>
      <x:c r="Q26" s="21" t="s">
        <x:v>47</x:v>
      </x:c>
      <x:c r="R26" s="21"/>
      <x:c r="S26" s="18"/>
      <x:c r="T26" s="9"/>
      <x:c r="U26" s="9"/>
      <x:c r="V26" s="67">
        <x:v>-2.1027433000000002</x:v>
      </x:c>
      <x:c r="W26" s="9">
        <x:v>106.0581504</x:v>
      </x:c>
      <x:c r="X26" s="9"/>
      <x:c r="Y26" s="47"/>
      <x:c r="Z26" s="26" t="s">
        <x:v>50</x:v>
      </x:c>
      <x:c r="AA26" s="39" t="s">
        <x:v>51</x:v>
      </x:c>
      <x:c r="AB26" s="71">
        <x:v>46220</x:v>
      </x:c>
      <x:c r="AC26" s="41" t="s">
        <x:v>52</x:v>
      </x:c>
      <x:c r="AD26">
        <x:f t="shared" si="0"/>
        <x:v>0.66666666666666663</x:v>
      </x:c>
      <x:c r="AE26">
        <x:f t="shared" si="1"/>
        <x:v>1</x:v>
      </x:c>
      <x:c r="AF26" s="227"/>
      <x:c r="AG26" s="228"/>
      <x:c r="AH26" s="229"/>
    </x:row>
    <x:row r="27" ht="25">
      <x:c r="A27" s="27" t="s">
        <x:v>137</x:v>
      </x:c>
      <x:c r="B27" s="9" t="s">
        <x:v>138</x:v>
      </x:c>
      <x:c r="C27" s="5" t="s">
        <x:v>39</x:v>
      </x:c>
      <x:c r="D27" s="9" t="s">
        <x:v>40</x:v>
      </x:c>
      <x:c r="E27" s="9" t="s">
        <x:v>41</x:v>
      </x:c>
      <x:c r="F27" s="5" t="s">
        <x:v>139</x:v>
      </x:c>
      <x:c r="G27" s="5" t="s">
        <x:v>140</x:v>
      </x:c>
      <x:c r="H27" s="15" t="s">
        <x:v>141</x:v>
      </x:c>
      <x:c r="I27" s="15" t="s">
        <x:v>142</x:v>
      </x:c>
      <x:c r="J27" s="5">
        <x:v>2020</x:v>
      </x:c>
      <x:c r="K27" s="15">
        <x:v>33</x:v>
      </x:c>
      <x:c r="L27" s="9">
        <x:v>33</x:v>
      </x:c>
      <x:c r="M27" s="15">
        <x:v>31</x:v>
      </x:c>
      <x:c r="N27" s="15" t="s">
        <x:v>46</x:v>
      </x:c>
      <x:c r="O27" s="5">
        <x:v>2023</x:v>
      </x:c>
      <x:c r="P27" s="5"/>
      <x:c r="Q27" s="21" t="s">
        <x:v>47</x:v>
      </x:c>
      <x:c r="R27" s="21" t="s">
        <x:v>143</x:v>
      </x:c>
      <x:c r="S27" s="17" t="s">
        <x:v>48</x:v>
      </x:c>
      <x:c r="T27" s="9"/>
      <x:c r="U27" s="9"/>
      <x:c r="V27" s="67">
        <x:v>-2.1046360000000002</x:v>
      </x:c>
      <x:c r="W27" s="9">
        <x:v>106.08262999999999</x:v>
      </x:c>
      <x:c r="X27" s="9"/>
      <x:c r="Y27" s="47"/>
      <x:c r="Z27" s="26" t="s">
        <x:v>50</x:v>
      </x:c>
      <x:c r="AA27" s="39" t="s">
        <x:v>51</x:v>
      </x:c>
      <x:c r="AB27" s="71">
        <x:v>46220</x:v>
      </x:c>
      <x:c r="AC27" s="41" t="s">
        <x:v>52</x:v>
      </x:c>
      <x:c r="AD27">
        <x:f t="shared" si="0"/>
        <x:v>1</x:v>
      </x:c>
      <x:c r="AE27">
        <x:f t="shared" si="1"/>
        <x:v>0.93939393939393945</x:v>
      </x:c>
      <x:c r="AF27" s="227"/>
      <x:c r="AG27" s="228"/>
      <x:c r="AH27" s="229"/>
    </x:row>
    <x:row r="28" ht="25">
      <x:c r="A28" s="27" t="s">
        <x:v>144</x:v>
      </x:c>
      <x:c r="B28" s="9" t="s">
        <x:v>145</x:v>
      </x:c>
      <x:c r="C28" s="5" t="s">
        <x:v>39</x:v>
      </x:c>
      <x:c r="D28" s="9" t="s">
        <x:v>40</x:v>
      </x:c>
      <x:c r="E28" s="9" t="s">
        <x:v>55</x:v>
      </x:c>
      <x:c r="F28" s="5" t="s">
        <x:v>146</x:v>
      </x:c>
      <x:c r="G28" s="5" t="s">
        <x:v>140</x:v>
      </x:c>
      <x:c r="H28" s="15" t="s">
        <x:v>141</x:v>
      </x:c>
      <x:c r="I28" s="15" t="s">
        <x:v>142</x:v>
      </x:c>
      <x:c r="J28" s="5">
        <x:v>2023</x:v>
      </x:c>
      <x:c r="K28" s="15">
        <x:v>46</x:v>
      </x:c>
      <x:c r="L28" s="9">
        <x:v>46</x:v>
      </x:c>
      <x:c r="M28" s="15">
        <x:v>39</x:v>
      </x:c>
      <x:c r="N28" s="15" t="s">
        <x:v>46</x:v>
      </x:c>
      <x:c r="O28" s="5">
        <x:v>2024</x:v>
      </x:c>
      <x:c r="P28" s="5"/>
      <x:c r="Q28" s="21" t="s">
        <x:v>47</x:v>
      </x:c>
      <x:c r="R28" s="21"/>
      <x:c r="S28" s="17" t="s">
        <x:v>48</x:v>
      </x:c>
      <x:c r="T28" s="9"/>
      <x:c r="U28" s="9"/>
      <x:c r="V28" s="67">
        <x:v>-2.1201479999999999</x:v>
      </x:c>
      <x:c r="W28" s="9">
        <x:v>106.068039</x:v>
      </x:c>
      <x:c r="X28" s="9"/>
      <x:c r="Y28" s="47"/>
      <x:c r="Z28" s="26" t="s">
        <x:v>50</x:v>
      </x:c>
      <x:c r="AA28" s="39" t="s">
        <x:v>51</x:v>
      </x:c>
      <x:c r="AB28" s="71">
        <x:v>46220</x:v>
      </x:c>
      <x:c r="AC28" s="41" t="s">
        <x:v>52</x:v>
      </x:c>
      <x:c r="AD28">
        <x:f t="shared" si="0"/>
        <x:v>1</x:v>
      </x:c>
      <x:c r="AE28">
        <x:f t="shared" si="1"/>
        <x:v>0.84782608695652173</x:v>
      </x:c>
      <x:c r="AF28" s="227"/>
      <x:c r="AG28" s="228"/>
      <x:c r="AH28" s="229"/>
    </x:row>
    <x:row r="29" ht="25">
      <x:c r="A29" s="27" t="s">
        <x:v>147</x:v>
      </x:c>
      <x:c r="B29" s="9" t="s">
        <x:v>148</x:v>
      </x:c>
      <x:c r="C29" s="5" t="s">
        <x:v>39</x:v>
      </x:c>
      <x:c r="D29" s="9" t="s">
        <x:v>75</x:v>
      </x:c>
      <x:c r="E29" s="9" t="s">
        <x:v>87</x:v>
      </x:c>
      <x:c r="F29" s="5" t="s">
        <x:v>149</x:v>
      </x:c>
      <x:c r="G29" s="5" t="s">
        <x:v>140</x:v>
      </x:c>
      <x:c r="H29" s="15" t="s">
        <x:v>141</x:v>
      </x:c>
      <x:c r="I29" s="15" t="s">
        <x:v>142</x:v>
      </x:c>
      <x:c r="J29" s="5">
        <x:v>2023</x:v>
      </x:c>
      <x:c r="K29" s="15">
        <x:v>57</x:v>
      </x:c>
      <x:c r="L29" s="9">
        <x:v>57</x:v>
      </x:c>
      <x:c r="M29" s="15">
        <x:v>57</x:v>
      </x:c>
      <x:c r="N29" s="15" t="s">
        <x:v>46</x:v>
      </x:c>
      <x:c r="O29" s="5">
        <x:v>2026</x:v>
      </x:c>
      <x:c r="P29" s="5"/>
      <x:c r="Q29" s="21" t="s">
        <x:v>47</x:v>
      </x:c>
      <x:c r="R29" s="21"/>
      <x:c r="S29" s="17" t="s">
        <x:v>48</x:v>
      </x:c>
      <x:c r="T29" s="9"/>
      <x:c r="U29" s="9"/>
      <x:c r="V29" s="67">
        <x:v>-2.0965927</x:v>
      </x:c>
      <x:c r="W29" s="9">
        <x:v>106.0855923</x:v>
      </x:c>
      <x:c r="X29" s="9"/>
      <x:c r="Y29" s="47"/>
      <x:c r="Z29" s="26" t="s">
        <x:v>50</x:v>
      </x:c>
      <x:c r="AA29" s="39" t="s">
        <x:v>51</x:v>
      </x:c>
      <x:c r="AB29" s="71">
        <x:v>46220</x:v>
      </x:c>
      <x:c r="AC29" s="41" t="s">
        <x:v>52</x:v>
      </x:c>
      <x:c r="AD29">
        <x:f t="shared" si="0"/>
        <x:v>1</x:v>
      </x:c>
      <x:c r="AE29">
        <x:f t="shared" si="1"/>
        <x:v>1</x:v>
      </x:c>
      <x:c r="AF29" s="227"/>
      <x:c r="AG29" s="228"/>
      <x:c r="AH29" s="229"/>
    </x:row>
    <x:row r="30" ht="25">
      <x:c r="A30" s="27" t="s">
        <x:v>150</x:v>
      </x:c>
      <x:c r="B30" s="9" t="s">
        <x:v>151</x:v>
      </x:c>
      <x:c r="C30" s="5" t="s">
        <x:v>39</x:v>
      </x:c>
      <x:c r="D30" s="9" t="s">
        <x:v>75</x:v>
      </x:c>
      <x:c r="E30" s="9" t="s">
        <x:v>76</x:v>
      </x:c>
      <x:c r="F30" s="5" t="s">
        <x:v>152</x:v>
      </x:c>
      <x:c r="G30" s="5" t="s">
        <x:v>140</x:v>
      </x:c>
      <x:c r="H30" s="15" t="s">
        <x:v>141</x:v>
      </x:c>
      <x:c r="I30" s="15" t="s">
        <x:v>142</x:v>
      </x:c>
      <x:c r="J30" s="5">
        <x:v>2024</x:v>
      </x:c>
      <x:c r="K30" s="15">
        <x:v>37</x:v>
      </x:c>
      <x:c r="L30" s="9">
        <x:v>37</x:v>
      </x:c>
      <x:c r="M30" s="15">
        <x:v>37</x:v>
      </x:c>
      <x:c r="N30" s="15" t="s">
        <x:v>46</x:v>
      </x:c>
      <x:c r="O30" s="5">
        <x:v>2026</x:v>
      </x:c>
      <x:c r="P30" s="5"/>
      <x:c r="Q30" s="21" t="s">
        <x:v>47</x:v>
      </x:c>
      <x:c r="R30" s="21"/>
      <x:c r="S30" s="17" t="s">
        <x:v>48</x:v>
      </x:c>
      <x:c r="T30" s="9"/>
      <x:c r="U30" s="9"/>
      <x:c r="V30" s="67">
        <x:v>-2.0999433999999999</x:v>
      </x:c>
      <x:c r="W30" s="9">
        <x:v>106.09478319999999</x:v>
      </x:c>
      <x:c r="X30" s="9"/>
      <x:c r="Y30" s="47"/>
      <x:c r="Z30" s="26" t="s">
        <x:v>50</x:v>
      </x:c>
      <x:c r="AA30" s="39" t="s">
        <x:v>51</x:v>
      </x:c>
      <x:c r="AB30" s="71">
        <x:v>46220</x:v>
      </x:c>
      <x:c r="AC30" s="41" t="s">
        <x:v>52</x:v>
      </x:c>
      <x:c r="AD30">
        <x:f t="shared" si="0"/>
        <x:v>1</x:v>
      </x:c>
      <x:c r="AE30">
        <x:f t="shared" si="1"/>
        <x:v>1</x:v>
      </x:c>
      <x:c r="AF30" s="227"/>
      <x:c r="AG30" s="228"/>
      <x:c r="AH30" s="229"/>
    </x:row>
    <x:row r="31" ht="25">
      <x:c r="A31" s="27" t="s">
        <x:v>153</x:v>
      </x:c>
      <x:c r="B31" s="9" t="s">
        <x:v>154</x:v>
      </x:c>
      <x:c r="C31" s="5" t="s">
        <x:v>39</x:v>
      </x:c>
      <x:c r="D31" s="9" t="s">
        <x:v>40</x:v>
      </x:c>
      <x:c r="E31" s="9" t="s">
        <x:v>41</x:v>
      </x:c>
      <x:c r="F31" s="5" t="s">
        <x:v>155</x:v>
      </x:c>
      <x:c r="G31" s="5" t="s">
        <x:v>140</x:v>
      </x:c>
      <x:c r="H31" s="15" t="s">
        <x:v>141</x:v>
      </x:c>
      <x:c r="I31" s="15" t="s">
        <x:v>142</x:v>
      </x:c>
      <x:c r="J31" s="5">
        <x:v>2025</x:v>
      </x:c>
      <x:c r="K31" s="15">
        <x:v>51</x:v>
      </x:c>
      <x:c r="L31" s="9">
        <x:v>33</x:v>
      </x:c>
      <x:c r="M31" s="15">
        <x:v>25</x:v>
      </x:c>
      <x:c r="N31" s="15" t="s">
        <x:v>64</x:v>
      </x:c>
      <x:c r="O31" s="5"/>
      <x:c r="P31" s="5"/>
      <x:c r="Q31" s="21" t="s">
        <x:v>47</x:v>
      </x:c>
      <x:c r="R31" s="21" t="s">
        <x:v>110</x:v>
      </x:c>
      <x:c r="S31" s="17" t="s">
        <x:v>48</x:v>
      </x:c>
      <x:c r="T31" s="9"/>
      <x:c r="U31" s="9"/>
      <x:c r="V31" s="67"/>
      <x:c r="W31" s="9"/>
      <x:c r="X31" s="9"/>
      <x:c r="Y31" s="47"/>
      <x:c r="Z31" s="26" t="s">
        <x:v>50</x:v>
      </x:c>
      <x:c r="AA31" s="39" t="s">
        <x:v>51</x:v>
      </x:c>
      <x:c r="AB31" s="71">
        <x:v>46220</x:v>
      </x:c>
      <x:c r="AC31" s="41" t="s">
        <x:v>52</x:v>
      </x:c>
      <x:c r="AD31">
        <x:f t="shared" si="0"/>
        <x:v>0.6470588235294118</x:v>
      </x:c>
      <x:c r="AE31">
        <x:f t="shared" si="1"/>
        <x:v>0.75757575757575757</x:v>
      </x:c>
      <x:c r="AF31" s="227"/>
      <x:c r="AG31" s="228"/>
      <x:c r="AH31" s="229"/>
    </x:row>
    <x:row r="32" ht="25">
      <x:c r="A32" s="27" t="s">
        <x:v>156</x:v>
      </x:c>
      <x:c r="B32" s="9" t="s">
        <x:v>157</x:v>
      </x:c>
      <x:c r="C32" s="5" t="s">
        <x:v>39</x:v>
      </x:c>
      <x:c r="D32" s="9" t="s">
        <x:v>102</x:v>
      </x:c>
      <x:c r="E32" s="9" t="s">
        <x:v>158</x:v>
      </x:c>
      <x:c r="F32" s="5" t="s">
        <x:v>159</x:v>
      </x:c>
      <x:c r="G32" s="5" t="s">
        <x:v>160</x:v>
      </x:c>
      <x:c r="H32" s="15" t="s">
        <x:v>161</x:v>
      </x:c>
      <x:c r="I32" s="15" t="s">
        <x:v>45</x:v>
      </x:c>
      <x:c r="J32" s="5">
        <x:v>2020</x:v>
      </x:c>
      <x:c r="K32" s="15">
        <x:v>71</x:v>
      </x:c>
      <x:c r="L32" s="9">
        <x:v>71</x:v>
      </x:c>
      <x:c r="M32" s="15">
        <x:v>71</x:v>
      </x:c>
      <x:c r="N32" s="15" t="s">
        <x:v>46</x:v>
      </x:c>
      <x:c r="O32" s="5">
        <x:v>2024</x:v>
      </x:c>
      <x:c r="P32" s="5"/>
      <x:c r="Q32" s="21" t="s">
        <x:v>47</x:v>
      </x:c>
      <x:c r="R32" s="21"/>
      <x:c r="S32" s="17" t="s">
        <x:v>48</x:v>
      </x:c>
      <x:c r="T32" s="9"/>
      <x:c r="U32" s="9"/>
      <x:c r="V32" s="67">
        <x:v>-2.1265749999999999</x:v>
      </x:c>
      <x:c r="W32" s="9">
        <x:v>106.16171900000001</x:v>
      </x:c>
      <x:c r="X32" s="9"/>
      <x:c r="Y32" s="47"/>
      <x:c r="Z32" s="26" t="s">
        <x:v>50</x:v>
      </x:c>
      <x:c r="AA32" s="39" t="s">
        <x:v>51</x:v>
      </x:c>
      <x:c r="AB32" s="71">
        <x:v>46220</x:v>
      </x:c>
      <x:c r="AC32" s="41" t="s">
        <x:v>52</x:v>
      </x:c>
      <x:c r="AD32">
        <x:f t="shared" si="0"/>
        <x:v>1</x:v>
      </x:c>
      <x:c r="AE32">
        <x:f t="shared" si="1"/>
        <x:v>1</x:v>
      </x:c>
      <x:c r="AF32" s="227"/>
      <x:c r="AG32" s="228"/>
      <x:c r="AH32" s="229"/>
    </x:row>
    <x:row r="33" ht="25">
      <x:c r="A33" s="27" t="s">
        <x:v>162</x:v>
      </x:c>
      <x:c r="B33" s="9" t="s">
        <x:v>163</x:v>
      </x:c>
      <x:c r="C33" s="5" t="s">
        <x:v>39</x:v>
      </x:c>
      <x:c r="D33" s="9" t="s">
        <x:v>102</x:v>
      </x:c>
      <x:c r="E33" s="9" t="s">
        <x:v>158</x:v>
      </x:c>
      <x:c r="F33" s="5" t="s">
        <x:v>164</x:v>
      </x:c>
      <x:c r="G33" s="5" t="s">
        <x:v>160</x:v>
      </x:c>
      <x:c r="H33" s="15" t="s">
        <x:v>161</x:v>
      </x:c>
      <x:c r="I33" s="15" t="s">
        <x:v>45</x:v>
      </x:c>
      <x:c r="J33" s="5">
        <x:v>2022</x:v>
      </x:c>
      <x:c r="K33" s="15">
        <x:v>48</x:v>
      </x:c>
      <x:c r="L33" s="9">
        <x:v>48</x:v>
      </x:c>
      <x:c r="M33" s="15">
        <x:v>44</x:v>
      </x:c>
      <x:c r="N33" s="15" t="s">
        <x:v>46</x:v>
      </x:c>
      <x:c r="O33" s="5">
        <x:v>2024</x:v>
      </x:c>
      <x:c r="P33" s="5"/>
      <x:c r="Q33" s="21" t="s">
        <x:v>47</x:v>
      </x:c>
      <x:c r="R33" s="21"/>
      <x:c r="S33" s="17" t="s">
        <x:v>48</x:v>
      </x:c>
      <x:c r="T33" s="9"/>
      <x:c r="U33" s="9"/>
      <x:c r="V33" s="67">
        <x:v>-2.1265160000000001</x:v>
      </x:c>
      <x:c r="W33" s="9">
        <x:v>106.162347</x:v>
      </x:c>
      <x:c r="X33" s="9"/>
      <x:c r="Y33" s="47"/>
      <x:c r="Z33" s="26" t="s">
        <x:v>50</x:v>
      </x:c>
      <x:c r="AA33" s="39" t="s">
        <x:v>51</x:v>
      </x:c>
      <x:c r="AB33" s="71">
        <x:v>46220</x:v>
      </x:c>
      <x:c r="AC33" s="41" t="s">
        <x:v>52</x:v>
      </x:c>
      <x:c r="AD33">
        <x:f t="shared" si="0"/>
        <x:v>1</x:v>
      </x:c>
      <x:c r="AE33">
        <x:f t="shared" si="1"/>
        <x:v>0.91666666666666663</x:v>
      </x:c>
      <x:c r="AF33" s="227"/>
      <x:c r="AG33" s="228"/>
      <x:c r="AH33" s="229"/>
    </x:row>
    <x:row r="34" ht="25">
      <x:c r="A34" s="27" t="s">
        <x:v>165</x:v>
      </x:c>
      <x:c r="B34" s="9" t="s">
        <x:v>166</x:v>
      </x:c>
      <x:c r="C34" s="5" t="s">
        <x:v>39</x:v>
      </x:c>
      <x:c r="D34" s="9" t="s">
        <x:v>102</x:v>
      </x:c>
      <x:c r="E34" s="9" t="s">
        <x:v>158</x:v>
      </x:c>
      <x:c r="F34" s="5" t="s">
        <x:v>167</x:v>
      </x:c>
      <x:c r="G34" s="5" t="s">
        <x:v>160</x:v>
      </x:c>
      <x:c r="H34" s="15" t="s">
        <x:v>161</x:v>
      </x:c>
      <x:c r="I34" s="15" t="s">
        <x:v>45</x:v>
      </x:c>
      <x:c r="J34" s="5">
        <x:v>2022</x:v>
      </x:c>
      <x:c r="K34" s="15">
        <x:v>42</x:v>
      </x:c>
      <x:c r="L34" s="9">
        <x:v>42</x:v>
      </x:c>
      <x:c r="M34" s="15">
        <x:v>37</x:v>
      </x:c>
      <x:c r="N34" s="15" t="s">
        <x:v>46</x:v>
      </x:c>
      <x:c r="O34" s="5">
        <x:v>2024</x:v>
      </x:c>
      <x:c r="P34" s="5"/>
      <x:c r="Q34" s="21" t="s">
        <x:v>47</x:v>
      </x:c>
      <x:c r="R34" s="21"/>
      <x:c r="S34" s="17" t="s">
        <x:v>48</x:v>
      </x:c>
      <x:c r="T34" s="9"/>
      <x:c r="U34" s="9"/>
      <x:c r="V34" s="67">
        <x:v>-2.1265869999999998</x:v>
      </x:c>
      <x:c r="W34" s="9">
        <x:v>106.163877</x:v>
      </x:c>
      <x:c r="X34" s="9"/>
      <x:c r="Y34" s="47"/>
      <x:c r="Z34" s="26" t="s">
        <x:v>50</x:v>
      </x:c>
      <x:c r="AA34" s="39" t="s">
        <x:v>51</x:v>
      </x:c>
      <x:c r="AB34" s="71">
        <x:v>46220</x:v>
      </x:c>
      <x:c r="AC34" s="41" t="s">
        <x:v>52</x:v>
      </x:c>
      <x:c r="AD34">
        <x:f t="shared" si="0"/>
        <x:v>1</x:v>
      </x:c>
      <x:c r="AE34">
        <x:f t="shared" si="1"/>
        <x:v>0.88095238095238093</x:v>
      </x:c>
      <x:c r="AF34" s="227"/>
      <x:c r="AG34" s="228"/>
      <x:c r="AH34" s="229"/>
    </x:row>
    <x:row r="35" ht="25">
      <x:c r="A35" s="27" t="s">
        <x:v>168</x:v>
      </x:c>
      <x:c r="B35" s="9" t="s">
        <x:v>169</x:v>
      </x:c>
      <x:c r="C35" s="5" t="s">
        <x:v>39</x:v>
      </x:c>
      <x:c r="D35" s="9" t="s">
        <x:v>102</x:v>
      </x:c>
      <x:c r="E35" s="9" t="s">
        <x:v>158</x:v>
      </x:c>
      <x:c r="F35" s="5" t="s">
        <x:v>167</x:v>
      </x:c>
      <x:c r="G35" s="5" t="s">
        <x:v>160</x:v>
      </x:c>
      <x:c r="H35" s="15" t="s">
        <x:v>161</x:v>
      </x:c>
      <x:c r="I35" s="15" t="s">
        <x:v>45</x:v>
      </x:c>
      <x:c r="J35" s="5">
        <x:v>2023</x:v>
      </x:c>
      <x:c r="K35" s="15">
        <x:v>118</x:v>
      </x:c>
      <x:c r="L35" s="9">
        <x:v>114</x:v>
      </x:c>
      <x:c r="M35" s="15">
        <x:v>114</x:v>
      </x:c>
      <x:c r="N35" s="15" t="s">
        <x:v>64</x:v>
      </x:c>
      <x:c r="O35" s="5"/>
      <x:c r="P35" s="5"/>
      <x:c r="Q35" s="21" t="s">
        <x:v>47</x:v>
      </x:c>
      <x:c r="R35" s="21" t="s">
        <x:v>110</x:v>
      </x:c>
      <x:c r="S35" s="17" t="s">
        <x:v>48</x:v>
      </x:c>
      <x:c r="T35" s="9"/>
      <x:c r="U35" s="9"/>
      <x:c r="V35" s="67">
        <x:v>-2.1284293000000001</x:v>
      </x:c>
      <x:c r="W35" s="9">
        <x:v>106.1647957</x:v>
      </x:c>
      <x:c r="X35" s="9"/>
      <x:c r="Y35" s="47"/>
      <x:c r="Z35" s="26" t="s">
        <x:v>50</x:v>
      </x:c>
      <x:c r="AA35" s="39" t="s">
        <x:v>51</x:v>
      </x:c>
      <x:c r="AB35" s="71">
        <x:v>46220</x:v>
      </x:c>
      <x:c r="AC35" s="41" t="s">
        <x:v>52</x:v>
      </x:c>
      <x:c r="AD35">
        <x:f t="shared" si="0"/>
        <x:v>0.96610169491525422</x:v>
      </x:c>
      <x:c r="AE35">
        <x:f t="shared" si="1"/>
        <x:v>1</x:v>
      </x:c>
      <x:c r="AF35" s="227"/>
      <x:c r="AG35" s="228"/>
      <x:c r="AH35" s="229"/>
    </x:row>
    <x:row r="36" ht="25">
      <x:c r="A36" s="27" t="s">
        <x:v>170</x:v>
      </x:c>
      <x:c r="B36" s="9" t="s">
        <x:v>171</x:v>
      </x:c>
      <x:c r="C36" s="5" t="s">
        <x:v>39</x:v>
      </x:c>
      <x:c r="D36" s="9" t="s">
        <x:v>40</x:v>
      </x:c>
      <x:c r="E36" s="9" t="s">
        <x:v>41</x:v>
      </x:c>
      <x:c r="F36" s="5" t="s">
        <x:v>172</x:v>
      </x:c>
      <x:c r="G36" s="5" t="s">
        <x:v>173</x:v>
      </x:c>
      <x:c r="H36" s="15" t="s">
        <x:v>174</x:v>
      </x:c>
      <x:c r="I36" s="15" t="s">
        <x:v>107</x:v>
      </x:c>
      <x:c r="J36" s="5">
        <x:v>2021</x:v>
      </x:c>
      <x:c r="K36" s="15">
        <x:v>37</x:v>
      </x:c>
      <x:c r="L36" s="9">
        <x:v>37</x:v>
      </x:c>
      <x:c r="M36" s="15">
        <x:v>37</x:v>
      </x:c>
      <x:c r="N36" s="15" t="s">
        <x:v>64</x:v>
      </x:c>
      <x:c r="O36" s="5"/>
      <x:c r="P36" s="5"/>
      <x:c r="Q36" s="21" t="s">
        <x:v>47</x:v>
      </x:c>
      <x:c r="R36" s="21"/>
      <x:c r="S36" s="18"/>
      <x:c r="T36" s="9" t="s">
        <x:v>49</x:v>
      </x:c>
      <x:c r="U36" s="9"/>
      <x:c r="V36" s="67">
        <x:v>-2.0998827000000002</x:v>
      </x:c>
      <x:c r="W36" s="9">
        <x:v>106.07701280000001</x:v>
      </x:c>
      <x:c r="X36" s="9"/>
      <x:c r="Y36" s="47"/>
      <x:c r="Z36" s="26" t="s">
        <x:v>50</x:v>
      </x:c>
      <x:c r="AA36" s="39" t="s">
        <x:v>51</x:v>
      </x:c>
      <x:c r="AB36" s="71">
        <x:v>46220</x:v>
      </x:c>
      <x:c r="AC36" s="41" t="s">
        <x:v>52</x:v>
      </x:c>
      <x:c r="AD36">
        <x:f t="shared" si="0"/>
        <x:v>1</x:v>
      </x:c>
      <x:c r="AE36">
        <x:f t="shared" si="1"/>
        <x:v>1</x:v>
      </x:c>
      <x:c r="AF36" s="227"/>
      <x:c r="AG36" s="228"/>
      <x:c r="AH36" s="229"/>
    </x:row>
    <x:row r="37" ht="25">
      <x:c r="A37" s="27" t="s">
        <x:v>175</x:v>
      </x:c>
      <x:c r="B37" s="9" t="s">
        <x:v>176</x:v>
      </x:c>
      <x:c r="C37" s="5" t="s">
        <x:v>39</x:v>
      </x:c>
      <x:c r="D37" s="9" t="s">
        <x:v>40</x:v>
      </x:c>
      <x:c r="E37" s="9" t="s">
        <x:v>177</x:v>
      </x:c>
      <x:c r="F37" s="5" t="s">
        <x:v>178</x:v>
      </x:c>
      <x:c r="G37" s="5" t="s">
        <x:v>62</x:v>
      </x:c>
      <x:c r="H37" s="15" t="s">
        <x:v>62</x:v>
      </x:c>
      <x:c r="I37" s="15" t="s">
        <x:v>62</x:v>
      </x:c>
      <x:c r="J37" s="5">
        <x:v>2019</x:v>
      </x:c>
      <x:c r="K37" s="15">
        <x:v>7</x:v>
      </x:c>
      <x:c r="L37" s="9">
        <x:v>7</x:v>
      </x:c>
      <x:c r="M37" s="15">
        <x:v>7</x:v>
      </x:c>
      <x:c r="N37" s="15" t="s">
        <x:v>64</x:v>
      </x:c>
      <x:c r="O37" s="5"/>
      <x:c r="P37" s="5"/>
      <x:c r="Q37" s="21" t="s">
        <x:v>47</x:v>
      </x:c>
      <x:c r="R37" s="21"/>
      <x:c r="S37" s="18"/>
      <x:c r="T37" s="9"/>
      <x:c r="U37" s="9"/>
      <x:c r="V37" s="67">
        <x:v>-2.1064750000000001</x:v>
      </x:c>
      <x:c r="W37" s="9">
        <x:v>106.09184</x:v>
      </x:c>
      <x:c r="X37" s="9"/>
      <x:c r="Y37" s="47"/>
      <x:c r="Z37" s="26" t="s">
        <x:v>50</x:v>
      </x:c>
      <x:c r="AA37" s="39" t="s">
        <x:v>51</x:v>
      </x:c>
      <x:c r="AB37" s="71">
        <x:v>46220</x:v>
      </x:c>
      <x:c r="AC37" s="41" t="s">
        <x:v>52</x:v>
      </x:c>
      <x:c r="AD37">
        <x:f t="shared" si="0"/>
        <x:v>1</x:v>
      </x:c>
      <x:c r="AE37">
        <x:f t="shared" si="1"/>
        <x:v>1</x:v>
      </x:c>
      <x:c r="AF37" s="227"/>
      <x:c r="AG37" s="228"/>
      <x:c r="AH37" s="229"/>
    </x:row>
    <x:row r="38" ht="25">
      <x:c r="A38" s="27" t="s">
        <x:v>179</x:v>
      </x:c>
      <x:c r="B38" s="9" t="s">
        <x:v>180</x:v>
      </x:c>
      <x:c r="C38" s="5" t="s">
        <x:v>39</x:v>
      </x:c>
      <x:c r="D38" s="9" t="s">
        <x:v>40</x:v>
      </x:c>
      <x:c r="E38" s="9" t="s">
        <x:v>41</x:v>
      </x:c>
      <x:c r="F38" s="5" t="s">
        <x:v>181</x:v>
      </x:c>
      <x:c r="G38" s="5" t="s">
        <x:v>182</x:v>
      </x:c>
      <x:c r="H38" s="15" t="s">
        <x:v>183</x:v>
      </x:c>
      <x:c r="I38" s="15" t="s">
        <x:v>107</x:v>
      </x:c>
      <x:c r="J38" s="5">
        <x:v>2021</x:v>
      </x:c>
      <x:c r="K38" s="15">
        <x:v>81</x:v>
      </x:c>
      <x:c r="L38" s="9">
        <x:v>81</x:v>
      </x:c>
      <x:c r="M38" s="15">
        <x:v>81</x:v>
      </x:c>
      <x:c r="N38" s="15" t="s">
        <x:v>46</x:v>
      </x:c>
      <x:c r="O38" s="5">
        <x:v>2025</x:v>
      </x:c>
      <x:c r="P38" s="5"/>
      <x:c r="Q38" s="21" t="s">
        <x:v>47</x:v>
      </x:c>
      <x:c r="R38" s="21"/>
      <x:c r="S38" s="17" t="s">
        <x:v>48</x:v>
      </x:c>
      <x:c r="T38" s="9"/>
      <x:c r="U38" s="9"/>
      <x:c r="V38" s="67">
        <x:v>-2.1070612</x:v>
      </x:c>
      <x:c r="W38" s="9">
        <x:v>106.0869773</x:v>
      </x:c>
      <x:c r="X38" s="9"/>
      <x:c r="Y38" s="47"/>
      <x:c r="Z38" s="26" t="s">
        <x:v>50</x:v>
      </x:c>
      <x:c r="AA38" s="39" t="s">
        <x:v>51</x:v>
      </x:c>
      <x:c r="AB38" s="71">
        <x:v>46220</x:v>
      </x:c>
      <x:c r="AC38" s="41" t="s">
        <x:v>52</x:v>
      </x:c>
      <x:c r="AD38">
        <x:f t="shared" si="0"/>
        <x:v>1</x:v>
      </x:c>
      <x:c r="AE38">
        <x:f t="shared" si="1"/>
        <x:v>1</x:v>
      </x:c>
      <x:c r="AF38" s="227"/>
      <x:c r="AG38" s="228"/>
      <x:c r="AH38" s="229"/>
    </x:row>
    <x:row r="39" ht="25">
      <x:c r="A39" s="27" t="s">
        <x:v>184</x:v>
      </x:c>
      <x:c r="B39" s="9" t="s">
        <x:v>185</x:v>
      </x:c>
      <x:c r="C39" s="5" t="s">
        <x:v>39</x:v>
      </x:c>
      <x:c r="D39" s="9" t="s">
        <x:v>40</x:v>
      </x:c>
      <x:c r="E39" s="9" t="s">
        <x:v>41</x:v>
      </x:c>
      <x:c r="F39" s="5" t="s">
        <x:v>186</x:v>
      </x:c>
      <x:c r="G39" s="5" t="s">
        <x:v>182</x:v>
      </x:c>
      <x:c r="H39" s="15" t="s">
        <x:v>183</x:v>
      </x:c>
      <x:c r="I39" s="15" t="s">
        <x:v>107</x:v>
      </x:c>
      <x:c r="J39" s="5">
        <x:v>2022</x:v>
      </x:c>
      <x:c r="K39" s="15">
        <x:v>102</x:v>
      </x:c>
      <x:c r="L39" s="9">
        <x:v>102</x:v>
      </x:c>
      <x:c r="M39" s="15">
        <x:v>102</x:v>
      </x:c>
      <x:c r="N39" s="15" t="s">
        <x:v>46</x:v>
      </x:c>
      <x:c r="O39" s="5">
        <x:v>2025</x:v>
      </x:c>
      <x:c r="P39" s="5"/>
      <x:c r="Q39" s="21" t="s">
        <x:v>47</x:v>
      </x:c>
      <x:c r="R39" s="21"/>
      <x:c r="S39" s="17" t="s">
        <x:v>48</x:v>
      </x:c>
      <x:c r="T39" s="9"/>
      <x:c r="U39" s="9"/>
      <x:c r="V39" s="67">
        <x:v>-2.105553</x:v>
      </x:c>
      <x:c r="W39" s="9">
        <x:v>106.078391</x:v>
      </x:c>
      <x:c r="X39" s="9"/>
      <x:c r="Y39" s="47"/>
      <x:c r="Z39" s="26" t="s">
        <x:v>50</x:v>
      </x:c>
      <x:c r="AA39" s="39" t="s">
        <x:v>51</x:v>
      </x:c>
      <x:c r="AB39" s="71">
        <x:v>46220</x:v>
      </x:c>
      <x:c r="AC39" s="41" t="s">
        <x:v>52</x:v>
      </x:c>
      <x:c r="AD39">
        <x:f t="shared" si="0"/>
        <x:v>1</x:v>
      </x:c>
      <x:c r="AE39">
        <x:f t="shared" si="1"/>
        <x:v>1</x:v>
      </x:c>
      <x:c r="AF39" s="227"/>
      <x:c r="AG39" s="228"/>
      <x:c r="AH39" s="229"/>
    </x:row>
    <x:row r="40" ht="25">
      <x:c r="A40" s="27" t="s">
        <x:v>187</x:v>
      </x:c>
      <x:c r="B40" s="9" t="s">
        <x:v>188</x:v>
      </x:c>
      <x:c r="C40" s="5" t="s">
        <x:v>39</x:v>
      </x:c>
      <x:c r="D40" s="9" t="s">
        <x:v>40</x:v>
      </x:c>
      <x:c r="E40" s="9" t="s">
        <x:v>41</x:v>
      </x:c>
      <x:c r="F40" s="5" t="s">
        <x:v>189</x:v>
      </x:c>
      <x:c r="G40" s="5" t="s">
        <x:v>182</x:v>
      </x:c>
      <x:c r="H40" s="15" t="s">
        <x:v>183</x:v>
      </x:c>
      <x:c r="I40" s="15" t="s">
        <x:v>107</x:v>
      </x:c>
      <x:c r="J40" s="5">
        <x:v>2025</x:v>
      </x:c>
      <x:c r="K40" s="15">
        <x:v>40</x:v>
      </x:c>
      <x:c r="L40" s="9">
        <x:v>30</x:v>
      </x:c>
      <x:c r="M40" s="15">
        <x:v>30</x:v>
      </x:c>
      <x:c r="N40" s="15" t="s">
        <x:v>64</x:v>
      </x:c>
      <x:c r="O40" s="5"/>
      <x:c r="P40" s="5"/>
      <x:c r="Q40" s="21" t="s">
        <x:v>47</x:v>
      </x:c>
      <x:c r="R40" s="21" t="s">
        <x:v>110</x:v>
      </x:c>
      <x:c r="S40" s="17" t="s">
        <x:v>48</x:v>
      </x:c>
      <x:c r="T40" s="9"/>
      <x:c r="U40" s="9"/>
      <x:c r="V40" s="67">
        <x:v>-2.1048140000000002</x:v>
      </x:c>
      <x:c r="W40" s="9">
        <x:v>106.07858899999999</x:v>
      </x:c>
      <x:c r="X40" s="9"/>
      <x:c r="Y40" s="47"/>
      <x:c r="Z40" s="26" t="s">
        <x:v>50</x:v>
      </x:c>
      <x:c r="AA40" s="39" t="s">
        <x:v>51</x:v>
      </x:c>
      <x:c r="AB40" s="71">
        <x:v>46220</x:v>
      </x:c>
      <x:c r="AC40" s="41" t="s">
        <x:v>52</x:v>
      </x:c>
      <x:c r="AD40">
        <x:f t="shared" si="0"/>
        <x:v>0.75</x:v>
      </x:c>
      <x:c r="AE40">
        <x:f t="shared" si="1"/>
        <x:v>1</x:v>
      </x:c>
      <x:c r="AF40" s="227"/>
      <x:c r="AG40" s="228"/>
      <x:c r="AH40" s="229"/>
    </x:row>
    <x:row r="41" ht="25">
      <x:c r="A41" s="27" t="s">
        <x:v>190</x:v>
      </x:c>
      <x:c r="B41" s="9" t="s">
        <x:v>191</x:v>
      </x:c>
      <x:c r="C41" s="5" t="s">
        <x:v>39</x:v>
      </x:c>
      <x:c r="D41" s="9" t="s">
        <x:v>40</x:v>
      </x:c>
      <x:c r="E41" s="9" t="s">
        <x:v>41</x:v>
      </x:c>
      <x:c r="F41" s="5" t="s">
        <x:v>192</x:v>
      </x:c>
      <x:c r="G41" s="5" t="s">
        <x:v>193</x:v>
      </x:c>
      <x:c r="H41" s="15" t="s">
        <x:v>194</x:v>
      </x:c>
      <x:c r="I41" s="15" t="s">
        <x:v>107</x:v>
      </x:c>
      <x:c r="J41" s="5">
        <x:v>2021</x:v>
      </x:c>
      <x:c r="K41" s="15">
        <x:v>115</x:v>
      </x:c>
      <x:c r="L41" s="9">
        <x:v>115</x:v>
      </x:c>
      <x:c r="M41" s="15">
        <x:v>115</x:v>
      </x:c>
      <x:c r="N41" s="15" t="s">
        <x:v>64</x:v>
      </x:c>
      <x:c r="O41" s="5"/>
      <x:c r="P41" s="5"/>
      <x:c r="Q41" s="21" t="s">
        <x:v>47</x:v>
      </x:c>
      <x:c r="R41" s="21"/>
      <x:c r="S41" s="18"/>
      <x:c r="T41" s="9"/>
      <x:c r="U41" s="9"/>
      <x:c r="V41" s="67">
        <x:v>-2.1149461000000001</x:v>
      </x:c>
      <x:c r="W41" s="9">
        <x:v>106.0729504</x:v>
      </x:c>
      <x:c r="X41" s="9"/>
      <x:c r="Y41" s="47"/>
      <x:c r="Z41" s="26" t="s">
        <x:v>50</x:v>
      </x:c>
      <x:c r="AA41" s="39" t="s">
        <x:v>51</x:v>
      </x:c>
      <x:c r="AB41" s="71">
        <x:v>46220</x:v>
      </x:c>
      <x:c r="AC41" s="41" t="s">
        <x:v>52</x:v>
      </x:c>
      <x:c r="AD41">
        <x:f t="shared" si="0"/>
        <x:v>1</x:v>
      </x:c>
      <x:c r="AE41">
        <x:f t="shared" si="1"/>
        <x:v>1</x:v>
      </x:c>
      <x:c r="AF41" s="227"/>
      <x:c r="AG41" s="228"/>
      <x:c r="AH41" s="229"/>
    </x:row>
    <x:row r="42" ht="25">
      <x:c r="A42" s="27" t="s">
        <x:v>195</x:v>
      </x:c>
      <x:c r="B42" s="9" t="s">
        <x:v>196</x:v>
      </x:c>
      <x:c r="C42" s="5" t="s">
        <x:v>39</x:v>
      </x:c>
      <x:c r="D42" s="9" t="s">
        <x:v>40</x:v>
      </x:c>
      <x:c r="E42" s="9" t="s">
        <x:v>41</x:v>
      </x:c>
      <x:c r="F42" s="5" t="s">
        <x:v>192</x:v>
      </x:c>
      <x:c r="G42" s="5" t="s">
        <x:v>193</x:v>
      </x:c>
      <x:c r="H42" s="15" t="s">
        <x:v>194</x:v>
      </x:c>
      <x:c r="I42" s="15" t="s">
        <x:v>107</x:v>
      </x:c>
      <x:c r="J42" s="5">
        <x:v>2023</x:v>
      </x:c>
      <x:c r="K42" s="15">
        <x:v>36</x:v>
      </x:c>
      <x:c r="L42" s="9">
        <x:v>36</x:v>
      </x:c>
      <x:c r="M42" s="15">
        <x:v>36</x:v>
      </x:c>
      <x:c r="N42" s="15" t="s">
        <x:v>64</x:v>
      </x:c>
      <x:c r="O42" s="5"/>
      <x:c r="P42" s="5"/>
      <x:c r="Q42" s="21" t="s">
        <x:v>47</x:v>
      </x:c>
      <x:c r="R42" s="21"/>
      <x:c r="S42" s="18"/>
      <x:c r="T42" s="9"/>
      <x:c r="U42" s="9"/>
      <x:c r="V42" s="67">
        <x:v>-2.1140292999999999</x:v>
      </x:c>
      <x:c r="W42" s="9">
        <x:v>106.0734587</x:v>
      </x:c>
      <x:c r="X42" s="9"/>
      <x:c r="Y42" s="47"/>
      <x:c r="Z42" s="26" t="s">
        <x:v>50</x:v>
      </x:c>
      <x:c r="AA42" s="39" t="s">
        <x:v>51</x:v>
      </x:c>
      <x:c r="AB42" s="71">
        <x:v>46220</x:v>
      </x:c>
      <x:c r="AC42" s="41" t="s">
        <x:v>52</x:v>
      </x:c>
      <x:c r="AD42">
        <x:f t="shared" si="0"/>
        <x:v>1</x:v>
      </x:c>
      <x:c r="AE42">
        <x:f t="shared" si="1"/>
        <x:v>1</x:v>
      </x:c>
      <x:c r="AF42" s="227"/>
      <x:c r="AG42" s="228"/>
      <x:c r="AH42" s="229"/>
    </x:row>
    <x:row r="43" ht="25">
      <x:c r="A43" s="27" t="s">
        <x:v>197</x:v>
      </x:c>
      <x:c r="B43" s="9" t="s">
        <x:v>198</x:v>
      </x:c>
      <x:c r="C43" s="5" t="s">
        <x:v>39</x:v>
      </x:c>
      <x:c r="D43" s="9" t="s">
        <x:v>40</x:v>
      </x:c>
      <x:c r="E43" s="9" t="s">
        <x:v>41</x:v>
      </x:c>
      <x:c r="F43" s="5" t="s">
        <x:v>132</x:v>
      </x:c>
      <x:c r="G43" s="5" t="s">
        <x:v>193</x:v>
      </x:c>
      <x:c r="H43" s="15" t="s">
        <x:v>194</x:v>
      </x:c>
      <x:c r="I43" s="15" t="s">
        <x:v>107</x:v>
      </x:c>
      <x:c r="J43" s="5">
        <x:v>2024</x:v>
      </x:c>
      <x:c r="K43" s="15">
        <x:v>92</x:v>
      </x:c>
      <x:c r="L43" s="9">
        <x:v>0</x:v>
      </x:c>
      <x:c r="M43" s="15">
        <x:v>0</x:v>
      </x:c>
      <x:c r="N43" s="15" t="s">
        <x:v>64</x:v>
      </x:c>
      <x:c r="O43" s="5"/>
      <x:c r="P43" s="5"/>
      <x:c r="Q43" s="21" t="s">
        <x:v>47</x:v>
      </x:c>
      <x:c r="R43" s="21"/>
      <x:c r="S43" s="18"/>
      <x:c r="T43" s="9"/>
      <x:c r="U43" s="9"/>
      <x:c r="V43" s="67">
        <x:v>-2.1030522999999999</x:v>
      </x:c>
      <x:c r="W43" s="9">
        <x:v>106.0597731</x:v>
      </x:c>
      <x:c r="X43" s="9"/>
      <x:c r="Y43" s="47"/>
      <x:c r="Z43" s="26" t="s">
        <x:v>50</x:v>
      </x:c>
      <x:c r="AA43" s="39" t="s">
        <x:v>51</x:v>
      </x:c>
      <x:c r="AB43" s="71">
        <x:v>46220</x:v>
      </x:c>
      <x:c r="AC43" s="41" t="s">
        <x:v>52</x:v>
      </x:c>
      <x:c r="AD43">
        <x:f t="shared" si="0"/>
        <x:v>0</x:v>
      </x:c>
      <x:c r="AE43">
        <x:f t="shared" si="1"/>
        <x:v>0</x:v>
      </x:c>
      <x:c r="AF43" s="227"/>
      <x:c r="AG43" s="228"/>
      <x:c r="AH43" s="229"/>
    </x:row>
    <x:row r="44" ht="25">
      <x:c r="A44" s="27" t="s">
        <x:v>199</x:v>
      </x:c>
      <x:c r="B44" s="9" t="s">
        <x:v>200</x:v>
      </x:c>
      <x:c r="C44" s="5" t="s">
        <x:v>39</x:v>
      </x:c>
      <x:c r="D44" s="9" t="s">
        <x:v>40</x:v>
      </x:c>
      <x:c r="E44" s="9" t="s">
        <x:v>41</x:v>
      </x:c>
      <x:c r="F44" s="5" t="s">
        <x:v>132</x:v>
      </x:c>
      <x:c r="G44" s="5" t="s">
        <x:v>193</x:v>
      </x:c>
      <x:c r="H44" s="15" t="s">
        <x:v>194</x:v>
      </x:c>
      <x:c r="I44" s="15" t="s">
        <x:v>107</x:v>
      </x:c>
      <x:c r="J44" s="5">
        <x:v>2024</x:v>
      </x:c>
      <x:c r="K44" s="15">
        <x:v>136</x:v>
      </x:c>
      <x:c r="L44" s="9">
        <x:v>34</x:v>
      </x:c>
      <x:c r="M44" s="15">
        <x:v>10</x:v>
      </x:c>
      <x:c r="N44" s="15" t="s">
        <x:v>64</x:v>
      </x:c>
      <x:c r="O44" s="5"/>
      <x:c r="P44" s="5"/>
      <x:c r="Q44" s="21" t="s">
        <x:v>47</x:v>
      </x:c>
      <x:c r="R44" s="21"/>
      <x:c r="S44" s="18"/>
      <x:c r="T44" s="9"/>
      <x:c r="U44" s="9"/>
      <x:c r="V44" s="67">
        <x:v>-2.1030522999999999</x:v>
      </x:c>
      <x:c r="W44" s="9">
        <x:v>106.0597731</x:v>
      </x:c>
      <x:c r="X44" s="9"/>
      <x:c r="Y44" s="47"/>
      <x:c r="Z44" s="26" t="s">
        <x:v>50</x:v>
      </x:c>
      <x:c r="AA44" s="39" t="s">
        <x:v>51</x:v>
      </x:c>
      <x:c r="AB44" s="71">
        <x:v>46220</x:v>
      </x:c>
      <x:c r="AC44" s="41" t="s">
        <x:v>52</x:v>
      </x:c>
      <x:c r="AD44">
        <x:f t="shared" si="0"/>
        <x:v>0.25</x:v>
      </x:c>
      <x:c r="AE44">
        <x:f t="shared" si="1"/>
        <x:v>0.29411764705882354</x:v>
      </x:c>
      <x:c r="AF44" s="227"/>
      <x:c r="AG44" s="228"/>
      <x:c r="AH44" s="229"/>
    </x:row>
    <x:row r="45" ht="25">
      <x:c r="A45" s="27" t="s">
        <x:v>201</x:v>
      </x:c>
      <x:c r="B45" s="9" t="s">
        <x:v>202</x:v>
      </x:c>
      <x:c r="C45" s="5" t="s">
        <x:v>39</x:v>
      </x:c>
      <x:c r="D45" s="9" t="s">
        <x:v>75</x:v>
      </x:c>
      <x:c r="E45" s="9" t="s">
        <x:v>114</x:v>
      </x:c>
      <x:c r="F45" s="5" t="s">
        <x:v>203</x:v>
      </x:c>
      <x:c r="G45" s="5" t="s">
        <x:v>204</x:v>
      </x:c>
      <x:c r="H45" s="15" t="s">
        <x:v>205</x:v>
      </x:c>
      <x:c r="I45" s="15" t="s">
        <x:v>80</x:v>
      </x:c>
      <x:c r="J45" s="5">
        <x:v>2017</x:v>
      </x:c>
      <x:c r="K45" s="15">
        <x:v>138</x:v>
      </x:c>
      <x:c r="L45" s="9">
        <x:v>132</x:v>
      </x:c>
      <x:c r="M45" s="15">
        <x:v>122</x:v>
      </x:c>
      <x:c r="N45" s="15" t="s">
        <x:v>46</x:v>
      </x:c>
      <x:c r="O45" s="5">
        <x:v>2022</x:v>
      </x:c>
      <x:c r="P45" s="5"/>
      <x:c r="Q45" s="21" t="s">
        <x:v>47</x:v>
      </x:c>
      <x:c r="R45" s="21" t="s">
        <x:v>143</x:v>
      </x:c>
      <x:c r="S45" s="18"/>
      <x:c r="T45" s="9"/>
      <x:c r="U45" s="9"/>
      <x:c r="V45" s="67">
        <x:v>-2.0896949999999999</x:v>
      </x:c>
      <x:c r="W45" s="9">
        <x:v>106.10564100000001</x:v>
      </x:c>
      <x:c r="X45" s="9"/>
      <x:c r="Y45" s="47"/>
      <x:c r="Z45" s="26" t="s">
        <x:v>50</x:v>
      </x:c>
      <x:c r="AA45" s="39" t="s">
        <x:v>51</x:v>
      </x:c>
      <x:c r="AB45" s="71">
        <x:v>46220</x:v>
      </x:c>
      <x:c r="AC45" s="41" t="s">
        <x:v>52</x:v>
      </x:c>
      <x:c r="AD45">
        <x:f t="shared" si="0"/>
        <x:v>0.95652173913043481</x:v>
      </x:c>
      <x:c r="AE45">
        <x:f t="shared" si="1"/>
        <x:v>0.9242424242424242</x:v>
      </x:c>
      <x:c r="AF45" s="227"/>
      <x:c r="AG45" s="228"/>
      <x:c r="AH45" s="229"/>
    </x:row>
    <x:row r="46" ht="25">
      <x:c r="A46" s="27" t="s">
        <x:v>206</x:v>
      </x:c>
      <x:c r="B46" s="9" t="s">
        <x:v>207</x:v>
      </x:c>
      <x:c r="C46" s="5" t="s">
        <x:v>39</x:v>
      </x:c>
      <x:c r="D46" s="9" t="s">
        <x:v>75</x:v>
      </x:c>
      <x:c r="E46" s="9" t="s">
        <x:v>87</x:v>
      </x:c>
      <x:c r="F46" s="5" t="s">
        <x:v>99</x:v>
      </x:c>
      <x:c r="G46" s="5" t="s">
        <x:v>62</x:v>
      </x:c>
      <x:c r="H46" s="15" t="s">
        <x:v>62</x:v>
      </x:c>
      <x:c r="I46" s="15" t="s">
        <x:v>62</x:v>
      </x:c>
      <x:c r="J46" s="5">
        <x:v>2017</x:v>
      </x:c>
      <x:c r="K46" s="15">
        <x:v>50</x:v>
      </x:c>
      <x:c r="L46" s="9">
        <x:v>50</x:v>
      </x:c>
      <x:c r="M46" s="15">
        <x:v>50</x:v>
      </x:c>
      <x:c r="N46" s="15" t="s">
        <x:v>64</x:v>
      </x:c>
      <x:c r="O46" s="5"/>
      <x:c r="P46" s="5"/>
      <x:c r="Q46" s="21" t="s">
        <x:v>47</x:v>
      </x:c>
      <x:c r="R46" s="21"/>
      <x:c r="S46" s="18"/>
      <x:c r="T46" s="9"/>
      <x:c r="U46" s="9"/>
      <x:c r="V46" s="67">
        <x:v>-2.084692</x:v>
      </x:c>
      <x:c r="W46" s="9">
        <x:v>106.09772599999999</x:v>
      </x:c>
      <x:c r="X46" s="9"/>
      <x:c r="Y46" s="47"/>
      <x:c r="Z46" s="26" t="s">
        <x:v>50</x:v>
      </x:c>
      <x:c r="AA46" s="39" t="s">
        <x:v>51</x:v>
      </x:c>
      <x:c r="AB46" s="71">
        <x:v>46220</x:v>
      </x:c>
      <x:c r="AC46" s="41" t="s">
        <x:v>52</x:v>
      </x:c>
      <x:c r="AD46">
        <x:f t="shared" si="0"/>
        <x:v>1</x:v>
      </x:c>
      <x:c r="AE46">
        <x:f t="shared" si="1"/>
        <x:v>1</x:v>
      </x:c>
      <x:c r="AF46" s="227"/>
      <x:c r="AG46" s="228"/>
      <x:c r="AH46" s="229"/>
    </x:row>
    <x:row r="47" ht="25">
      <x:c r="A47" s="27" t="s">
        <x:v>208</x:v>
      </x:c>
      <x:c r="B47" s="9" t="s">
        <x:v>209</x:v>
      </x:c>
      <x:c r="C47" s="5" t="s">
        <x:v>39</x:v>
      </x:c>
      <x:c r="D47" s="9" t="s">
        <x:v>102</x:v>
      </x:c>
      <x:c r="E47" s="9" t="s">
        <x:v>120</x:v>
      </x:c>
      <x:c r="F47" s="5" t="s">
        <x:v>210</x:v>
      </x:c>
      <x:c r="G47" s="5" t="s">
        <x:v>211</x:v>
      </x:c>
      <x:c r="H47" s="15" t="s">
        <x:v>212</x:v>
      </x:c>
      <x:c r="I47" s="15" t="s">
        <x:v>107</x:v>
      </x:c>
      <x:c r="J47" s="5">
        <x:v>2019</x:v>
      </x:c>
      <x:c r="K47" s="15">
        <x:v>228</x:v>
      </x:c>
      <x:c r="L47" s="9">
        <x:v>140</x:v>
      </x:c>
      <x:c r="M47" s="15">
        <x:v>140</x:v>
      </x:c>
      <x:c r="N47" s="15" t="s">
        <x:v>64</x:v>
      </x:c>
      <x:c r="O47" s="5"/>
      <x:c r="P47" s="5"/>
      <x:c r="Q47" s="21" t="s">
        <x:v>47</x:v>
      </x:c>
      <x:c r="R47" s="21"/>
      <x:c r="S47" s="18"/>
      <x:c r="T47" s="9"/>
      <x:c r="U47" s="9"/>
      <x:c r="V47" s="67">
        <x:v>-2.1513855</x:v>
      </x:c>
      <x:c r="W47" s="9">
        <x:v>106.1672731</x:v>
      </x:c>
      <x:c r="X47" s="9"/>
      <x:c r="Y47" s="47"/>
      <x:c r="Z47" s="26" t="s">
        <x:v>50</x:v>
      </x:c>
      <x:c r="AA47" s="39" t="s">
        <x:v>51</x:v>
      </x:c>
      <x:c r="AB47" s="71">
        <x:v>46220</x:v>
      </x:c>
      <x:c r="AC47" s="41" t="s">
        <x:v>52</x:v>
      </x:c>
      <x:c r="AD47">
        <x:f t="shared" si="0"/>
        <x:v>0.61403508771929827</x:v>
      </x:c>
      <x:c r="AE47">
        <x:f t="shared" si="1"/>
        <x:v>1</x:v>
      </x:c>
      <x:c r="AF47" s="227"/>
      <x:c r="AG47" s="228"/>
      <x:c r="AH47" s="229"/>
    </x:row>
    <x:row r="48" ht="25">
      <x:c r="A48" s="27" t="s">
        <x:v>213</x:v>
      </x:c>
      <x:c r="B48" s="9" t="s">
        <x:v>214</x:v>
      </x:c>
      <x:c r="C48" s="5" t="s">
        <x:v>39</x:v>
      </x:c>
      <x:c r="D48" s="9" t="s">
        <x:v>102</x:v>
      </x:c>
      <x:c r="E48" s="9" t="s">
        <x:v>120</x:v>
      </x:c>
      <x:c r="F48" s="5" t="s">
        <x:v>215</x:v>
      </x:c>
      <x:c r="G48" s="5" t="s">
        <x:v>216</x:v>
      </x:c>
      <x:c r="H48" s="15" t="s">
        <x:v>217</x:v>
      </x:c>
      <x:c r="I48" s="15" t="s">
        <x:v>218</x:v>
      </x:c>
      <x:c r="J48" s="5">
        <x:v>2021</x:v>
      </x:c>
      <x:c r="K48" s="15">
        <x:v>46</x:v>
      </x:c>
      <x:c r="L48" s="9">
        <x:v>46</x:v>
      </x:c>
      <x:c r="M48" s="15">
        <x:v>46</x:v>
      </x:c>
      <x:c r="N48" s="15" t="s">
        <x:v>46</x:v>
      </x:c>
      <x:c r="O48" s="5">
        <x:v>2025</x:v>
      </x:c>
      <x:c r="P48" s="5"/>
      <x:c r="Q48" s="21" t="s">
        <x:v>47</x:v>
      </x:c>
      <x:c r="R48" s="21"/>
      <x:c r="S48" s="17" t="s">
        <x:v>48</x:v>
      </x:c>
      <x:c r="T48" s="9"/>
      <x:c r="U48" s="9"/>
      <x:c r="V48" s="67">
        <x:v>-2.1406580000000002</x:v>
      </x:c>
      <x:c r="W48" s="9">
        <x:v>106.167591</x:v>
      </x:c>
      <x:c r="X48" s="9"/>
      <x:c r="Y48" s="47"/>
      <x:c r="Z48" s="26" t="s">
        <x:v>50</x:v>
      </x:c>
      <x:c r="AA48" s="39" t="s">
        <x:v>51</x:v>
      </x:c>
      <x:c r="AB48" s="71">
        <x:v>46220</x:v>
      </x:c>
      <x:c r="AC48" s="41" t="s">
        <x:v>52</x:v>
      </x:c>
      <x:c r="AD48">
        <x:f t="shared" si="0"/>
        <x:v>1</x:v>
      </x:c>
      <x:c r="AE48">
        <x:f t="shared" si="1"/>
        <x:v>1</x:v>
      </x:c>
      <x:c r="AF48" s="227"/>
      <x:c r="AG48" s="228"/>
      <x:c r="AH48" s="229"/>
    </x:row>
    <x:row r="49" ht="29.5" customHeight="1">
      <x:c r="A49" s="27" t="s">
        <x:v>219</x:v>
      </x:c>
      <x:c r="B49" s="9" t="s">
        <x:v>220</x:v>
      </x:c>
      <x:c r="C49" s="5" t="s">
        <x:v>39</x:v>
      </x:c>
      <x:c r="D49" s="9" t="s">
        <x:v>75</x:v>
      </x:c>
      <x:c r="E49" s="9" t="s">
        <x:v>87</x:v>
      </x:c>
      <x:c r="F49" s="5" t="s">
        <x:v>221</x:v>
      </x:c>
      <x:c r="G49" s="5" t="s">
        <x:v>216</x:v>
      </x:c>
      <x:c r="H49" s="15" t="s">
        <x:v>217</x:v>
      </x:c>
      <x:c r="I49" s="15" t="s">
        <x:v>218</x:v>
      </x:c>
      <x:c r="J49" s="5">
        <x:v>2025</x:v>
      </x:c>
      <x:c r="K49" s="15">
        <x:v>42</x:v>
      </x:c>
      <x:c r="L49" s="9">
        <x:v>42</x:v>
      </x:c>
      <x:c r="M49" s="15">
        <x:v>42</x:v>
      </x:c>
      <x:c r="N49" s="15" t="s">
        <x:v>64</x:v>
      </x:c>
      <x:c r="O49" s="5"/>
      <x:c r="P49" s="5">
        <x:v>577</x:v>
      </x:c>
      <x:c r="Q49" s="21" t="s">
        <x:v>47</x:v>
      </x:c>
      <x:c r="R49" s="21"/>
      <x:c r="S49" s="17" t="s">
        <x:v>48</x:v>
      </x:c>
      <x:c r="T49" s="9"/>
      <x:c r="U49" s="9"/>
      <x:c r="V49" s="67">
        <x:v>-2.0999257440000001</x:v>
      </x:c>
      <x:c r="W49" s="9">
        <x:v>106.09759141000001</x:v>
      </x:c>
      <x:c r="X49" s="9" t="s">
        <x:v>222</x:v>
      </x:c>
      <x:c r="Y49" s="47">
        <x:v>2026</x:v>
      </x:c>
      <x:c r="Z49" s="26" t="s">
        <x:v>50</x:v>
      </x:c>
      <x:c r="AA49" s="39" t="s">
        <x:v>223</x:v>
      </x:c>
      <x:c r="AB49" s="71">
        <x:v>46250</x:v>
      </x:c>
      <x:c r="AC49" s="41" t="s">
        <x:v>52</x:v>
      </x:c>
      <x:c r="AD49">
        <x:f t="shared" si="0"/>
        <x:v>1</x:v>
      </x:c>
      <x:c r="AE49">
        <x:f t="shared" si="1"/>
        <x:v>1</x:v>
      </x:c>
      <x:c r="AF49" s="227">
        <x:v>5738</x:v>
      </x:c>
      <x:c r="AG49" s="228">
        <x:v>4041.1</x:v>
      </x:c>
      <x:c r="AH49" s="229">
        <x:v>1696.9</x:v>
      </x:c>
    </x:row>
    <x:row r="50" ht="25">
      <x:c r="A50" s="27" t="s">
        <x:v>224</x:v>
      </x:c>
      <x:c r="B50" s="9" t="s">
        <x:v>225</x:v>
      </x:c>
      <x:c r="C50" s="5" t="s">
        <x:v>226</x:v>
      </x:c>
      <x:c r="D50" s="9" t="s">
        <x:v>40</x:v>
      </x:c>
      <x:c r="E50" s="9" t="s">
        <x:v>41</x:v>
      </x:c>
      <x:c r="F50" s="5" t="s">
        <x:v>227</x:v>
      </x:c>
      <x:c r="G50" s="5" t="s">
        <x:v>62</x:v>
      </x:c>
      <x:c r="H50" s="15" t="s">
        <x:v>62</x:v>
      </x:c>
      <x:c r="I50" s="15" t="s">
        <x:v>62</x:v>
      </x:c>
      <x:c r="J50" s="5">
        <x:v>2015</x:v>
      </x:c>
      <x:c r="K50" s="15">
        <x:v>34</x:v>
      </x:c>
      <x:c r="L50" s="9">
        <x:v>4</x:v>
      </x:c>
      <x:c r="M50" s="15">
        <x:v>4</x:v>
      </x:c>
      <x:c r="N50" s="15" t="s">
        <x:v>64</x:v>
      </x:c>
      <x:c r="O50" s="5"/>
      <x:c r="P50" s="5"/>
      <x:c r="Q50" s="21" t="s">
        <x:v>89</x:v>
      </x:c>
      <x:c r="R50" s="21"/>
      <x:c r="S50" s="18"/>
      <x:c r="T50" s="9"/>
      <x:c r="U50" s="9"/>
      <x:c r="V50" s="67">
        <x:v>-2.1156009</x:v>
      </x:c>
      <x:c r="W50" s="9">
        <x:v>106.0769555</x:v>
      </x:c>
      <x:c r="X50" s="9"/>
      <x:c r="Y50" s="47"/>
      <x:c r="Z50" s="26" t="s">
        <x:v>50</x:v>
      </x:c>
      <x:c r="AA50" s="39" t="s">
        <x:v>51</x:v>
      </x:c>
      <x:c r="AB50" s="71">
        <x:v>46220</x:v>
      </x:c>
      <x:c r="AC50" s="41" t="s">
        <x:v>52</x:v>
      </x:c>
      <x:c r="AD50">
        <x:f t="shared" si="0"/>
        <x:v>0.11764705882352941</x:v>
      </x:c>
      <x:c r="AE50">
        <x:f t="shared" si="1"/>
        <x:v>1</x:v>
      </x:c>
      <x:c r="AF50" s="227"/>
      <x:c r="AG50" s="228"/>
      <x:c r="AH50" s="229"/>
    </x:row>
    <x:row r="51" ht="25">
      <x:c r="A51" s="27" t="s">
        <x:v>228</x:v>
      </x:c>
      <x:c r="B51" s="9" t="s">
        <x:v>229</x:v>
      </x:c>
      <x:c r="C51" s="5" t="s">
        <x:v>39</x:v>
      </x:c>
      <x:c r="D51" s="9" t="s">
        <x:v>75</x:v>
      </x:c>
      <x:c r="E51" s="9" t="s">
        <x:v>114</x:v>
      </x:c>
      <x:c r="F51" s="5" t="s">
        <x:v>203</x:v>
      </x:c>
      <x:c r="G51" s="5" t="s">
        <x:v>230</x:v>
      </x:c>
      <x:c r="H51" s="15" t="s">
        <x:v>231</x:v>
      </x:c>
      <x:c r="I51" s="15" t="s">
        <x:v>218</x:v>
      </x:c>
      <x:c r="J51" s="5">
        <x:v>2019</x:v>
      </x:c>
      <x:c r="K51" s="15">
        <x:v>71</x:v>
      </x:c>
      <x:c r="L51" s="9">
        <x:v>12</x:v>
      </x:c>
      <x:c r="M51" s="15">
        <x:v>7</x:v>
      </x:c>
      <x:c r="N51" s="15" t="s">
        <x:v>64</x:v>
      </x:c>
      <x:c r="O51" s="5"/>
      <x:c r="P51" s="5"/>
      <x:c r="Q51" s="21" t="s">
        <x:v>47</x:v>
      </x:c>
      <x:c r="R51" s="21" t="s">
        <x:v>110</x:v>
      </x:c>
      <x:c r="S51" s="18"/>
      <x:c r="T51" s="9"/>
      <x:c r="U51" s="9"/>
      <x:c r="V51" s="67">
        <x:v>-2.0902853000000001</x:v>
      </x:c>
      <x:c r="W51" s="9">
        <x:v>106.1002032</x:v>
      </x:c>
      <x:c r="X51" s="9"/>
      <x:c r="Y51" s="47"/>
      <x:c r="Z51" s="26" t="s">
        <x:v>50</x:v>
      </x:c>
      <x:c r="AA51" s="39" t="s">
        <x:v>51</x:v>
      </x:c>
      <x:c r="AB51" s="71">
        <x:v>46220</x:v>
      </x:c>
      <x:c r="AC51" s="41" t="s">
        <x:v>52</x:v>
      </x:c>
      <x:c r="AD51">
        <x:f t="shared" si="0"/>
        <x:v>0.16901408450704225</x:v>
      </x:c>
      <x:c r="AE51">
        <x:f t="shared" si="1"/>
        <x:v>0.58333333333333337</x:v>
      </x:c>
      <x:c r="AF51" s="227"/>
      <x:c r="AG51" s="228"/>
      <x:c r="AH51" s="229"/>
    </x:row>
    <x:row r="52" ht="22.399999618530273" customHeight="1">
      <x:c r="A52" s="27" t="s">
        <x:v>232</x:v>
      </x:c>
      <x:c r="B52" s="9" t="s">
        <x:v>233</x:v>
      </x:c>
      <x:c r="C52" s="5" t="s">
        <x:v>39</x:v>
      </x:c>
      <x:c r="D52" s="9" t="s">
        <x:v>40</x:v>
      </x:c>
      <x:c r="E52" s="9" t="s">
        <x:v>177</x:v>
      </x:c>
      <x:c r="F52" s="5" t="s">
        <x:v>234</x:v>
      </x:c>
      <x:c r="G52" s="5" t="s">
        <x:v>235</x:v>
      </x:c>
      <x:c r="H52" s="15" t="s">
        <x:v>236</x:v>
      </x:c>
      <x:c r="I52" s="15"/>
      <x:c r="J52" s="5">
        <x:v>2026</x:v>
      </x:c>
      <x:c r="K52" s="15">
        <x:v>43</x:v>
      </x:c>
      <x:c r="L52" s="9">
        <x:v>0</x:v>
      </x:c>
      <x:c r="M52" s="15">
        <x:v>0</x:v>
      </x:c>
      <x:c r="N52" s="15" t="s">
        <x:v>64</x:v>
      </x:c>
      <x:c r="O52" s="5"/>
      <x:c r="P52" s="5">
        <x:v>665</x:v>
      </x:c>
      <x:c r="Q52" s="21" t="s">
        <x:v>47</x:v>
      </x:c>
      <x:c r="R52" s="21" t="s">
        <x:v>110</x:v>
      </x:c>
      <x:c r="S52" s="17" t="s">
        <x:v>48</x:v>
      </x:c>
      <x:c r="T52" s="9"/>
      <x:c r="U52" s="9"/>
      <x:c r="V52" s="67">
        <x:v>-2.1074062009999999</x:v>
      </x:c>
      <x:c r="W52" s="9">
        <x:v>106.094350801</x:v>
      </x:c>
      <x:c r="X52" s="9" t="s">
        <x:v>237</x:v>
      </x:c>
      <x:c r="Y52" s="47">
        <x:v>2026</x:v>
      </x:c>
      <x:c r="Z52" s="26" t="s">
        <x:v>50</x:v>
      </x:c>
      <x:c r="AA52" s="39" t="s">
        <x:v>223</x:v>
      </x:c>
      <x:c r="AB52" s="71">
        <x:v>46250</x:v>
      </x:c>
      <x:c r="AC52" s="41" t="s">
        <x:v>52</x:v>
      </x:c>
      <x:c r="AF52" s="227">
        <x:v>6191</x:v>
      </x:c>
      <x:c r="AG52" s="228">
        <x:v>4082</x:v>
      </x:c>
      <x:c r="AH52" s="229">
        <x:v>2109</x:v>
      </x:c>
    </x:row>
    <x:row r="53" ht="25">
      <x:c r="A53" s="27" t="s">
        <x:v>238</x:v>
      </x:c>
      <x:c r="B53" s="9" t="s">
        <x:v>239</x:v>
      </x:c>
      <x:c r="C53" s="5" t="s">
        <x:v>226</x:v>
      </x:c>
      <x:c r="D53" s="9" t="s">
        <x:v>40</x:v>
      </x:c>
      <x:c r="E53" s="9" t="s">
        <x:v>177</x:v>
      </x:c>
      <x:c r="F53" s="5" t="s">
        <x:v>240</x:v>
      </x:c>
      <x:c r="G53" s="5" t="s">
        <x:v>204</x:v>
      </x:c>
      <x:c r="H53" s="15" t="s">
        <x:v>241</x:v>
      </x:c>
      <x:c r="I53" s="15" t="s">
        <x:v>80</x:v>
      </x:c>
      <x:c r="J53" s="5">
        <x:v>2014</x:v>
      </x:c>
      <x:c r="K53" s="15">
        <x:v>43</x:v>
      </x:c>
      <x:c r="L53" s="9">
        <x:v>43</x:v>
      </x:c>
      <x:c r="M53" s="15">
        <x:v>43</x:v>
      </x:c>
      <x:c r="N53" s="15" t="s">
        <x:v>64</x:v>
      </x:c>
      <x:c r="O53" s="5"/>
      <x:c r="P53" s="5"/>
      <x:c r="Q53" s="21" t="s">
        <x:v>47</x:v>
      </x:c>
      <x:c r="R53" s="21"/>
      <x:c r="S53" s="17" t="s">
        <x:v>242</x:v>
      </x:c>
      <x:c r="T53" s="9"/>
      <x:c r="U53" s="9"/>
      <x:c r="V53" s="67">
        <x:v>-2.1100943999999999</x:v>
      </x:c>
      <x:c r="W53" s="9">
        <x:v>106.0959122</x:v>
      </x:c>
      <x:c r="X53" s="9"/>
      <x:c r="Y53" s="47"/>
      <x:c r="Z53" s="26" t="s">
        <x:v>50</x:v>
      </x:c>
      <x:c r="AA53" s="39" t="s">
        <x:v>51</x:v>
      </x:c>
      <x:c r="AB53" s="71">
        <x:v>46220</x:v>
      </x:c>
      <x:c r="AC53" s="41" t="s">
        <x:v>52</x:v>
      </x:c>
      <x:c r="AD53" t="n">
        <x:f t="shared" ref="AD53:AD84" si="2">IF(A53="","",IFERROR(L53/K53,0))</x:f>
        <x:v>1</x:v>
      </x:c>
      <x:c r="AE53" t="n">
        <x:f t="shared" ref="AE53:AE84" si="3">IF(A53="","",IFERROR(M53/L53,0))</x:f>
        <x:v>1</x:v>
      </x:c>
      <x:c r="AF53" s="227"/>
      <x:c r="AG53" s="228"/>
      <x:c r="AH53" s="229"/>
    </x:row>
    <x:row r="54" ht="25">
      <x:c r="A54" s="27" t="s">
        <x:v>243</x:v>
      </x:c>
      <x:c r="B54" s="9" t="s">
        <x:v>244</x:v>
      </x:c>
      <x:c r="C54" s="5" t="s">
        <x:v>226</x:v>
      </x:c>
      <x:c r="D54" s="9" t="s">
        <x:v>40</x:v>
      </x:c>
      <x:c r="E54" s="9" t="s">
        <x:v>177</x:v>
      </x:c>
      <x:c r="F54" s="5" t="s">
        <x:v>245</x:v>
      </x:c>
      <x:c r="G54" s="5" t="s">
        <x:v>204</x:v>
      </x:c>
      <x:c r="H54" s="15" t="s">
        <x:v>241</x:v>
      </x:c>
      <x:c r="I54" s="15" t="s">
        <x:v>80</x:v>
      </x:c>
      <x:c r="J54" s="5">
        <x:v>2015</x:v>
      </x:c>
      <x:c r="K54" s="15">
        <x:v>15</x:v>
      </x:c>
      <x:c r="L54" s="9">
        <x:v>15</x:v>
      </x:c>
      <x:c r="M54" s="15">
        <x:v>9</x:v>
      </x:c>
      <x:c r="N54" s="15" t="s">
        <x:v>64</x:v>
      </x:c>
      <x:c r="O54" s="5"/>
      <x:c r="P54" s="5"/>
      <x:c r="Q54" s="21" t="s">
        <x:v>47</x:v>
      </x:c>
      <x:c r="R54" s="21"/>
      <x:c r="S54" s="17" t="s">
        <x:v>242</x:v>
      </x:c>
      <x:c r="T54" s="9"/>
      <x:c r="U54" s="9"/>
      <x:c r="V54" s="67">
        <x:v>-2.1096020000000002</x:v>
      </x:c>
      <x:c r="W54" s="9">
        <x:v>106.09485599999999</x:v>
      </x:c>
      <x:c r="X54" s="9"/>
      <x:c r="Y54" s="47"/>
      <x:c r="Z54" s="26" t="s">
        <x:v>50</x:v>
      </x:c>
      <x:c r="AA54" s="39" t="s">
        <x:v>51</x:v>
      </x:c>
      <x:c r="AB54" s="71">
        <x:v>46220</x:v>
      </x:c>
      <x:c r="AC54" s="41" t="s">
        <x:v>52</x:v>
      </x:c>
      <x:c r="AD54">
        <x:f t="shared" si="2"/>
        <x:v>1</x:v>
      </x:c>
      <x:c r="AE54">
        <x:f t="shared" si="3"/>
        <x:v>0.6</x:v>
      </x:c>
      <x:c r="AF54" s="227"/>
      <x:c r="AG54" s="228"/>
      <x:c r="AH54" s="229"/>
    </x:row>
    <x:row r="55" ht="25">
      <x:c r="A55" s="27" t="s">
        <x:v>246</x:v>
      </x:c>
      <x:c r="B55" s="9" t="s">
        <x:v>247</x:v>
      </x:c>
      <x:c r="C55" s="5" t="s">
        <x:v>39</x:v>
      </x:c>
      <x:c r="D55" s="9" t="s">
        <x:v>40</x:v>
      </x:c>
      <x:c r="E55" s="9" t="s">
        <x:v>177</x:v>
      </x:c>
      <x:c r="F55" s="5" t="s">
        <x:v>248</x:v>
      </x:c>
      <x:c r="G55" s="5" t="s">
        <x:v>204</x:v>
      </x:c>
      <x:c r="H55" s="15" t="s">
        <x:v>241</x:v>
      </x:c>
      <x:c r="I55" s="15" t="s">
        <x:v>80</x:v>
      </x:c>
      <x:c r="J55" s="5">
        <x:v>2016</x:v>
      </x:c>
      <x:c r="K55" s="15">
        <x:v>86</x:v>
      </x:c>
      <x:c r="L55" s="9">
        <x:v>86</x:v>
      </x:c>
      <x:c r="M55" s="15">
        <x:v>86</x:v>
      </x:c>
      <x:c r="N55" s="15" t="s">
        <x:v>64</x:v>
      </x:c>
      <x:c r="O55" s="5"/>
      <x:c r="P55" s="5"/>
      <x:c r="Q55" s="21" t="s">
        <x:v>47</x:v>
      </x:c>
      <x:c r="R55" s="21" t="s">
        <x:v>249</x:v>
      </x:c>
      <x:c r="S55" s="17" t="s">
        <x:v>242</x:v>
      </x:c>
      <x:c r="T55" s="9"/>
      <x:c r="U55" s="9"/>
      <x:c r="V55" s="67">
        <x:v>-2.107672</x:v>
      </x:c>
      <x:c r="W55" s="9">
        <x:v>106.092901</x:v>
      </x:c>
      <x:c r="X55" s="9"/>
      <x:c r="Y55" s="47"/>
      <x:c r="Z55" s="26" t="s">
        <x:v>50</x:v>
      </x:c>
      <x:c r="AA55" s="39" t="s">
        <x:v>51</x:v>
      </x:c>
      <x:c r="AB55" s="71">
        <x:v>46220</x:v>
      </x:c>
      <x:c r="AC55" s="41" t="s">
        <x:v>52</x:v>
      </x:c>
      <x:c r="AD55">
        <x:f t="shared" si="2"/>
        <x:v>1</x:v>
      </x:c>
      <x:c r="AE55">
        <x:f t="shared" si="3"/>
        <x:v>1</x:v>
      </x:c>
      <x:c r="AF55" s="227"/>
      <x:c r="AG55" s="228"/>
      <x:c r="AH55" s="229"/>
    </x:row>
    <x:row r="56" ht="25">
      <x:c r="A56" s="27" t="s">
        <x:v>250</x:v>
      </x:c>
      <x:c r="B56" s="9" t="s">
        <x:v>251</x:v>
      </x:c>
      <x:c r="C56" s="5" t="s">
        <x:v>39</x:v>
      </x:c>
      <x:c r="D56" s="9" t="s">
        <x:v>40</x:v>
      </x:c>
      <x:c r="E56" s="9" t="s">
        <x:v>252</x:v>
      </x:c>
      <x:c r="F56" s="5" t="s">
        <x:v>253</x:v>
      </x:c>
      <x:c r="G56" s="5" t="s">
        <x:v>204</x:v>
      </x:c>
      <x:c r="H56" s="15" t="s">
        <x:v>241</x:v>
      </x:c>
      <x:c r="I56" s="15" t="s">
        <x:v>80</x:v>
      </x:c>
      <x:c r="J56" s="5">
        <x:v>2017</x:v>
      </x:c>
      <x:c r="K56" s="15">
        <x:v>95</x:v>
      </x:c>
      <x:c r="L56" s="9">
        <x:v>95</x:v>
      </x:c>
      <x:c r="M56" s="15">
        <x:v>95</x:v>
      </x:c>
      <x:c r="N56" s="15" t="s">
        <x:v>64</x:v>
      </x:c>
      <x:c r="O56" s="5"/>
      <x:c r="P56" s="5"/>
      <x:c r="Q56" s="21" t="s">
        <x:v>93</x:v>
      </x:c>
      <x:c r="R56" s="21" t="s">
        <x:v>249</x:v>
      </x:c>
      <x:c r="S56" s="17" t="s">
        <x:v>242</x:v>
      </x:c>
      <x:c r="T56" s="9"/>
      <x:c r="U56" s="9"/>
      <x:c r="V56" s="67">
        <x:v>-2.1058629999999998</x:v>
      </x:c>
      <x:c r="W56" s="9">
        <x:v>106.089313</x:v>
      </x:c>
      <x:c r="X56" s="9"/>
      <x:c r="Y56" s="47"/>
      <x:c r="Z56" s="26" t="s">
        <x:v>50</x:v>
      </x:c>
      <x:c r="AA56" s="39" t="s">
        <x:v>51</x:v>
      </x:c>
      <x:c r="AB56" s="71">
        <x:v>46220</x:v>
      </x:c>
      <x:c r="AC56" s="41" t="s">
        <x:v>52</x:v>
      </x:c>
      <x:c r="AD56">
        <x:f t="shared" si="2"/>
        <x:v>1</x:v>
      </x:c>
      <x:c r="AE56">
        <x:f t="shared" si="3"/>
        <x:v>1</x:v>
      </x:c>
      <x:c r="AF56" s="227"/>
      <x:c r="AG56" s="228"/>
      <x:c r="AH56" s="229"/>
    </x:row>
    <x:row r="57" ht="25">
      <x:c r="A57" s="27" t="s">
        <x:v>254</x:v>
      </x:c>
      <x:c r="B57" s="9" t="s">
        <x:v>255</x:v>
      </x:c>
      <x:c r="C57" s="5" t="s">
        <x:v>226</x:v>
      </x:c>
      <x:c r="D57" s="9" t="s">
        <x:v>102</x:v>
      </x:c>
      <x:c r="E57" s="9" t="s">
        <x:v>103</x:v>
      </x:c>
      <x:c r="F57" s="5" t="s">
        <x:v>256</x:v>
      </x:c>
      <x:c r="G57" s="5" t="s">
        <x:v>62</x:v>
      </x:c>
      <x:c r="H57" s="15" t="s">
        <x:v>62</x:v>
      </x:c>
      <x:c r="I57" s="15" t="s">
        <x:v>62</x:v>
      </x:c>
      <x:c r="J57" s="5"/>
      <x:c r="K57" s="15">
        <x:v>0</x:v>
      </x:c>
      <x:c r="L57" s="9">
        <x:v>0</x:v>
      </x:c>
      <x:c r="M57" s="15">
        <x:v>0</x:v>
      </x:c>
      <x:c r="N57" s="15" t="s">
        <x:v>64</x:v>
      </x:c>
      <x:c r="O57" s="5"/>
      <x:c r="P57" s="5"/>
      <x:c r="Q57" s="21" t="s">
        <x:v>89</x:v>
      </x:c>
      <x:c r="R57" s="21"/>
      <x:c r="S57" s="18"/>
      <x:c r="T57" s="9"/>
      <x:c r="U57" s="9"/>
      <x:c r="V57" s="67">
        <x:v>-2.1422300000000001</x:v>
      </x:c>
      <x:c r="W57" s="9">
        <x:v>106.135379</x:v>
      </x:c>
      <x:c r="X57" s="9"/>
      <x:c r="Y57" s="47"/>
      <x:c r="Z57" s="26" t="s">
        <x:v>50</x:v>
      </x:c>
      <x:c r="AA57" s="39" t="s">
        <x:v>51</x:v>
      </x:c>
      <x:c r="AB57" s="71">
        <x:v>46220</x:v>
      </x:c>
      <x:c r="AC57" s="41" t="s">
        <x:v>52</x:v>
      </x:c>
      <x:c r="AD57">
        <x:f t="shared" si="2"/>
        <x:v>0</x:v>
      </x:c>
      <x:c r="AE57">
        <x:f t="shared" si="3"/>
        <x:v>0</x:v>
      </x:c>
      <x:c r="AF57" s="227"/>
      <x:c r="AG57" s="228"/>
      <x:c r="AH57" s="229"/>
    </x:row>
    <x:row r="58" ht="25">
      <x:c r="A58" s="27" t="s">
        <x:v>257</x:v>
      </x:c>
      <x:c r="B58" s="9" t="s">
        <x:v>258</x:v>
      </x:c>
      <x:c r="C58" s="5" t="s">
        <x:v>39</x:v>
      </x:c>
      <x:c r="D58" s="9" t="s">
        <x:v>40</x:v>
      </x:c>
      <x:c r="E58" s="9" t="s">
        <x:v>252</x:v>
      </x:c>
      <x:c r="F58" s="5" t="s">
        <x:v>77</x:v>
      </x:c>
      <x:c r="G58" s="5" t="s">
        <x:v>62</x:v>
      </x:c>
      <x:c r="H58" s="15" t="s">
        <x:v>259</x:v>
      </x:c>
      <x:c r="I58" s="15" t="s">
        <x:v>62</x:v>
      </x:c>
      <x:c r="J58" s="5">
        <x:v>2017</x:v>
      </x:c>
      <x:c r="K58" s="15">
        <x:v>10</x:v>
      </x:c>
      <x:c r="L58" s="9">
        <x:v>6</x:v>
      </x:c>
      <x:c r="M58" s="15">
        <x:v>6</x:v>
      </x:c>
      <x:c r="N58" s="15" t="s">
        <x:v>64</x:v>
      </x:c>
      <x:c r="O58" s="5"/>
      <x:c r="P58" s="5"/>
      <x:c r="Q58" s="21" t="s">
        <x:v>47</x:v>
      </x:c>
      <x:c r="R58" s="21"/>
      <x:c r="S58" s="18"/>
      <x:c r="T58" s="9"/>
      <x:c r="U58" s="9"/>
      <x:c r="V58" s="67">
        <x:v>-2.1050179999999998</x:v>
      </x:c>
      <x:c r="W58" s="9">
        <x:v>106.089422</x:v>
      </x:c>
      <x:c r="X58" s="9"/>
      <x:c r="Y58" s="47"/>
      <x:c r="Z58" s="26" t="s">
        <x:v>50</x:v>
      </x:c>
      <x:c r="AA58" s="39" t="s">
        <x:v>51</x:v>
      </x:c>
      <x:c r="AB58" s="71">
        <x:v>46220</x:v>
      </x:c>
      <x:c r="AC58" s="41" t="s">
        <x:v>52</x:v>
      </x:c>
      <x:c r="AD58">
        <x:f t="shared" si="2"/>
        <x:v>0.6</x:v>
      </x:c>
      <x:c r="AE58">
        <x:f t="shared" si="3"/>
        <x:v>1</x:v>
      </x:c>
      <x:c r="AF58" s="227"/>
      <x:c r="AG58" s="228"/>
      <x:c r="AH58" s="229"/>
    </x:row>
    <x:row r="59" ht="25">
      <x:c r="A59" s="27" t="s">
        <x:v>260</x:v>
      </x:c>
      <x:c r="B59" s="9" t="s">
        <x:v>261</x:v>
      </x:c>
      <x:c r="C59" s="5" t="s">
        <x:v>226</x:v>
      </x:c>
      <x:c r="D59" s="9" t="s">
        <x:v>40</x:v>
      </x:c>
      <x:c r="E59" s="9" t="s">
        <x:v>252</x:v>
      </x:c>
      <x:c r="F59" s="5" t="s">
        <x:v>262</x:v>
      </x:c>
      <x:c r="G59" s="5" t="s">
        <x:v>62</x:v>
      </x:c>
      <x:c r="H59" s="15" t="s">
        <x:v>62</x:v>
      </x:c>
      <x:c r="I59" s="15" t="s">
        <x:v>62</x:v>
      </x:c>
      <x:c r="J59" s="5"/>
      <x:c r="K59" s="15">
        <x:v>0</x:v>
      </x:c>
      <x:c r="L59" s="9">
        <x:v>0</x:v>
      </x:c>
      <x:c r="M59" s="15">
        <x:v>0</x:v>
      </x:c>
      <x:c r="N59" s="15" t="s">
        <x:v>64</x:v>
      </x:c>
      <x:c r="O59" s="5"/>
      <x:c r="P59" s="5"/>
      <x:c r="Q59" s="21" t="s">
        <x:v>47</x:v>
      </x:c>
      <x:c r="R59" s="21"/>
      <x:c r="S59" s="18"/>
      <x:c r="T59" s="9"/>
      <x:c r="U59" s="9"/>
      <x:c r="V59" s="67">
        <x:v>-2.1097991</x:v>
      </x:c>
      <x:c r="W59" s="9">
        <x:v>106.0891817</x:v>
      </x:c>
      <x:c r="X59" s="9"/>
      <x:c r="Y59" s="47"/>
      <x:c r="Z59" s="26" t="s">
        <x:v>50</x:v>
      </x:c>
      <x:c r="AA59" s="39" t="s">
        <x:v>51</x:v>
      </x:c>
      <x:c r="AB59" s="71">
        <x:v>46220</x:v>
      </x:c>
      <x:c r="AC59" s="41" t="s">
        <x:v>52</x:v>
      </x:c>
      <x:c r="AD59">
        <x:f t="shared" si="2"/>
        <x:v>0</x:v>
      </x:c>
      <x:c r="AE59">
        <x:f t="shared" si="3"/>
        <x:v>0</x:v>
      </x:c>
      <x:c r="AF59" s="227"/>
      <x:c r="AG59" s="228"/>
      <x:c r="AH59" s="229"/>
    </x:row>
    <x:row r="60" ht="25">
      <x:c r="A60" s="27" t="s">
        <x:v>263</x:v>
      </x:c>
      <x:c r="B60" s="9" t="s">
        <x:v>264</x:v>
      </x:c>
      <x:c r="C60" s="5" t="s">
        <x:v>39</x:v>
      </x:c>
      <x:c r="D60" s="9" t="s">
        <x:v>40</x:v>
      </x:c>
      <x:c r="E60" s="9" t="s">
        <x:v>252</x:v>
      </x:c>
      <x:c r="F60" s="5" t="s">
        <x:v>265</x:v>
      </x:c>
      <x:c r="G60" s="5" t="s">
        <x:v>266</x:v>
      </x:c>
      <x:c r="H60" s="15" t="s">
        <x:v>267</x:v>
      </x:c>
      <x:c r="I60" s="15" t="s">
        <x:v>268</x:v>
      </x:c>
      <x:c r="J60" s="5">
        <x:v>2017</x:v>
      </x:c>
      <x:c r="K60" s="15">
        <x:v>77</x:v>
      </x:c>
      <x:c r="L60" s="9">
        <x:v>65</x:v>
      </x:c>
      <x:c r="M60" s="15">
        <x:v>61</x:v>
      </x:c>
      <x:c r="N60" s="15" t="s">
        <x:v>46</x:v>
      </x:c>
      <x:c r="O60" s="5">
        <x:v>2020</x:v>
      </x:c>
      <x:c r="P60" s="5"/>
      <x:c r="Q60" s="21" t="s">
        <x:v>47</x:v>
      </x:c>
      <x:c r="R60" s="21"/>
      <x:c r="S60" s="18"/>
      <x:c r="T60" s="9"/>
      <x:c r="U60" s="9"/>
      <x:c r="V60" s="67">
        <x:v>-2.11145</x:v>
      </x:c>
      <x:c r="W60" s="9">
        <x:v>106.088959</x:v>
      </x:c>
      <x:c r="X60" s="9"/>
      <x:c r="Y60" s="47"/>
      <x:c r="Z60" s="26" t="s">
        <x:v>50</x:v>
      </x:c>
      <x:c r="AA60" s="39" t="s">
        <x:v>51</x:v>
      </x:c>
      <x:c r="AB60" s="71">
        <x:v>46220</x:v>
      </x:c>
      <x:c r="AC60" s="41" t="s">
        <x:v>52</x:v>
      </x:c>
      <x:c r="AD60">
        <x:f t="shared" si="2"/>
        <x:v>0.8441558441558441</x:v>
      </x:c>
      <x:c r="AE60">
        <x:f t="shared" si="3"/>
        <x:v>0.93846153846153846</x:v>
      </x:c>
      <x:c r="AF60" s="227"/>
      <x:c r="AG60" s="228"/>
      <x:c r="AH60" s="229"/>
    </x:row>
    <x:row r="61" ht="25">
      <x:c r="A61" s="27" t="s">
        <x:v>269</x:v>
      </x:c>
      <x:c r="B61" s="9" t="s">
        <x:v>270</x:v>
      </x:c>
      <x:c r="C61" s="5" t="s">
        <x:v>39</x:v>
      </x:c>
      <x:c r="D61" s="9" t="s">
        <x:v>40</x:v>
      </x:c>
      <x:c r="E61" s="9" t="s">
        <x:v>41</x:v>
      </x:c>
      <x:c r="F61" s="5" t="s">
        <x:v>132</x:v>
      </x:c>
      <x:c r="G61" s="5" t="s">
        <x:v>271</x:v>
      </x:c>
      <x:c r="H61" s="15" t="s">
        <x:v>272</x:v>
      </x:c>
      <x:c r="I61" s="15" t="s">
        <x:v>107</x:v>
      </x:c>
      <x:c r="J61" s="5">
        <x:v>2018</x:v>
      </x:c>
      <x:c r="K61" s="15">
        <x:v>119</x:v>
      </x:c>
      <x:c r="L61" s="9">
        <x:v>44</x:v>
      </x:c>
      <x:c r="M61" s="15">
        <x:v>44</x:v>
      </x:c>
      <x:c r="N61" s="15" t="s">
        <x:v>64</x:v>
      </x:c>
      <x:c r="O61" s="5"/>
      <x:c r="P61" s="5"/>
      <x:c r="Q61" s="21" t="s">
        <x:v>89</x:v>
      </x:c>
      <x:c r="R61" s="21"/>
      <x:c r="S61" s="18"/>
      <x:c r="T61" s="9"/>
      <x:c r="U61" s="9"/>
      <x:c r="V61" s="67">
        <x:v>-2.1020436</x:v>
      </x:c>
      <x:c r="W61" s="9">
        <x:v>106.04731630000001</x:v>
      </x:c>
      <x:c r="X61" s="9"/>
      <x:c r="Y61" s="47"/>
      <x:c r="Z61" s="26" t="s">
        <x:v>50</x:v>
      </x:c>
      <x:c r="AA61" s="39" t="s">
        <x:v>51</x:v>
      </x:c>
      <x:c r="AB61" s="71">
        <x:v>46220</x:v>
      </x:c>
      <x:c r="AC61" s="41" t="s">
        <x:v>52</x:v>
      </x:c>
      <x:c r="AD61">
        <x:f t="shared" si="2"/>
        <x:v>0.36974789915966388</x:v>
      </x:c>
      <x:c r="AE61">
        <x:f t="shared" si="3"/>
        <x:v>1</x:v>
      </x:c>
      <x:c r="AF61" s="227"/>
      <x:c r="AG61" s="228"/>
      <x:c r="AH61" s="229"/>
    </x:row>
    <x:row r="62" ht="25">
      <x:c r="A62" s="27" t="s">
        <x:v>273</x:v>
      </x:c>
      <x:c r="B62" s="9" t="s">
        <x:v>274</x:v>
      </x:c>
      <x:c r="C62" s="5" t="s">
        <x:v>39</x:v>
      </x:c>
      <x:c r="D62" s="9" t="s">
        <x:v>40</x:v>
      </x:c>
      <x:c r="E62" s="9" t="s">
        <x:v>41</x:v>
      </x:c>
      <x:c r="F62" s="5" t="s">
        <x:v>132</x:v>
      </x:c>
      <x:c r="G62" s="5" t="s">
        <x:v>271</x:v>
      </x:c>
      <x:c r="H62" s="15" t="s">
        <x:v>272</x:v>
      </x:c>
      <x:c r="I62" s="15" t="s">
        <x:v>107</x:v>
      </x:c>
      <x:c r="J62" s="5">
        <x:v>2018</x:v>
      </x:c>
      <x:c r="K62" s="15">
        <x:v>131</x:v>
      </x:c>
      <x:c r="L62" s="9">
        <x:v>37</x:v>
      </x:c>
      <x:c r="M62" s="15">
        <x:v>37</x:v>
      </x:c>
      <x:c r="N62" s="15" t="s">
        <x:v>64</x:v>
      </x:c>
      <x:c r="O62" s="5"/>
      <x:c r="P62" s="5"/>
      <x:c r="Q62" s="21" t="s">
        <x:v>47</x:v>
      </x:c>
      <x:c r="R62" s="21"/>
      <x:c r="S62" s="18"/>
      <x:c r="T62" s="9"/>
      <x:c r="U62" s="9"/>
      <x:c r="V62" s="67">
        <x:v>-2.1020436</x:v>
      </x:c>
      <x:c r="W62" s="9">
        <x:v>106.0473164</x:v>
      </x:c>
      <x:c r="X62" s="9"/>
      <x:c r="Y62" s="47"/>
      <x:c r="Z62" s="26" t="s">
        <x:v>50</x:v>
      </x:c>
      <x:c r="AA62" s="39" t="s">
        <x:v>51</x:v>
      </x:c>
      <x:c r="AB62" s="71">
        <x:v>46220</x:v>
      </x:c>
      <x:c r="AC62" s="41" t="s">
        <x:v>52</x:v>
      </x:c>
      <x:c r="AD62">
        <x:f t="shared" si="2"/>
        <x:v>0.28244274809160308</x:v>
      </x:c>
      <x:c r="AE62">
        <x:f t="shared" si="3"/>
        <x:v>1</x:v>
      </x:c>
      <x:c r="AF62" s="227"/>
      <x:c r="AG62" s="228"/>
      <x:c r="AH62" s="229"/>
    </x:row>
    <x:row r="63" ht="25">
      <x:c r="A63" s="27" t="s">
        <x:v>275</x:v>
      </x:c>
      <x:c r="B63" s="9" t="s">
        <x:v>276</x:v>
      </x:c>
      <x:c r="C63" s="5" t="s">
        <x:v>39</x:v>
      </x:c>
      <x:c r="D63" s="9" t="s">
        <x:v>102</x:v>
      </x:c>
      <x:c r="E63" s="9" t="s">
        <x:v>277</x:v>
      </x:c>
      <x:c r="F63" s="5" t="s">
        <x:v>146</x:v>
      </x:c>
      <x:c r="G63" s="5" t="s">
        <x:v>278</x:v>
      </x:c>
      <x:c r="H63" s="15" t="s">
        <x:v>279</x:v>
      </x:c>
      <x:c r="I63" s="15" t="s">
        <x:v>62</x:v>
      </x:c>
      <x:c r="J63" s="5">
        <x:v>2018</x:v>
      </x:c>
      <x:c r="K63" s="15">
        <x:v>70</x:v>
      </x:c>
      <x:c r="L63" s="9">
        <x:v>0</x:v>
      </x:c>
      <x:c r="M63" s="15">
        <x:v>0</x:v>
      </x:c>
      <x:c r="N63" s="15" t="s">
        <x:v>64</x:v>
      </x:c>
      <x:c r="O63" s="5"/>
      <x:c r="P63" s="5"/>
      <x:c r="Q63" s="21" t="s">
        <x:v>47</x:v>
      </x:c>
      <x:c r="R63" s="21"/>
      <x:c r="S63" s="18"/>
      <x:c r="T63" s="9"/>
      <x:c r="U63" s="9"/>
      <x:c r="V63" s="67"/>
      <x:c r="W63" s="9"/>
      <x:c r="X63" s="9"/>
      <x:c r="Y63" s="47"/>
      <x:c r="Z63" s="26" t="s">
        <x:v>50</x:v>
      </x:c>
      <x:c r="AA63" s="39" t="s">
        <x:v>51</x:v>
      </x:c>
      <x:c r="AB63" s="71">
        <x:v>46220</x:v>
      </x:c>
      <x:c r="AC63" s="41" t="s">
        <x:v>52</x:v>
      </x:c>
      <x:c r="AD63">
        <x:f t="shared" si="2"/>
        <x:v>0</x:v>
      </x:c>
      <x:c r="AE63">
        <x:f t="shared" si="3"/>
        <x:v>0</x:v>
      </x:c>
      <x:c r="AF63" s="227"/>
      <x:c r="AG63" s="228"/>
      <x:c r="AH63" s="229"/>
    </x:row>
    <x:row r="64" ht="25">
      <x:c r="A64" s="27" t="s">
        <x:v>280</x:v>
      </x:c>
      <x:c r="B64" s="9" t="s">
        <x:v>281</x:v>
      </x:c>
      <x:c r="C64" s="5" t="s">
        <x:v>39</x:v>
      </x:c>
      <x:c r="D64" s="9" t="s">
        <x:v>40</x:v>
      </x:c>
      <x:c r="E64" s="9" t="s">
        <x:v>41</x:v>
      </x:c>
      <x:c r="F64" s="5" t="s">
        <x:v>186</x:v>
      </x:c>
      <x:c r="G64" s="5" t="s">
        <x:v>282</x:v>
      </x:c>
      <x:c r="H64" s="15" t="s">
        <x:v>283</x:v>
      </x:c>
      <x:c r="I64" s="15" t="s">
        <x:v>107</x:v>
      </x:c>
      <x:c r="J64" s="5">
        <x:v>2019</x:v>
      </x:c>
      <x:c r="K64" s="15">
        <x:v>199</x:v>
      </x:c>
      <x:c r="L64" s="9">
        <x:v>150</x:v>
      </x:c>
      <x:c r="M64" s="15">
        <x:v>140</x:v>
      </x:c>
      <x:c r="N64" s="15" t="s">
        <x:v>64</x:v>
      </x:c>
      <x:c r="O64" s="5"/>
      <x:c r="P64" s="5"/>
      <x:c r="Q64" s="21" t="s">
        <x:v>47</x:v>
      </x:c>
      <x:c r="R64" s="21"/>
      <x:c r="S64" s="18"/>
      <x:c r="T64" s="9" t="s">
        <x:v>49</x:v>
      </x:c>
      <x:c r="U64" s="9"/>
      <x:c r="V64" s="67">
        <x:v>-2.1043018</x:v>
      </x:c>
      <x:c r="W64" s="9">
        <x:v>106.0806498</x:v>
      </x:c>
      <x:c r="X64" s="9"/>
      <x:c r="Y64" s="47"/>
      <x:c r="Z64" s="26" t="s">
        <x:v>50</x:v>
      </x:c>
      <x:c r="AA64" s="39" t="s">
        <x:v>51</x:v>
      </x:c>
      <x:c r="AB64" s="71">
        <x:v>46220</x:v>
      </x:c>
      <x:c r="AC64" s="41" t="s">
        <x:v>52</x:v>
      </x:c>
      <x:c r="AD64">
        <x:f t="shared" si="2"/>
        <x:v>0.75376884422110557</x:v>
      </x:c>
      <x:c r="AE64">
        <x:f t="shared" si="3"/>
        <x:v>0.93333333333333335</x:v>
      </x:c>
      <x:c r="AF64" s="227"/>
      <x:c r="AG64" s="228"/>
      <x:c r="AH64" s="229"/>
    </x:row>
    <x:row r="65" ht="25">
      <x:c r="A65" s="27" t="s">
        <x:v>284</x:v>
      </x:c>
      <x:c r="B65" s="9" t="s">
        <x:v>285</x:v>
      </x:c>
      <x:c r="C65" s="5" t="s">
        <x:v>39</x:v>
      </x:c>
      <x:c r="D65" s="9" t="s">
        <x:v>75</x:v>
      </x:c>
      <x:c r="E65" s="9" t="s">
        <x:v>114</x:v>
      </x:c>
      <x:c r="F65" s="5" t="s">
        <x:v>286</x:v>
      </x:c>
      <x:c r="G65" s="5" t="s">
        <x:v>287</x:v>
      </x:c>
      <x:c r="H65" s="15" t="s">
        <x:v>288</x:v>
      </x:c>
      <x:c r="I65" s="15" t="s">
        <x:v>142</x:v>
      </x:c>
      <x:c r="J65" s="5">
        <x:v>2017</x:v>
      </x:c>
      <x:c r="K65" s="15">
        <x:v>150</x:v>
      </x:c>
      <x:c r="L65" s="9">
        <x:v>42</x:v>
      </x:c>
      <x:c r="M65" s="15">
        <x:v>42</x:v>
      </x:c>
      <x:c r="N65" s="15" t="s">
        <x:v>64</x:v>
      </x:c>
      <x:c r="O65" s="5"/>
      <x:c r="P65" s="5"/>
      <x:c r="Q65" s="21" t="s">
        <x:v>47</x:v>
      </x:c>
      <x:c r="R65" s="21"/>
      <x:c r="S65" s="18"/>
      <x:c r="T65" s="9"/>
      <x:c r="U65" s="9"/>
      <x:c r="V65" s="67">
        <x:v>-2.0780973399999998</x:v>
      </x:c>
      <x:c r="W65" s="9">
        <x:v>106.1239751</x:v>
      </x:c>
      <x:c r="X65" s="9"/>
      <x:c r="Y65" s="47"/>
      <x:c r="Z65" s="26" t="s">
        <x:v>50</x:v>
      </x:c>
      <x:c r="AA65" s="39" t="s">
        <x:v>51</x:v>
      </x:c>
      <x:c r="AB65" s="71">
        <x:v>46220</x:v>
      </x:c>
      <x:c r="AC65" s="41" t="s">
        <x:v>52</x:v>
      </x:c>
      <x:c r="AD65">
        <x:f t="shared" si="2"/>
        <x:v>0.28000000000000003</x:v>
      </x:c>
      <x:c r="AE65">
        <x:f t="shared" si="3"/>
        <x:v>1</x:v>
      </x:c>
      <x:c r="AF65" s="227"/>
      <x:c r="AG65" s="228"/>
      <x:c r="AH65" s="229"/>
    </x:row>
    <x:row r="66" ht="25">
      <x:c r="A66" s="27" t="s">
        <x:v>289</x:v>
      </x:c>
      <x:c r="B66" s="9" t="s">
        <x:v>290</x:v>
      </x:c>
      <x:c r="C66" s="5" t="s">
        <x:v>39</x:v>
      </x:c>
      <x:c r="D66" s="9" t="s">
        <x:v>126</x:v>
      </x:c>
      <x:c r="E66" s="9" t="s">
        <x:v>291</x:v>
      </x:c>
      <x:c r="F66" s="5" t="s">
        <x:v>292</x:v>
      </x:c>
      <x:c r="G66" s="5" t="s">
        <x:v>293</x:v>
      </x:c>
      <x:c r="H66" s="15" t="s">
        <x:v>294</x:v>
      </x:c>
      <x:c r="I66" s="15" t="s">
        <x:v>142</x:v>
      </x:c>
      <x:c r="J66" s="5">
        <x:v>2024</x:v>
      </x:c>
      <x:c r="K66" s="15">
        <x:v>39</x:v>
      </x:c>
      <x:c r="L66" s="9">
        <x:v>34</x:v>
      </x:c>
      <x:c r="M66" s="15">
        <x:v>29</x:v>
      </x:c>
      <x:c r="N66" s="15" t="s">
        <x:v>64</x:v>
      </x:c>
      <x:c r="O66" s="5"/>
      <x:c r="P66" s="5"/>
      <x:c r="Q66" s="21" t="s">
        <x:v>47</x:v>
      </x:c>
      <x:c r="R66" s="21"/>
      <x:c r="S66" s="18"/>
      <x:c r="T66" s="9"/>
      <x:c r="U66" s="9"/>
      <x:c r="V66" s="67">
        <x:v>-2.0876017</x:v>
      </x:c>
      <x:c r="W66" s="9">
        <x:v>106.12235029999999</x:v>
      </x:c>
      <x:c r="X66" s="9"/>
      <x:c r="Y66" s="47"/>
      <x:c r="Z66" s="26" t="s">
        <x:v>50</x:v>
      </x:c>
      <x:c r="AA66" s="39" t="s">
        <x:v>51</x:v>
      </x:c>
      <x:c r="AB66" s="71">
        <x:v>46220</x:v>
      </x:c>
      <x:c r="AC66" s="41" t="s">
        <x:v>52</x:v>
      </x:c>
      <x:c r="AD66">
        <x:f t="shared" si="2"/>
        <x:v>0.87179487179487181</x:v>
      </x:c>
      <x:c r="AE66">
        <x:f t="shared" si="3"/>
        <x:v>0.8529411764705882</x:v>
      </x:c>
      <x:c r="AF66" s="227"/>
      <x:c r="AG66" s="228"/>
      <x:c r="AH66" s="229"/>
    </x:row>
    <x:row r="67" ht="25">
      <x:c r="A67" s="27" t="s">
        <x:v>295</x:v>
      </x:c>
      <x:c r="B67" s="9" t="s">
        <x:v>296</x:v>
      </x:c>
      <x:c r="C67" s="5" t="s">
        <x:v>39</x:v>
      </x:c>
      <x:c r="D67" s="9" t="s">
        <x:v>102</x:v>
      </x:c>
      <x:c r="E67" s="9" t="s">
        <x:v>120</x:v>
      </x:c>
      <x:c r="F67" s="5" t="s">
        <x:v>121</x:v>
      </x:c>
      <x:c r="G67" s="5" t="s">
        <x:v>293</x:v>
      </x:c>
      <x:c r="H67" s="15" t="s">
        <x:v>294</x:v>
      </x:c>
      <x:c r="I67" s="15" t="s">
        <x:v>142</x:v>
      </x:c>
      <x:c r="J67" s="5">
        <x:v>2020</x:v>
      </x:c>
      <x:c r="K67" s="15">
        <x:v>70</x:v>
      </x:c>
      <x:c r="L67" s="9">
        <x:v>70</x:v>
      </x:c>
      <x:c r="M67" s="15">
        <x:v>70</x:v>
      </x:c>
      <x:c r="N67" s="15" t="s">
        <x:v>64</x:v>
      </x:c>
      <x:c r="O67" s="5"/>
      <x:c r="P67" s="5"/>
      <x:c r="Q67" s="21" t="s">
        <x:v>47</x:v>
      </x:c>
      <x:c r="R67" s="21"/>
      <x:c r="S67" s="18"/>
      <x:c r="T67" s="9"/>
      <x:c r="U67" s="9"/>
      <x:c r="V67" s="67">
        <x:v>-2.1467825</x:v>
      </x:c>
      <x:c r="W67" s="9">
        <x:v>106.16664129999999</x:v>
      </x:c>
      <x:c r="X67" s="9"/>
      <x:c r="Y67" s="47"/>
      <x:c r="Z67" s="26" t="s">
        <x:v>50</x:v>
      </x:c>
      <x:c r="AA67" s="39" t="s">
        <x:v>51</x:v>
      </x:c>
      <x:c r="AB67" s="71">
        <x:v>46220</x:v>
      </x:c>
      <x:c r="AC67" s="41" t="s">
        <x:v>52</x:v>
      </x:c>
      <x:c r="AD67">
        <x:f t="shared" si="2"/>
        <x:v>1</x:v>
      </x:c>
      <x:c r="AE67">
        <x:f t="shared" si="3"/>
        <x:v>1</x:v>
      </x:c>
      <x:c r="AF67" s="227"/>
      <x:c r="AG67" s="228"/>
      <x:c r="AH67" s="229"/>
    </x:row>
    <x:row r="68" ht="25">
      <x:c r="A68" s="27" t="s">
        <x:v>297</x:v>
      </x:c>
      <x:c r="B68" s="9" t="s">
        <x:v>298</x:v>
      </x:c>
      <x:c r="C68" s="5" t="s">
        <x:v>39</x:v>
      </x:c>
      <x:c r="D68" s="9" t="s">
        <x:v>40</x:v>
      </x:c>
      <x:c r="E68" s="9" t="s">
        <x:v>41</x:v>
      </x:c>
      <x:c r="F68" s="5" t="s">
        <x:v>186</x:v>
      </x:c>
      <x:c r="G68" s="5" t="s">
        <x:v>293</x:v>
      </x:c>
      <x:c r="H68" s="15" t="s">
        <x:v>294</x:v>
      </x:c>
      <x:c r="I68" s="15" t="s">
        <x:v>142</x:v>
      </x:c>
      <x:c r="J68" s="5">
        <x:v>2016</x:v>
      </x:c>
      <x:c r="K68" s="15">
        <x:v>22</x:v>
      </x:c>
      <x:c r="L68" s="9">
        <x:v>22</x:v>
      </x:c>
      <x:c r="M68" s="15">
        <x:v>22</x:v>
      </x:c>
      <x:c r="N68" s="15" t="s">
        <x:v>64</x:v>
      </x:c>
      <x:c r="O68" s="5"/>
      <x:c r="P68" s="5"/>
      <x:c r="Q68" s="21" t="s">
        <x:v>47</x:v>
      </x:c>
      <x:c r="R68" s="21" t="s">
        <x:v>110</x:v>
      </x:c>
      <x:c r="S68" s="18"/>
      <x:c r="T68" s="9"/>
      <x:c r="U68" s="9"/>
      <x:c r="V68" s="67">
        <x:v>-2.107863</x:v>
      </x:c>
      <x:c r="W68" s="9">
        <x:v>106.084007</x:v>
      </x:c>
      <x:c r="X68" s="9"/>
      <x:c r="Y68" s="47"/>
      <x:c r="Z68" s="26" t="s">
        <x:v>50</x:v>
      </x:c>
      <x:c r="AA68" s="39" t="s">
        <x:v>51</x:v>
      </x:c>
      <x:c r="AB68" s="71">
        <x:v>46220</x:v>
      </x:c>
      <x:c r="AC68" s="41" t="s">
        <x:v>52</x:v>
      </x:c>
      <x:c r="AD68">
        <x:f t="shared" si="2"/>
        <x:v>1</x:v>
      </x:c>
      <x:c r="AE68">
        <x:f t="shared" si="3"/>
        <x:v>1</x:v>
      </x:c>
      <x:c r="AF68" s="227"/>
      <x:c r="AG68" s="228"/>
      <x:c r="AH68" s="229"/>
    </x:row>
    <x:row r="69" ht="25">
      <x:c r="A69" s="27" t="s">
        <x:v>299</x:v>
      </x:c>
      <x:c r="B69" s="9" t="s">
        <x:v>300</x:v>
      </x:c>
      <x:c r="C69" s="5" t="s">
        <x:v>39</x:v>
      </x:c>
      <x:c r="D69" s="9" t="s">
        <x:v>40</x:v>
      </x:c>
      <x:c r="E69" s="9" t="s">
        <x:v>41</x:v>
      </x:c>
      <x:c r="F69" s="5" t="s">
        <x:v>67</x:v>
      </x:c>
      <x:c r="G69" s="5" t="s">
        <x:v>293</x:v>
      </x:c>
      <x:c r="H69" s="15" t="s">
        <x:v>294</x:v>
      </x:c>
      <x:c r="I69" s="15" t="s">
        <x:v>142</x:v>
      </x:c>
      <x:c r="J69" s="5">
        <x:v>2016</x:v>
      </x:c>
      <x:c r="K69" s="15">
        <x:v>35</x:v>
      </x:c>
      <x:c r="L69" s="9">
        <x:v>35</x:v>
      </x:c>
      <x:c r="M69" s="15">
        <x:v>35</x:v>
      </x:c>
      <x:c r="N69" s="15" t="s">
        <x:v>64</x:v>
      </x:c>
      <x:c r="O69" s="5"/>
      <x:c r="P69" s="5"/>
      <x:c r="Q69" s="21" t="s">
        <x:v>47</x:v>
      </x:c>
      <x:c r="R69" s="21" t="s">
        <x:v>110</x:v>
      </x:c>
      <x:c r="S69" s="18"/>
      <x:c r="T69" s="9"/>
      <x:c r="U69" s="9"/>
      <x:c r="V69" s="67">
        <x:v>-2.0983489999999998</x:v>
      </x:c>
      <x:c r="W69" s="9">
        <x:v>106.080001</x:v>
      </x:c>
      <x:c r="X69" s="9"/>
      <x:c r="Y69" s="47"/>
      <x:c r="Z69" s="26" t="s">
        <x:v>50</x:v>
      </x:c>
      <x:c r="AA69" s="39" t="s">
        <x:v>51</x:v>
      </x:c>
      <x:c r="AB69" s="71">
        <x:v>46220</x:v>
      </x:c>
      <x:c r="AC69" s="41" t="s">
        <x:v>52</x:v>
      </x:c>
      <x:c r="AD69">
        <x:f t="shared" si="2"/>
        <x:v>1</x:v>
      </x:c>
      <x:c r="AE69">
        <x:f t="shared" si="3"/>
        <x:v>1</x:v>
      </x:c>
      <x:c r="AF69" s="227"/>
      <x:c r="AG69" s="228"/>
      <x:c r="AH69" s="229"/>
    </x:row>
    <x:row r="70" ht="25">
      <x:c r="A70" s="27" t="s">
        <x:v>301</x:v>
      </x:c>
      <x:c r="B70" s="9" t="s">
        <x:v>302</x:v>
      </x:c>
      <x:c r="C70" s="5" t="s">
        <x:v>39</x:v>
      </x:c>
      <x:c r="D70" s="9" t="s">
        <x:v>40</x:v>
      </x:c>
      <x:c r="E70" s="9" t="s">
        <x:v>41</x:v>
      </x:c>
      <x:c r="F70" s="5" t="s">
        <x:v>67</x:v>
      </x:c>
      <x:c r="G70" s="5" t="s">
        <x:v>293</x:v>
      </x:c>
      <x:c r="H70" s="15" t="s">
        <x:v>294</x:v>
      </x:c>
      <x:c r="I70" s="15" t="s">
        <x:v>142</x:v>
      </x:c>
      <x:c r="J70" s="5">
        <x:v>2016</x:v>
      </x:c>
      <x:c r="K70" s="15">
        <x:v>32</x:v>
      </x:c>
      <x:c r="L70" s="9">
        <x:v>32</x:v>
      </x:c>
      <x:c r="M70" s="15">
        <x:v>32</x:v>
      </x:c>
      <x:c r="N70" s="15" t="s">
        <x:v>64</x:v>
      </x:c>
      <x:c r="O70" s="5"/>
      <x:c r="P70" s="5"/>
      <x:c r="Q70" s="21" t="s">
        <x:v>47</x:v>
      </x:c>
      <x:c r="R70" s="21" t="s">
        <x:v>110</x:v>
      </x:c>
      <x:c r="S70" s="18"/>
      <x:c r="T70" s="9"/>
      <x:c r="U70" s="9"/>
      <x:c r="V70" s="67">
        <x:v>-2.0990563</x:v>
      </x:c>
      <x:c r="W70" s="9">
        <x:v>106.0800362</x:v>
      </x:c>
      <x:c r="X70" s="9"/>
      <x:c r="Y70" s="47"/>
      <x:c r="Z70" s="26" t="s">
        <x:v>50</x:v>
      </x:c>
      <x:c r="AA70" s="39" t="s">
        <x:v>51</x:v>
      </x:c>
      <x:c r="AB70" s="71">
        <x:v>46220</x:v>
      </x:c>
      <x:c r="AC70" s="41" t="s">
        <x:v>52</x:v>
      </x:c>
      <x:c r="AD70">
        <x:f t="shared" si="2"/>
        <x:v>1</x:v>
      </x:c>
      <x:c r="AE70">
        <x:f t="shared" si="3"/>
        <x:v>1</x:v>
      </x:c>
      <x:c r="AF70" s="227"/>
      <x:c r="AG70" s="228"/>
      <x:c r="AH70" s="229"/>
    </x:row>
    <x:row r="71" ht="25">
      <x:c r="A71" s="27" t="s">
        <x:v>303</x:v>
      </x:c>
      <x:c r="B71" s="9" t="s">
        <x:v>304</x:v>
      </x:c>
      <x:c r="C71" s="5" t="s">
        <x:v>39</x:v>
      </x:c>
      <x:c r="D71" s="9" t="s">
        <x:v>40</x:v>
      </x:c>
      <x:c r="E71" s="9" t="s">
        <x:v>41</x:v>
      </x:c>
      <x:c r="F71" s="5" t="s">
        <x:v>67</x:v>
      </x:c>
      <x:c r="G71" s="5" t="s">
        <x:v>293</x:v>
      </x:c>
      <x:c r="H71" s="15" t="s">
        <x:v>294</x:v>
      </x:c>
      <x:c r="I71" s="15" t="s">
        <x:v>142</x:v>
      </x:c>
      <x:c r="J71" s="5">
        <x:v>2017</x:v>
      </x:c>
      <x:c r="K71" s="15">
        <x:v>21</x:v>
      </x:c>
      <x:c r="L71" s="9">
        <x:v>21</x:v>
      </x:c>
      <x:c r="M71" s="15">
        <x:v>21</x:v>
      </x:c>
      <x:c r="N71" s="15" t="s">
        <x:v>64</x:v>
      </x:c>
      <x:c r="O71" s="5"/>
      <x:c r="P71" s="5"/>
      <x:c r="Q71" s="21" t="s">
        <x:v>47</x:v>
      </x:c>
      <x:c r="R71" s="21" t="s">
        <x:v>110</x:v>
      </x:c>
      <x:c r="S71" s="18"/>
      <x:c r="T71" s="9"/>
      <x:c r="U71" s="9"/>
      <x:c r="V71" s="67">
        <x:v>-2.099672</x:v>
      </x:c>
      <x:c r="W71" s="9">
        <x:v>106.080805</x:v>
      </x:c>
      <x:c r="X71" s="9"/>
      <x:c r="Y71" s="47"/>
      <x:c r="Z71" s="26" t="s">
        <x:v>50</x:v>
      </x:c>
      <x:c r="AA71" s="39" t="s">
        <x:v>51</x:v>
      </x:c>
      <x:c r="AB71" s="71">
        <x:v>46220</x:v>
      </x:c>
      <x:c r="AC71" s="41" t="s">
        <x:v>52</x:v>
      </x:c>
      <x:c r="AD71">
        <x:f t="shared" si="2"/>
        <x:v>1</x:v>
      </x:c>
      <x:c r="AE71">
        <x:f t="shared" si="3"/>
        <x:v>1</x:v>
      </x:c>
      <x:c r="AF71" s="227"/>
      <x:c r="AG71" s="228"/>
      <x:c r="AH71" s="229"/>
    </x:row>
    <x:row r="72" ht="25">
      <x:c r="A72" s="27" t="s">
        <x:v>305</x:v>
      </x:c>
      <x:c r="B72" s="9" t="s">
        <x:v>306</x:v>
      </x:c>
      <x:c r="C72" s="5" t="s">
        <x:v>39</x:v>
      </x:c>
      <x:c r="D72" s="9" t="s">
        <x:v>40</x:v>
      </x:c>
      <x:c r="E72" s="9" t="s">
        <x:v>252</x:v>
      </x:c>
      <x:c r="F72" s="5" t="s">
        <x:v>253</x:v>
      </x:c>
      <x:c r="G72" s="5" t="s">
        <x:v>307</x:v>
      </x:c>
      <x:c r="H72" s="15" t="s">
        <x:v>308</x:v>
      </x:c>
      <x:c r="I72" s="15" t="s">
        <x:v>142</x:v>
      </x:c>
      <x:c r="J72" s="5">
        <x:v>2018</x:v>
      </x:c>
      <x:c r="K72" s="15">
        <x:v>85</x:v>
      </x:c>
      <x:c r="L72" s="9">
        <x:v>85</x:v>
      </x:c>
      <x:c r="M72" s="15">
        <x:v>85</x:v>
      </x:c>
      <x:c r="N72" s="15" t="s">
        <x:v>64</x:v>
      </x:c>
      <x:c r="O72" s="5"/>
      <x:c r="P72" s="5"/>
      <x:c r="Q72" s="21" t="s">
        <x:v>89</x:v>
      </x:c>
      <x:c r="R72" s="21" t="s">
        <x:v>110</x:v>
      </x:c>
      <x:c r="S72" s="18"/>
      <x:c r="T72" s="9"/>
      <x:c r="U72" s="9"/>
      <x:c r="V72" s="67">
        <x:v>-2.1105010000000002</x:v>
      </x:c>
      <x:c r="W72" s="9">
        <x:v>106.088167</x:v>
      </x:c>
      <x:c r="X72" s="9"/>
      <x:c r="Y72" s="47"/>
      <x:c r="Z72" s="26" t="s">
        <x:v>50</x:v>
      </x:c>
      <x:c r="AA72" s="39" t="s">
        <x:v>51</x:v>
      </x:c>
      <x:c r="AB72" s="71">
        <x:v>46220</x:v>
      </x:c>
      <x:c r="AC72" s="41" t="s">
        <x:v>52</x:v>
      </x:c>
      <x:c r="AD72">
        <x:f t="shared" si="2"/>
        <x:v>1</x:v>
      </x:c>
      <x:c r="AE72">
        <x:f t="shared" si="3"/>
        <x:v>1</x:v>
      </x:c>
      <x:c r="AF72" s="227"/>
      <x:c r="AG72" s="228"/>
      <x:c r="AH72" s="229"/>
    </x:row>
    <x:row r="73" ht="25">
      <x:c r="A73" s="27" t="s">
        <x:v>309</x:v>
      </x:c>
      <x:c r="B73" s="9" t="s">
        <x:v>310</x:v>
      </x:c>
      <x:c r="C73" s="5" t="s">
        <x:v>39</x:v>
      </x:c>
      <x:c r="D73" s="9" t="s">
        <x:v>40</x:v>
      </x:c>
      <x:c r="E73" s="9" t="s">
        <x:v>252</x:v>
      </x:c>
      <x:c r="F73" s="5" t="s">
        <x:v>253</x:v>
      </x:c>
      <x:c r="G73" s="5" t="s">
        <x:v>307</x:v>
      </x:c>
      <x:c r="H73" s="15" t="s">
        <x:v>308</x:v>
      </x:c>
      <x:c r="I73" s="15" t="s">
        <x:v>142</x:v>
      </x:c>
      <x:c r="J73" s="5">
        <x:v>2018</x:v>
      </x:c>
      <x:c r="K73" s="15">
        <x:v>80</x:v>
      </x:c>
      <x:c r="L73" s="9">
        <x:v>80</x:v>
      </x:c>
      <x:c r="M73" s="15">
        <x:v>80</x:v>
      </x:c>
      <x:c r="N73" s="15" t="s">
        <x:v>64</x:v>
      </x:c>
      <x:c r="O73" s="5"/>
      <x:c r="P73" s="5"/>
      <x:c r="Q73" s="21" t="s">
        <x:v>47</x:v>
      </x:c>
      <x:c r="R73" s="21" t="s">
        <x:v>110</x:v>
      </x:c>
      <x:c r="S73" s="18"/>
      <x:c r="T73" s="9"/>
      <x:c r="U73" s="9"/>
      <x:c r="V73" s="67">
        <x:v>-2.1059435</x:v>
      </x:c>
      <x:c r="W73" s="9">
        <x:v>106.0873139</x:v>
      </x:c>
      <x:c r="X73" s="9"/>
      <x:c r="Y73" s="47"/>
      <x:c r="Z73" s="26" t="s">
        <x:v>50</x:v>
      </x:c>
      <x:c r="AA73" s="39" t="s">
        <x:v>51</x:v>
      </x:c>
      <x:c r="AB73" s="71">
        <x:v>46220</x:v>
      </x:c>
      <x:c r="AC73" s="41" t="s">
        <x:v>52</x:v>
      </x:c>
      <x:c r="AD73">
        <x:f t="shared" si="2"/>
        <x:v>1</x:v>
      </x:c>
      <x:c r="AE73">
        <x:f t="shared" si="3"/>
        <x:v>1</x:v>
      </x:c>
      <x:c r="AF73" s="227"/>
      <x:c r="AG73" s="228"/>
      <x:c r="AH73" s="229"/>
    </x:row>
    <x:row r="74" ht="25">
      <x:c r="A74" s="27" t="s">
        <x:v>311</x:v>
      </x:c>
      <x:c r="B74" s="9" t="s">
        <x:v>312</x:v>
      </x:c>
      <x:c r="C74" s="5" t="s">
        <x:v>39</x:v>
      </x:c>
      <x:c r="D74" s="9" t="s">
        <x:v>40</x:v>
      </x:c>
      <x:c r="E74" s="9" t="s">
        <x:v>177</x:v>
      </x:c>
      <x:c r="F74" s="5" t="s">
        <x:v>313</x:v>
      </x:c>
      <x:c r="G74" s="5" t="s">
        <x:v>293</x:v>
      </x:c>
      <x:c r="H74" s="15" t="s">
        <x:v>294</x:v>
      </x:c>
      <x:c r="I74" s="15" t="s">
        <x:v>142</x:v>
      </x:c>
      <x:c r="J74" s="5">
        <x:v>2018</x:v>
      </x:c>
      <x:c r="K74" s="15">
        <x:v>18</x:v>
      </x:c>
      <x:c r="L74" s="9">
        <x:v>18</x:v>
      </x:c>
      <x:c r="M74" s="15">
        <x:v>18</x:v>
      </x:c>
      <x:c r="N74" s="15" t="s">
        <x:v>64</x:v>
      </x:c>
      <x:c r="O74" s="5"/>
      <x:c r="P74" s="5"/>
      <x:c r="Q74" s="21" t="s">
        <x:v>47</x:v>
      </x:c>
      <x:c r="R74" s="21" t="s">
        <x:v>110</x:v>
      </x:c>
      <x:c r="S74" s="18"/>
      <x:c r="T74" s="9"/>
      <x:c r="U74" s="9"/>
      <x:c r="V74" s="67">
        <x:v>-2.1110685</x:v>
      </x:c>
      <x:c r="W74" s="9">
        <x:v>106.0932651</x:v>
      </x:c>
      <x:c r="X74" s="9"/>
      <x:c r="Y74" s="47"/>
      <x:c r="Z74" s="26" t="s">
        <x:v>50</x:v>
      </x:c>
      <x:c r="AA74" s="39" t="s">
        <x:v>51</x:v>
      </x:c>
      <x:c r="AB74" s="71">
        <x:v>46220</x:v>
      </x:c>
      <x:c r="AC74" s="41" t="s">
        <x:v>52</x:v>
      </x:c>
      <x:c r="AD74">
        <x:f t="shared" si="2"/>
        <x:v>1</x:v>
      </x:c>
      <x:c r="AE74">
        <x:f t="shared" si="3"/>
        <x:v>1</x:v>
      </x:c>
      <x:c r="AF74" s="227"/>
      <x:c r="AG74" s="228"/>
      <x:c r="AH74" s="229"/>
    </x:row>
    <x:row r="75" ht="25">
      <x:c r="A75" s="27" t="s">
        <x:v>314</x:v>
      </x:c>
      <x:c r="B75" s="9" t="s">
        <x:v>315</x:v>
      </x:c>
      <x:c r="C75" s="5" t="s">
        <x:v>39</x:v>
      </x:c>
      <x:c r="D75" s="9" t="s">
        <x:v>75</x:v>
      </x:c>
      <x:c r="E75" s="9" t="s">
        <x:v>114</x:v>
      </x:c>
      <x:c r="F75" s="5" t="s">
        <x:v>316</x:v>
      </x:c>
      <x:c r="G75" s="5" t="s">
        <x:v>293</x:v>
      </x:c>
      <x:c r="H75" s="15" t="s">
        <x:v>294</x:v>
      </x:c>
      <x:c r="I75" s="15" t="s">
        <x:v>142</x:v>
      </x:c>
      <x:c r="J75" s="5">
        <x:v>2018</x:v>
      </x:c>
      <x:c r="K75" s="15">
        <x:v>32</x:v>
      </x:c>
      <x:c r="L75" s="9">
        <x:v>32</x:v>
      </x:c>
      <x:c r="M75" s="15">
        <x:v>32</x:v>
      </x:c>
      <x:c r="N75" s="15" t="s">
        <x:v>64</x:v>
      </x:c>
      <x:c r="O75" s="5"/>
      <x:c r="P75" s="5"/>
      <x:c r="Q75" s="21" t="s">
        <x:v>47</x:v>
      </x:c>
      <x:c r="R75" s="21"/>
      <x:c r="S75" s="18"/>
      <x:c r="T75" s="9"/>
      <x:c r="U75" s="9"/>
      <x:c r="V75" s="67">
        <x:v>-2.094849</x:v>
      </x:c>
      <x:c r="W75" s="9">
        <x:v>106.098916</x:v>
      </x:c>
      <x:c r="X75" s="9"/>
      <x:c r="Y75" s="47"/>
      <x:c r="Z75" s="26" t="s">
        <x:v>50</x:v>
      </x:c>
      <x:c r="AA75" s="39" t="s">
        <x:v>51</x:v>
      </x:c>
      <x:c r="AB75" s="71">
        <x:v>46220</x:v>
      </x:c>
      <x:c r="AC75" s="41" t="s">
        <x:v>52</x:v>
      </x:c>
      <x:c r="AD75">
        <x:f t="shared" si="2"/>
        <x:v>1</x:v>
      </x:c>
      <x:c r="AE75">
        <x:f t="shared" si="3"/>
        <x:v>1</x:v>
      </x:c>
      <x:c r="AF75" s="227"/>
      <x:c r="AG75" s="228"/>
      <x:c r="AH75" s="229"/>
    </x:row>
    <x:row r="76" ht="25">
      <x:c r="A76" s="27" t="s">
        <x:v>317</x:v>
      </x:c>
      <x:c r="B76" s="9" t="s">
        <x:v>318</x:v>
      </x:c>
      <x:c r="C76" s="5" t="s">
        <x:v>39</x:v>
      </x:c>
      <x:c r="D76" s="9" t="s">
        <x:v>75</x:v>
      </x:c>
      <x:c r="E76" s="9" t="s">
        <x:v>87</x:v>
      </x:c>
      <x:c r="F76" s="5" t="s">
        <x:v>221</x:v>
      </x:c>
      <x:c r="G76" s="5" t="s">
        <x:v>293</x:v>
      </x:c>
      <x:c r="H76" s="15" t="s">
        <x:v>294</x:v>
      </x:c>
      <x:c r="I76" s="15" t="s">
        <x:v>142</x:v>
      </x:c>
      <x:c r="J76" s="5">
        <x:v>2018</x:v>
      </x:c>
      <x:c r="K76" s="15">
        <x:v>72</x:v>
      </x:c>
      <x:c r="L76" s="9">
        <x:v>72</x:v>
      </x:c>
      <x:c r="M76" s="15">
        <x:v>72</x:v>
      </x:c>
      <x:c r="N76" s="15" t="s">
        <x:v>64</x:v>
      </x:c>
      <x:c r="O76" s="5"/>
      <x:c r="P76" s="5"/>
      <x:c r="Q76" s="21" t="s">
        <x:v>47</x:v>
      </x:c>
      <x:c r="R76" s="21"/>
      <x:c r="S76" s="18"/>
      <x:c r="T76" s="9"/>
      <x:c r="U76" s="9"/>
      <x:c r="V76" s="67">
        <x:v>-2.1015929999999998</x:v>
      </x:c>
      <x:c r="W76" s="9">
        <x:v>106.096616</x:v>
      </x:c>
      <x:c r="X76" s="9"/>
      <x:c r="Y76" s="47"/>
      <x:c r="Z76" s="26" t="s">
        <x:v>50</x:v>
      </x:c>
      <x:c r="AA76" s="39" t="s">
        <x:v>51</x:v>
      </x:c>
      <x:c r="AB76" s="71">
        <x:v>46220</x:v>
      </x:c>
      <x:c r="AC76" s="41" t="s">
        <x:v>52</x:v>
      </x:c>
      <x:c r="AD76">
        <x:f t="shared" si="2"/>
        <x:v>1</x:v>
      </x:c>
      <x:c r="AE76">
        <x:f t="shared" si="3"/>
        <x:v>1</x:v>
      </x:c>
      <x:c r="AF76" s="227"/>
      <x:c r="AG76" s="228"/>
      <x:c r="AH76" s="229"/>
    </x:row>
    <x:row r="77" ht="25">
      <x:c r="A77" s="27" t="s">
        <x:v>319</x:v>
      </x:c>
      <x:c r="B77" s="9" t="s">
        <x:v>320</x:v>
      </x:c>
      <x:c r="C77" s="5" t="s">
        <x:v>39</x:v>
      </x:c>
      <x:c r="D77" s="9" t="s">
        <x:v>40</x:v>
      </x:c>
      <x:c r="E77" s="9" t="s">
        <x:v>41</x:v>
      </x:c>
      <x:c r="F77" s="5" t="s">
        <x:v>321</x:v>
      </x:c>
      <x:c r="G77" s="5" t="s">
        <x:v>293</x:v>
      </x:c>
      <x:c r="H77" s="15" t="s">
        <x:v>294</x:v>
      </x:c>
      <x:c r="I77" s="15" t="s">
        <x:v>142</x:v>
      </x:c>
      <x:c r="J77" s="5">
        <x:v>2018</x:v>
      </x:c>
      <x:c r="K77" s="15">
        <x:v>83</x:v>
      </x:c>
      <x:c r="L77" s="9">
        <x:v>83</x:v>
      </x:c>
      <x:c r="M77" s="15">
        <x:v>0</x:v>
      </x:c>
      <x:c r="N77" s="15" t="s">
        <x:v>64</x:v>
      </x:c>
      <x:c r="O77" s="5"/>
      <x:c r="P77" s="5"/>
      <x:c r="Q77" s="21" t="s">
        <x:v>47</x:v>
      </x:c>
      <x:c r="R77" s="21"/>
      <x:c r="S77" s="18"/>
      <x:c r="T77" s="9"/>
      <x:c r="U77" s="9"/>
      <x:c r="V77" s="67">
        <x:v>-2.1018757099999998</x:v>
      </x:c>
      <x:c r="W77" s="9">
        <x:v>106.0948856</x:v>
      </x:c>
      <x:c r="X77" s="9"/>
      <x:c r="Y77" s="47"/>
      <x:c r="Z77" s="26" t="s">
        <x:v>50</x:v>
      </x:c>
      <x:c r="AA77" s="39" t="s">
        <x:v>51</x:v>
      </x:c>
      <x:c r="AB77" s="71">
        <x:v>46220</x:v>
      </x:c>
      <x:c r="AC77" s="41" t="s">
        <x:v>52</x:v>
      </x:c>
      <x:c r="AD77">
        <x:f t="shared" si="2"/>
        <x:v>1</x:v>
      </x:c>
      <x:c r="AE77">
        <x:f t="shared" si="3"/>
        <x:v>0</x:v>
      </x:c>
      <x:c r="AF77" s="227"/>
      <x:c r="AG77" s="228"/>
      <x:c r="AH77" s="229"/>
    </x:row>
    <x:row r="78" ht="25">
      <x:c r="A78" s="27" t="s">
        <x:v>322</x:v>
      </x:c>
      <x:c r="B78" s="9" t="s">
        <x:v>323</x:v>
      </x:c>
      <x:c r="C78" s="5" t="s">
        <x:v>39</x:v>
      </x:c>
      <x:c r="D78" s="9" t="s">
        <x:v>40</x:v>
      </x:c>
      <x:c r="E78" s="9" t="s">
        <x:v>41</x:v>
      </x:c>
      <x:c r="F78" s="5" t="s">
        <x:v>324</x:v>
      </x:c>
      <x:c r="G78" s="5" t="s">
        <x:v>293</x:v>
      </x:c>
      <x:c r="H78" s="15" t="s">
        <x:v>294</x:v>
      </x:c>
      <x:c r="I78" s="15" t="s">
        <x:v>142</x:v>
      </x:c>
      <x:c r="J78" s="5">
        <x:v>2018</x:v>
      </x:c>
      <x:c r="K78" s="15">
        <x:v>16</x:v>
      </x:c>
      <x:c r="L78" s="9">
        <x:v>16</x:v>
      </x:c>
      <x:c r="M78" s="15">
        <x:v>16</x:v>
      </x:c>
      <x:c r="N78" s="15" t="s">
        <x:v>64</x:v>
      </x:c>
      <x:c r="O78" s="5"/>
      <x:c r="P78" s="5"/>
      <x:c r="Q78" s="21" t="s">
        <x:v>47</x:v>
      </x:c>
      <x:c r="R78" s="21"/>
      <x:c r="S78" s="18"/>
      <x:c r="T78" s="9"/>
      <x:c r="U78" s="9"/>
      <x:c r="V78" s="67">
        <x:v>-2.1027453999999999</x:v>
      </x:c>
      <x:c r="W78" s="9">
        <x:v>106.08195600000001</x:v>
      </x:c>
      <x:c r="X78" s="9"/>
      <x:c r="Y78" s="47"/>
      <x:c r="Z78" s="26" t="s">
        <x:v>50</x:v>
      </x:c>
      <x:c r="AA78" s="39" t="s">
        <x:v>51</x:v>
      </x:c>
      <x:c r="AB78" s="71">
        <x:v>46220</x:v>
      </x:c>
      <x:c r="AC78" s="41" t="s">
        <x:v>52</x:v>
      </x:c>
      <x:c r="AD78">
        <x:f t="shared" si="2"/>
        <x:v>1</x:v>
      </x:c>
      <x:c r="AE78">
        <x:f t="shared" si="3"/>
        <x:v>1</x:v>
      </x:c>
      <x:c r="AF78" s="227"/>
      <x:c r="AG78" s="228"/>
      <x:c r="AH78" s="229"/>
    </x:row>
    <x:row r="79" ht="25">
      <x:c r="A79" s="27" t="s">
        <x:v>325</x:v>
      </x:c>
      <x:c r="B79" s="9" t="s">
        <x:v>326</x:v>
      </x:c>
      <x:c r="C79" s="5" t="s">
        <x:v>39</x:v>
      </x:c>
      <x:c r="D79" s="9" t="s">
        <x:v>75</x:v>
      </x:c>
      <x:c r="E79" s="9" t="s">
        <x:v>87</x:v>
      </x:c>
      <x:c r="F79" s="5" t="s">
        <x:v>327</x:v>
      </x:c>
      <x:c r="G79" s="5" t="s">
        <x:v>328</x:v>
      </x:c>
      <x:c r="H79" s="15" t="s">
        <x:v>294</x:v>
      </x:c>
      <x:c r="I79" s="15" t="s">
        <x:v>142</x:v>
      </x:c>
      <x:c r="J79" s="5">
        <x:v>2021</x:v>
      </x:c>
      <x:c r="K79" s="15">
        <x:v>48</x:v>
      </x:c>
      <x:c r="L79" s="9">
        <x:v>48</x:v>
      </x:c>
      <x:c r="M79" s="15">
        <x:v>48</x:v>
      </x:c>
      <x:c r="N79" s="15" t="s">
        <x:v>64</x:v>
      </x:c>
      <x:c r="O79" s="5"/>
      <x:c r="P79" s="5"/>
      <x:c r="Q79" s="21" t="s">
        <x:v>47</x:v>
      </x:c>
      <x:c r="R79" s="21"/>
      <x:c r="S79" s="18"/>
      <x:c r="T79" s="9"/>
      <x:c r="U79" s="9"/>
      <x:c r="V79" s="67">
        <x:v>-2.0908709999999999</x:v>
      </x:c>
      <x:c r="W79" s="9">
        <x:v>106.095277</x:v>
      </x:c>
      <x:c r="X79" s="9"/>
      <x:c r="Y79" s="47"/>
      <x:c r="Z79" s="26" t="s">
        <x:v>50</x:v>
      </x:c>
      <x:c r="AA79" s="39" t="s">
        <x:v>51</x:v>
      </x:c>
      <x:c r="AB79" s="71">
        <x:v>46220</x:v>
      </x:c>
      <x:c r="AC79" s="41" t="s">
        <x:v>52</x:v>
      </x:c>
      <x:c r="AD79">
        <x:f t="shared" si="2"/>
        <x:v>1</x:v>
      </x:c>
      <x:c r="AE79">
        <x:f t="shared" si="3"/>
        <x:v>1</x:v>
      </x:c>
      <x:c r="AF79" s="227"/>
      <x:c r="AG79" s="228"/>
      <x:c r="AH79" s="229"/>
    </x:row>
    <x:row r="80" ht="25">
      <x:c r="A80" s="27" t="s">
        <x:v>329</x:v>
      </x:c>
      <x:c r="B80" s="9" t="s">
        <x:v>330</x:v>
      </x:c>
      <x:c r="C80" s="5" t="s">
        <x:v>39</x:v>
      </x:c>
      <x:c r="D80" s="9" t="s">
        <x:v>75</x:v>
      </x:c>
      <x:c r="E80" s="9" t="s">
        <x:v>87</x:v>
      </x:c>
      <x:c r="F80" s="5" t="s">
        <x:v>316</x:v>
      </x:c>
      <x:c r="G80" s="5" t="s">
        <x:v>328</x:v>
      </x:c>
      <x:c r="H80" s="15" t="s">
        <x:v>294</x:v>
      </x:c>
      <x:c r="I80" s="15" t="s">
        <x:v>142</x:v>
      </x:c>
      <x:c r="J80" s="5">
        <x:v>2019</x:v>
      </x:c>
      <x:c r="K80" s="15">
        <x:v>66</x:v>
      </x:c>
      <x:c r="L80" s="9">
        <x:v>66</x:v>
      </x:c>
      <x:c r="M80" s="15">
        <x:v>66</x:v>
      </x:c>
      <x:c r="N80" s="15" t="s">
        <x:v>64</x:v>
      </x:c>
      <x:c r="O80" s="5"/>
      <x:c r="P80" s="5"/>
      <x:c r="Q80" s="21" t="s">
        <x:v>47</x:v>
      </x:c>
      <x:c r="R80" s="21"/>
      <x:c r="S80" s="18"/>
      <x:c r="T80" s="9"/>
      <x:c r="U80" s="9"/>
      <x:c r="V80" s="67">
        <x:v>-2.091539</x:v>
      </x:c>
      <x:c r="W80" s="9">
        <x:v>106.094336</x:v>
      </x:c>
      <x:c r="X80" s="9"/>
      <x:c r="Y80" s="47"/>
      <x:c r="Z80" s="26" t="s">
        <x:v>50</x:v>
      </x:c>
      <x:c r="AA80" s="39" t="s">
        <x:v>51</x:v>
      </x:c>
      <x:c r="AB80" s="71">
        <x:v>46220</x:v>
      </x:c>
      <x:c r="AC80" s="41" t="s">
        <x:v>52</x:v>
      </x:c>
      <x:c r="AD80">
        <x:f t="shared" si="2"/>
        <x:v>1</x:v>
      </x:c>
      <x:c r="AE80">
        <x:f t="shared" si="3"/>
        <x:v>1</x:v>
      </x:c>
      <x:c r="AF80" s="227"/>
      <x:c r="AG80" s="228"/>
      <x:c r="AH80" s="229"/>
    </x:row>
    <x:row r="81" ht="25">
      <x:c r="A81" s="27" t="s">
        <x:v>331</x:v>
      </x:c>
      <x:c r="B81" s="9" t="s">
        <x:v>332</x:v>
      </x:c>
      <x:c r="C81" s="5" t="s">
        <x:v>39</x:v>
      </x:c>
      <x:c r="D81" s="9" t="s">
        <x:v>40</x:v>
      </x:c>
      <x:c r="E81" s="9" t="s">
        <x:v>41</x:v>
      </x:c>
      <x:c r="F81" s="5" t="s">
        <x:v>146</x:v>
      </x:c>
      <x:c r="G81" s="5" t="s">
        <x:v>293</x:v>
      </x:c>
      <x:c r="H81" s="15" t="s">
        <x:v>294</x:v>
      </x:c>
      <x:c r="I81" s="15" t="s">
        <x:v>142</x:v>
      </x:c>
      <x:c r="J81" s="5">
        <x:v>2022</x:v>
      </x:c>
      <x:c r="K81" s="15">
        <x:v>49</x:v>
      </x:c>
      <x:c r="L81" s="9">
        <x:v>49</x:v>
      </x:c>
      <x:c r="M81" s="15">
        <x:v>49</x:v>
      </x:c>
      <x:c r="N81" s="15" t="s">
        <x:v>64</x:v>
      </x:c>
      <x:c r="O81" s="5"/>
      <x:c r="P81" s="5"/>
      <x:c r="Q81" s="21" t="s">
        <x:v>47</x:v>
      </x:c>
      <x:c r="R81" s="21"/>
      <x:c r="S81" s="18"/>
      <x:c r="T81" s="9"/>
      <x:c r="U81" s="9"/>
      <x:c r="V81" s="67">
        <x:v>-2.1189081000000001</x:v>
      </x:c>
      <x:c r="W81" s="9">
        <x:v>106.08377350000001</x:v>
      </x:c>
      <x:c r="X81" s="9"/>
      <x:c r="Y81" s="47"/>
      <x:c r="Z81" s="26" t="s">
        <x:v>50</x:v>
      </x:c>
      <x:c r="AA81" s="39" t="s">
        <x:v>51</x:v>
      </x:c>
      <x:c r="AB81" s="71">
        <x:v>46220</x:v>
      </x:c>
      <x:c r="AC81" s="41" t="s">
        <x:v>52</x:v>
      </x:c>
      <x:c r="AD81">
        <x:f t="shared" si="2"/>
        <x:v>1</x:v>
      </x:c>
      <x:c r="AE81">
        <x:f t="shared" si="3"/>
        <x:v>1</x:v>
      </x:c>
      <x:c r="AF81" s="227"/>
      <x:c r="AG81" s="228"/>
      <x:c r="AH81" s="229"/>
    </x:row>
    <x:row r="82" ht="25">
      <x:c r="A82" s="27" t="s">
        <x:v>333</x:v>
      </x:c>
      <x:c r="B82" s="9" t="s">
        <x:v>334</x:v>
      </x:c>
      <x:c r="C82" s="5" t="s">
        <x:v>39</x:v>
      </x:c>
      <x:c r="D82" s="9" t="s">
        <x:v>40</x:v>
      </x:c>
      <x:c r="E82" s="9" t="s">
        <x:v>41</x:v>
      </x:c>
      <x:c r="F82" s="5" t="s">
        <x:v>335</x:v>
      </x:c>
      <x:c r="G82" s="5" t="s">
        <x:v>293</x:v>
      </x:c>
      <x:c r="H82" s="15" t="s">
        <x:v>294</x:v>
      </x:c>
      <x:c r="I82" s="15" t="s">
        <x:v>142</x:v>
      </x:c>
      <x:c r="J82" s="5">
        <x:v>2022</x:v>
      </x:c>
      <x:c r="K82" s="15">
        <x:v>132</x:v>
      </x:c>
      <x:c r="L82" s="9">
        <x:v>132</x:v>
      </x:c>
      <x:c r="M82" s="15">
        <x:v>132</x:v>
      </x:c>
      <x:c r="N82" s="15" t="s">
        <x:v>64</x:v>
      </x:c>
      <x:c r="O82" s="5"/>
      <x:c r="P82" s="5"/>
      <x:c r="Q82" s="21" t="s">
        <x:v>47</x:v>
      </x:c>
      <x:c r="R82" s="21"/>
      <x:c r="S82" s="18"/>
      <x:c r="T82" s="9"/>
      <x:c r="U82" s="9"/>
      <x:c r="V82" s="67">
        <x:v>-2.1064370000000001</x:v>
      </x:c>
      <x:c r="W82" s="9">
        <x:v>106.083372</x:v>
      </x:c>
      <x:c r="X82" s="9"/>
      <x:c r="Y82" s="47"/>
      <x:c r="Z82" s="26" t="s">
        <x:v>50</x:v>
      </x:c>
      <x:c r="AA82" s="39" t="s">
        <x:v>51</x:v>
      </x:c>
      <x:c r="AB82" s="71">
        <x:v>46220</x:v>
      </x:c>
      <x:c r="AC82" s="41" t="s">
        <x:v>52</x:v>
      </x:c>
      <x:c r="AD82">
        <x:f t="shared" si="2"/>
        <x:v>1</x:v>
      </x:c>
      <x:c r="AE82">
        <x:f t="shared" si="3"/>
        <x:v>1</x:v>
      </x:c>
      <x:c r="AF82" s="227"/>
      <x:c r="AG82" s="228"/>
      <x:c r="AH82" s="229"/>
    </x:row>
    <x:row r="83" ht="25">
      <x:c r="A83" s="27" t="s">
        <x:v>336</x:v>
      </x:c>
      <x:c r="B83" s="9" t="s">
        <x:v>337</x:v>
      </x:c>
      <x:c r="C83" s="5" t="s">
        <x:v>39</x:v>
      </x:c>
      <x:c r="D83" s="9" t="s">
        <x:v>75</x:v>
      </x:c>
      <x:c r="E83" s="9" t="s">
        <x:v>87</x:v>
      </x:c>
      <x:c r="F83" s="5" t="s">
        <x:v>338</x:v>
      </x:c>
      <x:c r="G83" s="5" t="s">
        <x:v>293</x:v>
      </x:c>
      <x:c r="H83" s="15" t="s">
        <x:v>294</x:v>
      </x:c>
      <x:c r="I83" s="15" t="s">
        <x:v>142</x:v>
      </x:c>
      <x:c r="J83" s="5">
        <x:v>2023</x:v>
      </x:c>
      <x:c r="K83" s="15">
        <x:v>38</x:v>
      </x:c>
      <x:c r="L83" s="9">
        <x:v>38</x:v>
      </x:c>
      <x:c r="M83" s="15">
        <x:v>38</x:v>
      </x:c>
      <x:c r="N83" s="15" t="s">
        <x:v>64</x:v>
      </x:c>
      <x:c r="O83" s="5"/>
      <x:c r="P83" s="5"/>
      <x:c r="Q83" s="21" t="s">
        <x:v>47</x:v>
      </x:c>
      <x:c r="R83" s="21"/>
      <x:c r="S83" s="18"/>
      <x:c r="T83" s="9"/>
      <x:c r="U83" s="9"/>
      <x:c r="V83" s="67">
        <x:v>-2.0986220000000002</x:v>
      </x:c>
      <x:c r="W83" s="9">
        <x:v>106.08407010000001</x:v>
      </x:c>
      <x:c r="X83" s="9"/>
      <x:c r="Y83" s="47"/>
      <x:c r="Z83" s="26" t="s">
        <x:v>50</x:v>
      </x:c>
      <x:c r="AA83" s="39" t="s">
        <x:v>51</x:v>
      </x:c>
      <x:c r="AB83" s="71">
        <x:v>46220</x:v>
      </x:c>
      <x:c r="AC83" s="41" t="s">
        <x:v>52</x:v>
      </x:c>
      <x:c r="AD83">
        <x:f t="shared" si="2"/>
        <x:v>1</x:v>
      </x:c>
      <x:c r="AE83">
        <x:f t="shared" si="3"/>
        <x:v>1</x:v>
      </x:c>
      <x:c r="AF83" s="227"/>
      <x:c r="AG83" s="228"/>
      <x:c r="AH83" s="229"/>
    </x:row>
    <x:row r="84" ht="25">
      <x:c r="A84" s="27" t="s">
        <x:v>339</x:v>
      </x:c>
      <x:c r="B84" s="9" t="s">
        <x:v>340</x:v>
      </x:c>
      <x:c r="C84" s="5" t="s">
        <x:v>39</x:v>
      </x:c>
      <x:c r="D84" s="9" t="s">
        <x:v>40</x:v>
      </x:c>
      <x:c r="E84" s="9" t="s">
        <x:v>41</x:v>
      </x:c>
      <x:c r="F84" s="5" t="s">
        <x:v>149</x:v>
      </x:c>
      <x:c r="G84" s="5" t="s">
        <x:v>341</x:v>
      </x:c>
      <x:c r="H84" s="15" t="s">
        <x:v>342</x:v>
      </x:c>
      <x:c r="I84" s="15" t="s">
        <x:v>107</x:v>
      </x:c>
      <x:c r="J84" s="5">
        <x:v>2019</x:v>
      </x:c>
      <x:c r="K84" s="15">
        <x:v>83</x:v>
      </x:c>
      <x:c r="L84" s="9">
        <x:v>83</x:v>
      </x:c>
      <x:c r="M84" s="15">
        <x:v>79</x:v>
      </x:c>
      <x:c r="N84" s="15" t="s">
        <x:v>46</x:v>
      </x:c>
      <x:c r="O84" s="5">
        <x:v>2022</x:v>
      </x:c>
      <x:c r="P84" s="5"/>
      <x:c r="Q84" s="21" t="s">
        <x:v>47</x:v>
      </x:c>
      <x:c r="R84" s="21" t="s">
        <x:v>249</x:v>
      </x:c>
      <x:c r="S84" s="17" t="s">
        <x:v>48</x:v>
      </x:c>
      <x:c r="T84" s="9"/>
      <x:c r="U84" s="9"/>
      <x:c r="V84" s="67">
        <x:v>-2.0963539999999998</x:v>
      </x:c>
      <x:c r="W84" s="9">
        <x:v>106.08517500000001</x:v>
      </x:c>
      <x:c r="X84" s="9"/>
      <x:c r="Y84" s="47"/>
      <x:c r="Z84" s="26" t="s">
        <x:v>50</x:v>
      </x:c>
      <x:c r="AA84" s="39" t="s">
        <x:v>51</x:v>
      </x:c>
      <x:c r="AB84" s="71">
        <x:v>46220</x:v>
      </x:c>
      <x:c r="AC84" s="41" t="s">
        <x:v>52</x:v>
      </x:c>
      <x:c r="AD84">
        <x:f t="shared" si="2"/>
        <x:v>1</x:v>
      </x:c>
      <x:c r="AE84">
        <x:f t="shared" si="3"/>
        <x:v>0.95180722891566261</x:v>
      </x:c>
      <x:c r="AF84" s="227"/>
      <x:c r="AG84" s="228"/>
      <x:c r="AH84" s="229"/>
    </x:row>
    <x:row r="85" ht="25">
      <x:c r="A85" s="27" t="s">
        <x:v>343</x:v>
      </x:c>
      <x:c r="B85" s="9" t="s">
        <x:v>344</x:v>
      </x:c>
      <x:c r="C85" s="5" t="s">
        <x:v>39</x:v>
      </x:c>
      <x:c r="D85" s="9" t="s">
        <x:v>40</x:v>
      </x:c>
      <x:c r="E85" s="9" t="s">
        <x:v>55</x:v>
      </x:c>
      <x:c r="F85" s="5" t="s">
        <x:v>345</x:v>
      </x:c>
      <x:c r="G85" s="5" t="s">
        <x:v>341</x:v>
      </x:c>
      <x:c r="H85" s="15" t="s">
        <x:v>342</x:v>
      </x:c>
      <x:c r="I85" s="15" t="s">
        <x:v>107</x:v>
      </x:c>
      <x:c r="J85" s="5">
        <x:v>2022</x:v>
      </x:c>
      <x:c r="K85" s="15">
        <x:v>97</x:v>
      </x:c>
      <x:c r="L85" s="9">
        <x:v>97</x:v>
      </x:c>
      <x:c r="M85" s="15">
        <x:v>97</x:v>
      </x:c>
      <x:c r="N85" s="15" t="s">
        <x:v>64</x:v>
      </x:c>
      <x:c r="O85" s="5"/>
      <x:c r="P85" s="5"/>
      <x:c r="Q85" s="21" t="s">
        <x:v>47</x:v>
      </x:c>
      <x:c r="R85" s="21"/>
      <x:c r="S85" s="17" t="s">
        <x:v>48</x:v>
      </x:c>
      <x:c r="T85" s="9"/>
      <x:c r="U85" s="9"/>
      <x:c r="V85" s="67">
        <x:v>-2.1202122999999999</x:v>
      </x:c>
      <x:c r="W85" s="9">
        <x:v>106.0750427</x:v>
      </x:c>
      <x:c r="X85" s="9"/>
      <x:c r="Y85" s="47"/>
      <x:c r="Z85" s="26" t="s">
        <x:v>50</x:v>
      </x:c>
      <x:c r="AA85" s="39" t="s">
        <x:v>51</x:v>
      </x:c>
      <x:c r="AB85" s="71">
        <x:v>46220</x:v>
      </x:c>
      <x:c r="AC85" s="41" t="s">
        <x:v>52</x:v>
      </x:c>
      <x:c r="AD85" t="n">
        <x:f t="shared" ref="AD85:AD107" si="4">IF(A85="","",IFERROR(L85/K85,0))</x:f>
        <x:v>1</x:v>
      </x:c>
      <x:c r="AE85" t="n">
        <x:f t="shared" ref="AE85:AE107" si="5">IF(A85="","",IFERROR(M85/L85,0))</x:f>
        <x:v>1</x:v>
      </x:c>
      <x:c r="AF85" s="227"/>
      <x:c r="AG85" s="228"/>
      <x:c r="AH85" s="229"/>
    </x:row>
    <x:row r="86" ht="25">
      <x:c r="A86" s="27" t="s">
        <x:v>346</x:v>
      </x:c>
      <x:c r="B86" s="9" t="s">
        <x:v>347</x:v>
      </x:c>
      <x:c r="C86" s="5" t="s">
        <x:v>39</x:v>
      </x:c>
      <x:c r="D86" s="9" t="s">
        <x:v>75</x:v>
      </x:c>
      <x:c r="E86" s="9" t="s">
        <x:v>87</x:v>
      </x:c>
      <x:c r="F86" s="5" t="s">
        <x:v>327</x:v>
      </x:c>
      <x:c r="G86" s="5" t="s">
        <x:v>341</x:v>
      </x:c>
      <x:c r="H86" s="15" t="s">
        <x:v>342</x:v>
      </x:c>
      <x:c r="I86" s="15" t="s">
        <x:v>107</x:v>
      </x:c>
      <x:c r="J86" s="5">
        <x:v>2023</x:v>
      </x:c>
      <x:c r="K86" s="15">
        <x:v>97</x:v>
      </x:c>
      <x:c r="L86" s="9">
        <x:v>97</x:v>
      </x:c>
      <x:c r="M86" s="15">
        <x:v>97</x:v>
      </x:c>
      <x:c r="N86" s="15" t="s">
        <x:v>46</x:v>
      </x:c>
      <x:c r="O86" s="5">
        <x:v>2025</x:v>
      </x:c>
      <x:c r="P86" s="5"/>
      <x:c r="Q86" s="21" t="s">
        <x:v>47</x:v>
      </x:c>
      <x:c r="R86" s="21"/>
      <x:c r="S86" s="17" t="s">
        <x:v>48</x:v>
      </x:c>
      <x:c r="T86" s="9"/>
      <x:c r="U86" s="9"/>
      <x:c r="V86" s="67">
        <x:v>-2.0932569999999999</x:v>
      </x:c>
      <x:c r="W86" s="9">
        <x:v>106.09328499999999</x:v>
      </x:c>
      <x:c r="X86" s="9"/>
      <x:c r="Y86" s="47"/>
      <x:c r="Z86" s="26" t="s">
        <x:v>50</x:v>
      </x:c>
      <x:c r="AA86" s="39" t="s">
        <x:v>51</x:v>
      </x:c>
      <x:c r="AB86" s="71">
        <x:v>46220</x:v>
      </x:c>
      <x:c r="AC86" s="41" t="s">
        <x:v>52</x:v>
      </x:c>
      <x:c r="AD86">
        <x:f t="shared" si="4"/>
        <x:v>1</x:v>
      </x:c>
      <x:c r="AE86">
        <x:f t="shared" si="5"/>
        <x:v>1</x:v>
      </x:c>
      <x:c r="AF86" s="227"/>
      <x:c r="AG86" s="228"/>
      <x:c r="AH86" s="229"/>
    </x:row>
    <x:row r="87" ht="25">
      <x:c r="A87" s="27" t="s">
        <x:v>348</x:v>
      </x:c>
      <x:c r="B87" s="9" t="s">
        <x:v>349</x:v>
      </x:c>
      <x:c r="C87" s="5" t="s">
        <x:v>39</x:v>
      </x:c>
      <x:c r="D87" s="9" t="s">
        <x:v>75</x:v>
      </x:c>
      <x:c r="E87" s="9" t="s">
        <x:v>87</x:v>
      </x:c>
      <x:c r="F87" s="5" t="s">
        <x:v>327</x:v>
      </x:c>
      <x:c r="G87" s="5" t="s">
        <x:v>341</x:v>
      </x:c>
      <x:c r="H87" s="15" t="s">
        <x:v>342</x:v>
      </x:c>
      <x:c r="I87" s="15" t="s">
        <x:v>107</x:v>
      </x:c>
      <x:c r="J87" s="5">
        <x:v>2024</x:v>
      </x:c>
      <x:c r="K87" s="15">
        <x:v>128</x:v>
      </x:c>
      <x:c r="L87" s="9">
        <x:v>128</x:v>
      </x:c>
      <x:c r="M87" s="15">
        <x:v>128</x:v>
      </x:c>
      <x:c r="N87" s="15" t="s">
        <x:v>64</x:v>
      </x:c>
      <x:c r="O87" s="5"/>
      <x:c r="P87" s="5"/>
      <x:c r="Q87" s="21" t="s">
        <x:v>47</x:v>
      </x:c>
      <x:c r="R87" s="21" t="s">
        <x:v>110</x:v>
      </x:c>
      <x:c r="S87" s="17" t="s">
        <x:v>48</x:v>
      </x:c>
      <x:c r="T87" s="9"/>
      <x:c r="U87" s="9"/>
      <x:c r="V87" s="67">
        <x:v>-2.0918890000000001</x:v>
      </x:c>
      <x:c r="W87" s="9">
        <x:v>106.09471600000001</x:v>
      </x:c>
      <x:c r="X87" s="9"/>
      <x:c r="Y87" s="47"/>
      <x:c r="Z87" s="26" t="s">
        <x:v>50</x:v>
      </x:c>
      <x:c r="AA87" s="39" t="s">
        <x:v>51</x:v>
      </x:c>
      <x:c r="AB87" s="71">
        <x:v>46220</x:v>
      </x:c>
      <x:c r="AC87" s="41" t="s">
        <x:v>52</x:v>
      </x:c>
      <x:c r="AD87">
        <x:f t="shared" si="4"/>
        <x:v>1</x:v>
      </x:c>
      <x:c r="AE87">
        <x:f t="shared" si="5"/>
        <x:v>1</x:v>
      </x:c>
      <x:c r="AF87" s="227"/>
      <x:c r="AG87" s="228"/>
      <x:c r="AH87" s="229"/>
    </x:row>
    <x:row r="88" ht="25">
      <x:c r="A88" s="27" t="s">
        <x:v>350</x:v>
      </x:c>
      <x:c r="B88" s="9" t="s">
        <x:v>351</x:v>
      </x:c>
      <x:c r="C88" s="5" t="s">
        <x:v>39</x:v>
      </x:c>
      <x:c r="D88" s="9" t="s">
        <x:v>102</x:v>
      </x:c>
      <x:c r="E88" s="9" t="s">
        <x:v>277</x:v>
      </x:c>
      <x:c r="F88" s="5" t="s">
        <x:v>352</x:v>
      </x:c>
      <x:c r="G88" s="5" t="s">
        <x:v>353</x:v>
      </x:c>
      <x:c r="H88" s="15" t="s">
        <x:v>354</x:v>
      </x:c>
      <x:c r="I88" s="15" t="s">
        <x:v>62</x:v>
      </x:c>
      <x:c r="J88" s="5">
        <x:v>2017</x:v>
      </x:c>
      <x:c r="K88" s="15">
        <x:v>48</x:v>
      </x:c>
      <x:c r="L88" s="9">
        <x:v>48</x:v>
      </x:c>
      <x:c r="M88" s="15">
        <x:v>48</x:v>
      </x:c>
      <x:c r="N88" s="15" t="s">
        <x:v>64</x:v>
      </x:c>
      <x:c r="O88" s="5"/>
      <x:c r="P88" s="5"/>
      <x:c r="Q88" s="21" t="s">
        <x:v>47</x:v>
      </x:c>
      <x:c r="R88" s="21"/>
      <x:c r="S88" s="18"/>
      <x:c r="T88" s="9"/>
      <x:c r="U88" s="9"/>
      <x:c r="V88" s="67"/>
      <x:c r="W88" s="9"/>
      <x:c r="X88" s="9"/>
      <x:c r="Y88" s="47"/>
      <x:c r="Z88" s="26" t="s">
        <x:v>50</x:v>
      </x:c>
      <x:c r="AA88" s="39" t="s">
        <x:v>51</x:v>
      </x:c>
      <x:c r="AB88" s="71">
        <x:v>46220</x:v>
      </x:c>
      <x:c r="AC88" s="41" t="s">
        <x:v>52</x:v>
      </x:c>
      <x:c r="AD88">
        <x:f t="shared" si="4"/>
        <x:v>1</x:v>
      </x:c>
      <x:c r="AE88">
        <x:f t="shared" si="5"/>
        <x:v>1</x:v>
      </x:c>
      <x:c r="AF88" s="227"/>
      <x:c r="AG88" s="228"/>
      <x:c r="AH88" s="229"/>
    </x:row>
    <x:row r="89" ht="25">
      <x:c r="A89" s="27" t="s">
        <x:v>355</x:v>
      </x:c>
      <x:c r="B89" s="9" t="s">
        <x:v>356</x:v>
      </x:c>
      <x:c r="C89" s="5" t="s">
        <x:v>39</x:v>
      </x:c>
      <x:c r="D89" s="9" t="s">
        <x:v>40</x:v>
      </x:c>
      <x:c r="E89" s="9" t="s">
        <x:v>177</x:v>
      </x:c>
      <x:c r="F89" s="5" t="s">
        <x:v>178</x:v>
      </x:c>
      <x:c r="G89" s="5" t="s">
        <x:v>62</x:v>
      </x:c>
      <x:c r="H89" s="15" t="s">
        <x:v>62</x:v>
      </x:c>
      <x:c r="I89" s="15" t="s">
        <x:v>62</x:v>
      </x:c>
      <x:c r="J89" s="5"/>
      <x:c r="K89" s="15">
        <x:v>12</x:v>
      </x:c>
      <x:c r="L89" s="9">
        <x:v>12</x:v>
      </x:c>
      <x:c r="M89" s="15">
        <x:v>12</x:v>
      </x:c>
      <x:c r="N89" s="15" t="s">
        <x:v>64</x:v>
      </x:c>
      <x:c r="O89" s="5"/>
      <x:c r="P89" s="5"/>
      <x:c r="Q89" s="21" t="s">
        <x:v>47</x:v>
      </x:c>
      <x:c r="R89" s="21"/>
      <x:c r="S89" s="18"/>
      <x:c r="T89" s="9"/>
      <x:c r="U89" s="9"/>
      <x:c r="V89" s="67">
        <x:v>-2.106166</x:v>
      </x:c>
      <x:c r="W89" s="9">
        <x:v>106.092079</x:v>
      </x:c>
      <x:c r="X89" s="9"/>
      <x:c r="Y89" s="47"/>
      <x:c r="Z89" s="26" t="s">
        <x:v>50</x:v>
      </x:c>
      <x:c r="AA89" s="39" t="s">
        <x:v>51</x:v>
      </x:c>
      <x:c r="AB89" s="71">
        <x:v>46220</x:v>
      </x:c>
      <x:c r="AC89" s="41" t="s">
        <x:v>52</x:v>
      </x:c>
      <x:c r="AD89">
        <x:f t="shared" si="4"/>
        <x:v>1</x:v>
      </x:c>
      <x:c r="AE89">
        <x:f t="shared" si="5"/>
        <x:v>1</x:v>
      </x:c>
      <x:c r="AF89" s="227"/>
      <x:c r="AG89" s="228"/>
      <x:c r="AH89" s="229"/>
    </x:row>
    <x:row r="90" ht="25">
      <x:c r="A90" s="27" t="s">
        <x:v>357</x:v>
      </x:c>
      <x:c r="B90" s="9" t="s">
        <x:v>358</x:v>
      </x:c>
      <x:c r="C90" s="5" t="s">
        <x:v>226</x:v>
      </x:c>
      <x:c r="D90" s="9" t="s">
        <x:v>102</x:v>
      </x:c>
      <x:c r="E90" s="9" t="s">
        <x:v>277</x:v>
      </x:c>
      <x:c r="F90" s="5" t="s">
        <x:v>359</x:v>
      </x:c>
      <x:c r="G90" s="5" t="s">
        <x:v>360</x:v>
      </x:c>
      <x:c r="H90" s="15" t="s">
        <x:v>62</x:v>
      </x:c>
      <x:c r="I90" s="15" t="s">
        <x:v>62</x:v>
      </x:c>
      <x:c r="J90" s="5">
        <x:v>2019</x:v>
      </x:c>
      <x:c r="K90" s="15">
        <x:v>339</x:v>
      </x:c>
      <x:c r="L90" s="9">
        <x:v>239</x:v>
      </x:c>
      <x:c r="M90" s="15">
        <x:v>134</x:v>
      </x:c>
      <x:c r="N90" s="15" t="s">
        <x:v>64</x:v>
      </x:c>
      <x:c r="O90" s="5"/>
      <x:c r="P90" s="5"/>
      <x:c r="Q90" s="21" t="s">
        <x:v>89</x:v>
      </x:c>
      <x:c r="R90" s="21"/>
      <x:c r="S90" s="18"/>
      <x:c r="T90" s="9"/>
      <x:c r="U90" s="9"/>
      <x:c r="V90" s="67">
        <x:v>-2.1276793999999999</x:v>
      </x:c>
      <x:c r="W90" s="9">
        <x:v>106.1520824</x:v>
      </x:c>
      <x:c r="X90" s="9"/>
      <x:c r="Y90" s="47"/>
      <x:c r="Z90" s="26" t="s">
        <x:v>50</x:v>
      </x:c>
      <x:c r="AA90" s="39" t="s">
        <x:v>51</x:v>
      </x:c>
      <x:c r="AB90" s="71">
        <x:v>46220</x:v>
      </x:c>
      <x:c r="AC90" s="41" t="s">
        <x:v>52</x:v>
      </x:c>
      <x:c r="AD90">
        <x:f t="shared" si="4"/>
        <x:v>0.70501474926253682</x:v>
      </x:c>
      <x:c r="AE90">
        <x:f t="shared" si="5"/>
        <x:v>0.56066945606694563</x:v>
      </x:c>
      <x:c r="AF90" s="227"/>
      <x:c r="AG90" s="228"/>
      <x:c r="AH90" s="229"/>
    </x:row>
    <x:row r="91" ht="25">
      <x:c r="A91" s="27" t="s">
        <x:v>361</x:v>
      </x:c>
      <x:c r="B91" s="9" t="s">
        <x:v>362</x:v>
      </x:c>
      <x:c r="C91" s="5" t="s">
        <x:v>226</x:v>
      </x:c>
      <x:c r="D91" s="9" t="s">
        <x:v>40</x:v>
      </x:c>
      <x:c r="E91" s="9" t="s">
        <x:v>252</x:v>
      </x:c>
      <x:c r="F91" s="5" t="s">
        <x:v>132</x:v>
      </x:c>
      <x:c r="G91" s="5" t="s">
        <x:v>363</x:v>
      </x:c>
      <x:c r="H91" s="15" t="s">
        <x:v>364</x:v>
      </x:c>
      <x:c r="I91" s="15" t="s">
        <x:v>107</x:v>
      </x:c>
      <x:c r="J91" s="5">
        <x:v>2021</x:v>
      </x:c>
      <x:c r="K91" s="15">
        <x:v>20</x:v>
      </x:c>
      <x:c r="L91" s="9">
        <x:v>16</x:v>
      </x:c>
      <x:c r="M91" s="15">
        <x:v>16</x:v>
      </x:c>
      <x:c r="N91" s="15" t="s">
        <x:v>64</x:v>
      </x:c>
      <x:c r="O91" s="5"/>
      <x:c r="P91" s="5"/>
      <x:c r="Q91" s="21" t="s">
        <x:v>47</x:v>
      </x:c>
      <x:c r="R91" s="21"/>
      <x:c r="S91" s="18"/>
      <x:c r="T91" s="9"/>
      <x:c r="U91" s="9"/>
      <x:c r="V91" s="67">
        <x:v>-2.1150597000000002</x:v>
      </x:c>
      <x:c r="W91" s="9">
        <x:v>106.08923830000001</x:v>
      </x:c>
      <x:c r="X91" s="9"/>
      <x:c r="Y91" s="47"/>
      <x:c r="Z91" s="26" t="s">
        <x:v>50</x:v>
      </x:c>
      <x:c r="AA91" s="39" t="s">
        <x:v>51</x:v>
      </x:c>
      <x:c r="AB91" s="71">
        <x:v>46220</x:v>
      </x:c>
      <x:c r="AC91" s="41" t="s">
        <x:v>52</x:v>
      </x:c>
      <x:c r="AD91">
        <x:f t="shared" si="4"/>
        <x:v>0.8</x:v>
      </x:c>
      <x:c r="AE91">
        <x:f t="shared" si="5"/>
        <x:v>1</x:v>
      </x:c>
      <x:c r="AF91" s="227"/>
      <x:c r="AG91" s="228"/>
      <x:c r="AH91" s="229"/>
    </x:row>
    <x:row r="92" ht="25">
      <x:c r="A92" s="27" t="s">
        <x:v>365</x:v>
      </x:c>
      <x:c r="B92" s="9" t="s">
        <x:v>366</x:v>
      </x:c>
      <x:c r="C92" s="5" t="s">
        <x:v>113</x:v>
      </x:c>
      <x:c r="D92" s="9" t="s">
        <x:v>102</x:v>
      </x:c>
      <x:c r="E92" s="9" t="s">
        <x:v>103</x:v>
      </x:c>
      <x:c r="F92" s="5" t="s">
        <x:v>367</x:v>
      </x:c>
      <x:c r="G92" s="5" t="s">
        <x:v>368</x:v>
      </x:c>
      <x:c r="H92" s="15" t="s">
        <x:v>106</x:v>
      </x:c>
      <x:c r="I92" s="15" t="s">
        <x:v>107</x:v>
      </x:c>
      <x:c r="J92" s="5">
        <x:v>2018</x:v>
      </x:c>
      <x:c r="K92" s="15">
        <x:v>168</x:v>
      </x:c>
      <x:c r="L92" s="9">
        <x:v>168</x:v>
      </x:c>
      <x:c r="M92" s="15">
        <x:v>157</x:v>
      </x:c>
      <x:c r="N92" s="15" t="s">
        <x:v>46</x:v>
      </x:c>
      <x:c r="O92" s="5">
        <x:v>2020</x:v>
      </x:c>
      <x:c r="P92" s="5"/>
      <x:c r="Q92" s="21" t="s">
        <x:v>89</x:v>
      </x:c>
      <x:c r="R92" s="21"/>
      <x:c r="S92" s="17" t="s">
        <x:v>48</x:v>
      </x:c>
      <x:c r="T92" s="9"/>
      <x:c r="U92" s="9"/>
      <x:c r="V92" s="67">
        <x:v>-2.1409722000000002</x:v>
      </x:c>
      <x:c r="W92" s="9">
        <x:v>106.1375556</x:v>
      </x:c>
      <x:c r="X92" s="9"/>
      <x:c r="Y92" s="47"/>
      <x:c r="Z92" s="26" t="s">
        <x:v>50</x:v>
      </x:c>
      <x:c r="AA92" s="39" t="s">
        <x:v>51</x:v>
      </x:c>
      <x:c r="AB92" s="71">
        <x:v>46220</x:v>
      </x:c>
      <x:c r="AC92" s="41" t="s">
        <x:v>52</x:v>
      </x:c>
      <x:c r="AD92">
        <x:f t="shared" si="4"/>
        <x:v>1</x:v>
      </x:c>
      <x:c r="AE92">
        <x:f t="shared" si="5"/>
        <x:v>0.93452380952380953</x:v>
      </x:c>
      <x:c r="AF92" s="227"/>
      <x:c r="AG92" s="228"/>
      <x:c r="AH92" s="229"/>
    </x:row>
    <x:row r="93" ht="25">
      <x:c r="A93" s="27" t="s">
        <x:v>369</x:v>
      </x:c>
      <x:c r="B93" s="9" t="s">
        <x:v>370</x:v>
      </x:c>
      <x:c r="C93" s="5" t="s">
        <x:v>39</x:v>
      </x:c>
      <x:c r="D93" s="9" t="s">
        <x:v>102</x:v>
      </x:c>
      <x:c r="E93" s="9" t="s">
        <x:v>158</x:v>
      </x:c>
      <x:c r="F93" s="5" t="s">
        <x:v>215</x:v>
      </x:c>
      <x:c r="G93" s="5" t="s">
        <x:v>368</x:v>
      </x:c>
      <x:c r="H93" s="15" t="s">
        <x:v>106</x:v>
      </x:c>
      <x:c r="I93" s="15" t="s">
        <x:v>107</x:v>
      </x:c>
      <x:c r="J93" s="5">
        <x:v>2016</x:v>
      </x:c>
      <x:c r="K93" s="15">
        <x:v>147</x:v>
      </x:c>
      <x:c r="L93" s="9">
        <x:v>147</x:v>
      </x:c>
      <x:c r="M93" s="15">
        <x:v>147</x:v>
      </x:c>
      <x:c r="N93" s="15" t="s">
        <x:v>46</x:v>
      </x:c>
      <x:c r="O93" s="5">
        <x:v>2020</x:v>
      </x:c>
      <x:c r="P93" s="5"/>
      <x:c r="Q93" s="21" t="s">
        <x:v>89</x:v>
      </x:c>
      <x:c r="R93" s="21" t="s">
        <x:v>68</x:v>
      </x:c>
      <x:c r="S93" s="17" t="s">
        <x:v>48</x:v>
      </x:c>
      <x:c r="T93" s="9"/>
      <x:c r="U93" s="9"/>
      <x:c r="V93" s="67">
        <x:v>-2.1399853000000002</x:v>
      </x:c>
      <x:c r="W93" s="9">
        <x:v>106.165569</x:v>
      </x:c>
      <x:c r="X93" s="9"/>
      <x:c r="Y93" s="47"/>
      <x:c r="Z93" s="26" t="s">
        <x:v>50</x:v>
      </x:c>
      <x:c r="AA93" s="39" t="s">
        <x:v>51</x:v>
      </x:c>
      <x:c r="AB93" s="71">
        <x:v>46220</x:v>
      </x:c>
      <x:c r="AC93" s="41" t="s">
        <x:v>52</x:v>
      </x:c>
      <x:c r="AD93">
        <x:f t="shared" si="4"/>
        <x:v>1</x:v>
      </x:c>
      <x:c r="AE93">
        <x:f t="shared" si="5"/>
        <x:v>1</x:v>
      </x:c>
      <x:c r="AF93" s="227"/>
      <x:c r="AG93" s="228"/>
      <x:c r="AH93" s="229"/>
    </x:row>
    <x:row r="94" ht="25">
      <x:c r="A94" s="27" t="s">
        <x:v>371</x:v>
      </x:c>
      <x:c r="B94" s="9" t="s">
        <x:v>372</x:v>
      </x:c>
      <x:c r="C94" s="5" t="s">
        <x:v>39</x:v>
      </x:c>
      <x:c r="D94" s="9" t="s">
        <x:v>102</x:v>
      </x:c>
      <x:c r="E94" s="9" t="s">
        <x:v>158</x:v>
      </x:c>
      <x:c r="F94" s="5" t="s">
        <x:v>215</x:v>
      </x:c>
      <x:c r="G94" s="5" t="s">
        <x:v>368</x:v>
      </x:c>
      <x:c r="H94" s="15" t="s">
        <x:v>106</x:v>
      </x:c>
      <x:c r="I94" s="15" t="s">
        <x:v>107</x:v>
      </x:c>
      <x:c r="J94" s="5">
        <x:v>2020</x:v>
      </x:c>
      <x:c r="K94" s="15">
        <x:v>43</x:v>
      </x:c>
      <x:c r="L94" s="9">
        <x:v>43</x:v>
      </x:c>
      <x:c r="M94" s="15">
        <x:v>36</x:v>
      </x:c>
      <x:c r="N94" s="15" t="s">
        <x:v>46</x:v>
      </x:c>
      <x:c r="O94" s="5">
        <x:v>2021</x:v>
      </x:c>
      <x:c r="P94" s="5"/>
      <x:c r="Q94" s="21" t="s">
        <x:v>89</x:v>
      </x:c>
      <x:c r="R94" s="21" t="s">
        <x:v>68</x:v>
      </x:c>
      <x:c r="S94" s="17" t="s">
        <x:v>48</x:v>
      </x:c>
      <x:c r="T94" s="9" t="s">
        <x:v>49</x:v>
      </x:c>
      <x:c r="U94" s="9"/>
      <x:c r="V94" s="67">
        <x:v>-2.1399853000000002</x:v>
      </x:c>
      <x:c r="W94" s="9">
        <x:v>106.1655691</x:v>
      </x:c>
      <x:c r="X94" s="9"/>
      <x:c r="Y94" s="47"/>
      <x:c r="Z94" s="26" t="s">
        <x:v>50</x:v>
      </x:c>
      <x:c r="AA94" s="39" t="s">
        <x:v>51</x:v>
      </x:c>
      <x:c r="AB94" s="71">
        <x:v>46220</x:v>
      </x:c>
      <x:c r="AC94" s="41" t="s">
        <x:v>52</x:v>
      </x:c>
      <x:c r="AD94">
        <x:f t="shared" si="4"/>
        <x:v>1</x:v>
      </x:c>
      <x:c r="AE94">
        <x:f t="shared" si="5"/>
        <x:v>0.83720930232558144</x:v>
      </x:c>
      <x:c r="AF94" s="227"/>
      <x:c r="AG94" s="228"/>
      <x:c r="AH94" s="229"/>
    </x:row>
    <x:row r="95" ht="25">
      <x:c r="A95" s="27" t="s">
        <x:v>373</x:v>
      </x:c>
      <x:c r="B95" s="9" t="s">
        <x:v>374</x:v>
      </x:c>
      <x:c r="C95" s="5" t="s">
        <x:v>39</x:v>
      </x:c>
      <x:c r="D95" s="9" t="s">
        <x:v>75</x:v>
      </x:c>
      <x:c r="E95" s="9" t="s">
        <x:v>375</x:v>
      </x:c>
      <x:c r="F95" s="5" t="s">
        <x:v>376</x:v>
      </x:c>
      <x:c r="G95" s="5" t="s">
        <x:v>377</x:v>
      </x:c>
      <x:c r="H95" s="15" t="s">
        <x:v>106</x:v>
      </x:c>
      <x:c r="I95" s="15" t="s">
        <x:v>107</x:v>
      </x:c>
      <x:c r="J95" s="5">
        <x:v>2021</x:v>
      </x:c>
      <x:c r="K95" s="15">
        <x:v>92</x:v>
      </x:c>
      <x:c r="L95" s="9">
        <x:v>92</x:v>
      </x:c>
      <x:c r="M95" s="15">
        <x:v>92</x:v>
      </x:c>
      <x:c r="N95" s="15" t="s">
        <x:v>64</x:v>
      </x:c>
      <x:c r="O95" s="5"/>
      <x:c r="P95" s="5"/>
      <x:c r="Q95" s="21" t="s">
        <x:v>47</x:v>
      </x:c>
      <x:c r="R95" s="21"/>
      <x:c r="S95" s="17" t="s">
        <x:v>48</x:v>
      </x:c>
      <x:c r="T95" s="9" t="s">
        <x:v>49</x:v>
      </x:c>
      <x:c r="U95" s="9"/>
      <x:c r="V95" s="67">
        <x:v>-2.0881560000000001</x:v>
      </x:c>
      <x:c r="W95" s="9">
        <x:v>106.11421300000001</x:v>
      </x:c>
      <x:c r="X95" s="9"/>
      <x:c r="Y95" s="47"/>
      <x:c r="Z95" s="26" t="s">
        <x:v>50</x:v>
      </x:c>
      <x:c r="AA95" s="39" t="s">
        <x:v>51</x:v>
      </x:c>
      <x:c r="AB95" s="71">
        <x:v>46220</x:v>
      </x:c>
      <x:c r="AC95" s="41" t="s">
        <x:v>52</x:v>
      </x:c>
      <x:c r="AD95">
        <x:f t="shared" si="4"/>
        <x:v>1</x:v>
      </x:c>
      <x:c r="AE95">
        <x:f t="shared" si="5"/>
        <x:v>1</x:v>
      </x:c>
      <x:c r="AF95" s="227"/>
      <x:c r="AG95" s="228"/>
      <x:c r="AH95" s="229"/>
    </x:row>
    <x:row r="96" ht="25">
      <x:c r="A96" s="27" t="s">
        <x:v>378</x:v>
      </x:c>
      <x:c r="B96" s="9" t="s">
        <x:v>379</x:v>
      </x:c>
      <x:c r="C96" s="5" t="s">
        <x:v>39</x:v>
      </x:c>
      <x:c r="D96" s="9" t="s">
        <x:v>75</x:v>
      </x:c>
      <x:c r="E96" s="9" t="s">
        <x:v>375</x:v>
      </x:c>
      <x:c r="F96" s="5" t="s">
        <x:v>376</x:v>
      </x:c>
      <x:c r="G96" s="5" t="s">
        <x:v>377</x:v>
      </x:c>
      <x:c r="H96" s="15" t="s">
        <x:v>106</x:v>
      </x:c>
      <x:c r="I96" s="15" t="s">
        <x:v>107</x:v>
      </x:c>
      <x:c r="J96" s="5">
        <x:v>2024</x:v>
      </x:c>
      <x:c r="K96" s="15">
        <x:v>69</x:v>
      </x:c>
      <x:c r="L96" s="9">
        <x:v>0</x:v>
      </x:c>
      <x:c r="M96" s="15">
        <x:v>0</x:v>
      </x:c>
      <x:c r="N96" s="15" t="s">
        <x:v>64</x:v>
      </x:c>
      <x:c r="O96" s="5"/>
      <x:c r="P96" s="5"/>
      <x:c r="Q96" s="21" t="s">
        <x:v>47</x:v>
      </x:c>
      <x:c r="R96" s="21"/>
      <x:c r="S96" s="17" t="s">
        <x:v>48</x:v>
      </x:c>
      <x:c r="T96" s="9"/>
      <x:c r="U96" s="9"/>
      <x:c r="V96" s="67">
        <x:v>-2.0873370000000002</x:v>
      </x:c>
      <x:c r="W96" s="9">
        <x:v>106.115123</x:v>
      </x:c>
      <x:c r="X96" s="9"/>
      <x:c r="Y96" s="47"/>
      <x:c r="Z96" s="26" t="s">
        <x:v>50</x:v>
      </x:c>
      <x:c r="AA96" s="39" t="s">
        <x:v>51</x:v>
      </x:c>
      <x:c r="AB96" s="71">
        <x:v>46220</x:v>
      </x:c>
      <x:c r="AC96" s="41" t="s">
        <x:v>52</x:v>
      </x:c>
      <x:c r="AD96">
        <x:f t="shared" si="4"/>
        <x:v>0</x:v>
      </x:c>
      <x:c r="AE96">
        <x:f t="shared" si="5"/>
        <x:v>0</x:v>
      </x:c>
      <x:c r="AF96" s="227"/>
      <x:c r="AG96" s="228"/>
      <x:c r="AH96" s="229"/>
    </x:row>
    <x:row r="97" ht="25">
      <x:c r="A97" s="27" t="s">
        <x:v>380</x:v>
      </x:c>
      <x:c r="B97" s="9" t="s">
        <x:v>381</x:v>
      </x:c>
      <x:c r="C97" s="5" t="s">
        <x:v>39</x:v>
      </x:c>
      <x:c r="D97" s="9" t="s">
        <x:v>102</x:v>
      </x:c>
      <x:c r="E97" s="9" t="s">
        <x:v>158</x:v>
      </x:c>
      <x:c r="F97" s="5" t="s">
        <x:v>167</x:v>
      </x:c>
      <x:c r="G97" s="5" t="s">
        <x:v>368</x:v>
      </x:c>
      <x:c r="H97" s="15" t="s">
        <x:v>106</x:v>
      </x:c>
      <x:c r="I97" s="15" t="s">
        <x:v>107</x:v>
      </x:c>
      <x:c r="J97" s="5">
        <x:v>2019</x:v>
      </x:c>
      <x:c r="K97" s="15">
        <x:v>98</x:v>
      </x:c>
      <x:c r="L97" s="9">
        <x:v>90</x:v>
      </x:c>
      <x:c r="M97" s="15">
        <x:v>84</x:v>
      </x:c>
      <x:c r="N97" s="15" t="s">
        <x:v>46</x:v>
      </x:c>
      <x:c r="O97" s="5">
        <x:v>2021</x:v>
      </x:c>
      <x:c r="P97" s="5"/>
      <x:c r="Q97" s="21" t="s">
        <x:v>47</x:v>
      </x:c>
      <x:c r="R97" s="21"/>
      <x:c r="S97" s="17" t="s">
        <x:v>48</x:v>
      </x:c>
      <x:c r="T97" s="9"/>
      <x:c r="U97" s="9"/>
      <x:c r="V97" s="67">
        <x:v>-2.1327805999999998</x:v>
      </x:c>
      <x:c r="W97" s="9">
        <x:v>106.16383949999999</x:v>
      </x:c>
      <x:c r="X97" s="9"/>
      <x:c r="Y97" s="47"/>
      <x:c r="Z97" s="26" t="s">
        <x:v>50</x:v>
      </x:c>
      <x:c r="AA97" s="39" t="s">
        <x:v>51</x:v>
      </x:c>
      <x:c r="AB97" s="71">
        <x:v>46220</x:v>
      </x:c>
      <x:c r="AC97" s="41" t="s">
        <x:v>52</x:v>
      </x:c>
      <x:c r="AD97">
        <x:f t="shared" si="4"/>
        <x:v>0.91836734693877553</x:v>
      </x:c>
      <x:c r="AE97">
        <x:f t="shared" si="5"/>
        <x:v>0.93333333333333335</x:v>
      </x:c>
      <x:c r="AF97" s="227"/>
      <x:c r="AG97" s="228"/>
      <x:c r="AH97" s="229"/>
    </x:row>
    <x:row r="98" ht="25">
      <x:c r="A98" s="27" t="s">
        <x:v>382</x:v>
      </x:c>
      <x:c r="B98" s="9" t="s">
        <x:v>383</x:v>
      </x:c>
      <x:c r="C98" s="5" t="s">
        <x:v>39</x:v>
      </x:c>
      <x:c r="D98" s="9" t="s">
        <x:v>102</x:v>
      </x:c>
      <x:c r="E98" s="9" t="s">
        <x:v>158</x:v>
      </x:c>
      <x:c r="F98" s="5" t="s">
        <x:v>167</x:v>
      </x:c>
      <x:c r="G98" s="5" t="s">
        <x:v>368</x:v>
      </x:c>
      <x:c r="H98" s="15" t="s">
        <x:v>106</x:v>
      </x:c>
      <x:c r="I98" s="15" t="s">
        <x:v>107</x:v>
      </x:c>
      <x:c r="J98" s="5">
        <x:v>2019</x:v>
      </x:c>
      <x:c r="K98" s="15">
        <x:v>139</x:v>
      </x:c>
      <x:c r="L98" s="9">
        <x:v>139</x:v>
      </x:c>
      <x:c r="M98" s="15">
        <x:v>136</x:v>
      </x:c>
      <x:c r="N98" s="15" t="s">
        <x:v>46</x:v>
      </x:c>
      <x:c r="O98" s="5">
        <x:v>2023</x:v>
      </x:c>
      <x:c r="P98" s="5"/>
      <x:c r="Q98" s="21" t="s">
        <x:v>47</x:v>
      </x:c>
      <x:c r="R98" s="21"/>
      <x:c r="S98" s="17" t="s">
        <x:v>48</x:v>
      </x:c>
      <x:c r="T98" s="9"/>
      <x:c r="U98" s="9"/>
      <x:c r="V98" s="67">
        <x:v>-2.1327805999999998</x:v>
      </x:c>
      <x:c r="W98" s="9">
        <x:v>106.1638396</x:v>
      </x:c>
      <x:c r="X98" s="9"/>
      <x:c r="Y98" s="47"/>
      <x:c r="Z98" s="26" t="s">
        <x:v>50</x:v>
      </x:c>
      <x:c r="AA98" s="39" t="s">
        <x:v>51</x:v>
      </x:c>
      <x:c r="AB98" s="71">
        <x:v>46220</x:v>
      </x:c>
      <x:c r="AC98" s="41" t="s">
        <x:v>52</x:v>
      </x:c>
      <x:c r="AD98">
        <x:f t="shared" si="4"/>
        <x:v>1</x:v>
      </x:c>
      <x:c r="AE98">
        <x:f t="shared" si="5"/>
        <x:v>0.97841726618705038</x:v>
      </x:c>
      <x:c r="AF98" s="227"/>
      <x:c r="AG98" s="228"/>
      <x:c r="AH98" s="229"/>
    </x:row>
    <x:row r="99" ht="25">
      <x:c r="A99" s="27" t="s">
        <x:v>384</x:v>
      </x:c>
      <x:c r="B99" s="9" t="s">
        <x:v>385</x:v>
      </x:c>
      <x:c r="C99" s="5" t="s">
        <x:v>39</x:v>
      </x:c>
      <x:c r="D99" s="9" t="s">
        <x:v>40</x:v>
      </x:c>
      <x:c r="E99" s="9" t="s">
        <x:v>41</x:v>
      </x:c>
      <x:c r="F99" s="5" t="s">
        <x:v>67</x:v>
      </x:c>
      <x:c r="G99" s="5" t="s">
        <x:v>368</x:v>
      </x:c>
      <x:c r="H99" s="15" t="s">
        <x:v>106</x:v>
      </x:c>
      <x:c r="I99" s="15" t="s">
        <x:v>107</x:v>
      </x:c>
      <x:c r="J99" s="5">
        <x:v>2021</x:v>
      </x:c>
      <x:c r="K99" s="15">
        <x:v>112</x:v>
      </x:c>
      <x:c r="L99" s="9">
        <x:v>90</x:v>
      </x:c>
      <x:c r="M99" s="15">
        <x:v>90</x:v>
      </x:c>
      <x:c r="N99" s="15" t="s">
        <x:v>64</x:v>
      </x:c>
      <x:c r="O99" s="5"/>
      <x:c r="P99" s="5"/>
      <x:c r="Q99" s="21" t="s">
        <x:v>47</x:v>
      </x:c>
      <x:c r="R99" s="21" t="s">
        <x:v>110</x:v>
      </x:c>
      <x:c r="S99" s="17" t="s">
        <x:v>48</x:v>
      </x:c>
      <x:c r="T99" s="9" t="s">
        <x:v>49</x:v>
      </x:c>
      <x:c r="U99" s="9"/>
      <x:c r="V99" s="67">
        <x:v>-2.099383</x:v>
      </x:c>
      <x:c r="W99" s="9">
        <x:v>106.0753648</x:v>
      </x:c>
      <x:c r="X99" s="9"/>
      <x:c r="Y99" s="47"/>
      <x:c r="Z99" s="26" t="s">
        <x:v>50</x:v>
      </x:c>
      <x:c r="AA99" s="39" t="s">
        <x:v>51</x:v>
      </x:c>
      <x:c r="AB99" s="71">
        <x:v>46220</x:v>
      </x:c>
      <x:c r="AC99" s="41" t="s">
        <x:v>52</x:v>
      </x:c>
      <x:c r="AD99">
        <x:f t="shared" si="4"/>
        <x:v>0.8035714285714286</x:v>
      </x:c>
      <x:c r="AE99">
        <x:f t="shared" si="5"/>
        <x:v>1</x:v>
      </x:c>
      <x:c r="AF99" s="227"/>
      <x:c r="AG99" s="228"/>
      <x:c r="AH99" s="229"/>
    </x:row>
    <x:row r="100" ht="25">
      <x:c r="A100" s="27" t="s">
        <x:v>386</x:v>
      </x:c>
      <x:c r="B100" s="9" t="s">
        <x:v>387</x:v>
      </x:c>
      <x:c r="C100" s="5" t="s">
        <x:v>39</x:v>
      </x:c>
      <x:c r="D100" s="9" t="s">
        <x:v>40</x:v>
      </x:c>
      <x:c r="E100" s="9" t="s">
        <x:v>41</x:v>
      </x:c>
      <x:c r="F100" s="5" t="s">
        <x:v>388</x:v>
      </x:c>
      <x:c r="G100" s="5" t="s">
        <x:v>368</x:v>
      </x:c>
      <x:c r="H100" s="15" t="s">
        <x:v>106</x:v>
      </x:c>
      <x:c r="I100" s="15" t="s">
        <x:v>107</x:v>
      </x:c>
      <x:c r="J100" s="5">
        <x:v>2024</x:v>
      </x:c>
      <x:c r="K100" s="15">
        <x:v>71</x:v>
      </x:c>
      <x:c r="L100" s="9">
        <x:v>12</x:v>
      </x:c>
      <x:c r="M100" s="15">
        <x:v>0</x:v>
      </x:c>
      <x:c r="N100" s="15" t="s">
        <x:v>64</x:v>
      </x:c>
      <x:c r="O100" s="5"/>
      <x:c r="P100" s="5"/>
      <x:c r="Q100" s="21" t="s">
        <x:v>47</x:v>
      </x:c>
      <x:c r="R100" s="21" t="s">
        <x:v>110</x:v>
      </x:c>
      <x:c r="S100" s="17" t="s">
        <x:v>48</x:v>
      </x:c>
      <x:c r="T100" s="9" t="s">
        <x:v>49</x:v>
      </x:c>
      <x:c r="U100" s="9"/>
      <x:c r="V100" s="67">
        <x:v>-2.0993406999999999</x:v>
      </x:c>
      <x:c r="W100" s="9">
        <x:v>106.07502890000001</x:v>
      </x:c>
      <x:c r="X100" s="9"/>
      <x:c r="Y100" s="47"/>
      <x:c r="Z100" s="26" t="s">
        <x:v>50</x:v>
      </x:c>
      <x:c r="AA100" s="39" t="s">
        <x:v>51</x:v>
      </x:c>
      <x:c r="AB100" s="71">
        <x:v>46220</x:v>
      </x:c>
      <x:c r="AC100" s="41" t="s">
        <x:v>52</x:v>
      </x:c>
      <x:c r="AD100">
        <x:f t="shared" si="4"/>
        <x:v>0.16901408450704225</x:v>
      </x:c>
      <x:c r="AE100">
        <x:f t="shared" si="5"/>
        <x:v>0</x:v>
      </x:c>
      <x:c r="AF100" s="227"/>
      <x:c r="AG100" s="228"/>
      <x:c r="AH100" s="229"/>
    </x:row>
    <x:row r="101" ht="25">
      <x:c r="A101" s="27" t="s">
        <x:v>389</x:v>
      </x:c>
      <x:c r="B101" s="9" t="s">
        <x:v>390</x:v>
      </x:c>
      <x:c r="C101" s="5" t="s">
        <x:v>39</x:v>
      </x:c>
      <x:c r="D101" s="9" t="s">
        <x:v>102</x:v>
      </x:c>
      <x:c r="E101" s="9" t="s">
        <x:v>158</x:v>
      </x:c>
      <x:c r="F101" s="5" t="s">
        <x:v>391</x:v>
      </x:c>
      <x:c r="G101" s="5" t="s">
        <x:v>377</x:v>
      </x:c>
      <x:c r="H101" s="15" t="s">
        <x:v>106</x:v>
      </x:c>
      <x:c r="I101" s="15" t="s">
        <x:v>107</x:v>
      </x:c>
      <x:c r="J101" s="5">
        <x:v>2023</x:v>
      </x:c>
      <x:c r="K101" s="15">
        <x:v>133</x:v>
      </x:c>
      <x:c r="L101" s="9">
        <x:v>78</x:v>
      </x:c>
      <x:c r="M101" s="15">
        <x:v>33</x:v>
      </x:c>
      <x:c r="N101" s="15" t="s">
        <x:v>64</x:v>
      </x:c>
      <x:c r="O101" s="5"/>
      <x:c r="P101" s="5"/>
      <x:c r="Q101" s="21" t="s">
        <x:v>47</x:v>
      </x:c>
      <x:c r="R101" s="21" t="s">
        <x:v>110</x:v>
      </x:c>
      <x:c r="S101" s="17" t="s">
        <x:v>48</x:v>
      </x:c>
      <x:c r="T101" s="9"/>
      <x:c r="U101" s="9"/>
      <x:c r="V101" s="67">
        <x:v>-2.1267033</x:v>
      </x:c>
      <x:c r="W101" s="9">
        <x:v>106.1668955</x:v>
      </x:c>
      <x:c r="X101" s="9"/>
      <x:c r="Y101" s="47"/>
      <x:c r="Z101" s="26" t="s">
        <x:v>50</x:v>
      </x:c>
      <x:c r="AA101" s="39" t="s">
        <x:v>51</x:v>
      </x:c>
      <x:c r="AB101" s="71">
        <x:v>46220</x:v>
      </x:c>
      <x:c r="AC101" s="41" t="s">
        <x:v>52</x:v>
      </x:c>
      <x:c r="AD101">
        <x:f t="shared" si="4"/>
        <x:v>0.5864661654135338</x:v>
      </x:c>
      <x:c r="AE101">
        <x:f t="shared" si="5"/>
        <x:v>0.42307692307692307</x:v>
      </x:c>
      <x:c r="AF101" s="227"/>
      <x:c r="AG101" s="228"/>
      <x:c r="AH101" s="229"/>
    </x:row>
    <x:row r="102" ht="25">
      <x:c r="A102" s="27" t="s">
        <x:v>392</x:v>
      </x:c>
      <x:c r="B102" s="9" t="s">
        <x:v>393</x:v>
      </x:c>
      <x:c r="C102" s="5" t="s">
        <x:v>39</x:v>
      </x:c>
      <x:c r="D102" s="9" t="s">
        <x:v>102</x:v>
      </x:c>
      <x:c r="E102" s="9" t="s">
        <x:v>158</x:v>
      </x:c>
      <x:c r="F102" s="5" t="s">
        <x:v>391</x:v>
      </x:c>
      <x:c r="G102" s="5" t="s">
        <x:v>377</x:v>
      </x:c>
      <x:c r="H102" s="15" t="s">
        <x:v>106</x:v>
      </x:c>
      <x:c r="I102" s="15" t="s">
        <x:v>107</x:v>
      </x:c>
      <x:c r="J102" s="5">
        <x:v>2023</x:v>
      </x:c>
      <x:c r="K102" s="15">
        <x:v>130</x:v>
      </x:c>
      <x:c r="L102" s="9">
        <x:v>46</x:v>
      </x:c>
      <x:c r="M102" s="15">
        <x:v>18</x:v>
      </x:c>
      <x:c r="N102" s="15" t="s">
        <x:v>64</x:v>
      </x:c>
      <x:c r="O102" s="5"/>
      <x:c r="P102" s="5"/>
      <x:c r="Q102" s="21" t="s">
        <x:v>47</x:v>
      </x:c>
      <x:c r="R102" s="21" t="s">
        <x:v>110</x:v>
      </x:c>
      <x:c r="S102" s="17" t="s">
        <x:v>48</x:v>
      </x:c>
      <x:c r="T102" s="9"/>
      <x:c r="U102" s="9"/>
      <x:c r="V102" s="67">
        <x:v>-2.1267033</x:v>
      </x:c>
      <x:c r="W102" s="9">
        <x:v>106.1668955</x:v>
      </x:c>
      <x:c r="X102" s="9"/>
      <x:c r="Y102" s="47"/>
      <x:c r="Z102" s="26" t="s">
        <x:v>50</x:v>
      </x:c>
      <x:c r="AA102" s="39" t="s">
        <x:v>51</x:v>
      </x:c>
      <x:c r="AB102" s="71">
        <x:v>46220</x:v>
      </x:c>
      <x:c r="AC102" s="41" t="s">
        <x:v>52</x:v>
      </x:c>
      <x:c r="AD102">
        <x:f t="shared" si="4"/>
        <x:v>0.35384615384615387</x:v>
      </x:c>
      <x:c r="AE102">
        <x:f t="shared" si="5"/>
        <x:v>0.39130434782608697</x:v>
      </x:c>
      <x:c r="AF102" s="227"/>
      <x:c r="AG102" s="228"/>
      <x:c r="AH102" s="229"/>
    </x:row>
    <x:row r="103" ht="25">
      <x:c r="A103" s="27" t="s">
        <x:v>394</x:v>
      </x:c>
      <x:c r="B103" s="9" t="s">
        <x:v>395</x:v>
      </x:c>
      <x:c r="C103" s="5" t="s">
        <x:v>39</x:v>
      </x:c>
      <x:c r="D103" s="9" t="s">
        <x:v>40</x:v>
      </x:c>
      <x:c r="E103" s="9" t="s">
        <x:v>55</x:v>
      </x:c>
      <x:c r="F103" s="5" t="s">
        <x:v>61</x:v>
      </x:c>
      <x:c r="G103" s="5" t="s">
        <x:v>43</x:v>
      </x:c>
      <x:c r="H103" s="15" t="s">
        <x:v>44</x:v>
      </x:c>
      <x:c r="I103" s="15" t="s">
        <x:v>45</x:v>
      </x:c>
      <x:c r="J103" s="5">
        <x:v>2016</x:v>
      </x:c>
      <x:c r="K103" s="15">
        <x:v>31</x:v>
      </x:c>
      <x:c r="L103" s="9">
        <x:v>31</x:v>
      </x:c>
      <x:c r="M103" s="15">
        <x:v>31</x:v>
      </x:c>
      <x:c r="N103" s="15" t="s">
        <x:v>64</x:v>
      </x:c>
      <x:c r="O103" s="5"/>
      <x:c r="P103" s="5"/>
      <x:c r="Q103" s="21" t="s">
        <x:v>47</x:v>
      </x:c>
      <x:c r="R103" s="21"/>
      <x:c r="S103" s="18"/>
      <x:c r="T103" s="9"/>
      <x:c r="U103" s="9"/>
      <x:c r="V103" s="67">
        <x:v>-2.1219239000000001</x:v>
      </x:c>
      <x:c r="W103" s="9">
        <x:v>106.07392950000001</x:v>
      </x:c>
      <x:c r="X103" s="9"/>
      <x:c r="Y103" s="47"/>
      <x:c r="Z103" s="26" t="s">
        <x:v>50</x:v>
      </x:c>
      <x:c r="AA103" s="39" t="s">
        <x:v>51</x:v>
      </x:c>
      <x:c r="AB103" s="71">
        <x:v>46220</x:v>
      </x:c>
      <x:c r="AC103" s="41" t="s">
        <x:v>52</x:v>
      </x:c>
      <x:c r="AD103">
        <x:f t="shared" si="4"/>
        <x:v>1</x:v>
      </x:c>
      <x:c r="AE103">
        <x:f t="shared" si="5"/>
        <x:v>1</x:v>
      </x:c>
      <x:c r="AF103" s="227"/>
      <x:c r="AG103" s="228"/>
      <x:c r="AH103" s="229"/>
    </x:row>
    <x:row r="104" ht="25">
      <x:c r="A104" s="27" t="s">
        <x:v>396</x:v>
      </x:c>
      <x:c r="B104" s="9" t="s">
        <x:v>397</x:v>
      </x:c>
      <x:c r="C104" s="5" t="s">
        <x:v>39</x:v>
      </x:c>
      <x:c r="D104" s="9" t="s">
        <x:v>40</x:v>
      </x:c>
      <x:c r="E104" s="9" t="s">
        <x:v>55</x:v>
      </x:c>
      <x:c r="F104" s="5" t="s">
        <x:v>398</x:v>
      </x:c>
      <x:c r="G104" s="5" t="s">
        <x:v>399</x:v>
      </x:c>
      <x:c r="H104" s="15" t="s">
        <x:v>400</x:v>
      </x:c>
      <x:c r="I104" s="15" t="s">
        <x:v>107</x:v>
      </x:c>
      <x:c r="J104" s="5">
        <x:v>2017</x:v>
      </x:c>
      <x:c r="K104" s="15">
        <x:v>316</x:v>
      </x:c>
      <x:c r="L104" s="9">
        <x:v>316</x:v>
      </x:c>
      <x:c r="M104" s="15">
        <x:v>306</x:v>
      </x:c>
      <x:c r="N104" s="15" t="s">
        <x:v>46</x:v>
      </x:c>
      <x:c r="O104" s="5">
        <x:v>2020</x:v>
      </x:c>
      <x:c r="P104" s="5"/>
      <x:c r="Q104" s="21" t="s">
        <x:v>89</x:v>
      </x:c>
      <x:c r="R104" s="21"/>
      <x:c r="S104" s="17" t="s">
        <x:v>48</x:v>
      </x:c>
      <x:c r="T104" s="9"/>
      <x:c r="U104" s="9"/>
      <x:c r="V104" s="67">
        <x:v>-2.1249530000000001</x:v>
      </x:c>
      <x:c r="W104" s="9">
        <x:v>106.07577000000001</x:v>
      </x:c>
      <x:c r="X104" s="9"/>
      <x:c r="Y104" s="47"/>
      <x:c r="Z104" s="26" t="s">
        <x:v>50</x:v>
      </x:c>
      <x:c r="AA104" s="39" t="s">
        <x:v>51</x:v>
      </x:c>
      <x:c r="AB104" s="71">
        <x:v>46220</x:v>
      </x:c>
      <x:c r="AC104" s="41" t="s">
        <x:v>52</x:v>
      </x:c>
      <x:c r="AD104">
        <x:f t="shared" si="4"/>
        <x:v>1</x:v>
      </x:c>
      <x:c r="AE104">
        <x:f t="shared" si="5"/>
        <x:v>0.96835443037974689</x:v>
      </x:c>
      <x:c r="AF104" s="227"/>
      <x:c r="AG104" s="228"/>
      <x:c r="AH104" s="229"/>
    </x:row>
    <x:row r="105" ht="25">
      <x:c r="A105" s="27" t="s">
        <x:v>401</x:v>
      </x:c>
      <x:c r="B105" s="9" t="s">
        <x:v>402</x:v>
      </x:c>
      <x:c r="C105" s="5" t="s">
        <x:v>39</x:v>
      </x:c>
      <x:c r="D105" s="9" t="s">
        <x:v>40</x:v>
      </x:c>
      <x:c r="E105" s="9" t="s">
        <x:v>55</x:v>
      </x:c>
      <x:c r="F105" s="5" t="s">
        <x:v>403</x:v>
      </x:c>
      <x:c r="G105" s="5" t="s">
        <x:v>399</x:v>
      </x:c>
      <x:c r="H105" s="15" t="s">
        <x:v>400</x:v>
      </x:c>
      <x:c r="I105" s="15" t="s">
        <x:v>107</x:v>
      </x:c>
      <x:c r="J105" s="5">
        <x:v>2020</x:v>
      </x:c>
      <x:c r="K105" s="15">
        <x:v>271</x:v>
      </x:c>
      <x:c r="L105" s="9">
        <x:v>271</x:v>
      </x:c>
      <x:c r="M105" s="15">
        <x:v>271</x:v>
      </x:c>
      <x:c r="N105" s="15" t="s">
        <x:v>64</x:v>
      </x:c>
      <x:c r="O105" s="5"/>
      <x:c r="P105" s="5"/>
      <x:c r="Q105" s="21" t="s">
        <x:v>47</x:v>
      </x:c>
      <x:c r="R105" s="21"/>
      <x:c r="S105" s="17" t="s">
        <x:v>48</x:v>
      </x:c>
      <x:c r="T105" s="9"/>
      <x:c r="U105" s="9"/>
      <x:c r="V105" s="67">
        <x:v>-2.1245880000000001</x:v>
      </x:c>
      <x:c r="W105" s="9">
        <x:v>106.07570800000001</x:v>
      </x:c>
      <x:c r="X105" s="9"/>
      <x:c r="Y105" s="47"/>
      <x:c r="Z105" s="26" t="s">
        <x:v>50</x:v>
      </x:c>
      <x:c r="AA105" s="39" t="s">
        <x:v>51</x:v>
      </x:c>
      <x:c r="AB105" s="71">
        <x:v>46220</x:v>
      </x:c>
      <x:c r="AC105" s="41" t="s">
        <x:v>52</x:v>
      </x:c>
      <x:c r="AD105">
        <x:f t="shared" si="4"/>
        <x:v>1</x:v>
      </x:c>
      <x:c r="AE105">
        <x:f t="shared" si="5"/>
        <x:v>1</x:v>
      </x:c>
      <x:c r="AF105" s="227"/>
      <x:c r="AG105" s="228"/>
      <x:c r="AH105" s="229"/>
    </x:row>
    <x:row r="106" ht="25">
      <x:c r="A106" s="27" t="s">
        <x:v>404</x:v>
      </x:c>
      <x:c r="B106" s="9" t="s">
        <x:v>405</x:v>
      </x:c>
      <x:c r="C106" s="5" t="s">
        <x:v>39</x:v>
      </x:c>
      <x:c r="D106" s="9" t="s">
        <x:v>75</x:v>
      </x:c>
      <x:c r="E106" s="9" t="s">
        <x:v>87</x:v>
      </x:c>
      <x:c r="F106" s="5" t="s">
        <x:v>406</x:v>
      </x:c>
      <x:c r="G106" s="5" t="s">
        <x:v>407</x:v>
      </x:c>
      <x:c r="H106" s="15" t="s">
        <x:v>408</x:v>
      </x:c>
      <x:c r="I106" s="15" t="s">
        <x:v>107</x:v>
      </x:c>
      <x:c r="J106" s="5">
        <x:v>2019</x:v>
      </x:c>
      <x:c r="K106" s="15">
        <x:v>50</x:v>
      </x:c>
      <x:c r="L106" s="9">
        <x:v>50</x:v>
      </x:c>
      <x:c r="M106" s="15">
        <x:v>47</x:v>
      </x:c>
      <x:c r="N106" s="15" t="s">
        <x:v>46</x:v>
      </x:c>
      <x:c r="O106" s="5">
        <x:v>2022</x:v>
      </x:c>
      <x:c r="P106" s="5"/>
      <x:c r="Q106" s="21" t="s">
        <x:v>47</x:v>
      </x:c>
      <x:c r="R106" s="21" t="s">
        <x:v>143</x:v>
      </x:c>
      <x:c r="S106" s="17" t="s">
        <x:v>48</x:v>
      </x:c>
      <x:c r="T106" s="9"/>
      <x:c r="U106" s="9"/>
      <x:c r="V106" s="67">
        <x:v>-2.101267</x:v>
      </x:c>
      <x:c r="W106" s="9">
        <x:v>106.093493</x:v>
      </x:c>
      <x:c r="X106" s="9"/>
      <x:c r="Y106" s="47"/>
      <x:c r="Z106" s="26" t="s">
        <x:v>50</x:v>
      </x:c>
      <x:c r="AA106" s="39" t="s">
        <x:v>51</x:v>
      </x:c>
      <x:c r="AB106" s="71">
        <x:v>46220</x:v>
      </x:c>
      <x:c r="AC106" s="41" t="s">
        <x:v>52</x:v>
      </x:c>
      <x:c r="AD106">
        <x:f t="shared" si="4"/>
        <x:v>1</x:v>
      </x:c>
      <x:c r="AE106">
        <x:f t="shared" si="5"/>
        <x:v>0.94</x:v>
      </x:c>
      <x:c r="AF106" s="227"/>
      <x:c r="AG106" s="228"/>
      <x:c r="AH106" s="229"/>
    </x:row>
    <x:row r="107" ht="25">
      <x:c r="A107" s="27" t="s">
        <x:v>409</x:v>
      </x:c>
      <x:c r="B107" s="9" t="s">
        <x:v>410</x:v>
      </x:c>
      <x:c r="C107" s="5" t="s">
        <x:v>39</x:v>
      </x:c>
      <x:c r="D107" s="9" t="s">
        <x:v>102</x:v>
      </x:c>
      <x:c r="E107" s="9" t="s">
        <x:v>411</x:v>
      </x:c>
      <x:c r="F107" s="5" t="s">
        <x:v>412</x:v>
      </x:c>
      <x:c r="G107" s="5" t="s">
        <x:v>407</x:v>
      </x:c>
      <x:c r="H107" s="15" t="s">
        <x:v>408</x:v>
      </x:c>
      <x:c r="I107" s="15" t="s">
        <x:v>107</x:v>
      </x:c>
      <x:c r="J107" s="5">
        <x:v>2022</x:v>
      </x:c>
      <x:c r="K107" s="15">
        <x:v>34</x:v>
      </x:c>
      <x:c r="L107" s="9">
        <x:v>7</x:v>
      </x:c>
      <x:c r="M107" s="15">
        <x:v>7</x:v>
      </x:c>
      <x:c r="N107" s="15" t="s">
        <x:v>64</x:v>
      </x:c>
      <x:c r="O107" s="5"/>
      <x:c r="P107" s="5"/>
      <x:c r="Q107" s="21" t="s">
        <x:v>47</x:v>
      </x:c>
      <x:c r="R107" s="21" t="s">
        <x:v>110</x:v>
      </x:c>
      <x:c r="S107" s="17" t="s">
        <x:v>48</x:v>
      </x:c>
      <x:c r="T107" s="9"/>
      <x:c r="U107" s="9"/>
      <x:c r="V107" s="67">
        <x:v>-2.1226183000000001</x:v>
      </x:c>
      <x:c r="W107" s="9">
        <x:v>106.1419678</x:v>
      </x:c>
      <x:c r="X107" s="9"/>
      <x:c r="Y107" s="47"/>
      <x:c r="Z107" s="26" t="s">
        <x:v>50</x:v>
      </x:c>
      <x:c r="AA107" s="39" t="s">
        <x:v>51</x:v>
      </x:c>
      <x:c r="AB107" s="71">
        <x:v>46220</x:v>
      </x:c>
      <x:c r="AC107" s="41" t="s">
        <x:v>52</x:v>
      </x:c>
      <x:c r="AD107">
        <x:f t="shared" si="4"/>
        <x:v>0.20588235294117646</x:v>
      </x:c>
      <x:c r="AE107">
        <x:f t="shared" si="5"/>
        <x:v>1</x:v>
      </x:c>
      <x:c r="AF107" s="227"/>
      <x:c r="AG107" s="228"/>
      <x:c r="AH107" s="229"/>
    </x:row>
    <x:row r="108" ht="25">
      <x:c r="A108" s="27" t="s">
        <x:v>413</x:v>
      </x:c>
      <x:c r="B108" s="9" t="s">
        <x:v>414</x:v>
      </x:c>
      <x:c r="C108" s="5" t="s">
        <x:v>39</x:v>
      </x:c>
      <x:c r="D108" s="9" t="s">
        <x:v>40</x:v>
      </x:c>
      <x:c r="E108" s="9" t="s">
        <x:v>41</x:v>
      </x:c>
      <x:c r="F108" s="5" t="s">
        <x:v>388</x:v>
      </x:c>
      <x:c r="G108" s="5" t="s">
        <x:v>407</x:v>
      </x:c>
      <x:c r="H108" s="15" t="s">
        <x:v>408</x:v>
      </x:c>
      <x:c r="I108" s="15" t="s">
        <x:v>107</x:v>
      </x:c>
      <x:c r="J108" s="5">
        <x:v>2025</x:v>
      </x:c>
      <x:c r="K108" s="15">
        <x:v>92</x:v>
      </x:c>
      <x:c r="L108" s="9">
        <x:v>2</x:v>
      </x:c>
      <x:c r="M108" s="15">
        <x:v>0</x:v>
      </x:c>
      <x:c r="N108" s="15" t="s">
        <x:v>64</x:v>
      </x:c>
      <x:c r="O108" s="5"/>
      <x:c r="P108" s="5"/>
      <x:c r="Q108" s="21" t="s">
        <x:v>47</x:v>
      </x:c>
      <x:c r="R108" s="21" t="s">
        <x:v>110</x:v>
      </x:c>
      <x:c r="S108" s="17" t="s">
        <x:v>48</x:v>
      </x:c>
      <x:c r="T108" s="9"/>
      <x:c r="U108" s="9"/>
      <x:c r="V108" s="67">
        <x:v>-2.1023329999999998</x:v>
      </x:c>
      <x:c r="W108" s="9">
        <x:v>106.073194</x:v>
      </x:c>
      <x:c r="X108" s="9"/>
      <x:c r="Y108" s="47"/>
      <x:c r="Z108" s="26" t="s">
        <x:v>50</x:v>
      </x:c>
      <x:c r="AA108" s="39" t="s">
        <x:v>51</x:v>
      </x:c>
      <x:c r="AB108" s="71">
        <x:v>46220</x:v>
      </x:c>
      <x:c r="AC108" s="41" t="s">
        <x:v>52</x:v>
      </x:c>
      <x:c r="AF108" s="227"/>
      <x:c r="AG108" s="228"/>
      <x:c r="AH108" s="229"/>
    </x:row>
    <x:row r="109" ht="25">
      <x:c r="A109" s="27" t="s">
        <x:v>415</x:v>
      </x:c>
      <x:c r="B109" s="9" t="s">
        <x:v>416</x:v>
      </x:c>
      <x:c r="C109" s="5" t="s">
        <x:v>39</x:v>
      </x:c>
      <x:c r="D109" s="9" t="s">
        <x:v>102</x:v>
      </x:c>
      <x:c r="E109" s="9" t="s">
        <x:v>277</x:v>
      </x:c>
      <x:c r="F109" s="5" t="s">
        <x:v>417</x:v>
      </x:c>
      <x:c r="G109" s="5" t="s">
        <x:v>399</x:v>
      </x:c>
      <x:c r="H109" s="15" t="s">
        <x:v>400</x:v>
      </x:c>
      <x:c r="I109" s="15" t="s">
        <x:v>107</x:v>
      </x:c>
      <x:c r="J109" s="5">
        <x:v>2018</x:v>
      </x:c>
      <x:c r="K109" s="15">
        <x:v>46</x:v>
      </x:c>
      <x:c r="L109" s="9">
        <x:v>46</x:v>
      </x:c>
      <x:c r="M109" s="15">
        <x:v>46</x:v>
      </x:c>
      <x:c r="N109" s="15" t="s">
        <x:v>64</x:v>
      </x:c>
      <x:c r="O109" s="5"/>
      <x:c r="P109" s="5"/>
      <x:c r="Q109" s="21" t="s">
        <x:v>47</x:v>
      </x:c>
      <x:c r="R109" s="21"/>
      <x:c r="S109" s="18"/>
      <x:c r="T109" s="9"/>
      <x:c r="U109" s="9"/>
      <x:c r="V109" s="67">
        <x:v>-2.1398174999999999</x:v>
      </x:c>
      <x:c r="W109" s="9">
        <x:v>106.1503439</x:v>
      </x:c>
      <x:c r="X109" s="9"/>
      <x:c r="Y109" s="47"/>
      <x:c r="Z109" s="26" t="s">
        <x:v>50</x:v>
      </x:c>
      <x:c r="AA109" s="39" t="s">
        <x:v>51</x:v>
      </x:c>
      <x:c r="AB109" s="71">
        <x:v>46220</x:v>
      </x:c>
      <x:c r="AC109" s="41" t="s">
        <x:v>52</x:v>
      </x:c>
      <x:c r="AD109" t="n">
        <x:f t="shared" ref="AD109:AD114" si="6">IF(A109="","",IFERROR(L109/K109,0))</x:f>
        <x:v>1</x:v>
      </x:c>
      <x:c r="AE109" t="n">
        <x:f t="shared" ref="AE109:AE114" si="7">IF(A109="","",IFERROR(M109/L109,0))</x:f>
        <x:v>1</x:v>
      </x:c>
      <x:c r="AF109" s="227"/>
      <x:c r="AG109" s="228"/>
      <x:c r="AH109" s="229"/>
    </x:row>
    <x:row r="110" ht="25">
      <x:c r="A110" s="27" t="s">
        <x:v>418</x:v>
      </x:c>
      <x:c r="B110" s="9" t="s">
        <x:v>419</x:v>
      </x:c>
      <x:c r="C110" s="5" t="s">
        <x:v>39</x:v>
      </x:c>
      <x:c r="D110" s="9" t="s">
        <x:v>75</x:v>
      </x:c>
      <x:c r="E110" s="9" t="s">
        <x:v>114</x:v>
      </x:c>
      <x:c r="F110" s="5" t="s">
        <x:v>203</x:v>
      </x:c>
      <x:c r="G110" s="5" t="s">
        <x:v>420</x:v>
      </x:c>
      <x:c r="H110" s="15" t="s">
        <x:v>421</x:v>
      </x:c>
      <x:c r="I110" s="15" t="s">
        <x:v>62</x:v>
      </x:c>
      <x:c r="J110" s="5">
        <x:v>2017</x:v>
      </x:c>
      <x:c r="K110" s="15">
        <x:v>72</x:v>
      </x:c>
      <x:c r="L110" s="9">
        <x:v>12</x:v>
      </x:c>
      <x:c r="M110" s="15">
        <x:v>12</x:v>
      </x:c>
      <x:c r="N110" s="15" t="s">
        <x:v>64</x:v>
      </x:c>
      <x:c r="O110" s="5"/>
      <x:c r="P110" s="5"/>
      <x:c r="Q110" s="21" t="s">
        <x:v>47</x:v>
      </x:c>
      <x:c r="R110" s="21"/>
      <x:c r="S110" s="18"/>
      <x:c r="T110" s="9"/>
      <x:c r="U110" s="9"/>
      <x:c r="V110" s="67">
        <x:v>-2.0840390000000002</x:v>
      </x:c>
      <x:c r="W110" s="9">
        <x:v>106.09747900000001</x:v>
      </x:c>
      <x:c r="X110" s="9"/>
      <x:c r="Y110" s="47"/>
      <x:c r="Z110" s="26" t="s">
        <x:v>50</x:v>
      </x:c>
      <x:c r="AA110" s="39" t="s">
        <x:v>51</x:v>
      </x:c>
      <x:c r="AB110" s="71">
        <x:v>46220</x:v>
      </x:c>
      <x:c r="AC110" s="41" t="s">
        <x:v>52</x:v>
      </x:c>
      <x:c r="AD110">
        <x:f t="shared" si="6"/>
        <x:v>0.16666666666666666</x:v>
      </x:c>
      <x:c r="AE110">
        <x:f t="shared" si="7"/>
        <x:v>1</x:v>
      </x:c>
      <x:c r="AF110" s="227"/>
      <x:c r="AG110" s="228"/>
      <x:c r="AH110" s="229"/>
    </x:row>
    <x:row r="111" ht="25">
      <x:c r="A111" s="27" t="s">
        <x:v>422</x:v>
      </x:c>
      <x:c r="B111" s="9" t="s">
        <x:v>423</x:v>
      </x:c>
      <x:c r="C111" s="5" t="s">
        <x:v>39</x:v>
      </x:c>
      <x:c r="D111" s="9" t="s">
        <x:v>40</x:v>
      </x:c>
      <x:c r="E111" s="9" t="s">
        <x:v>55</x:v>
      </x:c>
      <x:c r="F111" s="5" t="s">
        <x:v>227</x:v>
      </x:c>
      <x:c r="G111" s="5" t="s">
        <x:v>424</x:v>
      </x:c>
      <x:c r="H111" s="15" t="s">
        <x:v>425</x:v>
      </x:c>
      <x:c r="I111" s="15" t="s">
        <x:v>142</x:v>
      </x:c>
      <x:c r="J111" s="5">
        <x:v>2017</x:v>
      </x:c>
      <x:c r="K111" s="15">
        <x:v>48</x:v>
      </x:c>
      <x:c r="L111" s="9">
        <x:v>46</x:v>
      </x:c>
      <x:c r="M111" s="15">
        <x:v>46</x:v>
      </x:c>
      <x:c r="N111" s="15" t="s">
        <x:v>64</x:v>
      </x:c>
      <x:c r="O111" s="5"/>
      <x:c r="P111" s="5"/>
      <x:c r="Q111" s="21" t="s">
        <x:v>47</x:v>
      </x:c>
      <x:c r="R111" s="21"/>
      <x:c r="S111" s="18"/>
      <x:c r="T111" s="9"/>
      <x:c r="U111" s="9"/>
      <x:c r="V111" s="67">
        <x:v>-2.113772</x:v>
      </x:c>
      <x:c r="W111" s="9">
        <x:v>106.083653</x:v>
      </x:c>
      <x:c r="X111" s="9"/>
      <x:c r="Y111" s="47"/>
      <x:c r="Z111" s="26" t="s">
        <x:v>50</x:v>
      </x:c>
      <x:c r="AA111" s="39" t="s">
        <x:v>51</x:v>
      </x:c>
      <x:c r="AB111" s="71">
        <x:v>46220</x:v>
      </x:c>
      <x:c r="AC111" s="41" t="s">
        <x:v>52</x:v>
      </x:c>
      <x:c r="AD111">
        <x:f t="shared" si="6"/>
        <x:v>0.95833333333333337</x:v>
      </x:c>
      <x:c r="AE111">
        <x:f t="shared" si="7"/>
        <x:v>1</x:v>
      </x:c>
      <x:c r="AF111" s="227"/>
      <x:c r="AG111" s="228"/>
      <x:c r="AH111" s="229"/>
    </x:row>
    <x:row r="112" ht="25">
      <x:c r="A112" s="27" t="s">
        <x:v>426</x:v>
      </x:c>
      <x:c r="B112" s="9" t="s">
        <x:v>427</x:v>
      </x:c>
      <x:c r="C112" s="5" t="s">
        <x:v>39</x:v>
      </x:c>
      <x:c r="D112" s="9" t="s">
        <x:v>40</x:v>
      </x:c>
      <x:c r="E112" s="9" t="s">
        <x:v>428</x:v>
      </x:c>
      <x:c r="F112" s="5" t="s">
        <x:v>429</x:v>
      </x:c>
      <x:c r="G112" s="5" t="s">
        <x:v>430</x:v>
      </x:c>
      <x:c r="H112" s="15" t="s">
        <x:v>425</x:v>
      </x:c>
      <x:c r="I112" s="15" t="s">
        <x:v>142</x:v>
      </x:c>
      <x:c r="J112" s="5">
        <x:v>2019</x:v>
      </x:c>
      <x:c r="K112" s="15">
        <x:v>46</x:v>
      </x:c>
      <x:c r="L112" s="9">
        <x:v>40</x:v>
      </x:c>
      <x:c r="M112" s="15">
        <x:v>40</x:v>
      </x:c>
      <x:c r="N112" s="15" t="s">
        <x:v>64</x:v>
      </x:c>
      <x:c r="O112" s="5"/>
      <x:c r="P112" s="5"/>
      <x:c r="Q112" s="21" t="s">
        <x:v>47</x:v>
      </x:c>
      <x:c r="R112" s="21"/>
      <x:c r="S112" s="18"/>
      <x:c r="T112" s="9"/>
      <x:c r="U112" s="9"/>
      <x:c r="V112" s="67">
        <x:v>-2.1185415999999999</x:v>
      </x:c>
      <x:c r="W112" s="9">
        <x:v>106.0965628</x:v>
      </x:c>
      <x:c r="X112" s="9"/>
      <x:c r="Y112" s="47"/>
      <x:c r="Z112" s="26" t="s">
        <x:v>50</x:v>
      </x:c>
      <x:c r="AA112" s="39" t="s">
        <x:v>51</x:v>
      </x:c>
      <x:c r="AB112" s="71">
        <x:v>46220</x:v>
      </x:c>
      <x:c r="AC112" s="41" t="s">
        <x:v>52</x:v>
      </x:c>
      <x:c r="AD112">
        <x:f t="shared" si="6"/>
        <x:v>0.86956521739130432</x:v>
      </x:c>
      <x:c r="AE112">
        <x:f t="shared" si="7"/>
        <x:v>1</x:v>
      </x:c>
      <x:c r="AF112" s="227"/>
      <x:c r="AG112" s="228"/>
      <x:c r="AH112" s="229"/>
    </x:row>
    <x:row r="113" ht="25">
      <x:c r="A113" s="27" t="s">
        <x:v>431</x:v>
      </x:c>
      <x:c r="B113" s="9" t="s">
        <x:v>432</x:v>
      </x:c>
      <x:c r="C113" s="5" t="s">
        <x:v>39</x:v>
      </x:c>
      <x:c r="D113" s="9" t="s">
        <x:v>433</x:v>
      </x:c>
      <x:c r="E113" s="9" t="s">
        <x:v>434</x:v>
      </x:c>
      <x:c r="F113" s="5" t="s">
        <x:v>435</x:v>
      </x:c>
      <x:c r="G113" s="5" t="s">
        <x:v>62</x:v>
      </x:c>
      <x:c r="H113" s="15" t="s">
        <x:v>62</x:v>
      </x:c>
      <x:c r="I113" s="15" t="s">
        <x:v>62</x:v>
      </x:c>
      <x:c r="J113" s="5">
        <x:v>2019</x:v>
      </x:c>
      <x:c r="K113" s="15">
        <x:v>5</x:v>
      </x:c>
      <x:c r="L113" s="9">
        <x:v>5</x:v>
      </x:c>
      <x:c r="M113" s="15">
        <x:v>5</x:v>
      </x:c>
      <x:c r="N113" s="15" t="s">
        <x:v>64</x:v>
      </x:c>
      <x:c r="O113" s="5"/>
      <x:c r="P113" s="5"/>
      <x:c r="Q113" s="21" t="s">
        <x:v>47</x:v>
      </x:c>
      <x:c r="R113" s="21" t="s">
        <x:v>110</x:v>
      </x:c>
      <x:c r="S113" s="18"/>
      <x:c r="T113" s="9"/>
      <x:c r="U113" s="9"/>
      <x:c r="V113" s="67">
        <x:v>-2.151332</x:v>
      </x:c>
      <x:c r="W113" s="9">
        <x:v>106.10645599999999</x:v>
      </x:c>
      <x:c r="X113" s="9"/>
      <x:c r="Y113" s="47"/>
      <x:c r="Z113" s="26" t="s">
        <x:v>50</x:v>
      </x:c>
      <x:c r="AA113" s="39" t="s">
        <x:v>51</x:v>
      </x:c>
      <x:c r="AB113" s="71">
        <x:v>46220</x:v>
      </x:c>
      <x:c r="AC113" s="41" t="s">
        <x:v>52</x:v>
      </x:c>
      <x:c r="AD113">
        <x:f t="shared" si="6"/>
        <x:v>1</x:v>
      </x:c>
      <x:c r="AE113">
        <x:f t="shared" si="7"/>
        <x:v>1</x:v>
      </x:c>
      <x:c r="AF113" s="227"/>
      <x:c r="AG113" s="228"/>
      <x:c r="AH113" s="229"/>
    </x:row>
    <x:row r="114" ht="25">
      <x:c r="A114" s="27" t="s">
        <x:v>436</x:v>
      </x:c>
      <x:c r="B114" s="9" t="s">
        <x:v>437</x:v>
      </x:c>
      <x:c r="C114" s="5" t="s">
        <x:v>39</x:v>
      </x:c>
      <x:c r="D114" s="9" t="s">
        <x:v>75</x:v>
      </x:c>
      <x:c r="E114" s="9" t="s">
        <x:v>87</x:v>
      </x:c>
      <x:c r="F114" s="5" t="s">
        <x:v>438</x:v>
      </x:c>
      <x:c r="G114" s="5" t="s">
        <x:v>363</x:v>
      </x:c>
      <x:c r="H114" s="15" t="s">
        <x:v>364</x:v>
      </x:c>
      <x:c r="I114" s="15" t="s">
        <x:v>107</x:v>
      </x:c>
      <x:c r="J114" s="5">
        <x:v>2023</x:v>
      </x:c>
      <x:c r="K114" s="15">
        <x:v>59</x:v>
      </x:c>
      <x:c r="L114" s="9">
        <x:v>53</x:v>
      </x:c>
      <x:c r="M114" s="15">
        <x:v>53</x:v>
      </x:c>
      <x:c r="N114" s="15" t="s">
        <x:v>46</x:v>
      </x:c>
      <x:c r="O114" s="5">
        <x:v>2026</x:v>
      </x:c>
      <x:c r="P114" s="5"/>
      <x:c r="Q114" s="21" t="s">
        <x:v>47</x:v>
      </x:c>
      <x:c r="R114" s="21"/>
      <x:c r="S114" s="17" t="s">
        <x:v>48</x:v>
      </x:c>
      <x:c r="T114" s="9"/>
      <x:c r="U114" s="9"/>
      <x:c r="V114" s="67">
        <x:v>-2.0939874000000001</x:v>
      </x:c>
      <x:c r="W114" s="9">
        <x:v>106.08669140000001</x:v>
      </x:c>
      <x:c r="X114" s="9"/>
      <x:c r="Y114" s="47"/>
      <x:c r="Z114" s="26" t="s">
        <x:v>50</x:v>
      </x:c>
      <x:c r="AA114" s="39" t="s">
        <x:v>51</x:v>
      </x:c>
      <x:c r="AB114" s="71">
        <x:v>46220</x:v>
      </x:c>
      <x:c r="AC114" s="41" t="s">
        <x:v>52</x:v>
      </x:c>
      <x:c r="AD114">
        <x:f t="shared" si="6"/>
        <x:v>0.89830508474576276</x:v>
      </x:c>
      <x:c r="AE114">
        <x:f t="shared" si="7"/>
        <x:v>1</x:v>
      </x:c>
      <x:c r="AF114" s="227"/>
      <x:c r="AG114" s="228"/>
      <x:c r="AH114" s="229"/>
    </x:row>
    <x:row r="115" ht="27.5" customHeight="1">
      <x:c r="A115" s="27" t="s">
        <x:v>439</x:v>
      </x:c>
      <x:c r="B115" s="9" t="s">
        <x:v>440</x:v>
      </x:c>
      <x:c r="C115" s="5" t="s">
        <x:v>39</x:v>
      </x:c>
      <x:c r="D115" s="9" t="s">
        <x:v>102</x:v>
      </x:c>
      <x:c r="E115" s="9" t="s">
        <x:v>158</x:v>
      </x:c>
      <x:c r="F115" s="5" t="s">
        <x:v>441</x:v>
      </x:c>
      <x:c r="G115" s="5" t="s">
        <x:v>442</x:v>
      </x:c>
      <x:c r="H115" s="15" t="s">
        <x:v>364</x:v>
      </x:c>
      <x:c r="I115" s="15" t="s">
        <x:v>107</x:v>
      </x:c>
      <x:c r="J115" s="5">
        <x:v>2026</x:v>
      </x:c>
      <x:c r="K115" s="15">
        <x:v>59</x:v>
      </x:c>
      <x:c r="L115" s="9">
        <x:v>0</x:v>
      </x:c>
      <x:c r="M115" s="15">
        <x:v>0</x:v>
      </x:c>
      <x:c r="N115" s="15" t="s">
        <x:v>64</x:v>
      </x:c>
      <x:c r="O115" s="5"/>
      <x:c r="P115" s="5">
        <x:v>893.5</x:v>
      </x:c>
      <x:c r="Q115" s="21" t="s">
        <x:v>47</x:v>
      </x:c>
      <x:c r="R115" s="21" t="s">
        <x:v>110</x:v>
      </x:c>
      <x:c r="S115" s="17" t="s">
        <x:v>48</x:v>
      </x:c>
      <x:c r="T115" s="9"/>
      <x:c r="U115" s="9"/>
      <x:c r="V115" s="67">
        <x:v>-2.1313367310000002</x:v>
      </x:c>
      <x:c r="W115" s="9">
        <x:v>106.15977174699999</x:v>
      </x:c>
      <x:c r="X115" s="9" t="s">
        <x:v>443</x:v>
      </x:c>
      <x:c r="Y115" s="47">
        <x:v>2026</x:v>
      </x:c>
      <x:c r="Z115" s="26" t="s">
        <x:v>50</x:v>
      </x:c>
      <x:c r="AA115" s="39" t="s">
        <x:v>223</x:v>
      </x:c>
      <x:c r="AB115" s="71">
        <x:v>46250</x:v>
      </x:c>
      <x:c r="AC115" s="41" t="s">
        <x:v>52</x:v>
      </x:c>
      <x:c r="AF115" s="227">
        <x:v>8804</x:v>
      </x:c>
      <x:c r="AG115" s="228">
        <x:v>5409.1</x:v>
      </x:c>
      <x:c r="AH115" s="229">
        <x:v>3394.9</x:v>
      </x:c>
    </x:row>
    <x:row r="116" ht="25">
      <x:c r="A116" s="27" t="s">
        <x:v>444</x:v>
      </x:c>
      <x:c r="B116" s="9" t="s">
        <x:v>445</x:v>
      </x:c>
      <x:c r="C116" s="5" t="s">
        <x:v>226</x:v>
      </x:c>
      <x:c r="D116" s="9" t="s">
        <x:v>126</x:v>
      </x:c>
      <x:c r="E116" s="9" t="s">
        <x:v>291</x:v>
      </x:c>
      <x:c r="F116" s="5" t="s">
        <x:v>446</x:v>
      </x:c>
      <x:c r="G116" s="5" t="s">
        <x:v>447</x:v>
      </x:c>
      <x:c r="H116" s="15" t="s">
        <x:v>448</x:v>
      </x:c>
      <x:c r="I116" s="15" t="s">
        <x:v>45</x:v>
      </x:c>
      <x:c r="J116" s="5">
        <x:v>2015</x:v>
      </x:c>
      <x:c r="K116" s="15">
        <x:v>45</x:v>
      </x:c>
      <x:c r="L116" s="9">
        <x:v>21</x:v>
      </x:c>
      <x:c r="M116" s="15">
        <x:v>21</x:v>
      </x:c>
      <x:c r="N116" s="15" t="s">
        <x:v>64</x:v>
      </x:c>
      <x:c r="O116" s="5"/>
      <x:c r="P116" s="5"/>
      <x:c r="Q116" s="21" t="s">
        <x:v>47</x:v>
      </x:c>
      <x:c r="R116" s="21" t="s">
        <x:v>110</x:v>
      </x:c>
      <x:c r="S116" s="18"/>
      <x:c r="T116" s="9"/>
      <x:c r="U116" s="9"/>
      <x:c r="V116" s="67">
        <x:v>-2.0956190000000001</x:v>
      </x:c>
      <x:c r="W116" s="9">
        <x:v>106.118709</x:v>
      </x:c>
      <x:c r="X116" s="9"/>
      <x:c r="Y116" s="47"/>
      <x:c r="Z116" s="26" t="s">
        <x:v>50</x:v>
      </x:c>
      <x:c r="AA116" s="39" t="s">
        <x:v>51</x:v>
      </x:c>
      <x:c r="AB116" s="71">
        <x:v>46220</x:v>
      </x:c>
      <x:c r="AC116" s="41" t="s">
        <x:v>52</x:v>
      </x:c>
      <x:c r="AD116" t="n">
        <x:f t="shared" ref="AD116:AD142" si="8">IF(A116="","",IFERROR(L116/K116,0))</x:f>
        <x:v>0.4666666666666667</x:v>
      </x:c>
      <x:c r="AE116" t="n">
        <x:f t="shared" ref="AE116:AE142" si="9">IF(A116="","",IFERROR(M116/L116,0))</x:f>
        <x:v>1</x:v>
      </x:c>
      <x:c r="AF116" s="227"/>
      <x:c r="AG116" s="228"/>
      <x:c r="AH116" s="229"/>
    </x:row>
    <x:row r="117" ht="25">
      <x:c r="A117" s="27" t="s">
        <x:v>449</x:v>
      </x:c>
      <x:c r="B117" s="9" t="s">
        <x:v>445</x:v>
      </x:c>
      <x:c r="C117" s="5" t="s">
        <x:v>39</x:v>
      </x:c>
      <x:c r="D117" s="9" t="s">
        <x:v>126</x:v>
      </x:c>
      <x:c r="E117" s="9" t="s">
        <x:v>291</x:v>
      </x:c>
      <x:c r="F117" s="5" t="s">
        <x:v>446</x:v>
      </x:c>
      <x:c r="G117" s="5" t="s">
        <x:v>447</x:v>
      </x:c>
      <x:c r="H117" s="15" t="s">
        <x:v>448</x:v>
      </x:c>
      <x:c r="I117" s="15" t="s">
        <x:v>45</x:v>
      </x:c>
      <x:c r="J117" s="5">
        <x:v>2021</x:v>
      </x:c>
      <x:c r="K117" s="15">
        <x:v>18</x:v>
      </x:c>
      <x:c r="L117" s="9">
        <x:v>2</x:v>
      </x:c>
      <x:c r="M117" s="15">
        <x:v>0</x:v>
      </x:c>
      <x:c r="N117" s="15" t="s">
        <x:v>64</x:v>
      </x:c>
      <x:c r="O117" s="5"/>
      <x:c r="P117" s="5"/>
      <x:c r="Q117" s="21" t="s">
        <x:v>47</x:v>
      </x:c>
      <x:c r="R117" s="21" t="s">
        <x:v>110</x:v>
      </x:c>
      <x:c r="S117" s="18"/>
      <x:c r="T117" s="9"/>
      <x:c r="U117" s="9"/>
      <x:c r="V117" s="67">
        <x:v>-2.0956190000000001</x:v>
      </x:c>
      <x:c r="W117" s="9">
        <x:v>106.118709</x:v>
      </x:c>
      <x:c r="X117" s="9"/>
      <x:c r="Y117" s="47"/>
      <x:c r="Z117" s="26" t="s">
        <x:v>50</x:v>
      </x:c>
      <x:c r="AA117" s="39" t="s">
        <x:v>51</x:v>
      </x:c>
      <x:c r="AB117" s="71">
        <x:v>46220</x:v>
      </x:c>
      <x:c r="AC117" s="41" t="s">
        <x:v>52</x:v>
      </x:c>
      <x:c r="AD117">
        <x:f t="shared" si="8"/>
        <x:v>0.1111111111111111</x:v>
      </x:c>
      <x:c r="AE117">
        <x:f t="shared" si="9"/>
        <x:v>0</x:v>
      </x:c>
      <x:c r="AF117" s="227"/>
      <x:c r="AG117" s="228"/>
      <x:c r="AH117" s="229"/>
    </x:row>
    <x:row r="118" ht="25">
      <x:c r="A118" s="27" t="s">
        <x:v>450</x:v>
      </x:c>
      <x:c r="B118" s="9" t="s">
        <x:v>451</x:v>
      </x:c>
      <x:c r="C118" s="5" t="s">
        <x:v>39</x:v>
      </x:c>
      <x:c r="D118" s="9" t="s">
        <x:v>40</x:v>
      </x:c>
      <x:c r="E118" s="9" t="s">
        <x:v>55</x:v>
      </x:c>
      <x:c r="F118" s="5" t="s">
        <x:v>452</x:v>
      </x:c>
      <x:c r="G118" s="5" t="s">
        <x:v>182</x:v>
      </x:c>
      <x:c r="H118" s="15" t="s">
        <x:v>183</x:v>
      </x:c>
      <x:c r="I118" s="15" t="s">
        <x:v>107</x:v>
      </x:c>
      <x:c r="J118" s="5">
        <x:v>2024</x:v>
      </x:c>
      <x:c r="K118" s="15">
        <x:v>62</x:v>
      </x:c>
      <x:c r="L118" s="9">
        <x:v>62</x:v>
      </x:c>
      <x:c r="M118" s="15">
        <x:v>62</x:v>
      </x:c>
      <x:c r="N118" s="15" t="s">
        <x:v>46</x:v>
      </x:c>
      <x:c r="O118" s="5">
        <x:v>2025</x:v>
      </x:c>
      <x:c r="P118" s="5"/>
      <x:c r="Q118" s="21" t="s">
        <x:v>47</x:v>
      </x:c>
      <x:c r="R118" s="21"/>
      <x:c r="S118" s="18"/>
      <x:c r="T118" s="9"/>
      <x:c r="U118" s="9"/>
      <x:c r="V118" s="67">
        <x:v>-2.1175193999999999</x:v>
      </x:c>
      <x:c r="W118" s="9">
        <x:v>106.0815047</x:v>
      </x:c>
      <x:c r="X118" s="9"/>
      <x:c r="Y118" s="47"/>
      <x:c r="Z118" s="26" t="s">
        <x:v>50</x:v>
      </x:c>
      <x:c r="AA118" s="39" t="s">
        <x:v>51</x:v>
      </x:c>
      <x:c r="AB118" s="71">
        <x:v>46220</x:v>
      </x:c>
      <x:c r="AC118" s="41" t="s">
        <x:v>52</x:v>
      </x:c>
      <x:c r="AD118">
        <x:f t="shared" si="8"/>
        <x:v>1</x:v>
      </x:c>
      <x:c r="AE118">
        <x:f t="shared" si="9"/>
        <x:v>1</x:v>
      </x:c>
      <x:c r="AF118" s="227"/>
      <x:c r="AG118" s="228"/>
      <x:c r="AH118" s="229"/>
    </x:row>
    <x:row r="119" ht="25">
      <x:c r="A119" s="27" t="s">
        <x:v>453</x:v>
      </x:c>
      <x:c r="B119" s="9" t="s">
        <x:v>454</x:v>
      </x:c>
      <x:c r="C119" s="5" t="s">
        <x:v>39</x:v>
      </x:c>
      <x:c r="D119" s="9" t="s">
        <x:v>40</x:v>
      </x:c>
      <x:c r="E119" s="9" t="s">
        <x:v>41</x:v>
      </x:c>
      <x:c r="F119" s="5" t="s">
        <x:v>455</x:v>
      </x:c>
      <x:c r="G119" s="5" t="s">
        <x:v>456</x:v>
      </x:c>
      <x:c r="H119" s="15" t="s">
        <x:v>62</x:v>
      </x:c>
      <x:c r="I119" s="15" t="s">
        <x:v>268</x:v>
      </x:c>
      <x:c r="J119" s="5">
        <x:v>2018</x:v>
      </x:c>
      <x:c r="K119" s="15">
        <x:v>40</x:v>
      </x:c>
      <x:c r="L119" s="9">
        <x:v>22</x:v>
      </x:c>
      <x:c r="M119" s="15">
        <x:v>22</x:v>
      </x:c>
      <x:c r="N119" s="15" t="s">
        <x:v>64</x:v>
      </x:c>
      <x:c r="O119" s="5"/>
      <x:c r="P119" s="5"/>
      <x:c r="Q119" s="21" t="s">
        <x:v>47</x:v>
      </x:c>
      <x:c r="R119" s="21"/>
      <x:c r="S119" s="18"/>
      <x:c r="T119" s="9"/>
      <x:c r="U119" s="9"/>
      <x:c r="V119" s="67">
        <x:v>-2.1119620000000001</x:v>
      </x:c>
      <x:c r="W119" s="9">
        <x:v>106.0839</x:v>
      </x:c>
      <x:c r="X119" s="9"/>
      <x:c r="Y119" s="47"/>
      <x:c r="Z119" s="26" t="s">
        <x:v>50</x:v>
      </x:c>
      <x:c r="AA119" s="39" t="s">
        <x:v>51</x:v>
      </x:c>
      <x:c r="AB119" s="71">
        <x:v>46220</x:v>
      </x:c>
      <x:c r="AC119" s="41" t="s">
        <x:v>52</x:v>
      </x:c>
      <x:c r="AD119">
        <x:f t="shared" si="8"/>
        <x:v>0.55000000000000004</x:v>
      </x:c>
      <x:c r="AE119">
        <x:f t="shared" si="9"/>
        <x:v>1</x:v>
      </x:c>
      <x:c r="AF119" s="227"/>
      <x:c r="AG119" s="228"/>
      <x:c r="AH119" s="229"/>
    </x:row>
    <x:row r="120" ht="25">
      <x:c r="A120" s="27" t="s">
        <x:v>457</x:v>
      </x:c>
      <x:c r="B120" s="9" t="s">
        <x:v>458</x:v>
      </x:c>
      <x:c r="C120" s="5" t="s">
        <x:v>39</x:v>
      </x:c>
      <x:c r="D120" s="9" t="s">
        <x:v>102</x:v>
      </x:c>
      <x:c r="E120" s="9" t="s">
        <x:v>277</x:v>
      </x:c>
      <x:c r="F120" s="5" t="s">
        <x:v>459</x:v>
      </x:c>
      <x:c r="G120" s="5" t="s">
        <x:v>460</x:v>
      </x:c>
      <x:c r="H120" s="15" t="s">
        <x:v>461</x:v>
      </x:c>
      <x:c r="I120" s="15" t="s">
        <x:v>142</x:v>
      </x:c>
      <x:c r="J120" s="5">
        <x:v>2020</x:v>
      </x:c>
      <x:c r="K120" s="15">
        <x:v>34</x:v>
      </x:c>
      <x:c r="L120" s="9">
        <x:v>31</x:v>
      </x:c>
      <x:c r="M120" s="15">
        <x:v>31</x:v>
      </x:c>
      <x:c r="N120" s="15" t="s">
        <x:v>64</x:v>
      </x:c>
      <x:c r="O120" s="5"/>
      <x:c r="P120" s="5"/>
      <x:c r="Q120" s="21" t="s">
        <x:v>47</x:v>
      </x:c>
      <x:c r="R120" s="21"/>
      <x:c r="S120" s="18"/>
      <x:c r="T120" s="9"/>
      <x:c r="U120" s="9"/>
      <x:c r="V120" s="67">
        <x:v>-2.1443800999999998</x:v>
      </x:c>
      <x:c r="W120" s="9">
        <x:v>106.1543704</x:v>
      </x:c>
      <x:c r="X120" s="9"/>
      <x:c r="Y120" s="47"/>
      <x:c r="Z120" s="26" t="s">
        <x:v>50</x:v>
      </x:c>
      <x:c r="AA120" s="39" t="s">
        <x:v>51</x:v>
      </x:c>
      <x:c r="AB120" s="71">
        <x:v>46220</x:v>
      </x:c>
      <x:c r="AC120" s="41" t="s">
        <x:v>52</x:v>
      </x:c>
      <x:c r="AD120">
        <x:f t="shared" si="8"/>
        <x:v>0.91176470588235292</x:v>
      </x:c>
      <x:c r="AE120">
        <x:f t="shared" si="9"/>
        <x:v>1</x:v>
      </x:c>
      <x:c r="AF120" s="227"/>
      <x:c r="AG120" s="228"/>
      <x:c r="AH120" s="229"/>
    </x:row>
    <x:row r="121" ht="25">
      <x:c r="A121" s="27" t="s">
        <x:v>462</x:v>
      </x:c>
      <x:c r="B121" s="9" t="s">
        <x:v>463</x:v>
      </x:c>
      <x:c r="C121" s="5" t="s">
        <x:v>39</x:v>
      </x:c>
      <x:c r="D121" s="9" t="s">
        <x:v>102</x:v>
      </x:c>
      <x:c r="E121" s="9" t="s">
        <x:v>277</x:v>
      </x:c>
      <x:c r="F121" s="5" t="s">
        <x:v>441</x:v>
      </x:c>
      <x:c r="G121" s="5" t="s">
        <x:v>460</x:v>
      </x:c>
      <x:c r="H121" s="15" t="s">
        <x:v>461</x:v>
      </x:c>
      <x:c r="I121" s="15" t="s">
        <x:v>142</x:v>
      </x:c>
      <x:c r="J121" s="5">
        <x:v>2021</x:v>
      </x:c>
      <x:c r="K121" s="15">
        <x:v>45</x:v>
      </x:c>
      <x:c r="L121" s="9">
        <x:v>45</x:v>
      </x:c>
      <x:c r="M121" s="15">
        <x:v>45</x:v>
      </x:c>
      <x:c r="N121" s="15" t="s">
        <x:v>64</x:v>
      </x:c>
      <x:c r="O121" s="5"/>
      <x:c r="P121" s="5"/>
      <x:c r="Q121" s="21" t="s">
        <x:v>47</x:v>
      </x:c>
      <x:c r="R121" s="21"/>
      <x:c r="S121" s="18"/>
      <x:c r="T121" s="9"/>
      <x:c r="U121" s="9"/>
      <x:c r="V121" s="67">
        <x:v>-2.1311974</x:v>
      </x:c>
      <x:c r="W121" s="9">
        <x:v>106.1576383</x:v>
      </x:c>
      <x:c r="X121" s="9"/>
      <x:c r="Y121" s="47"/>
      <x:c r="Z121" s="26" t="s">
        <x:v>50</x:v>
      </x:c>
      <x:c r="AA121" s="39" t="s">
        <x:v>51</x:v>
      </x:c>
      <x:c r="AB121" s="71">
        <x:v>46220</x:v>
      </x:c>
      <x:c r="AC121" s="41" t="s">
        <x:v>52</x:v>
      </x:c>
      <x:c r="AD121">
        <x:f t="shared" si="8"/>
        <x:v>1</x:v>
      </x:c>
      <x:c r="AE121">
        <x:f t="shared" si="9"/>
        <x:v>1</x:v>
      </x:c>
      <x:c r="AF121" s="227"/>
      <x:c r="AG121" s="228"/>
      <x:c r="AH121" s="229"/>
    </x:row>
    <x:row r="122" ht="25">
      <x:c r="A122" s="27" t="s">
        <x:v>464</x:v>
      </x:c>
      <x:c r="B122" s="9" t="s">
        <x:v>465</x:v>
      </x:c>
      <x:c r="C122" s="5" t="s">
        <x:v>39</x:v>
      </x:c>
      <x:c r="D122" s="9" t="s">
        <x:v>40</x:v>
      </x:c>
      <x:c r="E122" s="9" t="s">
        <x:v>41</x:v>
      </x:c>
      <x:c r="F122" s="5" t="s">
        <x:v>77</x:v>
      </x:c>
      <x:c r="G122" s="5" t="s">
        <x:v>466</x:v>
      </x:c>
      <x:c r="H122" s="15" t="s">
        <x:v>467</x:v>
      </x:c>
      <x:c r="I122" s="15" t="s">
        <x:v>142</x:v>
      </x:c>
      <x:c r="J122" s="5">
        <x:v>2018</x:v>
      </x:c>
      <x:c r="K122" s="15">
        <x:v>43</x:v>
      </x:c>
      <x:c r="L122" s="9">
        <x:v>43</x:v>
      </x:c>
      <x:c r="M122" s="15">
        <x:v>42</x:v>
      </x:c>
      <x:c r="N122" s="15" t="s">
        <x:v>64</x:v>
      </x:c>
      <x:c r="O122" s="5"/>
      <x:c r="P122" s="5"/>
      <x:c r="Q122" s="21" t="s">
        <x:v>47</x:v>
      </x:c>
      <x:c r="R122" s="21"/>
      <x:c r="S122" s="18"/>
      <x:c r="T122" s="9"/>
      <x:c r="U122" s="9"/>
      <x:c r="V122" s="67">
        <x:v>-2.1098919999999999</x:v>
      </x:c>
      <x:c r="W122" s="9">
        <x:v>106.085612</x:v>
      </x:c>
      <x:c r="X122" s="9"/>
      <x:c r="Y122" s="47"/>
      <x:c r="Z122" s="26" t="s">
        <x:v>50</x:v>
      </x:c>
      <x:c r="AA122" s="39" t="s">
        <x:v>51</x:v>
      </x:c>
      <x:c r="AB122" s="71">
        <x:v>46220</x:v>
      </x:c>
      <x:c r="AC122" s="41" t="s">
        <x:v>52</x:v>
      </x:c>
      <x:c r="AD122">
        <x:f t="shared" si="8"/>
        <x:v>1</x:v>
      </x:c>
      <x:c r="AE122">
        <x:f t="shared" si="9"/>
        <x:v>0.97674418604651159</x:v>
      </x:c>
      <x:c r="AF122" s="227"/>
      <x:c r="AG122" s="228"/>
      <x:c r="AH122" s="229"/>
    </x:row>
    <x:row r="123" ht="25">
      <x:c r="A123" s="27" t="s">
        <x:v>468</x:v>
      </x:c>
      <x:c r="B123" s="9" t="s">
        <x:v>469</x:v>
      </x:c>
      <x:c r="C123" s="5" t="s">
        <x:v>39</x:v>
      </x:c>
      <x:c r="D123" s="9" t="s">
        <x:v>40</x:v>
      </x:c>
      <x:c r="E123" s="9" t="s">
        <x:v>55</x:v>
      </x:c>
      <x:c r="F123" s="5" t="s">
        <x:v>470</x:v>
      </x:c>
      <x:c r="G123" s="5" t="s">
        <x:v>466</x:v>
      </x:c>
      <x:c r="H123" s="15" t="s">
        <x:v>467</x:v>
      </x:c>
      <x:c r="I123" s="15" t="s">
        <x:v>142</x:v>
      </x:c>
      <x:c r="J123" s="5">
        <x:v>2018</x:v>
      </x:c>
      <x:c r="K123" s="15">
        <x:v>68</x:v>
      </x:c>
      <x:c r="L123" s="9">
        <x:v>63</x:v>
      </x:c>
      <x:c r="M123" s="15">
        <x:v>63</x:v>
      </x:c>
      <x:c r="N123" s="15" t="s">
        <x:v>64</x:v>
      </x:c>
      <x:c r="O123" s="5"/>
      <x:c r="P123" s="5"/>
      <x:c r="Q123" s="21" t="s">
        <x:v>47</x:v>
      </x:c>
      <x:c r="R123" s="21"/>
      <x:c r="S123" s="18"/>
      <x:c r="T123" s="9"/>
      <x:c r="U123" s="9"/>
      <x:c r="V123" s="67">
        <x:v>-2.1166429999999998</x:v>
      </x:c>
      <x:c r="W123" s="9">
        <x:v>106.080567</x:v>
      </x:c>
      <x:c r="X123" s="9"/>
      <x:c r="Y123" s="47"/>
      <x:c r="Z123" s="26" t="s">
        <x:v>50</x:v>
      </x:c>
      <x:c r="AA123" s="39" t="s">
        <x:v>51</x:v>
      </x:c>
      <x:c r="AB123" s="71">
        <x:v>46220</x:v>
      </x:c>
      <x:c r="AC123" s="41" t="s">
        <x:v>52</x:v>
      </x:c>
      <x:c r="AD123">
        <x:f t="shared" si="8"/>
        <x:v>0.92647058823529416</x:v>
      </x:c>
      <x:c r="AE123">
        <x:f t="shared" si="9"/>
        <x:v>1</x:v>
      </x:c>
      <x:c r="AF123" s="227"/>
      <x:c r="AG123" s="228"/>
      <x:c r="AH123" s="229"/>
    </x:row>
    <x:row r="124" ht="25">
      <x:c r="A124" s="27" t="s">
        <x:v>471</x:v>
      </x:c>
      <x:c r="B124" s="9" t="s">
        <x:v>472</x:v>
      </x:c>
      <x:c r="C124" s="5" t="s">
        <x:v>39</x:v>
      </x:c>
      <x:c r="D124" s="9" t="s">
        <x:v>40</x:v>
      </x:c>
      <x:c r="E124" s="9" t="s">
        <x:v>252</x:v>
      </x:c>
      <x:c r="F124" s="5" t="s">
        <x:v>473</x:v>
      </x:c>
      <x:c r="G124" s="5" t="s">
        <x:v>466</x:v>
      </x:c>
      <x:c r="H124" s="15" t="s">
        <x:v>467</x:v>
      </x:c>
      <x:c r="I124" s="15" t="s">
        <x:v>142</x:v>
      </x:c>
      <x:c r="J124" s="5">
        <x:v>2017</x:v>
      </x:c>
      <x:c r="K124" s="15">
        <x:v>32</x:v>
      </x:c>
      <x:c r="L124" s="9">
        <x:v>15</x:v>
      </x:c>
      <x:c r="M124" s="15">
        <x:v>15</x:v>
      </x:c>
      <x:c r="N124" s="15" t="s">
        <x:v>64</x:v>
      </x:c>
      <x:c r="O124" s="5"/>
      <x:c r="P124" s="5"/>
      <x:c r="Q124" s="21" t="s">
        <x:v>47</x:v>
      </x:c>
      <x:c r="R124" s="21" t="s">
        <x:v>110</x:v>
      </x:c>
      <x:c r="S124" s="18"/>
      <x:c r="T124" s="9"/>
      <x:c r="U124" s="9"/>
      <x:c r="V124" s="67">
        <x:v>-2.1169730000000002</x:v>
      </x:c>
      <x:c r="W124" s="9">
        <x:v>106.090628</x:v>
      </x:c>
      <x:c r="X124" s="9"/>
      <x:c r="Y124" s="47"/>
      <x:c r="Z124" s="26" t="s">
        <x:v>50</x:v>
      </x:c>
      <x:c r="AA124" s="39" t="s">
        <x:v>51</x:v>
      </x:c>
      <x:c r="AB124" s="71">
        <x:v>46220</x:v>
      </x:c>
      <x:c r="AC124" s="41" t="s">
        <x:v>52</x:v>
      </x:c>
      <x:c r="AD124">
        <x:f t="shared" si="8"/>
        <x:v>0.46875</x:v>
      </x:c>
      <x:c r="AE124">
        <x:f t="shared" si="9"/>
        <x:v>1</x:v>
      </x:c>
      <x:c r="AF124" s="227"/>
      <x:c r="AG124" s="228"/>
      <x:c r="AH124" s="229"/>
    </x:row>
    <x:row r="125" ht="25">
      <x:c r="A125" s="27" t="s">
        <x:v>474</x:v>
      </x:c>
      <x:c r="B125" s="9" t="s">
        <x:v>475</x:v>
      </x:c>
      <x:c r="C125" s="5" t="s">
        <x:v>39</x:v>
      </x:c>
      <x:c r="D125" s="9" t="s">
        <x:v>40</x:v>
      </x:c>
      <x:c r="E125" s="9" t="s">
        <x:v>41</x:v>
      </x:c>
      <x:c r="F125" s="5" t="s">
        <x:v>476</x:v>
      </x:c>
      <x:c r="G125" s="5" t="s">
        <x:v>477</x:v>
      </x:c>
      <x:c r="H125" s="15" t="s">
        <x:v>478</x:v>
      </x:c>
      <x:c r="I125" s="15" t="s">
        <x:v>142</x:v>
      </x:c>
      <x:c r="J125" s="5">
        <x:v>2017</x:v>
      </x:c>
      <x:c r="K125" s="15">
        <x:v>35</x:v>
      </x:c>
      <x:c r="L125" s="9">
        <x:v>35</x:v>
      </x:c>
      <x:c r="M125" s="15">
        <x:v>35</x:v>
      </x:c>
      <x:c r="N125" s="15" t="s">
        <x:v>64</x:v>
      </x:c>
      <x:c r="O125" s="5"/>
      <x:c r="P125" s="5"/>
      <x:c r="Q125" s="21" t="s">
        <x:v>93</x:v>
      </x:c>
      <x:c r="R125" s="21"/>
      <x:c r="S125" s="17" t="s">
        <x:v>242</x:v>
      </x:c>
      <x:c r="T125" s="9"/>
      <x:c r="U125" s="9"/>
      <x:c r="V125" s="67">
        <x:v>-2.1247167</x:v>
      </x:c>
      <x:c r="W125" s="9">
        <x:v>106.07904379999999</x:v>
      </x:c>
      <x:c r="X125" s="9"/>
      <x:c r="Y125" s="47"/>
      <x:c r="Z125" s="26" t="s">
        <x:v>50</x:v>
      </x:c>
      <x:c r="AA125" s="39" t="s">
        <x:v>51</x:v>
      </x:c>
      <x:c r="AB125" s="71">
        <x:v>46220</x:v>
      </x:c>
      <x:c r="AC125" s="41" t="s">
        <x:v>52</x:v>
      </x:c>
      <x:c r="AD125">
        <x:f t="shared" si="8"/>
        <x:v>1</x:v>
      </x:c>
      <x:c r="AE125">
        <x:f t="shared" si="9"/>
        <x:v>1</x:v>
      </x:c>
      <x:c r="AF125" s="227"/>
      <x:c r="AG125" s="228"/>
      <x:c r="AH125" s="229"/>
    </x:row>
    <x:row r="126" ht="25">
      <x:c r="A126" s="27" t="s">
        <x:v>479</x:v>
      </x:c>
      <x:c r="B126" s="9" t="s">
        <x:v>480</x:v>
      </x:c>
      <x:c r="C126" s="5" t="s">
        <x:v>39</x:v>
      </x:c>
      <x:c r="D126" s="9" t="s">
        <x:v>40</x:v>
      </x:c>
      <x:c r="E126" s="9" t="s">
        <x:v>41</x:v>
      </x:c>
      <x:c r="F126" s="5" t="s">
        <x:v>481</x:v>
      </x:c>
      <x:c r="G126" s="5" t="s">
        <x:v>482</x:v>
      </x:c>
      <x:c r="H126" s="15" t="s">
        <x:v>478</x:v>
      </x:c>
      <x:c r="I126" s="15" t="s">
        <x:v>142</x:v>
      </x:c>
      <x:c r="J126" s="5">
        <x:v>2018</x:v>
      </x:c>
      <x:c r="K126" s="15">
        <x:v>51</x:v>
      </x:c>
      <x:c r="L126" s="9">
        <x:v>51</x:v>
      </x:c>
      <x:c r="M126" s="15">
        <x:v>51</x:v>
      </x:c>
      <x:c r="N126" s="15" t="s">
        <x:v>64</x:v>
      </x:c>
      <x:c r="O126" s="5"/>
      <x:c r="P126" s="5"/>
      <x:c r="Q126" s="21" t="s">
        <x:v>93</x:v>
      </x:c>
      <x:c r="R126" s="21"/>
      <x:c r="S126" s="17" t="s">
        <x:v>242</x:v>
      </x:c>
      <x:c r="T126" s="9"/>
      <x:c r="U126" s="9"/>
      <x:c r="V126" s="67">
        <x:v>-2.0988720000000001</x:v>
      </x:c>
      <x:c r="W126" s="9">
        <x:v>106.086156</x:v>
      </x:c>
      <x:c r="X126" s="9"/>
      <x:c r="Y126" s="47"/>
      <x:c r="Z126" s="26" t="s">
        <x:v>50</x:v>
      </x:c>
      <x:c r="AA126" s="39" t="s">
        <x:v>51</x:v>
      </x:c>
      <x:c r="AB126" s="71">
        <x:v>46220</x:v>
      </x:c>
      <x:c r="AC126" s="41" t="s">
        <x:v>52</x:v>
      </x:c>
      <x:c r="AD126">
        <x:f t="shared" si="8"/>
        <x:v>1</x:v>
      </x:c>
      <x:c r="AE126">
        <x:f t="shared" si="9"/>
        <x:v>1</x:v>
      </x:c>
      <x:c r="AF126" s="227"/>
      <x:c r="AG126" s="228"/>
      <x:c r="AH126" s="229"/>
    </x:row>
    <x:row r="127" ht="25">
      <x:c r="A127" s="27" t="s">
        <x:v>483</x:v>
      </x:c>
      <x:c r="B127" s="9" t="s">
        <x:v>484</x:v>
      </x:c>
      <x:c r="C127" s="5" t="s">
        <x:v>39</x:v>
      </x:c>
      <x:c r="D127" s="9" t="s">
        <x:v>40</x:v>
      </x:c>
      <x:c r="E127" s="9" t="s">
        <x:v>55</x:v>
      </x:c>
      <x:c r="F127" s="5" t="s">
        <x:v>485</x:v>
      </x:c>
      <x:c r="G127" s="5" t="s">
        <x:v>482</x:v>
      </x:c>
      <x:c r="H127" s="15" t="s">
        <x:v>478</x:v>
      </x:c>
      <x:c r="I127" s="15" t="s">
        <x:v>142</x:v>
      </x:c>
      <x:c r="J127" s="5">
        <x:v>2019</x:v>
      </x:c>
      <x:c r="K127" s="15">
        <x:v>29</x:v>
      </x:c>
      <x:c r="L127" s="9">
        <x:v>29</x:v>
      </x:c>
      <x:c r="M127" s="15">
        <x:v>29</x:v>
      </x:c>
      <x:c r="N127" s="15" t="s">
        <x:v>64</x:v>
      </x:c>
      <x:c r="O127" s="5"/>
      <x:c r="P127" s="5"/>
      <x:c r="Q127" s="21" t="s">
        <x:v>93</x:v>
      </x:c>
      <x:c r="R127" s="21"/>
      <x:c r="S127" s="17" t="s">
        <x:v>242</x:v>
      </x:c>
      <x:c r="T127" s="9"/>
      <x:c r="U127" s="9"/>
      <x:c r="V127" s="67">
        <x:v>-2.1160036999999998</x:v>
      </x:c>
      <x:c r="W127" s="9">
        <x:v>106.0764578</x:v>
      </x:c>
      <x:c r="X127" s="9"/>
      <x:c r="Y127" s="47"/>
      <x:c r="Z127" s="26" t="s">
        <x:v>50</x:v>
      </x:c>
      <x:c r="AA127" s="39" t="s">
        <x:v>51</x:v>
      </x:c>
      <x:c r="AB127" s="71">
        <x:v>46220</x:v>
      </x:c>
      <x:c r="AC127" s="41" t="s">
        <x:v>52</x:v>
      </x:c>
      <x:c r="AD127">
        <x:f t="shared" si="8"/>
        <x:v>1</x:v>
      </x:c>
      <x:c r="AE127">
        <x:f t="shared" si="9"/>
        <x:v>1</x:v>
      </x:c>
      <x:c r="AF127" s="227"/>
      <x:c r="AG127" s="228"/>
      <x:c r="AH127" s="229"/>
    </x:row>
    <x:row r="128" ht="25">
      <x:c r="A128" s="27" t="s">
        <x:v>486</x:v>
      </x:c>
      <x:c r="B128" s="9" t="s">
        <x:v>487</x:v>
      </x:c>
      <x:c r="C128" s="5" t="s">
        <x:v>39</x:v>
      </x:c>
      <x:c r="D128" s="9" t="s">
        <x:v>433</x:v>
      </x:c>
      <x:c r="E128" s="9" t="s">
        <x:v>488</x:v>
      </x:c>
      <x:c r="F128" s="5" t="s">
        <x:v>489</x:v>
      </x:c>
      <x:c r="G128" s="5" t="s">
        <x:v>490</x:v>
      </x:c>
      <x:c r="H128" s="15" t="s">
        <x:v>491</x:v>
      </x:c>
      <x:c r="I128" s="15" t="s">
        <x:v>62</x:v>
      </x:c>
      <x:c r="J128" s="5">
        <x:v>2018</x:v>
      </x:c>
      <x:c r="K128" s="15">
        <x:v>42</x:v>
      </x:c>
      <x:c r="L128" s="9">
        <x:v>39</x:v>
      </x:c>
      <x:c r="M128" s="15">
        <x:v>39</x:v>
      </x:c>
      <x:c r="N128" s="15" t="s">
        <x:v>64</x:v>
      </x:c>
      <x:c r="O128" s="5"/>
      <x:c r="P128" s="5"/>
      <x:c r="Q128" s="21" t="s">
        <x:v>47</x:v>
      </x:c>
      <x:c r="R128" s="21"/>
      <x:c r="S128" s="18"/>
      <x:c r="T128" s="9"/>
      <x:c r="U128" s="9"/>
      <x:c r="V128" s="67"/>
      <x:c r="W128" s="9"/>
      <x:c r="X128" s="9"/>
      <x:c r="Y128" s="47"/>
      <x:c r="Z128" s="26" t="s">
        <x:v>50</x:v>
      </x:c>
      <x:c r="AA128" s="39" t="s">
        <x:v>51</x:v>
      </x:c>
      <x:c r="AB128" s="71">
        <x:v>46220</x:v>
      </x:c>
      <x:c r="AC128" s="41" t="s">
        <x:v>52</x:v>
      </x:c>
      <x:c r="AD128">
        <x:f t="shared" si="8"/>
        <x:v>0.9285714285714286</x:v>
      </x:c>
      <x:c r="AE128">
        <x:f t="shared" si="9"/>
        <x:v>1</x:v>
      </x:c>
      <x:c r="AF128" s="227"/>
      <x:c r="AG128" s="228"/>
      <x:c r="AH128" s="229"/>
    </x:row>
    <x:row r="129" ht="25">
      <x:c r="A129" s="27" t="s">
        <x:v>492</x:v>
      </x:c>
      <x:c r="B129" s="9" t="s">
        <x:v>493</x:v>
      </x:c>
      <x:c r="C129" s="5" t="s">
        <x:v>39</x:v>
      </x:c>
      <x:c r="D129" s="9" t="s">
        <x:v>40</x:v>
      </x:c>
      <x:c r="E129" s="9" t="s">
        <x:v>41</x:v>
      </x:c>
      <x:c r="F129" s="5" t="s">
        <x:v>494</x:v>
      </x:c>
      <x:c r="G129" s="5" t="s">
        <x:v>495</x:v>
      </x:c>
      <x:c r="H129" s="15" t="s">
        <x:v>496</x:v>
      </x:c>
      <x:c r="I129" s="15" t="s">
        <x:v>62</x:v>
      </x:c>
      <x:c r="J129" s="5">
        <x:v>2023</x:v>
      </x:c>
      <x:c r="K129" s="15">
        <x:v>111</x:v>
      </x:c>
      <x:c r="L129" s="9">
        <x:v>63</x:v>
      </x:c>
      <x:c r="M129" s="15">
        <x:v>54</x:v>
      </x:c>
      <x:c r="N129" s="15" t="s">
        <x:v>64</x:v>
      </x:c>
      <x:c r="O129" s="5"/>
      <x:c r="P129" s="5"/>
      <x:c r="Q129" s="21" t="s">
        <x:v>47</x:v>
      </x:c>
      <x:c r="R129" s="21"/>
      <x:c r="S129" s="18"/>
      <x:c r="T129" s="9"/>
      <x:c r="U129" s="9"/>
      <x:c r="V129" s="67">
        <x:v>-2.1040464000000001</x:v>
      </x:c>
      <x:c r="W129" s="9">
        <x:v>106.0873765</x:v>
      </x:c>
      <x:c r="X129" s="9"/>
      <x:c r="Y129" s="47"/>
      <x:c r="Z129" s="26" t="s">
        <x:v>50</x:v>
      </x:c>
      <x:c r="AA129" s="39" t="s">
        <x:v>51</x:v>
      </x:c>
      <x:c r="AB129" s="71">
        <x:v>46220</x:v>
      </x:c>
      <x:c r="AC129" s="41" t="s">
        <x:v>52</x:v>
      </x:c>
      <x:c r="AD129">
        <x:f t="shared" si="8"/>
        <x:v>0.56756756756756754</x:v>
      </x:c>
      <x:c r="AE129">
        <x:f t="shared" si="9"/>
        <x:v>0.8571428571428571</x:v>
      </x:c>
      <x:c r="AF129" s="227"/>
      <x:c r="AG129" s="228"/>
      <x:c r="AH129" s="229"/>
    </x:row>
    <x:row r="130" ht="25">
      <x:c r="A130" s="27" t="s">
        <x:v>497</x:v>
      </x:c>
      <x:c r="B130" s="9" t="s">
        <x:v>498</x:v>
      </x:c>
      <x:c r="C130" s="5" t="s">
        <x:v>39</x:v>
      </x:c>
      <x:c r="D130" s="9" t="s">
        <x:v>40</x:v>
      </x:c>
      <x:c r="E130" s="9" t="s">
        <x:v>55</x:v>
      </x:c>
      <x:c r="F130" s="5" t="s">
        <x:v>499</x:v>
      </x:c>
      <x:c r="G130" s="5" t="s">
        <x:v>204</x:v>
      </x:c>
      <x:c r="H130" s="15" t="s">
        <x:v>205</x:v>
      </x:c>
      <x:c r="I130" s="15" t="s">
        <x:v>80</x:v>
      </x:c>
      <x:c r="J130" s="5">
        <x:v>2015</x:v>
      </x:c>
      <x:c r="K130" s="15">
        <x:v>86</x:v>
      </x:c>
      <x:c r="L130" s="9">
        <x:v>86</x:v>
      </x:c>
      <x:c r="M130" s="15">
        <x:v>86</x:v>
      </x:c>
      <x:c r="N130" s="15" t="s">
        <x:v>64</x:v>
      </x:c>
      <x:c r="O130" s="5"/>
      <x:c r="P130" s="5"/>
      <x:c r="Q130" s="21" t="s">
        <x:v>47</x:v>
      </x:c>
      <x:c r="R130" s="21"/>
      <x:c r="S130" s="18"/>
      <x:c r="T130" s="9"/>
      <x:c r="U130" s="9"/>
      <x:c r="V130" s="67">
        <x:v>-2.1243243999999999</x:v>
      </x:c>
      <x:c r="W130" s="9">
        <x:v>106.07832500000001</x:v>
      </x:c>
      <x:c r="X130" s="9"/>
      <x:c r="Y130" s="47"/>
      <x:c r="Z130" s="26" t="s">
        <x:v>50</x:v>
      </x:c>
      <x:c r="AA130" s="39" t="s">
        <x:v>51</x:v>
      </x:c>
      <x:c r="AB130" s="71">
        <x:v>46220</x:v>
      </x:c>
      <x:c r="AC130" s="41" t="s">
        <x:v>52</x:v>
      </x:c>
      <x:c r="AD130">
        <x:f t="shared" si="8"/>
        <x:v>1</x:v>
      </x:c>
      <x:c r="AE130">
        <x:f t="shared" si="9"/>
        <x:v>1</x:v>
      </x:c>
      <x:c r="AF130" s="227"/>
      <x:c r="AG130" s="228"/>
      <x:c r="AH130" s="229"/>
    </x:row>
    <x:row r="131" ht="25">
      <x:c r="A131" s="27" t="s">
        <x:v>500</x:v>
      </x:c>
      <x:c r="B131" s="9" t="s">
        <x:v>501</x:v>
      </x:c>
      <x:c r="C131" s="5" t="s">
        <x:v>39</x:v>
      </x:c>
      <x:c r="D131" s="9" t="s">
        <x:v>40</x:v>
      </x:c>
      <x:c r="E131" s="9" t="s">
        <x:v>55</x:v>
      </x:c>
      <x:c r="F131" s="5" t="s">
        <x:v>227</x:v>
      </x:c>
      <x:c r="G131" s="5" t="s">
        <x:v>502</x:v>
      </x:c>
      <x:c r="H131" s="15" t="s">
        <x:v>503</x:v>
      </x:c>
      <x:c r="I131" s="15" t="s">
        <x:v>142</x:v>
      </x:c>
      <x:c r="J131" s="5">
        <x:v>2019</x:v>
      </x:c>
      <x:c r="K131" s="15">
        <x:v>52</x:v>
      </x:c>
      <x:c r="L131" s="9">
        <x:v>52</x:v>
      </x:c>
      <x:c r="M131" s="15">
        <x:v>52</x:v>
      </x:c>
      <x:c r="N131" s="15" t="s">
        <x:v>46</x:v>
      </x:c>
      <x:c r="O131" s="5">
        <x:v>2023</x:v>
      </x:c>
      <x:c r="P131" s="5"/>
      <x:c r="Q131" s="21" t="s">
        <x:v>47</x:v>
      </x:c>
      <x:c r="R131" s="21" t="s">
        <x:v>143</x:v>
      </x:c>
      <x:c r="S131" s="18"/>
      <x:c r="T131" s="9"/>
      <x:c r="U131" s="9"/>
      <x:c r="V131" s="67">
        <x:v>-2.1169406</x:v>
      </x:c>
      <x:c r="W131" s="9">
        <x:v>106.0747703</x:v>
      </x:c>
      <x:c r="X131" s="9"/>
      <x:c r="Y131" s="47"/>
      <x:c r="Z131" s="26" t="s">
        <x:v>50</x:v>
      </x:c>
      <x:c r="AA131" s="39" t="s">
        <x:v>51</x:v>
      </x:c>
      <x:c r="AB131" s="71">
        <x:v>46220</x:v>
      </x:c>
      <x:c r="AC131" s="41" t="s">
        <x:v>52</x:v>
      </x:c>
      <x:c r="AD131">
        <x:f t="shared" si="8"/>
        <x:v>1</x:v>
      </x:c>
      <x:c r="AE131">
        <x:f t="shared" si="9"/>
        <x:v>1</x:v>
      </x:c>
      <x:c r="AF131" s="227"/>
      <x:c r="AG131" s="228"/>
      <x:c r="AH131" s="229"/>
    </x:row>
    <x:row r="132" ht="24.399999618530273" customHeight="1">
      <x:c r="A132" s="27" t="s">
        <x:v>504</x:v>
      </x:c>
      <x:c r="B132" s="9" t="s">
        <x:v>505</x:v>
      </x:c>
      <x:c r="C132" s="5" t="s">
        <x:v>39</x:v>
      </x:c>
      <x:c r="D132" s="9" t="s">
        <x:v>75</x:v>
      </x:c>
      <x:c r="E132" s="9" t="s">
        <x:v>87</x:v>
      </x:c>
      <x:c r="F132" s="5" t="s">
        <x:v>316</x:v>
      </x:c>
      <x:c r="G132" s="5" t="s">
        <x:v>43</x:v>
      </x:c>
      <x:c r="H132" s="15" t="s">
        <x:v>44</x:v>
      </x:c>
      <x:c r="I132" s="15" t="s">
        <x:v>45</x:v>
      </x:c>
      <x:c r="J132" s="5">
        <x:v>2025</x:v>
      </x:c>
      <x:c r="K132" s="15">
        <x:v>43</x:v>
      </x:c>
      <x:c r="L132" s="9">
        <x:v>32</x:v>
      </x:c>
      <x:c r="M132" s="15">
        <x:v>32</x:v>
      </x:c>
      <x:c r="N132" s="15" t="s">
        <x:v>64</x:v>
      </x:c>
      <x:c r="O132" s="5"/>
      <x:c r="P132" s="5">
        <x:v>726.3</x:v>
      </x:c>
      <x:c r="Q132" s="21" t="s">
        <x:v>47</x:v>
      </x:c>
      <x:c r="R132" s="21" t="s">
        <x:v>110</x:v>
      </x:c>
      <x:c r="S132" s="17" t="s">
        <x:v>48</x:v>
      </x:c>
      <x:c r="T132" s="9"/>
      <x:c r="U132" s="9"/>
      <x:c r="V132" s="67">
        <x:v>-2.0898488940000002</x:v>
      </x:c>
      <x:c r="W132" s="9">
        <x:v>106.097016168</x:v>
      </x:c>
      <x:c r="X132" s="9" t="s">
        <x:v>506</x:v>
      </x:c>
      <x:c r="Y132" s="47">
        <x:v>2026</x:v>
      </x:c>
      <x:c r="Z132" s="26" t="s">
        <x:v>50</x:v>
      </x:c>
      <x:c r="AA132" s="39" t="s">
        <x:v>223</x:v>
      </x:c>
      <x:c r="AB132" s="71">
        <x:v>46250</x:v>
      </x:c>
      <x:c r="AC132" s="41" t="s">
        <x:v>52</x:v>
      </x:c>
      <x:c r="AD132">
        <x:f t="shared" si="8"/>
        <x:v>0.7441860465116279</x:v>
      </x:c>
      <x:c r="AE132">
        <x:f t="shared" si="9"/>
        <x:v>1</x:v>
      </x:c>
      <x:c r="AF132" s="227"/>
      <x:c r="AG132" s="228"/>
      <x:c r="AH132" s="229"/>
    </x:row>
    <x:row r="133" ht="25">
      <x:c r="A133" s="27" t="s">
        <x:v>507</x:v>
      </x:c>
      <x:c r="B133" s="9" t="s">
        <x:v>508</x:v>
      </x:c>
      <x:c r="C133" s="5" t="s">
        <x:v>39</x:v>
      </x:c>
      <x:c r="D133" s="9" t="s">
        <x:v>40</x:v>
      </x:c>
      <x:c r="E133" s="9" t="s">
        <x:v>55</x:v>
      </x:c>
      <x:c r="F133" s="5" t="s">
        <x:v>61</x:v>
      </x:c>
      <x:c r="G133" s="5" t="s">
        <x:v>509</x:v>
      </x:c>
      <x:c r="H133" s="15" t="s">
        <x:v>510</x:v>
      </x:c>
      <x:c r="I133" s="15" t="s">
        <x:v>142</x:v>
      </x:c>
      <x:c r="J133" s="5">
        <x:v>2017</x:v>
      </x:c>
      <x:c r="K133" s="15">
        <x:v>18</x:v>
      </x:c>
      <x:c r="L133" s="9">
        <x:v>18</x:v>
      </x:c>
      <x:c r="M133" s="15">
        <x:v>18</x:v>
      </x:c>
      <x:c r="N133" s="15" t="s">
        <x:v>64</x:v>
      </x:c>
      <x:c r="O133" s="5"/>
      <x:c r="P133" s="5"/>
      <x:c r="Q133" s="21" t="s">
        <x:v>47</x:v>
      </x:c>
      <x:c r="R133" s="21"/>
      <x:c r="S133" s="18"/>
      <x:c r="T133" s="9"/>
      <x:c r="U133" s="9"/>
      <x:c r="V133" s="67">
        <x:v>-2.1208572000000001</x:v>
      </x:c>
      <x:c r="W133" s="9">
        <x:v>106.0729011</x:v>
      </x:c>
      <x:c r="X133" s="9"/>
      <x:c r="Y133" s="47"/>
      <x:c r="Z133" s="26" t="s">
        <x:v>50</x:v>
      </x:c>
      <x:c r="AA133" s="39" t="s">
        <x:v>51</x:v>
      </x:c>
      <x:c r="AB133" s="71">
        <x:v>46220</x:v>
      </x:c>
      <x:c r="AC133" s="41" t="s">
        <x:v>52</x:v>
      </x:c>
      <x:c r="AD133">
        <x:f t="shared" si="8"/>
        <x:v>1</x:v>
      </x:c>
      <x:c r="AE133">
        <x:f t="shared" si="9"/>
        <x:v>1</x:v>
      </x:c>
      <x:c r="AF133" s="227"/>
      <x:c r="AG133" s="228"/>
      <x:c r="AH133" s="229"/>
    </x:row>
    <x:row r="134" ht="25">
      <x:c r="A134" s="27" t="s">
        <x:v>511</x:v>
      </x:c>
      <x:c r="B134" s="9" t="s">
        <x:v>512</x:v>
      </x:c>
      <x:c r="C134" s="5" t="s">
        <x:v>39</x:v>
      </x:c>
      <x:c r="D134" s="9" t="s">
        <x:v>40</x:v>
      </x:c>
      <x:c r="E134" s="9" t="s">
        <x:v>55</x:v>
      </x:c>
      <x:c r="F134" s="5" t="s">
        <x:v>61</x:v>
      </x:c>
      <x:c r="G134" s="5" t="s">
        <x:v>509</x:v>
      </x:c>
      <x:c r="H134" s="15" t="s">
        <x:v>510</x:v>
      </x:c>
      <x:c r="I134" s="15" t="s">
        <x:v>142</x:v>
      </x:c>
      <x:c r="J134" s="5">
        <x:v>2017</x:v>
      </x:c>
      <x:c r="K134" s="15">
        <x:v>137</x:v>
      </x:c>
      <x:c r="L134" s="9">
        <x:v>90</x:v>
      </x:c>
      <x:c r="M134" s="15">
        <x:v>60</x:v>
      </x:c>
      <x:c r="N134" s="15" t="s">
        <x:v>64</x:v>
      </x:c>
      <x:c r="O134" s="5"/>
      <x:c r="P134" s="5"/>
      <x:c r="Q134" s="21" t="s">
        <x:v>47</x:v>
      </x:c>
      <x:c r="R134" s="21" t="s">
        <x:v>143</x:v>
      </x:c>
      <x:c r="S134" s="18"/>
      <x:c r="T134" s="9"/>
      <x:c r="U134" s="9"/>
      <x:c r="V134" s="67">
        <x:v>-2.1191513</x:v>
      </x:c>
      <x:c r="W134" s="9">
        <x:v>106.0727887</x:v>
      </x:c>
      <x:c r="X134" s="9"/>
      <x:c r="Y134" s="47"/>
      <x:c r="Z134" s="26" t="s">
        <x:v>50</x:v>
      </x:c>
      <x:c r="AA134" s="39" t="s">
        <x:v>51</x:v>
      </x:c>
      <x:c r="AB134" s="71">
        <x:v>46220</x:v>
      </x:c>
      <x:c r="AC134" s="41" t="s">
        <x:v>52</x:v>
      </x:c>
      <x:c r="AD134">
        <x:f t="shared" si="8"/>
        <x:v>0.65693430656934304</x:v>
      </x:c>
      <x:c r="AE134">
        <x:f t="shared" si="9"/>
        <x:v>0.66666666666666663</x:v>
      </x:c>
      <x:c r="AF134" s="227"/>
      <x:c r="AG134" s="228"/>
      <x:c r="AH134" s="229"/>
    </x:row>
    <x:row r="135" ht="25">
      <x:c r="A135" s="27" t="s">
        <x:v>513</x:v>
      </x:c>
      <x:c r="B135" s="9" t="s">
        <x:v>514</x:v>
      </x:c>
      <x:c r="C135" s="5" t="s">
        <x:v>39</x:v>
      </x:c>
      <x:c r="D135" s="9" t="s">
        <x:v>40</x:v>
      </x:c>
      <x:c r="E135" s="9" t="s">
        <x:v>55</x:v>
      </x:c>
      <x:c r="F135" s="5" t="s">
        <x:v>515</x:v>
      </x:c>
      <x:c r="G135" s="5" t="s">
        <x:v>509</x:v>
      </x:c>
      <x:c r="H135" s="15" t="s">
        <x:v>510</x:v>
      </x:c>
      <x:c r="I135" s="15" t="s">
        <x:v>142</x:v>
      </x:c>
      <x:c r="J135" s="5">
        <x:v>2018</x:v>
      </x:c>
      <x:c r="K135" s="15">
        <x:v>35</x:v>
      </x:c>
      <x:c r="L135" s="9">
        <x:v>35</x:v>
      </x:c>
      <x:c r="M135" s="15">
        <x:v>35</x:v>
      </x:c>
      <x:c r="N135" s="15" t="s">
        <x:v>64</x:v>
      </x:c>
      <x:c r="O135" s="5"/>
      <x:c r="P135" s="5"/>
      <x:c r="Q135" s="21" t="s">
        <x:v>89</x:v>
      </x:c>
      <x:c r="R135" s="21" t="s">
        <x:v>110</x:v>
      </x:c>
      <x:c r="S135" s="18"/>
      <x:c r="T135" s="9"/>
      <x:c r="U135" s="9"/>
      <x:c r="V135" s="67"/>
      <x:c r="W135" s="9"/>
      <x:c r="X135" s="9"/>
      <x:c r="Y135" s="47"/>
      <x:c r="Z135" s="26" t="s">
        <x:v>50</x:v>
      </x:c>
      <x:c r="AA135" s="39" t="s">
        <x:v>51</x:v>
      </x:c>
      <x:c r="AB135" s="71">
        <x:v>46220</x:v>
      </x:c>
      <x:c r="AC135" s="41" t="s">
        <x:v>52</x:v>
      </x:c>
      <x:c r="AD135">
        <x:f t="shared" si="8"/>
        <x:v>1</x:v>
      </x:c>
      <x:c r="AE135">
        <x:f t="shared" si="9"/>
        <x:v>1</x:v>
      </x:c>
      <x:c r="AF135" s="227"/>
      <x:c r="AG135" s="228"/>
      <x:c r="AH135" s="229"/>
    </x:row>
    <x:row r="136" ht="25">
      <x:c r="A136" s="27" t="s">
        <x:v>516</x:v>
      </x:c>
      <x:c r="B136" s="9" t="s">
        <x:v>517</x:v>
      </x:c>
      <x:c r="C136" s="5" t="s">
        <x:v>39</x:v>
      </x:c>
      <x:c r="D136" s="9" t="s">
        <x:v>75</x:v>
      </x:c>
      <x:c r="E136" s="9" t="s">
        <x:v>83</x:v>
      </x:c>
      <x:c r="F136" s="5" t="s">
        <x:v>518</x:v>
      </x:c>
      <x:c r="G136" s="5" t="s">
        <x:v>519</x:v>
      </x:c>
      <x:c r="H136" s="15" t="s">
        <x:v>520</x:v>
      </x:c>
      <x:c r="I136" s="15" t="s">
        <x:v>80</x:v>
      </x:c>
      <x:c r="J136" s="5">
        <x:v>2017</x:v>
      </x:c>
      <x:c r="K136" s="15">
        <x:v>44</x:v>
      </x:c>
      <x:c r="L136" s="9">
        <x:v>34</x:v>
      </x:c>
      <x:c r="M136" s="15">
        <x:v>34</x:v>
      </x:c>
      <x:c r="N136" s="15" t="s">
        <x:v>64</x:v>
      </x:c>
      <x:c r="O136" s="5"/>
      <x:c r="P136" s="5"/>
      <x:c r="Q136" s="21" t="s">
        <x:v>47</x:v>
      </x:c>
      <x:c r="R136" s="21"/>
      <x:c r="S136" s="18"/>
      <x:c r="T136" s="9" t="s">
        <x:v>49</x:v>
      </x:c>
      <x:c r="U136" s="9"/>
      <x:c r="V136" s="67">
        <x:v>-2.098071</x:v>
      </x:c>
      <x:c r="W136" s="9">
        <x:v>106.116671</x:v>
      </x:c>
      <x:c r="X136" s="9"/>
      <x:c r="Y136" s="47"/>
      <x:c r="Z136" s="26" t="s">
        <x:v>50</x:v>
      </x:c>
      <x:c r="AA136" s="39" t="s">
        <x:v>51</x:v>
      </x:c>
      <x:c r="AB136" s="71">
        <x:v>46220</x:v>
      </x:c>
      <x:c r="AC136" s="41" t="s">
        <x:v>52</x:v>
      </x:c>
      <x:c r="AD136">
        <x:f t="shared" si="8"/>
        <x:v>0.77272727272727271</x:v>
      </x:c>
      <x:c r="AE136">
        <x:f t="shared" si="9"/>
        <x:v>1</x:v>
      </x:c>
      <x:c r="AF136" s="227"/>
      <x:c r="AG136" s="228"/>
      <x:c r="AH136" s="229"/>
    </x:row>
    <x:row r="137" ht="25">
      <x:c r="A137" s="27" t="s">
        <x:v>521</x:v>
      </x:c>
      <x:c r="B137" s="9" t="s">
        <x:v>522</x:v>
      </x:c>
      <x:c r="C137" s="5" t="s">
        <x:v>39</x:v>
      </x:c>
      <x:c r="D137" s="9" t="s">
        <x:v>75</x:v>
      </x:c>
      <x:c r="E137" s="9" t="s">
        <x:v>523</x:v>
      </x:c>
      <x:c r="F137" s="5" t="s">
        <x:v>524</x:v>
      </x:c>
      <x:c r="G137" s="5" t="s">
        <x:v>519</x:v>
      </x:c>
      <x:c r="H137" s="15" t="s">
        <x:v>520</x:v>
      </x:c>
      <x:c r="I137" s="15" t="s">
        <x:v>80</x:v>
      </x:c>
      <x:c r="J137" s="5">
        <x:v>2019</x:v>
      </x:c>
      <x:c r="K137" s="15">
        <x:v>103</x:v>
      </x:c>
      <x:c r="L137" s="9">
        <x:v>93</x:v>
      </x:c>
      <x:c r="M137" s="15">
        <x:v>93</x:v>
      </x:c>
      <x:c r="N137" s="15" t="s">
        <x:v>64</x:v>
      </x:c>
      <x:c r="O137" s="5"/>
      <x:c r="P137" s="5"/>
      <x:c r="Q137" s="21" t="s">
        <x:v>47</x:v>
      </x:c>
      <x:c r="R137" s="21"/>
      <x:c r="S137" s="18"/>
      <x:c r="T137" s="9" t="s">
        <x:v>49</x:v>
      </x:c>
      <x:c r="U137" s="9"/>
      <x:c r="V137" s="67">
        <x:v>-2.101518</x:v>
      </x:c>
      <x:c r="W137" s="9">
        <x:v>106.11780299999999</x:v>
      </x:c>
      <x:c r="X137" s="9"/>
      <x:c r="Y137" s="47"/>
      <x:c r="Z137" s="26" t="s">
        <x:v>50</x:v>
      </x:c>
      <x:c r="AA137" s="39" t="s">
        <x:v>51</x:v>
      </x:c>
      <x:c r="AB137" s="71">
        <x:v>46220</x:v>
      </x:c>
      <x:c r="AC137" s="41" t="s">
        <x:v>52</x:v>
      </x:c>
      <x:c r="AD137">
        <x:f t="shared" si="8"/>
        <x:v>0.90291262135922334</x:v>
      </x:c>
      <x:c r="AE137">
        <x:f t="shared" si="9"/>
        <x:v>1</x:v>
      </x:c>
      <x:c r="AF137" s="227"/>
      <x:c r="AG137" s="228"/>
      <x:c r="AH137" s="229"/>
    </x:row>
    <x:row r="138" ht="25">
      <x:c r="A138" s="27" t="s">
        <x:v>525</x:v>
      </x:c>
      <x:c r="B138" s="9" t="s">
        <x:v>526</x:v>
      </x:c>
      <x:c r="C138" s="5" t="s">
        <x:v>39</x:v>
      </x:c>
      <x:c r="D138" s="9" t="s">
        <x:v>40</x:v>
      </x:c>
      <x:c r="E138" s="9" t="s">
        <x:v>41</x:v>
      </x:c>
      <x:c r="F138" s="5" t="s">
        <x:v>527</x:v>
      </x:c>
      <x:c r="G138" s="5" t="s">
        <x:v>528</x:v>
      </x:c>
      <x:c r="H138" s="15" t="s">
        <x:v>529</x:v>
      </x:c>
      <x:c r="I138" s="15" t="s">
        <x:v>62</x:v>
      </x:c>
      <x:c r="J138" s="5">
        <x:v>2024</x:v>
      </x:c>
      <x:c r="K138" s="15">
        <x:v>79</x:v>
      </x:c>
      <x:c r="L138" s="9">
        <x:v>18</x:v>
      </x:c>
      <x:c r="M138" s="15">
        <x:v>15</x:v>
      </x:c>
      <x:c r="N138" s="15" t="s">
        <x:v>64</x:v>
      </x:c>
      <x:c r="O138" s="5"/>
      <x:c r="P138" s="5"/>
      <x:c r="Q138" s="21" t="s">
        <x:v>47</x:v>
      </x:c>
      <x:c r="R138" s="21" t="s">
        <x:v>110</x:v>
      </x:c>
      <x:c r="S138" s="18"/>
      <x:c r="T138" s="9" t="s">
        <x:v>49</x:v>
      </x:c>
      <x:c r="U138" s="9"/>
      <x:c r="V138" s="67">
        <x:v>-2.0988720000000001</x:v>
      </x:c>
      <x:c r="W138" s="9">
        <x:v>106.0761523</x:v>
      </x:c>
      <x:c r="X138" s="9"/>
      <x:c r="Y138" s="47"/>
      <x:c r="Z138" s="26" t="s">
        <x:v>50</x:v>
      </x:c>
      <x:c r="AA138" s="39" t="s">
        <x:v>51</x:v>
      </x:c>
      <x:c r="AB138" s="71">
        <x:v>46220</x:v>
      </x:c>
      <x:c r="AC138" s="41" t="s">
        <x:v>52</x:v>
      </x:c>
      <x:c r="AD138">
        <x:f t="shared" si="8"/>
        <x:v>0.22784810126582278</x:v>
      </x:c>
      <x:c r="AE138">
        <x:f t="shared" si="9"/>
        <x:v>0.83333333333333337</x:v>
      </x:c>
      <x:c r="AF138" s="227"/>
      <x:c r="AG138" s="228"/>
      <x:c r="AH138" s="229"/>
    </x:row>
    <x:row r="139" ht="25">
      <x:c r="A139" s="27" t="s">
        <x:v>530</x:v>
      </x:c>
      <x:c r="B139" s="9" t="s">
        <x:v>531</x:v>
      </x:c>
      <x:c r="C139" s="5" t="s">
        <x:v>39</x:v>
      </x:c>
      <x:c r="D139" s="9" t="s">
        <x:v>40</x:v>
      </x:c>
      <x:c r="E139" s="9" t="s">
        <x:v>41</x:v>
      </x:c>
      <x:c r="F139" s="5" t="s">
        <x:v>527</x:v>
      </x:c>
      <x:c r="G139" s="5" t="s">
        <x:v>528</x:v>
      </x:c>
      <x:c r="H139" s="15" t="s">
        <x:v>529</x:v>
      </x:c>
      <x:c r="I139" s="15" t="s">
        <x:v>62</x:v>
      </x:c>
      <x:c r="J139" s="5">
        <x:v>2024</x:v>
      </x:c>
      <x:c r="K139" s="15">
        <x:v>87</x:v>
      </x:c>
      <x:c r="L139" s="9">
        <x:v>17</x:v>
      </x:c>
      <x:c r="M139" s="15">
        <x:v>15</x:v>
      </x:c>
      <x:c r="N139" s="15" t="s">
        <x:v>64</x:v>
      </x:c>
      <x:c r="O139" s="5"/>
      <x:c r="P139" s="5"/>
      <x:c r="Q139" s="21" t="s">
        <x:v>47</x:v>
      </x:c>
      <x:c r="R139" s="21" t="s">
        <x:v>110</x:v>
      </x:c>
      <x:c r="S139" s="18"/>
      <x:c r="T139" s="9" t="s">
        <x:v>49</x:v>
      </x:c>
      <x:c r="U139" s="9"/>
      <x:c r="V139" s="67">
        <x:v>-2.0975619999999999</x:v>
      </x:c>
      <x:c r="W139" s="9">
        <x:v>106.07432350000001</x:v>
      </x:c>
      <x:c r="X139" s="9"/>
      <x:c r="Y139" s="47"/>
      <x:c r="Z139" s="26" t="s">
        <x:v>50</x:v>
      </x:c>
      <x:c r="AA139" s="39" t="s">
        <x:v>51</x:v>
      </x:c>
      <x:c r="AB139" s="71">
        <x:v>46220</x:v>
      </x:c>
      <x:c r="AC139" s="41" t="s">
        <x:v>52</x:v>
      </x:c>
      <x:c r="AD139">
        <x:f t="shared" si="8"/>
        <x:v>0.19540229885057472</x:v>
      </x:c>
      <x:c r="AE139">
        <x:f t="shared" si="9"/>
        <x:v>0.88235294117647056</x:v>
      </x:c>
      <x:c r="AF139" s="227"/>
      <x:c r="AG139" s="228"/>
      <x:c r="AH139" s="229"/>
    </x:row>
    <x:row r="140" ht="25">
      <x:c r="A140" s="27" t="s">
        <x:v>532</x:v>
      </x:c>
      <x:c r="B140" s="9" t="s">
        <x:v>533</x:v>
      </x:c>
      <x:c r="C140" s="5" t="s">
        <x:v>39</x:v>
      </x:c>
      <x:c r="D140" s="9" t="s">
        <x:v>40</x:v>
      </x:c>
      <x:c r="E140" s="9" t="s">
        <x:v>41</x:v>
      </x:c>
      <x:c r="F140" s="5" t="s">
        <x:v>77</x:v>
      </x:c>
      <x:c r="G140" s="5" t="s">
        <x:v>534</x:v>
      </x:c>
      <x:c r="H140" s="15" t="s">
        <x:v>62</x:v>
      </x:c>
      <x:c r="I140" s="15" t="s">
        <x:v>107</x:v>
      </x:c>
      <x:c r="J140" s="5">
        <x:v>2020</x:v>
      </x:c>
      <x:c r="K140" s="15">
        <x:v>348</x:v>
      </x:c>
      <x:c r="L140" s="9">
        <x:v>312</x:v>
      </x:c>
      <x:c r="M140" s="15">
        <x:v>312</x:v>
      </x:c>
      <x:c r="N140" s="15" t="s">
        <x:v>64</x:v>
      </x:c>
      <x:c r="O140" s="5"/>
      <x:c r="P140" s="5"/>
      <x:c r="Q140" s="21" t="s">
        <x:v>47</x:v>
      </x:c>
      <x:c r="R140" s="21"/>
      <x:c r="S140" s="17" t="s">
        <x:v>48</x:v>
      </x:c>
      <x:c r="T140" s="9" t="s">
        <x:v>49</x:v>
      </x:c>
      <x:c r="U140" s="9"/>
      <x:c r="V140" s="67">
        <x:v>-2.097502</x:v>
      </x:c>
      <x:c r="W140" s="9">
        <x:v>106.092822</x:v>
      </x:c>
      <x:c r="X140" s="9"/>
      <x:c r="Y140" s="47"/>
      <x:c r="Z140" s="26" t="s">
        <x:v>50</x:v>
      </x:c>
      <x:c r="AA140" s="39" t="s">
        <x:v>51</x:v>
      </x:c>
      <x:c r="AB140" s="71">
        <x:v>46220</x:v>
      </x:c>
      <x:c r="AC140" s="41" t="s">
        <x:v>52</x:v>
      </x:c>
      <x:c r="AD140">
        <x:f t="shared" si="8"/>
        <x:v>0.89655172413793105</x:v>
      </x:c>
      <x:c r="AE140">
        <x:f t="shared" si="9"/>
        <x:v>1</x:v>
      </x:c>
      <x:c r="AF140" s="227"/>
      <x:c r="AG140" s="228"/>
      <x:c r="AH140" s="229"/>
    </x:row>
    <x:row r="141" ht="25">
      <x:c r="A141" s="27" t="s">
        <x:v>535</x:v>
      </x:c>
      <x:c r="B141" s="9" t="s">
        <x:v>536</x:v>
      </x:c>
      <x:c r="C141" s="5" t="s">
        <x:v>226</x:v>
      </x:c>
      <x:c r="D141" s="9" t="s">
        <x:v>102</x:v>
      </x:c>
      <x:c r="E141" s="9" t="s">
        <x:v>158</x:v>
      </x:c>
      <x:c r="F141" s="5" t="s">
        <x:v>537</x:v>
      </x:c>
      <x:c r="G141" s="5" t="s">
        <x:v>538</x:v>
      </x:c>
      <x:c r="H141" s="15" t="s">
        <x:v>539</x:v>
      </x:c>
      <x:c r="I141" s="15" t="s">
        <x:v>62</x:v>
      </x:c>
      <x:c r="J141" s="5">
        <x:v>2022</x:v>
      </x:c>
      <x:c r="K141" s="15">
        <x:v>105</x:v>
      </x:c>
      <x:c r="L141" s="9">
        <x:v>97</x:v>
      </x:c>
      <x:c r="M141" s="15">
        <x:v>97</x:v>
      </x:c>
      <x:c r="N141" s="15" t="s">
        <x:v>64</x:v>
      </x:c>
      <x:c r="O141" s="5"/>
      <x:c r="P141" s="5"/>
      <x:c r="Q141" s="21" t="s">
        <x:v>47</x:v>
      </x:c>
      <x:c r="R141" s="21" t="s">
        <x:v>249</x:v>
      </x:c>
      <x:c r="S141" s="18"/>
      <x:c r="T141" s="9"/>
      <x:c r="U141" s="9"/>
      <x:c r="V141" s="67">
        <x:v>-2.1229969999999998</x:v>
      </x:c>
      <x:c r="W141" s="9">
        <x:v>106.159896</x:v>
      </x:c>
      <x:c r="X141" s="9"/>
      <x:c r="Y141" s="47"/>
      <x:c r="Z141" s="26" t="s">
        <x:v>50</x:v>
      </x:c>
      <x:c r="AA141" s="39" t="s">
        <x:v>51</x:v>
      </x:c>
      <x:c r="AB141" s="71">
        <x:v>46220</x:v>
      </x:c>
      <x:c r="AC141" s="41" t="s">
        <x:v>52</x:v>
      </x:c>
      <x:c r="AD141">
        <x:f t="shared" si="8"/>
        <x:v>0.92380952380952386</x:v>
      </x:c>
      <x:c r="AE141">
        <x:f t="shared" si="9"/>
        <x:v>1</x:v>
      </x:c>
      <x:c r="AF141" s="227"/>
      <x:c r="AG141" s="228"/>
      <x:c r="AH141" s="229"/>
    </x:row>
    <x:row r="142" ht="24" customHeight="1">
      <x:c r="A142" s="27" t="s">
        <x:v>540</x:v>
      </x:c>
      <x:c r="B142" s="9" t="s">
        <x:v>541</x:v>
      </x:c>
      <x:c r="C142" s="5" t="s">
        <x:v>226</x:v>
      </x:c>
      <x:c r="D142" s="9" t="s">
        <x:v>102</x:v>
      </x:c>
      <x:c r="E142" s="9" t="s">
        <x:v>158</x:v>
      </x:c>
      <x:c r="F142" s="5" t="s">
        <x:v>537</x:v>
      </x:c>
      <x:c r="G142" s="5" t="s">
        <x:v>538</x:v>
      </x:c>
      <x:c r="H142" s="15" t="s">
        <x:v>539</x:v>
      </x:c>
      <x:c r="I142" s="15" t="s">
        <x:v>62</x:v>
      </x:c>
      <x:c r="J142" s="5" t="s">
        <x:v>542</x:v>
      </x:c>
      <x:c r="K142" s="15">
        <x:v>82</x:v>
      </x:c>
      <x:c r="L142" s="9">
        <x:v>43</x:v>
      </x:c>
      <x:c r="M142" s="15">
        <x:v>43</x:v>
      </x:c>
      <x:c r="N142" s="15" t="s">
        <x:v>64</x:v>
      </x:c>
      <x:c r="O142" s="5"/>
      <x:c r="P142" s="5">
        <x:v>2024</x:v>
      </x:c>
      <x:c r="Q142" s="21" t="s">
        <x:v>47</x:v>
      </x:c>
      <x:c r="R142" s="21" t="s">
        <x:v>110</x:v>
      </x:c>
      <x:c r="S142" s="17" t="s">
        <x:v>48</x:v>
      </x:c>
      <x:c r="T142" s="9"/>
      <x:c r="U142" s="9"/>
      <x:c r="V142" s="67">
        <x:v>-2.124167988</x:v>
      </x:c>
      <x:c r="W142" s="9">
        <x:v>106.16007578999999</x:v>
      </x:c>
      <x:c r="X142" s="9" t="s">
        <x:v>543</x:v>
      </x:c>
      <x:c r="Y142" s="47">
        <x:v>2026</x:v>
      </x:c>
      <x:c r="Z142" s="26" t="s">
        <x:v>50</x:v>
      </x:c>
      <x:c r="AA142" s="39" t="s">
        <x:v>223</x:v>
      </x:c>
      <x:c r="AB142" s="71">
        <x:v>46250</x:v>
      </x:c>
      <x:c r="AC142" s="41" t="s">
        <x:v>52</x:v>
      </x:c>
      <x:c r="AD142">
        <x:f t="shared" si="8"/>
        <x:v>0.52439024390243905</x:v>
      </x:c>
      <x:c r="AE142">
        <x:f t="shared" si="9"/>
        <x:v>1</x:v>
      </x:c>
      <x:c r="AF142" s="227"/>
      <x:c r="AG142" s="228"/>
      <x:c r="AH142" s="229"/>
    </x:row>
    <x:row r="143" ht="25">
      <x:c r="A143" s="27" t="s">
        <x:v>544</x:v>
      </x:c>
      <x:c r="B143" s="9" t="s">
        <x:v>545</x:v>
      </x:c>
      <x:c r="C143" s="5" t="s">
        <x:v>39</x:v>
      </x:c>
      <x:c r="D143" s="9" t="s">
        <x:v>102</x:v>
      </x:c>
      <x:c r="E143" s="9" t="s">
        <x:v>277</x:v>
      </x:c>
      <x:c r="F143" s="5" t="s">
        <x:v>546</x:v>
      </x:c>
      <x:c r="G143" s="5" t="s">
        <x:v>547</x:v>
      </x:c>
      <x:c r="H143" s="15" t="s">
        <x:v>548</x:v>
      </x:c>
      <x:c r="I143" s="15" t="s">
        <x:v>62</x:v>
      </x:c>
      <x:c r="J143" s="5">
        <x:v>2017</x:v>
      </x:c>
      <x:c r="K143" s="15">
        <x:v>109</x:v>
      </x:c>
      <x:c r="L143" s="9">
        <x:v>15</x:v>
      </x:c>
      <x:c r="M143" s="15">
        <x:v>6</x:v>
      </x:c>
      <x:c r="N143" s="15" t="s">
        <x:v>64</x:v>
      </x:c>
      <x:c r="O143" s="5"/>
      <x:c r="P143" s="5"/>
      <x:c r="Q143" s="21" t="s">
        <x:v>47</x:v>
      </x:c>
      <x:c r="R143" s="21"/>
      <x:c r="S143" s="18"/>
      <x:c r="T143" s="9"/>
      <x:c r="U143" s="9"/>
      <x:c r="V143" s="67">
        <x:v>-2.1278800000000002</x:v>
      </x:c>
      <x:c r="W143" s="9">
        <x:v>106.15365199999999</x:v>
      </x:c>
      <x:c r="X143" s="9"/>
      <x:c r="Y143" s="47"/>
      <x:c r="Z143" s="26" t="s">
        <x:v>50</x:v>
      </x:c>
      <x:c r="AA143" s="39" t="s">
        <x:v>51</x:v>
      </x:c>
      <x:c r="AB143" s="71">
        <x:v>46220</x:v>
      </x:c>
      <x:c r="AC143" s="41" t="s">
        <x:v>52</x:v>
      </x:c>
      <x:c r="AD143" t="n">
        <x:f t="shared" ref="AD143:AD144" si="10">IF(A143="","",IFERROR(L143/K143,0))</x:f>
        <x:v>0.13761467889908258</x:v>
      </x:c>
      <x:c r="AE143" t="n">
        <x:f t="shared" ref="AE143:AE144" si="11">IF(A143="","",IFERROR(M143/L143,0))</x:f>
        <x:v>0.4</x:v>
      </x:c>
      <x:c r="AF143" s="227"/>
      <x:c r="AG143" s="228"/>
      <x:c r="AH143" s="229"/>
    </x:row>
    <x:row r="144" ht="25">
      <x:c r="A144" s="27" t="s">
        <x:v>549</x:v>
      </x:c>
      <x:c r="B144" s="9" t="s">
        <x:v>550</x:v>
      </x:c>
      <x:c r="C144" s="5" t="s">
        <x:v>39</x:v>
      </x:c>
      <x:c r="D144" s="9" t="s">
        <x:v>102</x:v>
      </x:c>
      <x:c r="E144" s="9" t="s">
        <x:v>158</x:v>
      </x:c>
      <x:c r="F144" s="5" t="s">
        <x:v>551</x:v>
      </x:c>
      <x:c r="G144" s="5" t="s">
        <x:v>552</x:v>
      </x:c>
      <x:c r="H144" s="15" t="s">
        <x:v>553</x:v>
      </x:c>
      <x:c r="I144" s="15" t="s">
        <x:v>62</x:v>
      </x:c>
      <x:c r="J144" s="5">
        <x:v>2025</x:v>
      </x:c>
      <x:c r="K144" s="15">
        <x:v>60</x:v>
      </x:c>
      <x:c r="L144" s="9">
        <x:v>28</x:v>
      </x:c>
      <x:c r="M144" s="15">
        <x:v>20</x:v>
      </x:c>
      <x:c r="N144" s="15" t="s">
        <x:v>64</x:v>
      </x:c>
      <x:c r="O144" s="5"/>
      <x:c r="P144" s="5"/>
      <x:c r="Q144" s="21" t="s">
        <x:v>89</x:v>
      </x:c>
      <x:c r="R144" s="21" t="s">
        <x:v>110</x:v>
      </x:c>
      <x:c r="S144" s="18"/>
      <x:c r="T144" s="9"/>
      <x:c r="U144" s="9"/>
      <x:c r="V144" s="67"/>
      <x:c r="W144" s="9"/>
      <x:c r="X144" s="9"/>
      <x:c r="Y144" s="47"/>
      <x:c r="Z144" s="26" t="s">
        <x:v>50</x:v>
      </x:c>
      <x:c r="AA144" s="39" t="s">
        <x:v>51</x:v>
      </x:c>
      <x:c r="AB144" s="71">
        <x:v>46220</x:v>
      </x:c>
      <x:c r="AC144" s="41" t="s">
        <x:v>52</x:v>
      </x:c>
      <x:c r="AD144">
        <x:f t="shared" si="10"/>
        <x:v>0.46666666666666667</x:v>
      </x:c>
      <x:c r="AE144">
        <x:f t="shared" si="11"/>
        <x:v>0.7142857142857143</x:v>
      </x:c>
      <x:c r="AF144" s="227"/>
      <x:c r="AG144" s="228"/>
      <x:c r="AH144" s="229"/>
    </x:row>
    <x:row r="145" ht="25">
      <x:c r="A145" s="27" t="s">
        <x:v>554</x:v>
      </x:c>
      <x:c r="B145" s="9" t="s">
        <x:v>555</x:v>
      </x:c>
      <x:c r="C145" s="5" t="s">
        <x:v>39</x:v>
      </x:c>
      <x:c r="D145" s="9" t="s">
        <x:v>40</x:v>
      </x:c>
      <x:c r="E145" s="9" t="s">
        <x:v>41</x:v>
      </x:c>
      <x:c r="F145" s="5" t="s">
        <x:v>556</x:v>
      </x:c>
      <x:c r="G145" s="5" t="s">
        <x:v>557</x:v>
      </x:c>
      <x:c r="H145" s="15" t="s">
        <x:v>62</x:v>
      </x:c>
      <x:c r="I145" s="15" t="s">
        <x:v>62</x:v>
      </x:c>
      <x:c r="J145" s="5">
        <x:v>2015</x:v>
      </x:c>
      <x:c r="K145" s="15">
        <x:v>91</x:v>
      </x:c>
      <x:c r="L145" s="9">
        <x:v>77</x:v>
      </x:c>
      <x:c r="M145" s="15">
        <x:v>59</x:v>
      </x:c>
      <x:c r="N145" s="15" t="s">
        <x:v>64</x:v>
      </x:c>
      <x:c r="O145" s="5"/>
      <x:c r="P145" s="5"/>
      <x:c r="Q145" s="21" t="s">
        <x:v>47</x:v>
      </x:c>
      <x:c r="R145" s="21" t="s">
        <x:v>110</x:v>
      </x:c>
      <x:c r="S145" s="18"/>
      <x:c r="T145" s="9"/>
      <x:c r="U145" s="9"/>
      <x:c r="V145" s="67">
        <x:v>-2.1073993999999998</x:v>
      </x:c>
      <x:c r="W145" s="9">
        <x:v>106.0614738</x:v>
      </x:c>
      <x:c r="X145" s="9"/>
      <x:c r="Y145" s="47"/>
      <x:c r="Z145" s="26" t="s">
        <x:v>50</x:v>
      </x:c>
      <x:c r="AA145" s="39" t="s">
        <x:v>51</x:v>
      </x:c>
      <x:c r="AB145" s="71">
        <x:v>46220</x:v>
      </x:c>
      <x:c r="AC145" s="41" t="s">
        <x:v>52</x:v>
      </x:c>
      <x:c r="AD145" t="n">
        <x:f t="shared" ref="AD145:AD163" si="12">IF(A145="","",IFERROR(L145/K145,0))</x:f>
        <x:v>0.8461538461538461</x:v>
      </x:c>
      <x:c r="AE145" t="n">
        <x:f t="shared" ref="AE145:AE163" si="13">IF(A145="","",IFERROR(M145/L145,0))</x:f>
        <x:v>0.7662337662337663</x:v>
      </x:c>
      <x:c r="AF145" s="227"/>
      <x:c r="AG145" s="228"/>
      <x:c r="AH145" s="229"/>
    </x:row>
    <x:row r="146" ht="25">
      <x:c r="A146" s="27" t="s">
        <x:v>558</x:v>
      </x:c>
      <x:c r="B146" s="9" t="s">
        <x:v>559</x:v>
      </x:c>
      <x:c r="C146" s="5" t="s">
        <x:v>226</x:v>
      </x:c>
      <x:c r="D146" s="9" t="s">
        <x:v>75</x:v>
      </x:c>
      <x:c r="E146" s="9" t="s">
        <x:v>114</x:v>
      </x:c>
      <x:c r="F146" s="5" t="s">
        <x:v>560</x:v>
      </x:c>
      <x:c r="G146" s="5" t="s">
        <x:v>561</x:v>
      </x:c>
      <x:c r="H146" s="15" t="s">
        <x:v>562</x:v>
      </x:c>
      <x:c r="I146" s="15" t="s">
        <x:v>107</x:v>
      </x:c>
      <x:c r="J146" s="5">
        <x:v>2017</x:v>
      </x:c>
      <x:c r="K146" s="15">
        <x:v>296</x:v>
      </x:c>
      <x:c r="L146" s="9">
        <x:v>173</x:v>
      </x:c>
      <x:c r="M146" s="15">
        <x:v>173</x:v>
      </x:c>
      <x:c r="N146" s="15" t="s">
        <x:v>64</x:v>
      </x:c>
      <x:c r="O146" s="5"/>
      <x:c r="P146" s="5"/>
      <x:c r="Q146" s="21" t="s">
        <x:v>89</x:v>
      </x:c>
      <x:c r="R146" s="21"/>
      <x:c r="S146" s="17" t="s">
        <x:v>48</x:v>
      </x:c>
      <x:c r="T146" s="9"/>
      <x:c r="U146" s="9"/>
      <x:c r="V146" s="67">
        <x:v>-2.0824609999999999</x:v>
      </x:c>
      <x:c r="W146" s="9">
        <x:v>106.11130199999999</x:v>
      </x:c>
      <x:c r="X146" s="9"/>
      <x:c r="Y146" s="47"/>
      <x:c r="Z146" s="26" t="s">
        <x:v>50</x:v>
      </x:c>
      <x:c r="AA146" s="39" t="s">
        <x:v>51</x:v>
      </x:c>
      <x:c r="AB146" s="71">
        <x:v>46220</x:v>
      </x:c>
      <x:c r="AC146" s="41" t="s">
        <x:v>52</x:v>
      </x:c>
      <x:c r="AD146">
        <x:f t="shared" si="12"/>
        <x:v>0.58445945945945943</x:v>
      </x:c>
      <x:c r="AE146">
        <x:f t="shared" si="13"/>
        <x:v>1</x:v>
      </x:c>
      <x:c r="AF146" s="227"/>
      <x:c r="AG146" s="228"/>
      <x:c r="AH146" s="229"/>
    </x:row>
    <x:row r="147" ht="25">
      <x:c r="A147" s="27" t="s">
        <x:v>563</x:v>
      </x:c>
      <x:c r="B147" s="9" t="s">
        <x:v>564</x:v>
      </x:c>
      <x:c r="C147" s="5" t="s">
        <x:v>39</x:v>
      </x:c>
      <x:c r="D147" s="9" t="s">
        <x:v>40</x:v>
      </x:c>
      <x:c r="E147" s="9" t="s">
        <x:v>41</x:v>
      </x:c>
      <x:c r="F147" s="5" t="s">
        <x:v>565</x:v>
      </x:c>
      <x:c r="G147" s="5" t="s">
        <x:v>62</x:v>
      </x:c>
      <x:c r="H147" s="15" t="s">
        <x:v>62</x:v>
      </x:c>
      <x:c r="I147" s="15" t="s">
        <x:v>62</x:v>
      </x:c>
      <x:c r="J147" s="5">
        <x:v>2017</x:v>
      </x:c>
      <x:c r="K147" s="15">
        <x:v>119</x:v>
      </x:c>
      <x:c r="L147" s="9">
        <x:v>119</x:v>
      </x:c>
      <x:c r="M147" s="15">
        <x:v>0</x:v>
      </x:c>
      <x:c r="N147" s="15" t="s">
        <x:v>64</x:v>
      </x:c>
      <x:c r="O147" s="5"/>
      <x:c r="P147" s="5"/>
      <x:c r="Q147" s="21" t="s">
        <x:v>47</x:v>
      </x:c>
      <x:c r="R147" s="21" t="s">
        <x:v>110</x:v>
      </x:c>
      <x:c r="S147" s="18"/>
      <x:c r="T147" s="9"/>
      <x:c r="U147" s="9"/>
      <x:c r="V147" s="67"/>
      <x:c r="W147" s="9"/>
      <x:c r="X147" s="9"/>
      <x:c r="Y147" s="47"/>
      <x:c r="Z147" s="26" t="s">
        <x:v>50</x:v>
      </x:c>
      <x:c r="AA147" s="39" t="s">
        <x:v>51</x:v>
      </x:c>
      <x:c r="AB147" s="71">
        <x:v>46220</x:v>
      </x:c>
      <x:c r="AC147" s="41" t="s">
        <x:v>52</x:v>
      </x:c>
      <x:c r="AD147">
        <x:f t="shared" si="12"/>
        <x:v>1</x:v>
      </x:c>
      <x:c r="AE147">
        <x:f t="shared" si="13"/>
        <x:v>0</x:v>
      </x:c>
      <x:c r="AF147" s="227"/>
      <x:c r="AG147" s="228"/>
      <x:c r="AH147" s="229"/>
    </x:row>
    <x:row r="148" ht="25">
      <x:c r="A148" s="27" t="s">
        <x:v>566</x:v>
      </x:c>
      <x:c r="B148" s="9" t="s">
        <x:v>567</x:v>
      </x:c>
      <x:c r="C148" s="5" t="s">
        <x:v>39</x:v>
      </x:c>
      <x:c r="D148" s="9" t="s">
        <x:v>40</x:v>
      </x:c>
      <x:c r="E148" s="9" t="s">
        <x:v>41</x:v>
      </x:c>
      <x:c r="F148" s="5" t="s">
        <x:v>92</x:v>
      </x:c>
      <x:c r="G148" s="5" t="s">
        <x:v>62</x:v>
      </x:c>
      <x:c r="H148" s="15" t="s">
        <x:v>62</x:v>
      </x:c>
      <x:c r="I148" s="15" t="s">
        <x:v>62</x:v>
      </x:c>
      <x:c r="J148" s="5">
        <x:v>2017</x:v>
      </x:c>
      <x:c r="K148" s="15">
        <x:v>120</x:v>
      </x:c>
      <x:c r="L148" s="9">
        <x:v>119</x:v>
      </x:c>
      <x:c r="M148" s="15">
        <x:v>101</x:v>
      </x:c>
      <x:c r="N148" s="15" t="s">
        <x:v>64</x:v>
      </x:c>
      <x:c r="O148" s="5"/>
      <x:c r="P148" s="5"/>
      <x:c r="Q148" s="21" t="s">
        <x:v>47</x:v>
      </x:c>
      <x:c r="R148" s="21"/>
      <x:c r="S148" s="18"/>
      <x:c r="T148" s="9"/>
      <x:c r="U148" s="9"/>
      <x:c r="V148" s="67">
        <x:v>-2.0997479999999999</x:v>
      </x:c>
      <x:c r="W148" s="9">
        <x:v>106.078397</x:v>
      </x:c>
      <x:c r="X148" s="9"/>
      <x:c r="Y148" s="47"/>
      <x:c r="Z148" s="26" t="s">
        <x:v>50</x:v>
      </x:c>
      <x:c r="AA148" s="39" t="s">
        <x:v>51</x:v>
      </x:c>
      <x:c r="AB148" s="71">
        <x:v>46220</x:v>
      </x:c>
      <x:c r="AC148" s="41" t="s">
        <x:v>52</x:v>
      </x:c>
      <x:c r="AD148">
        <x:f t="shared" si="12"/>
        <x:v>0.9916666666666667</x:v>
      </x:c>
      <x:c r="AE148">
        <x:f t="shared" si="13"/>
        <x:v>0.84873949579831931</x:v>
      </x:c>
      <x:c r="AF148" s="227"/>
      <x:c r="AG148" s="228"/>
      <x:c r="AH148" s="229"/>
    </x:row>
    <x:row r="149" ht="25">
      <x:c r="A149" s="27" t="s">
        <x:v>568</x:v>
      </x:c>
      <x:c r="B149" s="9" t="s">
        <x:v>569</x:v>
      </x:c>
      <x:c r="C149" s="5" t="s">
        <x:v>226</x:v>
      </x:c>
      <x:c r="D149" s="9" t="s">
        <x:v>75</x:v>
      </x:c>
      <x:c r="E149" s="9" t="s">
        <x:v>114</x:v>
      </x:c>
      <x:c r="F149" s="5" t="s">
        <x:v>560</x:v>
      </x:c>
      <x:c r="G149" s="5" t="s">
        <x:v>561</x:v>
      </x:c>
      <x:c r="H149" s="15" t="s">
        <x:v>562</x:v>
      </x:c>
      <x:c r="I149" s="15" t="s">
        <x:v>107</x:v>
      </x:c>
      <x:c r="J149" s="5"/>
      <x:c r="K149" s="15">
        <x:v>705</x:v>
      </x:c>
      <x:c r="L149" s="9">
        <x:v>615</x:v>
      </x:c>
      <x:c r="M149" s="15">
        <x:v>615</x:v>
      </x:c>
      <x:c r="N149" s="15" t="s">
        <x:v>64</x:v>
      </x:c>
      <x:c r="O149" s="5"/>
      <x:c r="P149" s="5"/>
      <x:c r="Q149" s="21" t="s">
        <x:v>89</x:v>
      </x:c>
      <x:c r="R149" s="21"/>
      <x:c r="S149" s="18"/>
      <x:c r="T149" s="9"/>
      <x:c r="U149" s="9"/>
      <x:c r="V149" s="67">
        <x:v>-2.084654</x:v>
      </x:c>
      <x:c r="W149" s="9">
        <x:v>106.113918</x:v>
      </x:c>
      <x:c r="X149" s="9"/>
      <x:c r="Y149" s="47"/>
      <x:c r="Z149" s="26" t="s">
        <x:v>50</x:v>
      </x:c>
      <x:c r="AA149" s="39" t="s">
        <x:v>51</x:v>
      </x:c>
      <x:c r="AB149" s="71">
        <x:v>46220</x:v>
      </x:c>
      <x:c r="AC149" s="41" t="s">
        <x:v>52</x:v>
      </x:c>
      <x:c r="AD149">
        <x:f t="shared" si="12"/>
        <x:v>0.87234042553191493</x:v>
      </x:c>
      <x:c r="AE149">
        <x:f t="shared" si="13"/>
        <x:v>1</x:v>
      </x:c>
      <x:c r="AF149" s="227"/>
      <x:c r="AG149" s="228"/>
      <x:c r="AH149" s="229"/>
    </x:row>
    <x:row r="150" ht="25">
      <x:c r="A150" s="27" t="s">
        <x:v>570</x:v>
      </x:c>
      <x:c r="B150" s="9" t="s">
        <x:v>571</x:v>
      </x:c>
      <x:c r="C150" s="5" t="s">
        <x:v>226</x:v>
      </x:c>
      <x:c r="D150" s="9" t="s">
        <x:v>75</x:v>
      </x:c>
      <x:c r="E150" s="9" t="s">
        <x:v>523</x:v>
      </x:c>
      <x:c r="F150" s="5" t="s">
        <x:v>572</x:v>
      </x:c>
      <x:c r="G150" s="5" t="s">
        <x:v>573</x:v>
      </x:c>
      <x:c r="H150" s="15" t="s">
        <x:v>574</x:v>
      </x:c>
      <x:c r="I150" s="15"/>
      <x:c r="J150" s="5"/>
      <x:c r="K150" s="15">
        <x:v>47</x:v>
      </x:c>
      <x:c r="L150" s="9">
        <x:v>47</x:v>
      </x:c>
      <x:c r="M150" s="15">
        <x:v>47</x:v>
      </x:c>
      <x:c r="N150" s="15" t="s">
        <x:v>64</x:v>
      </x:c>
      <x:c r="O150" s="5"/>
      <x:c r="P150" s="5"/>
      <x:c r="Q150" s="21" t="s">
        <x:v>47</x:v>
      </x:c>
      <x:c r="R150" s="21"/>
      <x:c r="S150" s="18"/>
      <x:c r="T150" s="9"/>
      <x:c r="U150" s="9"/>
      <x:c r="V150" s="67">
        <x:v>-2.1046779999999998</x:v>
      </x:c>
      <x:c r="W150" s="9">
        <x:v>106.115516</x:v>
      </x:c>
      <x:c r="X150" s="9"/>
      <x:c r="Y150" s="47"/>
      <x:c r="Z150" s="26" t="s">
        <x:v>50</x:v>
      </x:c>
      <x:c r="AA150" s="39" t="s">
        <x:v>51</x:v>
      </x:c>
      <x:c r="AB150" s="71">
        <x:v>46220</x:v>
      </x:c>
      <x:c r="AC150" s="41" t="s">
        <x:v>52</x:v>
      </x:c>
      <x:c r="AF150" s="227"/>
      <x:c r="AG150" s="228"/>
      <x:c r="AH150" s="229"/>
    </x:row>
    <x:row r="151" ht="25">
      <x:c r="A151" s="27" t="s">
        <x:v>575</x:v>
      </x:c>
      <x:c r="B151" s="9" t="s">
        <x:v>576</x:v>
      </x:c>
      <x:c r="C151" s="5" t="s">
        <x:v>226</x:v>
      </x:c>
      <x:c r="D151" s="9" t="s">
        <x:v>102</x:v>
      </x:c>
      <x:c r="E151" s="9" t="s">
        <x:v>577</x:v>
      </x:c>
      <x:c r="F151" s="5" t="s">
        <x:v>578</x:v>
      </x:c>
      <x:c r="G151" s="5" t="s">
        <x:v>579</x:v>
      </x:c>
      <x:c r="H151" s="15" t="s">
        <x:v>580</x:v>
      </x:c>
      <x:c r="I151" s="15" t="s">
        <x:v>62</x:v>
      </x:c>
      <x:c r="J151" s="5">
        <x:v>2024</x:v>
      </x:c>
      <x:c r="K151" s="15">
        <x:v>237</x:v>
      </x:c>
      <x:c r="L151" s="9">
        <x:v>0</x:v>
      </x:c>
      <x:c r="M151" s="15">
        <x:v>0</x:v>
      </x:c>
      <x:c r="N151" s="15" t="s">
        <x:v>64</x:v>
      </x:c>
      <x:c r="O151" s="5"/>
      <x:c r="P151" s="5"/>
      <x:c r="Q151" s="21" t="s">
        <x:v>47</x:v>
      </x:c>
      <x:c r="R151" s="21"/>
      <x:c r="S151" s="18"/>
      <x:c r="T151" s="9"/>
      <x:c r="U151" s="9"/>
      <x:c r="V151" s="67">
        <x:v>-2.1326553000000001</x:v>
      </x:c>
      <x:c r="W151" s="9">
        <x:v>106.1247745</x:v>
      </x:c>
      <x:c r="X151" s="9"/>
      <x:c r="Y151" s="47"/>
      <x:c r="Z151" s="26" t="s">
        <x:v>50</x:v>
      </x:c>
      <x:c r="AA151" s="39" t="s">
        <x:v>51</x:v>
      </x:c>
      <x:c r="AB151" s="71">
        <x:v>46220</x:v>
      </x:c>
      <x:c r="AC151" s="41" t="s">
        <x:v>52</x:v>
      </x:c>
      <x:c r="AD151">
        <x:f t="shared" si="12"/>
        <x:v>0</x:v>
      </x:c>
      <x:c r="AE151">
        <x:f t="shared" si="13"/>
        <x:v>0</x:v>
      </x:c>
      <x:c r="AF151" s="227"/>
      <x:c r="AG151" s="228"/>
      <x:c r="AH151" s="229"/>
    </x:row>
    <x:row r="152" ht="31.5" customHeight="1">
      <x:c r="A152" s="27" t="s">
        <x:v>581</x:v>
      </x:c>
      <x:c r="B152" s="9" t="s">
        <x:v>582</x:v>
      </x:c>
      <x:c r="C152" s="5" t="s">
        <x:v>39</x:v>
      </x:c>
      <x:c r="D152" s="9" t="s">
        <x:v>40</x:v>
      </x:c>
      <x:c r="E152" s="9" t="s">
        <x:v>55</x:v>
      </x:c>
      <x:c r="F152" s="5" t="s">
        <x:v>583</x:v>
      </x:c>
      <x:c r="G152" s="5" t="s">
        <x:v>584</x:v>
      </x:c>
      <x:c r="H152" s="15" t="s">
        <x:v>585</x:v>
      </x:c>
      <x:c r="I152" s="15" t="s">
        <x:v>268</x:v>
      </x:c>
      <x:c r="J152" s="5">
        <x:v>2025</x:v>
      </x:c>
      <x:c r="K152" s="15">
        <x:v>64</x:v>
      </x:c>
      <x:c r="L152" s="9">
        <x:v>0</x:v>
      </x:c>
      <x:c r="M152" s="15">
        <x:v>0</x:v>
      </x:c>
      <x:c r="N152" s="15" t="s">
        <x:v>64</x:v>
      </x:c>
      <x:c r="O152" s="5"/>
      <x:c r="P152" s="5">
        <x:v>1099.51</x:v>
      </x:c>
      <x:c r="Q152" s="21" t="s">
        <x:v>47</x:v>
      </x:c>
      <x:c r="R152" s="21" t="s">
        <x:v>110</x:v>
      </x:c>
      <x:c r="S152" s="17" t="s">
        <x:v>48</x:v>
      </x:c>
      <x:c r="T152" s="9"/>
      <x:c r="U152" s="9"/>
      <x:c r="V152" s="67">
        <x:v>-2.1274707620000002</x:v>
      </x:c>
      <x:c r="W152" s="9">
        <x:v>106.083190637</x:v>
      </x:c>
      <x:c r="X152" s="9" t="s">
        <x:v>586</x:v>
      </x:c>
      <x:c r="Y152" s="47">
        <x:v>2026</x:v>
      </x:c>
      <x:c r="Z152" s="26" t="s">
        <x:v>50</x:v>
      </x:c>
      <x:c r="AA152" s="39" t="s">
        <x:v>223</x:v>
      </x:c>
      <x:c r="AB152" s="71">
        <x:v>46250</x:v>
      </x:c>
      <x:c r="AC152" s="41" t="s">
        <x:v>52</x:v>
      </x:c>
      <x:c r="AD152">
        <x:f t="shared" si="12"/>
        <x:v>0</x:v>
      </x:c>
      <x:c r="AE152">
        <x:f t="shared" si="13"/>
        <x:v>0</x:v>
      </x:c>
      <x:c r="AF152" s="227">
        <x:v>10042</x:v>
      </x:c>
      <x:c r="AG152" s="228">
        <x:v>6221</x:v>
      </x:c>
      <x:c r="AH152" s="229">
        <x:v>3821</x:v>
      </x:c>
    </x:row>
    <x:row r="153" ht="25">
      <x:c r="A153" s="27" t="s">
        <x:v>587</x:v>
      </x:c>
      <x:c r="B153" s="9" t="s">
        <x:v>588</x:v>
      </x:c>
      <x:c r="C153" s="5" t="s">
        <x:v>39</x:v>
      </x:c>
      <x:c r="D153" s="9" t="s">
        <x:v>40</x:v>
      </x:c>
      <x:c r="E153" s="9" t="s">
        <x:v>55</x:v>
      </x:c>
      <x:c r="F153" s="5" t="s">
        <x:v>589</x:v>
      </x:c>
      <x:c r="G153" s="5" t="s">
        <x:v>590</x:v>
      </x:c>
      <x:c r="H153" s="15" t="s">
        <x:v>591</x:v>
      </x:c>
      <x:c r="I153" s="15" t="s">
        <x:v>218</x:v>
      </x:c>
      <x:c r="J153" s="5">
        <x:v>2017</x:v>
      </x:c>
      <x:c r="K153" s="15">
        <x:v>74</x:v>
      </x:c>
      <x:c r="L153" s="9">
        <x:v>74</x:v>
      </x:c>
      <x:c r="M153" s="15">
        <x:v>74</x:v>
      </x:c>
      <x:c r="N153" s="15" t="s">
        <x:v>64</x:v>
      </x:c>
      <x:c r="O153" s="5"/>
      <x:c r="P153" s="5"/>
      <x:c r="Q153" s="21" t="s">
        <x:v>47</x:v>
      </x:c>
      <x:c r="R153" s="21"/>
      <x:c r="S153" s="18"/>
      <x:c r="T153" s="9"/>
      <x:c r="U153" s="9"/>
      <x:c r="V153" s="67">
        <x:v>-2.1151049999999998</x:v>
      </x:c>
      <x:c r="W153" s="9">
        <x:v>106.081965</x:v>
      </x:c>
      <x:c r="X153" s="9"/>
      <x:c r="Y153" s="47"/>
      <x:c r="Z153" s="26" t="s">
        <x:v>50</x:v>
      </x:c>
      <x:c r="AA153" s="39" t="s">
        <x:v>51</x:v>
      </x:c>
      <x:c r="AB153" s="71">
        <x:v>46220</x:v>
      </x:c>
      <x:c r="AC153" s="41" t="s">
        <x:v>52</x:v>
      </x:c>
      <x:c r="AD153">
        <x:f t="shared" si="12"/>
        <x:v>1</x:v>
      </x:c>
      <x:c r="AE153">
        <x:f t="shared" si="13"/>
        <x:v>1</x:v>
      </x:c>
      <x:c r="AF153" s="227"/>
      <x:c r="AG153" s="228"/>
      <x:c r="AH153" s="229"/>
    </x:row>
    <x:row r="154" ht="25">
      <x:c r="A154" s="27" t="s">
        <x:v>592</x:v>
      </x:c>
      <x:c r="B154" s="9" t="s">
        <x:v>593</x:v>
      </x:c>
      <x:c r="C154" s="5" t="s">
        <x:v>39</x:v>
      </x:c>
      <x:c r="D154" s="9" t="s">
        <x:v>40</x:v>
      </x:c>
      <x:c r="E154" s="9" t="s">
        <x:v>55</x:v>
      </x:c>
      <x:c r="F154" s="5" t="s">
        <x:v>132</x:v>
      </x:c>
      <x:c r="G154" s="5" t="s">
        <x:v>590</x:v>
      </x:c>
      <x:c r="H154" s="15" t="s">
        <x:v>591</x:v>
      </x:c>
      <x:c r="I154" s="15" t="s">
        <x:v>218</x:v>
      </x:c>
      <x:c r="J154" s="5">
        <x:v>2017</x:v>
      </x:c>
      <x:c r="K154" s="15">
        <x:v>32</x:v>
      </x:c>
      <x:c r="L154" s="9">
        <x:v>32</x:v>
      </x:c>
      <x:c r="M154" s="15">
        <x:v>32</x:v>
      </x:c>
      <x:c r="N154" s="15" t="s">
        <x:v>64</x:v>
      </x:c>
      <x:c r="O154" s="5"/>
      <x:c r="P154" s="5"/>
      <x:c r="Q154" s="21" t="s">
        <x:v>89</x:v>
      </x:c>
      <x:c r="R154" s="21" t="s">
        <x:v>110</x:v>
      </x:c>
      <x:c r="S154" s="18"/>
      <x:c r="T154" s="9"/>
      <x:c r="U154" s="9"/>
      <x:c r="V154" s="67">
        <x:v>-2.1158537000000002</x:v>
      </x:c>
      <x:c r="W154" s="9">
        <x:v>106.0816123</x:v>
      </x:c>
      <x:c r="X154" s="9"/>
      <x:c r="Y154" s="47"/>
      <x:c r="Z154" s="26" t="s">
        <x:v>50</x:v>
      </x:c>
      <x:c r="AA154" s="39" t="s">
        <x:v>51</x:v>
      </x:c>
      <x:c r="AB154" s="71">
        <x:v>46220</x:v>
      </x:c>
      <x:c r="AC154" s="41" t="s">
        <x:v>52</x:v>
      </x:c>
      <x:c r="AD154">
        <x:f t="shared" si="12"/>
        <x:v>1</x:v>
      </x:c>
      <x:c r="AE154">
        <x:f t="shared" si="13"/>
        <x:v>1</x:v>
      </x:c>
      <x:c r="AF154" s="227"/>
      <x:c r="AG154" s="228"/>
      <x:c r="AH154" s="229"/>
    </x:row>
    <x:row r="155" ht="25">
      <x:c r="A155" s="27" t="s">
        <x:v>594</x:v>
      </x:c>
      <x:c r="B155" s="9" t="s">
        <x:v>595</x:v>
      </x:c>
      <x:c r="C155" s="5" t="s">
        <x:v>39</x:v>
      </x:c>
      <x:c r="D155" s="9" t="s">
        <x:v>40</x:v>
      </x:c>
      <x:c r="E155" s="9" t="s">
        <x:v>55</x:v>
      </x:c>
      <x:c r="F155" s="5" t="s">
        <x:v>132</x:v>
      </x:c>
      <x:c r="G155" s="5" t="s">
        <x:v>590</x:v>
      </x:c>
      <x:c r="H155" s="15" t="s">
        <x:v>591</x:v>
      </x:c>
      <x:c r="I155" s="15" t="s">
        <x:v>218</x:v>
      </x:c>
      <x:c r="J155" s="5">
        <x:v>2018</x:v>
      </x:c>
      <x:c r="K155" s="15">
        <x:v>80</x:v>
      </x:c>
      <x:c r="L155" s="9">
        <x:v>58</x:v>
      </x:c>
      <x:c r="M155" s="15">
        <x:v>35</x:v>
      </x:c>
      <x:c r="N155" s="15" t="s">
        <x:v>64</x:v>
      </x:c>
      <x:c r="O155" s="5"/>
      <x:c r="P155" s="5"/>
      <x:c r="Q155" s="21" t="s">
        <x:v>47</x:v>
      </x:c>
      <x:c r="R155" s="21" t="s">
        <x:v>110</x:v>
      </x:c>
      <x:c r="S155" s="18"/>
      <x:c r="T155" s="9"/>
      <x:c r="U155" s="9"/>
      <x:c r="V155" s="67">
        <x:v>-2.1149426999999998</x:v>
      </x:c>
      <x:c r="W155" s="9">
        <x:v>106.08137979999999</x:v>
      </x:c>
      <x:c r="X155" s="9"/>
      <x:c r="Y155" s="47"/>
      <x:c r="Z155" s="26" t="s">
        <x:v>50</x:v>
      </x:c>
      <x:c r="AA155" s="39" t="s">
        <x:v>51</x:v>
      </x:c>
      <x:c r="AB155" s="71">
        <x:v>46220</x:v>
      </x:c>
      <x:c r="AC155" s="41" t="s">
        <x:v>52</x:v>
      </x:c>
      <x:c r="AD155">
        <x:f t="shared" si="12"/>
        <x:v>0.72499999999999998</x:v>
      </x:c>
      <x:c r="AE155">
        <x:f t="shared" si="13"/>
        <x:v>0.60344827586206895</x:v>
      </x:c>
      <x:c r="AF155" s="227"/>
      <x:c r="AG155" s="228"/>
      <x:c r="AH155" s="229"/>
    </x:row>
    <x:row r="156" ht="25">
      <x:c r="A156" s="27" t="s">
        <x:v>596</x:v>
      </x:c>
      <x:c r="B156" s="9" t="s">
        <x:v>597</x:v>
      </x:c>
      <x:c r="C156" s="5" t="s">
        <x:v>39</x:v>
      </x:c>
      <x:c r="D156" s="9" t="s">
        <x:v>102</x:v>
      </x:c>
      <x:c r="E156" s="9" t="s">
        <x:v>277</x:v>
      </x:c>
      <x:c r="F156" s="5" t="s">
        <x:v>598</x:v>
      </x:c>
      <x:c r="G156" s="5" t="s">
        <x:v>599</x:v>
      </x:c>
      <x:c r="H156" s="15" t="s">
        <x:v>600</x:v>
      </x:c>
      <x:c r="I156" s="15" t="s">
        <x:v>142</x:v>
      </x:c>
      <x:c r="J156" s="5">
        <x:v>2017</x:v>
      </x:c>
      <x:c r="K156" s="15">
        <x:v>47</x:v>
      </x:c>
      <x:c r="L156" s="9">
        <x:v>47</x:v>
      </x:c>
      <x:c r="M156" s="15">
        <x:v>47</x:v>
      </x:c>
      <x:c r="N156" s="15" t="s">
        <x:v>64</x:v>
      </x:c>
      <x:c r="O156" s="5"/>
      <x:c r="P156" s="5"/>
      <x:c r="Q156" s="21" t="s">
        <x:v>47</x:v>
      </x:c>
      <x:c r="R156" s="21"/>
      <x:c r="S156" s="18"/>
      <x:c r="T156" s="9"/>
      <x:c r="U156" s="9"/>
      <x:c r="V156" s="67">
        <x:v>-2.1373600000000001</x:v>
      </x:c>
      <x:c r="W156" s="9">
        <x:v>106.157115</x:v>
      </x:c>
      <x:c r="X156" s="9"/>
      <x:c r="Y156" s="47"/>
      <x:c r="Z156" s="26" t="s">
        <x:v>50</x:v>
      </x:c>
      <x:c r="AA156" s="39" t="s">
        <x:v>51</x:v>
      </x:c>
      <x:c r="AB156" s="71">
        <x:v>46220</x:v>
      </x:c>
      <x:c r="AC156" s="41" t="s">
        <x:v>52</x:v>
      </x:c>
      <x:c r="AD156">
        <x:f t="shared" si="12"/>
        <x:v>1</x:v>
      </x:c>
      <x:c r="AE156">
        <x:f t="shared" si="13"/>
        <x:v>1</x:v>
      </x:c>
      <x:c r="AF156" s="227"/>
      <x:c r="AG156" s="228"/>
      <x:c r="AH156" s="229"/>
    </x:row>
    <x:row r="157" ht="25">
      <x:c r="A157" s="27" t="s">
        <x:v>601</x:v>
      </x:c>
      <x:c r="B157" s="9" t="s">
        <x:v>602</x:v>
      </x:c>
      <x:c r="C157" s="5" t="s">
        <x:v>39</x:v>
      </x:c>
      <x:c r="D157" s="9" t="s">
        <x:v>102</x:v>
      </x:c>
      <x:c r="E157" s="9" t="s">
        <x:v>277</x:v>
      </x:c>
      <x:c r="F157" s="5" t="s">
        <x:v>167</x:v>
      </x:c>
      <x:c r="G157" s="5" t="s">
        <x:v>599</x:v>
      </x:c>
      <x:c r="H157" s="15" t="s">
        <x:v>600</x:v>
      </x:c>
      <x:c r="I157" s="15" t="s">
        <x:v>142</x:v>
      </x:c>
      <x:c r="J157" s="5">
        <x:v>2017</x:v>
      </x:c>
      <x:c r="K157" s="15">
        <x:v>62</x:v>
      </x:c>
      <x:c r="L157" s="9">
        <x:v>60</x:v>
      </x:c>
      <x:c r="M157" s="15">
        <x:v>55</x:v>
      </x:c>
      <x:c r="N157" s="15" t="s">
        <x:v>64</x:v>
      </x:c>
      <x:c r="O157" s="5"/>
      <x:c r="P157" s="5"/>
      <x:c r="Q157" s="21" t="s">
        <x:v>47</x:v>
      </x:c>
      <x:c r="R157" s="21"/>
      <x:c r="S157" s="18"/>
      <x:c r="T157" s="9"/>
      <x:c r="U157" s="9"/>
      <x:c r="V157" s="67">
        <x:v>-2.1294439999999999</x:v>
      </x:c>
      <x:c r="W157" s="9">
        <x:v>106.1604487</x:v>
      </x:c>
      <x:c r="X157" s="9"/>
      <x:c r="Y157" s="47"/>
      <x:c r="Z157" s="26" t="s">
        <x:v>50</x:v>
      </x:c>
      <x:c r="AA157" s="39" t="s">
        <x:v>51</x:v>
      </x:c>
      <x:c r="AB157" s="71">
        <x:v>46220</x:v>
      </x:c>
      <x:c r="AC157" s="41" t="s">
        <x:v>52</x:v>
      </x:c>
      <x:c r="AD157">
        <x:f t="shared" si="12"/>
        <x:v>0.967741935483871</x:v>
      </x:c>
      <x:c r="AE157">
        <x:f t="shared" si="13"/>
        <x:v>0.91666666666666663</x:v>
      </x:c>
      <x:c r="AF157" s="227"/>
      <x:c r="AG157" s="228"/>
      <x:c r="AH157" s="229"/>
    </x:row>
    <x:row r="158" ht="25">
      <x:c r="A158" s="27" t="s">
        <x:v>603</x:v>
      </x:c>
      <x:c r="B158" s="9" t="s">
        <x:v>604</x:v>
      </x:c>
      <x:c r="C158" s="5" t="s">
        <x:v>39</x:v>
      </x:c>
      <x:c r="D158" s="9" t="s">
        <x:v>102</x:v>
      </x:c>
      <x:c r="E158" s="9" t="s">
        <x:v>158</x:v>
      </x:c>
      <x:c r="F158" s="5" t="s">
        <x:v>605</x:v>
      </x:c>
      <x:c r="G158" s="5" t="s">
        <x:v>599</x:v>
      </x:c>
      <x:c r="H158" s="15" t="s">
        <x:v>600</x:v>
      </x:c>
      <x:c r="I158" s="15" t="s">
        <x:v>142</x:v>
      </x:c>
      <x:c r="J158" s="5">
        <x:v>2018</x:v>
      </x:c>
      <x:c r="K158" s="15">
        <x:v>62</x:v>
      </x:c>
      <x:c r="L158" s="9">
        <x:v>60</x:v>
      </x:c>
      <x:c r="M158" s="15">
        <x:v>0</x:v>
      </x:c>
      <x:c r="N158" s="15" t="s">
        <x:v>64</x:v>
      </x:c>
      <x:c r="O158" s="5"/>
      <x:c r="P158" s="5"/>
      <x:c r="Q158" s="21" t="s">
        <x:v>47</x:v>
      </x:c>
      <x:c r="R158" s="21"/>
      <x:c r="S158" s="18"/>
      <x:c r="T158" s="9"/>
      <x:c r="U158" s="9"/>
      <x:c r="V158" s="67">
        <x:v>-2.1298411000000002</x:v>
      </x:c>
      <x:c r="W158" s="9">
        <x:v>106.15998329999999</x:v>
      </x:c>
      <x:c r="X158" s="9"/>
      <x:c r="Y158" s="47"/>
      <x:c r="Z158" s="26" t="s">
        <x:v>50</x:v>
      </x:c>
      <x:c r="AA158" s="39" t="s">
        <x:v>51</x:v>
      </x:c>
      <x:c r="AB158" s="71">
        <x:v>46220</x:v>
      </x:c>
      <x:c r="AC158" s="41" t="s">
        <x:v>52</x:v>
      </x:c>
      <x:c r="AD158">
        <x:f t="shared" si="12"/>
        <x:v>0.967741935483871</x:v>
      </x:c>
      <x:c r="AE158">
        <x:f t="shared" si="13"/>
        <x:v>0</x:v>
      </x:c>
      <x:c r="AF158" s="227"/>
      <x:c r="AG158" s="228"/>
      <x:c r="AH158" s="229"/>
    </x:row>
    <x:row r="159" ht="25">
      <x:c r="A159" s="27" t="s">
        <x:v>606</x:v>
      </x:c>
      <x:c r="B159" s="9" t="s">
        <x:v>607</x:v>
      </x:c>
      <x:c r="C159" s="5" t="s">
        <x:v>39</x:v>
      </x:c>
      <x:c r="D159" s="9" t="s">
        <x:v>102</x:v>
      </x:c>
      <x:c r="E159" s="9" t="s">
        <x:v>158</x:v>
      </x:c>
      <x:c r="F159" s="5" t="s">
        <x:v>605</x:v>
      </x:c>
      <x:c r="G159" s="5" t="s">
        <x:v>599</x:v>
      </x:c>
      <x:c r="H159" s="15" t="s">
        <x:v>600</x:v>
      </x:c>
      <x:c r="I159" s="15" t="s">
        <x:v>142</x:v>
      </x:c>
      <x:c r="J159" s="5">
        <x:v>2019</x:v>
      </x:c>
      <x:c r="K159" s="15">
        <x:v>53</x:v>
      </x:c>
      <x:c r="L159" s="9">
        <x:v>45</x:v>
      </x:c>
      <x:c r="M159" s="15">
        <x:v>39</x:v>
      </x:c>
      <x:c r="N159" s="15" t="s">
        <x:v>64</x:v>
      </x:c>
      <x:c r="O159" s="5"/>
      <x:c r="P159" s="5"/>
      <x:c r="Q159" s="21" t="s">
        <x:v>47</x:v>
      </x:c>
      <x:c r="R159" s="21" t="s">
        <x:v>110</x:v>
      </x:c>
      <x:c r="S159" s="18"/>
      <x:c r="T159" s="9"/>
      <x:c r="U159" s="9"/>
      <x:c r="V159" s="67">
        <x:v>-2.130566</x:v>
      </x:c>
      <x:c r="W159" s="9">
        <x:v>106.16054800000001</x:v>
      </x:c>
      <x:c r="X159" s="9"/>
      <x:c r="Y159" s="47"/>
      <x:c r="Z159" s="26" t="s">
        <x:v>50</x:v>
      </x:c>
      <x:c r="AA159" s="39" t="s">
        <x:v>51</x:v>
      </x:c>
      <x:c r="AB159" s="71">
        <x:v>46220</x:v>
      </x:c>
      <x:c r="AC159" s="41" t="s">
        <x:v>52</x:v>
      </x:c>
      <x:c r="AD159">
        <x:f t="shared" si="12"/>
        <x:v>0.84905660377358494</x:v>
      </x:c>
      <x:c r="AE159">
        <x:f t="shared" si="13"/>
        <x:v>0.8666666666666667</x:v>
      </x:c>
      <x:c r="AF159" s="227"/>
      <x:c r="AG159" s="228"/>
      <x:c r="AH159" s="229"/>
    </x:row>
    <x:row r="160" ht="23" customHeight="1">
      <x:c r="A160" s="27" t="s">
        <x:v>608</x:v>
      </x:c>
      <x:c r="B160" s="9" t="s">
        <x:v>609</x:v>
      </x:c>
      <x:c r="C160" s="5" t="s">
        <x:v>39</x:v>
      </x:c>
      <x:c r="D160" s="9" t="s">
        <x:v>40</x:v>
      </x:c>
      <x:c r="E160" s="9" t="s">
        <x:v>41</x:v>
      </x:c>
      <x:c r="F160" s="5" t="s">
        <x:v>556</x:v>
      </x:c>
      <x:c r="G160" s="5" t="s">
        <x:v>557</x:v>
      </x:c>
      <x:c r="H160" s="15" t="s">
        <x:v>610</x:v>
      </x:c>
      <x:c r="I160" s="15" t="s">
        <x:v>80</x:v>
      </x:c>
      <x:c r="J160" s="5" t="s">
        <x:v>611</x:v>
      </x:c>
      <x:c r="K160" s="15">
        <x:v>112</x:v>
      </x:c>
      <x:c r="L160" s="9">
        <x:v>63</x:v>
      </x:c>
      <x:c r="M160" s="15">
        <x:v>63</x:v>
      </x:c>
      <x:c r="N160" s="15" t="s">
        <x:v>64</x:v>
      </x:c>
      <x:c r="O160" s="5"/>
      <x:c r="P160" s="5">
        <x:v>2300</x:v>
      </x:c>
      <x:c r="Q160" s="21" t="s">
        <x:v>89</x:v>
      </x:c>
      <x:c r="R160" s="21" t="s">
        <x:v>110</x:v>
      </x:c>
      <x:c r="S160" s="17" t="s">
        <x:v>48</x:v>
      </x:c>
      <x:c r="T160" s="9"/>
      <x:c r="U160" s="9"/>
      <x:c r="V160" s="67">
        <x:v>-2.108283095</x:v>
      </x:c>
      <x:c r="W160" s="9">
        <x:v>106.06068180600001</x:v>
      </x:c>
      <x:c r="X160" s="9" t="s">
        <x:v>612</x:v>
      </x:c>
      <x:c r="Y160" s="47">
        <x:v>2026</x:v>
      </x:c>
      <x:c r="Z160" s="26" t="s">
        <x:v>50</x:v>
      </x:c>
      <x:c r="AA160" s="39" t="s">
        <x:v>613</x:v>
      </x:c>
      <x:c r="AB160" s="71">
        <x:v>46250</x:v>
      </x:c>
      <x:c r="AC160" s="41" t="s">
        <x:v>52</x:v>
      </x:c>
      <x:c r="AD160">
        <x:f t="shared" si="12"/>
        <x:v>0.5625</x:v>
      </x:c>
      <x:c r="AE160">
        <x:f t="shared" si="13"/>
        <x:v>1</x:v>
      </x:c>
      <x:c r="AF160" s="227"/>
      <x:c r="AG160" s="228"/>
      <x:c r="AH160" s="229"/>
    </x:row>
    <x:row r="161" ht="25">
      <x:c r="A161" s="27" t="s">
        <x:v>614</x:v>
      </x:c>
      <x:c r="B161" s="9" t="s">
        <x:v>615</x:v>
      </x:c>
      <x:c r="C161" s="5" t="s">
        <x:v>39</x:v>
      </x:c>
      <x:c r="D161" s="9" t="s">
        <x:v>40</x:v>
      </x:c>
      <x:c r="E161" s="9" t="s">
        <x:v>41</x:v>
      </x:c>
      <x:c r="F161" s="5" t="s">
        <x:v>146</x:v>
      </x:c>
      <x:c r="G161" s="5" t="s">
        <x:v>616</x:v>
      </x:c>
      <x:c r="H161" s="15" t="s">
        <x:v>617</x:v>
      </x:c>
      <x:c r="I161" s="15" t="s">
        <x:v>80</x:v>
      </x:c>
      <x:c r="J161" s="5">
        <x:v>2022</x:v>
      </x:c>
      <x:c r="K161" s="15">
        <x:v>99</x:v>
      </x:c>
      <x:c r="L161" s="9">
        <x:v>93</x:v>
      </x:c>
      <x:c r="M161" s="15">
        <x:v>93</x:v>
      </x:c>
      <x:c r="N161" s="15" t="s">
        <x:v>64</x:v>
      </x:c>
      <x:c r="O161" s="5"/>
      <x:c r="P161" s="5"/>
      <x:c r="Q161" s="21" t="s">
        <x:v>47</x:v>
      </x:c>
      <x:c r="R161" s="21" t="s">
        <x:v>110</x:v>
      </x:c>
      <x:c r="S161" s="17" t="s">
        <x:v>48</x:v>
      </x:c>
      <x:c r="T161" s="9"/>
      <x:c r="U161" s="9"/>
      <x:c r="V161" s="67">
        <x:v>-2.1125147000000002</x:v>
      </x:c>
      <x:c r="W161" s="9">
        <x:v>106.07043590000001</x:v>
      </x:c>
      <x:c r="X161" s="9"/>
      <x:c r="Y161" s="47"/>
      <x:c r="Z161" s="26" t="s">
        <x:v>50</x:v>
      </x:c>
      <x:c r="AA161" s="39" t="s">
        <x:v>51</x:v>
      </x:c>
      <x:c r="AB161" s="71">
        <x:v>46220</x:v>
      </x:c>
      <x:c r="AC161" s="41" t="s">
        <x:v>52</x:v>
      </x:c>
      <x:c r="AD161">
        <x:f t="shared" si="12"/>
        <x:v>0.93939393939393945</x:v>
      </x:c>
      <x:c r="AE161">
        <x:f t="shared" si="13"/>
        <x:v>1</x:v>
      </x:c>
      <x:c r="AF161" s="227"/>
      <x:c r="AG161" s="228"/>
      <x:c r="AH161" s="229"/>
    </x:row>
    <x:row r="162" ht="25">
      <x:c r="A162" s="27" t="s">
        <x:v>618</x:v>
      </x:c>
      <x:c r="B162" s="9" t="s">
        <x:v>619</x:v>
      </x:c>
      <x:c r="C162" s="5" t="s">
        <x:v>39</x:v>
      </x:c>
      <x:c r="D162" s="9" t="s">
        <x:v>40</x:v>
      </x:c>
      <x:c r="E162" s="9" t="s">
        <x:v>41</x:v>
      </x:c>
      <x:c r="F162" s="5" t="s">
        <x:v>556</x:v>
      </x:c>
      <x:c r="G162" s="5" t="s">
        <x:v>557</x:v>
      </x:c>
      <x:c r="H162" s="15" t="s">
        <x:v>610</x:v>
      </x:c>
      <x:c r="I162" s="15" t="s">
        <x:v>80</x:v>
      </x:c>
      <x:c r="J162" s="5">
        <x:v>2020</x:v>
      </x:c>
      <x:c r="K162" s="15">
        <x:v>92</x:v>
      </x:c>
      <x:c r="L162" s="9">
        <x:v>85</x:v>
      </x:c>
      <x:c r="M162" s="15">
        <x:v>85</x:v>
      </x:c>
      <x:c r="N162" s="15" t="s">
        <x:v>64</x:v>
      </x:c>
      <x:c r="O162" s="5"/>
      <x:c r="P162" s="5"/>
      <x:c r="Q162" s="21" t="s">
        <x:v>47</x:v>
      </x:c>
      <x:c r="R162" s="21" t="s">
        <x:v>110</x:v>
      </x:c>
      <x:c r="S162" s="17" t="s">
        <x:v>48</x:v>
      </x:c>
      <x:c r="T162" s="9"/>
      <x:c r="U162" s="9"/>
      <x:c r="V162" s="67">
        <x:v>-2.1084619999999998</x:v>
      </x:c>
      <x:c r="W162" s="9">
        <x:v>106.062211</x:v>
      </x:c>
      <x:c r="X162" s="9"/>
      <x:c r="Y162" s="47"/>
      <x:c r="Z162" s="26" t="s">
        <x:v>50</x:v>
      </x:c>
      <x:c r="AA162" s="39" t="s">
        <x:v>51</x:v>
      </x:c>
      <x:c r="AB162" s="71">
        <x:v>46220</x:v>
      </x:c>
      <x:c r="AC162" s="41" t="s">
        <x:v>52</x:v>
      </x:c>
      <x:c r="AD162">
        <x:f t="shared" si="12"/>
        <x:v>0.92391304347826086</x:v>
      </x:c>
      <x:c r="AE162">
        <x:f t="shared" si="13"/>
        <x:v>1</x:v>
      </x:c>
      <x:c r="AF162" s="227"/>
      <x:c r="AG162" s="228"/>
      <x:c r="AH162" s="229"/>
    </x:row>
    <x:row r="163" ht="25">
      <x:c r="A163" s="27" t="s">
        <x:v>620</x:v>
      </x:c>
      <x:c r="B163" s="9" t="s">
        <x:v>621</x:v>
      </x:c>
      <x:c r="C163" s="5" t="s">
        <x:v>39</x:v>
      </x:c>
      <x:c r="D163" s="9" t="s">
        <x:v>75</x:v>
      </x:c>
      <x:c r="E163" s="9" t="s">
        <x:v>375</x:v>
      </x:c>
      <x:c r="F163" s="5" t="s">
        <x:v>622</x:v>
      </x:c>
      <x:c r="G163" s="5" t="s">
        <x:v>623</x:v>
      </x:c>
      <x:c r="H163" s="15" t="s">
        <x:v>624</x:v>
      </x:c>
      <x:c r="I163" s="15" t="s">
        <x:v>142</x:v>
      </x:c>
      <x:c r="J163" s="5">
        <x:v>2018</x:v>
      </x:c>
      <x:c r="K163" s="15">
        <x:v>56</x:v>
      </x:c>
      <x:c r="L163" s="9">
        <x:v>32</x:v>
      </x:c>
      <x:c r="M163" s="15">
        <x:v>32</x:v>
      </x:c>
      <x:c r="N163" s="15" t="s">
        <x:v>64</x:v>
      </x:c>
      <x:c r="O163" s="5"/>
      <x:c r="P163" s="5"/>
      <x:c r="Q163" s="21" t="s">
        <x:v>47</x:v>
      </x:c>
      <x:c r="R163" s="21" t="s">
        <x:v>110</x:v>
      </x:c>
      <x:c r="S163" s="18"/>
      <x:c r="T163" s="9"/>
      <x:c r="U163" s="9"/>
      <x:c r="V163" s="67">
        <x:v>-2.0945735000000001</x:v>
      </x:c>
      <x:c r="W163" s="9">
        <x:v>106.113224</x:v>
      </x:c>
      <x:c r="X163" s="9"/>
      <x:c r="Y163" s="47"/>
      <x:c r="Z163" s="26" t="s">
        <x:v>50</x:v>
      </x:c>
      <x:c r="AA163" s="39" t="s">
        <x:v>51</x:v>
      </x:c>
      <x:c r="AB163" s="71">
        <x:v>46220</x:v>
      </x:c>
      <x:c r="AC163" s="41" t="s">
        <x:v>52</x:v>
      </x:c>
      <x:c r="AD163">
        <x:f t="shared" si="12"/>
        <x:v>0.5714285714285714</x:v>
      </x:c>
      <x:c r="AE163">
        <x:f t="shared" si="13"/>
        <x:v>1</x:v>
      </x:c>
      <x:c r="AF163" s="227"/>
      <x:c r="AG163" s="228"/>
      <x:c r="AH163" s="229"/>
    </x:row>
    <x:row r="164" ht="13" customHeight="1">
      <x:c r="A164" s="27" t="s">
        <x:v>625</x:v>
      </x:c>
      <x:c r="B164" s="9" t="s">
        <x:v>626</x:v>
      </x:c>
      <x:c r="C164" s="5" t="s">
        <x:v>39</x:v>
      </x:c>
      <x:c r="D164" s="9" t="s">
        <x:v>40</x:v>
      </x:c>
      <x:c r="E164" s="9" t="s">
        <x:v>41</x:v>
      </x:c>
      <x:c r="F164" s="5" t="s">
        <x:v>556</x:v>
      </x:c>
      <x:c r="G164" s="5" t="s">
        <x:v>627</x:v>
      </x:c>
      <x:c r="H164" s="15" t="s">
        <x:v>574</x:v>
      </x:c>
      <x:c r="I164" s="15"/>
      <x:c r="J164" s="5">
        <x:v>2026</x:v>
      </x:c>
      <x:c r="K164" s="15">
        <x:v>31</x:v>
      </x:c>
      <x:c r="L164" s="9">
        <x:v>0</x:v>
      </x:c>
      <x:c r="M164" s="15">
        <x:v>0</x:v>
      </x:c>
      <x:c r="N164" s="15" t="s">
        <x:v>64</x:v>
      </x:c>
      <x:c r="O164" s="5"/>
      <x:c r="P164" s="5">
        <x:v>561.79999999999995</x:v>
      </x:c>
      <x:c r="Q164" s="21" t="s">
        <x:v>47</x:v>
      </x:c>
      <x:c r="R164" s="21" t="s">
        <x:v>110</x:v>
      </x:c>
      <x:c r="S164" s="17" t="s">
        <x:v>48</x:v>
      </x:c>
      <x:c r="T164" s="9"/>
      <x:c r="U164" s="9"/>
      <x:c r="V164" s="67">
        <x:v>-2.106663776</x:v>
      </x:c>
      <x:c r="W164" s="9">
        <x:v>106.06213424800001</x:v>
      </x:c>
      <x:c r="X164" s="9" t="s">
        <x:v>628</x:v>
      </x:c>
      <x:c r="Y164" s="47">
        <x:v>2026</x:v>
      </x:c>
      <x:c r="Z164" s="26" t="s">
        <x:v>50</x:v>
      </x:c>
      <x:c r="AA164" s="39" t="s">
        <x:v>223</x:v>
      </x:c>
      <x:c r="AB164" s="71">
        <x:v>46250</x:v>
      </x:c>
      <x:c r="AC164" s="41" t="s">
        <x:v>52</x:v>
      </x:c>
      <x:c r="AF164" s="227"/>
      <x:c r="AG164" s="228"/>
      <x:c r="AH164" s="229"/>
    </x:row>
    <x:row r="165" ht="25">
      <x:c r="A165" s="27" t="s">
        <x:v>629</x:v>
      </x:c>
      <x:c r="B165" s="9" t="s">
        <x:v>630</x:v>
      </x:c>
      <x:c r="C165" s="5" t="s">
        <x:v>39</x:v>
      </x:c>
      <x:c r="D165" s="9" t="s">
        <x:v>40</x:v>
      </x:c>
      <x:c r="E165" s="9" t="s">
        <x:v>41</x:v>
      </x:c>
      <x:c r="F165" s="5" t="s">
        <x:v>438</x:v>
      </x:c>
      <x:c r="G165" s="5" t="s">
        <x:v>631</x:v>
      </x:c>
      <x:c r="H165" s="15" t="s">
        <x:v>632</x:v>
      </x:c>
      <x:c r="I165" s="15" t="s">
        <x:v>142</x:v>
      </x:c>
      <x:c r="J165" s="5">
        <x:v>2019</x:v>
      </x:c>
      <x:c r="K165" s="15">
        <x:v>36</x:v>
      </x:c>
      <x:c r="L165" s="9">
        <x:v>31</x:v>
      </x:c>
      <x:c r="M165" s="15">
        <x:v>28</x:v>
      </x:c>
      <x:c r="N165" s="15" t="s">
        <x:v>64</x:v>
      </x:c>
      <x:c r="O165" s="5"/>
      <x:c r="P165" s="5"/>
      <x:c r="Q165" s="21" t="s">
        <x:v>47</x:v>
      </x:c>
      <x:c r="R165" s="21" t="s">
        <x:v>110</x:v>
      </x:c>
      <x:c r="S165" s="18"/>
      <x:c r="T165" s="9"/>
      <x:c r="U165" s="9"/>
      <x:c r="V165" s="67">
        <x:v>-2.1185654</x:v>
      </x:c>
      <x:c r="W165" s="9">
        <x:v>106.0760401</x:v>
      </x:c>
      <x:c r="X165" s="9"/>
      <x:c r="Y165" s="47"/>
      <x:c r="Z165" s="26" t="s">
        <x:v>50</x:v>
      </x:c>
      <x:c r="AA165" s="39" t="s">
        <x:v>51</x:v>
      </x:c>
      <x:c r="AB165" s="71">
        <x:v>46220</x:v>
      </x:c>
      <x:c r="AC165" s="41" t="s">
        <x:v>52</x:v>
      </x:c>
      <x:c r="AD165" t="n">
        <x:f t="shared" ref="AD165:AD205" si="14">IF(A165="","",IFERROR(L165/K165,0))</x:f>
        <x:v>0.8611111111111112</x:v>
      </x:c>
      <x:c r="AE165" t="n">
        <x:f t="shared" ref="AE165:AE205" si="15">IF(A165="","",IFERROR(M165/L165,0))</x:f>
        <x:v>0.9032258064516129</x:v>
      </x:c>
      <x:c r="AF165" s="227"/>
      <x:c r="AG165" s="228"/>
      <x:c r="AH165" s="229"/>
    </x:row>
    <x:row r="166" ht="25">
      <x:c r="A166" s="27" t="s">
        <x:v>633</x:v>
      </x:c>
      <x:c r="B166" s="9" t="s">
        <x:v>634</x:v>
      </x:c>
      <x:c r="C166" s="5" t="s">
        <x:v>226</x:v>
      </x:c>
      <x:c r="D166" s="9" t="s">
        <x:v>102</x:v>
      </x:c>
      <x:c r="E166" s="9" t="s">
        <x:v>103</x:v>
      </x:c>
      <x:c r="F166" s="5" t="s">
        <x:v>635</x:v>
      </x:c>
      <x:c r="G166" s="5" t="s">
        <x:v>62</x:v>
      </x:c>
      <x:c r="H166" s="15" t="s">
        <x:v>62</x:v>
      </x:c>
      <x:c r="I166" s="15" t="s">
        <x:v>62</x:v>
      </x:c>
      <x:c r="J166" s="5" t="s">
        <x:v>636</x:v>
      </x:c>
      <x:c r="K166" s="15">
        <x:v>70</x:v>
      </x:c>
      <x:c r="L166" s="9">
        <x:v>0</x:v>
      </x:c>
      <x:c r="M166" s="15">
        <x:v>0</x:v>
      </x:c>
      <x:c r="N166" s="15" t="s">
        <x:v>64</x:v>
      </x:c>
      <x:c r="O166" s="5"/>
      <x:c r="P166" s="5"/>
      <x:c r="Q166" s="21" t="s">
        <x:v>89</x:v>
      </x:c>
      <x:c r="R166" s="21"/>
      <x:c r="S166" s="18"/>
      <x:c r="T166" s="9"/>
      <x:c r="U166" s="9"/>
      <x:c r="V166" s="67"/>
      <x:c r="W166" s="9"/>
      <x:c r="X166" s="9"/>
      <x:c r="Y166" s="47"/>
      <x:c r="Z166" s="26" t="s">
        <x:v>50</x:v>
      </x:c>
      <x:c r="AA166" s="39" t="s">
        <x:v>51</x:v>
      </x:c>
      <x:c r="AB166" s="71">
        <x:v>46220</x:v>
      </x:c>
      <x:c r="AC166" s="41" t="s">
        <x:v>52</x:v>
      </x:c>
      <x:c r="AD166">
        <x:f t="shared" si="14"/>
        <x:v>0</x:v>
      </x:c>
      <x:c r="AE166">
        <x:f t="shared" si="15"/>
        <x:v>0</x:v>
      </x:c>
      <x:c r="AF166" s="227"/>
      <x:c r="AG166" s="228"/>
      <x:c r="AH166" s="229"/>
    </x:row>
    <x:row r="167" ht="25">
      <x:c r="A167" s="27" t="s">
        <x:v>637</x:v>
      </x:c>
      <x:c r="B167" s="9" t="s">
        <x:v>638</x:v>
      </x:c>
      <x:c r="C167" s="5" t="s">
        <x:v>39</x:v>
      </x:c>
      <x:c r="D167" s="9" t="s">
        <x:v>433</x:v>
      </x:c>
      <x:c r="E167" s="9" t="s">
        <x:v>434</x:v>
      </x:c>
      <x:c r="F167" s="5" t="s">
        <x:v>639</x:v>
      </x:c>
      <x:c r="G167" s="5" t="s">
        <x:v>640</x:v>
      </x:c>
      <x:c r="H167" s="15" t="s">
        <x:v>641</x:v>
      </x:c>
      <x:c r="I167" s="15" t="s">
        <x:v>62</x:v>
      </x:c>
      <x:c r="J167" s="5">
        <x:v>2017</x:v>
      </x:c>
      <x:c r="K167" s="15">
        <x:v>23</x:v>
      </x:c>
      <x:c r="L167" s="9">
        <x:v>23</x:v>
      </x:c>
      <x:c r="M167" s="15">
        <x:v>23</x:v>
      </x:c>
      <x:c r="N167" s="15" t="s">
        <x:v>64</x:v>
      </x:c>
      <x:c r="O167" s="5"/>
      <x:c r="P167" s="5"/>
      <x:c r="Q167" s="21" t="s">
        <x:v>47</x:v>
      </x:c>
      <x:c r="R167" s="21" t="s">
        <x:v>110</x:v>
      </x:c>
      <x:c r="S167" s="18"/>
      <x:c r="T167" s="9"/>
      <x:c r="U167" s="9"/>
      <x:c r="V167" s="67">
        <x:v>-2.1512880999999999</x:v>
      </x:c>
      <x:c r="W167" s="9">
        <x:v>106.1042964</x:v>
      </x:c>
      <x:c r="X167" s="9"/>
      <x:c r="Y167" s="47"/>
      <x:c r="Z167" s="26" t="s">
        <x:v>50</x:v>
      </x:c>
      <x:c r="AA167" s="39" t="s">
        <x:v>51</x:v>
      </x:c>
      <x:c r="AB167" s="71">
        <x:v>46220</x:v>
      </x:c>
      <x:c r="AC167" s="41" t="s">
        <x:v>52</x:v>
      </x:c>
      <x:c r="AD167">
        <x:f t="shared" si="14"/>
        <x:v>1</x:v>
      </x:c>
      <x:c r="AE167">
        <x:f t="shared" si="15"/>
        <x:v>1</x:v>
      </x:c>
      <x:c r="AF167" s="227"/>
      <x:c r="AG167" s="228"/>
      <x:c r="AH167" s="229"/>
    </x:row>
    <x:row r="168" ht="25">
      <x:c r="A168" s="27" t="s">
        <x:v>642</x:v>
      </x:c>
      <x:c r="B168" s="9" t="s">
        <x:v>643</x:v>
      </x:c>
      <x:c r="C168" s="5" t="s">
        <x:v>39</x:v>
      </x:c>
      <x:c r="D168" s="9" t="s">
        <x:v>102</x:v>
      </x:c>
      <x:c r="E168" s="9" t="s">
        <x:v>277</x:v>
      </x:c>
      <x:c r="F168" s="5" t="s">
        <x:v>605</x:v>
      </x:c>
      <x:c r="G168" s="5" t="s">
        <x:v>62</x:v>
      </x:c>
      <x:c r="H168" s="15" t="s">
        <x:v>62</x:v>
      </x:c>
      <x:c r="I168" s="15" t="s">
        <x:v>62</x:v>
      </x:c>
      <x:c r="J168" s="5">
        <x:v>2016</x:v>
      </x:c>
      <x:c r="K168" s="15">
        <x:v>25</x:v>
      </x:c>
      <x:c r="L168" s="9">
        <x:v>0</x:v>
      </x:c>
      <x:c r="M168" s="15">
        <x:v>0</x:v>
      </x:c>
      <x:c r="N168" s="15" t="s">
        <x:v>64</x:v>
      </x:c>
      <x:c r="O168" s="5"/>
      <x:c r="P168" s="5"/>
      <x:c r="Q168" s="21" t="s">
        <x:v>47</x:v>
      </x:c>
      <x:c r="R168" s="21"/>
      <x:c r="S168" s="18"/>
      <x:c r="T168" s="9"/>
      <x:c r="U168" s="9"/>
      <x:c r="V168" s="67">
        <x:v>-2.1308129999999998</x:v>
      </x:c>
      <x:c r="W168" s="9">
        <x:v>106.162803</x:v>
      </x:c>
      <x:c r="X168" s="9"/>
      <x:c r="Y168" s="47"/>
      <x:c r="Z168" s="26" t="s">
        <x:v>50</x:v>
      </x:c>
      <x:c r="AA168" s="39" t="s">
        <x:v>51</x:v>
      </x:c>
      <x:c r="AB168" s="71">
        <x:v>46220</x:v>
      </x:c>
      <x:c r="AC168" s="41" t="s">
        <x:v>52</x:v>
      </x:c>
      <x:c r="AD168">
        <x:f t="shared" si="14"/>
        <x:v>0</x:v>
      </x:c>
      <x:c r="AE168">
        <x:f t="shared" si="15"/>
        <x:v>0</x:v>
      </x:c>
      <x:c r="AF168" s="227"/>
      <x:c r="AG168" s="228"/>
      <x:c r="AH168" s="229"/>
    </x:row>
    <x:row r="169" ht="25">
      <x:c r="A169" s="27" t="s">
        <x:v>644</x:v>
      </x:c>
      <x:c r="B169" s="9" t="s">
        <x:v>645</x:v>
      </x:c>
      <x:c r="C169" s="5" t="s">
        <x:v>39</x:v>
      </x:c>
      <x:c r="D169" s="9" t="s">
        <x:v>75</x:v>
      </x:c>
      <x:c r="E169" s="9" t="s">
        <x:v>375</x:v>
      </x:c>
      <x:c r="F169" s="5" t="s">
        <x:v>622</x:v>
      </x:c>
      <x:c r="G169" s="5" t="s">
        <x:v>646</x:v>
      </x:c>
      <x:c r="H169" s="15" t="s">
        <x:v>647</x:v>
      </x:c>
      <x:c r="I169" s="15" t="s">
        <x:v>268</x:v>
      </x:c>
      <x:c r="J169" s="5">
        <x:v>2019</x:v>
      </x:c>
      <x:c r="K169" s="15">
        <x:v>56</x:v>
      </x:c>
      <x:c r="L169" s="9">
        <x:v>56</x:v>
      </x:c>
      <x:c r="M169" s="15">
        <x:v>53</x:v>
      </x:c>
      <x:c r="N169" s="15" t="s">
        <x:v>46</x:v>
      </x:c>
      <x:c r="O169" s="5">
        <x:v>2022</x:v>
      </x:c>
      <x:c r="P169" s="5"/>
      <x:c r="Q169" s="21" t="s">
        <x:v>47</x:v>
      </x:c>
      <x:c r="R169" s="21"/>
      <x:c r="S169" s="17" t="s">
        <x:v>48</x:v>
      </x:c>
      <x:c r="T169" s="9"/>
      <x:c r="U169" s="9"/>
      <x:c r="V169" s="67">
        <x:v>-2.0915680000000001</x:v>
      </x:c>
      <x:c r="W169" s="9">
        <x:v>106.118658</x:v>
      </x:c>
      <x:c r="X169" s="9"/>
      <x:c r="Y169" s="47"/>
      <x:c r="Z169" s="26" t="s">
        <x:v>50</x:v>
      </x:c>
      <x:c r="AA169" s="39" t="s">
        <x:v>51</x:v>
      </x:c>
      <x:c r="AB169" s="71">
        <x:v>46220</x:v>
      </x:c>
      <x:c r="AC169" s="41" t="s">
        <x:v>52</x:v>
      </x:c>
      <x:c r="AD169">
        <x:f t="shared" si="14"/>
        <x:v>1</x:v>
      </x:c>
      <x:c r="AE169">
        <x:f t="shared" si="15"/>
        <x:v>0.9464285714285714</x:v>
      </x:c>
      <x:c r="AF169" s="227"/>
      <x:c r="AG169" s="228"/>
      <x:c r="AH169" s="229"/>
    </x:row>
    <x:row r="170" ht="25">
      <x:c r="A170" s="27" t="s">
        <x:v>648</x:v>
      </x:c>
      <x:c r="B170" s="9" t="s">
        <x:v>649</x:v>
      </x:c>
      <x:c r="C170" s="5" t="s">
        <x:v>39</x:v>
      </x:c>
      <x:c r="D170" s="9" t="s">
        <x:v>40</x:v>
      </x:c>
      <x:c r="E170" s="9" t="s">
        <x:v>41</x:v>
      </x:c>
      <x:c r="F170" s="5" t="s">
        <x:v>67</x:v>
      </x:c>
      <x:c r="G170" s="5" t="s">
        <x:v>650</x:v>
      </x:c>
      <x:c r="H170" s="15" t="s">
        <x:v>647</x:v>
      </x:c>
      <x:c r="I170" s="15" t="s">
        <x:v>268</x:v>
      </x:c>
      <x:c r="J170" s="5">
        <x:v>2020</x:v>
      </x:c>
      <x:c r="K170" s="15">
        <x:v>54</x:v>
      </x:c>
      <x:c r="L170" s="9">
        <x:v>54</x:v>
      </x:c>
      <x:c r="M170" s="15">
        <x:v>54</x:v>
      </x:c>
      <x:c r="N170" s="15" t="s">
        <x:v>64</x:v>
      </x:c>
      <x:c r="O170" s="5"/>
      <x:c r="P170" s="5"/>
      <x:c r="Q170" s="21" t="s">
        <x:v>47</x:v>
      </x:c>
      <x:c r="R170" s="21" t="s">
        <x:v>249</x:v>
      </x:c>
      <x:c r="S170" s="17" t="s">
        <x:v>48</x:v>
      </x:c>
      <x:c r="T170" s="9" t="s">
        <x:v>49</x:v>
      </x:c>
      <x:c r="U170" s="9"/>
      <x:c r="V170" s="67">
        <x:v>-2.1000770000000002</x:v>
      </x:c>
      <x:c r="W170" s="9">
        <x:v>106.07646699999999</x:v>
      </x:c>
      <x:c r="X170" s="9"/>
      <x:c r="Y170" s="47"/>
      <x:c r="Z170" s="26" t="s">
        <x:v>50</x:v>
      </x:c>
      <x:c r="AA170" s="39" t="s">
        <x:v>51</x:v>
      </x:c>
      <x:c r="AB170" s="71">
        <x:v>46220</x:v>
      </x:c>
      <x:c r="AC170" s="41" t="s">
        <x:v>52</x:v>
      </x:c>
      <x:c r="AD170">
        <x:f t="shared" si="14"/>
        <x:v>1</x:v>
      </x:c>
      <x:c r="AE170">
        <x:f t="shared" si="15"/>
        <x:v>1</x:v>
      </x:c>
      <x:c r="AF170" s="227"/>
      <x:c r="AG170" s="228"/>
      <x:c r="AH170" s="229"/>
    </x:row>
    <x:row r="171" ht="25">
      <x:c r="A171" s="27" t="s">
        <x:v>651</x:v>
      </x:c>
      <x:c r="B171" s="9" t="s">
        <x:v>652</x:v>
      </x:c>
      <x:c r="C171" s="5" t="s">
        <x:v>39</x:v>
      </x:c>
      <x:c r="D171" s="9" t="s">
        <x:v>40</x:v>
      </x:c>
      <x:c r="E171" s="9" t="s">
        <x:v>41</x:v>
      </x:c>
      <x:c r="F171" s="5" t="s">
        <x:v>653</x:v>
      </x:c>
      <x:c r="G171" s="5" t="s">
        <x:v>650</x:v>
      </x:c>
      <x:c r="H171" s="15" t="s">
        <x:v>647</x:v>
      </x:c>
      <x:c r="I171" s="15" t="s">
        <x:v>268</x:v>
      </x:c>
      <x:c r="J171" s="5">
        <x:v>2022</x:v>
      </x:c>
      <x:c r="K171" s="15">
        <x:v>70</x:v>
      </x:c>
      <x:c r="L171" s="9">
        <x:v>61</x:v>
      </x:c>
      <x:c r="M171" s="15">
        <x:v>61</x:v>
      </x:c>
      <x:c r="N171" s="15" t="s">
        <x:v>64</x:v>
      </x:c>
      <x:c r="O171" s="5"/>
      <x:c r="P171" s="5"/>
      <x:c r="Q171" s="21" t="s">
        <x:v>47</x:v>
      </x:c>
      <x:c r="R171" s="21" t="s">
        <x:v>249</x:v>
      </x:c>
      <x:c r="S171" s="17" t="s">
        <x:v>48</x:v>
      </x:c>
      <x:c r="T171" s="9"/>
      <x:c r="U171" s="9"/>
      <x:c r="V171" s="67">
        <x:v>-2.0998857000000002</x:v>
      </x:c>
      <x:c r="W171" s="9">
        <x:v>106.07139979999999</x:v>
      </x:c>
      <x:c r="X171" s="9"/>
      <x:c r="Y171" s="47"/>
      <x:c r="Z171" s="26" t="s">
        <x:v>50</x:v>
      </x:c>
      <x:c r="AA171" s="39" t="s">
        <x:v>51</x:v>
      </x:c>
      <x:c r="AB171" s="71">
        <x:v>46220</x:v>
      </x:c>
      <x:c r="AC171" s="41" t="s">
        <x:v>52</x:v>
      </x:c>
      <x:c r="AD171">
        <x:f t="shared" si="14"/>
        <x:v>0.87142857142857144</x:v>
      </x:c>
      <x:c r="AE171">
        <x:f t="shared" si="15"/>
        <x:v>1</x:v>
      </x:c>
      <x:c r="AF171" s="227"/>
      <x:c r="AG171" s="228"/>
      <x:c r="AH171" s="229"/>
    </x:row>
    <x:row r="172" ht="25">
      <x:c r="A172" s="27" t="s">
        <x:v>654</x:v>
      </x:c>
      <x:c r="B172" s="9" t="s">
        <x:v>655</x:v>
      </x:c>
      <x:c r="C172" s="5" t="s">
        <x:v>39</x:v>
      </x:c>
      <x:c r="D172" s="9" t="s">
        <x:v>75</x:v>
      </x:c>
      <x:c r="E172" s="9" t="s">
        <x:v>375</x:v>
      </x:c>
      <x:c r="F172" s="5" t="s">
        <x:v>622</x:v>
      </x:c>
      <x:c r="G172" s="5" t="s">
        <x:v>650</x:v>
      </x:c>
      <x:c r="H172" s="15" t="s">
        <x:v>647</x:v>
      </x:c>
      <x:c r="I172" s="15" t="s">
        <x:v>268</x:v>
      </x:c>
      <x:c r="J172" s="5">
        <x:v>2024</x:v>
      </x:c>
      <x:c r="K172" s="15">
        <x:v>64</x:v>
      </x:c>
      <x:c r="L172" s="9">
        <x:v>59</x:v>
      </x:c>
      <x:c r="M172" s="15">
        <x:v>46</x:v>
      </x:c>
      <x:c r="N172" s="15" t="s">
        <x:v>64</x:v>
      </x:c>
      <x:c r="O172" s="5"/>
      <x:c r="P172" s="5"/>
      <x:c r="Q172" s="21" t="s">
        <x:v>47</x:v>
      </x:c>
      <x:c r="R172" s="21" t="s">
        <x:v>110</x:v>
      </x:c>
      <x:c r="S172" s="17" t="s">
        <x:v>48</x:v>
      </x:c>
      <x:c r="T172" s="9"/>
      <x:c r="U172" s="9"/>
      <x:c r="V172" s="67">
        <x:v>-2.0903510000000001</x:v>
      </x:c>
      <x:c r="W172" s="9">
        <x:v>106.11813600000001</x:v>
      </x:c>
      <x:c r="X172" s="9"/>
      <x:c r="Y172" s="47"/>
      <x:c r="Z172" s="26" t="s">
        <x:v>50</x:v>
      </x:c>
      <x:c r="AA172" s="39" t="s">
        <x:v>51</x:v>
      </x:c>
      <x:c r="AB172" s="71">
        <x:v>46220</x:v>
      </x:c>
      <x:c r="AC172" s="41" t="s">
        <x:v>52</x:v>
      </x:c>
      <x:c r="AD172">
        <x:f t="shared" si="14"/>
        <x:v>0.921875</x:v>
      </x:c>
      <x:c r="AE172">
        <x:f t="shared" si="15"/>
        <x:v>0.77966101694915257</x:v>
      </x:c>
      <x:c r="AF172" s="227"/>
      <x:c r="AG172" s="228"/>
      <x:c r="AH172" s="229"/>
    </x:row>
    <x:row r="173" ht="25">
      <x:c r="A173" s="27" t="s">
        <x:v>656</x:v>
      </x:c>
      <x:c r="B173" s="9" t="s">
        <x:v>657</x:v>
      </x:c>
      <x:c r="C173" s="5" t="s">
        <x:v>39</x:v>
      </x:c>
      <x:c r="D173" s="9" t="s">
        <x:v>40</x:v>
      </x:c>
      <x:c r="E173" s="9" t="s">
        <x:v>55</x:v>
      </x:c>
      <x:c r="F173" s="5" t="s">
        <x:v>338</x:v>
      </x:c>
      <x:c r="G173" s="5" t="s">
        <x:v>658</x:v>
      </x:c>
      <x:c r="H173" s="15" t="s">
        <x:v>591</x:v>
      </x:c>
      <x:c r="I173" s="15" t="s">
        <x:v>62</x:v>
      </x:c>
      <x:c r="J173" s="5">
        <x:v>2017</x:v>
      </x:c>
      <x:c r="K173" s="15">
        <x:v>25</x:v>
      </x:c>
      <x:c r="L173" s="9">
        <x:v>25</x:v>
      </x:c>
      <x:c r="M173" s="15">
        <x:v>25</x:v>
      </x:c>
      <x:c r="N173" s="15" t="s">
        <x:v>64</x:v>
      </x:c>
      <x:c r="O173" s="5"/>
      <x:c r="P173" s="5"/>
      <x:c r="Q173" s="21" t="s">
        <x:v>47</x:v>
      </x:c>
      <x:c r="R173" s="21" t="s">
        <x:v>249</x:v>
      </x:c>
      <x:c r="S173" s="18"/>
      <x:c r="T173" s="9"/>
      <x:c r="U173" s="9"/>
      <x:c r="V173" s="67">
        <x:v>-2.1180140000000001</x:v>
      </x:c>
      <x:c r="W173" s="9">
        <x:v>106.078672</x:v>
      </x:c>
      <x:c r="X173" s="9"/>
      <x:c r="Y173" s="47"/>
      <x:c r="Z173" s="26" t="s">
        <x:v>50</x:v>
      </x:c>
      <x:c r="AA173" s="39" t="s">
        <x:v>51</x:v>
      </x:c>
      <x:c r="AB173" s="71">
        <x:v>46220</x:v>
      </x:c>
      <x:c r="AC173" s="41" t="s">
        <x:v>52</x:v>
      </x:c>
      <x:c r="AD173">
        <x:f t="shared" si="14"/>
        <x:v>1</x:v>
      </x:c>
      <x:c r="AE173">
        <x:f t="shared" si="15"/>
        <x:v>1</x:v>
      </x:c>
      <x:c r="AF173" s="227"/>
      <x:c r="AG173" s="228"/>
      <x:c r="AH173" s="229"/>
    </x:row>
    <x:row r="174" ht="25">
      <x:c r="A174" s="27" t="s">
        <x:v>659</x:v>
      </x:c>
      <x:c r="B174" s="9" t="s">
        <x:v>660</x:v>
      </x:c>
      <x:c r="C174" s="5" t="s">
        <x:v>39</x:v>
      </x:c>
      <x:c r="D174" s="9" t="s">
        <x:v>102</x:v>
      </x:c>
      <x:c r="E174" s="9" t="s">
        <x:v>277</x:v>
      </x:c>
      <x:c r="F174" s="5" t="s">
        <x:v>661</x:v>
      </x:c>
      <x:c r="G174" s="5" t="s">
        <x:v>662</x:v>
      </x:c>
      <x:c r="H174" s="15" t="s">
        <x:v>478</x:v>
      </x:c>
      <x:c r="I174" s="15" t="s">
        <x:v>142</x:v>
      </x:c>
      <x:c r="J174" s="5">
        <x:v>2018</x:v>
      </x:c>
      <x:c r="K174" s="15">
        <x:v>45</x:v>
      </x:c>
      <x:c r="L174" s="9">
        <x:v>43</x:v>
      </x:c>
      <x:c r="M174" s="15">
        <x:v>43</x:v>
      </x:c>
      <x:c r="N174" s="15" t="s">
        <x:v>64</x:v>
      </x:c>
      <x:c r="O174" s="5"/>
      <x:c r="P174" s="5"/>
      <x:c r="Q174" s="21" t="s">
        <x:v>93</x:v>
      </x:c>
      <x:c r="R174" s="21"/>
      <x:c r="S174" s="17" t="s">
        <x:v>242</x:v>
      </x:c>
      <x:c r="T174" s="9"/>
      <x:c r="U174" s="9"/>
      <x:c r="V174" s="67">
        <x:v>-2.1573333319999999</x:v>
      </x:c>
      <x:c r="W174" s="9">
        <x:v>106.15588889999999</x:v>
      </x:c>
      <x:c r="X174" s="9"/>
      <x:c r="Y174" s="47"/>
      <x:c r="Z174" s="26" t="s">
        <x:v>50</x:v>
      </x:c>
      <x:c r="AA174" s="39" t="s">
        <x:v>51</x:v>
      </x:c>
      <x:c r="AB174" s="71">
        <x:v>46220</x:v>
      </x:c>
      <x:c r="AC174" s="41" t="s">
        <x:v>52</x:v>
      </x:c>
      <x:c r="AD174">
        <x:f t="shared" si="14"/>
        <x:v>0.9555555555555556</x:v>
      </x:c>
      <x:c r="AE174">
        <x:f t="shared" si="15"/>
        <x:v>1</x:v>
      </x:c>
      <x:c r="AF174" s="227"/>
      <x:c r="AG174" s="228"/>
      <x:c r="AH174" s="229"/>
    </x:row>
    <x:row r="175" ht="25">
      <x:c r="A175" s="27" t="s">
        <x:v>663</x:v>
      </x:c>
      <x:c r="B175" s="9" t="s">
        <x:v>664</x:v>
      </x:c>
      <x:c r="C175" s="5" t="s">
        <x:v>39</x:v>
      </x:c>
      <x:c r="D175" s="9" t="s">
        <x:v>75</x:v>
      </x:c>
      <x:c r="E175" s="9" t="s">
        <x:v>87</x:v>
      </x:c>
      <x:c r="F175" s="5" t="s">
        <x:v>99</x:v>
      </x:c>
      <x:c r="G175" s="5" t="s">
        <x:v>665</x:v>
      </x:c>
      <x:c r="H175" s="15" t="s">
        <x:v>666</x:v>
      </x:c>
      <x:c r="I175" s="15" t="s">
        <x:v>62</x:v>
      </x:c>
      <x:c r="J175" s="5">
        <x:v>2018</x:v>
      </x:c>
      <x:c r="K175" s="15">
        <x:v>75</x:v>
      </x:c>
      <x:c r="L175" s="9">
        <x:v>10</x:v>
      </x:c>
      <x:c r="M175" s="15">
        <x:v>5</x:v>
      </x:c>
      <x:c r="N175" s="15" t="s">
        <x:v>64</x:v>
      </x:c>
      <x:c r="O175" s="5"/>
      <x:c r="P175" s="5"/>
      <x:c r="Q175" s="21" t="s">
        <x:v>47</x:v>
      </x:c>
      <x:c r="R175" s="21" t="s">
        <x:v>110</x:v>
      </x:c>
      <x:c r="S175" s="17" t="s">
        <x:v>242</x:v>
      </x:c>
      <x:c r="T175" s="9" t="s">
        <x:v>49</x:v>
      </x:c>
      <x:c r="U175" s="9"/>
      <x:c r="V175" s="67">
        <x:v>-2.0841970000000001</x:v>
      </x:c>
      <x:c r="W175" s="9">
        <x:v>106.096322</x:v>
      </x:c>
      <x:c r="X175" s="9"/>
      <x:c r="Y175" s="47"/>
      <x:c r="Z175" s="26" t="s">
        <x:v>50</x:v>
      </x:c>
      <x:c r="AA175" s="39" t="s">
        <x:v>51</x:v>
      </x:c>
      <x:c r="AB175" s="71">
        <x:v>46220</x:v>
      </x:c>
      <x:c r="AC175" s="41" t="s">
        <x:v>52</x:v>
      </x:c>
      <x:c r="AD175">
        <x:f t="shared" si="14"/>
        <x:v>0.13333333333333333</x:v>
      </x:c>
      <x:c r="AE175">
        <x:f t="shared" si="15"/>
        <x:v>0.5</x:v>
      </x:c>
      <x:c r="AF175" s="227"/>
      <x:c r="AG175" s="228"/>
      <x:c r="AH175" s="229"/>
    </x:row>
    <x:row r="176" ht="25">
      <x:c r="A176" s="27" t="s">
        <x:v>667</x:v>
      </x:c>
      <x:c r="B176" s="9" t="s">
        <x:v>668</x:v>
      </x:c>
      <x:c r="C176" s="5" t="s">
        <x:v>39</x:v>
      </x:c>
      <x:c r="D176" s="9" t="s">
        <x:v>102</x:v>
      </x:c>
      <x:c r="E176" s="9" t="s">
        <x:v>277</x:v>
      </x:c>
      <x:c r="F176" s="5" t="s">
        <x:v>669</x:v>
      </x:c>
      <x:c r="G176" s="5" t="s">
        <x:v>670</x:v>
      </x:c>
      <x:c r="H176" s="15" t="s">
        <x:v>671</x:v>
      </x:c>
      <x:c r="I176" s="15" t="s">
        <x:v>218</x:v>
      </x:c>
      <x:c r="J176" s="5">
        <x:v>2020</x:v>
      </x:c>
      <x:c r="K176" s="15">
        <x:v>55</x:v>
      </x:c>
      <x:c r="L176" s="9">
        <x:v>55</x:v>
      </x:c>
      <x:c r="M176" s="15">
        <x:v>48</x:v>
      </x:c>
      <x:c r="N176" s="15" t="s">
        <x:v>64</x:v>
      </x:c>
      <x:c r="O176" s="5"/>
      <x:c r="P176" s="5"/>
      <x:c r="Q176" s="21" t="s">
        <x:v>47</x:v>
      </x:c>
      <x:c r="R176" s="21" t="s">
        <x:v>110</x:v>
      </x:c>
      <x:c r="S176" s="18"/>
      <x:c r="T176" s="9"/>
      <x:c r="U176" s="9"/>
      <x:c r="V176" s="67">
        <x:v>-2.1393496999999999</x:v>
      </x:c>
      <x:c r="W176" s="9">
        <x:v>106.1528338</x:v>
      </x:c>
      <x:c r="X176" s="9"/>
      <x:c r="Y176" s="47"/>
      <x:c r="Z176" s="26" t="s">
        <x:v>50</x:v>
      </x:c>
      <x:c r="AA176" s="39" t="s">
        <x:v>51</x:v>
      </x:c>
      <x:c r="AB176" s="71">
        <x:v>46220</x:v>
      </x:c>
      <x:c r="AC176" s="41" t="s">
        <x:v>52</x:v>
      </x:c>
      <x:c r="AD176">
        <x:f t="shared" si="14"/>
        <x:v>1</x:v>
      </x:c>
      <x:c r="AE176">
        <x:f t="shared" si="15"/>
        <x:v>0.87272727272727268</x:v>
      </x:c>
      <x:c r="AF176" s="227"/>
      <x:c r="AG176" s="228"/>
      <x:c r="AH176" s="229"/>
    </x:row>
    <x:row r="177" ht="25">
      <x:c r="A177" s="27" t="s">
        <x:v>672</x:v>
      </x:c>
      <x:c r="B177" s="9" t="s">
        <x:v>673</x:v>
      </x:c>
      <x:c r="C177" s="5" t="s">
        <x:v>39</x:v>
      </x:c>
      <x:c r="D177" s="9" t="s">
        <x:v>75</x:v>
      </x:c>
      <x:c r="E177" s="9" t="s">
        <x:v>114</x:v>
      </x:c>
      <x:c r="F177" s="5" t="s">
        <x:v>674</x:v>
      </x:c>
      <x:c r="G177" s="5" t="s">
        <x:v>675</x:v>
      </x:c>
      <x:c r="H177" s="15" t="s">
        <x:v>62</x:v>
      </x:c>
      <x:c r="I177" s="15" t="s">
        <x:v>62</x:v>
      </x:c>
      <x:c r="J177" s="5">
        <x:v>2018</x:v>
      </x:c>
      <x:c r="K177" s="15">
        <x:v>129</x:v>
      </x:c>
      <x:c r="L177" s="9">
        <x:v>129</x:v>
      </x:c>
      <x:c r="M177" s="15">
        <x:v>129</x:v>
      </x:c>
      <x:c r="N177" s="15" t="s">
        <x:v>64</x:v>
      </x:c>
      <x:c r="O177" s="5"/>
      <x:c r="P177" s="5"/>
      <x:c r="Q177" s="21" t="s">
        <x:v>47</x:v>
      </x:c>
      <x:c r="R177" s="21" t="s">
        <x:v>110</x:v>
      </x:c>
      <x:c r="S177" s="18"/>
      <x:c r="T177" s="9"/>
      <x:c r="U177" s="9"/>
      <x:c r="V177" s="67">
        <x:v>-2.0889690000000001</x:v>
      </x:c>
      <x:c r="W177" s="9">
        <x:v>106.116389</x:v>
      </x:c>
      <x:c r="X177" s="9"/>
      <x:c r="Y177" s="47"/>
      <x:c r="Z177" s="26" t="s">
        <x:v>50</x:v>
      </x:c>
      <x:c r="AA177" s="39" t="s">
        <x:v>51</x:v>
      </x:c>
      <x:c r="AB177" s="71">
        <x:v>46220</x:v>
      </x:c>
      <x:c r="AC177" s="41" t="s">
        <x:v>52</x:v>
      </x:c>
      <x:c r="AD177">
        <x:f t="shared" si="14"/>
        <x:v>1</x:v>
      </x:c>
      <x:c r="AE177">
        <x:f t="shared" si="15"/>
        <x:v>1</x:v>
      </x:c>
      <x:c r="AF177" s="227"/>
      <x:c r="AG177" s="228"/>
      <x:c r="AH177" s="229"/>
    </x:row>
    <x:row r="178" ht="25">
      <x:c r="A178" s="27" t="s">
        <x:v>676</x:v>
      </x:c>
      <x:c r="B178" s="9" t="s">
        <x:v>677</x:v>
      </x:c>
      <x:c r="C178" s="5" t="s">
        <x:v>39</x:v>
      </x:c>
      <x:c r="D178" s="9" t="s">
        <x:v>75</x:v>
      </x:c>
      <x:c r="E178" s="9" t="s">
        <x:v>114</x:v>
      </x:c>
      <x:c r="F178" s="5" t="s">
        <x:v>678</x:v>
      </x:c>
      <x:c r="G178" s="5" t="s">
        <x:v>482</x:v>
      </x:c>
      <x:c r="H178" s="15" t="s">
        <x:v>478</x:v>
      </x:c>
      <x:c r="I178" s="15" t="s">
        <x:v>62</x:v>
      </x:c>
      <x:c r="J178" s="5">
        <x:v>2017</x:v>
      </x:c>
      <x:c r="K178" s="15">
        <x:v>18</x:v>
      </x:c>
      <x:c r="L178" s="9">
        <x:v>18</x:v>
      </x:c>
      <x:c r="M178" s="15">
        <x:v>16</x:v>
      </x:c>
      <x:c r="N178" s="15" t="s">
        <x:v>64</x:v>
      </x:c>
      <x:c r="O178" s="5"/>
      <x:c r="P178" s="5"/>
      <x:c r="Q178" s="21" t="s">
        <x:v>93</x:v>
      </x:c>
      <x:c r="R178" s="21" t="s">
        <x:v>249</x:v>
      </x:c>
      <x:c r="S178" s="17" t="s">
        <x:v>242</x:v>
      </x:c>
      <x:c r="T178" s="9"/>
      <x:c r="U178" s="9"/>
      <x:c r="V178" s="67">
        <x:v>-2.0892409999999999</x:v>
      </x:c>
      <x:c r="W178" s="9">
        <x:v>106.096075</x:v>
      </x:c>
      <x:c r="X178" s="9"/>
      <x:c r="Y178" s="47"/>
      <x:c r="Z178" s="26" t="s">
        <x:v>50</x:v>
      </x:c>
      <x:c r="AA178" s="39" t="s">
        <x:v>51</x:v>
      </x:c>
      <x:c r="AB178" s="71">
        <x:v>46220</x:v>
      </x:c>
      <x:c r="AC178" s="41" t="s">
        <x:v>52</x:v>
      </x:c>
      <x:c r="AD178">
        <x:f t="shared" si="14"/>
        <x:v>1</x:v>
      </x:c>
      <x:c r="AE178">
        <x:f t="shared" si="15"/>
        <x:v>0.88888888888888884</x:v>
      </x:c>
      <x:c r="AF178" s="227"/>
      <x:c r="AG178" s="228"/>
      <x:c r="AH178" s="229"/>
    </x:row>
    <x:row r="179" ht="25">
      <x:c r="A179" s="27" t="s">
        <x:v>679</x:v>
      </x:c>
      <x:c r="B179" s="9" t="s">
        <x:v>680</x:v>
      </x:c>
      <x:c r="C179" s="5" t="s">
        <x:v>39</x:v>
      </x:c>
      <x:c r="D179" s="9" t="s">
        <x:v>75</x:v>
      </x:c>
      <x:c r="E179" s="9" t="s">
        <x:v>87</x:v>
      </x:c>
      <x:c r="F179" s="5" t="s">
        <x:v>88</x:v>
      </x:c>
      <x:c r="G179" s="5" t="s">
        <x:v>681</x:v>
      </x:c>
      <x:c r="H179" s="15" t="s">
        <x:v>478</x:v>
      </x:c>
      <x:c r="I179" s="15" t="s">
        <x:v>62</x:v>
      </x:c>
      <x:c r="J179" s="5">
        <x:v>2018</x:v>
      </x:c>
      <x:c r="K179" s="15">
        <x:v>35</x:v>
      </x:c>
      <x:c r="L179" s="9">
        <x:v>35</x:v>
      </x:c>
      <x:c r="M179" s="15">
        <x:v>35</x:v>
      </x:c>
      <x:c r="N179" s="15" t="s">
        <x:v>64</x:v>
      </x:c>
      <x:c r="O179" s="5"/>
      <x:c r="P179" s="5"/>
      <x:c r="Q179" s="21" t="s">
        <x:v>93</x:v>
      </x:c>
      <x:c r="R179" s="21"/>
      <x:c r="S179" s="17" t="s">
        <x:v>242</x:v>
      </x:c>
      <x:c r="T179" s="9"/>
      <x:c r="U179" s="9"/>
      <x:c r="V179" s="67">
        <x:v>-2.090052</x:v>
      </x:c>
      <x:c r="W179" s="9">
        <x:v>106.094559</x:v>
      </x:c>
      <x:c r="X179" s="9"/>
      <x:c r="Y179" s="47"/>
      <x:c r="Z179" s="26" t="s">
        <x:v>50</x:v>
      </x:c>
      <x:c r="AA179" s="39" t="s">
        <x:v>51</x:v>
      </x:c>
      <x:c r="AB179" s="71">
        <x:v>46220</x:v>
      </x:c>
      <x:c r="AC179" s="41" t="s">
        <x:v>52</x:v>
      </x:c>
      <x:c r="AD179">
        <x:f t="shared" si="14"/>
        <x:v>1</x:v>
      </x:c>
      <x:c r="AE179">
        <x:f t="shared" si="15"/>
        <x:v>1</x:v>
      </x:c>
      <x:c r="AF179" s="227"/>
      <x:c r="AG179" s="228"/>
      <x:c r="AH179" s="229"/>
    </x:row>
    <x:row r="180" ht="25">
      <x:c r="A180" s="27" t="s">
        <x:v>682</x:v>
      </x:c>
      <x:c r="B180" s="9" t="s">
        <x:v>683</x:v>
      </x:c>
      <x:c r="C180" s="5" t="s">
        <x:v>39</x:v>
      </x:c>
      <x:c r="D180" s="9" t="s">
        <x:v>75</x:v>
      </x:c>
      <x:c r="E180" s="9" t="s">
        <x:v>114</x:v>
      </x:c>
      <x:c r="F180" s="5" t="s">
        <x:v>684</x:v>
      </x:c>
      <x:c r="G180" s="5" t="s">
        <x:v>681</x:v>
      </x:c>
      <x:c r="H180" s="15" t="s">
        <x:v>478</x:v>
      </x:c>
      <x:c r="I180" s="15" t="s">
        <x:v>62</x:v>
      </x:c>
      <x:c r="J180" s="5">
        <x:v>2019</x:v>
      </x:c>
      <x:c r="K180" s="15">
        <x:v>29</x:v>
      </x:c>
      <x:c r="L180" s="9">
        <x:v>29</x:v>
      </x:c>
      <x:c r="M180" s="15">
        <x:v>29</x:v>
      </x:c>
      <x:c r="N180" s="15" t="s">
        <x:v>64</x:v>
      </x:c>
      <x:c r="O180" s="5"/>
      <x:c r="P180" s="5"/>
      <x:c r="Q180" s="21" t="s">
        <x:v>93</x:v>
      </x:c>
      <x:c r="R180" s="21"/>
      <x:c r="S180" s="17" t="s">
        <x:v>242</x:v>
      </x:c>
      <x:c r="T180" s="9"/>
      <x:c r="U180" s="9"/>
      <x:c r="V180" s="67">
        <x:v>-2.0964974999999999</x:v>
      </x:c>
      <x:c r="W180" s="9">
        <x:v>106.1040895</x:v>
      </x:c>
      <x:c r="X180" s="9"/>
      <x:c r="Y180" s="47"/>
      <x:c r="Z180" s="26" t="s">
        <x:v>50</x:v>
      </x:c>
      <x:c r="AA180" s="39" t="s">
        <x:v>51</x:v>
      </x:c>
      <x:c r="AB180" s="71">
        <x:v>46220</x:v>
      </x:c>
      <x:c r="AC180" s="41" t="s">
        <x:v>52</x:v>
      </x:c>
      <x:c r="AD180">
        <x:f t="shared" si="14"/>
        <x:v>1</x:v>
      </x:c>
      <x:c r="AE180">
        <x:f t="shared" si="15"/>
        <x:v>1</x:v>
      </x:c>
      <x:c r="AF180" s="227"/>
      <x:c r="AG180" s="228"/>
      <x:c r="AH180" s="229"/>
    </x:row>
    <x:row r="181" ht="25">
      <x:c r="A181" s="27" t="s">
        <x:v>685</x:v>
      </x:c>
      <x:c r="B181" s="9" t="s">
        <x:v>686</x:v>
      </x:c>
      <x:c r="C181" s="5" t="s">
        <x:v>39</x:v>
      </x:c>
      <x:c r="D181" s="9" t="s">
        <x:v>75</x:v>
      </x:c>
      <x:c r="E181" s="9" t="s">
        <x:v>114</x:v>
      </x:c>
      <x:c r="F181" s="5" t="s">
        <x:v>286</x:v>
      </x:c>
      <x:c r="G181" s="5" t="s">
        <x:v>675</x:v>
      </x:c>
      <x:c r="H181" s="15" t="s">
        <x:v>687</x:v>
      </x:c>
      <x:c r="I181" s="15" t="s">
        <x:v>45</x:v>
      </x:c>
      <x:c r="J181" s="5">
        <x:v>2014</x:v>
      </x:c>
      <x:c r="K181" s="15">
        <x:v>174</x:v>
      </x:c>
      <x:c r="L181" s="9">
        <x:v>141</x:v>
      </x:c>
      <x:c r="M181" s="15">
        <x:v>141</x:v>
      </x:c>
      <x:c r="N181" s="15" t="s">
        <x:v>64</x:v>
      </x:c>
      <x:c r="O181" s="5"/>
      <x:c r="P181" s="5"/>
      <x:c r="Q181" s="21" t="s">
        <x:v>93</x:v>
      </x:c>
      <x:c r="R181" s="21"/>
      <x:c r="S181" s="18"/>
      <x:c r="T181" s="9" t="s">
        <x:v>49</x:v>
      </x:c>
      <x:c r="U181" s="9"/>
      <x:c r="V181" s="67">
        <x:v>-2.0814569999999999</x:v>
      </x:c>
      <x:c r="W181" s="9">
        <x:v>106.12316300000001</x:v>
      </x:c>
      <x:c r="X181" s="9"/>
      <x:c r="Y181" s="47"/>
      <x:c r="Z181" s="26" t="s">
        <x:v>50</x:v>
      </x:c>
      <x:c r="AA181" s="39" t="s">
        <x:v>51</x:v>
      </x:c>
      <x:c r="AB181" s="71">
        <x:v>46220</x:v>
      </x:c>
      <x:c r="AC181" s="41" t="s">
        <x:v>52</x:v>
      </x:c>
      <x:c r="AD181">
        <x:f t="shared" si="14"/>
        <x:v>0.81034482758620685</x:v>
      </x:c>
      <x:c r="AE181">
        <x:f t="shared" si="15"/>
        <x:v>1</x:v>
      </x:c>
      <x:c r="AF181" s="227"/>
      <x:c r="AG181" s="228"/>
      <x:c r="AH181" s="229"/>
    </x:row>
    <x:row r="182" ht="25">
      <x:c r="A182" s="27" t="s">
        <x:v>688</x:v>
      </x:c>
      <x:c r="B182" s="9" t="s">
        <x:v>689</x:v>
      </x:c>
      <x:c r="C182" s="5" t="s">
        <x:v>39</x:v>
      </x:c>
      <x:c r="D182" s="9" t="s">
        <x:v>75</x:v>
      </x:c>
      <x:c r="E182" s="9" t="s">
        <x:v>375</x:v>
      </x:c>
      <x:c r="F182" s="5" t="s">
        <x:v>690</x:v>
      </x:c>
      <x:c r="G182" s="5" t="s">
        <x:v>62</x:v>
      </x:c>
      <x:c r="H182" s="15" t="s">
        <x:v>62</x:v>
      </x:c>
      <x:c r="I182" s="15" t="s">
        <x:v>62</x:v>
      </x:c>
      <x:c r="J182" s="5">
        <x:v>2017</x:v>
      </x:c>
      <x:c r="K182" s="15">
        <x:v>24</x:v>
      </x:c>
      <x:c r="L182" s="9">
        <x:v>24</x:v>
      </x:c>
      <x:c r="M182" s="15">
        <x:v>24</x:v>
      </x:c>
      <x:c r="N182" s="15" t="s">
        <x:v>64</x:v>
      </x:c>
      <x:c r="O182" s="5"/>
      <x:c r="P182" s="5"/>
      <x:c r="Q182" s="21" t="s">
        <x:v>47</x:v>
      </x:c>
      <x:c r="R182" s="21"/>
      <x:c r="S182" s="18"/>
      <x:c r="T182" s="9"/>
      <x:c r="U182" s="9"/>
      <x:c r="V182" s="67">
        <x:v>-2.0943870000000002</x:v>
      </x:c>
      <x:c r="W182" s="9">
        <x:v>106.117035</x:v>
      </x:c>
      <x:c r="X182" s="9"/>
      <x:c r="Y182" s="47"/>
      <x:c r="Z182" s="26" t="s">
        <x:v>50</x:v>
      </x:c>
      <x:c r="AA182" s="39" t="s">
        <x:v>51</x:v>
      </x:c>
      <x:c r="AB182" s="71">
        <x:v>46220</x:v>
      </x:c>
      <x:c r="AC182" s="41" t="s">
        <x:v>52</x:v>
      </x:c>
      <x:c r="AD182">
        <x:f t="shared" si="14"/>
        <x:v>1</x:v>
      </x:c>
      <x:c r="AE182">
        <x:f t="shared" si="15"/>
        <x:v>1</x:v>
      </x:c>
      <x:c r="AF182" s="227"/>
      <x:c r="AG182" s="228"/>
      <x:c r="AH182" s="229"/>
    </x:row>
    <x:row r="183" ht="25">
      <x:c r="A183" s="27" t="s">
        <x:v>691</x:v>
      </x:c>
      <x:c r="B183" s="9" t="s">
        <x:v>692</x:v>
      </x:c>
      <x:c r="C183" s="5" t="s">
        <x:v>39</x:v>
      </x:c>
      <x:c r="D183" s="9" t="s">
        <x:v>75</x:v>
      </x:c>
      <x:c r="E183" s="9" t="s">
        <x:v>87</x:v>
      </x:c>
      <x:c r="F183" s="5" t="s">
        <x:v>693</x:v>
      </x:c>
      <x:c r="G183" s="5" t="s">
        <x:v>573</x:v>
      </x:c>
      <x:c r="H183" s="15" t="s">
        <x:v>62</x:v>
      </x:c>
      <x:c r="I183" s="15" t="s">
        <x:v>62</x:v>
      </x:c>
      <x:c r="J183" s="5">
        <x:v>2024</x:v>
      </x:c>
      <x:c r="K183" s="15">
        <x:v>26</x:v>
      </x:c>
      <x:c r="L183" s="9">
        <x:v>17</x:v>
      </x:c>
      <x:c r="M183" s="15">
        <x:v>4</x:v>
      </x:c>
      <x:c r="N183" s="15" t="s">
        <x:v>64</x:v>
      </x:c>
      <x:c r="O183" s="5"/>
      <x:c r="P183" s="5"/>
      <x:c r="Q183" s="21" t="s">
        <x:v>47</x:v>
      </x:c>
      <x:c r="R183" s="21" t="s">
        <x:v>110</x:v>
      </x:c>
      <x:c r="S183" s="18"/>
      <x:c r="T183" s="9"/>
      <x:c r="U183" s="9"/>
      <x:c r="V183" s="67">
        <x:v>-2.0900346999999999</x:v>
      </x:c>
      <x:c r="W183" s="9">
        <x:v>106.0923793</x:v>
      </x:c>
      <x:c r="X183" s="9"/>
      <x:c r="Y183" s="47"/>
      <x:c r="Z183" s="26" t="s">
        <x:v>50</x:v>
      </x:c>
      <x:c r="AA183" s="39" t="s">
        <x:v>51</x:v>
      </x:c>
      <x:c r="AB183" s="71">
        <x:v>46220</x:v>
      </x:c>
      <x:c r="AC183" s="41" t="s">
        <x:v>52</x:v>
      </x:c>
      <x:c r="AD183">
        <x:f t="shared" si="14"/>
        <x:v>0.65384615384615385</x:v>
      </x:c>
      <x:c r="AE183">
        <x:f t="shared" si="15"/>
        <x:v>0.23529411764705882</x:v>
      </x:c>
      <x:c r="AF183" s="227"/>
      <x:c r="AG183" s="228"/>
      <x:c r="AH183" s="229"/>
    </x:row>
    <x:row r="184" ht="25">
      <x:c r="A184" s="27" t="s">
        <x:v>694</x:v>
      </x:c>
      <x:c r="B184" s="9" t="s">
        <x:v>695</x:v>
      </x:c>
      <x:c r="C184" s="5" t="s">
        <x:v>39</x:v>
      </x:c>
      <x:c r="D184" s="9" t="s">
        <x:v>102</x:v>
      </x:c>
      <x:c r="E184" s="9" t="s">
        <x:v>277</x:v>
      </x:c>
      <x:c r="F184" s="5" t="s">
        <x:v>352</x:v>
      </x:c>
      <x:c r="G184" s="5" t="s">
        <x:v>62</x:v>
      </x:c>
      <x:c r="H184" s="15" t="s">
        <x:v>62</x:v>
      </x:c>
      <x:c r="I184" s="15" t="s">
        <x:v>62</x:v>
      </x:c>
      <x:c r="J184" s="5">
        <x:v>2017</x:v>
      </x:c>
      <x:c r="K184" s="15">
        <x:v>56</x:v>
      </x:c>
      <x:c r="L184" s="9">
        <x:v>0</x:v>
      </x:c>
      <x:c r="M184" s="15">
        <x:v>0</x:v>
      </x:c>
      <x:c r="N184" s="15" t="s">
        <x:v>64</x:v>
      </x:c>
      <x:c r="O184" s="5"/>
      <x:c r="P184" s="5"/>
      <x:c r="Q184" s="21" t="s">
        <x:v>89</x:v>
      </x:c>
      <x:c r="R184" s="21"/>
      <x:c r="S184" s="18"/>
      <x:c r="T184" s="9"/>
      <x:c r="U184" s="9"/>
      <x:c r="V184" s="67">
        <x:v>-2.1382370000000002</x:v>
      </x:c>
      <x:c r="W184" s="9">
        <x:v>106.1508</x:v>
      </x:c>
      <x:c r="X184" s="9"/>
      <x:c r="Y184" s="47"/>
      <x:c r="Z184" s="26" t="s">
        <x:v>50</x:v>
      </x:c>
      <x:c r="AA184" s="39" t="s">
        <x:v>51</x:v>
      </x:c>
      <x:c r="AB184" s="71">
        <x:v>46220</x:v>
      </x:c>
      <x:c r="AC184" s="41" t="s">
        <x:v>52</x:v>
      </x:c>
      <x:c r="AD184">
        <x:f t="shared" si="14"/>
        <x:v>0</x:v>
      </x:c>
      <x:c r="AE184">
        <x:f t="shared" si="15"/>
        <x:v>0</x:v>
      </x:c>
      <x:c r="AF184" s="227"/>
      <x:c r="AG184" s="228"/>
      <x:c r="AH184" s="229"/>
    </x:row>
    <x:row r="185" ht="25">
      <x:c r="A185" s="27" t="s">
        <x:v>696</x:v>
      </x:c>
      <x:c r="B185" s="9" t="s">
        <x:v>697</x:v>
      </x:c>
      <x:c r="C185" s="5" t="s">
        <x:v>39</x:v>
      </x:c>
      <x:c r="D185" s="9" t="s">
        <x:v>75</x:v>
      </x:c>
      <x:c r="E185" s="9" t="s">
        <x:v>375</x:v>
      </x:c>
      <x:c r="F185" s="5" t="s">
        <x:v>698</x:v>
      </x:c>
      <x:c r="G185" s="5" t="s">
        <x:v>699</x:v>
      </x:c>
      <x:c r="H185" s="15" t="s">
        <x:v>699</x:v>
      </x:c>
      <x:c r="I185" s="15" t="s">
        <x:v>62</x:v>
      </x:c>
      <x:c r="J185" s="5">
        <x:v>2017</x:v>
      </x:c>
      <x:c r="K185" s="15">
        <x:v>18</x:v>
      </x:c>
      <x:c r="L185" s="9">
        <x:v>18</x:v>
      </x:c>
      <x:c r="M185" s="15">
        <x:v>18</x:v>
      </x:c>
      <x:c r="N185" s="15" t="s">
        <x:v>64</x:v>
      </x:c>
      <x:c r="O185" s="5"/>
      <x:c r="P185" s="5"/>
      <x:c r="Q185" s="21" t="s">
        <x:v>47</x:v>
      </x:c>
      <x:c r="R185" s="21"/>
      <x:c r="S185" s="18"/>
      <x:c r="T185" s="9"/>
      <x:c r="U185" s="9"/>
      <x:c r="V185" s="67">
        <x:v>-2.099604555</x:v>
      </x:c>
      <x:c r="W185" s="9">
        <x:v>106.1074424</x:v>
      </x:c>
      <x:c r="X185" s="9"/>
      <x:c r="Y185" s="47"/>
      <x:c r="Z185" s="26" t="s">
        <x:v>50</x:v>
      </x:c>
      <x:c r="AA185" s="39" t="s">
        <x:v>51</x:v>
      </x:c>
      <x:c r="AB185" s="71">
        <x:v>46220</x:v>
      </x:c>
      <x:c r="AC185" s="41" t="s">
        <x:v>52</x:v>
      </x:c>
      <x:c r="AD185">
        <x:f t="shared" si="14"/>
        <x:v>1</x:v>
      </x:c>
      <x:c r="AE185">
        <x:f t="shared" si="15"/>
        <x:v>1</x:v>
      </x:c>
      <x:c r="AF185" s="227"/>
      <x:c r="AG185" s="228"/>
      <x:c r="AH185" s="229"/>
    </x:row>
    <x:row r="186" ht="25">
      <x:c r="A186" s="27" t="s">
        <x:v>700</x:v>
      </x:c>
      <x:c r="B186" s="9" t="s">
        <x:v>701</x:v>
      </x:c>
      <x:c r="C186" s="5" t="s">
        <x:v>39</x:v>
      </x:c>
      <x:c r="D186" s="9" t="s">
        <x:v>75</x:v>
      </x:c>
      <x:c r="E186" s="9" t="s">
        <x:v>114</x:v>
      </x:c>
      <x:c r="F186" s="5" t="s">
        <x:v>99</x:v>
      </x:c>
      <x:c r="G186" s="5" t="s">
        <x:v>62</x:v>
      </x:c>
      <x:c r="H186" s="15" t="s">
        <x:v>62</x:v>
      </x:c>
      <x:c r="I186" s="15" t="s">
        <x:v>62</x:v>
      </x:c>
      <x:c r="J186" s="5">
        <x:v>2019</x:v>
      </x:c>
      <x:c r="K186" s="15">
        <x:v>26</x:v>
      </x:c>
      <x:c r="L186" s="9">
        <x:v>26</x:v>
      </x:c>
      <x:c r="M186" s="15">
        <x:v>26</x:v>
      </x:c>
      <x:c r="N186" s="15" t="s">
        <x:v>64</x:v>
      </x:c>
      <x:c r="O186" s="5"/>
      <x:c r="P186" s="5"/>
      <x:c r="Q186" s="21" t="s">
        <x:v>47</x:v>
      </x:c>
      <x:c r="R186" s="21" t="s">
        <x:v>110</x:v>
      </x:c>
      <x:c r="S186" s="18"/>
      <x:c r="T186" s="9"/>
      <x:c r="U186" s="9"/>
      <x:c r="V186" s="67">
        <x:v>-2.0878000000000001</x:v>
      </x:c>
      <x:c r="W186" s="9">
        <x:v>106.0942</x:v>
      </x:c>
      <x:c r="X186" s="9"/>
      <x:c r="Y186" s="47"/>
      <x:c r="Z186" s="26" t="s">
        <x:v>50</x:v>
      </x:c>
      <x:c r="AA186" s="39" t="s">
        <x:v>51</x:v>
      </x:c>
      <x:c r="AB186" s="71">
        <x:v>46220</x:v>
      </x:c>
      <x:c r="AC186" s="41" t="s">
        <x:v>52</x:v>
      </x:c>
      <x:c r="AD186">
        <x:f t="shared" si="14"/>
        <x:v>1</x:v>
      </x:c>
      <x:c r="AE186">
        <x:f t="shared" si="15"/>
        <x:v>1</x:v>
      </x:c>
      <x:c r="AF186" s="227"/>
      <x:c r="AG186" s="228"/>
      <x:c r="AH186" s="229"/>
    </x:row>
    <x:row r="187" ht="25">
      <x:c r="A187" s="27" t="s">
        <x:v>702</x:v>
      </x:c>
      <x:c r="B187" s="9" t="s">
        <x:v>703</x:v>
      </x:c>
      <x:c r="C187" s="5" t="s">
        <x:v>39</x:v>
      </x:c>
      <x:c r="D187" s="9" t="s">
        <x:v>40</x:v>
      </x:c>
      <x:c r="E187" s="9" t="s">
        <x:v>41</x:v>
      </x:c>
      <x:c r="F187" s="5" t="s">
        <x:v>704</x:v>
      </x:c>
      <x:c r="G187" s="5" t="s">
        <x:v>705</x:v>
      </x:c>
      <x:c r="H187" s="15" t="s">
        <x:v>706</x:v>
      </x:c>
      <x:c r="I187" s="15" t="s">
        <x:v>218</x:v>
      </x:c>
      <x:c r="J187" s="5">
        <x:v>2020</x:v>
      </x:c>
      <x:c r="K187" s="15">
        <x:v>41</x:v>
      </x:c>
      <x:c r="L187" s="9">
        <x:v>41</x:v>
      </x:c>
      <x:c r="M187" s="15">
        <x:v>41</x:v>
      </x:c>
      <x:c r="N187" s="15" t="s">
        <x:v>64</x:v>
      </x:c>
      <x:c r="O187" s="5"/>
      <x:c r="P187" s="5"/>
      <x:c r="Q187" s="21" t="s">
        <x:v>47</x:v>
      </x:c>
      <x:c r="R187" s="21" t="s">
        <x:v>110</x:v>
      </x:c>
      <x:c r="S187" s="18"/>
      <x:c r="T187" s="9"/>
      <x:c r="U187" s="9"/>
      <x:c r="V187" s="67">
        <x:v>-2.101111</x:v>
      </x:c>
      <x:c r="W187" s="9">
        <x:v>106.0888344</x:v>
      </x:c>
      <x:c r="X187" s="9"/>
      <x:c r="Y187" s="47"/>
      <x:c r="Z187" s="26" t="s">
        <x:v>50</x:v>
      </x:c>
      <x:c r="AA187" s="39" t="s">
        <x:v>51</x:v>
      </x:c>
      <x:c r="AB187" s="71">
        <x:v>46220</x:v>
      </x:c>
      <x:c r="AC187" s="41" t="s">
        <x:v>52</x:v>
      </x:c>
      <x:c r="AD187">
        <x:f t="shared" si="14"/>
        <x:v>1</x:v>
      </x:c>
      <x:c r="AE187">
        <x:f t="shared" si="15"/>
        <x:v>1</x:v>
      </x:c>
      <x:c r="AF187" s="227"/>
      <x:c r="AG187" s="228"/>
      <x:c r="AH187" s="229"/>
    </x:row>
    <x:row r="188" ht="25">
      <x:c r="A188" s="27" t="s">
        <x:v>707</x:v>
      </x:c>
      <x:c r="B188" s="9" t="s">
        <x:v>708</x:v>
      </x:c>
      <x:c r="C188" s="5" t="s">
        <x:v>39</x:v>
      </x:c>
      <x:c r="D188" s="9" t="s">
        <x:v>75</x:v>
      </x:c>
      <x:c r="E188" s="9" t="s">
        <x:v>114</x:v>
      </x:c>
      <x:c r="F188" s="5" t="s">
        <x:v>709</x:v>
      </x:c>
      <x:c r="G188" s="5" t="s">
        <x:v>710</x:v>
      </x:c>
      <x:c r="H188" s="15" t="s">
        <x:v>711</x:v>
      </x:c>
      <x:c r="I188" s="15" t="s">
        <x:v>107</x:v>
      </x:c>
      <x:c r="J188" s="5">
        <x:v>2019</x:v>
      </x:c>
      <x:c r="K188" s="15">
        <x:v>167</x:v>
      </x:c>
      <x:c r="L188" s="9">
        <x:v>167</x:v>
      </x:c>
      <x:c r="M188" s="15">
        <x:v>91</x:v>
      </x:c>
      <x:c r="N188" s="15" t="s">
        <x:v>64</x:v>
      </x:c>
      <x:c r="O188" s="5"/>
      <x:c r="P188" s="5"/>
      <x:c r="Q188" s="21" t="s">
        <x:v>47</x:v>
      </x:c>
      <x:c r="R188" s="21" t="s">
        <x:v>249</x:v>
      </x:c>
      <x:c r="S188" s="17" t="s">
        <x:v>48</x:v>
      </x:c>
      <x:c r="T188" s="9"/>
      <x:c r="U188" s="9"/>
      <x:c r="V188" s="67">
        <x:v>-2.0900110000000001</x:v>
      </x:c>
      <x:c r="W188" s="9">
        <x:v>106.10247200000001</x:v>
      </x:c>
      <x:c r="X188" s="9"/>
      <x:c r="Y188" s="47"/>
      <x:c r="Z188" s="26" t="s">
        <x:v>50</x:v>
      </x:c>
      <x:c r="AA188" s="39" t="s">
        <x:v>51</x:v>
      </x:c>
      <x:c r="AB188" s="71">
        <x:v>46220</x:v>
      </x:c>
      <x:c r="AC188" s="41" t="s">
        <x:v>52</x:v>
      </x:c>
      <x:c r="AD188">
        <x:f t="shared" si="14"/>
        <x:v>1</x:v>
      </x:c>
      <x:c r="AE188">
        <x:f t="shared" si="15"/>
        <x:v>0.54491017964071853</x:v>
      </x:c>
      <x:c r="AF188" s="227"/>
      <x:c r="AG188" s="228"/>
      <x:c r="AH188" s="229"/>
    </x:row>
    <x:row r="189" ht="25">
      <x:c r="A189" s="27" t="s">
        <x:v>712</x:v>
      </x:c>
      <x:c r="B189" s="9" t="s">
        <x:v>713</x:v>
      </x:c>
      <x:c r="C189" s="5" t="s">
        <x:v>39</x:v>
      </x:c>
      <x:c r="D189" s="9" t="s">
        <x:v>75</x:v>
      </x:c>
      <x:c r="E189" s="9" t="s">
        <x:v>114</x:v>
      </x:c>
      <x:c r="F189" s="5" t="s">
        <x:v>709</x:v>
      </x:c>
      <x:c r="G189" s="5" t="s">
        <x:v>710</x:v>
      </x:c>
      <x:c r="H189" s="15" t="s">
        <x:v>711</x:v>
      </x:c>
      <x:c r="I189" s="15" t="s">
        <x:v>107</x:v>
      </x:c>
      <x:c r="J189" s="5">
        <x:v>2022</x:v>
      </x:c>
      <x:c r="K189" s="15">
        <x:v>51</x:v>
      </x:c>
      <x:c r="L189" s="9">
        <x:v>0</x:v>
      </x:c>
      <x:c r="M189" s="15">
        <x:v>0</x:v>
      </x:c>
      <x:c r="N189" s="15" t="s">
        <x:v>64</x:v>
      </x:c>
      <x:c r="O189" s="5"/>
      <x:c r="P189" s="5"/>
      <x:c r="Q189" s="21" t="s">
        <x:v>47</x:v>
      </x:c>
      <x:c r="R189" s="21"/>
      <x:c r="S189" s="17" t="s">
        <x:v>48</x:v>
      </x:c>
      <x:c r="T189" s="9"/>
      <x:c r="U189" s="9"/>
      <x:c r="V189" s="67">
        <x:v>-2.0885655999999999</x:v>
      </x:c>
      <x:c r="W189" s="9">
        <x:v>106.09792659999999</x:v>
      </x:c>
      <x:c r="X189" s="9"/>
      <x:c r="Y189" s="47"/>
      <x:c r="Z189" s="26" t="s">
        <x:v>50</x:v>
      </x:c>
      <x:c r="AA189" s="39" t="s">
        <x:v>51</x:v>
      </x:c>
      <x:c r="AB189" s="71">
        <x:v>46220</x:v>
      </x:c>
      <x:c r="AC189" s="41" t="s">
        <x:v>52</x:v>
      </x:c>
      <x:c r="AD189">
        <x:f t="shared" si="14"/>
        <x:v>0</x:v>
      </x:c>
      <x:c r="AE189">
        <x:f t="shared" si="15"/>
        <x:v>0</x:v>
      </x:c>
      <x:c r="AF189" s="227"/>
      <x:c r="AG189" s="228"/>
      <x:c r="AH189" s="229"/>
    </x:row>
    <x:row r="190" ht="25">
      <x:c r="A190" s="27" t="s">
        <x:v>714</x:v>
      </x:c>
      <x:c r="B190" s="9" t="s">
        <x:v>715</x:v>
      </x:c>
      <x:c r="C190" s="5" t="s">
        <x:v>39</x:v>
      </x:c>
      <x:c r="D190" s="9" t="s">
        <x:v>102</x:v>
      </x:c>
      <x:c r="E190" s="9" t="s">
        <x:v>577</x:v>
      </x:c>
      <x:c r="F190" s="5" t="s">
        <x:v>716</x:v>
      </x:c>
      <x:c r="G190" s="5" t="s">
        <x:v>710</x:v>
      </x:c>
      <x:c r="H190" s="15" t="s">
        <x:v>711</x:v>
      </x:c>
      <x:c r="I190" s="15" t="s">
        <x:v>107</x:v>
      </x:c>
      <x:c r="J190" s="5">
        <x:v>2022</x:v>
      </x:c>
      <x:c r="K190" s="15">
        <x:v>116</x:v>
      </x:c>
      <x:c r="L190" s="9">
        <x:v>36</x:v>
      </x:c>
      <x:c r="M190" s="15">
        <x:v>33</x:v>
      </x:c>
      <x:c r="N190" s="15" t="s">
        <x:v>64</x:v>
      </x:c>
      <x:c r="O190" s="5"/>
      <x:c r="P190" s="5"/>
      <x:c r="Q190" s="21" t="s">
        <x:v>47</x:v>
      </x:c>
      <x:c r="R190" s="21"/>
      <x:c r="S190" s="17" t="s">
        <x:v>48</x:v>
      </x:c>
      <x:c r="T190" s="9"/>
      <x:c r="U190" s="9"/>
      <x:c r="V190" s="67">
        <x:v>-2.1283569999999998</x:v>
      </x:c>
      <x:c r="W190" s="9">
        <x:v>106.13170340000001</x:v>
      </x:c>
      <x:c r="X190" s="9"/>
      <x:c r="Y190" s="47"/>
      <x:c r="Z190" s="26" t="s">
        <x:v>50</x:v>
      </x:c>
      <x:c r="AA190" s="39" t="s">
        <x:v>51</x:v>
      </x:c>
      <x:c r="AB190" s="71">
        <x:v>46220</x:v>
      </x:c>
      <x:c r="AC190" s="41" t="s">
        <x:v>52</x:v>
      </x:c>
      <x:c r="AD190">
        <x:f t="shared" si="14"/>
        <x:v>0.31034482758620691</x:v>
      </x:c>
      <x:c r="AE190">
        <x:f t="shared" si="15"/>
        <x:v>0.91666666666666663</x:v>
      </x:c>
      <x:c r="AF190" s="227"/>
      <x:c r="AG190" s="228"/>
      <x:c r="AH190" s="229"/>
    </x:row>
    <x:row r="191" ht="25">
      <x:c r="A191" s="27" t="s">
        <x:v>717</x:v>
      </x:c>
      <x:c r="B191" s="9" t="s">
        <x:v>718</x:v>
      </x:c>
      <x:c r="C191" s="5" t="s">
        <x:v>226</x:v>
      </x:c>
      <x:c r="D191" s="9" t="s">
        <x:v>40</x:v>
      </x:c>
      <x:c r="E191" s="9" t="s">
        <x:v>41</x:v>
      </x:c>
      <x:c r="F191" s="5" t="s">
        <x:v>227</x:v>
      </x:c>
      <x:c r="G191" s="5" t="s">
        <x:v>710</x:v>
      </x:c>
      <x:c r="H191" s="15" t="s">
        <x:v>711</x:v>
      </x:c>
      <x:c r="I191" s="15" t="s">
        <x:v>107</x:v>
      </x:c>
      <x:c r="J191" s="5">
        <x:v>2022</x:v>
      </x:c>
      <x:c r="K191" s="15">
        <x:v>38</x:v>
      </x:c>
      <x:c r="L191" s="9">
        <x:v>26</x:v>
      </x:c>
      <x:c r="M191" s="15">
        <x:v>26</x:v>
      </x:c>
      <x:c r="N191" s="15" t="s">
        <x:v>46</x:v>
      </x:c>
      <x:c r="O191" s="5">
        <x:v>2025</x:v>
      </x:c>
      <x:c r="P191" s="5"/>
      <x:c r="Q191" s="21" t="s">
        <x:v>47</x:v>
      </x:c>
      <x:c r="R191" s="21"/>
      <x:c r="S191" s="17" t="s">
        <x:v>48</x:v>
      </x:c>
      <x:c r="T191" s="9"/>
      <x:c r="U191" s="9"/>
      <x:c r="V191" s="67">
        <x:v>-2.1216097</x:v>
      </x:c>
      <x:c r="W191" s="9">
        <x:v>106.0862723</x:v>
      </x:c>
      <x:c r="X191" s="9"/>
      <x:c r="Y191" s="47"/>
      <x:c r="Z191" s="26" t="s">
        <x:v>50</x:v>
      </x:c>
      <x:c r="AA191" s="39" t="s">
        <x:v>51</x:v>
      </x:c>
      <x:c r="AB191" s="71">
        <x:v>46220</x:v>
      </x:c>
      <x:c r="AC191" s="41" t="s">
        <x:v>52</x:v>
      </x:c>
      <x:c r="AD191">
        <x:f t="shared" si="14"/>
        <x:v>0.68421052631578949</x:v>
      </x:c>
      <x:c r="AE191">
        <x:f t="shared" si="15"/>
        <x:v>1</x:v>
      </x:c>
      <x:c r="AF191" s="227"/>
      <x:c r="AG191" s="228"/>
      <x:c r="AH191" s="229"/>
    </x:row>
    <x:row r="192" ht="25">
      <x:c r="A192" s="27" t="s">
        <x:v>719</x:v>
      </x:c>
      <x:c r="B192" s="9" t="s">
        <x:v>720</x:v>
      </x:c>
      <x:c r="C192" s="5" t="s">
        <x:v>39</x:v>
      </x:c>
      <x:c r="D192" s="9" t="s">
        <x:v>75</x:v>
      </x:c>
      <x:c r="E192" s="9" t="s">
        <x:v>87</x:v>
      </x:c>
      <x:c r="F192" s="5" t="s">
        <x:v>721</x:v>
      </x:c>
      <x:c r="G192" s="5" t="s">
        <x:v>710</x:v>
      </x:c>
      <x:c r="H192" s="15" t="s">
        <x:v>711</x:v>
      </x:c>
      <x:c r="I192" s="15" t="s">
        <x:v>107</x:v>
      </x:c>
      <x:c r="J192" s="5">
        <x:v>2023</x:v>
      </x:c>
      <x:c r="K192" s="15">
        <x:v>148</x:v>
      </x:c>
      <x:c r="L192" s="9">
        <x:v>116</x:v>
      </x:c>
      <x:c r="M192" s="15">
        <x:v>80</x:v>
      </x:c>
      <x:c r="N192" s="15" t="s">
        <x:v>64</x:v>
      </x:c>
      <x:c r="O192" s="5"/>
      <x:c r="P192" s="5"/>
      <x:c r="Q192" s="21" t="s">
        <x:v>47</x:v>
      </x:c>
      <x:c r="R192" s="21" t="s">
        <x:v>110</x:v>
      </x:c>
      <x:c r="S192" s="17" t="s">
        <x:v>48</x:v>
      </x:c>
      <x:c r="T192" s="9"/>
      <x:c r="U192" s="9"/>
      <x:c r="V192" s="67">
        <x:v>-2.0946505000000002</x:v>
      </x:c>
      <x:c r="W192" s="9">
        <x:v>106.091736</x:v>
      </x:c>
      <x:c r="X192" s="9"/>
      <x:c r="Y192" s="47"/>
      <x:c r="Z192" s="26" t="s">
        <x:v>50</x:v>
      </x:c>
      <x:c r="AA192" s="39" t="s">
        <x:v>51</x:v>
      </x:c>
      <x:c r="AB192" s="71">
        <x:v>46220</x:v>
      </x:c>
      <x:c r="AC192" s="41" t="s">
        <x:v>52</x:v>
      </x:c>
      <x:c r="AD192">
        <x:f t="shared" si="14"/>
        <x:v>0.78378378378378377</x:v>
      </x:c>
      <x:c r="AE192">
        <x:f t="shared" si="15"/>
        <x:v>0.68965517241379315</x:v>
      </x:c>
      <x:c r="AF192" s="227"/>
      <x:c r="AG192" s="228"/>
      <x:c r="AH192" s="229"/>
    </x:row>
    <x:row r="193" ht="25">
      <x:c r="A193" s="27" t="s">
        <x:v>722</x:v>
      </x:c>
      <x:c r="B193" s="9" t="s">
        <x:v>723</x:v>
      </x:c>
      <x:c r="C193" s="5" t="s">
        <x:v>39</x:v>
      </x:c>
      <x:c r="D193" s="9" t="s">
        <x:v>75</x:v>
      </x:c>
      <x:c r="E193" s="9" t="s">
        <x:v>87</x:v>
      </x:c>
      <x:c r="F193" s="5" t="s">
        <x:v>724</x:v>
      </x:c>
      <x:c r="G193" s="5" t="s">
        <x:v>710</x:v>
      </x:c>
      <x:c r="H193" s="15" t="s">
        <x:v>711</x:v>
      </x:c>
      <x:c r="I193" s="15" t="s">
        <x:v>107</x:v>
      </x:c>
      <x:c r="J193" s="5">
        <x:v>2023</x:v>
      </x:c>
      <x:c r="K193" s="15">
        <x:v>24</x:v>
      </x:c>
      <x:c r="L193" s="9">
        <x:v>0</x:v>
      </x:c>
      <x:c r="M193" s="15">
        <x:v>0</x:v>
      </x:c>
      <x:c r="N193" s="15" t="s">
        <x:v>64</x:v>
      </x:c>
      <x:c r="O193" s="5"/>
      <x:c r="P193" s="5"/>
      <x:c r="Q193" s="21" t="s">
        <x:v>47</x:v>
      </x:c>
      <x:c r="R193" s="21"/>
      <x:c r="S193" s="17" t="s">
        <x:v>48</x:v>
      </x:c>
      <x:c r="T193" s="9"/>
      <x:c r="U193" s="9"/>
      <x:c r="V193" s="67">
        <x:v>-2.0952259999999998</x:v>
      </x:c>
      <x:c r="W193" s="9">
        <x:v>106.0856861</x:v>
      </x:c>
      <x:c r="X193" s="9"/>
      <x:c r="Y193" s="47"/>
      <x:c r="Z193" s="26" t="s">
        <x:v>50</x:v>
      </x:c>
      <x:c r="AA193" s="39" t="s">
        <x:v>51</x:v>
      </x:c>
      <x:c r="AB193" s="71">
        <x:v>46220</x:v>
      </x:c>
      <x:c r="AC193" s="41" t="s">
        <x:v>52</x:v>
      </x:c>
      <x:c r="AD193">
        <x:f t="shared" si="14"/>
        <x:v>0</x:v>
      </x:c>
      <x:c r="AE193">
        <x:f t="shared" si="15"/>
        <x:v>0</x:v>
      </x:c>
      <x:c r="AF193" s="227"/>
      <x:c r="AG193" s="228"/>
      <x:c r="AH193" s="229"/>
    </x:row>
    <x:row r="194" ht="25">
      <x:c r="A194" s="27" t="s">
        <x:v>725</x:v>
      </x:c>
      <x:c r="B194" s="9" t="s">
        <x:v>726</x:v>
      </x:c>
      <x:c r="C194" s="5" t="s">
        <x:v>39</x:v>
      </x:c>
      <x:c r="D194" s="9" t="s">
        <x:v>75</x:v>
      </x:c>
      <x:c r="E194" s="9" t="s">
        <x:v>87</x:v>
      </x:c>
      <x:c r="F194" s="5" t="s">
        <x:v>149</x:v>
      </x:c>
      <x:c r="G194" s="5" t="s">
        <x:v>710</x:v>
      </x:c>
      <x:c r="H194" s="15" t="s">
        <x:v>711</x:v>
      </x:c>
      <x:c r="I194" s="15" t="s">
        <x:v>107</x:v>
      </x:c>
      <x:c r="J194" s="5">
        <x:v>2024</x:v>
      </x:c>
      <x:c r="K194" s="15">
        <x:v>47</x:v>
      </x:c>
      <x:c r="L194" s="9">
        <x:v>0</x:v>
      </x:c>
      <x:c r="M194" s="15">
        <x:v>0</x:v>
      </x:c>
      <x:c r="N194" s="15" t="s">
        <x:v>64</x:v>
      </x:c>
      <x:c r="O194" s="5"/>
      <x:c r="P194" s="5"/>
      <x:c r="Q194" s="21" t="s">
        <x:v>47</x:v>
      </x:c>
      <x:c r="R194" s="21"/>
      <x:c r="S194" s="17" t="s">
        <x:v>48</x:v>
      </x:c>
      <x:c r="T194" s="9"/>
      <x:c r="U194" s="9"/>
      <x:c r="V194" s="67">
        <x:v>-2.0995051</x:v>
      </x:c>
      <x:c r="W194" s="9">
        <x:v>106.0848124</x:v>
      </x:c>
      <x:c r="X194" s="9"/>
      <x:c r="Y194" s="47"/>
      <x:c r="Z194" s="26" t="s">
        <x:v>50</x:v>
      </x:c>
      <x:c r="AA194" s="39" t="s">
        <x:v>51</x:v>
      </x:c>
      <x:c r="AB194" s="71">
        <x:v>46220</x:v>
      </x:c>
      <x:c r="AC194" s="41" t="s">
        <x:v>52</x:v>
      </x:c>
      <x:c r="AD194">
        <x:f t="shared" si="14"/>
        <x:v>0</x:v>
      </x:c>
      <x:c r="AE194">
        <x:f t="shared" si="15"/>
        <x:v>0</x:v>
      </x:c>
      <x:c r="AF194" s="227"/>
      <x:c r="AG194" s="228"/>
      <x:c r="AH194" s="229"/>
    </x:row>
    <x:row r="195" ht="24.5" customHeight="1">
      <x:c r="A195" s="27" t="s">
        <x:v>727</x:v>
      </x:c>
      <x:c r="B195" s="9" t="s">
        <x:v>728</x:v>
      </x:c>
      <x:c r="C195" s="5" t="s">
        <x:v>39</x:v>
      </x:c>
      <x:c r="D195" s="9" t="s">
        <x:v>40</x:v>
      </x:c>
      <x:c r="E195" s="9" t="s">
        <x:v>177</x:v>
      </x:c>
      <x:c r="F195" s="5" t="s">
        <x:v>253</x:v>
      </x:c>
      <x:c r="G195" s="5" t="s">
        <x:v>710</x:v>
      </x:c>
      <x:c r="H195" s="15" t="s">
        <x:v>711</x:v>
      </x:c>
      <x:c r="I195" s="15" t="s">
        <x:v>107</x:v>
      </x:c>
      <x:c r="J195" s="5">
        <x:v>2025</x:v>
      </x:c>
      <x:c r="K195" s="15">
        <x:v>58</x:v>
      </x:c>
      <x:c r="L195" s="9">
        <x:v>41</x:v>
      </x:c>
      <x:c r="M195" s="15">
        <x:v>41</x:v>
      </x:c>
      <x:c r="N195" s="15" t="s">
        <x:v>64</x:v>
      </x:c>
      <x:c r="O195" s="5"/>
      <x:c r="P195" s="5">
        <x:v>982</x:v>
      </x:c>
      <x:c r="Q195" s="21" t="s">
        <x:v>47</x:v>
      </x:c>
      <x:c r="R195" s="21" t="s">
        <x:v>110</x:v>
      </x:c>
      <x:c r="S195" s="17" t="s">
        <x:v>48</x:v>
      </x:c>
      <x:c r="T195" s="9"/>
      <x:c r="U195" s="9"/>
      <x:c r="V195" s="67">
        <x:v>-2.1064083120000001</x:v>
      </x:c>
      <x:c r="W195" s="9">
        <x:v>106.09034276</x:v>
      </x:c>
      <x:c r="X195" s="9" t="s">
        <x:v>729</x:v>
      </x:c>
      <x:c r="Y195" s="47">
        <x:v>2026</x:v>
      </x:c>
      <x:c r="Z195" s="26" t="s">
        <x:v>50</x:v>
      </x:c>
      <x:c r="AA195" s="39" t="s">
        <x:v>223</x:v>
      </x:c>
      <x:c r="AB195" s="71">
        <x:v>46250</x:v>
      </x:c>
      <x:c r="AC195" s="41" t="s">
        <x:v>52</x:v>
      </x:c>
      <x:c r="AD195">
        <x:f t="shared" si="14"/>
        <x:v>0.7068965517241379</x:v>
      </x:c>
      <x:c r="AE195">
        <x:f t="shared" si="15"/>
        <x:v>1</x:v>
      </x:c>
      <x:c r="AF195" s="227">
        <x:v>8997</x:v>
      </x:c>
      <x:c r="AG195" s="228">
        <x:v>5439</x:v>
      </x:c>
      <x:c r="AH195" s="229">
        <x:v>3558</x:v>
      </x:c>
    </x:row>
    <x:row r="196" ht="25">
      <x:c r="A196" s="27" t="s">
        <x:v>730</x:v>
      </x:c>
      <x:c r="B196" s="9" t="s">
        <x:v>731</x:v>
      </x:c>
      <x:c r="C196" s="5" t="s">
        <x:v>39</x:v>
      </x:c>
      <x:c r="D196" s="9" t="s">
        <x:v>40</x:v>
      </x:c>
      <x:c r="E196" s="9" t="s">
        <x:v>55</x:v>
      </x:c>
      <x:c r="F196" s="5" t="s">
        <x:v>732</x:v>
      </x:c>
      <x:c r="G196" s="5" t="s">
        <x:v>293</x:v>
      </x:c>
      <x:c r="H196" s="15" t="s">
        <x:v>294</x:v>
      </x:c>
      <x:c r="I196" s="15" t="s">
        <x:v>142</x:v>
      </x:c>
      <x:c r="J196" s="5">
        <x:v>2020</x:v>
      </x:c>
      <x:c r="K196" s="15">
        <x:v>42</x:v>
      </x:c>
      <x:c r="L196" s="9">
        <x:v>42</x:v>
      </x:c>
      <x:c r="M196" s="15">
        <x:v>42</x:v>
      </x:c>
      <x:c r="N196" s="15" t="s">
        <x:v>64</x:v>
      </x:c>
      <x:c r="O196" s="5"/>
      <x:c r="P196" s="5"/>
      <x:c r="Q196" s="21" t="s">
        <x:v>47</x:v>
      </x:c>
      <x:c r="R196" s="21"/>
      <x:c r="S196" s="18"/>
      <x:c r="T196" s="9"/>
      <x:c r="U196" s="9"/>
      <x:c r="V196" s="67">
        <x:v>-2.1166117</x:v>
      </x:c>
      <x:c r="W196" s="9">
        <x:v>106.0875205</x:v>
      </x:c>
      <x:c r="X196" s="9"/>
      <x:c r="Y196" s="47"/>
      <x:c r="Z196" s="26" t="s">
        <x:v>50</x:v>
      </x:c>
      <x:c r="AA196" s="39" t="s">
        <x:v>51</x:v>
      </x:c>
      <x:c r="AB196" s="71">
        <x:v>46220</x:v>
      </x:c>
      <x:c r="AC196" s="41" t="s">
        <x:v>52</x:v>
      </x:c>
      <x:c r="AD196">
        <x:f t="shared" si="14"/>
        <x:v>1</x:v>
      </x:c>
      <x:c r="AE196">
        <x:f t="shared" si="15"/>
        <x:v>1</x:v>
      </x:c>
      <x:c r="AF196" s="227"/>
      <x:c r="AG196" s="228"/>
      <x:c r="AH196" s="229"/>
    </x:row>
    <x:row r="197" ht="25">
      <x:c r="A197" s="27" t="s">
        <x:v>733</x:v>
      </x:c>
      <x:c r="B197" s="9" t="s">
        <x:v>734</x:v>
      </x:c>
      <x:c r="C197" s="5" t="s">
        <x:v>39</x:v>
      </x:c>
      <x:c r="D197" s="9" t="s">
        <x:v>40</x:v>
      </x:c>
      <x:c r="E197" s="9" t="s">
        <x:v>41</x:v>
      </x:c>
      <x:c r="F197" s="5" t="s">
        <x:v>735</x:v>
      </x:c>
      <x:c r="G197" s="5" t="s">
        <x:v>62</x:v>
      </x:c>
      <x:c r="H197" s="15" t="s">
        <x:v>62</x:v>
      </x:c>
      <x:c r="I197" s="15" t="s">
        <x:v>62</x:v>
      </x:c>
      <x:c r="J197" s="5">
        <x:v>2016</x:v>
      </x:c>
      <x:c r="K197" s="15">
        <x:v>88</x:v>
      </x:c>
      <x:c r="L197" s="9">
        <x:v>88</x:v>
      </x:c>
      <x:c r="M197" s="15">
        <x:v>88</x:v>
      </x:c>
      <x:c r="N197" s="15" t="s">
        <x:v>64</x:v>
      </x:c>
      <x:c r="O197" s="5"/>
      <x:c r="P197" s="5"/>
      <x:c r="Q197" s="21" t="s">
        <x:v>47</x:v>
      </x:c>
      <x:c r="R197" s="21"/>
      <x:c r="S197" s="18"/>
      <x:c r="T197" s="9"/>
      <x:c r="U197" s="9"/>
      <x:c r="V197" s="67">
        <x:v>-2.101629</x:v>
      </x:c>
      <x:c r="W197" s="9">
        <x:v>106.0795565</x:v>
      </x:c>
      <x:c r="X197" s="9"/>
      <x:c r="Y197" s="47"/>
      <x:c r="Z197" s="26" t="s">
        <x:v>50</x:v>
      </x:c>
      <x:c r="AA197" s="39" t="s">
        <x:v>51</x:v>
      </x:c>
      <x:c r="AB197" s="71">
        <x:v>46220</x:v>
      </x:c>
      <x:c r="AC197" s="41" t="s">
        <x:v>52</x:v>
      </x:c>
      <x:c r="AD197">
        <x:f t="shared" si="14"/>
        <x:v>1</x:v>
      </x:c>
      <x:c r="AE197">
        <x:f t="shared" si="15"/>
        <x:v>1</x:v>
      </x:c>
      <x:c r="AF197" s="227"/>
      <x:c r="AG197" s="228"/>
      <x:c r="AH197" s="229"/>
    </x:row>
    <x:row r="198" ht="25">
      <x:c r="A198" s="27" t="s">
        <x:v>736</x:v>
      </x:c>
      <x:c r="B198" s="9" t="s">
        <x:v>737</x:v>
      </x:c>
      <x:c r="C198" s="5" t="s">
        <x:v>39</x:v>
      </x:c>
      <x:c r="D198" s="9" t="s">
        <x:v>75</x:v>
      </x:c>
      <x:c r="E198" s="9" t="s">
        <x:v>114</x:v>
      </x:c>
      <x:c r="F198" s="5" t="s">
        <x:v>316</x:v>
      </x:c>
      <x:c r="G198" s="5" t="s">
        <x:v>62</x:v>
      </x:c>
      <x:c r="H198" s="15" t="s">
        <x:v>62</x:v>
      </x:c>
      <x:c r="I198" s="15" t="s">
        <x:v>62</x:v>
      </x:c>
      <x:c r="J198" s="5">
        <x:v>2015</x:v>
      </x:c>
      <x:c r="K198" s="15">
        <x:v>249</x:v>
      </x:c>
      <x:c r="L198" s="9">
        <x:v>249</x:v>
      </x:c>
      <x:c r="M198" s="15">
        <x:v>249</x:v>
      </x:c>
      <x:c r="N198" s="15" t="s">
        <x:v>64</x:v>
      </x:c>
      <x:c r="O198" s="5"/>
      <x:c r="P198" s="5"/>
      <x:c r="Q198" s="21" t="s">
        <x:v>47</x:v>
      </x:c>
      <x:c r="R198" s="21"/>
      <x:c r="S198" s="18"/>
      <x:c r="T198" s="9"/>
      <x:c r="U198" s="9"/>
      <x:c r="V198" s="67">
        <x:v>-2.0903659999999999</x:v>
      </x:c>
      <x:c r="W198" s="9">
        <x:v>106.103634</x:v>
      </x:c>
      <x:c r="X198" s="9"/>
      <x:c r="Y198" s="47"/>
      <x:c r="Z198" s="26" t="s">
        <x:v>50</x:v>
      </x:c>
      <x:c r="AA198" s="39" t="s">
        <x:v>51</x:v>
      </x:c>
      <x:c r="AB198" s="71">
        <x:v>46220</x:v>
      </x:c>
      <x:c r="AC198" s="41" t="s">
        <x:v>52</x:v>
      </x:c>
      <x:c r="AD198">
        <x:f t="shared" si="14"/>
        <x:v>1</x:v>
      </x:c>
      <x:c r="AE198">
        <x:f t="shared" si="15"/>
        <x:v>1</x:v>
      </x:c>
      <x:c r="AF198" s="227"/>
      <x:c r="AG198" s="228"/>
      <x:c r="AH198" s="229"/>
    </x:row>
    <x:row r="199" ht="25">
      <x:c r="A199" s="27" t="s">
        <x:v>738</x:v>
      </x:c>
      <x:c r="B199" s="9" t="s">
        <x:v>739</x:v>
      </x:c>
      <x:c r="C199" s="5" t="s">
        <x:v>39</x:v>
      </x:c>
      <x:c r="D199" s="9" t="s">
        <x:v>75</x:v>
      </x:c>
      <x:c r="E199" s="9" t="s">
        <x:v>114</x:v>
      </x:c>
      <x:c r="F199" s="5" t="s">
        <x:v>740</x:v>
      </x:c>
      <x:c r="G199" s="5" t="s">
        <x:v>62</x:v>
      </x:c>
      <x:c r="H199" s="15" t="s">
        <x:v>62</x:v>
      </x:c>
      <x:c r="I199" s="15" t="s">
        <x:v>62</x:v>
      </x:c>
      <x:c r="J199" s="5">
        <x:v>2015</x:v>
      </x:c>
      <x:c r="K199" s="15">
        <x:v>151</x:v>
      </x:c>
      <x:c r="L199" s="9">
        <x:v>151</x:v>
      </x:c>
      <x:c r="M199" s="15">
        <x:v>151</x:v>
      </x:c>
      <x:c r="N199" s="15" t="s">
        <x:v>64</x:v>
      </x:c>
      <x:c r="O199" s="5"/>
      <x:c r="P199" s="5"/>
      <x:c r="Q199" s="21" t="s">
        <x:v>47</x:v>
      </x:c>
      <x:c r="R199" s="21"/>
      <x:c r="S199" s="17" t="s">
        <x:v>242</x:v>
      </x:c>
      <x:c r="T199" s="9"/>
      <x:c r="U199" s="9"/>
      <x:c r="V199" s="67">
        <x:v>-2.0896349999999999</x:v>
      </x:c>
      <x:c r="W199" s="9">
        <x:v>106.10897799999999</x:v>
      </x:c>
      <x:c r="X199" s="9"/>
      <x:c r="Y199" s="47"/>
      <x:c r="Z199" s="26" t="s">
        <x:v>50</x:v>
      </x:c>
      <x:c r="AA199" s="39" t="s">
        <x:v>51</x:v>
      </x:c>
      <x:c r="AB199" s="71">
        <x:v>46220</x:v>
      </x:c>
      <x:c r="AC199" s="41" t="s">
        <x:v>52</x:v>
      </x:c>
      <x:c r="AD199">
        <x:f t="shared" si="14"/>
        <x:v>1</x:v>
      </x:c>
      <x:c r="AE199">
        <x:f t="shared" si="15"/>
        <x:v>1</x:v>
      </x:c>
      <x:c r="AF199" s="227"/>
      <x:c r="AG199" s="228"/>
      <x:c r="AH199" s="229"/>
    </x:row>
    <x:row r="200" ht="25">
      <x:c r="A200" s="27" t="s">
        <x:v>741</x:v>
      </x:c>
      <x:c r="B200" s="9" t="s">
        <x:v>742</x:v>
      </x:c>
      <x:c r="C200" s="5" t="s">
        <x:v>39</x:v>
      </x:c>
      <x:c r="D200" s="9" t="s">
        <x:v>102</x:v>
      </x:c>
      <x:c r="E200" s="9" t="s">
        <x:v>277</x:v>
      </x:c>
      <x:c r="F200" s="5" t="s">
        <x:v>605</x:v>
      </x:c>
      <x:c r="G200" s="5" t="s">
        <x:v>743</x:v>
      </x:c>
      <x:c r="H200" s="15" t="s">
        <x:v>62</x:v>
      </x:c>
      <x:c r="I200" s="15" t="s">
        <x:v>45</x:v>
      </x:c>
      <x:c r="J200" s="5">
        <x:v>2017</x:v>
      </x:c>
      <x:c r="K200" s="15">
        <x:v>44</x:v>
      </x:c>
      <x:c r="L200" s="9">
        <x:v>44</x:v>
      </x:c>
      <x:c r="M200" s="15">
        <x:v>44</x:v>
      </x:c>
      <x:c r="N200" s="15" t="s">
        <x:v>46</x:v>
      </x:c>
      <x:c r="O200" s="5">
        <x:v>2022</x:v>
      </x:c>
      <x:c r="P200" s="5"/>
      <x:c r="Q200" s="21" t="s">
        <x:v>89</x:v>
      </x:c>
      <x:c r="R200" s="21" t="s">
        <x:v>143</x:v>
      </x:c>
      <x:c r="S200" s="17" t="s">
        <x:v>242</x:v>
      </x:c>
      <x:c r="T200" s="9"/>
      <x:c r="U200" s="9"/>
      <x:c r="V200" s="67">
        <x:v>-2.1338387000000001</x:v>
      </x:c>
      <x:c r="W200" s="9">
        <x:v>106.15800900000001</x:v>
      </x:c>
      <x:c r="X200" s="9"/>
      <x:c r="Y200" s="47"/>
      <x:c r="Z200" s="26" t="s">
        <x:v>50</x:v>
      </x:c>
      <x:c r="AA200" s="39" t="s">
        <x:v>51</x:v>
      </x:c>
      <x:c r="AB200" s="71">
        <x:v>46220</x:v>
      </x:c>
      <x:c r="AC200" s="41" t="s">
        <x:v>52</x:v>
      </x:c>
      <x:c r="AD200">
        <x:f t="shared" si="14"/>
        <x:v>1</x:v>
      </x:c>
      <x:c r="AE200">
        <x:f t="shared" si="15"/>
        <x:v>1</x:v>
      </x:c>
      <x:c r="AF200" s="227"/>
      <x:c r="AG200" s="228"/>
      <x:c r="AH200" s="229"/>
    </x:row>
    <x:row r="201" ht="25">
      <x:c r="A201" s="27" t="s">
        <x:v>744</x:v>
      </x:c>
      <x:c r="B201" s="9" t="s">
        <x:v>745</x:v>
      </x:c>
      <x:c r="C201" s="5" t="s">
        <x:v>39</x:v>
      </x:c>
      <x:c r="D201" s="9" t="s">
        <x:v>102</x:v>
      </x:c>
      <x:c r="E201" s="9" t="s">
        <x:v>277</x:v>
      </x:c>
      <x:c r="F201" s="5" t="s">
        <x:v>605</x:v>
      </x:c>
      <x:c r="G201" s="5" t="s">
        <x:v>743</x:v>
      </x:c>
      <x:c r="H201" s="15" t="s">
        <x:v>62</x:v>
      </x:c>
      <x:c r="I201" s="15" t="s">
        <x:v>45</x:v>
      </x:c>
      <x:c r="J201" s="5">
        <x:v>2018</x:v>
      </x:c>
      <x:c r="K201" s="15">
        <x:v>51</x:v>
      </x:c>
      <x:c r="L201" s="9">
        <x:v>51</x:v>
      </x:c>
      <x:c r="M201" s="15">
        <x:v>51</x:v>
      </x:c>
      <x:c r="N201" s="15" t="s">
        <x:v>46</x:v>
      </x:c>
      <x:c r="O201" s="5">
        <x:v>2022</x:v>
      </x:c>
      <x:c r="P201" s="5"/>
      <x:c r="Q201" s="21" t="s">
        <x:v>89</x:v>
      </x:c>
      <x:c r="R201" s="21" t="s">
        <x:v>143</x:v>
      </x:c>
      <x:c r="S201" s="17" t="s">
        <x:v>242</x:v>
      </x:c>
      <x:c r="T201" s="9"/>
      <x:c r="U201" s="9"/>
      <x:c r="V201" s="67"/>
      <x:c r="W201" s="9"/>
      <x:c r="X201" s="9"/>
      <x:c r="Y201" s="47"/>
      <x:c r="Z201" s="26" t="s">
        <x:v>50</x:v>
      </x:c>
      <x:c r="AA201" s="39" t="s">
        <x:v>51</x:v>
      </x:c>
      <x:c r="AB201" s="71">
        <x:v>46220</x:v>
      </x:c>
      <x:c r="AC201" s="41" t="s">
        <x:v>52</x:v>
      </x:c>
      <x:c r="AD201">
        <x:f t="shared" si="14"/>
        <x:v>1</x:v>
      </x:c>
      <x:c r="AE201">
        <x:f t="shared" si="15"/>
        <x:v>1</x:v>
      </x:c>
      <x:c r="AF201" s="227"/>
      <x:c r="AG201" s="228"/>
      <x:c r="AH201" s="229"/>
    </x:row>
    <x:row r="202" ht="25">
      <x:c r="A202" s="27" t="s">
        <x:v>746</x:v>
      </x:c>
      <x:c r="B202" s="9" t="s">
        <x:v>747</x:v>
      </x:c>
      <x:c r="C202" s="5" t="s">
        <x:v>39</x:v>
      </x:c>
      <x:c r="D202" s="9" t="s">
        <x:v>102</x:v>
      </x:c>
      <x:c r="E202" s="9" t="s">
        <x:v>277</x:v>
      </x:c>
      <x:c r="F202" s="5" t="s">
        <x:v>605</x:v>
      </x:c>
      <x:c r="G202" s="5" t="s">
        <x:v>743</x:v>
      </x:c>
      <x:c r="H202" s="15" t="s">
        <x:v>62</x:v>
      </x:c>
      <x:c r="I202" s="15" t="s">
        <x:v>45</x:v>
      </x:c>
      <x:c r="J202" s="5">
        <x:v>2018</x:v>
      </x:c>
      <x:c r="K202" s="15">
        <x:v>25</x:v>
      </x:c>
      <x:c r="L202" s="9">
        <x:v>25</x:v>
      </x:c>
      <x:c r="M202" s="15">
        <x:v>25</x:v>
      </x:c>
      <x:c r="N202" s="15" t="s">
        <x:v>46</x:v>
      </x:c>
      <x:c r="O202" s="5">
        <x:v>2022</x:v>
      </x:c>
      <x:c r="P202" s="5"/>
      <x:c r="Q202" s="21" t="s">
        <x:v>89</x:v>
      </x:c>
      <x:c r="R202" s="21" t="s">
        <x:v>143</x:v>
      </x:c>
      <x:c r="S202" s="17" t="s">
        <x:v>242</x:v>
      </x:c>
      <x:c r="T202" s="9"/>
      <x:c r="U202" s="9"/>
      <x:c r="V202" s="67"/>
      <x:c r="W202" s="9"/>
      <x:c r="X202" s="9"/>
      <x:c r="Y202" s="47"/>
      <x:c r="Z202" s="26" t="s">
        <x:v>50</x:v>
      </x:c>
      <x:c r="AA202" s="39" t="s">
        <x:v>51</x:v>
      </x:c>
      <x:c r="AB202" s="71">
        <x:v>46220</x:v>
      </x:c>
      <x:c r="AC202" s="41" t="s">
        <x:v>52</x:v>
      </x:c>
      <x:c r="AD202">
        <x:f t="shared" si="14"/>
        <x:v>1</x:v>
      </x:c>
      <x:c r="AE202">
        <x:f t="shared" si="15"/>
        <x:v>1</x:v>
      </x:c>
      <x:c r="AF202" s="227"/>
      <x:c r="AG202" s="228"/>
      <x:c r="AH202" s="229"/>
    </x:row>
    <x:row r="203" ht="25">
      <x:c r="A203" s="27" t="s">
        <x:v>748</x:v>
      </x:c>
      <x:c r="B203" s="9" t="s">
        <x:v>749</x:v>
      </x:c>
      <x:c r="C203" s="5" t="s">
        <x:v>39</x:v>
      </x:c>
      <x:c r="D203" s="9" t="s">
        <x:v>102</x:v>
      </x:c>
      <x:c r="E203" s="9" t="s">
        <x:v>277</x:v>
      </x:c>
      <x:c r="F203" s="5" t="s">
        <x:v>605</x:v>
      </x:c>
      <x:c r="G203" s="5" t="s">
        <x:v>743</x:v>
      </x:c>
      <x:c r="H203" s="15" t="s">
        <x:v>62</x:v>
      </x:c>
      <x:c r="I203" s="15" t="s">
        <x:v>45</x:v>
      </x:c>
      <x:c r="J203" s="5">
        <x:v>2019</x:v>
      </x:c>
      <x:c r="K203" s="15">
        <x:v>84</x:v>
      </x:c>
      <x:c r="L203" s="9">
        <x:v>84</x:v>
      </x:c>
      <x:c r="M203" s="15">
        <x:v>84</x:v>
      </x:c>
      <x:c r="N203" s="15" t="s">
        <x:v>46</x:v>
      </x:c>
      <x:c r="O203" s="5">
        <x:v>2022</x:v>
      </x:c>
      <x:c r="P203" s="5"/>
      <x:c r="Q203" s="21" t="s">
        <x:v>47</x:v>
      </x:c>
      <x:c r="R203" s="21" t="s">
        <x:v>143</x:v>
      </x:c>
      <x:c r="S203" s="17" t="s">
        <x:v>242</x:v>
      </x:c>
      <x:c r="T203" s="9"/>
      <x:c r="U203" s="9"/>
      <x:c r="V203" s="67">
        <x:v>-2.1338387000000001</x:v>
      </x:c>
      <x:c r="W203" s="9">
        <x:v>106.15800900000001</x:v>
      </x:c>
      <x:c r="X203" s="9"/>
      <x:c r="Y203" s="47"/>
      <x:c r="Z203" s="26" t="s">
        <x:v>50</x:v>
      </x:c>
      <x:c r="AA203" s="39" t="s">
        <x:v>51</x:v>
      </x:c>
      <x:c r="AB203" s="71">
        <x:v>46220</x:v>
      </x:c>
      <x:c r="AC203" s="41" t="s">
        <x:v>52</x:v>
      </x:c>
      <x:c r="AD203">
        <x:f t="shared" si="14"/>
        <x:v>1</x:v>
      </x:c>
      <x:c r="AE203">
        <x:f t="shared" si="15"/>
        <x:v>1</x:v>
      </x:c>
      <x:c r="AF203" s="227"/>
      <x:c r="AG203" s="228"/>
      <x:c r="AH203" s="229"/>
    </x:row>
    <x:row r="204" ht="25">
      <x:c r="A204" s="27" t="s">
        <x:v>750</x:v>
      </x:c>
      <x:c r="B204" s="9" t="s">
        <x:v>751</x:v>
      </x:c>
      <x:c r="C204" s="5" t="s">
        <x:v>39</x:v>
      </x:c>
      <x:c r="D204" s="9" t="s">
        <x:v>102</x:v>
      </x:c>
      <x:c r="E204" s="9" t="s">
        <x:v>277</x:v>
      </x:c>
      <x:c r="F204" s="5" t="s">
        <x:v>605</x:v>
      </x:c>
      <x:c r="G204" s="5" t="s">
        <x:v>743</x:v>
      </x:c>
      <x:c r="H204" s="15" t="s">
        <x:v>62</x:v>
      </x:c>
      <x:c r="I204" s="15" t="s">
        <x:v>45</x:v>
      </x:c>
      <x:c r="J204" s="5">
        <x:v>2019</x:v>
      </x:c>
      <x:c r="K204" s="15">
        <x:v>22</x:v>
      </x:c>
      <x:c r="L204" s="9">
        <x:v>22</x:v>
      </x:c>
      <x:c r="M204" s="15">
        <x:v>22</x:v>
      </x:c>
      <x:c r="N204" s="15" t="s">
        <x:v>46</x:v>
      </x:c>
      <x:c r="O204" s="5">
        <x:v>2022</x:v>
      </x:c>
      <x:c r="P204" s="5"/>
      <x:c r="Q204" s="21" t="s">
        <x:v>47</x:v>
      </x:c>
      <x:c r="R204" s="21" t="s">
        <x:v>143</x:v>
      </x:c>
      <x:c r="S204" s="17" t="s">
        <x:v>242</x:v>
      </x:c>
      <x:c r="T204" s="9"/>
      <x:c r="U204" s="9"/>
      <x:c r="V204" s="67">
        <x:v>-2.1337893999999999</x:v>
      </x:c>
      <x:c r="W204" s="9">
        <x:v>106.1568065</x:v>
      </x:c>
      <x:c r="X204" s="9"/>
      <x:c r="Y204" s="47"/>
      <x:c r="Z204" s="26" t="s">
        <x:v>50</x:v>
      </x:c>
      <x:c r="AA204" s="39" t="s">
        <x:v>51</x:v>
      </x:c>
      <x:c r="AB204" s="71">
        <x:v>46220</x:v>
      </x:c>
      <x:c r="AC204" s="41" t="s">
        <x:v>52</x:v>
      </x:c>
      <x:c r="AD204">
        <x:f t="shared" si="14"/>
        <x:v>1</x:v>
      </x:c>
      <x:c r="AE204">
        <x:f t="shared" si="15"/>
        <x:v>1</x:v>
      </x:c>
      <x:c r="AF204" s="227"/>
      <x:c r="AG204" s="228"/>
      <x:c r="AH204" s="229"/>
    </x:row>
    <x:row r="205" ht="25">
      <x:c r="A205" s="27" t="s">
        <x:v>752</x:v>
      </x:c>
      <x:c r="B205" s="9" t="s">
        <x:v>753</x:v>
      </x:c>
      <x:c r="C205" s="5" t="s">
        <x:v>39</x:v>
      </x:c>
      <x:c r="D205" s="9" t="s">
        <x:v>75</x:v>
      </x:c>
      <x:c r="E205" s="9" t="s">
        <x:v>76</x:v>
      </x:c>
      <x:c r="F205" s="5" t="s">
        <x:v>754</x:v>
      </x:c>
      <x:c r="G205" s="5" t="s">
        <x:v>755</x:v>
      </x:c>
      <x:c r="H205" s="15" t="s">
        <x:v>756</x:v>
      </x:c>
      <x:c r="I205" s="15" t="s">
        <x:v>62</x:v>
      </x:c>
      <x:c r="J205" s="5">
        <x:v>2024</x:v>
      </x:c>
      <x:c r="K205" s="15">
        <x:v>35</x:v>
      </x:c>
      <x:c r="L205" s="9">
        <x:v>35</x:v>
      </x:c>
      <x:c r="M205" s="15">
        <x:v>35</x:v>
      </x:c>
      <x:c r="N205" s="15" t="s">
        <x:v>46</x:v>
      </x:c>
      <x:c r="O205" s="5">
        <x:v>2026</x:v>
      </x:c>
      <x:c r="P205" s="5"/>
      <x:c r="Q205" s="21" t="s">
        <x:v>47</x:v>
      </x:c>
      <x:c r="R205" s="21"/>
      <x:c r="S205" s="17" t="s">
        <x:v>48</x:v>
      </x:c>
      <x:c r="T205" s="9"/>
      <x:c r="U205" s="9"/>
      <x:c r="V205" s="67">
        <x:v>-2.1030367000000001</x:v>
      </x:c>
      <x:c r="W205" s="9">
        <x:v>106.09867819999999</x:v>
      </x:c>
      <x:c r="X205" s="9"/>
      <x:c r="Y205" s="47"/>
      <x:c r="Z205" s="26" t="s">
        <x:v>50</x:v>
      </x:c>
      <x:c r="AA205" s="39" t="s">
        <x:v>51</x:v>
      </x:c>
      <x:c r="AB205" s="71">
        <x:v>46220</x:v>
      </x:c>
      <x:c r="AC205" s="41" t="s">
        <x:v>52</x:v>
      </x:c>
      <x:c r="AD205">
        <x:f t="shared" si="14"/>
        <x:v>1</x:v>
      </x:c>
      <x:c r="AE205">
        <x:f t="shared" si="15"/>
        <x:v>1</x:v>
      </x:c>
      <x:c r="AF205" s="227"/>
      <x:c r="AG205" s="228"/>
      <x:c r="AH205" s="229"/>
    </x:row>
    <x:row r="206" ht="25">
      <x:c r="A206" s="27" t="s">
        <x:v>757</x:v>
      </x:c>
      <x:c r="B206" s="9" t="s">
        <x:v>758</x:v>
      </x:c>
      <x:c r="C206" s="5" t="s">
        <x:v>39</x:v>
      </x:c>
      <x:c r="D206" s="9" t="s">
        <x:v>40</x:v>
      </x:c>
      <x:c r="E206" s="9" t="s">
        <x:v>55</x:v>
      </x:c>
      <x:c r="F206" s="5" t="s">
        <x:v>759</x:v>
      </x:c>
      <x:c r="G206" s="5" t="s">
        <x:v>755</x:v>
      </x:c>
      <x:c r="H206" s="15" t="s">
        <x:v>756</x:v>
      </x:c>
      <x:c r="I206" s="15" t="s">
        <x:v>62</x:v>
      </x:c>
      <x:c r="J206" s="5">
        <x:v>2026</x:v>
      </x:c>
      <x:c r="K206" s="15">
        <x:v>54</x:v>
      </x:c>
      <x:c r="L206" s="9">
        <x:v>0</x:v>
      </x:c>
      <x:c r="M206" s="15">
        <x:v>0</x:v>
      </x:c>
      <x:c r="N206" s="15" t="s">
        <x:v>64</x:v>
      </x:c>
      <x:c r="O206" s="5"/>
      <x:c r="P206" s="5"/>
      <x:c r="Q206" s="21" t="s">
        <x:v>47</x:v>
      </x:c>
      <x:c r="R206" s="21" t="s">
        <x:v>110</x:v>
      </x:c>
      <x:c r="S206" s="17" t="s">
        <x:v>48</x:v>
      </x:c>
      <x:c r="T206" s="9"/>
      <x:c r="U206" s="9"/>
      <x:c r="V206" s="67"/>
      <x:c r="W206" s="9"/>
      <x:c r="X206" s="9"/>
      <x:c r="Y206" s="47"/>
      <x:c r="Z206" s="26" t="s">
        <x:v>50</x:v>
      </x:c>
      <x:c r="AA206" s="39" t="s">
        <x:v>51</x:v>
      </x:c>
      <x:c r="AB206" s="71">
        <x:v>46220</x:v>
      </x:c>
      <x:c r="AC206" s="41" t="s">
        <x:v>52</x:v>
      </x:c>
      <x:c r="AF206" s="227"/>
      <x:c r="AG206" s="228"/>
      <x:c r="AH206" s="229"/>
    </x:row>
    <x:row r="207" ht="25">
      <x:c r="A207" s="27" t="s">
        <x:v>760</x:v>
      </x:c>
      <x:c r="B207" s="9" t="s">
        <x:v>761</x:v>
      </x:c>
      <x:c r="C207" s="5" t="s">
        <x:v>39</x:v>
      </x:c>
      <x:c r="D207" s="9" t="s">
        <x:v>75</x:v>
      </x:c>
      <x:c r="E207" s="9" t="s">
        <x:v>114</x:v>
      </x:c>
      <x:c r="F207" s="5" t="s">
        <x:v>286</x:v>
      </x:c>
      <x:c r="G207" s="5" t="s">
        <x:v>62</x:v>
      </x:c>
      <x:c r="H207" s="15" t="s">
        <x:v>62</x:v>
      </x:c>
      <x:c r="I207" s="15" t="s">
        <x:v>62</x:v>
      </x:c>
      <x:c r="J207" s="5">
        <x:v>2015</x:v>
      </x:c>
      <x:c r="K207" s="15">
        <x:v>61</x:v>
      </x:c>
      <x:c r="L207" s="9">
        <x:v>61</x:v>
      </x:c>
      <x:c r="M207" s="15">
        <x:v>61</x:v>
      </x:c>
      <x:c r="N207" s="15" t="s">
        <x:v>64</x:v>
      </x:c>
      <x:c r="O207" s="5"/>
      <x:c r="P207" s="5"/>
      <x:c r="Q207" s="21" t="s">
        <x:v>47</x:v>
      </x:c>
      <x:c r="R207" s="21" t="s">
        <x:v>110</x:v>
      </x:c>
      <x:c r="S207" s="18"/>
      <x:c r="T207" s="9"/>
      <x:c r="U207" s="9"/>
      <x:c r="V207" s="67">
        <x:v>-2.0791229000000002</x:v>
      </x:c>
      <x:c r="W207" s="9">
        <x:v>106.12775739999999</x:v>
      </x:c>
      <x:c r="X207" s="9"/>
      <x:c r="Y207" s="47"/>
      <x:c r="Z207" s="26" t="s">
        <x:v>50</x:v>
      </x:c>
      <x:c r="AA207" s="39" t="s">
        <x:v>51</x:v>
      </x:c>
      <x:c r="AB207" s="71">
        <x:v>46220</x:v>
      </x:c>
      <x:c r="AC207" s="41" t="s">
        <x:v>52</x:v>
      </x:c>
      <x:c r="AD207" t="n">
        <x:f>IF(A207="","",IFERROR(L207/K207,0))</x:f>
        <x:v>1</x:v>
      </x:c>
      <x:c r="AE207" t="n">
        <x:f>IF(A207="","",IFERROR(M207/L207,0))</x:f>
        <x:v>1</x:v>
      </x:c>
      <x:c r="AF207" s="227"/>
      <x:c r="AG207" s="228"/>
      <x:c r="AH207" s="229"/>
    </x:row>
    <x:row r="208" ht="25">
      <x:c r="A208" s="27" t="s">
        <x:v>762</x:v>
      </x:c>
      <x:c r="B208" s="9" t="s">
        <x:v>763</x:v>
      </x:c>
      <x:c r="C208" s="5" t="s">
        <x:v>226</x:v>
      </x:c>
      <x:c r="D208" s="9" t="s">
        <x:v>40</x:v>
      </x:c>
      <x:c r="E208" s="9" t="s">
        <x:v>252</x:v>
      </x:c>
      <x:c r="F208" s="5" t="s">
        <x:v>764</x:v>
      </x:c>
      <x:c r="G208" s="5" t="s">
        <x:v>62</x:v>
      </x:c>
      <x:c r="H208" s="15" t="s">
        <x:v>62</x:v>
      </x:c>
      <x:c r="I208" s="15" t="s">
        <x:v>62</x:v>
      </x:c>
      <x:c r="J208" s="5">
        <x:v>2018</x:v>
      </x:c>
      <x:c r="K208" s="15">
        <x:v>10</x:v>
      </x:c>
      <x:c r="L208" s="9">
        <x:v>10</x:v>
      </x:c>
      <x:c r="M208" s="15">
        <x:v>10</x:v>
      </x:c>
      <x:c r="N208" s="15" t="s">
        <x:v>64</x:v>
      </x:c>
      <x:c r="O208" s="5"/>
      <x:c r="P208" s="5"/>
      <x:c r="Q208" s="21" t="s">
        <x:v>47</x:v>
      </x:c>
      <x:c r="R208" s="21"/>
      <x:c r="S208" s="18"/>
      <x:c r="T208" s="9"/>
      <x:c r="U208" s="9"/>
      <x:c r="V208" s="67">
        <x:v>-2.1178539000000001</x:v>
      </x:c>
      <x:c r="W208" s="9">
        <x:v>106.0945468</x:v>
      </x:c>
      <x:c r="X208" s="9"/>
      <x:c r="Y208" s="47"/>
      <x:c r="Z208" s="26" t="s">
        <x:v>50</x:v>
      </x:c>
      <x:c r="AA208" s="39" t="s">
        <x:v>51</x:v>
      </x:c>
      <x:c r="AB208" s="71">
        <x:v>46220</x:v>
      </x:c>
      <x:c r="AC208" s="41" t="s">
        <x:v>52</x:v>
      </x:c>
      <x:c r="AD208" t="n">
        <x:f>IF(A208="","",IFERROR(L208/K208,0))</x:f>
        <x:v>1</x:v>
      </x:c>
      <x:c r="AE208" t="n">
        <x:f>IF(A208="","",IFERROR(M208/L208,0))</x:f>
        <x:v>1</x:v>
      </x:c>
      <x:c r="AF208" s="227"/>
      <x:c r="AG208" s="228"/>
      <x:c r="AH208" s="229"/>
    </x:row>
    <x:row r="209" ht="25">
      <x:c r="A209" s="27" t="s">
        <x:v>765</x:v>
      </x:c>
      <x:c r="B209" s="9" t="s">
        <x:v>766</x:v>
      </x:c>
      <x:c r="C209" s="5" t="s">
        <x:v>39</x:v>
      </x:c>
      <x:c r="D209" s="9" t="s">
        <x:v>102</x:v>
      </x:c>
      <x:c r="E209" s="9" t="s">
        <x:v>277</x:v>
      </x:c>
      <x:c r="F209" s="5" t="s">
        <x:v>215</x:v>
      </x:c>
      <x:c r="G209" s="5" t="s">
        <x:v>767</x:v>
      </x:c>
      <x:c r="H209" s="15" t="s">
        <x:v>62</x:v>
      </x:c>
      <x:c r="I209" s="15" t="s">
        <x:v>62</x:v>
      </x:c>
      <x:c r="J209" s="5"/>
      <x:c r="K209" s="15">
        <x:v>79</x:v>
      </x:c>
      <x:c r="L209" s="9">
        <x:v>79</x:v>
      </x:c>
      <x:c r="M209" s="15">
        <x:v>79</x:v>
      </x:c>
      <x:c r="N209" s="15" t="s">
        <x:v>64</x:v>
      </x:c>
      <x:c r="O209" s="5"/>
      <x:c r="P209" s="5"/>
      <x:c r="Q209" s="21" t="s">
        <x:v>47</x:v>
      </x:c>
      <x:c r="R209" s="21"/>
      <x:c r="S209" s="18"/>
      <x:c r="T209" s="9"/>
      <x:c r="U209" s="9"/>
      <x:c r="V209" s="67">
        <x:v>-2.1417353000000001</x:v>
      </x:c>
      <x:c r="W209" s="9">
        <x:v>106.16425479999999</x:v>
      </x:c>
      <x:c r="X209" s="9"/>
      <x:c r="Y209" s="47"/>
      <x:c r="Z209" s="26" t="s">
        <x:v>50</x:v>
      </x:c>
      <x:c r="AA209" s="39" t="s">
        <x:v>51</x:v>
      </x:c>
      <x:c r="AB209" s="71">
        <x:v>46220</x:v>
      </x:c>
      <x:c r="AC209" s="41" t="s">
        <x:v>52</x:v>
      </x:c>
      <x:c r="AD209" t="n">
        <x:f>IF(A209="","",IFERROR(L209/K209,0))</x:f>
        <x:v>1</x:v>
      </x:c>
      <x:c r="AE209" t="n">
        <x:f>IF(A209="","",IFERROR(M209/L209,0))</x:f>
        <x:v>1</x:v>
      </x:c>
      <x:c r="AF209" s="227"/>
      <x:c r="AG209" s="228"/>
      <x:c r="AH209" s="229"/>
    </x:row>
    <x:row r="210" ht="25">
      <x:c r="A210" s="27" t="s">
        <x:v>768</x:v>
      </x:c>
      <x:c r="B210" s="9" t="s">
        <x:v>769</x:v>
      </x:c>
      <x:c r="C210" s="5" t="s">
        <x:v>39</x:v>
      </x:c>
      <x:c r="D210" s="9" t="s">
        <x:v>40</x:v>
      </x:c>
      <x:c r="E210" s="9" t="s">
        <x:v>55</x:v>
      </x:c>
      <x:c r="F210" s="5" t="s">
        <x:v>770</x:v>
      </x:c>
      <x:c r="G210" s="5" t="s">
        <x:v>43</x:v>
      </x:c>
      <x:c r="H210" s="15" t="s">
        <x:v>44</x:v>
      </x:c>
      <x:c r="I210" s="15" t="s">
        <x:v>45</x:v>
      </x:c>
      <x:c r="J210" s="5">
        <x:v>2017</x:v>
      </x:c>
      <x:c r="K210" s="15">
        <x:v>48</x:v>
      </x:c>
      <x:c r="L210" s="9">
        <x:v>46</x:v>
      </x:c>
      <x:c r="M210" s="15">
        <x:v>46</x:v>
      </x:c>
      <x:c r="N210" s="15" t="s">
        <x:v>64</x:v>
      </x:c>
      <x:c r="O210" s="5"/>
      <x:c r="P210" s="5"/>
      <x:c r="Q210" s="21" t="s">
        <x:v>47</x:v>
      </x:c>
      <x:c r="R210" s="21"/>
      <x:c r="S210" s="18"/>
      <x:c r="T210" s="9"/>
      <x:c r="U210" s="9"/>
      <x:c r="V210" s="67">
        <x:v>-2.1175589000000001</x:v>
      </x:c>
      <x:c r="W210" s="9">
        <x:v>106.0662955</x:v>
      </x:c>
      <x:c r="X210" s="9"/>
      <x:c r="Y210" s="47"/>
      <x:c r="Z210" s="26" t="s">
        <x:v>50</x:v>
      </x:c>
      <x:c r="AA210" s="39" t="s">
        <x:v>51</x:v>
      </x:c>
      <x:c r="AB210" s="71">
        <x:v>46220</x:v>
      </x:c>
      <x:c r="AC210" s="41" t="s">
        <x:v>52</x:v>
      </x:c>
      <x:c r="AD210" t="n">
        <x:f>IF(A210="","",IFERROR(L210/K210,0))</x:f>
        <x:v>0.9583333333333334</x:v>
      </x:c>
      <x:c r="AE210" t="n">
        <x:f>IF(A210="","",IFERROR(M210/L210,0))</x:f>
        <x:v>1</x:v>
      </x:c>
      <x:c r="AF210" s="227"/>
      <x:c r="AG210" s="228"/>
      <x:c r="AH210" s="229"/>
    </x:row>
    <x:row r="211" ht="24" customHeight="1">
      <x:c r="A211" s="27" t="s">
        <x:v>771</x:v>
      </x:c>
      <x:c r="B211" s="9" t="s">
        <x:v>772</x:v>
      </x:c>
      <x:c r="C211" s="5" t="s">
        <x:v>39</x:v>
      </x:c>
      <x:c r="D211" s="9" t="s">
        <x:v>75</x:v>
      </x:c>
      <x:c r="E211" s="9" t="s">
        <x:v>87</x:v>
      </x:c>
      <x:c r="F211" s="5" t="s">
        <x:v>773</x:v>
      </x:c>
      <x:c r="G211" s="5" t="s">
        <x:v>774</x:v>
      </x:c>
      <x:c r="H211" s="15" t="s">
        <x:v>775</x:v>
      </x:c>
      <x:c r="I211" s="15"/>
      <x:c r="J211" s="5">
        <x:v>2026</x:v>
      </x:c>
      <x:c r="K211" s="15">
        <x:v>32</x:v>
      </x:c>
      <x:c r="L211" s="9">
        <x:v>0</x:v>
      </x:c>
      <x:c r="M211" s="15">
        <x:v>0</x:v>
      </x:c>
      <x:c r="N211" s="15" t="s">
        <x:v>64</x:v>
      </x:c>
      <x:c r="O211" s="5"/>
      <x:c r="P211" s="5">
        <x:v>644</x:v>
      </x:c>
      <x:c r="Q211" s="21" t="s">
        <x:v>47</x:v>
      </x:c>
      <x:c r="R211" s="21" t="s">
        <x:v>110</x:v>
      </x:c>
      <x:c r="S211" s="17" t="s">
        <x:v>48</x:v>
      </x:c>
      <x:c r="T211" s="9"/>
      <x:c r="U211" s="9"/>
      <x:c r="V211" s="67">
        <x:v>-2.096131347</x:v>
      </x:c>
      <x:c r="W211" s="9">
        <x:v>106.094989207</x:v>
      </x:c>
      <x:c r="X211" s="9" t="s">
        <x:v>776</x:v>
      </x:c>
      <x:c r="Y211" s="47">
        <x:v>2026</x:v>
      </x:c>
      <x:c r="Z211" s="26" t="s">
        <x:v>50</x:v>
      </x:c>
      <x:c r="AA211" s="39" t="s">
        <x:v>223</x:v>
      </x:c>
      <x:c r="AB211" s="71">
        <x:v>46250</x:v>
      </x:c>
      <x:c r="AC211" s="41" t="s">
        <x:v>52</x:v>
      </x:c>
      <x:c r="AF211" s="227"/>
      <x:c r="AG211" s="228"/>
      <x:c r="AH211" s="229"/>
    </x:row>
    <x:row r="212" ht="22.649999618530273" customHeight="1">
      <x:c r="A212" s="27" t="s">
        <x:v>777</x:v>
      </x:c>
      <x:c r="B212" s="9" t="s">
        <x:v>778</x:v>
      </x:c>
      <x:c r="C212" s="5" t="s">
        <x:v>39</x:v>
      </x:c>
      <x:c r="D212" s="9" t="s">
        <x:v>102</x:v>
      </x:c>
      <x:c r="E212" s="9" t="s">
        <x:v>103</x:v>
      </x:c>
      <x:c r="F212" s="5" t="s">
        <x:v>779</x:v>
      </x:c>
      <x:c r="G212" s="5" t="s">
        <x:v>774</x:v>
      </x:c>
      <x:c r="H212" s="15" t="s">
        <x:v>775</x:v>
      </x:c>
      <x:c r="I212" s="15"/>
      <x:c r="J212" s="5">
        <x:v>2026</x:v>
      </x:c>
      <x:c r="K212" s="15">
        <x:v>36</x:v>
      </x:c>
      <x:c r="L212" s="9">
        <x:v>0</x:v>
      </x:c>
      <x:c r="M212" s="15">
        <x:v>0</x:v>
      </x:c>
      <x:c r="N212" s="15" t="s">
        <x:v>64</x:v>
      </x:c>
      <x:c r="O212" s="5"/>
      <x:c r="P212" s="5">
        <x:v>522</x:v>
      </x:c>
      <x:c r="Q212" s="21" t="s">
        <x:v>47</x:v>
      </x:c>
      <x:c r="R212" s="21" t="s">
        <x:v>110</x:v>
      </x:c>
      <x:c r="S212" s="17" t="s">
        <x:v>48</x:v>
      </x:c>
      <x:c r="T212" s="9"/>
      <x:c r="U212" s="9"/>
      <x:c r="V212" s="67">
        <x:v>-2.146323368</x:v>
      </x:c>
      <x:c r="W212" s="9">
        <x:v>106.145476058</x:v>
      </x:c>
      <x:c r="X212" s="9" t="s">
        <x:v>780</x:v>
      </x:c>
      <x:c r="Y212" s="47">
        <x:v>2026</x:v>
      </x:c>
      <x:c r="Z212" s="26" t="s">
        <x:v>50</x:v>
      </x:c>
      <x:c r="AA212" s="39" t="s">
        <x:v>223</x:v>
      </x:c>
      <x:c r="AB212" s="71">
        <x:v>46250</x:v>
      </x:c>
      <x:c r="AC212" s="41" t="s">
        <x:v>52</x:v>
      </x:c>
      <x:c r="AF212" s="227"/>
      <x:c r="AG212" s="228"/>
      <x:c r="AH212" s="229"/>
    </x:row>
    <x:row r="213" ht="25">
      <x:c r="A213" s="27" t="s">
        <x:v>781</x:v>
      </x:c>
      <x:c r="B213" s="9" t="s">
        <x:v>782</x:v>
      </x:c>
      <x:c r="C213" s="5" t="s">
        <x:v>39</x:v>
      </x:c>
      <x:c r="D213" s="9" t="s">
        <x:v>75</x:v>
      </x:c>
      <x:c r="E213" s="9" t="s">
        <x:v>87</x:v>
      </x:c>
      <x:c r="F213" s="5" t="s">
        <x:v>783</x:v>
      </x:c>
      <x:c r="G213" s="5" t="s">
        <x:v>784</x:v>
      </x:c>
      <x:c r="H213" s="15" t="s">
        <x:v>785</x:v>
      </x:c>
      <x:c r="I213" s="15" t="s">
        <x:v>142</x:v>
      </x:c>
      <x:c r="J213" s="5">
        <x:v>2018</x:v>
      </x:c>
      <x:c r="K213" s="15">
        <x:v>102</x:v>
      </x:c>
      <x:c r="L213" s="9">
        <x:v>102</x:v>
      </x:c>
      <x:c r="M213" s="15">
        <x:v>102</x:v>
      </x:c>
      <x:c r="N213" s="15" t="s">
        <x:v>64</x:v>
      </x:c>
      <x:c r="O213" s="5"/>
      <x:c r="P213" s="5"/>
      <x:c r="Q213" s="21" t="s">
        <x:v>47</x:v>
      </x:c>
      <x:c r="R213" s="21"/>
      <x:c r="S213" s="17" t="s">
        <x:v>242</x:v>
      </x:c>
      <x:c r="T213" s="9"/>
      <x:c r="U213" s="9"/>
      <x:c r="V213" s="67">
        <x:v>-2.1016789999999999</x:v>
      </x:c>
      <x:c r="W213" s="9">
        <x:v>106.092687</x:v>
      </x:c>
      <x:c r="X213" s="9"/>
      <x:c r="Y213" s="47"/>
      <x:c r="Z213" s="26" t="s">
        <x:v>50</x:v>
      </x:c>
      <x:c r="AA213" s="39" t="s">
        <x:v>51</x:v>
      </x:c>
      <x:c r="AB213" s="71">
        <x:v>46220</x:v>
      </x:c>
      <x:c r="AC213" s="41" t="s">
        <x:v>52</x:v>
      </x:c>
      <x:c r="AD213" t="n">
        <x:f t="shared" ref="AD213:AD244" si="16">IF(A213="","",IFERROR(L213/K213,0))</x:f>
        <x:v>1</x:v>
      </x:c>
      <x:c r="AE213" t="n">
        <x:f t="shared" ref="AE213:AE244" si="17">IF(A213="","",IFERROR(M213/L213,0))</x:f>
        <x:v>1</x:v>
      </x:c>
      <x:c r="AF213" s="227"/>
      <x:c r="AG213" s="228"/>
      <x:c r="AH213" s="229"/>
    </x:row>
    <x:row r="214" ht="25">
      <x:c r="A214" s="27" t="s">
        <x:v>786</x:v>
      </x:c>
      <x:c r="B214" s="10" t="s">
        <x:v>787</x:v>
      </x:c>
      <x:c r="C214" s="6" t="s">
        <x:v>39</x:v>
      </x:c>
      <x:c r="D214" s="10" t="s">
        <x:v>75</x:v>
      </x:c>
      <x:c r="E214" s="10" t="s">
        <x:v>87</x:v>
      </x:c>
      <x:c r="F214" s="6" t="s">
        <x:v>783</x:v>
      </x:c>
      <x:c r="G214" s="6" t="s">
        <x:v>784</x:v>
      </x:c>
      <x:c r="H214" s="16" t="s">
        <x:v>785</x:v>
      </x:c>
      <x:c r="I214" s="16" t="s">
        <x:v>142</x:v>
      </x:c>
      <x:c r="J214" s="6">
        <x:v>2018</x:v>
      </x:c>
      <x:c r="K214" s="16">
        <x:v>25</x:v>
      </x:c>
      <x:c r="L214" s="10">
        <x:v>25</x:v>
      </x:c>
      <x:c r="M214" s="16">
        <x:v>25</x:v>
      </x:c>
      <x:c r="N214" s="16" t="s">
        <x:v>64</x:v>
      </x:c>
      <x:c r="O214" s="6"/>
      <x:c r="P214" s="6"/>
      <x:c r="Q214" s="21" t="s">
        <x:v>47</x:v>
      </x:c>
      <x:c r="R214" s="22"/>
      <x:c r="S214" s="17" t="s">
        <x:v>242</x:v>
      </x:c>
      <x:c r="T214" s="10"/>
      <x:c r="U214" s="10"/>
      <x:c r="V214" s="68">
        <x:v>-2.1004930000000002</x:v>
      </x:c>
      <x:c r="W214" s="10">
        <x:v>106.09254</x:v>
      </x:c>
      <x:c r="X214" s="10"/>
      <x:c r="Y214" s="48"/>
      <x:c r="Z214" s="26" t="s">
        <x:v>50</x:v>
      </x:c>
      <x:c r="AA214" s="39" t="s">
        <x:v>51</x:v>
      </x:c>
      <x:c r="AB214" s="71">
        <x:v>46220</x:v>
      </x:c>
      <x:c r="AC214" s="41" t="s">
        <x:v>52</x:v>
      </x:c>
      <x:c r="AD214">
        <x:f t="shared" si="16"/>
        <x:v>1</x:v>
      </x:c>
      <x:c r="AE214">
        <x:f t="shared" si="17"/>
        <x:v>1</x:v>
      </x:c>
      <x:c r="AF214" s="227"/>
      <x:c r="AG214" s="228"/>
      <x:c r="AH214" s="229"/>
    </x:row>
    <x:row r="215" s="43" customFormat="1" ht="25">
      <x:c r="A215" s="27" t="s">
        <x:v>788</x:v>
      </x:c>
      <x:c r="B215" s="42" t="s">
        <x:v>789</x:v>
      </x:c>
      <x:c r="C215" s="43" t="s">
        <x:v>39</x:v>
      </x:c>
      <x:c r="D215" s="42" t="s">
        <x:v>40</x:v>
      </x:c>
      <x:c r="E215" s="42" t="s">
        <x:v>41</x:v>
      </x:c>
      <x:c r="F215" s="43" t="s">
        <x:v>790</x:v>
      </x:c>
      <x:c r="G215" s="43" t="s">
        <x:v>399</x:v>
      </x:c>
      <x:c r="H215" s="43" t="s">
        <x:v>400</x:v>
      </x:c>
      <x:c r="I215" s="43" t="s">
        <x:v>62</x:v>
      </x:c>
      <x:c r="J215" s="43">
        <x:v>2022</x:v>
      </x:c>
      <x:c r="K215" s="43">
        <x:v>67</x:v>
      </x:c>
      <x:c r="L215" s="42">
        <x:v>67</x:v>
      </x:c>
      <x:c r="M215" s="43">
        <x:v>67</x:v>
      </x:c>
      <x:c r="N215" s="43" t="s">
        <x:v>64</x:v>
      </x:c>
      <x:c r="Q215" s="21" t="s">
        <x:v>47</x:v>
      </x:c>
      <x:c r="S215" s="42"/>
      <x:c r="T215" s="9" t="s">
        <x:v>49</x:v>
      </x:c>
      <x:c r="U215" s="42"/>
      <x:c r="V215" s="69">
        <x:v>-2.0975090000000001</x:v>
      </x:c>
      <x:c r="W215" s="42">
        <x:v>106.089961</x:v>
      </x:c>
      <x:c r="X215" s="42"/>
      <x:c r="Y215" s="44"/>
      <x:c r="Z215" s="26" t="s">
        <x:v>50</x:v>
      </x:c>
      <x:c r="AA215" s="39" t="s">
        <x:v>51</x:v>
      </x:c>
      <x:c r="AB215" s="71">
        <x:v>46220</x:v>
      </x:c>
      <x:c r="AC215" s="41" t="s">
        <x:v>52</x:v>
      </x:c>
      <x:c r="AD215" s="45">
        <x:f t="shared" si="16"/>
        <x:v>1</x:v>
      </x:c>
      <x:c r="AE215" s="45">
        <x:f t="shared" si="17"/>
        <x:v>1</x:v>
      </x:c>
      <x:c r="AF215" s="227"/>
      <x:c r="AG215" s="228"/>
      <x:c r="AH215" s="229"/>
    </x:row>
    <x:row r="216" s="43" customFormat="1" ht="25">
      <x:c r="A216" s="27" t="s">
        <x:v>791</x:v>
      </x:c>
      <x:c r="B216" s="42" t="s">
        <x:v>792</x:v>
      </x:c>
      <x:c r="C216" s="43" t="s">
        <x:v>39</x:v>
      </x:c>
      <x:c r="D216" s="42" t="s">
        <x:v>75</x:v>
      </x:c>
      <x:c r="E216" s="42" t="s">
        <x:v>87</x:v>
      </x:c>
      <x:c r="F216" s="43" t="s">
        <x:v>77</x:v>
      </x:c>
      <x:c r="G216" s="43" t="s">
        <x:v>793</x:v>
      </x:c>
      <x:c r="H216" s="43" t="s">
        <x:v>794</x:v>
      </x:c>
      <x:c r="I216" s="215" t="s">
        <x:v>218</x:v>
      </x:c>
      <x:c r="J216" s="43">
        <x:v>2018</x:v>
      </x:c>
      <x:c r="K216" s="43">
        <x:v>42</x:v>
      </x:c>
      <x:c r="L216" s="42">
        <x:v>33</x:v>
      </x:c>
      <x:c r="M216" s="43">
        <x:v>33</x:v>
      </x:c>
      <x:c r="N216" s="43" t="s">
        <x:v>64</x:v>
      </x:c>
      <x:c r="Q216" s="21" t="s">
        <x:v>47</x:v>
      </x:c>
      <x:c r="S216" s="42"/>
      <x:c r="T216" s="42"/>
      <x:c r="U216" s="42"/>
      <x:c r="V216" s="69">
        <x:v>-2.1016526</x:v>
      </x:c>
      <x:c r="W216" s="42">
        <x:v>106.08860610000001</x:v>
      </x:c>
      <x:c r="X216" s="42"/>
      <x:c r="Y216" s="44"/>
      <x:c r="Z216" s="26" t="s">
        <x:v>50</x:v>
      </x:c>
      <x:c r="AA216" s="39" t="s">
        <x:v>51</x:v>
      </x:c>
      <x:c r="AB216" s="71">
        <x:v>46220</x:v>
      </x:c>
      <x:c r="AC216" s="41" t="s">
        <x:v>52</x:v>
      </x:c>
      <x:c r="AD216" s="45">
        <x:f t="shared" si="16"/>
        <x:v>0.7857142857142857</x:v>
      </x:c>
      <x:c r="AE216" s="45">
        <x:f t="shared" si="17"/>
        <x:v>1</x:v>
      </x:c>
      <x:c r="AF216" s="227"/>
      <x:c r="AG216" s="228"/>
      <x:c r="AH216" s="229"/>
    </x:row>
    <x:row r="217" s="43" customFormat="1" ht="25">
      <x:c r="A217" s="27" t="s">
        <x:v>795</x:v>
      </x:c>
      <x:c r="B217" s="42" t="s">
        <x:v>796</x:v>
      </x:c>
      <x:c r="C217" s="43" t="s">
        <x:v>39</x:v>
      </x:c>
      <x:c r="D217" s="42" t="s">
        <x:v>102</x:v>
      </x:c>
      <x:c r="E217" s="42" t="s">
        <x:v>103</x:v>
      </x:c>
      <x:c r="F217" s="43" t="s">
        <x:v>797</x:v>
      </x:c>
      <x:c r="G217" s="43" t="s">
        <x:v>798</x:v>
      </x:c>
      <x:c r="H217" s="43" t="s">
        <x:v>799</x:v>
      </x:c>
      <x:c r="I217" s="43" t="s">
        <x:v>62</x:v>
      </x:c>
      <x:c r="J217" s="43">
        <x:v>2023</x:v>
      </x:c>
      <x:c r="K217" s="43">
        <x:v>43</x:v>
      </x:c>
      <x:c r="L217" s="42">
        <x:v>32</x:v>
      </x:c>
      <x:c r="M217" s="43">
        <x:v>26</x:v>
      </x:c>
      <x:c r="N217" s="43" t="s">
        <x:v>64</x:v>
      </x:c>
      <x:c r="Q217" s="21" t="s">
        <x:v>47</x:v>
      </x:c>
      <x:c r="S217" s="42"/>
      <x:c r="T217" s="42"/>
      <x:c r="U217" s="42"/>
      <x:c r="V217" s="69">
        <x:v>-2.1427999999999998</x:v>
      </x:c>
      <x:c r="W217" s="42">
        <x:v>106.137094</x:v>
      </x:c>
      <x:c r="X217" s="42"/>
      <x:c r="Y217" s="44"/>
      <x:c r="Z217" s="26" t="s">
        <x:v>50</x:v>
      </x:c>
      <x:c r="AA217" s="39" t="s">
        <x:v>51</x:v>
      </x:c>
      <x:c r="AB217" s="71">
        <x:v>46220</x:v>
      </x:c>
      <x:c r="AC217" s="41" t="s">
        <x:v>52</x:v>
      </x:c>
      <x:c r="AD217" s="45">
        <x:f t="shared" si="16"/>
        <x:v>0.7441860465116279</x:v>
      </x:c>
      <x:c r="AE217" s="45">
        <x:f t="shared" si="17"/>
        <x:v>0.8125</x:v>
      </x:c>
      <x:c r="AF217" s="227"/>
      <x:c r="AG217" s="228"/>
      <x:c r="AH217" s="229"/>
    </x:row>
    <x:row r="218" s="43" customFormat="1" ht="25">
      <x:c r="A218" s="27" t="s">
        <x:v>800</x:v>
      </x:c>
      <x:c r="B218" s="42" t="s">
        <x:v>801</x:v>
      </x:c>
      <x:c r="C218" s="43" t="s">
        <x:v>39</x:v>
      </x:c>
      <x:c r="D218" s="42" t="s">
        <x:v>40</x:v>
      </x:c>
      <x:c r="E218" s="42" t="s">
        <x:v>55</x:v>
      </x:c>
      <x:c r="F218" s="43" t="s">
        <x:v>61</x:v>
      </x:c>
      <x:c r="G218" s="43" t="s">
        <x:v>802</x:v>
      </x:c>
      <x:c r="H218" s="43" t="s">
        <x:v>803</x:v>
      </x:c>
      <x:c r="I218" s="43" t="s">
        <x:v>142</x:v>
      </x:c>
      <x:c r="J218" s="43">
        <x:v>2017</x:v>
      </x:c>
      <x:c r="K218" s="43">
        <x:v>97</x:v>
      </x:c>
      <x:c r="L218" s="42">
        <x:v>97</x:v>
      </x:c>
      <x:c r="M218" s="43">
        <x:v>95</x:v>
      </x:c>
      <x:c r="N218" s="43" t="s">
        <x:v>46</x:v>
      </x:c>
      <x:c r="O218" s="43">
        <x:v>2021</x:v>
      </x:c>
      <x:c r="Q218" s="43" t="s">
        <x:v>89</x:v>
      </x:c>
      <x:c r="R218" s="43" t="s">
        <x:v>143</x:v>
      </x:c>
      <x:c r="S218" s="42"/>
      <x:c r="T218" s="42"/>
      <x:c r="U218" s="42"/>
      <x:c r="V218" s="69">
        <x:v>-2.1243370000000001</x:v>
      </x:c>
      <x:c r="W218" s="42">
        <x:v>106.07397899999999</x:v>
      </x:c>
      <x:c r="X218" s="42"/>
      <x:c r="Y218" s="44"/>
      <x:c r="Z218" s="26" t="s">
        <x:v>50</x:v>
      </x:c>
      <x:c r="AA218" s="39" t="s">
        <x:v>51</x:v>
      </x:c>
      <x:c r="AB218" s="71">
        <x:v>46220</x:v>
      </x:c>
      <x:c r="AC218" s="41" t="s">
        <x:v>52</x:v>
      </x:c>
      <x:c r="AD218" s="45">
        <x:f t="shared" si="16"/>
        <x:v>1</x:v>
      </x:c>
      <x:c r="AE218" s="45">
        <x:f t="shared" si="17"/>
        <x:v>0.97938144329896903</x:v>
      </x:c>
      <x:c r="AF218" s="227"/>
      <x:c r="AG218" s="228"/>
      <x:c r="AH218" s="229"/>
    </x:row>
    <x:row r="219" s="43" customFormat="1" ht="25">
      <x:c r="A219" s="27" t="s">
        <x:v>804</x:v>
      </x:c>
      <x:c r="B219" s="42" t="s">
        <x:v>805</x:v>
      </x:c>
      <x:c r="C219" s="43" t="s">
        <x:v>39</x:v>
      </x:c>
      <x:c r="D219" s="42" t="s">
        <x:v>40</x:v>
      </x:c>
      <x:c r="E219" s="42" t="s">
        <x:v>41</x:v>
      </x:c>
      <x:c r="F219" s="43" t="s">
        <x:v>132</x:v>
      </x:c>
      <x:c r="G219" s="43" t="s">
        <x:v>806</x:v>
      </x:c>
      <x:c r="H219" s="43" t="s">
        <x:v>803</x:v>
      </x:c>
      <x:c r="I219" s="43" t="s">
        <x:v>142</x:v>
      </x:c>
      <x:c r="J219" s="43">
        <x:v>2020</x:v>
      </x:c>
      <x:c r="K219" s="43">
        <x:v>81</x:v>
      </x:c>
      <x:c r="L219" s="42">
        <x:v>65</x:v>
      </x:c>
      <x:c r="M219" s="43">
        <x:v>57</x:v>
      </x:c>
      <x:c r="N219" s="43" t="s">
        <x:v>64</x:v>
      </x:c>
      <x:c r="Q219" s="21" t="s">
        <x:v>47</x:v>
      </x:c>
      <x:c r="R219" s="21" t="s">
        <x:v>110</x:v>
      </x:c>
      <x:c r="S219" s="42"/>
      <x:c r="T219" s="42"/>
      <x:c r="U219" s="42"/>
      <x:c r="V219" s="69">
        <x:v>-2.103507</x:v>
      </x:c>
      <x:c r="W219" s="42">
        <x:v>106.05775800000001</x:v>
      </x:c>
      <x:c r="X219" s="42"/>
      <x:c r="Y219" s="44"/>
      <x:c r="Z219" s="26" t="s">
        <x:v>50</x:v>
      </x:c>
      <x:c r="AA219" s="39" t="s">
        <x:v>51</x:v>
      </x:c>
      <x:c r="AB219" s="71">
        <x:v>46220</x:v>
      </x:c>
      <x:c r="AC219" s="41" t="s">
        <x:v>52</x:v>
      </x:c>
      <x:c r="AD219" s="45">
        <x:f t="shared" si="16"/>
        <x:v>0.80246913580246915</x:v>
      </x:c>
      <x:c r="AE219" s="45">
        <x:f t="shared" si="17"/>
        <x:v>0.87692307692307692</x:v>
      </x:c>
      <x:c r="AF219" s="227"/>
      <x:c r="AG219" s="228"/>
      <x:c r="AH219" s="229"/>
    </x:row>
    <x:row r="220" s="43" customFormat="1" ht="25">
      <x:c r="A220" s="27" t="s">
        <x:v>807</x:v>
      </x:c>
      <x:c r="B220" s="42" t="s">
        <x:v>808</x:v>
      </x:c>
      <x:c r="C220" s="43" t="s">
        <x:v>39</x:v>
      </x:c>
      <x:c r="D220" s="42" t="s">
        <x:v>75</x:v>
      </x:c>
      <x:c r="E220" s="42" t="s">
        <x:v>114</x:v>
      </x:c>
      <x:c r="F220" s="43" t="s">
        <x:v>203</x:v>
      </x:c>
      <x:c r="G220" s="43" t="s">
        <x:v>204</x:v>
      </x:c>
      <x:c r="H220" s="43" t="s">
        <x:v>205</x:v>
      </x:c>
      <x:c r="I220" s="43" t="s">
        <x:v>80</x:v>
      </x:c>
      <x:c r="J220" s="43">
        <x:v>2017</x:v>
      </x:c>
      <x:c r="K220" s="43">
        <x:v>111</x:v>
      </x:c>
      <x:c r="L220" s="42">
        <x:v>111</x:v>
      </x:c>
      <x:c r="M220" s="43">
        <x:v>111</x:v>
      </x:c>
      <x:c r="N220" s="43" t="s">
        <x:v>64</x:v>
      </x:c>
      <x:c r="Q220" s="21" t="s">
        <x:v>47</x:v>
      </x:c>
      <x:c r="S220" s="42"/>
      <x:c r="T220" s="42"/>
      <x:c r="U220" s="42"/>
      <x:c r="V220" s="69">
        <x:v>-2.0895030000000001</x:v>
      </x:c>
      <x:c r="W220" s="42">
        <x:v>106.106718</x:v>
      </x:c>
      <x:c r="X220" s="42"/>
      <x:c r="Y220" s="44"/>
      <x:c r="Z220" s="26" t="s">
        <x:v>50</x:v>
      </x:c>
      <x:c r="AA220" s="39" t="s">
        <x:v>51</x:v>
      </x:c>
      <x:c r="AB220" s="71">
        <x:v>46220</x:v>
      </x:c>
      <x:c r="AC220" s="41" t="s">
        <x:v>52</x:v>
      </x:c>
      <x:c r="AD220" s="45">
        <x:f t="shared" si="16"/>
        <x:v>1</x:v>
      </x:c>
      <x:c r="AE220" s="45">
        <x:f t="shared" si="17"/>
        <x:v>1</x:v>
      </x:c>
      <x:c r="AF220" s="227"/>
      <x:c r="AG220" s="228"/>
      <x:c r="AH220" s="229"/>
    </x:row>
    <x:row r="221" s="43" customFormat="1" ht="25">
      <x:c r="A221" s="27" t="s">
        <x:v>809</x:v>
      </x:c>
      <x:c r="B221" s="42" t="s">
        <x:v>810</x:v>
      </x:c>
      <x:c r="C221" s="43" t="s">
        <x:v>39</x:v>
      </x:c>
      <x:c r="D221" s="42" t="s">
        <x:v>40</x:v>
      </x:c>
      <x:c r="E221" s="42" t="s">
        <x:v>41</x:v>
      </x:c>
      <x:c r="F221" s="43" t="s">
        <x:v>324</x:v>
      </x:c>
      <x:c r="G221" s="43" t="s">
        <x:v>811</x:v>
      </x:c>
      <x:c r="H221" s="43" t="s">
        <x:v>803</x:v>
      </x:c>
      <x:c r="I221" s="43" t="s">
        <x:v>62</x:v>
      </x:c>
      <x:c r="J221" s="43">
        <x:v>2018</x:v>
      </x:c>
      <x:c r="K221" s="43">
        <x:v>25</x:v>
      </x:c>
      <x:c r="L221" s="42">
        <x:v>25</x:v>
      </x:c>
      <x:c r="M221" s="43">
        <x:v>25</x:v>
      </x:c>
      <x:c r="N221" s="43" t="s">
        <x:v>64</x:v>
      </x:c>
      <x:c r="Q221" s="21" t="s">
        <x:v>47</x:v>
      </x:c>
      <x:c r="S221" s="42"/>
      <x:c r="T221" s="42"/>
      <x:c r="U221" s="42"/>
      <x:c r="V221" s="69">
        <x:v>-2.1027453999999999</x:v>
      </x:c>
      <x:c r="W221" s="42">
        <x:v>106.08195600000001</x:v>
      </x:c>
      <x:c r="X221" s="42"/>
      <x:c r="Y221" s="44"/>
      <x:c r="Z221" s="26" t="s">
        <x:v>50</x:v>
      </x:c>
      <x:c r="AA221" s="39" t="s">
        <x:v>51</x:v>
      </x:c>
      <x:c r="AB221" s="71">
        <x:v>46220</x:v>
      </x:c>
      <x:c r="AC221" s="41" t="s">
        <x:v>52</x:v>
      </x:c>
      <x:c r="AD221" s="45">
        <x:f t="shared" si="16"/>
        <x:v>1</x:v>
      </x:c>
      <x:c r="AE221" s="45">
        <x:f t="shared" si="17"/>
        <x:v>1</x:v>
      </x:c>
      <x:c r="AF221" s="227"/>
      <x:c r="AG221" s="228"/>
      <x:c r="AH221" s="229"/>
    </x:row>
    <x:row r="222" s="43" customFormat="1" ht="25">
      <x:c r="A222" s="27" t="s">
        <x:v>812</x:v>
      </x:c>
      <x:c r="B222" s="42" t="s">
        <x:v>813</x:v>
      </x:c>
      <x:c r="C222" s="43" t="s">
        <x:v>39</x:v>
      </x:c>
      <x:c r="D222" s="42" t="s">
        <x:v>40</x:v>
      </x:c>
      <x:c r="E222" s="42" t="s">
        <x:v>814</x:v>
      </x:c>
      <x:c r="F222" s="43" t="s">
        <x:v>146</x:v>
      </x:c>
      <x:c r="G222" s="43" t="s">
        <x:v>466</x:v>
      </x:c>
      <x:c r="H222" s="43" t="s">
        <x:v>467</x:v>
      </x:c>
      <x:c r="I222" s="43" t="s">
        <x:v>62</x:v>
      </x:c>
      <x:c r="J222" s="43">
        <x:v>2017</x:v>
      </x:c>
      <x:c r="K222" s="43">
        <x:v>15</x:v>
      </x:c>
      <x:c r="L222" s="42">
        <x:v>15</x:v>
      </x:c>
      <x:c r="M222" s="43">
        <x:v>15</x:v>
      </x:c>
      <x:c r="N222" s="43" t="s">
        <x:v>64</x:v>
      </x:c>
      <x:c r="Q222" s="21" t="s">
        <x:v>47</x:v>
      </x:c>
      <x:c r="S222" s="42"/>
      <x:c r="T222" s="42"/>
      <x:c r="U222" s="42"/>
      <x:c r="V222" s="69">
        <x:v>-2.1195455999999999</x:v>
      </x:c>
      <x:c r="W222" s="42">
        <x:v>106.0841642</x:v>
      </x:c>
      <x:c r="X222" s="42"/>
      <x:c r="Y222" s="44"/>
      <x:c r="Z222" s="26" t="s">
        <x:v>50</x:v>
      </x:c>
      <x:c r="AA222" s="39" t="s">
        <x:v>51</x:v>
      </x:c>
      <x:c r="AB222" s="71">
        <x:v>46220</x:v>
      </x:c>
      <x:c r="AC222" s="41" t="s">
        <x:v>52</x:v>
      </x:c>
      <x:c r="AD222" s="45">
        <x:f t="shared" si="16"/>
        <x:v>1</x:v>
      </x:c>
      <x:c r="AE222" s="45">
        <x:f t="shared" si="17"/>
        <x:v>1</x:v>
      </x:c>
      <x:c r="AF222" s="227"/>
      <x:c r="AG222" s="228"/>
      <x:c r="AH222" s="229"/>
    </x:row>
    <x:row r="223" s="43" customFormat="1" ht="25">
      <x:c r="A223" s="27" t="s">
        <x:v>815</x:v>
      </x:c>
      <x:c r="B223" s="42" t="s">
        <x:v>813</x:v>
      </x:c>
      <x:c r="C223" s="43" t="s">
        <x:v>39</x:v>
      </x:c>
      <x:c r="D223" s="42" t="s">
        <x:v>75</x:v>
      </x:c>
      <x:c r="E223" s="42" t="s">
        <x:v>87</x:v>
      </x:c>
      <x:c r="F223" s="43" t="s">
        <x:v>724</x:v>
      </x:c>
      <x:c r="G223" s="43" t="s">
        <x:v>816</x:v>
      </x:c>
      <x:c r="H223" s="43" t="s">
        <x:v>817</x:v>
      </x:c>
      <x:c r="I223" s="43" t="s">
        <x:v>142</x:v>
      </x:c>
      <x:c r="J223" s="43">
        <x:v>2021</x:v>
      </x:c>
      <x:c r="K223" s="43">
        <x:v>43</x:v>
      </x:c>
      <x:c r="L223" s="42">
        <x:v>42</x:v>
      </x:c>
      <x:c r="M223" s="43">
        <x:v>42</x:v>
      </x:c>
      <x:c r="N223" s="43" t="s">
        <x:v>64</x:v>
      </x:c>
      <x:c r="Q223" s="21" t="s">
        <x:v>47</x:v>
      </x:c>
      <x:c r="S223" s="42"/>
      <x:c r="T223" s="9" t="s">
        <x:v>49</x:v>
      </x:c>
      <x:c r="U223" s="42"/>
      <x:c r="V223" s="69">
        <x:v>-2.0967829999999998</x:v>
      </x:c>
      <x:c r="W223" s="42">
        <x:v>106.090541</x:v>
      </x:c>
      <x:c r="X223" s="42"/>
      <x:c r="Y223" s="44"/>
      <x:c r="Z223" s="26" t="s">
        <x:v>50</x:v>
      </x:c>
      <x:c r="AA223" s="39" t="s">
        <x:v>51</x:v>
      </x:c>
      <x:c r="AB223" s="71">
        <x:v>46220</x:v>
      </x:c>
      <x:c r="AC223" s="41" t="s">
        <x:v>52</x:v>
      </x:c>
      <x:c r="AD223" s="45">
        <x:f t="shared" si="16"/>
        <x:v>0.97674418604651159</x:v>
      </x:c>
      <x:c r="AE223" s="45">
        <x:f t="shared" si="17"/>
        <x:v>1</x:v>
      </x:c>
      <x:c r="AF223" s="227"/>
      <x:c r="AG223" s="228"/>
      <x:c r="AH223" s="229"/>
    </x:row>
    <x:row r="224" s="43" customFormat="1" ht="25">
      <x:c r="A224" s="27" t="s">
        <x:v>818</x:v>
      </x:c>
      <x:c r="B224" s="42" t="s">
        <x:v>819</x:v>
      </x:c>
      <x:c r="C224" s="43" t="s">
        <x:v>226</x:v>
      </x:c>
      <x:c r="D224" s="42" t="s">
        <x:v>75</x:v>
      </x:c>
      <x:c r="E224" s="42" t="s">
        <x:v>114</x:v>
      </x:c>
      <x:c r="F224" s="43" t="s">
        <x:v>203</x:v>
      </x:c>
      <x:c r="G224" s="43" t="s">
        <x:v>62</x:v>
      </x:c>
      <x:c r="H224" s="43" t="s">
        <x:v>62</x:v>
      </x:c>
      <x:c r="I224" s="43" t="s">
        <x:v>62</x:v>
      </x:c>
      <x:c r="J224" s="43">
        <x:v>2015</x:v>
      </x:c>
      <x:c r="K224" s="43">
        <x:v>10</x:v>
      </x:c>
      <x:c r="L224" s="42">
        <x:v>0</x:v>
      </x:c>
      <x:c r="M224" s="43">
        <x:v>0</x:v>
      </x:c>
      <x:c r="N224" s="43" t="s">
        <x:v>64</x:v>
      </x:c>
      <x:c r="Q224" s="21" t="s">
        <x:v>47</x:v>
      </x:c>
      <x:c r="S224" s="42"/>
      <x:c r="T224" s="42"/>
      <x:c r="U224" s="42"/>
      <x:c r="V224" s="69">
        <x:v>-2.0873235600000002</x:v>
      </x:c>
      <x:c r="W224" s="42">
        <x:v>106.1073224</x:v>
      </x:c>
      <x:c r="X224" s="42"/>
      <x:c r="Y224" s="44"/>
      <x:c r="Z224" s="26" t="s">
        <x:v>50</x:v>
      </x:c>
      <x:c r="AA224" s="39" t="s">
        <x:v>51</x:v>
      </x:c>
      <x:c r="AB224" s="71">
        <x:v>46220</x:v>
      </x:c>
      <x:c r="AC224" s="41" t="s">
        <x:v>52</x:v>
      </x:c>
      <x:c r="AD224" s="45">
        <x:f t="shared" si="16"/>
        <x:v>0</x:v>
      </x:c>
      <x:c r="AE224" s="45">
        <x:f t="shared" si="17"/>
        <x:v>0</x:v>
      </x:c>
      <x:c r="AF224" s="227"/>
      <x:c r="AG224" s="228"/>
      <x:c r="AH224" s="229"/>
    </x:row>
    <x:row r="225" s="43" customFormat="1" ht="25">
      <x:c r="A225" s="27" t="s">
        <x:v>820</x:v>
      </x:c>
      <x:c r="B225" s="42" t="s">
        <x:v>821</x:v>
      </x:c>
      <x:c r="C225" s="43" t="s">
        <x:v>39</x:v>
      </x:c>
      <x:c r="D225" s="42" t="s">
        <x:v>75</x:v>
      </x:c>
      <x:c r="E225" s="42" t="s">
        <x:v>114</x:v>
      </x:c>
      <x:c r="F225" s="43" t="s">
        <x:v>822</x:v>
      </x:c>
      <x:c r="G225" s="43" t="s">
        <x:v>823</x:v>
      </x:c>
      <x:c r="H225" s="43" t="s">
        <x:v>687</x:v>
      </x:c>
      <x:c r="I225" s="43" t="s">
        <x:v>45</x:v>
      </x:c>
      <x:c r="J225" s="43">
        <x:v>2018</x:v>
      </x:c>
      <x:c r="K225" s="43">
        <x:v>59</x:v>
      </x:c>
      <x:c r="L225" s="42">
        <x:v>46</x:v>
      </x:c>
      <x:c r="M225" s="43">
        <x:v>46</x:v>
      </x:c>
      <x:c r="N225" s="43" t="s">
        <x:v>64</x:v>
      </x:c>
      <x:c r="Q225" s="21" t="s">
        <x:v>47</x:v>
      </x:c>
      <x:c r="R225" s="21" t="s">
        <x:v>110</x:v>
      </x:c>
      <x:c r="S225" s="42"/>
      <x:c r="T225" s="42"/>
      <x:c r="U225" s="42"/>
      <x:c r="V225" s="69">
        <x:v>-2.080676</x:v>
      </x:c>
      <x:c r="W225" s="42">
        <x:v>106.124278</x:v>
      </x:c>
      <x:c r="X225" s="42"/>
      <x:c r="Y225" s="44"/>
      <x:c r="Z225" s="26" t="s">
        <x:v>50</x:v>
      </x:c>
      <x:c r="AA225" s="39" t="s">
        <x:v>51</x:v>
      </x:c>
      <x:c r="AB225" s="71">
        <x:v>46220</x:v>
      </x:c>
      <x:c r="AC225" s="41" t="s">
        <x:v>52</x:v>
      </x:c>
      <x:c r="AD225" s="45">
        <x:f t="shared" si="16"/>
        <x:v>0.77966101694915257</x:v>
      </x:c>
      <x:c r="AE225" s="45">
        <x:f t="shared" si="17"/>
        <x:v>1</x:v>
      </x:c>
      <x:c r="AF225" s="227"/>
      <x:c r="AG225" s="228"/>
      <x:c r="AH225" s="229"/>
    </x:row>
    <x:row r="226" s="43" customFormat="1" ht="25">
      <x:c r="A226" s="27" t="s">
        <x:v>824</x:v>
      </x:c>
      <x:c r="B226" s="42" t="s">
        <x:v>825</x:v>
      </x:c>
      <x:c r="C226" s="43" t="s">
        <x:v>226</x:v>
      </x:c>
      <x:c r="D226" s="42" t="s">
        <x:v>40</x:v>
      </x:c>
      <x:c r="E226" s="42" t="s">
        <x:v>55</x:v>
      </x:c>
      <x:c r="F226" s="43" t="s">
        <x:v>61</x:v>
      </x:c>
      <x:c r="G226" s="43" t="s">
        <x:v>509</x:v>
      </x:c>
      <x:c r="H226" s="43" t="s">
        <x:v>510</x:v>
      </x:c>
      <x:c r="I226" s="43" t="s">
        <x:v>62</x:v>
      </x:c>
      <x:c r="J226" s="43">
        <x:v>2020</x:v>
      </x:c>
      <x:c r="K226" s="43">
        <x:v>32</x:v>
      </x:c>
      <x:c r="L226" s="42">
        <x:v>32</x:v>
      </x:c>
      <x:c r="M226" s="43">
        <x:v>32</x:v>
      </x:c>
      <x:c r="N226" s="43" t="s">
        <x:v>64</x:v>
      </x:c>
      <x:c r="Q226" s="21" t="s">
        <x:v>47</x:v>
      </x:c>
      <x:c r="R226" s="21"/>
      <x:c r="S226" s="42"/>
      <x:c r="T226" s="42"/>
      <x:c r="U226" s="42"/>
      <x:c r="V226" s="69">
        <x:v>-2.1250148000000002</x:v>
      </x:c>
      <x:c r="W226" s="42">
        <x:v>106.07380209999999</x:v>
      </x:c>
      <x:c r="X226" s="42"/>
      <x:c r="Y226" s="44"/>
      <x:c r="Z226" s="26" t="s">
        <x:v>50</x:v>
      </x:c>
      <x:c r="AA226" s="39" t="s">
        <x:v>51</x:v>
      </x:c>
      <x:c r="AB226" s="71">
        <x:v>46220</x:v>
      </x:c>
      <x:c r="AC226" s="41" t="s">
        <x:v>52</x:v>
      </x:c>
      <x:c r="AD226" s="45">
        <x:f t="shared" si="16"/>
        <x:v>1</x:v>
      </x:c>
      <x:c r="AE226" s="45">
        <x:f t="shared" si="17"/>
        <x:v>1</x:v>
      </x:c>
      <x:c r="AF226" s="227"/>
      <x:c r="AG226" s="228"/>
      <x:c r="AH226" s="229"/>
    </x:row>
    <x:row r="227" s="43" customFormat="1" ht="25">
      <x:c r="A227" s="27" t="s">
        <x:v>826</x:v>
      </x:c>
      <x:c r="B227" s="42" t="s">
        <x:v>827</x:v>
      </x:c>
      <x:c r="C227" s="43" t="s">
        <x:v>39</x:v>
      </x:c>
      <x:c r="D227" s="42" t="s">
        <x:v>75</x:v>
      </x:c>
      <x:c r="E227" s="42" t="s">
        <x:v>375</x:v>
      </x:c>
      <x:c r="F227" s="43" t="s">
        <x:v>828</x:v>
      </x:c>
      <x:c r="G227" s="43" t="s">
        <x:v>829</x:v>
      </x:c>
      <x:c r="H227" s="43" t="s">
        <x:v>830</x:v>
      </x:c>
      <x:c r="I227" s="43" t="s">
        <x:v>62</x:v>
      </x:c>
      <x:c r="J227" s="43">
        <x:v>2018</x:v>
      </x:c>
      <x:c r="K227" s="43">
        <x:v>40</x:v>
      </x:c>
      <x:c r="L227" s="42">
        <x:v>40</x:v>
      </x:c>
      <x:c r="M227" s="43">
        <x:v>40</x:v>
      </x:c>
      <x:c r="N227" s="43" t="s">
        <x:v>64</x:v>
      </x:c>
      <x:c r="Q227" s="43" t="s">
        <x:v>89</x:v>
      </x:c>
      <x:c r="S227" s="42"/>
      <x:c r="T227" s="42"/>
      <x:c r="U227" s="42"/>
      <x:c r="V227" s="69">
        <x:v>-2.0951469999999999</x:v>
      </x:c>
      <x:c r="W227" s="42">
        <x:v>106.108746</x:v>
      </x:c>
      <x:c r="X227" s="42"/>
      <x:c r="Y227" s="44"/>
      <x:c r="Z227" s="26" t="s">
        <x:v>50</x:v>
      </x:c>
      <x:c r="AA227" s="39" t="s">
        <x:v>51</x:v>
      </x:c>
      <x:c r="AB227" s="71">
        <x:v>46220</x:v>
      </x:c>
      <x:c r="AC227" s="41" t="s">
        <x:v>52</x:v>
      </x:c>
      <x:c r="AD227" s="45">
        <x:f t="shared" si="16"/>
        <x:v>1</x:v>
      </x:c>
      <x:c r="AE227" s="45">
        <x:f t="shared" si="17"/>
        <x:v>1</x:v>
      </x:c>
      <x:c r="AF227" s="227"/>
      <x:c r="AG227" s="228"/>
      <x:c r="AH227" s="229"/>
    </x:row>
    <x:row r="228" s="43" customFormat="1" ht="25">
      <x:c r="A228" s="27" t="s">
        <x:v>831</x:v>
      </x:c>
      <x:c r="B228" s="42" t="s">
        <x:v>832</x:v>
      </x:c>
      <x:c r="C228" s="43" t="s">
        <x:v>39</x:v>
      </x:c>
      <x:c r="D228" s="42" t="s">
        <x:v>75</x:v>
      </x:c>
      <x:c r="E228" s="42" t="s">
        <x:v>375</x:v>
      </x:c>
      <x:c r="F228" s="43" t="s">
        <x:v>828</x:v>
      </x:c>
      <x:c r="G228" s="43" t="s">
        <x:v>829</x:v>
      </x:c>
      <x:c r="H228" s="43" t="s">
        <x:v>830</x:v>
      </x:c>
      <x:c r="I228" s="43" t="s">
        <x:v>62</x:v>
      </x:c>
      <x:c r="J228" s="43">
        <x:v>2019</x:v>
      </x:c>
      <x:c r="K228" s="43">
        <x:v>8</x:v>
      </x:c>
      <x:c r="L228" s="42">
        <x:v>8</x:v>
      </x:c>
      <x:c r="M228" s="43">
        <x:v>8</x:v>
      </x:c>
      <x:c r="N228" s="43" t="s">
        <x:v>64</x:v>
      </x:c>
      <x:c r="Q228" s="21" t="s">
        <x:v>47</x:v>
      </x:c>
      <x:c r="S228" s="42"/>
      <x:c r="T228" s="42"/>
      <x:c r="U228" s="42"/>
      <x:c r="V228" s="69">
        <x:v>-2.0951469999999999</x:v>
      </x:c>
      <x:c r="W228" s="42">
        <x:v>106.108746</x:v>
      </x:c>
      <x:c r="X228" s="42"/>
      <x:c r="Y228" s="44"/>
      <x:c r="Z228" s="26" t="s">
        <x:v>50</x:v>
      </x:c>
      <x:c r="AA228" s="39" t="s">
        <x:v>51</x:v>
      </x:c>
      <x:c r="AB228" s="71">
        <x:v>46220</x:v>
      </x:c>
      <x:c r="AC228" s="41" t="s">
        <x:v>52</x:v>
      </x:c>
      <x:c r="AD228" s="45">
        <x:f t="shared" si="16"/>
        <x:v>1</x:v>
      </x:c>
      <x:c r="AE228" s="45">
        <x:f t="shared" si="17"/>
        <x:v>1</x:v>
      </x:c>
      <x:c r="AF228" s="227"/>
      <x:c r="AG228" s="228"/>
      <x:c r="AH228" s="229"/>
    </x:row>
    <x:row r="229" s="43" customFormat="1" ht="25">
      <x:c r="A229" s="27" t="s">
        <x:v>833</x:v>
      </x:c>
      <x:c r="B229" s="42" t="s">
        <x:v>834</x:v>
      </x:c>
      <x:c r="C229" s="43" t="s">
        <x:v>113</x:v>
      </x:c>
      <x:c r="D229" s="42" t="s">
        <x:v>102</x:v>
      </x:c>
      <x:c r="E229" s="42" t="s">
        <x:v>103</x:v>
      </x:c>
      <x:c r="F229" s="43" t="s">
        <x:v>835</x:v>
      </x:c>
      <x:c r="G229" s="43" t="s">
        <x:v>836</x:v>
      </x:c>
      <x:c r="H229" s="43" t="s">
        <x:v>837</x:v>
      </x:c>
      <x:c r="I229" s="43" t="s">
        <x:v>107</x:v>
      </x:c>
      <x:c r="J229" s="43">
        <x:v>2018</x:v>
      </x:c>
      <x:c r="K229" s="43">
        <x:v>101</x:v>
      </x:c>
      <x:c r="L229" s="42">
        <x:v>98</x:v>
      </x:c>
      <x:c r="M229" s="43">
        <x:v>98</x:v>
      </x:c>
      <x:c r="N229" s="43" t="s">
        <x:v>64</x:v>
      </x:c>
      <x:c r="Q229" s="21" t="s">
        <x:v>47</x:v>
      </x:c>
      <x:c r="R229" s="43" t="s">
        <x:v>110</x:v>
      </x:c>
      <x:c r="S229" s="17" t="s">
        <x:v>48</x:v>
      </x:c>
      <x:c r="T229" s="42"/>
      <x:c r="U229" s="42"/>
      <x:c r="V229" s="69">
        <x:v>-2.1433472</x:v>
      </x:c>
      <x:c r="W229" s="42">
        <x:v>106.1389238</x:v>
      </x:c>
      <x:c r="X229" s="42"/>
      <x:c r="Y229" s="44"/>
      <x:c r="Z229" s="26" t="s">
        <x:v>50</x:v>
      </x:c>
      <x:c r="AA229" s="39" t="s">
        <x:v>51</x:v>
      </x:c>
      <x:c r="AB229" s="71">
        <x:v>46220</x:v>
      </x:c>
      <x:c r="AC229" s="41" t="s">
        <x:v>52</x:v>
      </x:c>
      <x:c r="AD229" s="45">
        <x:f t="shared" si="16"/>
        <x:v>0.97029702970297027</x:v>
      </x:c>
      <x:c r="AE229" s="45">
        <x:f t="shared" si="17"/>
        <x:v>1</x:v>
      </x:c>
      <x:c r="AF229" s="227"/>
      <x:c r="AG229" s="228"/>
      <x:c r="AH229" s="229"/>
    </x:row>
    <x:row r="230" s="43" customFormat="1" ht="25">
      <x:c r="A230" s="27" t="s">
        <x:v>838</x:v>
      </x:c>
      <x:c r="B230" s="42" t="s">
        <x:v>839</x:v>
      </x:c>
      <x:c r="C230" s="43" t="s">
        <x:v>39</x:v>
      </x:c>
      <x:c r="D230" s="42" t="s">
        <x:v>102</x:v>
      </x:c>
      <x:c r="E230" s="42" t="s">
        <x:v>277</x:v>
      </x:c>
      <x:c r="F230" s="43" t="s">
        <x:v>359</x:v>
      </x:c>
      <x:c r="G230" s="43" t="s">
        <x:v>840</x:v>
      </x:c>
      <x:c r="H230" s="43" t="s">
        <x:v>837</x:v>
      </x:c>
      <x:c r="I230" s="43" t="s">
        <x:v>107</x:v>
      </x:c>
      <x:c r="J230" s="43">
        <x:v>2024</x:v>
      </x:c>
      <x:c r="K230" s="43">
        <x:v>160</x:v>
      </x:c>
      <x:c r="L230" s="42">
        <x:v>80</x:v>
      </x:c>
      <x:c r="M230" s="43">
        <x:v>80</x:v>
      </x:c>
      <x:c r="N230" s="43" t="s">
        <x:v>64</x:v>
      </x:c>
      <x:c r="Q230" s="21" t="s">
        <x:v>47</x:v>
      </x:c>
      <x:c r="R230" s="21" t="s">
        <x:v>110</x:v>
      </x:c>
      <x:c r="S230" s="17" t="s">
        <x:v>48</x:v>
      </x:c>
      <x:c r="T230" s="42"/>
      <x:c r="U230" s="42"/>
      <x:c r="V230" s="69">
        <x:v>-2.1330502</x:v>
      </x:c>
      <x:c r="W230" s="42">
        <x:v>106.14794019999999</x:v>
      </x:c>
      <x:c r="X230" s="42"/>
      <x:c r="Y230" s="44"/>
      <x:c r="Z230" s="26" t="s">
        <x:v>50</x:v>
      </x:c>
      <x:c r="AA230" s="39" t="s">
        <x:v>51</x:v>
      </x:c>
      <x:c r="AB230" s="71">
        <x:v>46220</x:v>
      </x:c>
      <x:c r="AC230" s="41" t="s">
        <x:v>52</x:v>
      </x:c>
      <x:c r="AD230" s="45">
        <x:f t="shared" si="16"/>
        <x:v>0.5</x:v>
      </x:c>
      <x:c r="AE230" s="45">
        <x:f t="shared" si="17"/>
        <x:v>1</x:v>
      </x:c>
      <x:c r="AF230" s="227"/>
      <x:c r="AG230" s="228"/>
      <x:c r="AH230" s="229"/>
    </x:row>
    <x:row r="231" s="43" customFormat="1" ht="25">
      <x:c r="A231" s="27" t="s">
        <x:v>841</x:v>
      </x:c>
      <x:c r="B231" s="42" t="s">
        <x:v>842</x:v>
      </x:c>
      <x:c r="C231" s="43" t="s">
        <x:v>39</x:v>
      </x:c>
      <x:c r="D231" s="42" t="s">
        <x:v>102</x:v>
      </x:c>
      <x:c r="E231" s="42" t="s">
        <x:v>103</x:v>
      </x:c>
      <x:c r="F231" s="43" t="s">
        <x:v>359</x:v>
      </x:c>
      <x:c r="G231" s="43" t="s">
        <x:v>840</x:v>
      </x:c>
      <x:c r="H231" s="43" t="s">
        <x:v>837</x:v>
      </x:c>
      <x:c r="I231" s="43" t="s">
        <x:v>107</x:v>
      </x:c>
      <x:c r="J231" s="43">
        <x:v>2024</x:v>
      </x:c>
      <x:c r="K231" s="43">
        <x:v>139</x:v>
      </x:c>
      <x:c r="L231" s="42">
        <x:v>5</x:v>
      </x:c>
      <x:c r="M231" s="43">
        <x:v>5</x:v>
      </x:c>
      <x:c r="N231" s="43" t="s">
        <x:v>64</x:v>
      </x:c>
      <x:c r="Q231" s="21" t="s">
        <x:v>47</x:v>
      </x:c>
      <x:c r="R231" s="43" t="s">
        <x:v>110</x:v>
      </x:c>
      <x:c r="S231" s="17" t="s">
        <x:v>48</x:v>
      </x:c>
      <x:c r="T231" s="42"/>
      <x:c r="U231" s="42"/>
      <x:c r="V231" s="69">
        <x:v>-2.1330502</x:v>
      </x:c>
      <x:c r="W231" s="42">
        <x:v>106.14794019999999</x:v>
      </x:c>
      <x:c r="X231" s="42"/>
      <x:c r="Y231" s="44"/>
      <x:c r="Z231" s="26" t="s">
        <x:v>50</x:v>
      </x:c>
      <x:c r="AA231" s="39" t="s">
        <x:v>51</x:v>
      </x:c>
      <x:c r="AB231" s="71">
        <x:v>46220</x:v>
      </x:c>
      <x:c r="AC231" s="41" t="s">
        <x:v>52</x:v>
      </x:c>
      <x:c r="AD231" s="45">
        <x:f t="shared" si="16"/>
        <x:v>3.5971223021582732E-2</x:v>
      </x:c>
      <x:c r="AE231" s="45">
        <x:f t="shared" si="17"/>
        <x:v>1</x:v>
      </x:c>
      <x:c r="AF231" s="227"/>
      <x:c r="AG231" s="228"/>
      <x:c r="AH231" s="229"/>
    </x:row>
    <x:row r="232" s="43" customFormat="1" ht="25">
      <x:c r="A232" s="27" t="s">
        <x:v>843</x:v>
      </x:c>
      <x:c r="B232" s="42" t="s">
        <x:v>844</x:v>
      </x:c>
      <x:c r="C232" s="43" t="s">
        <x:v>39</x:v>
      </x:c>
      <x:c r="D232" s="42" t="s">
        <x:v>102</x:v>
      </x:c>
      <x:c r="E232" s="42" t="s">
        <x:v>103</x:v>
      </x:c>
      <x:c r="F232" s="43" t="s">
        <x:v>359</x:v>
      </x:c>
      <x:c r="G232" s="43" t="s">
        <x:v>840</x:v>
      </x:c>
      <x:c r="H232" s="43" t="s">
        <x:v>837</x:v>
      </x:c>
      <x:c r="I232" s="43" t="s">
        <x:v>107</x:v>
      </x:c>
      <x:c r="J232" s="43">
        <x:v>2024</x:v>
      </x:c>
      <x:c r="K232" s="43">
        <x:v>155</x:v>
      </x:c>
      <x:c r="L232" s="42">
        <x:v>0</x:v>
      </x:c>
      <x:c r="M232" s="43">
        <x:v>0</x:v>
      </x:c>
      <x:c r="N232" s="43" t="s">
        <x:v>64</x:v>
      </x:c>
      <x:c r="Q232" s="21" t="s">
        <x:v>47</x:v>
      </x:c>
      <x:c r="R232" s="43" t="s">
        <x:v>110</x:v>
      </x:c>
      <x:c r="S232" s="17" t="s">
        <x:v>48</x:v>
      </x:c>
      <x:c r="T232" s="42"/>
      <x:c r="U232" s="42"/>
      <x:c r="V232" s="69">
        <x:v>-2.1330502</x:v>
      </x:c>
      <x:c r="W232" s="42">
        <x:v>106.14794019999999</x:v>
      </x:c>
      <x:c r="X232" s="42"/>
      <x:c r="Y232" s="44"/>
      <x:c r="Z232" s="26" t="s">
        <x:v>50</x:v>
      </x:c>
      <x:c r="AA232" s="39" t="s">
        <x:v>51</x:v>
      </x:c>
      <x:c r="AB232" s="71">
        <x:v>46220</x:v>
      </x:c>
      <x:c r="AC232" s="41" t="s">
        <x:v>52</x:v>
      </x:c>
      <x:c r="AD232" s="45">
        <x:f t="shared" si="16"/>
        <x:v>0</x:v>
      </x:c>
      <x:c r="AE232" s="45">
        <x:f t="shared" si="17"/>
        <x:v>0</x:v>
      </x:c>
      <x:c r="AF232" s="227"/>
      <x:c r="AG232" s="228"/>
      <x:c r="AH232" s="229"/>
    </x:row>
    <x:row r="233" s="43" customFormat="1" ht="25">
      <x:c r="A233" s="27" t="s">
        <x:v>845</x:v>
      </x:c>
      <x:c r="B233" s="42" t="s">
        <x:v>846</x:v>
      </x:c>
      <x:c r="C233" s="43" t="s">
        <x:v>39</x:v>
      </x:c>
      <x:c r="D233" s="42" t="s">
        <x:v>102</x:v>
      </x:c>
      <x:c r="E233" s="42" t="s">
        <x:v>103</x:v>
      </x:c>
      <x:c r="F233" s="43" t="s">
        <x:v>359</x:v>
      </x:c>
      <x:c r="G233" s="43" t="s">
        <x:v>840</x:v>
      </x:c>
      <x:c r="H233" s="43" t="s">
        <x:v>837</x:v>
      </x:c>
      <x:c r="I233" s="43" t="s">
        <x:v>107</x:v>
      </x:c>
      <x:c r="J233" s="43">
        <x:v>2024</x:v>
      </x:c>
      <x:c r="K233" s="43">
        <x:v>154</x:v>
      </x:c>
      <x:c r="L233" s="42">
        <x:v>0</x:v>
      </x:c>
      <x:c r="M233" s="43">
        <x:v>0</x:v>
      </x:c>
      <x:c r="N233" s="43" t="s">
        <x:v>64</x:v>
      </x:c>
      <x:c r="Q233" s="21" t="s">
        <x:v>47</x:v>
      </x:c>
      <x:c r="R233" s="43" t="s">
        <x:v>110</x:v>
      </x:c>
      <x:c r="S233" s="17" t="s">
        <x:v>48</x:v>
      </x:c>
      <x:c r="T233" s="42"/>
      <x:c r="U233" s="42"/>
      <x:c r="V233" s="69">
        <x:v>-2.1330502</x:v>
      </x:c>
      <x:c r="W233" s="42">
        <x:v>106.14794019999999</x:v>
      </x:c>
      <x:c r="X233" s="42"/>
      <x:c r="Y233" s="44"/>
      <x:c r="Z233" s="26" t="s">
        <x:v>50</x:v>
      </x:c>
      <x:c r="AA233" s="39" t="s">
        <x:v>51</x:v>
      </x:c>
      <x:c r="AB233" s="71">
        <x:v>46220</x:v>
      </x:c>
      <x:c r="AC233" s="41" t="s">
        <x:v>52</x:v>
      </x:c>
      <x:c r="AD233" s="45">
        <x:f t="shared" si="16"/>
        <x:v>0</x:v>
      </x:c>
      <x:c r="AE233" s="45">
        <x:f t="shared" si="17"/>
        <x:v>0</x:v>
      </x:c>
      <x:c r="AF233" s="227"/>
      <x:c r="AG233" s="228"/>
      <x:c r="AH233" s="229"/>
    </x:row>
    <x:row r="234" s="43" customFormat="1" ht="25">
      <x:c r="A234" s="27" t="s">
        <x:v>847</x:v>
      </x:c>
      <x:c r="B234" s="42" t="s">
        <x:v>848</x:v>
      </x:c>
      <x:c r="C234" s="43" t="s">
        <x:v>39</x:v>
      </x:c>
      <x:c r="D234" s="42" t="s">
        <x:v>75</x:v>
      </x:c>
      <x:c r="E234" s="42" t="s">
        <x:v>114</x:v>
      </x:c>
      <x:c r="F234" s="43" t="s">
        <x:v>709</x:v>
      </x:c>
      <x:c r="G234" s="43" t="s">
        <x:v>849</x:v>
      </x:c>
      <x:c r="H234" s="43" t="s">
        <x:v>850</x:v>
      </x:c>
      <x:c r="I234" s="43" t="s">
        <x:v>62</x:v>
      </x:c>
      <x:c r="J234" s="43">
        <x:v>2019</x:v>
      </x:c>
      <x:c r="K234" s="43">
        <x:v>44</x:v>
      </x:c>
      <x:c r="L234" s="42">
        <x:v>0</x:v>
      </x:c>
      <x:c r="M234" s="43">
        <x:v>0</x:v>
      </x:c>
      <x:c r="N234" s="43" t="s">
        <x:v>64</x:v>
      </x:c>
      <x:c r="Q234" s="21" t="s">
        <x:v>47</x:v>
      </x:c>
      <x:c r="S234" s="42"/>
      <x:c r="T234" s="42"/>
      <x:c r="U234" s="42"/>
      <x:c r="V234" s="69"/>
      <x:c r="W234" s="42"/>
      <x:c r="X234" s="42"/>
      <x:c r="Y234" s="44"/>
      <x:c r="Z234" s="26" t="s">
        <x:v>50</x:v>
      </x:c>
      <x:c r="AA234" s="39" t="s">
        <x:v>51</x:v>
      </x:c>
      <x:c r="AB234" s="71">
        <x:v>46220</x:v>
      </x:c>
      <x:c r="AC234" s="41" t="s">
        <x:v>52</x:v>
      </x:c>
      <x:c r="AD234" s="45">
        <x:f t="shared" si="16"/>
        <x:v>0</x:v>
      </x:c>
      <x:c r="AE234" s="45">
        <x:f t="shared" si="17"/>
        <x:v>0</x:v>
      </x:c>
      <x:c r="AF234" s="227"/>
      <x:c r="AG234" s="228"/>
      <x:c r="AH234" s="229"/>
    </x:row>
    <x:row r="235" s="43" customFormat="1" ht="25">
      <x:c r="A235" s="27" t="s">
        <x:v>851</x:v>
      </x:c>
      <x:c r="B235" s="42" t="s">
        <x:v>852</x:v>
      </x:c>
      <x:c r="C235" s="43" t="s">
        <x:v>39</x:v>
      </x:c>
      <x:c r="D235" s="42" t="s">
        <x:v>102</x:v>
      </x:c>
      <x:c r="E235" s="42" t="s">
        <x:v>277</x:v>
      </x:c>
      <x:c r="F235" s="43" t="s">
        <x:v>605</x:v>
      </x:c>
      <x:c r="G235" s="43" t="s">
        <x:v>62</x:v>
      </x:c>
      <x:c r="H235" s="43" t="s">
        <x:v>62</x:v>
      </x:c>
      <x:c r="I235" s="43" t="s">
        <x:v>62</x:v>
      </x:c>
      <x:c r="J235" s="43">
        <x:v>2016</x:v>
      </x:c>
      <x:c r="K235" s="43">
        <x:v>20</x:v>
      </x:c>
      <x:c r="L235" s="42">
        <x:v>20</x:v>
      </x:c>
      <x:c r="M235" s="43">
        <x:v>20</x:v>
      </x:c>
      <x:c r="N235" s="43" t="s">
        <x:v>64</x:v>
      </x:c>
      <x:c r="Q235" s="21" t="s">
        <x:v>47</x:v>
      </x:c>
      <x:c r="R235" s="21" t="s">
        <x:v>110</x:v>
      </x:c>
      <x:c r="S235" s="42"/>
      <x:c r="T235" s="42"/>
      <x:c r="U235" s="42"/>
      <x:c r="V235" s="69"/>
      <x:c r="W235" s="42"/>
      <x:c r="X235" s="42"/>
      <x:c r="Y235" s="44"/>
      <x:c r="Z235" s="26" t="s">
        <x:v>50</x:v>
      </x:c>
      <x:c r="AA235" s="39" t="s">
        <x:v>51</x:v>
      </x:c>
      <x:c r="AB235" s="71">
        <x:v>46220</x:v>
      </x:c>
      <x:c r="AC235" s="41" t="s">
        <x:v>52</x:v>
      </x:c>
      <x:c r="AD235" s="45">
        <x:f t="shared" si="16"/>
        <x:v>1</x:v>
      </x:c>
      <x:c r="AE235" s="45">
        <x:f t="shared" si="17"/>
        <x:v>1</x:v>
      </x:c>
      <x:c r="AF235" s="227"/>
      <x:c r="AG235" s="228"/>
      <x:c r="AH235" s="229"/>
    </x:row>
    <x:row r="236" s="43" customFormat="1" ht="25">
      <x:c r="A236" s="27" t="s">
        <x:v>853</x:v>
      </x:c>
      <x:c r="B236" s="42" t="s">
        <x:v>854</x:v>
      </x:c>
      <x:c r="C236" s="43" t="s">
        <x:v>39</x:v>
      </x:c>
      <x:c r="D236" s="42" t="s">
        <x:v>102</x:v>
      </x:c>
      <x:c r="E236" s="42" t="s">
        <x:v>158</x:v>
      </x:c>
      <x:c r="F236" s="43" t="s">
        <x:v>598</x:v>
      </x:c>
      <x:c r="G236" s="43" t="s">
        <x:v>855</x:v>
      </x:c>
      <x:c r="H236" s="43" t="s">
        <x:v>856</x:v>
      </x:c>
      <x:c r="I236" s="43" t="s">
        <x:v>142</x:v>
      </x:c>
      <x:c r="J236" s="43">
        <x:v>2019</x:v>
      </x:c>
      <x:c r="K236" s="43">
        <x:v>57</x:v>
      </x:c>
      <x:c r="L236" s="42">
        <x:v>55</x:v>
      </x:c>
      <x:c r="M236" s="43">
        <x:v>55</x:v>
      </x:c>
      <x:c r="N236" s="43" t="s">
        <x:v>64</x:v>
      </x:c>
      <x:c r="Q236" s="21" t="s">
        <x:v>47</x:v>
      </x:c>
      <x:c r="S236" s="42"/>
      <x:c r="T236" s="42"/>
      <x:c r="U236" s="42"/>
      <x:c r="V236" s="69">
        <x:v>-2.1381644999999998</x:v>
      </x:c>
      <x:c r="W236" s="42">
        <x:v>106.15515670000001</x:v>
      </x:c>
      <x:c r="X236" s="42"/>
      <x:c r="Y236" s="44"/>
      <x:c r="Z236" s="26" t="s">
        <x:v>50</x:v>
      </x:c>
      <x:c r="AA236" s="39" t="s">
        <x:v>51</x:v>
      </x:c>
      <x:c r="AB236" s="71">
        <x:v>46220</x:v>
      </x:c>
      <x:c r="AC236" s="41" t="s">
        <x:v>52</x:v>
      </x:c>
      <x:c r="AD236" s="45">
        <x:f t="shared" si="16"/>
        <x:v>0.96491228070175439</x:v>
      </x:c>
      <x:c r="AE236" s="45">
        <x:f t="shared" si="17"/>
        <x:v>1</x:v>
      </x:c>
      <x:c r="AF236" s="227"/>
      <x:c r="AG236" s="228"/>
      <x:c r="AH236" s="229"/>
    </x:row>
    <x:row r="237" s="43" customFormat="1" ht="25">
      <x:c r="A237" s="27" t="s">
        <x:v>857</x:v>
      </x:c>
      <x:c r="B237" s="42" t="s">
        <x:v>858</x:v>
      </x:c>
      <x:c r="C237" s="43" t="s">
        <x:v>226</x:v>
      </x:c>
      <x:c r="D237" s="42" t="s">
        <x:v>102</x:v>
      </x:c>
      <x:c r="E237" s="42" t="s">
        <x:v>277</x:v>
      </x:c>
      <x:c r="F237" s="43" t="s">
        <x:v>859</x:v>
      </x:c>
      <x:c r="G237" s="43" t="s">
        <x:v>860</x:v>
      </x:c>
      <x:c r="H237" s="43" t="s">
        <x:v>62</x:v>
      </x:c>
      <x:c r="I237" s="43" t="s">
        <x:v>62</x:v>
      </x:c>
      <x:c r="J237" s="43">
        <x:v>2015</x:v>
      </x:c>
      <x:c r="K237" s="43">
        <x:v>88</x:v>
      </x:c>
      <x:c r="L237" s="42">
        <x:v>22</x:v>
      </x:c>
      <x:c r="M237" s="43">
        <x:v>22</x:v>
      </x:c>
      <x:c r="N237" s="43" t="s">
        <x:v>64</x:v>
      </x:c>
      <x:c r="Q237" s="43" t="s">
        <x:v>89</x:v>
      </x:c>
      <x:c r="S237" s="42"/>
      <x:c r="T237" s="42"/>
      <x:c r="U237" s="42"/>
      <x:c r="V237" s="69">
        <x:v>-2.1346430999999999</x:v>
      </x:c>
      <x:c r="W237" s="42">
        <x:v>106.1342334</x:v>
      </x:c>
      <x:c r="X237" s="42"/>
      <x:c r="Y237" s="44"/>
      <x:c r="Z237" s="26" t="s">
        <x:v>50</x:v>
      </x:c>
      <x:c r="AA237" s="39" t="s">
        <x:v>51</x:v>
      </x:c>
      <x:c r="AB237" s="71">
        <x:v>46220</x:v>
      </x:c>
      <x:c r="AC237" s="41" t="s">
        <x:v>52</x:v>
      </x:c>
      <x:c r="AD237" s="45">
        <x:f t="shared" si="16"/>
        <x:v>0.25</x:v>
      </x:c>
      <x:c r="AE237" s="45">
        <x:f t="shared" si="17"/>
        <x:v>1</x:v>
      </x:c>
      <x:c r="AF237" s="227"/>
      <x:c r="AG237" s="228"/>
      <x:c r="AH237" s="229"/>
    </x:row>
    <x:row r="238" s="43" customFormat="1" ht="25">
      <x:c r="A238" s="27" t="s">
        <x:v>861</x:v>
      </x:c>
      <x:c r="B238" s="42" t="s">
        <x:v>862</x:v>
      </x:c>
      <x:c r="C238" s="43" t="s">
        <x:v>226</x:v>
      </x:c>
      <x:c r="D238" s="42" t="s">
        <x:v>102</x:v>
      </x:c>
      <x:c r="E238" s="42" t="s">
        <x:v>577</x:v>
      </x:c>
      <x:c r="F238" s="43" t="s">
        <x:v>863</x:v>
      </x:c>
      <x:c r="G238" s="43" t="s">
        <x:v>860</x:v>
      </x:c>
      <x:c r="H238" s="43" t="s">
        <x:v>62</x:v>
      </x:c>
      <x:c r="I238" s="43" t="s">
        <x:v>62</x:v>
      </x:c>
      <x:c r="J238" s="43">
        <x:v>2016</x:v>
      </x:c>
      <x:c r="K238" s="43">
        <x:v>92</x:v>
      </x:c>
      <x:c r="L238" s="42">
        <x:v>9</x:v>
      </x:c>
      <x:c r="M238" s="43">
        <x:v>9</x:v>
      </x:c>
      <x:c r="N238" s="43" t="s">
        <x:v>64</x:v>
      </x:c>
      <x:c r="Q238" s="43" t="s">
        <x:v>89</x:v>
      </x:c>
      <x:c r="S238" s="42"/>
      <x:c r="T238" s="42"/>
      <x:c r="U238" s="42"/>
      <x:c r="V238" s="69">
        <x:v>-2.1351254000000002</x:v>
      </x:c>
      <x:c r="W238" s="42">
        <x:v>106.1331278</x:v>
      </x:c>
      <x:c r="X238" s="42"/>
      <x:c r="Y238" s="44"/>
      <x:c r="Z238" s="26" t="s">
        <x:v>50</x:v>
      </x:c>
      <x:c r="AA238" s="39" t="s">
        <x:v>51</x:v>
      </x:c>
      <x:c r="AB238" s="71">
        <x:v>46220</x:v>
      </x:c>
      <x:c r="AC238" s="41" t="s">
        <x:v>52</x:v>
      </x:c>
      <x:c r="AD238" s="45">
        <x:f t="shared" si="16"/>
        <x:v>9.7826086956521743E-2</x:v>
      </x:c>
      <x:c r="AE238" s="45">
        <x:f t="shared" si="17"/>
        <x:v>1</x:v>
      </x:c>
      <x:c r="AF238" s="227"/>
      <x:c r="AG238" s="228"/>
      <x:c r="AH238" s="229"/>
    </x:row>
    <x:row r="239" s="43" customFormat="1" ht="25">
      <x:c r="A239" s="27" t="s">
        <x:v>864</x:v>
      </x:c>
      <x:c r="B239" s="42" t="s">
        <x:v>865</x:v>
      </x:c>
      <x:c r="C239" s="43" t="s">
        <x:v>39</x:v>
      </x:c>
      <x:c r="D239" s="42" t="s">
        <x:v>40</x:v>
      </x:c>
      <x:c r="E239" s="42" t="s">
        <x:v>55</x:v>
      </x:c>
      <x:c r="F239" s="43" t="s">
        <x:v>866</x:v>
      </x:c>
      <x:c r="G239" s="43" t="s">
        <x:v>867</x:v>
      </x:c>
      <x:c r="H239" s="43" t="s">
        <x:v>868</x:v>
      </x:c>
      <x:c r="I239" s="43" t="s">
        <x:v>142</x:v>
      </x:c>
      <x:c r="J239" s="43">
        <x:v>2017</x:v>
      </x:c>
      <x:c r="K239" s="43">
        <x:v>43</x:v>
      </x:c>
      <x:c r="L239" s="42">
        <x:v>43</x:v>
      </x:c>
      <x:c r="M239" s="43">
        <x:v>43</x:v>
      </x:c>
      <x:c r="N239" s="43" t="s">
        <x:v>46</x:v>
      </x:c>
      <x:c r="O239" s="43">
        <x:v>2021</x:v>
      </x:c>
      <x:c r="Q239" s="21" t="s">
        <x:v>47</x:v>
      </x:c>
      <x:c r="R239" s="43" t="s">
        <x:v>143</x:v>
      </x:c>
      <x:c r="S239" s="17" t="s">
        <x:v>48</x:v>
      </x:c>
      <x:c r="T239" s="42"/>
      <x:c r="U239" s="42"/>
      <x:c r="V239" s="69">
        <x:v>-2.1201880000000002</x:v>
      </x:c>
      <x:c r="W239" s="42">
        <x:v>106.07431099999999</x:v>
      </x:c>
      <x:c r="X239" s="42"/>
      <x:c r="Y239" s="44"/>
      <x:c r="Z239" s="26" t="s">
        <x:v>50</x:v>
      </x:c>
      <x:c r="AA239" s="39" t="s">
        <x:v>51</x:v>
      </x:c>
      <x:c r="AB239" s="71">
        <x:v>46220</x:v>
      </x:c>
      <x:c r="AC239" s="41" t="s">
        <x:v>52</x:v>
      </x:c>
      <x:c r="AD239" s="45">
        <x:f t="shared" si="16"/>
        <x:v>1</x:v>
      </x:c>
      <x:c r="AE239" s="45">
        <x:f t="shared" si="17"/>
        <x:v>1</x:v>
      </x:c>
      <x:c r="AF239" s="227"/>
      <x:c r="AG239" s="228"/>
      <x:c r="AH239" s="229"/>
    </x:row>
    <x:row r="240" s="43" customFormat="1" ht="25">
      <x:c r="A240" s="27" t="s">
        <x:v>869</x:v>
      </x:c>
      <x:c r="B240" s="42" t="s">
        <x:v>870</x:v>
      </x:c>
      <x:c r="C240" s="43" t="s">
        <x:v>39</x:v>
      </x:c>
      <x:c r="D240" s="42" t="s">
        <x:v>40</x:v>
      </x:c>
      <x:c r="E240" s="42" t="s">
        <x:v>41</x:v>
      </x:c>
      <x:c r="F240" s="43" t="s">
        <x:v>56</x:v>
      </x:c>
      <x:c r="G240" s="43" t="s">
        <x:v>867</x:v>
      </x:c>
      <x:c r="H240" s="43" t="s">
        <x:v>868</x:v>
      </x:c>
      <x:c r="I240" s="43" t="s">
        <x:v>142</x:v>
      </x:c>
      <x:c r="J240" s="43">
        <x:v>2017</x:v>
      </x:c>
      <x:c r="K240" s="43">
        <x:v>30</x:v>
      </x:c>
      <x:c r="L240" s="42">
        <x:v>30</x:v>
      </x:c>
      <x:c r="M240" s="43">
        <x:v>29</x:v>
      </x:c>
      <x:c r="N240" s="43" t="s">
        <x:v>46</x:v>
      </x:c>
      <x:c r="O240" s="43">
        <x:v>2021</x:v>
      </x:c>
      <x:c r="Q240" s="21" t="s">
        <x:v>47</x:v>
      </x:c>
      <x:c r="R240" s="43" t="s">
        <x:v>143</x:v>
      </x:c>
      <x:c r="S240" s="17" t="s">
        <x:v>48</x:v>
      </x:c>
      <x:c r="T240" s="42"/>
      <x:c r="U240" s="42"/>
      <x:c r="V240" s="69">
        <x:v>-2.1146593</x:v>
      </x:c>
      <x:c r="W240" s="42">
        <x:v>106.0722858</x:v>
      </x:c>
      <x:c r="X240" s="42"/>
      <x:c r="Y240" s="44"/>
      <x:c r="Z240" s="26" t="s">
        <x:v>50</x:v>
      </x:c>
      <x:c r="AA240" s="39" t="s">
        <x:v>51</x:v>
      </x:c>
      <x:c r="AB240" s="71">
        <x:v>46220</x:v>
      </x:c>
      <x:c r="AC240" s="41" t="s">
        <x:v>52</x:v>
      </x:c>
      <x:c r="AD240" s="45">
        <x:f t="shared" si="16"/>
        <x:v>1</x:v>
      </x:c>
      <x:c r="AE240" s="45">
        <x:f t="shared" si="17"/>
        <x:v>0.96666666666666667</x:v>
      </x:c>
      <x:c r="AF240" s="227"/>
      <x:c r="AG240" s="228"/>
      <x:c r="AH240" s="229"/>
    </x:row>
    <x:row r="241" s="43" customFormat="1" ht="25">
      <x:c r="A241" s="27" t="s">
        <x:v>871</x:v>
      </x:c>
      <x:c r="B241" s="42" t="s">
        <x:v>872</x:v>
      </x:c>
      <x:c r="C241" s="43" t="s">
        <x:v>39</x:v>
      </x:c>
      <x:c r="D241" s="42" t="s">
        <x:v>40</x:v>
      </x:c>
      <x:c r="E241" s="42" t="s">
        <x:v>41</x:v>
      </x:c>
      <x:c r="F241" s="43" t="s">
        <x:v>873</x:v>
      </x:c>
      <x:c r="G241" s="43" t="s">
        <x:v>874</x:v>
      </x:c>
      <x:c r="H241" s="43" t="s">
        <x:v>868</x:v>
      </x:c>
      <x:c r="I241" s="43" t="s">
        <x:v>142</x:v>
      </x:c>
      <x:c r="J241" s="43">
        <x:v>2017</x:v>
      </x:c>
      <x:c r="K241" s="43">
        <x:v>123</x:v>
      </x:c>
      <x:c r="L241" s="42">
        <x:v>123</x:v>
      </x:c>
      <x:c r="M241" s="43">
        <x:v>123</x:v>
      </x:c>
      <x:c r="N241" s="43" t="s">
        <x:v>46</x:v>
      </x:c>
      <x:c r="O241" s="43">
        <x:v>2021</x:v>
      </x:c>
      <x:c r="Q241" s="21" t="s">
        <x:v>47</x:v>
      </x:c>
      <x:c r="S241" s="17" t="s">
        <x:v>48</x:v>
      </x:c>
      <x:c r="T241" s="42"/>
      <x:c r="U241" s="42"/>
      <x:c r="V241" s="69">
        <x:v>-2.1018940000000002</x:v>
      </x:c>
      <x:c r="W241" s="42">
        <x:v>106.081547</x:v>
      </x:c>
      <x:c r="X241" s="42"/>
      <x:c r="Y241" s="44"/>
      <x:c r="Z241" s="26" t="s">
        <x:v>50</x:v>
      </x:c>
      <x:c r="AA241" s="39" t="s">
        <x:v>51</x:v>
      </x:c>
      <x:c r="AB241" s="71">
        <x:v>46220</x:v>
      </x:c>
      <x:c r="AC241" s="41" t="s">
        <x:v>52</x:v>
      </x:c>
      <x:c r="AD241" s="45">
        <x:f t="shared" si="16"/>
        <x:v>1</x:v>
      </x:c>
      <x:c r="AE241" s="45">
        <x:f t="shared" si="17"/>
        <x:v>1</x:v>
      </x:c>
      <x:c r="AF241" s="227"/>
      <x:c r="AG241" s="228"/>
      <x:c r="AH241" s="229"/>
    </x:row>
    <x:row r="242" s="43" customFormat="1" ht="25">
      <x:c r="A242" s="27" t="s">
        <x:v>875</x:v>
      </x:c>
      <x:c r="B242" s="42" t="s">
        <x:v>876</x:v>
      </x:c>
      <x:c r="C242" s="43" t="s">
        <x:v>39</x:v>
      </x:c>
      <x:c r="D242" s="42" t="s">
        <x:v>75</x:v>
      </x:c>
      <x:c r="E242" s="42" t="s">
        <x:v>87</x:v>
      </x:c>
      <x:c r="F242" s="43" t="s">
        <x:v>438</x:v>
      </x:c>
      <x:c r="G242" s="43" t="s">
        <x:v>874</x:v>
      </x:c>
      <x:c r="H242" s="43" t="s">
        <x:v>868</x:v>
      </x:c>
      <x:c r="I242" s="43" t="s">
        <x:v>142</x:v>
      </x:c>
      <x:c r="J242" s="43">
        <x:v>2018</x:v>
      </x:c>
      <x:c r="K242" s="43">
        <x:v>110</x:v>
      </x:c>
      <x:c r="L242" s="42">
        <x:v>110</x:v>
      </x:c>
      <x:c r="M242" s="43">
        <x:v>103</x:v>
      </x:c>
      <x:c r="N242" s="43" t="s">
        <x:v>46</x:v>
      </x:c>
      <x:c r="O242" s="43">
        <x:v>2021</x:v>
      </x:c>
      <x:c r="Q242" s="21" t="s">
        <x:v>47</x:v>
      </x:c>
      <x:c r="R242" s="43" t="s">
        <x:v>68</x:v>
      </x:c>
      <x:c r="S242" s="17" t="s">
        <x:v>48</x:v>
      </x:c>
      <x:c r="T242" s="42"/>
      <x:c r="U242" s="42"/>
      <x:c r="V242" s="69">
        <x:v>-2.0981193999999999</x:v>
      </x:c>
      <x:c r="W242" s="42">
        <x:v>106.0837946</x:v>
      </x:c>
      <x:c r="X242" s="42"/>
      <x:c r="Y242" s="44"/>
      <x:c r="Z242" s="26" t="s">
        <x:v>50</x:v>
      </x:c>
      <x:c r="AA242" s="39" t="s">
        <x:v>51</x:v>
      </x:c>
      <x:c r="AB242" s="71">
        <x:v>46220</x:v>
      </x:c>
      <x:c r="AC242" s="41" t="s">
        <x:v>52</x:v>
      </x:c>
      <x:c r="AD242" s="45">
        <x:f t="shared" si="16"/>
        <x:v>1</x:v>
      </x:c>
      <x:c r="AE242" s="45">
        <x:f t="shared" si="17"/>
        <x:v>0.9363636363636364</x:v>
      </x:c>
      <x:c r="AF242" s="227"/>
      <x:c r="AG242" s="228"/>
      <x:c r="AH242" s="229"/>
    </x:row>
    <x:row r="243" s="43" customFormat="1" ht="25">
      <x:c r="A243" s="27" t="s">
        <x:v>877</x:v>
      </x:c>
      <x:c r="B243" s="42" t="s">
        <x:v>878</x:v>
      </x:c>
      <x:c r="C243" s="43" t="s">
        <x:v>39</x:v>
      </x:c>
      <x:c r="D243" s="42" t="s">
        <x:v>75</x:v>
      </x:c>
      <x:c r="E243" s="42" t="s">
        <x:v>87</x:v>
      </x:c>
      <x:c r="F243" s="43" t="s">
        <x:v>879</x:v>
      </x:c>
      <x:c r="G243" s="43" t="s">
        <x:v>874</x:v>
      </x:c>
      <x:c r="H243" s="43" t="s">
        <x:v>868</x:v>
      </x:c>
      <x:c r="I243" s="43" t="s">
        <x:v>142</x:v>
      </x:c>
      <x:c r="J243" s="43">
        <x:v>2018</x:v>
      </x:c>
      <x:c r="K243" s="43">
        <x:v>44</x:v>
      </x:c>
      <x:c r="L243" s="42">
        <x:v>44</x:v>
      </x:c>
      <x:c r="M243" s="43">
        <x:v>44</x:v>
      </x:c>
      <x:c r="N243" s="43" t="s">
        <x:v>46</x:v>
      </x:c>
      <x:c r="O243" s="43">
        <x:v>2021</x:v>
      </x:c>
      <x:c r="Q243" s="43" t="s">
        <x:v>89</x:v>
      </x:c>
      <x:c r="S243" s="17" t="s">
        <x:v>48</x:v>
      </x:c>
      <x:c r="T243" s="42"/>
      <x:c r="U243" s="42"/>
      <x:c r="V243" s="69">
        <x:v>-2.0944850000000002</x:v>
      </x:c>
      <x:c r="W243" s="42">
        <x:v>106.09107</x:v>
      </x:c>
      <x:c r="X243" s="42"/>
      <x:c r="Y243" s="44"/>
      <x:c r="Z243" s="26" t="s">
        <x:v>50</x:v>
      </x:c>
      <x:c r="AA243" s="39" t="s">
        <x:v>51</x:v>
      </x:c>
      <x:c r="AB243" s="71">
        <x:v>46220</x:v>
      </x:c>
      <x:c r="AC243" s="41" t="s">
        <x:v>52</x:v>
      </x:c>
      <x:c r="AD243" s="45">
        <x:f t="shared" si="16"/>
        <x:v>1</x:v>
      </x:c>
      <x:c r="AE243" s="45">
        <x:f t="shared" si="17"/>
        <x:v>1</x:v>
      </x:c>
      <x:c r="AF243" s="227"/>
      <x:c r="AG243" s="228"/>
      <x:c r="AH243" s="229"/>
    </x:row>
    <x:row r="244" s="43" customFormat="1" ht="25">
      <x:c r="A244" s="27" t="s">
        <x:v>880</x:v>
      </x:c>
      <x:c r="B244" s="42" t="s">
        <x:v>881</x:v>
      </x:c>
      <x:c r="C244" s="43" t="s">
        <x:v>39</x:v>
      </x:c>
      <x:c r="D244" s="42" t="s">
        <x:v>40</x:v>
      </x:c>
      <x:c r="E244" s="42" t="s">
        <x:v>41</x:v>
      </x:c>
      <x:c r="F244" s="43" t="s">
        <x:v>67</x:v>
      </x:c>
      <x:c r="G244" s="43" t="s">
        <x:v>882</x:v>
      </x:c>
      <x:c r="H244" s="43" t="s">
        <x:v>868</x:v>
      </x:c>
      <x:c r="I244" s="43" t="s">
        <x:v>142</x:v>
      </x:c>
      <x:c r="J244" s="43">
        <x:v>2018</x:v>
      </x:c>
      <x:c r="K244" s="43">
        <x:v>70</x:v>
      </x:c>
      <x:c r="L244" s="42">
        <x:v>70</x:v>
      </x:c>
      <x:c r="M244" s="43">
        <x:v>70</x:v>
      </x:c>
      <x:c r="N244" s="43" t="s">
        <x:v>46</x:v>
      </x:c>
      <x:c r="O244" s="43">
        <x:v>2022</x:v>
      </x:c>
      <x:c r="Q244" s="21" t="s">
        <x:v>47</x:v>
      </x:c>
      <x:c r="R244" s="43" t="s">
        <x:v>143</x:v>
      </x:c>
      <x:c r="S244" s="17" t="s">
        <x:v>48</x:v>
      </x:c>
      <x:c r="T244" s="42"/>
      <x:c r="U244" s="42"/>
      <x:c r="V244" s="69">
        <x:v>-2.0975541999999998</x:v>
      </x:c>
      <x:c r="W244" s="42">
        <x:v>106.0794709</x:v>
      </x:c>
      <x:c r="X244" s="42"/>
      <x:c r="Y244" s="44"/>
      <x:c r="Z244" s="26" t="s">
        <x:v>50</x:v>
      </x:c>
      <x:c r="AA244" s="39" t="s">
        <x:v>51</x:v>
      </x:c>
      <x:c r="AB244" s="71">
        <x:v>46220</x:v>
      </x:c>
      <x:c r="AC244" s="41" t="s">
        <x:v>52</x:v>
      </x:c>
      <x:c r="AD244" s="45">
        <x:f t="shared" si="16"/>
        <x:v>1</x:v>
      </x:c>
      <x:c r="AE244" s="45">
        <x:f t="shared" si="17"/>
        <x:v>1</x:v>
      </x:c>
      <x:c r="AF244" s="227"/>
      <x:c r="AG244" s="228"/>
      <x:c r="AH244" s="229"/>
    </x:row>
    <x:row r="245" s="43" customFormat="1" ht="25">
      <x:c r="A245" s="27" t="s">
        <x:v>883</x:v>
      </x:c>
      <x:c r="B245" s="42" t="s">
        <x:v>884</x:v>
      </x:c>
      <x:c r="C245" s="43" t="s">
        <x:v>39</x:v>
      </x:c>
      <x:c r="D245" s="42" t="s">
        <x:v>40</x:v>
      </x:c>
      <x:c r="E245" s="42" t="s">
        <x:v>41</x:v>
      </x:c>
      <x:c r="F245" s="43" t="s">
        <x:v>77</x:v>
      </x:c>
      <x:c r="G245" s="43" t="s">
        <x:v>882</x:v>
      </x:c>
      <x:c r="H245" s="43" t="s">
        <x:v>868</x:v>
      </x:c>
      <x:c r="I245" s="43" t="s">
        <x:v>142</x:v>
      </x:c>
      <x:c r="J245" s="43">
        <x:v>2020</x:v>
      </x:c>
      <x:c r="K245" s="43">
        <x:v>40</x:v>
      </x:c>
      <x:c r="L245" s="42">
        <x:v>40</x:v>
      </x:c>
      <x:c r="M245" s="43">
        <x:v>40</x:v>
      </x:c>
      <x:c r="N245" s="43" t="s">
        <x:v>46</x:v>
      </x:c>
      <x:c r="O245" s="43">
        <x:v>2022</x:v>
      </x:c>
      <x:c r="Q245" s="21" t="s">
        <x:v>47</x:v>
      </x:c>
      <x:c r="R245" s="43" t="s">
        <x:v>143</x:v>
      </x:c>
      <x:c r="S245" s="17" t="s">
        <x:v>48</x:v>
      </x:c>
      <x:c r="T245" s="42"/>
      <x:c r="U245" s="42"/>
      <x:c r="V245" s="69">
        <x:v>-2.0942904000000002</x:v>
      </x:c>
      <x:c r="W245" s="42">
        <x:v>106.0779465</x:v>
      </x:c>
      <x:c r="X245" s="42"/>
      <x:c r="Y245" s="44"/>
      <x:c r="Z245" s="26" t="s">
        <x:v>50</x:v>
      </x:c>
      <x:c r="AA245" s="39" t="s">
        <x:v>51</x:v>
      </x:c>
      <x:c r="AB245" s="71">
        <x:v>46220</x:v>
      </x:c>
      <x:c r="AC245" s="41" t="s">
        <x:v>52</x:v>
      </x:c>
      <x:c r="AD245" s="45" t="n">
        <x:f t="shared" ref="AD245:AD276" si="18">IF(A245="","",IFERROR(L245/K245,0))</x:f>
        <x:v>1</x:v>
      </x:c>
      <x:c r="AE245" s="45" t="n">
        <x:f t="shared" ref="AE245:AE276" si="19">IF(A245="","",IFERROR(M245/L245,0))</x:f>
        <x:v>1</x:v>
      </x:c>
      <x:c r="AF245" s="227"/>
      <x:c r="AG245" s="228"/>
      <x:c r="AH245" s="229"/>
    </x:row>
    <x:row r="246" s="43" customFormat="1" ht="25">
      <x:c r="A246" s="27" t="s">
        <x:v>885</x:v>
      </x:c>
      <x:c r="B246" s="42" t="s">
        <x:v>886</x:v>
      </x:c>
      <x:c r="C246" s="43" t="s">
        <x:v>39</x:v>
      </x:c>
      <x:c r="D246" s="42" t="s">
        <x:v>75</x:v>
      </x:c>
      <x:c r="E246" s="42" t="s">
        <x:v>87</x:v>
      </x:c>
      <x:c r="F246" s="43" t="s">
        <x:v>438</x:v>
      </x:c>
      <x:c r="G246" s="43" t="s">
        <x:v>882</x:v>
      </x:c>
      <x:c r="H246" s="43" t="s">
        <x:v>868</x:v>
      </x:c>
      <x:c r="I246" s="43" t="s">
        <x:v>142</x:v>
      </x:c>
      <x:c r="J246" s="43">
        <x:v>2021</x:v>
      </x:c>
      <x:c r="K246" s="43">
        <x:v>58</x:v>
      </x:c>
      <x:c r="L246" s="42">
        <x:v>58</x:v>
      </x:c>
      <x:c r="M246" s="43">
        <x:v>58</x:v>
      </x:c>
      <x:c r="N246" s="43" t="s">
        <x:v>64</x:v>
      </x:c>
      <x:c r="Q246" s="21" t="s">
        <x:v>47</x:v>
      </x:c>
      <x:c r="S246" s="17" t="s">
        <x:v>48</x:v>
      </x:c>
      <x:c r="T246" s="42"/>
      <x:c r="U246" s="42"/>
      <x:c r="V246" s="69">
        <x:v>-2.095885</x:v>
      </x:c>
      <x:c r="W246" s="42">
        <x:v>106.084112</x:v>
      </x:c>
      <x:c r="X246" s="42"/>
      <x:c r="Y246" s="44"/>
      <x:c r="Z246" s="26" t="s">
        <x:v>50</x:v>
      </x:c>
      <x:c r="AA246" s="39" t="s">
        <x:v>51</x:v>
      </x:c>
      <x:c r="AB246" s="71">
        <x:v>46220</x:v>
      </x:c>
      <x:c r="AC246" s="41" t="s">
        <x:v>52</x:v>
      </x:c>
      <x:c r="AD246" s="45">
        <x:f t="shared" si="18"/>
        <x:v>1</x:v>
      </x:c>
      <x:c r="AE246" s="45">
        <x:f t="shared" si="19"/>
        <x:v>1</x:v>
      </x:c>
      <x:c r="AF246" s="227"/>
      <x:c r="AG246" s="228"/>
      <x:c r="AH246" s="229"/>
    </x:row>
    <x:row r="247" s="43" customFormat="1" ht="25">
      <x:c r="A247" s="27" t="s">
        <x:v>887</x:v>
      </x:c>
      <x:c r="B247" s="42" t="s">
        <x:v>888</x:v>
      </x:c>
      <x:c r="C247" s="43" t="s">
        <x:v>39</x:v>
      </x:c>
      <x:c r="D247" s="42" t="s">
        <x:v>40</x:v>
      </x:c>
      <x:c r="E247" s="42" t="s">
        <x:v>55</x:v>
      </x:c>
      <x:c r="F247" s="43" t="s">
        <x:v>889</x:v>
      </x:c>
      <x:c r="G247" s="43" t="s">
        <x:v>882</x:v>
      </x:c>
      <x:c r="H247" s="43" t="s">
        <x:v>890</x:v>
      </x:c>
      <x:c r="I247" s="43" t="s">
        <x:v>142</x:v>
      </x:c>
      <x:c r="J247" s="43">
        <x:v>2024</x:v>
      </x:c>
      <x:c r="K247" s="43">
        <x:v>42</x:v>
      </x:c>
      <x:c r="L247" s="42">
        <x:v>26</x:v>
      </x:c>
      <x:c r="M247" s="43">
        <x:v>26</x:v>
      </x:c>
      <x:c r="N247" s="43" t="s">
        <x:v>64</x:v>
      </x:c>
      <x:c r="Q247" s="21" t="s">
        <x:v>47</x:v>
      </x:c>
      <x:c r="R247" s="21" t="s">
        <x:v>110</x:v>
      </x:c>
      <x:c r="S247" s="17" t="s">
        <x:v>48</x:v>
      </x:c>
      <x:c r="T247" s="42"/>
      <x:c r="U247" s="42"/>
      <x:c r="V247" s="69">
        <x:v>-2.1235791000000002</x:v>
      </x:c>
      <x:c r="W247" s="42">
        <x:v>106.0763937</x:v>
      </x:c>
      <x:c r="X247" s="42"/>
      <x:c r="Y247" s="44"/>
      <x:c r="Z247" s="26" t="s">
        <x:v>50</x:v>
      </x:c>
      <x:c r="AA247" s="39" t="s">
        <x:v>51</x:v>
      </x:c>
      <x:c r="AB247" s="71">
        <x:v>46220</x:v>
      </x:c>
      <x:c r="AC247" s="41" t="s">
        <x:v>52</x:v>
      </x:c>
      <x:c r="AD247" s="45">
        <x:f t="shared" si="18"/>
        <x:v>0.61904761904761907</x:v>
      </x:c>
      <x:c r="AE247" s="45">
        <x:f t="shared" si="19"/>
        <x:v>1</x:v>
      </x:c>
      <x:c r="AF247" s="227"/>
      <x:c r="AG247" s="228"/>
      <x:c r="AH247" s="229"/>
    </x:row>
    <x:row r="248" s="43" customFormat="1" ht="25">
      <x:c r="A248" s="27" t="s">
        <x:v>891</x:v>
      </x:c>
      <x:c r="B248" s="42" t="s">
        <x:v>892</x:v>
      </x:c>
      <x:c r="C248" s="43" t="s">
        <x:v>39</x:v>
      </x:c>
      <x:c r="D248" s="42" t="s">
        <x:v>75</x:v>
      </x:c>
      <x:c r="E248" s="42" t="s">
        <x:v>114</x:v>
      </x:c>
      <x:c r="F248" s="43" t="s">
        <x:v>286</x:v>
      </x:c>
      <x:c r="G248" s="43" t="s">
        <x:v>675</x:v>
      </x:c>
      <x:c r="H248" s="43" t="s">
        <x:v>687</x:v>
      </x:c>
      <x:c r="I248" s="43" t="s">
        <x:v>45</x:v>
      </x:c>
      <x:c r="J248" s="43">
        <x:v>2015</x:v>
      </x:c>
      <x:c r="K248" s="43">
        <x:v>103</x:v>
      </x:c>
      <x:c r="L248" s="42">
        <x:v>74</x:v>
      </x:c>
      <x:c r="M248" s="43">
        <x:v>74</x:v>
      </x:c>
      <x:c r="N248" s="43" t="s">
        <x:v>64</x:v>
      </x:c>
      <x:c r="Q248" s="21" t="s">
        <x:v>47</x:v>
      </x:c>
      <x:c r="R248" s="21" t="s">
        <x:v>110</x:v>
      </x:c>
      <x:c r="S248" s="42"/>
      <x:c r="T248" s="42"/>
      <x:c r="U248" s="42"/>
      <x:c r="V248" s="69">
        <x:v>-2.078166</x:v>
      </x:c>
      <x:c r="W248" s="42">
        <x:v>106.12220499999999</x:v>
      </x:c>
      <x:c r="X248" s="42"/>
      <x:c r="Y248" s="44"/>
      <x:c r="Z248" s="26" t="s">
        <x:v>50</x:v>
      </x:c>
      <x:c r="AA248" s="39" t="s">
        <x:v>51</x:v>
      </x:c>
      <x:c r="AB248" s="71">
        <x:v>46220</x:v>
      </x:c>
      <x:c r="AC248" s="41" t="s">
        <x:v>52</x:v>
      </x:c>
      <x:c r="AD248" s="45">
        <x:f t="shared" si="18"/>
        <x:v>0.71844660194174759</x:v>
      </x:c>
      <x:c r="AE248" s="45">
        <x:f t="shared" si="19"/>
        <x:v>1</x:v>
      </x:c>
      <x:c r="AF248" s="227"/>
      <x:c r="AG248" s="228"/>
      <x:c r="AH248" s="229"/>
    </x:row>
    <x:row r="249" s="43" customFormat="1" ht="25">
      <x:c r="A249" s="27" t="s">
        <x:v>893</x:v>
      </x:c>
      <x:c r="B249" s="42" t="s">
        <x:v>894</x:v>
      </x:c>
      <x:c r="C249" s="43" t="s">
        <x:v>39</x:v>
      </x:c>
      <x:c r="D249" s="42" t="s">
        <x:v>102</x:v>
      </x:c>
      <x:c r="E249" s="42" t="s">
        <x:v>103</x:v>
      </x:c>
      <x:c r="F249" s="43" t="s">
        <x:v>779</x:v>
      </x:c>
      <x:c r="G249" s="43" t="s">
        <x:v>895</x:v>
      </x:c>
      <x:c r="H249" s="43" t="s">
        <x:v>896</x:v>
      </x:c>
      <x:c r="I249" s="43" t="s">
        <x:v>62</x:v>
      </x:c>
      <x:c r="J249" s="43">
        <x:v>2021</x:v>
      </x:c>
      <x:c r="K249" s="43">
        <x:v>115</x:v>
      </x:c>
      <x:c r="L249" s="42">
        <x:v>10</x:v>
      </x:c>
      <x:c r="M249" s="43">
        <x:v>0</x:v>
      </x:c>
      <x:c r="N249" s="43" t="s">
        <x:v>64</x:v>
      </x:c>
      <x:c r="Q249" s="21" t="s">
        <x:v>47</x:v>
      </x:c>
      <x:c r="R249" s="21" t="s">
        <x:v>110</x:v>
      </x:c>
      <x:c r="S249" s="42"/>
      <x:c r="T249" s="42"/>
      <x:c r="U249" s="42"/>
      <x:c r="V249" s="69">
        <x:v>-2.1486339999999999</x:v>
      </x:c>
      <x:c r="W249" s="42">
        <x:v>106.145662</x:v>
      </x:c>
      <x:c r="X249" s="42"/>
      <x:c r="Y249" s="44"/>
      <x:c r="Z249" s="26" t="s">
        <x:v>50</x:v>
      </x:c>
      <x:c r="AA249" s="39" t="s">
        <x:v>51</x:v>
      </x:c>
      <x:c r="AB249" s="71">
        <x:v>46220</x:v>
      </x:c>
      <x:c r="AC249" s="41" t="s">
        <x:v>52</x:v>
      </x:c>
      <x:c r="AD249" s="45">
        <x:f t="shared" si="18"/>
        <x:v>8.6956521739130432E-2</x:v>
      </x:c>
      <x:c r="AE249" s="45">
        <x:f t="shared" si="19"/>
        <x:v>0</x:v>
      </x:c>
      <x:c r="AF249" s="227"/>
      <x:c r="AG249" s="228"/>
      <x:c r="AH249" s="229"/>
    </x:row>
    <x:row r="250" s="43" customFormat="1" ht="25">
      <x:c r="A250" s="27" t="s">
        <x:v>897</x:v>
      </x:c>
      <x:c r="B250" s="42" t="s">
        <x:v>898</x:v>
      </x:c>
      <x:c r="C250" s="43" t="s">
        <x:v>39</x:v>
      </x:c>
      <x:c r="D250" s="42" t="s">
        <x:v>102</x:v>
      </x:c>
      <x:c r="E250" s="42" t="s">
        <x:v>158</x:v>
      </x:c>
      <x:c r="F250" s="43" t="s">
        <x:v>605</x:v>
      </x:c>
      <x:c r="G250" s="43" t="s">
        <x:v>899</x:v>
      </x:c>
      <x:c r="H250" s="43" t="s">
        <x:v>900</x:v>
      </x:c>
      <x:c r="I250" s="43" t="s">
        <x:v>107</x:v>
      </x:c>
      <x:c r="J250" s="43">
        <x:v>2019</x:v>
      </x:c>
      <x:c r="K250" s="43">
        <x:v>161</x:v>
      </x:c>
      <x:c r="L250" s="42">
        <x:v>103</x:v>
      </x:c>
      <x:c r="M250" s="43">
        <x:v>103</x:v>
      </x:c>
      <x:c r="N250" s="43" t="s">
        <x:v>64</x:v>
      </x:c>
      <x:c r="Q250" s="21" t="s">
        <x:v>47</x:v>
      </x:c>
      <x:c r="S250" s="42"/>
      <x:c r="T250" s="42"/>
      <x:c r="U250" s="42"/>
      <x:c r="V250" s="69">
        <x:v>-2.1294618000000001</x:v>
      </x:c>
      <x:c r="W250" s="42">
        <x:v>106.16116599999999</x:v>
      </x:c>
      <x:c r="X250" s="42"/>
      <x:c r="Y250" s="44"/>
      <x:c r="Z250" s="26" t="s">
        <x:v>50</x:v>
      </x:c>
      <x:c r="AA250" s="39" t="s">
        <x:v>51</x:v>
      </x:c>
      <x:c r="AB250" s="71">
        <x:v>46220</x:v>
      </x:c>
      <x:c r="AC250" s="41" t="s">
        <x:v>52</x:v>
      </x:c>
      <x:c r="AD250" s="45">
        <x:f t="shared" si="18"/>
        <x:v>0.63975155279503104</x:v>
      </x:c>
      <x:c r="AE250" s="45">
        <x:f t="shared" si="19"/>
        <x:v>1</x:v>
      </x:c>
      <x:c r="AF250" s="227"/>
      <x:c r="AG250" s="228"/>
      <x:c r="AH250" s="229"/>
    </x:row>
    <x:row r="251" s="43" customFormat="1" ht="25">
      <x:c r="A251" s="27" t="s">
        <x:v>901</x:v>
      </x:c>
      <x:c r="B251" s="42" t="s">
        <x:v>902</x:v>
      </x:c>
      <x:c r="C251" s="43" t="s">
        <x:v>39</x:v>
      </x:c>
      <x:c r="D251" s="42" t="s">
        <x:v>433</x:v>
      </x:c>
      <x:c r="E251" s="42" t="s">
        <x:v>434</x:v>
      </x:c>
      <x:c r="F251" s="43" t="s">
        <x:v>903</x:v>
      </x:c>
      <x:c r="G251" s="43" t="s">
        <x:v>904</x:v>
      </x:c>
      <x:c r="H251" s="43" t="s">
        <x:v>905</x:v>
      </x:c>
      <x:c r="I251" s="43" t="s">
        <x:v>45</x:v>
      </x:c>
      <x:c r="J251" s="43">
        <x:v>2017</x:v>
      </x:c>
      <x:c r="K251" s="43">
        <x:v>140</x:v>
      </x:c>
      <x:c r="L251" s="42">
        <x:v>140</x:v>
      </x:c>
      <x:c r="M251" s="43">
        <x:v>140</x:v>
      </x:c>
      <x:c r="N251" s="43" t="s">
        <x:v>64</x:v>
      </x:c>
      <x:c r="Q251" s="21" t="s">
        <x:v>47</x:v>
      </x:c>
      <x:c r="S251" s="42"/>
      <x:c r="T251" s="42"/>
      <x:c r="U251" s="42"/>
      <x:c r="V251" s="69">
        <x:v>-2.150156</x:v>
      </x:c>
      <x:c r="W251" s="42">
        <x:v>106.10794970000001</x:v>
      </x:c>
      <x:c r="X251" s="42"/>
      <x:c r="Y251" s="44"/>
      <x:c r="Z251" s="26" t="s">
        <x:v>50</x:v>
      </x:c>
      <x:c r="AA251" s="39" t="s">
        <x:v>51</x:v>
      </x:c>
      <x:c r="AB251" s="71">
        <x:v>46220</x:v>
      </x:c>
      <x:c r="AC251" s="41" t="s">
        <x:v>52</x:v>
      </x:c>
      <x:c r="AD251" s="45">
        <x:f t="shared" si="18"/>
        <x:v>1</x:v>
      </x:c>
      <x:c r="AE251" s="45">
        <x:f t="shared" si="19"/>
        <x:v>1</x:v>
      </x:c>
      <x:c r="AF251" s="227"/>
      <x:c r="AG251" s="228"/>
      <x:c r="AH251" s="229"/>
    </x:row>
    <x:row r="252" s="43" customFormat="1" ht="25">
      <x:c r="A252" s="27" t="s">
        <x:v>906</x:v>
      </x:c>
      <x:c r="B252" s="42" t="s">
        <x:v>907</x:v>
      </x:c>
      <x:c r="C252" s="43" t="s">
        <x:v>39</x:v>
      </x:c>
      <x:c r="D252" s="42" t="s">
        <x:v>433</x:v>
      </x:c>
      <x:c r="E252" s="42" t="s">
        <x:v>434</x:v>
      </x:c>
      <x:c r="F252" s="43" t="s">
        <x:v>908</x:v>
      </x:c>
      <x:c r="G252" s="43" t="s">
        <x:v>904</x:v>
      </x:c>
      <x:c r="H252" s="43" t="s">
        <x:v>905</x:v>
      </x:c>
      <x:c r="I252" s="43" t="s">
        <x:v>45</x:v>
      </x:c>
      <x:c r="J252" s="43">
        <x:v>2017</x:v>
      </x:c>
      <x:c r="K252" s="43">
        <x:v>15</x:v>
      </x:c>
      <x:c r="L252" s="42">
        <x:v>15</x:v>
      </x:c>
      <x:c r="M252" s="43">
        <x:v>6</x:v>
      </x:c>
      <x:c r="N252" s="43" t="s">
        <x:v>64</x:v>
      </x:c>
      <x:c r="Q252" s="21" t="s">
        <x:v>47</x:v>
      </x:c>
      <x:c r="R252" s="21" t="s">
        <x:v>110</x:v>
      </x:c>
      <x:c r="S252" s="42"/>
      <x:c r="T252" s="42"/>
      <x:c r="U252" s="42"/>
      <x:c r="V252" s="69">
        <x:v>-2.1502162</x:v>
      </x:c>
      <x:c r="W252" s="42">
        <x:v>106.1080668</x:v>
      </x:c>
      <x:c r="X252" s="42"/>
      <x:c r="Y252" s="44"/>
      <x:c r="Z252" s="26" t="s">
        <x:v>50</x:v>
      </x:c>
      <x:c r="AA252" s="39" t="s">
        <x:v>51</x:v>
      </x:c>
      <x:c r="AB252" s="71">
        <x:v>46220</x:v>
      </x:c>
      <x:c r="AC252" s="41" t="s">
        <x:v>52</x:v>
      </x:c>
      <x:c r="AD252" s="45">
        <x:f t="shared" si="18"/>
        <x:v>1</x:v>
      </x:c>
      <x:c r="AE252" s="45">
        <x:f t="shared" si="19"/>
        <x:v>0.4</x:v>
      </x:c>
      <x:c r="AF252" s="227"/>
      <x:c r="AG252" s="228"/>
      <x:c r="AH252" s="229"/>
    </x:row>
    <x:row r="253" s="43" customFormat="1" ht="25">
      <x:c r="A253" s="27" t="s">
        <x:v>909</x:v>
      </x:c>
      <x:c r="B253" s="42" t="s">
        <x:v>910</x:v>
      </x:c>
      <x:c r="C253" s="43" t="s">
        <x:v>39</x:v>
      </x:c>
      <x:c r="D253" s="42" t="s">
        <x:v>433</x:v>
      </x:c>
      <x:c r="E253" s="42" t="s">
        <x:v>488</x:v>
      </x:c>
      <x:c r="F253" s="43" t="s">
        <x:v>911</x:v>
      </x:c>
      <x:c r="G253" s="43" t="s">
        <x:v>904</x:v>
      </x:c>
      <x:c r="H253" s="43" t="s">
        <x:v>905</x:v>
      </x:c>
      <x:c r="I253" s="43" t="s">
        <x:v>45</x:v>
      </x:c>
      <x:c r="J253" s="43">
        <x:v>2018</x:v>
      </x:c>
      <x:c r="K253" s="43">
        <x:v>20</x:v>
      </x:c>
      <x:c r="L253" s="42">
        <x:v>20</x:v>
      </x:c>
      <x:c r="M253" s="43">
        <x:v>4</x:v>
      </x:c>
      <x:c r="N253" s="43" t="s">
        <x:v>64</x:v>
      </x:c>
      <x:c r="Q253" s="21" t="s">
        <x:v>47</x:v>
      </x:c>
      <x:c r="R253" s="21" t="s">
        <x:v>110</x:v>
      </x:c>
      <x:c r="S253" s="42"/>
      <x:c r="T253" s="42"/>
      <x:c r="U253" s="42"/>
      <x:c r="V253" s="69">
        <x:v>-2.1475719999999998</x:v>
      </x:c>
      <x:c r="W253" s="42">
        <x:v>106.12103399999999</x:v>
      </x:c>
      <x:c r="X253" s="42"/>
      <x:c r="Y253" s="44"/>
      <x:c r="Z253" s="26" t="s">
        <x:v>50</x:v>
      </x:c>
      <x:c r="AA253" s="39" t="s">
        <x:v>51</x:v>
      </x:c>
      <x:c r="AB253" s="71">
        <x:v>46220</x:v>
      </x:c>
      <x:c r="AC253" s="41" t="s">
        <x:v>52</x:v>
      </x:c>
      <x:c r="AD253" s="45">
        <x:f t="shared" si="18"/>
        <x:v>1</x:v>
      </x:c>
      <x:c r="AE253" s="45">
        <x:f t="shared" si="19"/>
        <x:v>0.2</x:v>
      </x:c>
      <x:c r="AF253" s="227"/>
      <x:c r="AG253" s="228"/>
      <x:c r="AH253" s="229"/>
    </x:row>
    <x:row r="254" s="43" customFormat="1" ht="25">
      <x:c r="A254" s="27" t="s">
        <x:v>912</x:v>
      </x:c>
      <x:c r="B254" s="42" t="s">
        <x:v>913</x:v>
      </x:c>
      <x:c r="C254" s="43" t="s">
        <x:v>39</x:v>
      </x:c>
      <x:c r="D254" s="42" t="s">
        <x:v>433</x:v>
      </x:c>
      <x:c r="E254" s="42" t="s">
        <x:v>434</x:v>
      </x:c>
      <x:c r="F254" s="43" t="s">
        <x:v>914</x:v>
      </x:c>
      <x:c r="G254" s="43" t="s">
        <x:v>904</x:v>
      </x:c>
      <x:c r="H254" s="43" t="s">
        <x:v>905</x:v>
      </x:c>
      <x:c r="I254" s="43" t="s">
        <x:v>45</x:v>
      </x:c>
      <x:c r="J254" s="43">
        <x:v>2018</x:v>
      </x:c>
      <x:c r="K254" s="43">
        <x:v>54</x:v>
      </x:c>
      <x:c r="L254" s="42">
        <x:v>31</x:v>
      </x:c>
      <x:c r="M254" s="43">
        <x:v>15</x:v>
      </x:c>
      <x:c r="N254" s="43" t="s">
        <x:v>64</x:v>
      </x:c>
      <x:c r="Q254" s="21" t="s">
        <x:v>47</x:v>
      </x:c>
      <x:c r="R254" s="21" t="s">
        <x:v>110</x:v>
      </x:c>
      <x:c r="S254" s="42"/>
      <x:c r="T254" s="42"/>
      <x:c r="U254" s="42"/>
      <x:c r="V254" s="69">
        <x:v>-2.1529470000000002</x:v>
      </x:c>
      <x:c r="W254" s="42">
        <x:v>106.109098</x:v>
      </x:c>
      <x:c r="X254" s="42"/>
      <x:c r="Y254" s="44"/>
      <x:c r="Z254" s="26" t="s">
        <x:v>50</x:v>
      </x:c>
      <x:c r="AA254" s="39" t="s">
        <x:v>51</x:v>
      </x:c>
      <x:c r="AB254" s="71">
        <x:v>46220</x:v>
      </x:c>
      <x:c r="AC254" s="41" t="s">
        <x:v>52</x:v>
      </x:c>
      <x:c r="AD254" s="45">
        <x:f t="shared" si="18"/>
        <x:v>0.57407407407407407</x:v>
      </x:c>
      <x:c r="AE254" s="45">
        <x:f t="shared" si="19"/>
        <x:v>0.4838709677419355</x:v>
      </x:c>
      <x:c r="AF254" s="227"/>
      <x:c r="AG254" s="228"/>
      <x:c r="AH254" s="229"/>
    </x:row>
    <x:row r="255" s="43" customFormat="1" ht="25">
      <x:c r="A255" s="27" t="s">
        <x:v>915</x:v>
      </x:c>
      <x:c r="B255" s="42" t="s">
        <x:v>916</x:v>
      </x:c>
      <x:c r="C255" s="43" t="s">
        <x:v>39</x:v>
      </x:c>
      <x:c r="D255" s="42" t="s">
        <x:v>75</x:v>
      </x:c>
      <x:c r="E255" s="42" t="s">
        <x:v>114</x:v>
      </x:c>
      <x:c r="F255" s="43" t="s">
        <x:v>917</x:v>
      </x:c>
      <x:c r="G255" s="43" t="s">
        <x:v>62</x:v>
      </x:c>
      <x:c r="H255" s="43" t="s">
        <x:v>241</x:v>
      </x:c>
      <x:c r="I255" s="43" t="s">
        <x:v>80</x:v>
      </x:c>
      <x:c r="J255" s="43">
        <x:v>2015</x:v>
      </x:c>
      <x:c r="K255" s="43">
        <x:v>124</x:v>
      </x:c>
      <x:c r="L255" s="42">
        <x:v>124</x:v>
      </x:c>
      <x:c r="M255" s="43">
        <x:v>124</x:v>
      </x:c>
      <x:c r="N255" s="43" t="s">
        <x:v>64</x:v>
      </x:c>
      <x:c r="Q255" s="21" t="s">
        <x:v>47</x:v>
      </x:c>
      <x:c r="S255" s="42"/>
      <x:c r="T255" s="42"/>
      <x:c r="U255" s="42"/>
      <x:c r="V255" s="69">
        <x:v>-2.0908703499999999</x:v>
      </x:c>
      <x:c r="W255" s="42">
        <x:v>106.10865029999999</x:v>
      </x:c>
      <x:c r="X255" s="42"/>
      <x:c r="Y255" s="44"/>
      <x:c r="Z255" s="26" t="s">
        <x:v>50</x:v>
      </x:c>
      <x:c r="AA255" s="39" t="s">
        <x:v>51</x:v>
      </x:c>
      <x:c r="AB255" s="71">
        <x:v>46220</x:v>
      </x:c>
      <x:c r="AC255" s="41" t="s">
        <x:v>52</x:v>
      </x:c>
      <x:c r="AD255" s="45">
        <x:f t="shared" si="18"/>
        <x:v>1</x:v>
      </x:c>
      <x:c r="AE255" s="45">
        <x:f t="shared" si="19"/>
        <x:v>1</x:v>
      </x:c>
      <x:c r="AF255" s="227"/>
      <x:c r="AG255" s="228"/>
      <x:c r="AH255" s="229"/>
    </x:row>
    <x:row r="256" s="43" customFormat="1" ht="25">
      <x:c r="A256" s="27" t="s">
        <x:v>918</x:v>
      </x:c>
      <x:c r="B256" s="42" t="s">
        <x:v>919</x:v>
      </x:c>
      <x:c r="C256" s="43" t="s">
        <x:v>39</x:v>
      </x:c>
      <x:c r="D256" s="42" t="s">
        <x:v>40</x:v>
      </x:c>
      <x:c r="E256" s="42" t="s">
        <x:v>55</x:v>
      </x:c>
      <x:c r="F256" s="43" t="s">
        <x:v>920</x:v>
      </x:c>
      <x:c r="G256" s="43" t="s">
        <x:v>921</x:v>
      </x:c>
      <x:c r="H256" s="43" t="s">
        <x:v>922</x:v>
      </x:c>
      <x:c r="I256" s="43" t="s">
        <x:v>62</x:v>
      </x:c>
      <x:c r="J256" s="43">
        <x:v>2017</x:v>
      </x:c>
      <x:c r="K256" s="43">
        <x:v>42</x:v>
      </x:c>
      <x:c r="L256" s="42">
        <x:v>37</x:v>
      </x:c>
      <x:c r="M256" s="43">
        <x:v>37</x:v>
      </x:c>
      <x:c r="N256" s="43" t="s">
        <x:v>64</x:v>
      </x:c>
      <x:c r="Q256" s="21" t="s">
        <x:v>47</x:v>
      </x:c>
      <x:c r="R256" s="21" t="s">
        <x:v>110</x:v>
      </x:c>
      <x:c r="S256" s="42"/>
      <x:c r="T256" s="42"/>
      <x:c r="U256" s="42"/>
      <x:c r="V256" s="69">
        <x:v>-2.1266164000000001</x:v>
      </x:c>
      <x:c r="W256" s="42">
        <x:v>106.08298000000001</x:v>
      </x:c>
      <x:c r="X256" s="42"/>
      <x:c r="Y256" s="44"/>
      <x:c r="Z256" s="26" t="s">
        <x:v>50</x:v>
      </x:c>
      <x:c r="AA256" s="39" t="s">
        <x:v>51</x:v>
      </x:c>
      <x:c r="AB256" s="71">
        <x:v>46220</x:v>
      </x:c>
      <x:c r="AC256" s="41" t="s">
        <x:v>52</x:v>
      </x:c>
      <x:c r="AD256" s="45">
        <x:f t="shared" si="18"/>
        <x:v>0.88095238095238093</x:v>
      </x:c>
      <x:c r="AE256" s="45">
        <x:f t="shared" si="19"/>
        <x:v>1</x:v>
      </x:c>
      <x:c r="AF256" s="227"/>
      <x:c r="AG256" s="228"/>
      <x:c r="AH256" s="229"/>
    </x:row>
    <x:row r="257" s="43" customFormat="1" ht="25">
      <x:c r="A257" s="27" t="s">
        <x:v>923</x:v>
      </x:c>
      <x:c r="B257" s="42" t="s">
        <x:v>924</x:v>
      </x:c>
      <x:c r="C257" s="43" t="s">
        <x:v>39</x:v>
      </x:c>
      <x:c r="D257" s="42" t="s">
        <x:v>40</x:v>
      </x:c>
      <x:c r="E257" s="42" t="s">
        <x:v>41</x:v>
      </x:c>
      <x:c r="F257" s="43" t="s">
        <x:v>67</x:v>
      </x:c>
      <x:c r="G257" s="43" t="s">
        <x:v>62</x:v>
      </x:c>
      <x:c r="H257" s="43" t="s">
        <x:v>62</x:v>
      </x:c>
      <x:c r="I257" s="43" t="s">
        <x:v>62</x:v>
      </x:c>
      <x:c r="J257" s="43">
        <x:v>2017</x:v>
      </x:c>
      <x:c r="K257" s="43">
        <x:v>14</x:v>
      </x:c>
      <x:c r="L257" s="42">
        <x:v>14</x:v>
      </x:c>
      <x:c r="M257" s="43">
        <x:v>14</x:v>
      </x:c>
      <x:c r="N257" s="43" t="s">
        <x:v>64</x:v>
      </x:c>
      <x:c r="Q257" s="21" t="s">
        <x:v>47</x:v>
      </x:c>
      <x:c r="R257" s="21" t="s">
        <x:v>110</x:v>
      </x:c>
      <x:c r="S257" s="42"/>
      <x:c r="T257" s="42"/>
      <x:c r="U257" s="42"/>
      <x:c r="V257" s="69">
        <x:v>-2.0969370000000001</x:v>
      </x:c>
      <x:c r="W257" s="42">
        <x:v>106.07986</x:v>
      </x:c>
      <x:c r="X257" s="42"/>
      <x:c r="Y257" s="44"/>
      <x:c r="Z257" s="26" t="s">
        <x:v>50</x:v>
      </x:c>
      <x:c r="AA257" s="39" t="s">
        <x:v>51</x:v>
      </x:c>
      <x:c r="AB257" s="71">
        <x:v>46220</x:v>
      </x:c>
      <x:c r="AC257" s="41" t="s">
        <x:v>52</x:v>
      </x:c>
      <x:c r="AD257" s="45">
        <x:f t="shared" si="18"/>
        <x:v>1</x:v>
      </x:c>
      <x:c r="AE257" s="45">
        <x:f t="shared" si="19"/>
        <x:v>1</x:v>
      </x:c>
      <x:c r="AF257" s="227"/>
      <x:c r="AG257" s="228"/>
      <x:c r="AH257" s="229"/>
    </x:row>
    <x:row r="258" s="43" customFormat="1" ht="25">
      <x:c r="A258" s="27" t="s">
        <x:v>925</x:v>
      </x:c>
      <x:c r="B258" s="42" t="s">
        <x:v>926</x:v>
      </x:c>
      <x:c r="C258" s="43" t="s">
        <x:v>39</x:v>
      </x:c>
      <x:c r="D258" s="42" t="s">
        <x:v>40</x:v>
      </x:c>
      <x:c r="E258" s="42" t="s">
        <x:v>41</x:v>
      </x:c>
      <x:c r="F258" s="43" t="s">
        <x:v>927</x:v>
      </x:c>
      <x:c r="G258" s="43" t="s">
        <x:v>928</x:v>
      </x:c>
      <x:c r="H258" s="43" t="s">
        <x:v>929</x:v>
      </x:c>
      <x:c r="I258" s="43" t="s">
        <x:v>45</x:v>
      </x:c>
      <x:c r="J258" s="43">
        <x:v>2021</x:v>
      </x:c>
      <x:c r="K258" s="43">
        <x:v>40</x:v>
      </x:c>
      <x:c r="L258" s="42">
        <x:v>22</x:v>
      </x:c>
      <x:c r="M258" s="43">
        <x:v>22</x:v>
      </x:c>
      <x:c r="N258" s="43" t="s">
        <x:v>64</x:v>
      </x:c>
      <x:c r="Q258" s="21" t="s">
        <x:v>47</x:v>
      </x:c>
      <x:c r="S258" s="42"/>
      <x:c r="T258" s="9" t="s">
        <x:v>49</x:v>
      </x:c>
      <x:c r="U258" s="42"/>
      <x:c r="V258" s="69">
        <x:v>-2.09375</x:v>
      </x:c>
      <x:c r="W258" s="42">
        <x:v>106.07987799999999</x:v>
      </x:c>
      <x:c r="X258" s="42"/>
      <x:c r="Y258" s="44"/>
      <x:c r="Z258" s="26" t="s">
        <x:v>50</x:v>
      </x:c>
      <x:c r="AA258" s="39" t="s">
        <x:v>51</x:v>
      </x:c>
      <x:c r="AB258" s="71">
        <x:v>46220</x:v>
      </x:c>
      <x:c r="AC258" s="41" t="s">
        <x:v>52</x:v>
      </x:c>
      <x:c r="AD258" s="45">
        <x:f t="shared" si="18"/>
        <x:v>0.55000000000000004</x:v>
      </x:c>
      <x:c r="AE258" s="45">
        <x:f t="shared" si="19"/>
        <x:v>1</x:v>
      </x:c>
      <x:c r="AF258" s="227"/>
      <x:c r="AG258" s="228"/>
      <x:c r="AH258" s="229"/>
    </x:row>
    <x:row r="259" s="43" customFormat="1" ht="25">
      <x:c r="A259" s="27" t="s">
        <x:v>930</x:v>
      </x:c>
      <x:c r="B259" s="42" t="s">
        <x:v>931</x:v>
      </x:c>
      <x:c r="C259" s="43" t="s">
        <x:v>39</x:v>
      </x:c>
      <x:c r="D259" s="42" t="s">
        <x:v>40</x:v>
      </x:c>
      <x:c r="E259" s="42" t="s">
        <x:v>55</x:v>
      </x:c>
      <x:c r="F259" s="43" t="s">
        <x:v>61</x:v>
      </x:c>
      <x:c r="G259" s="43" t="s">
        <x:v>584</x:v>
      </x:c>
      <x:c r="H259" s="43" t="s">
        <x:v>585</x:v>
      </x:c>
      <x:c r="I259" s="43" t="s">
        <x:v>268</x:v>
      </x:c>
      <x:c r="J259" s="43">
        <x:v>2019</x:v>
      </x:c>
      <x:c r="K259" s="43">
        <x:v>71</x:v>
      </x:c>
      <x:c r="L259" s="42">
        <x:v>61</x:v>
      </x:c>
      <x:c r="M259" s="43">
        <x:v>59</x:v>
      </x:c>
      <x:c r="N259" s="43" t="s">
        <x:v>46</x:v>
      </x:c>
      <x:c r="O259" s="43">
        <x:v>2025</x:v>
      </x:c>
      <x:c r="Q259" s="21" t="s">
        <x:v>47</x:v>
      </x:c>
      <x:c r="S259" s="42"/>
      <x:c r="T259" s="42"/>
      <x:c r="U259" s="42"/>
      <x:c r="V259" s="69">
        <x:v>-2.1240772300000001</x:v>
      </x:c>
      <x:c r="W259" s="42">
        <x:v>106.0698871</x:v>
      </x:c>
      <x:c r="X259" s="42"/>
      <x:c r="Y259" s="44"/>
      <x:c r="Z259" s="26" t="s">
        <x:v>50</x:v>
      </x:c>
      <x:c r="AA259" s="39" t="s">
        <x:v>51</x:v>
      </x:c>
      <x:c r="AB259" s="71">
        <x:v>46220</x:v>
      </x:c>
      <x:c r="AC259" s="41" t="s">
        <x:v>52</x:v>
      </x:c>
      <x:c r="AD259" s="45">
        <x:f t="shared" si="18"/>
        <x:v>0.85915492957746475</x:v>
      </x:c>
      <x:c r="AE259" s="45">
        <x:f t="shared" si="19"/>
        <x:v>0.96721311475409832</x:v>
      </x:c>
      <x:c r="AF259" s="227"/>
      <x:c r="AG259" s="228"/>
      <x:c r="AH259" s="229"/>
    </x:row>
    <x:row r="260" s="43" customFormat="1" ht="25">
      <x:c r="A260" s="27" t="s">
        <x:v>932</x:v>
      </x:c>
      <x:c r="B260" s="42" t="s">
        <x:v>933</x:v>
      </x:c>
      <x:c r="C260" s="43" t="s">
        <x:v>39</x:v>
      </x:c>
      <x:c r="D260" s="42" t="s">
        <x:v>75</x:v>
      </x:c>
      <x:c r="E260" s="42" t="s">
        <x:v>114</x:v>
      </x:c>
      <x:c r="F260" s="43" t="s">
        <x:v>934</x:v>
      </x:c>
      <x:c r="G260" s="43" t="s">
        <x:v>78</x:v>
      </x:c>
      <x:c r="H260" s="43" t="s">
        <x:v>79</x:v>
      </x:c>
      <x:c r="I260" s="43" t="s">
        <x:v>62</x:v>
      </x:c>
      <x:c r="J260" s="43">
        <x:v>2018</x:v>
      </x:c>
      <x:c r="K260" s="43">
        <x:v>74</x:v>
      </x:c>
      <x:c r="L260" s="42">
        <x:v>74</x:v>
      </x:c>
      <x:c r="M260" s="43">
        <x:v>74</x:v>
      </x:c>
      <x:c r="N260" s="43" t="s">
        <x:v>64</x:v>
      </x:c>
      <x:c r="Q260" s="21" t="s">
        <x:v>47</x:v>
      </x:c>
      <x:c r="R260" s="21" t="s">
        <x:v>110</x:v>
      </x:c>
      <x:c r="S260" s="42"/>
      <x:c r="T260" s="9" t="s">
        <x:v>49</x:v>
      </x:c>
      <x:c r="U260" s="42"/>
      <x:c r="V260" s="69">
        <x:v>-2.0777771</x:v>
      </x:c>
      <x:c r="W260" s="42">
        <x:v>106.1188729</x:v>
      </x:c>
      <x:c r="X260" s="42"/>
      <x:c r="Y260" s="44"/>
      <x:c r="Z260" s="26" t="s">
        <x:v>50</x:v>
      </x:c>
      <x:c r="AA260" s="39" t="s">
        <x:v>51</x:v>
      </x:c>
      <x:c r="AB260" s="71">
        <x:v>46220</x:v>
      </x:c>
      <x:c r="AC260" s="41" t="s">
        <x:v>52</x:v>
      </x:c>
      <x:c r="AD260" s="45">
        <x:f t="shared" si="18"/>
        <x:v>1</x:v>
      </x:c>
      <x:c r="AE260" s="45">
        <x:f t="shared" si="19"/>
        <x:v>1</x:v>
      </x:c>
      <x:c r="AF260" s="227"/>
      <x:c r="AG260" s="228"/>
      <x:c r="AH260" s="229"/>
    </x:row>
    <x:row r="261" s="43" customFormat="1" ht="25">
      <x:c r="A261" s="27" t="s">
        <x:v>935</x:v>
      </x:c>
      <x:c r="B261" s="42" t="s">
        <x:v>936</x:v>
      </x:c>
      <x:c r="C261" s="43" t="s">
        <x:v>226</x:v>
      </x:c>
      <x:c r="D261" s="42" t="s">
        <x:v>433</x:v>
      </x:c>
      <x:c r="E261" s="42" t="s">
        <x:v>434</x:v>
      </x:c>
      <x:c r="F261" s="43" t="s">
        <x:v>937</x:v>
      </x:c>
      <x:c r="G261" s="43" t="s">
        <x:v>62</x:v>
      </x:c>
      <x:c r="H261" s="43" t="s">
        <x:v>938</x:v>
      </x:c>
      <x:c r="I261" s="43" t="s">
        <x:v>62</x:v>
      </x:c>
      <x:c r="K261" s="43">
        <x:v>36</x:v>
      </x:c>
      <x:c r="L261" s="42">
        <x:v>36</x:v>
      </x:c>
      <x:c r="M261" s="43">
        <x:v>36</x:v>
      </x:c>
      <x:c r="N261" s="43" t="s">
        <x:v>64</x:v>
      </x:c>
      <x:c r="Q261" s="43" t="s">
        <x:v>89</x:v>
      </x:c>
      <x:c r="S261" s="42"/>
      <x:c r="T261" s="42"/>
      <x:c r="U261" s="42"/>
      <x:c r="V261" s="69">
        <x:v>-2.1464112000000002</x:v>
      </x:c>
      <x:c r="W261" s="42">
        <x:v>106.11293240000001</x:v>
      </x:c>
      <x:c r="X261" s="42"/>
      <x:c r="Y261" s="44"/>
      <x:c r="Z261" s="26" t="s">
        <x:v>50</x:v>
      </x:c>
      <x:c r="AA261" s="39" t="s">
        <x:v>51</x:v>
      </x:c>
      <x:c r="AB261" s="71">
        <x:v>46220</x:v>
      </x:c>
      <x:c r="AC261" s="41" t="s">
        <x:v>52</x:v>
      </x:c>
      <x:c r="AD261" s="45">
        <x:f t="shared" si="18"/>
        <x:v>1</x:v>
      </x:c>
      <x:c r="AE261" s="45">
        <x:f t="shared" si="19"/>
        <x:v>1</x:v>
      </x:c>
      <x:c r="AF261" s="227"/>
      <x:c r="AG261" s="228"/>
      <x:c r="AH261" s="229"/>
    </x:row>
    <x:row r="262" s="43" customFormat="1" ht="25">
      <x:c r="A262" s="27" t="s">
        <x:v>939</x:v>
      </x:c>
      <x:c r="B262" s="42" t="s">
        <x:v>940</x:v>
      </x:c>
      <x:c r="C262" s="43" t="s">
        <x:v>39</x:v>
      </x:c>
      <x:c r="D262" s="42" t="s">
        <x:v>40</x:v>
      </x:c>
      <x:c r="E262" s="42" t="s">
        <x:v>41</x:v>
      </x:c>
      <x:c r="F262" s="43" t="s">
        <x:v>132</x:v>
      </x:c>
      <x:c r="G262" s="43" t="s">
        <x:v>941</x:v>
      </x:c>
      <x:c r="H262" s="43" t="s">
        <x:v>830</x:v>
      </x:c>
      <x:c r="I262" s="215" t="s">
        <x:v>218</x:v>
      </x:c>
      <x:c r="J262" s="43">
        <x:v>2017</x:v>
      </x:c>
      <x:c r="K262" s="43">
        <x:v>43</x:v>
      </x:c>
      <x:c r="L262" s="42">
        <x:v>20</x:v>
      </x:c>
      <x:c r="M262" s="43">
        <x:v>20</x:v>
      </x:c>
      <x:c r="N262" s="43" t="s">
        <x:v>64</x:v>
      </x:c>
      <x:c r="Q262" s="21" t="s">
        <x:v>47</x:v>
      </x:c>
      <x:c r="R262" s="21" t="s">
        <x:v>249</x:v>
      </x:c>
      <x:c r="S262" s="42"/>
      <x:c r="T262" s="42"/>
      <x:c r="U262" s="42"/>
      <x:c r="V262" s="69">
        <x:v>-2.1051739999999999</x:v>
      </x:c>
      <x:c r="W262" s="42">
        <x:v>106.06204700000001</x:v>
      </x:c>
      <x:c r="X262" s="42"/>
      <x:c r="Y262" s="44"/>
      <x:c r="Z262" s="26" t="s">
        <x:v>50</x:v>
      </x:c>
      <x:c r="AA262" s="39" t="s">
        <x:v>51</x:v>
      </x:c>
      <x:c r="AB262" s="71">
        <x:v>46220</x:v>
      </x:c>
      <x:c r="AC262" s="41" t="s">
        <x:v>52</x:v>
      </x:c>
      <x:c r="AD262" s="45">
        <x:f t="shared" si="18"/>
        <x:v>0.46511627906976744</x:v>
      </x:c>
      <x:c r="AE262" s="45">
        <x:f t="shared" si="19"/>
        <x:v>1</x:v>
      </x:c>
      <x:c r="AF262" s="227"/>
      <x:c r="AG262" s="228"/>
      <x:c r="AH262" s="229"/>
    </x:row>
    <x:row r="263" s="43" customFormat="1" ht="25">
      <x:c r="A263" s="27" t="s">
        <x:v>942</x:v>
      </x:c>
      <x:c r="B263" s="42" t="s">
        <x:v>943</x:v>
      </x:c>
      <x:c r="C263" s="43" t="s">
        <x:v>39</x:v>
      </x:c>
      <x:c r="D263" s="42" t="s">
        <x:v>40</x:v>
      </x:c>
      <x:c r="E263" s="42" t="s">
        <x:v>41</x:v>
      </x:c>
      <x:c r="F263" s="43" t="s">
        <x:v>67</x:v>
      </x:c>
      <x:c r="G263" s="43" t="s">
        <x:v>941</x:v>
      </x:c>
      <x:c r="H263" s="43" t="s">
        <x:v>830</x:v>
      </x:c>
      <x:c r="I263" s="215" t="s">
        <x:v>218</x:v>
      </x:c>
      <x:c r="J263" s="43">
        <x:v>2017</x:v>
      </x:c>
      <x:c r="K263" s="43">
        <x:v>37</x:v>
      </x:c>
      <x:c r="L263" s="42">
        <x:v>37</x:v>
      </x:c>
      <x:c r="M263" s="43">
        <x:v>37</x:v>
      </x:c>
      <x:c r="N263" s="43" t="s">
        <x:v>64</x:v>
      </x:c>
      <x:c r="Q263" s="21" t="s">
        <x:v>47</x:v>
      </x:c>
      <x:c r="S263" s="42"/>
      <x:c r="T263" s="42"/>
      <x:c r="U263" s="42"/>
      <x:c r="V263" s="69">
        <x:v>-2.098738</x:v>
      </x:c>
      <x:c r="W263" s="42">
        <x:v>106.080535</x:v>
      </x:c>
      <x:c r="X263" s="42"/>
      <x:c r="Y263" s="44"/>
      <x:c r="Z263" s="26" t="s">
        <x:v>50</x:v>
      </x:c>
      <x:c r="AA263" s="39" t="s">
        <x:v>51</x:v>
      </x:c>
      <x:c r="AB263" s="71">
        <x:v>46220</x:v>
      </x:c>
      <x:c r="AC263" s="41" t="s">
        <x:v>52</x:v>
      </x:c>
      <x:c r="AD263" s="45">
        <x:f t="shared" si="18"/>
        <x:v>1</x:v>
      </x:c>
      <x:c r="AE263" s="45">
        <x:f t="shared" si="19"/>
        <x:v>1</x:v>
      </x:c>
      <x:c r="AF263" s="227"/>
      <x:c r="AG263" s="228"/>
      <x:c r="AH263" s="229"/>
    </x:row>
    <x:row r="264" s="43" customFormat="1" ht="25">
      <x:c r="A264" s="27" t="s">
        <x:v>944</x:v>
      </x:c>
      <x:c r="B264" s="42" t="s">
        <x:v>945</x:v>
      </x:c>
      <x:c r="C264" s="43" t="s">
        <x:v>39</x:v>
      </x:c>
      <x:c r="D264" s="42" t="s">
        <x:v>75</x:v>
      </x:c>
      <x:c r="E264" s="42" t="s">
        <x:v>375</x:v>
      </x:c>
      <x:c r="F264" s="43" t="s">
        <x:v>946</x:v>
      </x:c>
      <x:c r="G264" s="43" t="s">
        <x:v>941</x:v>
      </x:c>
      <x:c r="H264" s="43" t="s">
        <x:v>830</x:v>
      </x:c>
      <x:c r="I264" s="215" t="s">
        <x:v>218</x:v>
      </x:c>
      <x:c r="J264" s="43">
        <x:v>2017</x:v>
      </x:c>
      <x:c r="K264" s="43">
        <x:v>20</x:v>
      </x:c>
      <x:c r="L264" s="42">
        <x:v>12</x:v>
      </x:c>
      <x:c r="M264" s="43">
        <x:v>12</x:v>
      </x:c>
      <x:c r="N264" s="43" t="s">
        <x:v>64</x:v>
      </x:c>
      <x:c r="Q264" s="21" t="s">
        <x:v>47</x:v>
      </x:c>
      <x:c r="S264" s="42"/>
      <x:c r="T264" s="42"/>
      <x:c r="U264" s="42"/>
      <x:c r="V264" s="69">
        <x:v>-2.0909575</x:v>
      </x:c>
      <x:c r="W264" s="42">
        <x:v>106.120243</x:v>
      </x:c>
      <x:c r="X264" s="42"/>
      <x:c r="Y264" s="44"/>
      <x:c r="Z264" s="26" t="s">
        <x:v>50</x:v>
      </x:c>
      <x:c r="AA264" s="39" t="s">
        <x:v>51</x:v>
      </x:c>
      <x:c r="AB264" s="71">
        <x:v>46220</x:v>
      </x:c>
      <x:c r="AC264" s="41" t="s">
        <x:v>52</x:v>
      </x:c>
      <x:c r="AD264" s="45">
        <x:f t="shared" si="18"/>
        <x:v>0.6</x:v>
      </x:c>
      <x:c r="AE264" s="45">
        <x:f t="shared" si="19"/>
        <x:v>1</x:v>
      </x:c>
      <x:c r="AF264" s="227"/>
      <x:c r="AG264" s="228"/>
      <x:c r="AH264" s="229"/>
    </x:row>
    <x:row r="265" s="43" customFormat="1" ht="25">
      <x:c r="A265" s="27" t="s">
        <x:v>947</x:v>
      </x:c>
      <x:c r="B265" s="42" t="s">
        <x:v>948</x:v>
      </x:c>
      <x:c r="C265" s="43" t="s">
        <x:v>39</x:v>
      </x:c>
      <x:c r="D265" s="42" t="s">
        <x:v>75</x:v>
      </x:c>
      <x:c r="E265" s="42" t="s">
        <x:v>114</x:v>
      </x:c>
      <x:c r="F265" s="43" t="s">
        <x:v>286</x:v>
      </x:c>
      <x:c r="G265" s="43" t="s">
        <x:v>62</x:v>
      </x:c>
      <x:c r="H265" s="43" t="s">
        <x:v>62</x:v>
      </x:c>
      <x:c r="I265" s="43" t="s">
        <x:v>62</x:v>
      </x:c>
      <x:c r="J265" s="43">
        <x:v>2008</x:v>
      </x:c>
      <x:c r="K265" s="43">
        <x:v>102</x:v>
      </x:c>
      <x:c r="L265" s="42">
        <x:v>102</x:v>
      </x:c>
      <x:c r="M265" s="43">
        <x:v>102</x:v>
      </x:c>
      <x:c r="N265" s="43" t="s">
        <x:v>64</x:v>
      </x:c>
      <x:c r="Q265" s="21" t="s">
        <x:v>47</x:v>
      </x:c>
      <x:c r="S265" s="17" t="s">
        <x:v>242</x:v>
      </x:c>
      <x:c r="T265" s="42"/>
      <x:c r="U265" s="42"/>
      <x:c r="V265" s="69">
        <x:v>-2.076136</x:v>
      </x:c>
      <x:c r="W265" s="42">
        <x:v>106.1255896</x:v>
      </x:c>
      <x:c r="X265" s="42"/>
      <x:c r="Y265" s="44"/>
      <x:c r="Z265" s="26" t="s">
        <x:v>50</x:v>
      </x:c>
      <x:c r="AA265" s="39" t="s">
        <x:v>51</x:v>
      </x:c>
      <x:c r="AB265" s="71">
        <x:v>46220</x:v>
      </x:c>
      <x:c r="AC265" s="41" t="s">
        <x:v>52</x:v>
      </x:c>
      <x:c r="AD265" s="45">
        <x:f t="shared" si="18"/>
        <x:v>1</x:v>
      </x:c>
      <x:c r="AE265" s="45">
        <x:f t="shared" si="19"/>
        <x:v>1</x:v>
      </x:c>
      <x:c r="AF265" s="227"/>
      <x:c r="AG265" s="228"/>
      <x:c r="AH265" s="229"/>
    </x:row>
    <x:row r="266" s="43" customFormat="1" ht="25">
      <x:c r="A266" s="27" t="s">
        <x:v>949</x:v>
      </x:c>
      <x:c r="B266" s="42" t="s">
        <x:v>950</x:v>
      </x:c>
      <x:c r="C266" s="43" t="s">
        <x:v>39</x:v>
      </x:c>
      <x:c r="D266" s="42" t="s">
        <x:v>102</x:v>
      </x:c>
      <x:c r="E266" s="42" t="s">
        <x:v>277</x:v>
      </x:c>
      <x:c r="F266" s="43" t="s">
        <x:v>951</x:v>
      </x:c>
      <x:c r="G266" s="43" t="s">
        <x:v>952</x:v>
      </x:c>
      <x:c r="H266" s="43" t="s">
        <x:v>953</x:v>
      </x:c>
      <x:c r="I266" s="43" t="s">
        <x:v>62</x:v>
      </x:c>
      <x:c r="J266" s="43">
        <x:v>2025</x:v>
      </x:c>
      <x:c r="K266" s="43">
        <x:v>47</x:v>
      </x:c>
      <x:c r="L266" s="42">
        <x:v>5</x:v>
      </x:c>
      <x:c r="M266" s="43">
        <x:v>0</x:v>
      </x:c>
      <x:c r="N266" s="43" t="s">
        <x:v>64</x:v>
      </x:c>
      <x:c r="Q266" s="21" t="s">
        <x:v>47</x:v>
      </x:c>
      <x:c r="R266" s="43" t="s">
        <x:v>110</x:v>
      </x:c>
      <x:c r="S266" s="42"/>
      <x:c r="T266" s="42"/>
      <x:c r="U266" s="42"/>
      <x:c r="V266" s="69"/>
      <x:c r="W266" s="42"/>
      <x:c r="X266" s="42"/>
      <x:c r="Y266" s="44"/>
      <x:c r="Z266" s="26" t="s">
        <x:v>50</x:v>
      </x:c>
      <x:c r="AA266" s="39" t="s">
        <x:v>51</x:v>
      </x:c>
      <x:c r="AB266" s="71">
        <x:v>46220</x:v>
      </x:c>
      <x:c r="AC266" s="41" t="s">
        <x:v>52</x:v>
      </x:c>
      <x:c r="AD266" s="45">
        <x:f t="shared" si="18"/>
        <x:v>0.10638297872340426</x:v>
      </x:c>
      <x:c r="AE266" s="45">
        <x:f t="shared" si="19"/>
        <x:v>0</x:v>
      </x:c>
      <x:c r="AF266" s="227"/>
      <x:c r="AG266" s="228"/>
      <x:c r="AH266" s="229"/>
    </x:row>
    <x:row r="267" s="43" customFormat="1" ht="25">
      <x:c r="A267" s="27" t="s">
        <x:v>954</x:v>
      </x:c>
      <x:c r="B267" s="42" t="s">
        <x:v>955</x:v>
      </x:c>
      <x:c r="C267" s="43" t="s">
        <x:v>39</x:v>
      </x:c>
      <x:c r="D267" s="42" t="s">
        <x:v>126</x:v>
      </x:c>
      <x:c r="E267" s="42" t="s">
        <x:v>291</x:v>
      </x:c>
      <x:c r="F267" s="43" t="s">
        <x:v>956</x:v>
      </x:c>
      <x:c r="G267" s="43" t="s">
        <x:v>62</x:v>
      </x:c>
      <x:c r="H267" s="43" t="s">
        <x:v>62</x:v>
      </x:c>
      <x:c r="I267" s="43" t="s">
        <x:v>142</x:v>
      </x:c>
      <x:c r="J267" s="43">
        <x:v>2016</x:v>
      </x:c>
      <x:c r="K267" s="43">
        <x:v>23</x:v>
      </x:c>
      <x:c r="L267" s="42">
        <x:v>23</x:v>
      </x:c>
      <x:c r="M267" s="43">
        <x:v>23</x:v>
      </x:c>
      <x:c r="N267" s="43" t="s">
        <x:v>64</x:v>
      </x:c>
      <x:c r="Q267" s="21" t="s">
        <x:v>47</x:v>
      </x:c>
      <x:c r="S267" s="17" t="s">
        <x:v>48</x:v>
      </x:c>
      <x:c r="T267" s="42"/>
      <x:c r="U267" s="42"/>
      <x:c r="V267" s="69">
        <x:v>-2.0918006</x:v>
      </x:c>
      <x:c r="W267" s="42">
        <x:v>106.12090499999999</x:v>
      </x:c>
      <x:c r="X267" s="42"/>
      <x:c r="Y267" s="44"/>
      <x:c r="Z267" s="26" t="s">
        <x:v>50</x:v>
      </x:c>
      <x:c r="AA267" s="39" t="s">
        <x:v>51</x:v>
      </x:c>
      <x:c r="AB267" s="71">
        <x:v>46220</x:v>
      </x:c>
      <x:c r="AC267" s="41" t="s">
        <x:v>52</x:v>
      </x:c>
      <x:c r="AD267" s="45">
        <x:f t="shared" si="18"/>
        <x:v>1</x:v>
      </x:c>
      <x:c r="AE267" s="45">
        <x:f t="shared" si="19"/>
        <x:v>1</x:v>
      </x:c>
      <x:c r="AF267" s="227"/>
      <x:c r="AG267" s="228"/>
      <x:c r="AH267" s="229"/>
    </x:row>
    <x:row r="268" s="43" customFormat="1" ht="25">
      <x:c r="A268" s="27" t="s">
        <x:v>957</x:v>
      </x:c>
      <x:c r="B268" s="42" t="s">
        <x:v>958</x:v>
      </x:c>
      <x:c r="C268" s="43" t="s">
        <x:v>39</x:v>
      </x:c>
      <x:c r="D268" s="42" t="s">
        <x:v>126</x:v>
      </x:c>
      <x:c r="E268" s="42" t="s">
        <x:v>291</x:v>
      </x:c>
      <x:c r="F268" s="43" t="s">
        <x:v>956</x:v>
      </x:c>
      <x:c r="G268" s="43" t="s">
        <x:v>959</x:v>
      </x:c>
      <x:c r="H268" s="43" t="s">
        <x:v>960</x:v>
      </x:c>
      <x:c r="I268" s="43" t="s">
        <x:v>142</x:v>
      </x:c>
      <x:c r="J268" s="43">
        <x:v>2017</x:v>
      </x:c>
      <x:c r="K268" s="43">
        <x:v>135</x:v>
      </x:c>
      <x:c r="L268" s="42">
        <x:v>135</x:v>
      </x:c>
      <x:c r="M268" s="43">
        <x:v>135</x:v>
      </x:c>
      <x:c r="N268" s="43" t="s">
        <x:v>64</x:v>
      </x:c>
      <x:c r="Q268" s="21" t="s">
        <x:v>47</x:v>
      </x:c>
      <x:c r="S268" s="17" t="s">
        <x:v>48</x:v>
      </x:c>
      <x:c r="T268" s="42"/>
      <x:c r="U268" s="42"/>
      <x:c r="V268" s="69">
        <x:v>-2.0912660000000001</x:v>
      </x:c>
      <x:c r="W268" s="42">
        <x:v>106.120482</x:v>
      </x:c>
      <x:c r="X268" s="42"/>
      <x:c r="Y268" s="44"/>
      <x:c r="Z268" s="26" t="s">
        <x:v>50</x:v>
      </x:c>
      <x:c r="AA268" s="39" t="s">
        <x:v>51</x:v>
      </x:c>
      <x:c r="AB268" s="71">
        <x:v>46220</x:v>
      </x:c>
      <x:c r="AC268" s="41" t="s">
        <x:v>52</x:v>
      </x:c>
      <x:c r="AD268" s="45">
        <x:f t="shared" si="18"/>
        <x:v>1</x:v>
      </x:c>
      <x:c r="AE268" s="45">
        <x:f t="shared" si="19"/>
        <x:v>1</x:v>
      </x:c>
      <x:c r="AF268" s="227"/>
      <x:c r="AG268" s="228"/>
      <x:c r="AH268" s="229"/>
    </x:row>
    <x:row r="269" s="43" customFormat="1" ht="25">
      <x:c r="A269" s="27" t="s">
        <x:v>961</x:v>
      </x:c>
      <x:c r="B269" s="42" t="s">
        <x:v>962</x:v>
      </x:c>
      <x:c r="C269" s="43" t="s">
        <x:v>39</x:v>
      </x:c>
      <x:c r="D269" s="42" t="s">
        <x:v>102</x:v>
      </x:c>
      <x:c r="E269" s="42" t="s">
        <x:v>158</x:v>
      </x:c>
      <x:c r="F269" s="43" t="s">
        <x:v>215</x:v>
      </x:c>
      <x:c r="G269" s="43" t="s">
        <x:v>963</x:v>
      </x:c>
      <x:c r="H269" s="43" t="s">
        <x:v>964</x:v>
      </x:c>
      <x:c r="I269" s="43" t="s">
        <x:v>142</x:v>
      </x:c>
      <x:c r="J269" s="43">
        <x:v>2018</x:v>
      </x:c>
      <x:c r="K269" s="43">
        <x:v>87</x:v>
      </x:c>
      <x:c r="L269" s="42">
        <x:v>87</x:v>
      </x:c>
      <x:c r="M269" s="43">
        <x:v>87</x:v>
      </x:c>
      <x:c r="N269" s="43" t="s">
        <x:v>64</x:v>
      </x:c>
      <x:c r="Q269" s="21" t="s">
        <x:v>47</x:v>
      </x:c>
      <x:c r="S269" s="17" t="s">
        <x:v>48</x:v>
      </x:c>
      <x:c r="T269" s="42"/>
      <x:c r="U269" s="42"/>
      <x:c r="V269" s="69">
        <x:v>-2.1379876000000002</x:v>
      </x:c>
      <x:c r="W269" s="42">
        <x:v>106.168387</x:v>
      </x:c>
      <x:c r="X269" s="42"/>
      <x:c r="Y269" s="44"/>
      <x:c r="Z269" s="26" t="s">
        <x:v>50</x:v>
      </x:c>
      <x:c r="AA269" s="39" t="s">
        <x:v>51</x:v>
      </x:c>
      <x:c r="AB269" s="71">
        <x:v>46220</x:v>
      </x:c>
      <x:c r="AC269" s="41" t="s">
        <x:v>52</x:v>
      </x:c>
      <x:c r="AD269" s="45">
        <x:f t="shared" si="18"/>
        <x:v>1</x:v>
      </x:c>
      <x:c r="AE269" s="45">
        <x:f t="shared" si="19"/>
        <x:v>1</x:v>
      </x:c>
      <x:c r="AF269" s="227"/>
      <x:c r="AG269" s="228"/>
      <x:c r="AH269" s="229"/>
    </x:row>
    <x:row r="270" s="43" customFormat="1" ht="25">
      <x:c r="A270" s="27" t="s">
        <x:v>965</x:v>
      </x:c>
      <x:c r="B270" s="42" t="s">
        <x:v>966</x:v>
      </x:c>
      <x:c r="C270" s="43" t="s">
        <x:v>39</x:v>
      </x:c>
      <x:c r="D270" s="42" t="s">
        <x:v>102</x:v>
      </x:c>
      <x:c r="E270" s="42" t="s">
        <x:v>158</x:v>
      </x:c>
      <x:c r="F270" s="43" t="s">
        <x:v>967</x:v>
      </x:c>
      <x:c r="G270" s="43" t="s">
        <x:v>968</x:v>
      </x:c>
      <x:c r="H270" s="43" t="s">
        <x:v>964</x:v>
      </x:c>
      <x:c r="I270" s="43" t="s">
        <x:v>142</x:v>
      </x:c>
      <x:c r="J270" s="43">
        <x:v>2020</x:v>
      </x:c>
      <x:c r="K270" s="43">
        <x:v>90</x:v>
      </x:c>
      <x:c r="L270" s="42">
        <x:v>88</x:v>
      </x:c>
      <x:c r="M270" s="43">
        <x:v>87</x:v>
      </x:c>
      <x:c r="N270" s="43" t="s">
        <x:v>64</x:v>
      </x:c>
      <x:c r="Q270" s="21" t="s">
        <x:v>47</x:v>
      </x:c>
      <x:c r="S270" s="17" t="s">
        <x:v>48</x:v>
      </x:c>
      <x:c r="T270" s="42"/>
      <x:c r="U270" s="42"/>
      <x:c r="V270" s="69">
        <x:v>-2.1226579000000001</x:v>
      </x:c>
      <x:c r="W270" s="42">
        <x:v>106.1613675</x:v>
      </x:c>
      <x:c r="X270" s="42"/>
      <x:c r="Y270" s="44"/>
      <x:c r="Z270" s="26" t="s">
        <x:v>50</x:v>
      </x:c>
      <x:c r="AA270" s="39" t="s">
        <x:v>51</x:v>
      </x:c>
      <x:c r="AB270" s="71">
        <x:v>46220</x:v>
      </x:c>
      <x:c r="AC270" s="41" t="s">
        <x:v>52</x:v>
      </x:c>
      <x:c r="AD270" s="45">
        <x:f t="shared" si="18"/>
        <x:v>0.97777777777777775</x:v>
      </x:c>
      <x:c r="AE270" s="45">
        <x:f t="shared" si="19"/>
        <x:v>0.98863636363636365</x:v>
      </x:c>
      <x:c r="AF270" s="227"/>
      <x:c r="AG270" s="228"/>
      <x:c r="AH270" s="229"/>
    </x:row>
    <x:row r="271" s="43" customFormat="1" ht="25">
      <x:c r="A271" s="27" t="s">
        <x:v>969</x:v>
      </x:c>
      <x:c r="B271" s="42" t="s">
        <x:v>970</x:v>
      </x:c>
      <x:c r="C271" s="43" t="s">
        <x:v>39</x:v>
      </x:c>
      <x:c r="D271" s="42" t="s">
        <x:v>102</x:v>
      </x:c>
      <x:c r="E271" s="42" t="s">
        <x:v>158</x:v>
      </x:c>
      <x:c r="F271" s="43" t="s">
        <x:v>215</x:v>
      </x:c>
      <x:c r="G271" s="43" t="s">
        <x:v>968</x:v>
      </x:c>
      <x:c r="H271" s="43" t="s">
        <x:v>964</x:v>
      </x:c>
      <x:c r="I271" s="43" t="s">
        <x:v>142</x:v>
      </x:c>
      <x:c r="J271" s="43">
        <x:v>2020</x:v>
      </x:c>
      <x:c r="K271" s="43">
        <x:v>103</x:v>
      </x:c>
      <x:c r="L271" s="42">
        <x:v>101</x:v>
      </x:c>
      <x:c r="M271" s="43">
        <x:v>99</x:v>
      </x:c>
      <x:c r="N271" s="43" t="s">
        <x:v>64</x:v>
      </x:c>
      <x:c r="Q271" s="21" t="s">
        <x:v>47</x:v>
      </x:c>
      <x:c r="S271" s="17" t="s">
        <x:v>48</x:v>
      </x:c>
      <x:c r="T271" s="42"/>
      <x:c r="U271" s="42"/>
      <x:c r="V271" s="69">
        <x:v>-2.1379977000000001</x:v>
      </x:c>
      <x:c r="W271" s="42">
        <x:v>106.17180449999999</x:v>
      </x:c>
      <x:c r="X271" s="42"/>
      <x:c r="Y271" s="44"/>
      <x:c r="Z271" s="26" t="s">
        <x:v>50</x:v>
      </x:c>
      <x:c r="AA271" s="39" t="s">
        <x:v>51</x:v>
      </x:c>
      <x:c r="AB271" s="71">
        <x:v>46220</x:v>
      </x:c>
      <x:c r="AC271" s="41" t="s">
        <x:v>52</x:v>
      </x:c>
      <x:c r="AD271" s="45">
        <x:f t="shared" si="18"/>
        <x:v>0.98058252427184467</x:v>
      </x:c>
      <x:c r="AE271" s="45">
        <x:f t="shared" si="19"/>
        <x:v>0.98019801980198018</x:v>
      </x:c>
      <x:c r="AF271" s="227"/>
      <x:c r="AG271" s="228"/>
      <x:c r="AH271" s="229"/>
    </x:row>
    <x:row r="272" s="43" customFormat="1" ht="25">
      <x:c r="A272" s="27" t="s">
        <x:v>971</x:v>
      </x:c>
      <x:c r="B272" s="42" t="s">
        <x:v>972</x:v>
      </x:c>
      <x:c r="C272" s="43" t="s">
        <x:v>39</x:v>
      </x:c>
      <x:c r="D272" s="42" t="s">
        <x:v>40</x:v>
      </x:c>
      <x:c r="E272" s="42" t="s">
        <x:v>41</x:v>
      </x:c>
      <x:c r="F272" s="43" t="s">
        <x:v>132</x:v>
      </x:c>
      <x:c r="G272" s="43" t="s">
        <x:v>968</x:v>
      </x:c>
      <x:c r="H272" s="43" t="s">
        <x:v>973</x:v>
      </x:c>
      <x:c r="I272" s="43" t="s">
        <x:v>142</x:v>
      </x:c>
      <x:c r="J272" s="43">
        <x:v>2023</x:v>
      </x:c>
      <x:c r="K272" s="43">
        <x:v>49</x:v>
      </x:c>
      <x:c r="L272" s="42">
        <x:v>49</x:v>
      </x:c>
      <x:c r="M272" s="43">
        <x:v>49</x:v>
      </x:c>
      <x:c r="N272" s="43" t="s">
        <x:v>64</x:v>
      </x:c>
      <x:c r="Q272" s="21" t="s">
        <x:v>47</x:v>
      </x:c>
      <x:c r="S272" s="17" t="s">
        <x:v>48</x:v>
      </x:c>
      <x:c r="T272" s="42"/>
      <x:c r="U272" s="42"/>
      <x:c r="V272" s="69">
        <x:v>-2.1036215</x:v>
      </x:c>
      <x:c r="W272" s="42">
        <x:v>106.0576501</x:v>
      </x:c>
      <x:c r="X272" s="42"/>
      <x:c r="Y272" s="44"/>
      <x:c r="Z272" s="26" t="s">
        <x:v>50</x:v>
      </x:c>
      <x:c r="AA272" s="39" t="s">
        <x:v>51</x:v>
      </x:c>
      <x:c r="AB272" s="71">
        <x:v>46220</x:v>
      </x:c>
      <x:c r="AC272" s="41" t="s">
        <x:v>52</x:v>
      </x:c>
      <x:c r="AD272" s="45">
        <x:f t="shared" si="18"/>
        <x:v>1</x:v>
      </x:c>
      <x:c r="AE272" s="45">
        <x:f t="shared" si="19"/>
        <x:v>1</x:v>
      </x:c>
      <x:c r="AF272" s="227"/>
      <x:c r="AG272" s="228"/>
      <x:c r="AH272" s="229"/>
    </x:row>
    <x:row r="273" s="43" customFormat="1" ht="25">
      <x:c r="A273" s="27" t="s">
        <x:v>974</x:v>
      </x:c>
      <x:c r="B273" s="42" t="s">
        <x:v>975</x:v>
      </x:c>
      <x:c r="C273" s="43" t="s">
        <x:v>39</x:v>
      </x:c>
      <x:c r="D273" s="42" t="s">
        <x:v>126</x:v>
      </x:c>
      <x:c r="E273" s="42" t="s">
        <x:v>291</x:v>
      </x:c>
      <x:c r="F273" s="43" t="s">
        <x:v>956</x:v>
      </x:c>
      <x:c r="G273" s="43" t="s">
        <x:v>968</x:v>
      </x:c>
      <x:c r="H273" s="43" t="s">
        <x:v>976</x:v>
      </x:c>
      <x:c r="I273" s="43" t="s">
        <x:v>142</x:v>
      </x:c>
      <x:c r="J273" s="43">
        <x:v>2023</x:v>
      </x:c>
      <x:c r="K273" s="43">
        <x:v>72</x:v>
      </x:c>
      <x:c r="L273" s="42">
        <x:v>72</x:v>
      </x:c>
      <x:c r="M273" s="43">
        <x:v>72</x:v>
      </x:c>
      <x:c r="N273" s="43" t="s">
        <x:v>64</x:v>
      </x:c>
      <x:c r="Q273" s="21" t="s">
        <x:v>47</x:v>
      </x:c>
      <x:c r="S273" s="17" t="s">
        <x:v>48</x:v>
      </x:c>
      <x:c r="T273" s="42"/>
      <x:c r="U273" s="42"/>
      <x:c r="V273" s="69">
        <x:v>-2.092371</x:v>
      </x:c>
      <x:c r="W273" s="42">
        <x:v>106.12151299999999</x:v>
      </x:c>
      <x:c r="X273" s="42"/>
      <x:c r="Y273" s="44"/>
      <x:c r="Z273" s="26" t="s">
        <x:v>50</x:v>
      </x:c>
      <x:c r="AA273" s="39" t="s">
        <x:v>51</x:v>
      </x:c>
      <x:c r="AB273" s="71">
        <x:v>46220</x:v>
      </x:c>
      <x:c r="AC273" s="41" t="s">
        <x:v>52</x:v>
      </x:c>
      <x:c r="AD273" s="45">
        <x:f t="shared" si="18"/>
        <x:v>1</x:v>
      </x:c>
      <x:c r="AE273" s="45">
        <x:f t="shared" si="19"/>
        <x:v>1</x:v>
      </x:c>
      <x:c r="AF273" s="227"/>
      <x:c r="AG273" s="228"/>
      <x:c r="AH273" s="229"/>
    </x:row>
    <x:row r="274" s="43" customFormat="1" ht="25">
      <x:c r="A274" s="27" t="s">
        <x:v>977</x:v>
      </x:c>
      <x:c r="B274" s="42" t="s">
        <x:v>978</x:v>
      </x:c>
      <x:c r="C274" s="43" t="s">
        <x:v>39</x:v>
      </x:c>
      <x:c r="D274" s="42" t="s">
        <x:v>126</x:v>
      </x:c>
      <x:c r="E274" s="42" t="s">
        <x:v>291</x:v>
      </x:c>
      <x:c r="F274" s="43" t="s">
        <x:v>956</x:v>
      </x:c>
      <x:c r="G274" s="43" t="s">
        <x:v>968</x:v>
      </x:c>
      <x:c r="H274" s="43" t="s">
        <x:v>976</x:v>
      </x:c>
      <x:c r="I274" s="43" t="s">
        <x:v>142</x:v>
      </x:c>
      <x:c r="J274" s="43">
        <x:v>2023</x:v>
      </x:c>
      <x:c r="K274" s="43">
        <x:v>124</x:v>
      </x:c>
      <x:c r="L274" s="42">
        <x:v>124</x:v>
      </x:c>
      <x:c r="M274" s="43">
        <x:v>124</x:v>
      </x:c>
      <x:c r="N274" s="43" t="s">
        <x:v>64</x:v>
      </x:c>
      <x:c r="Q274" s="21" t="s">
        <x:v>47</x:v>
      </x:c>
      <x:c r="S274" s="17" t="s">
        <x:v>48</x:v>
      </x:c>
      <x:c r="T274" s="42"/>
      <x:c r="U274" s="42"/>
      <x:c r="V274" s="69">
        <x:v>-2.0902560000000001</x:v>
      </x:c>
      <x:c r="W274" s="42">
        <x:v>106.12343199999999</x:v>
      </x:c>
      <x:c r="X274" s="42"/>
      <x:c r="Y274" s="44"/>
      <x:c r="Z274" s="26" t="s">
        <x:v>50</x:v>
      </x:c>
      <x:c r="AA274" s="39" t="s">
        <x:v>51</x:v>
      </x:c>
      <x:c r="AB274" s="71">
        <x:v>46220</x:v>
      </x:c>
      <x:c r="AC274" s="41" t="s">
        <x:v>52</x:v>
      </x:c>
      <x:c r="AD274" s="45">
        <x:f t="shared" si="18"/>
        <x:v>1</x:v>
      </x:c>
      <x:c r="AE274" s="45">
        <x:f t="shared" si="19"/>
        <x:v>1</x:v>
      </x:c>
      <x:c r="AF274" s="227"/>
      <x:c r="AG274" s="228"/>
      <x:c r="AH274" s="229"/>
    </x:row>
    <x:row r="275" s="43" customFormat="1" ht="25">
      <x:c r="A275" s="27" t="s">
        <x:v>979</x:v>
      </x:c>
      <x:c r="B275" s="42" t="s">
        <x:v>980</x:v>
      </x:c>
      <x:c r="C275" s="43" t="s">
        <x:v>39</x:v>
      </x:c>
      <x:c r="D275" s="42" t="s">
        <x:v>102</x:v>
      </x:c>
      <x:c r="E275" s="42" t="s">
        <x:v>120</x:v>
      </x:c>
      <x:c r="F275" s="43" t="s">
        <x:v>863</x:v>
      </x:c>
      <x:c r="G275" s="43" t="s">
        <x:v>968</x:v>
      </x:c>
      <x:c r="H275" s="43" t="s">
        <x:v>976</x:v>
      </x:c>
      <x:c r="I275" s="43" t="s">
        <x:v>142</x:v>
      </x:c>
      <x:c r="J275" s="43">
        <x:v>2023</x:v>
      </x:c>
      <x:c r="K275" s="43">
        <x:v>114</x:v>
      </x:c>
      <x:c r="L275" s="42">
        <x:v>107</x:v>
      </x:c>
      <x:c r="M275" s="43">
        <x:v>99</x:v>
      </x:c>
      <x:c r="N275" s="43" t="s">
        <x:v>64</x:v>
      </x:c>
      <x:c r="Q275" s="21" t="s">
        <x:v>47</x:v>
      </x:c>
      <x:c r="S275" s="17" t="s">
        <x:v>48</x:v>
      </x:c>
      <x:c r="T275" s="42"/>
      <x:c r="U275" s="42"/>
      <x:c r="V275" s="69">
        <x:v>-2.1461264999999998</x:v>
      </x:c>
      <x:c r="W275" s="42">
        <x:v>106.16679739999999</x:v>
      </x:c>
      <x:c r="X275" s="42"/>
      <x:c r="Y275" s="44"/>
      <x:c r="Z275" s="26" t="s">
        <x:v>50</x:v>
      </x:c>
      <x:c r="AA275" s="39" t="s">
        <x:v>51</x:v>
      </x:c>
      <x:c r="AB275" s="71">
        <x:v>46220</x:v>
      </x:c>
      <x:c r="AC275" s="41" t="s">
        <x:v>52</x:v>
      </x:c>
      <x:c r="AD275" s="45">
        <x:f t="shared" si="18"/>
        <x:v>0.93859649122807021</x:v>
      </x:c>
      <x:c r="AE275" s="45">
        <x:f t="shared" si="19"/>
        <x:v>0.92523364485981308</x:v>
      </x:c>
      <x:c r="AF275" s="227"/>
      <x:c r="AG275" s="228"/>
      <x:c r="AH275" s="229"/>
    </x:row>
    <x:row r="276" s="43" customFormat="1" ht="25">
      <x:c r="A276" s="27" t="s">
        <x:v>981</x:v>
      </x:c>
      <x:c r="B276" s="42" t="s">
        <x:v>982</x:v>
      </x:c>
      <x:c r="C276" s="43" t="s">
        <x:v>39</x:v>
      </x:c>
      <x:c r="D276" s="42" t="s">
        <x:v>40</x:v>
      </x:c>
      <x:c r="E276" s="42" t="s">
        <x:v>41</x:v>
      </x:c>
      <x:c r="F276" s="43" t="s">
        <x:v>132</x:v>
      </x:c>
      <x:c r="G276" s="43" t="s">
        <x:v>968</x:v>
      </x:c>
      <x:c r="H276" s="43" t="s">
        <x:v>62</x:v>
      </x:c>
      <x:c r="I276" s="43" t="s">
        <x:v>62</x:v>
      </x:c>
      <x:c r="J276" s="43">
        <x:v>2024</x:v>
      </x:c>
      <x:c r="K276" s="43">
        <x:v>128</x:v>
      </x:c>
      <x:c r="L276" s="42">
        <x:v>46</x:v>
      </x:c>
      <x:c r="M276" s="43">
        <x:v>10</x:v>
      </x:c>
      <x:c r="N276" s="43" t="s">
        <x:v>64</x:v>
      </x:c>
      <x:c r="Q276" s="21" t="s">
        <x:v>47</x:v>
      </x:c>
      <x:c r="S276" s="17" t="s">
        <x:v>48</x:v>
      </x:c>
      <x:c r="T276" s="42"/>
      <x:c r="U276" s="42"/>
      <x:c r="V276" s="69">
        <x:v>-2.1040605000000001</x:v>
      </x:c>
      <x:c r="W276" s="42">
        <x:v>106.05412440000001</x:v>
      </x:c>
      <x:c r="X276" s="42"/>
      <x:c r="Y276" s="44"/>
      <x:c r="Z276" s="26" t="s">
        <x:v>50</x:v>
      </x:c>
      <x:c r="AA276" s="39" t="s">
        <x:v>51</x:v>
      </x:c>
      <x:c r="AB276" s="71">
        <x:v>46220</x:v>
      </x:c>
      <x:c r="AC276" s="41" t="s">
        <x:v>52</x:v>
      </x:c>
      <x:c r="AD276" s="45">
        <x:f t="shared" si="18"/>
        <x:v>0.359375</x:v>
      </x:c>
      <x:c r="AE276" s="45">
        <x:f t="shared" si="19"/>
        <x:v>0.21739130434782608</x:v>
      </x:c>
      <x:c r="AF276" s="227"/>
      <x:c r="AG276" s="228"/>
      <x:c r="AH276" s="229"/>
    </x:row>
    <x:row r="277" s="43" customFormat="1" ht="25">
      <x:c r="A277" s="27" t="s">
        <x:v>983</x:v>
      </x:c>
      <x:c r="B277" s="42" t="s">
        <x:v>984</x:v>
      </x:c>
      <x:c r="C277" s="43" t="s">
        <x:v>39</x:v>
      </x:c>
      <x:c r="D277" s="42" t="s">
        <x:v>40</x:v>
      </x:c>
      <x:c r="E277" s="42" t="s">
        <x:v>41</x:v>
      </x:c>
      <x:c r="F277" s="43" t="s">
        <x:v>985</x:v>
      </x:c>
      <x:c r="G277" s="43" t="s">
        <x:v>986</x:v>
      </x:c>
      <x:c r="H277" s="43" t="s">
        <x:v>987</x:v>
      </x:c>
      <x:c r="I277" s="43" t="s">
        <x:v>62</x:v>
      </x:c>
      <x:c r="J277" s="43">
        <x:v>2017</x:v>
      </x:c>
      <x:c r="K277" s="43">
        <x:v>75</x:v>
      </x:c>
      <x:c r="L277" s="42">
        <x:v>75</x:v>
      </x:c>
      <x:c r="M277" s="43">
        <x:v>75</x:v>
      </x:c>
      <x:c r="N277" s="43" t="s">
        <x:v>64</x:v>
      </x:c>
      <x:c r="Q277" s="21" t="s">
        <x:v>47</x:v>
      </x:c>
      <x:c r="S277" s="42"/>
      <x:c r="T277" s="42"/>
      <x:c r="U277" s="42"/>
      <x:c r="V277" s="69">
        <x:v>-2.0974035999999998</x:v>
      </x:c>
      <x:c r="W277" s="42">
        <x:v>106.08062150000001</x:v>
      </x:c>
      <x:c r="X277" s="42"/>
      <x:c r="Y277" s="44"/>
      <x:c r="Z277" s="26" t="s">
        <x:v>50</x:v>
      </x:c>
      <x:c r="AA277" s="39" t="s">
        <x:v>51</x:v>
      </x:c>
      <x:c r="AB277" s="71">
        <x:v>46220</x:v>
      </x:c>
      <x:c r="AC277" s="41" t="s">
        <x:v>52</x:v>
      </x:c>
      <x:c r="AD277" s="45" t="n">
        <x:f t="shared" ref="AD277:AD308" si="20">IF(A277="","",IFERROR(L277/K277,0))</x:f>
        <x:v>1</x:v>
      </x:c>
      <x:c r="AE277" s="45" t="n">
        <x:f t="shared" ref="AE277:AE308" si="21">IF(A277="","",IFERROR(M277/L277,0))</x:f>
        <x:v>1</x:v>
      </x:c>
      <x:c r="AF277" s="227"/>
      <x:c r="AG277" s="228"/>
      <x:c r="AH277" s="229"/>
    </x:row>
    <x:row r="278" s="43" customFormat="1" ht="25">
      <x:c r="A278" s="27" t="s">
        <x:v>988</x:v>
      </x:c>
      <x:c r="B278" s="42" t="s">
        <x:v>989</x:v>
      </x:c>
      <x:c r="C278" s="43" t="s">
        <x:v>39</x:v>
      </x:c>
      <x:c r="D278" s="42" t="s">
        <x:v>40</x:v>
      </x:c>
      <x:c r="E278" s="42" t="s">
        <x:v>41</x:v>
      </x:c>
      <x:c r="F278" s="43" t="s">
        <x:v>985</x:v>
      </x:c>
      <x:c r="G278" s="43" t="s">
        <x:v>986</x:v>
      </x:c>
      <x:c r="H278" s="43" t="s">
        <x:v>987</x:v>
      </x:c>
      <x:c r="I278" s="43" t="s">
        <x:v>62</x:v>
      </x:c>
      <x:c r="J278" s="43">
        <x:v>2018</x:v>
      </x:c>
      <x:c r="K278" s="43">
        <x:v>17</x:v>
      </x:c>
      <x:c r="L278" s="42">
        <x:v>17</x:v>
      </x:c>
      <x:c r="M278" s="43">
        <x:v>17</x:v>
      </x:c>
      <x:c r="N278" s="43" t="s">
        <x:v>64</x:v>
      </x:c>
      <x:c r="Q278" s="21" t="s">
        <x:v>47</x:v>
      </x:c>
      <x:c r="S278" s="42"/>
      <x:c r="T278" s="42"/>
      <x:c r="U278" s="42"/>
      <x:c r="V278" s="69">
        <x:v>-2.0972580000000001</x:v>
      </x:c>
      <x:c r="W278" s="42">
        <x:v>106.08021100000001</x:v>
      </x:c>
      <x:c r="X278" s="42"/>
      <x:c r="Y278" s="44"/>
      <x:c r="Z278" s="26" t="s">
        <x:v>50</x:v>
      </x:c>
      <x:c r="AA278" s="39" t="s">
        <x:v>51</x:v>
      </x:c>
      <x:c r="AB278" s="71">
        <x:v>46220</x:v>
      </x:c>
      <x:c r="AC278" s="41" t="s">
        <x:v>52</x:v>
      </x:c>
      <x:c r="AD278" s="45">
        <x:f t="shared" si="20"/>
        <x:v>1</x:v>
      </x:c>
      <x:c r="AE278" s="45">
        <x:f t="shared" si="21"/>
        <x:v>1</x:v>
      </x:c>
      <x:c r="AF278" s="227"/>
      <x:c r="AG278" s="228"/>
      <x:c r="AH278" s="229"/>
    </x:row>
    <x:row r="279" s="43" customFormat="1" ht="25">
      <x:c r="A279" s="27" t="s">
        <x:v>990</x:v>
      </x:c>
      <x:c r="B279" s="42" t="s">
        <x:v>991</x:v>
      </x:c>
      <x:c r="C279" s="43" t="s">
        <x:v>39</x:v>
      </x:c>
      <x:c r="D279" s="42" t="s">
        <x:v>102</x:v>
      </x:c>
      <x:c r="E279" s="42" t="s">
        <x:v>277</x:v>
      </x:c>
      <x:c r="F279" s="43" t="s">
        <x:v>605</x:v>
      </x:c>
      <x:c r="G279" s="43" t="s">
        <x:v>992</x:v>
      </x:c>
      <x:c r="H279" s="43" t="s">
        <x:v>993</x:v>
      </x:c>
      <x:c r="I279" s="43" t="s">
        <x:v>107</x:v>
      </x:c>
      <x:c r="J279" s="43">
        <x:v>2021</x:v>
      </x:c>
      <x:c r="K279" s="43">
        <x:v>176</x:v>
      </x:c>
      <x:c r="L279" s="42">
        <x:v>160</x:v>
      </x:c>
      <x:c r="M279" s="43">
        <x:v>159</x:v>
      </x:c>
      <x:c r="N279" s="43" t="s">
        <x:v>64</x:v>
      </x:c>
      <x:c r="Q279" s="21" t="s">
        <x:v>47</x:v>
      </x:c>
      <x:c r="S279" s="42"/>
      <x:c r="T279" s="42"/>
      <x:c r="U279" s="42"/>
      <x:c r="V279" s="69">
        <x:v>-2.135602</x:v>
      </x:c>
      <x:c r="W279" s="42">
        <x:v>106.15954600000001</x:v>
      </x:c>
      <x:c r="X279" s="42"/>
      <x:c r="Y279" s="44"/>
      <x:c r="Z279" s="26" t="s">
        <x:v>50</x:v>
      </x:c>
      <x:c r="AA279" s="39" t="s">
        <x:v>51</x:v>
      </x:c>
      <x:c r="AB279" s="71">
        <x:v>46220</x:v>
      </x:c>
      <x:c r="AC279" s="41" t="s">
        <x:v>52</x:v>
      </x:c>
      <x:c r="AD279" s="45">
        <x:f t="shared" si="20"/>
        <x:v>0.90909090909090906</x:v>
      </x:c>
      <x:c r="AE279" s="45">
        <x:f t="shared" si="21"/>
        <x:v>0.99375000000000002</x:v>
      </x:c>
      <x:c r="AF279" s="227"/>
      <x:c r="AG279" s="228"/>
      <x:c r="AH279" s="229"/>
    </x:row>
    <x:row r="280" s="43" customFormat="1" ht="25">
      <x:c r="A280" s="27" t="s">
        <x:v>994</x:v>
      </x:c>
      <x:c r="B280" s="42" t="s">
        <x:v>995</x:v>
      </x:c>
      <x:c r="C280" s="43" t="s">
        <x:v>226</x:v>
      </x:c>
      <x:c r="D280" s="42" t="s">
        <x:v>126</x:v>
      </x:c>
      <x:c r="E280" s="42" t="s">
        <x:v>291</x:v>
      </x:c>
      <x:c r="F280" s="43" t="s">
        <x:v>946</x:v>
      </x:c>
      <x:c r="G280" s="43" t="s">
        <x:v>62</x:v>
      </x:c>
      <x:c r="H280" s="43" t="s">
        <x:v>996</x:v>
      </x:c>
      <x:c r="I280" s="43" t="s">
        <x:v>62</x:v>
      </x:c>
      <x:c r="J280" s="43">
        <x:v>2009</x:v>
      </x:c>
      <x:c r="K280" s="43">
        <x:v>28</x:v>
      </x:c>
      <x:c r="L280" s="42">
        <x:v>28</x:v>
      </x:c>
      <x:c r="M280" s="43">
        <x:v>28</x:v>
      </x:c>
      <x:c r="N280" s="43" t="s">
        <x:v>64</x:v>
      </x:c>
      <x:c r="Q280" s="21" t="s">
        <x:v>47</x:v>
      </x:c>
      <x:c r="S280" s="42"/>
      <x:c r="T280" s="42"/>
      <x:c r="U280" s="42"/>
      <x:c r="V280" s="69">
        <x:v>-2.0898496</x:v>
      </x:c>
      <x:c r="W280" s="42">
        <x:v>106.119711</x:v>
      </x:c>
      <x:c r="X280" s="42"/>
      <x:c r="Y280" s="44"/>
      <x:c r="Z280" s="26" t="s">
        <x:v>50</x:v>
      </x:c>
      <x:c r="AA280" s="39" t="s">
        <x:v>51</x:v>
      </x:c>
      <x:c r="AB280" s="71">
        <x:v>46220</x:v>
      </x:c>
      <x:c r="AC280" s="41" t="s">
        <x:v>52</x:v>
      </x:c>
      <x:c r="AD280" s="45">
        <x:f t="shared" si="20"/>
        <x:v>1</x:v>
      </x:c>
      <x:c r="AE280" s="45">
        <x:f t="shared" si="21"/>
        <x:v>1</x:v>
      </x:c>
      <x:c r="AF280" s="227"/>
      <x:c r="AG280" s="228"/>
      <x:c r="AH280" s="229"/>
    </x:row>
    <x:row r="281" s="43" customFormat="1" ht="25">
      <x:c r="A281" s="27" t="s">
        <x:v>997</x:v>
      </x:c>
      <x:c r="B281" s="42" t="s">
        <x:v>998</x:v>
      </x:c>
      <x:c r="C281" s="43" t="s">
        <x:v>39</x:v>
      </x:c>
      <x:c r="D281" s="42" t="s">
        <x:v>40</x:v>
      </x:c>
      <x:c r="E281" s="42" t="s">
        <x:v>55</x:v>
      </x:c>
      <x:c r="F281" s="43" t="s">
        <x:v>770</x:v>
      </x:c>
      <x:c r="G281" s="43" t="s">
        <x:v>999</x:v>
      </x:c>
      <x:c r="H281" s="43" t="s">
        <x:v>1000</x:v>
      </x:c>
      <x:c r="I281" s="43" t="s">
        <x:v>62</x:v>
      </x:c>
      <x:c r="J281" s="43">
        <x:v>2017</x:v>
      </x:c>
      <x:c r="K281" s="43">
        <x:v>52</x:v>
      </x:c>
      <x:c r="L281" s="42">
        <x:v>12</x:v>
      </x:c>
      <x:c r="M281" s="43">
        <x:v>12</x:v>
      </x:c>
      <x:c r="N281" s="43" t="s">
        <x:v>64</x:v>
      </x:c>
      <x:c r="Q281" s="21" t="s">
        <x:v>47</x:v>
      </x:c>
      <x:c r="R281" s="43" t="s">
        <x:v>110</x:v>
      </x:c>
      <x:c r="S281" s="42"/>
      <x:c r="T281" s="42"/>
      <x:c r="U281" s="42"/>
      <x:c r="V281" s="69">
        <x:v>-2.1179367</x:v>
      </x:c>
      <x:c r="W281" s="42">
        <x:v>106.0683732</x:v>
      </x:c>
      <x:c r="X281" s="42"/>
      <x:c r="Y281" s="44"/>
      <x:c r="Z281" s="26" t="s">
        <x:v>50</x:v>
      </x:c>
      <x:c r="AA281" s="39" t="s">
        <x:v>51</x:v>
      </x:c>
      <x:c r="AB281" s="71">
        <x:v>46220</x:v>
      </x:c>
      <x:c r="AC281" s="41" t="s">
        <x:v>52</x:v>
      </x:c>
      <x:c r="AD281" s="45">
        <x:f t="shared" si="20"/>
        <x:v>0.23076923076923078</x:v>
      </x:c>
      <x:c r="AE281" s="45">
        <x:f t="shared" si="21"/>
        <x:v>1</x:v>
      </x:c>
      <x:c r="AF281" s="227"/>
      <x:c r="AG281" s="228"/>
      <x:c r="AH281" s="229"/>
    </x:row>
    <x:row r="282" s="43" customFormat="1" ht="25">
      <x:c r="A282" s="27" t="s">
        <x:v>1001</x:v>
      </x:c>
      <x:c r="B282" s="42" t="s">
        <x:v>1002</x:v>
      </x:c>
      <x:c r="C282" s="43" t="s">
        <x:v>226</x:v>
      </x:c>
      <x:c r="D282" s="42" t="s">
        <x:v>75</x:v>
      </x:c>
      <x:c r="E282" s="42" t="s">
        <x:v>114</x:v>
      </x:c>
      <x:c r="F282" s="43" t="s">
        <x:v>674</x:v>
      </x:c>
      <x:c r="G282" s="43" t="s">
        <x:v>675</x:v>
      </x:c>
      <x:c r="H282" s="43" t="s">
        <x:v>687</x:v>
      </x:c>
      <x:c r="I282" s="43" t="s">
        <x:v>45</x:v>
      </x:c>
      <x:c r="J282" s="43" t="s">
        <x:v>636</x:v>
      </x:c>
      <x:c r="K282" s="43">
        <x:v>46</x:v>
      </x:c>
      <x:c r="L282" s="42">
        <x:v>46</x:v>
      </x:c>
      <x:c r="M282" s="43">
        <x:v>35</x:v>
      </x:c>
      <x:c r="N282" s="43" t="s">
        <x:v>64</x:v>
      </x:c>
      <x:c r="Q282" s="21" t="s">
        <x:v>47</x:v>
      </x:c>
      <x:c r="S282" s="42"/>
      <x:c r="T282" s="42"/>
      <x:c r="U282" s="42"/>
      <x:c r="V282" s="69">
        <x:v>-2.0884529999999999</x:v>
      </x:c>
      <x:c r="W282" s="42">
        <x:v>106.114867</x:v>
      </x:c>
      <x:c r="X282" s="42"/>
      <x:c r="Y282" s="44"/>
      <x:c r="Z282" s="26" t="s">
        <x:v>50</x:v>
      </x:c>
      <x:c r="AA282" s="39" t="s">
        <x:v>51</x:v>
      </x:c>
      <x:c r="AB282" s="71">
        <x:v>46220</x:v>
      </x:c>
      <x:c r="AC282" s="41" t="s">
        <x:v>52</x:v>
      </x:c>
      <x:c r="AD282" s="45">
        <x:f t="shared" si="20"/>
        <x:v>1</x:v>
      </x:c>
      <x:c r="AE282" s="45">
        <x:f t="shared" si="21"/>
        <x:v>0.76086956521739135</x:v>
      </x:c>
      <x:c r="AF282" s="227"/>
      <x:c r="AG282" s="228"/>
      <x:c r="AH282" s="229"/>
    </x:row>
    <x:row r="283" s="43" customFormat="1" ht="25">
      <x:c r="A283" s="27" t="s">
        <x:v>1003</x:v>
      </x:c>
      <x:c r="B283" s="42" t="s">
        <x:v>1004</x:v>
      </x:c>
      <x:c r="C283" s="43" t="s">
        <x:v>226</x:v>
      </x:c>
      <x:c r="D283" s="42" t="s">
        <x:v>102</x:v>
      </x:c>
      <x:c r="E283" s="42" t="s">
        <x:v>577</x:v>
      </x:c>
      <x:c r="F283" s="43" t="s">
        <x:v>1005</x:v>
      </x:c>
      <x:c r="G283" s="43" t="s">
        <x:v>62</x:v>
      </x:c>
      <x:c r="H283" s="43" t="s">
        <x:v>1006</x:v>
      </x:c>
      <x:c r="I283" s="43" t="s">
        <x:v>62</x:v>
      </x:c>
      <x:c r="J283" s="43">
        <x:v>2013</x:v>
      </x:c>
      <x:c r="K283" s="43">
        <x:v>12</x:v>
      </x:c>
      <x:c r="L283" s="42">
        <x:v>12</x:v>
      </x:c>
      <x:c r="M283" s="43">
        <x:v>12</x:v>
      </x:c>
      <x:c r="N283" s="43" t="s">
        <x:v>64</x:v>
      </x:c>
      <x:c r="Q283" s="21" t="s">
        <x:v>47</x:v>
      </x:c>
      <x:c r="S283" s="42"/>
      <x:c r="T283" s="42"/>
      <x:c r="U283" s="42"/>
      <x:c r="V283" s="69">
        <x:v>-2.1372475999999998</x:v>
      </x:c>
      <x:c r="W283" s="42">
        <x:v>106.128725</x:v>
      </x:c>
      <x:c r="X283" s="42"/>
      <x:c r="Y283" s="44"/>
      <x:c r="Z283" s="26" t="s">
        <x:v>50</x:v>
      </x:c>
      <x:c r="AA283" s="39" t="s">
        <x:v>51</x:v>
      </x:c>
      <x:c r="AB283" s="71">
        <x:v>46220</x:v>
      </x:c>
      <x:c r="AC283" s="41" t="s">
        <x:v>52</x:v>
      </x:c>
      <x:c r="AD283" s="45">
        <x:f t="shared" si="20"/>
        <x:v>1</x:v>
      </x:c>
      <x:c r="AE283" s="45">
        <x:f t="shared" si="21"/>
        <x:v>1</x:v>
      </x:c>
      <x:c r="AF283" s="227"/>
      <x:c r="AG283" s="228"/>
      <x:c r="AH283" s="229"/>
    </x:row>
    <x:row r="284" s="43" customFormat="1" ht="25">
      <x:c r="A284" s="27" t="s">
        <x:v>1007</x:v>
      </x:c>
      <x:c r="B284" s="42" t="s">
        <x:v>1008</x:v>
      </x:c>
      <x:c r="C284" s="43" t="s">
        <x:v>226</x:v>
      </x:c>
      <x:c r="D284" s="42" t="s">
        <x:v>102</x:v>
      </x:c>
      <x:c r="E284" s="42" t="s">
        <x:v>577</x:v>
      </x:c>
      <x:c r="F284" s="43" t="s">
        <x:v>1009</x:v>
      </x:c>
      <x:c r="G284" s="43" t="s">
        <x:v>62</x:v>
      </x:c>
      <x:c r="H284" s="43" t="s">
        <x:v>1006</x:v>
      </x:c>
      <x:c r="I284" s="43" t="s">
        <x:v>62</x:v>
      </x:c>
      <x:c r="J284" s="43">
        <x:v>2015</x:v>
      </x:c>
      <x:c r="K284" s="43">
        <x:v>12</x:v>
      </x:c>
      <x:c r="L284" s="42">
        <x:v>0</x:v>
      </x:c>
      <x:c r="M284" s="43">
        <x:v>0</x:v>
      </x:c>
      <x:c r="N284" s="43" t="s">
        <x:v>64</x:v>
      </x:c>
      <x:c r="Q284" s="21" t="s">
        <x:v>47</x:v>
      </x:c>
      <x:c r="S284" s="42"/>
      <x:c r="T284" s="42"/>
      <x:c r="U284" s="42"/>
      <x:c r="V284" s="69">
        <x:v>-2.1329259999999999</x:v>
      </x:c>
      <x:c r="W284" s="42">
        <x:v>106.13212729999999</x:v>
      </x:c>
      <x:c r="X284" s="42"/>
      <x:c r="Y284" s="44"/>
      <x:c r="Z284" s="26" t="s">
        <x:v>50</x:v>
      </x:c>
      <x:c r="AA284" s="39" t="s">
        <x:v>51</x:v>
      </x:c>
      <x:c r="AB284" s="71">
        <x:v>46220</x:v>
      </x:c>
      <x:c r="AC284" s="41" t="s">
        <x:v>52</x:v>
      </x:c>
      <x:c r="AD284" s="45">
        <x:f t="shared" si="20"/>
        <x:v>0</x:v>
      </x:c>
      <x:c r="AE284" s="45">
        <x:f t="shared" si="21"/>
        <x:v>0</x:v>
      </x:c>
      <x:c r="AF284" s="227"/>
      <x:c r="AG284" s="228"/>
      <x:c r="AH284" s="229"/>
    </x:row>
    <x:row r="285" s="43" customFormat="1" ht="25">
      <x:c r="A285" s="27" t="s">
        <x:v>1010</x:v>
      </x:c>
      <x:c r="B285" s="42" t="s">
        <x:v>1011</x:v>
      </x:c>
      <x:c r="C285" s="43" t="s">
        <x:v>226</x:v>
      </x:c>
      <x:c r="D285" s="42" t="s">
        <x:v>433</x:v>
      </x:c>
      <x:c r="E285" s="42" t="s">
        <x:v>434</x:v>
      </x:c>
      <x:c r="F285" s="43" t="s">
        <x:v>1012</x:v>
      </x:c>
      <x:c r="G285" s="43" t="s">
        <x:v>62</x:v>
      </x:c>
      <x:c r="H285" s="43" t="s">
        <x:v>62</x:v>
      </x:c>
      <x:c r="I285" s="43" t="s">
        <x:v>62</x:v>
      </x:c>
      <x:c r="J285" s="43">
        <x:v>2014</x:v>
      </x:c>
      <x:c r="K285" s="43">
        <x:v>8</x:v>
      </x:c>
      <x:c r="L285" s="42">
        <x:v>8</x:v>
      </x:c>
      <x:c r="M285" s="43">
        <x:v>3</x:v>
      </x:c>
      <x:c r="N285" s="43" t="s">
        <x:v>64</x:v>
      </x:c>
      <x:c r="Q285" s="43" t="s">
        <x:v>89</x:v>
      </x:c>
      <x:c r="S285" s="42"/>
      <x:c r="T285" s="42"/>
      <x:c r="U285" s="42"/>
      <x:c r="V285" s="69">
        <x:v>-2.1501418000000001</x:v>
      </x:c>
      <x:c r="W285" s="42">
        <x:v>106.1112349</x:v>
      </x:c>
      <x:c r="X285" s="42"/>
      <x:c r="Y285" s="44"/>
      <x:c r="Z285" s="26" t="s">
        <x:v>50</x:v>
      </x:c>
      <x:c r="AA285" s="39" t="s">
        <x:v>51</x:v>
      </x:c>
      <x:c r="AB285" s="71">
        <x:v>46220</x:v>
      </x:c>
      <x:c r="AC285" s="41" t="s">
        <x:v>52</x:v>
      </x:c>
      <x:c r="AD285" s="45">
        <x:f t="shared" si="20"/>
        <x:v>1</x:v>
      </x:c>
      <x:c r="AE285" s="45">
        <x:f t="shared" si="21"/>
        <x:v>0.375</x:v>
      </x:c>
      <x:c r="AF285" s="227"/>
      <x:c r="AG285" s="228"/>
      <x:c r="AH285" s="229"/>
    </x:row>
    <x:row r="286" s="43" customFormat="1" ht="25">
      <x:c r="A286" s="27" t="s">
        <x:v>1013</x:v>
      </x:c>
      <x:c r="B286" s="42" t="s">
        <x:v>1014</x:v>
      </x:c>
      <x:c r="C286" s="43" t="s">
        <x:v>39</x:v>
      </x:c>
      <x:c r="D286" s="42" t="s">
        <x:v>102</x:v>
      </x:c>
      <x:c r="E286" s="42" t="s">
        <x:v>158</x:v>
      </x:c>
      <x:c r="F286" s="43" t="s">
        <x:v>1015</x:v>
      </x:c>
      <x:c r="G286" s="43" t="s">
        <x:v>140</x:v>
      </x:c>
      <x:c r="H286" s="43" t="s">
        <x:v>1016</x:v>
      </x:c>
      <x:c r="I286" s="43" t="s">
        <x:v>142</x:v>
      </x:c>
      <x:c r="J286" s="43">
        <x:v>2018</x:v>
      </x:c>
      <x:c r="K286" s="43">
        <x:v>75</x:v>
      </x:c>
      <x:c r="L286" s="42">
        <x:v>72</x:v>
      </x:c>
      <x:c r="M286" s="43">
        <x:v>72</x:v>
      </x:c>
      <x:c r="N286" s="43" t="s">
        <x:v>46</x:v>
      </x:c>
      <x:c r="O286" s="43">
        <x:v>2022</x:v>
      </x:c>
      <x:c r="Q286" s="21" t="s">
        <x:v>47</x:v>
      </x:c>
      <x:c r="R286" s="43" t="s">
        <x:v>143</x:v>
      </x:c>
      <x:c r="S286" s="42"/>
      <x:c r="T286" s="9" t="s">
        <x:v>49</x:v>
      </x:c>
      <x:c r="U286" s="42"/>
      <x:c r="V286" s="69"/>
      <x:c r="W286" s="42"/>
      <x:c r="X286" s="42"/>
      <x:c r="Y286" s="44"/>
      <x:c r="Z286" s="26" t="s">
        <x:v>50</x:v>
      </x:c>
      <x:c r="AA286" s="39" t="s">
        <x:v>51</x:v>
      </x:c>
      <x:c r="AB286" s="71">
        <x:v>46220</x:v>
      </x:c>
      <x:c r="AC286" s="41" t="s">
        <x:v>52</x:v>
      </x:c>
      <x:c r="AD286" s="45">
        <x:f t="shared" si="20"/>
        <x:v>0.96</x:v>
      </x:c>
      <x:c r="AE286" s="45">
        <x:f t="shared" si="21"/>
        <x:v>1</x:v>
      </x:c>
      <x:c r="AF286" s="227"/>
      <x:c r="AG286" s="228"/>
      <x:c r="AH286" s="229"/>
    </x:row>
    <x:row r="287" s="43" customFormat="1" ht="25">
      <x:c r="A287" s="27" t="s">
        <x:v>1017</x:v>
      </x:c>
      <x:c r="B287" s="42" t="s">
        <x:v>1018</x:v>
      </x:c>
      <x:c r="C287" s="43" t="s">
        <x:v>39</x:v>
      </x:c>
      <x:c r="D287" s="42" t="s">
        <x:v>102</x:v>
      </x:c>
      <x:c r="E287" s="42" t="s">
        <x:v>158</x:v>
      </x:c>
      <x:c r="F287" s="43" t="s">
        <x:v>441</x:v>
      </x:c>
      <x:c r="G287" s="43" t="s">
        <x:v>1019</x:v>
      </x:c>
      <x:c r="H287" s="43" t="s">
        <x:v>1020</x:v>
      </x:c>
      <x:c r="I287" s="215" t="s">
        <x:v>218</x:v>
      </x:c>
      <x:c r="J287" s="43">
        <x:v>2019</x:v>
      </x:c>
      <x:c r="K287" s="43">
        <x:v>38</x:v>
      </x:c>
      <x:c r="L287" s="42">
        <x:v>38</x:v>
      </x:c>
      <x:c r="M287" s="43">
        <x:v>38</x:v>
      </x:c>
      <x:c r="N287" s="43" t="s">
        <x:v>64</x:v>
      </x:c>
      <x:c r="Q287" s="21" t="s">
        <x:v>47</x:v>
      </x:c>
      <x:c r="S287" s="42"/>
      <x:c r="T287" s="42"/>
      <x:c r="U287" s="42"/>
      <x:c r="V287" s="69"/>
      <x:c r="W287" s="42"/>
      <x:c r="X287" s="42"/>
      <x:c r="Y287" s="44"/>
      <x:c r="Z287" s="26" t="s">
        <x:v>50</x:v>
      </x:c>
      <x:c r="AA287" s="39" t="s">
        <x:v>51</x:v>
      </x:c>
      <x:c r="AB287" s="71">
        <x:v>46220</x:v>
      </x:c>
      <x:c r="AC287" s="41" t="s">
        <x:v>52</x:v>
      </x:c>
      <x:c r="AD287" s="45">
        <x:f t="shared" si="20"/>
        <x:v>1</x:v>
      </x:c>
      <x:c r="AE287" s="45">
        <x:f t="shared" si="21"/>
        <x:v>1</x:v>
      </x:c>
      <x:c r="AF287" s="227"/>
      <x:c r="AG287" s="228"/>
      <x:c r="AH287" s="229"/>
    </x:row>
    <x:row r="288" s="43" customFormat="1" ht="25">
      <x:c r="A288" s="27" t="s">
        <x:v>1021</x:v>
      </x:c>
      <x:c r="B288" s="42" t="s">
        <x:v>1022</x:v>
      </x:c>
      <x:c r="C288" s="43" t="s">
        <x:v>39</x:v>
      </x:c>
      <x:c r="D288" s="42" t="s">
        <x:v>102</x:v>
      </x:c>
      <x:c r="E288" s="42" t="s">
        <x:v>158</x:v>
      </x:c>
      <x:c r="F288" s="43" t="s">
        <x:v>441</x:v>
      </x:c>
      <x:c r="G288" s="43" t="s">
        <x:v>1023</x:v>
      </x:c>
      <x:c r="H288" s="43" t="s">
        <x:v>1024</x:v>
      </x:c>
      <x:c r="I288" s="215" t="s">
        <x:v>218</x:v>
      </x:c>
      <x:c r="J288" s="43">
        <x:v>2020</x:v>
      </x:c>
      <x:c r="K288" s="43">
        <x:v>62</x:v>
      </x:c>
      <x:c r="L288" s="42">
        <x:v>57</x:v>
      </x:c>
      <x:c r="M288" s="43">
        <x:v>57</x:v>
      </x:c>
      <x:c r="N288" s="43" t="s">
        <x:v>64</x:v>
      </x:c>
      <x:c r="Q288" s="21" t="s">
        <x:v>47</x:v>
      </x:c>
      <x:c r="S288" s="42"/>
      <x:c r="T288" s="42"/>
      <x:c r="U288" s="42"/>
      <x:c r="V288" s="69">
        <x:v>-2.1318961000000001</x:v>
      </x:c>
      <x:c r="W288" s="42">
        <x:v>106.15831729999999</x:v>
      </x:c>
      <x:c r="X288" s="42"/>
      <x:c r="Y288" s="44"/>
      <x:c r="Z288" s="26" t="s">
        <x:v>50</x:v>
      </x:c>
      <x:c r="AA288" s="39" t="s">
        <x:v>51</x:v>
      </x:c>
      <x:c r="AB288" s="71">
        <x:v>46220</x:v>
      </x:c>
      <x:c r="AC288" s="41" t="s">
        <x:v>52</x:v>
      </x:c>
      <x:c r="AD288" s="45">
        <x:f t="shared" si="20"/>
        <x:v>0.91935483870967738</x:v>
      </x:c>
      <x:c r="AE288" s="45">
        <x:f t="shared" si="21"/>
        <x:v>1</x:v>
      </x:c>
      <x:c r="AF288" s="227"/>
      <x:c r="AG288" s="228"/>
      <x:c r="AH288" s="229"/>
    </x:row>
    <x:row r="289" s="43" customFormat="1" ht="25">
      <x:c r="A289" s="27" t="s">
        <x:v>1025</x:v>
      </x:c>
      <x:c r="B289" s="42" t="s">
        <x:v>1026</x:v>
      </x:c>
      <x:c r="C289" s="43" t="s">
        <x:v>39</x:v>
      </x:c>
      <x:c r="D289" s="42" t="s">
        <x:v>102</x:v>
      </x:c>
      <x:c r="E289" s="42" t="s">
        <x:v>103</x:v>
      </x:c>
      <x:c r="F289" s="43" t="s">
        <x:v>146</x:v>
      </x:c>
      <x:c r="G289" s="43" t="s">
        <x:v>62</x:v>
      </x:c>
      <x:c r="H289" s="43" t="s">
        <x:v>62</x:v>
      </x:c>
      <x:c r="I289" s="43" t="s">
        <x:v>62</x:v>
      </x:c>
      <x:c r="J289" s="43">
        <x:v>2017</x:v>
      </x:c>
      <x:c r="K289" s="43">
        <x:v>0</x:v>
      </x:c>
      <x:c r="L289" s="42">
        <x:v>0</x:v>
      </x:c>
      <x:c r="M289" s="43">
        <x:v>0</x:v>
      </x:c>
      <x:c r="N289" s="43" t="s">
        <x:v>64</x:v>
      </x:c>
      <x:c r="Q289" s="21" t="s">
        <x:v>47</x:v>
      </x:c>
      <x:c r="S289" s="42"/>
      <x:c r="T289" s="42"/>
      <x:c r="U289" s="42"/>
      <x:c r="V289" s="69"/>
      <x:c r="W289" s="42"/>
      <x:c r="X289" s="42"/>
      <x:c r="Y289" s="44"/>
      <x:c r="Z289" s="26" t="s">
        <x:v>50</x:v>
      </x:c>
      <x:c r="AA289" s="39" t="s">
        <x:v>51</x:v>
      </x:c>
      <x:c r="AB289" s="71">
        <x:v>46220</x:v>
      </x:c>
      <x:c r="AC289" s="41" t="s">
        <x:v>52</x:v>
      </x:c>
      <x:c r="AD289" s="45">
        <x:f t="shared" si="20"/>
        <x:v>0</x:v>
      </x:c>
      <x:c r="AE289" s="45">
        <x:f t="shared" si="21"/>
        <x:v>0</x:v>
      </x:c>
      <x:c r="AF289" s="227"/>
      <x:c r="AG289" s="228"/>
      <x:c r="AH289" s="229"/>
    </x:row>
    <x:row r="290" s="43" customFormat="1" ht="25">
      <x:c r="A290" s="27" t="s">
        <x:v>1027</x:v>
      </x:c>
      <x:c r="B290" s="42" t="s">
        <x:v>1028</x:v>
      </x:c>
      <x:c r="C290" s="43" t="s">
        <x:v>39</x:v>
      </x:c>
      <x:c r="D290" s="42" t="s">
        <x:v>40</x:v>
      </x:c>
      <x:c r="E290" s="42" t="s">
        <x:v>41</x:v>
      </x:c>
      <x:c r="F290" s="43" t="s">
        <x:v>565</x:v>
      </x:c>
      <x:c r="G290" s="43" t="s">
        <x:v>1029</x:v>
      </x:c>
      <x:c r="H290" s="43" t="s">
        <x:v>1030</x:v>
      </x:c>
      <x:c r="I290" s="43" t="s">
        <x:v>142</x:v>
      </x:c>
      <x:c r="J290" s="43">
        <x:v>2024</x:v>
      </x:c>
      <x:c r="K290" s="43">
        <x:v>36</x:v>
      </x:c>
      <x:c r="L290" s="42">
        <x:v>10</x:v>
      </x:c>
      <x:c r="M290" s="43">
        <x:v>3</x:v>
      </x:c>
      <x:c r="N290" s="43" t="s">
        <x:v>64</x:v>
      </x:c>
      <x:c r="Q290" s="21" t="s">
        <x:v>47</x:v>
      </x:c>
      <x:c r="R290" s="21" t="s">
        <x:v>110</x:v>
      </x:c>
      <x:c r="S290" s="42"/>
      <x:c r="T290" s="42"/>
      <x:c r="U290" s="42"/>
      <x:c r="V290" s="69">
        <x:v>-2.1021866</x:v>
      </x:c>
      <x:c r="W290" s="42">
        <x:v>106.05145090000001</x:v>
      </x:c>
      <x:c r="X290" s="42"/>
      <x:c r="Y290" s="44"/>
      <x:c r="Z290" s="26" t="s">
        <x:v>50</x:v>
      </x:c>
      <x:c r="AA290" s="39" t="s">
        <x:v>51</x:v>
      </x:c>
      <x:c r="AB290" s="71">
        <x:v>46220</x:v>
      </x:c>
      <x:c r="AC290" s="41" t="s">
        <x:v>52</x:v>
      </x:c>
      <x:c r="AD290" s="45">
        <x:f t="shared" si="20"/>
        <x:v>0.27777777777777779</x:v>
      </x:c>
      <x:c r="AE290" s="45">
        <x:f t="shared" si="21"/>
        <x:v>0.3</x:v>
      </x:c>
      <x:c r="AF290" s="227"/>
      <x:c r="AG290" s="228"/>
      <x:c r="AH290" s="229"/>
    </x:row>
    <x:row r="291" s="43" customFormat="1" ht="25">
      <x:c r="A291" s="27" t="s">
        <x:v>1031</x:v>
      </x:c>
      <x:c r="B291" s="42" t="s">
        <x:v>1032</x:v>
      </x:c>
      <x:c r="C291" s="43" t="s">
        <x:v>39</x:v>
      </x:c>
      <x:c r="D291" s="42" t="s">
        <x:v>75</x:v>
      </x:c>
      <x:c r="E291" s="42" t="s">
        <x:v>87</x:v>
      </x:c>
      <x:c r="F291" s="43" t="s">
        <x:v>99</x:v>
      </x:c>
      <x:c r="G291" s="43" t="s">
        <x:v>1033</x:v>
      </x:c>
      <x:c r="H291" s="43" t="s">
        <x:v>1034</x:v>
      </x:c>
      <x:c r="I291" s="43" t="s">
        <x:v>62</x:v>
      </x:c>
      <x:c r="J291" s="43">
        <x:v>2015</x:v>
      </x:c>
      <x:c r="K291" s="43">
        <x:v>51</x:v>
      </x:c>
      <x:c r="L291" s="42">
        <x:v>23</x:v>
      </x:c>
      <x:c r="M291" s="43">
        <x:v>15</x:v>
      </x:c>
      <x:c r="N291" s="43" t="s">
        <x:v>64</x:v>
      </x:c>
      <x:c r="Q291" s="21" t="s">
        <x:v>47</x:v>
      </x:c>
      <x:c r="R291" s="21" t="s">
        <x:v>110</x:v>
      </x:c>
      <x:c r="S291" s="42"/>
      <x:c r="T291" s="42"/>
      <x:c r="U291" s="42"/>
      <x:c r="V291" s="69">
        <x:v>-2.0845900999999998</x:v>
      </x:c>
      <x:c r="W291" s="42">
        <x:v>106.0979296</x:v>
      </x:c>
      <x:c r="X291" s="42"/>
      <x:c r="Y291" s="44"/>
      <x:c r="Z291" s="26" t="s">
        <x:v>50</x:v>
      </x:c>
      <x:c r="AA291" s="39" t="s">
        <x:v>51</x:v>
      </x:c>
      <x:c r="AB291" s="71">
        <x:v>46220</x:v>
      </x:c>
      <x:c r="AC291" s="41" t="s">
        <x:v>52</x:v>
      </x:c>
      <x:c r="AD291" s="45">
        <x:f t="shared" si="20"/>
        <x:v>0.45098039215686275</x:v>
      </x:c>
      <x:c r="AE291" s="45">
        <x:f t="shared" si="21"/>
        <x:v>0.65217391304347827</x:v>
      </x:c>
      <x:c r="AF291" s="227"/>
      <x:c r="AG291" s="228"/>
      <x:c r="AH291" s="229"/>
    </x:row>
    <x:row r="292" s="43" customFormat="1" ht="25">
      <x:c r="A292" s="27" t="s">
        <x:v>1035</x:v>
      </x:c>
      <x:c r="B292" s="42" t="s">
        <x:v>1036</x:v>
      </x:c>
      <x:c r="C292" s="43" t="s">
        <x:v>39</x:v>
      </x:c>
      <x:c r="D292" s="42" t="s">
        <x:v>102</x:v>
      </x:c>
      <x:c r="E292" s="42" t="s">
        <x:v>277</x:v>
      </x:c>
      <x:c r="F292" s="43" t="s">
        <x:v>1037</x:v>
      </x:c>
      <x:c r="G292" s="43" t="s">
        <x:v>1038</x:v>
      </x:c>
      <x:c r="H292" s="43" t="s">
        <x:v>62</x:v>
      </x:c>
      <x:c r="I292" s="43" t="s">
        <x:v>62</x:v>
      </x:c>
      <x:c r="J292" s="43">
        <x:v>2023</x:v>
      </x:c>
      <x:c r="K292" s="43">
        <x:v>42</x:v>
      </x:c>
      <x:c r="L292" s="42">
        <x:v>9</x:v>
      </x:c>
      <x:c r="M292" s="43">
        <x:v>6</x:v>
      </x:c>
      <x:c r="N292" s="43" t="s">
        <x:v>64</x:v>
      </x:c>
      <x:c r="Q292" s="21" t="s">
        <x:v>47</x:v>
      </x:c>
      <x:c r="R292" s="43" t="s">
        <x:v>110</x:v>
      </x:c>
      <x:c r="S292" s="42"/>
      <x:c r="T292" s="42"/>
      <x:c r="U292" s="42"/>
      <x:c r="V292" s="69">
        <x:v>-2.1377009999999999</x:v>
      </x:c>
      <x:c r="W292" s="42">
        <x:v>106.1489993</x:v>
      </x:c>
      <x:c r="X292" s="42"/>
      <x:c r="Y292" s="44"/>
      <x:c r="Z292" s="26" t="s">
        <x:v>50</x:v>
      </x:c>
      <x:c r="AA292" s="39" t="s">
        <x:v>51</x:v>
      </x:c>
      <x:c r="AB292" s="71">
        <x:v>46220</x:v>
      </x:c>
      <x:c r="AC292" s="41" t="s">
        <x:v>52</x:v>
      </x:c>
      <x:c r="AD292" s="45">
        <x:f t="shared" si="20"/>
        <x:v>0.21428571428571427</x:v>
      </x:c>
      <x:c r="AE292" s="45">
        <x:f t="shared" si="21"/>
        <x:v>0.66666666666666663</x:v>
      </x:c>
      <x:c r="AF292" s="227"/>
      <x:c r="AG292" s="228"/>
      <x:c r="AH292" s="229"/>
    </x:row>
    <x:row r="293" s="43" customFormat="1" ht="25">
      <x:c r="A293" s="27" t="s">
        <x:v>1039</x:v>
      </x:c>
      <x:c r="B293" s="42" t="s">
        <x:v>1040</x:v>
      </x:c>
      <x:c r="C293" s="43" t="s">
        <x:v>39</x:v>
      </x:c>
      <x:c r="D293" s="42" t="s">
        <x:v>433</x:v>
      </x:c>
      <x:c r="E293" s="42" t="s">
        <x:v>434</x:v>
      </x:c>
      <x:c r="F293" s="43" t="s">
        <x:v>639</x:v>
      </x:c>
      <x:c r="G293" s="43" t="s">
        <x:v>62</x:v>
      </x:c>
      <x:c r="H293" s="43" t="s">
        <x:v>62</x:v>
      </x:c>
      <x:c r="I293" s="43" t="s">
        <x:v>62</x:v>
      </x:c>
      <x:c r="J293" s="43">
        <x:v>2015</x:v>
      </x:c>
      <x:c r="K293" s="43">
        <x:v>22</x:v>
      </x:c>
      <x:c r="L293" s="42">
        <x:v>22</x:v>
      </x:c>
      <x:c r="M293" s="43">
        <x:v>22</x:v>
      </x:c>
      <x:c r="N293" s="43" t="s">
        <x:v>64</x:v>
      </x:c>
      <x:c r="Q293" s="21" t="s">
        <x:v>47</x:v>
      </x:c>
      <x:c r="S293" s="42"/>
      <x:c r="T293" s="42"/>
      <x:c r="U293" s="42"/>
      <x:c r="V293" s="69">
        <x:v>-2.1519857</x:v>
      </x:c>
      <x:c r="W293" s="42">
        <x:v>106.1057045</x:v>
      </x:c>
      <x:c r="X293" s="42"/>
      <x:c r="Y293" s="44"/>
      <x:c r="Z293" s="26" t="s">
        <x:v>50</x:v>
      </x:c>
      <x:c r="AA293" s="39" t="s">
        <x:v>51</x:v>
      </x:c>
      <x:c r="AB293" s="71">
        <x:v>46220</x:v>
      </x:c>
      <x:c r="AC293" s="41" t="s">
        <x:v>52</x:v>
      </x:c>
      <x:c r="AD293" s="45">
        <x:f t="shared" si="20"/>
        <x:v>1</x:v>
      </x:c>
      <x:c r="AE293" s="45">
        <x:f t="shared" si="21"/>
        <x:v>1</x:v>
      </x:c>
      <x:c r="AF293" s="227"/>
      <x:c r="AG293" s="228"/>
      <x:c r="AH293" s="229"/>
    </x:row>
    <x:row r="294" s="43" customFormat="1" ht="25">
      <x:c r="A294" s="27" t="s">
        <x:v>1041</x:v>
      </x:c>
      <x:c r="B294" s="42" t="s">
        <x:v>1042</x:v>
      </x:c>
      <x:c r="C294" s="43" t="s">
        <x:v>39</x:v>
      </x:c>
      <x:c r="D294" s="42" t="s">
        <x:v>433</x:v>
      </x:c>
      <x:c r="E294" s="42" t="s">
        <x:v>434</x:v>
      </x:c>
      <x:c r="F294" s="43" t="s">
        <x:v>1043</x:v>
      </x:c>
      <x:c r="G294" s="43" t="s">
        <x:v>62</x:v>
      </x:c>
      <x:c r="H294" s="43" t="s">
        <x:v>62</x:v>
      </x:c>
      <x:c r="I294" s="43" t="s">
        <x:v>62</x:v>
      </x:c>
      <x:c r="J294" s="43">
        <x:v>2016</x:v>
      </x:c>
      <x:c r="K294" s="43">
        <x:v>11</x:v>
      </x:c>
      <x:c r="L294" s="42">
        <x:v>11</x:v>
      </x:c>
      <x:c r="M294" s="43">
        <x:v>11</x:v>
      </x:c>
      <x:c r="N294" s="43" t="s">
        <x:v>64</x:v>
      </x:c>
      <x:c r="Q294" s="21" t="s">
        <x:v>47</x:v>
      </x:c>
      <x:c r="R294" s="21" t="s">
        <x:v>110</x:v>
      </x:c>
      <x:c r="S294" s="42"/>
      <x:c r="T294" s="42"/>
      <x:c r="U294" s="42"/>
      <x:c r="V294" s="69">
        <x:v>-2.1526169999999998</x:v>
      </x:c>
      <x:c r="W294" s="42">
        <x:v>106.104927</x:v>
      </x:c>
      <x:c r="X294" s="42"/>
      <x:c r="Y294" s="44"/>
      <x:c r="Z294" s="26" t="s">
        <x:v>50</x:v>
      </x:c>
      <x:c r="AA294" s="39" t="s">
        <x:v>51</x:v>
      </x:c>
      <x:c r="AB294" s="71">
        <x:v>46220</x:v>
      </x:c>
      <x:c r="AC294" s="41" t="s">
        <x:v>52</x:v>
      </x:c>
      <x:c r="AD294" s="45">
        <x:f t="shared" si="20"/>
        <x:v>1</x:v>
      </x:c>
      <x:c r="AE294" s="45">
        <x:f t="shared" si="21"/>
        <x:v>1</x:v>
      </x:c>
      <x:c r="AF294" s="227"/>
      <x:c r="AG294" s="228"/>
      <x:c r="AH294" s="229"/>
    </x:row>
    <x:row r="295" s="43" customFormat="1" ht="25">
      <x:c r="A295" s="27" t="s">
        <x:v>1044</x:v>
      </x:c>
      <x:c r="B295" s="42" t="s">
        <x:v>1045</x:v>
      </x:c>
      <x:c r="C295" s="43" t="s">
        <x:v>39</x:v>
      </x:c>
      <x:c r="D295" s="42" t="s">
        <x:v>40</x:v>
      </x:c>
      <x:c r="E295" s="42" t="s">
        <x:v>55</x:v>
      </x:c>
      <x:c r="F295" s="43" t="s">
        <x:v>338</x:v>
      </x:c>
      <x:c r="G295" s="43" t="s">
        <x:v>502</x:v>
      </x:c>
      <x:c r="H295" s="43" t="s">
        <x:v>503</x:v>
      </x:c>
      <x:c r="I295" s="43" t="s">
        <x:v>142</x:v>
      </x:c>
      <x:c r="J295" s="43">
        <x:v>2017</x:v>
      </x:c>
      <x:c r="K295" s="43">
        <x:v>21</x:v>
      </x:c>
      <x:c r="L295" s="42">
        <x:v>21</x:v>
      </x:c>
      <x:c r="M295" s="43">
        <x:v>21</x:v>
      </x:c>
      <x:c r="N295" s="43" t="s">
        <x:v>46</x:v>
      </x:c>
      <x:c r="O295" s="43">
        <x:v>2023</x:v>
      </x:c>
      <x:c r="Q295" s="21" t="s">
        <x:v>47</x:v>
      </x:c>
      <x:c r="S295" s="42"/>
      <x:c r="T295" s="42"/>
      <x:c r="U295" s="42"/>
      <x:c r="V295" s="69">
        <x:v>-2.117489</x:v>
      </x:c>
      <x:c r="W295" s="42">
        <x:v>106.077459</x:v>
      </x:c>
      <x:c r="X295" s="42"/>
      <x:c r="Y295" s="44"/>
      <x:c r="Z295" s="26" t="s">
        <x:v>50</x:v>
      </x:c>
      <x:c r="AA295" s="39" t="s">
        <x:v>51</x:v>
      </x:c>
      <x:c r="AB295" s="71">
        <x:v>46220</x:v>
      </x:c>
      <x:c r="AC295" s="41" t="s">
        <x:v>52</x:v>
      </x:c>
      <x:c r="AD295" s="45">
        <x:f t="shared" si="20"/>
        <x:v>1</x:v>
      </x:c>
      <x:c r="AE295" s="45">
        <x:f t="shared" si="21"/>
        <x:v>1</x:v>
      </x:c>
      <x:c r="AF295" s="227"/>
      <x:c r="AG295" s="228"/>
      <x:c r="AH295" s="229"/>
    </x:row>
    <x:row r="296" s="43" customFormat="1" ht="25">
      <x:c r="A296" s="27" t="s">
        <x:v>1046</x:v>
      </x:c>
      <x:c r="B296" s="42" t="s">
        <x:v>1047</x:v>
      </x:c>
      <x:c r="C296" s="43" t="s">
        <x:v>39</x:v>
      </x:c>
      <x:c r="D296" s="42" t="s">
        <x:v>75</x:v>
      </x:c>
      <x:c r="E296" s="42" t="s">
        <x:v>87</x:v>
      </x:c>
      <x:c r="F296" s="43" t="s">
        <x:v>1048</x:v>
      </x:c>
      <x:c r="G296" s="43" t="s">
        <x:v>502</x:v>
      </x:c>
      <x:c r="H296" s="43" t="s">
        <x:v>503</x:v>
      </x:c>
      <x:c r="I296" s="43" t="s">
        <x:v>142</x:v>
      </x:c>
      <x:c r="J296" s="43">
        <x:v>2019</x:v>
      </x:c>
      <x:c r="K296" s="43">
        <x:v>43</x:v>
      </x:c>
      <x:c r="L296" s="42">
        <x:v>33</x:v>
      </x:c>
      <x:c r="M296" s="43">
        <x:v>33</x:v>
      </x:c>
      <x:c r="N296" s="43" t="s">
        <x:v>64</x:v>
      </x:c>
      <x:c r="Q296" s="21" t="s">
        <x:v>47</x:v>
      </x:c>
      <x:c r="S296" s="42"/>
      <x:c r="T296" s="42"/>
      <x:c r="U296" s="42"/>
      <x:c r="V296" s="69">
        <x:v>-2.0969530000000001</x:v>
      </x:c>
      <x:c r="W296" s="42">
        <x:v>106.087341</x:v>
      </x:c>
      <x:c r="X296" s="42"/>
      <x:c r="Y296" s="44"/>
      <x:c r="Z296" s="26" t="s">
        <x:v>50</x:v>
      </x:c>
      <x:c r="AA296" s="39" t="s">
        <x:v>51</x:v>
      </x:c>
      <x:c r="AB296" s="71">
        <x:v>46220</x:v>
      </x:c>
      <x:c r="AC296" s="41" t="s">
        <x:v>52</x:v>
      </x:c>
      <x:c r="AD296" s="45">
        <x:f t="shared" si="20"/>
        <x:v>0.76744186046511631</x:v>
      </x:c>
      <x:c r="AE296" s="45">
        <x:f t="shared" si="21"/>
        <x:v>1</x:v>
      </x:c>
      <x:c r="AF296" s="227"/>
      <x:c r="AG296" s="228"/>
      <x:c r="AH296" s="229"/>
    </x:row>
    <x:row r="297" s="43" customFormat="1" ht="25">
      <x:c r="A297" s="27" t="s">
        <x:v>1049</x:v>
      </x:c>
      <x:c r="B297" s="42" t="s">
        <x:v>1050</x:v>
      </x:c>
      <x:c r="C297" s="43" t="s">
        <x:v>39</x:v>
      </x:c>
      <x:c r="D297" s="42" t="s">
        <x:v>75</x:v>
      </x:c>
      <x:c r="E297" s="42" t="s">
        <x:v>375</x:v>
      </x:c>
      <x:c r="F297" s="43" t="s">
        <x:v>1051</x:v>
      </x:c>
      <x:c r="G297" s="43" t="s">
        <x:v>1052</x:v>
      </x:c>
      <x:c r="H297" s="43" t="s">
        <x:v>1053</x:v>
      </x:c>
      <x:c r="I297" s="43" t="s">
        <x:v>142</x:v>
      </x:c>
      <x:c r="J297" s="43">
        <x:v>2017</x:v>
      </x:c>
      <x:c r="K297" s="43">
        <x:v>15</x:v>
      </x:c>
      <x:c r="L297" s="42">
        <x:v>15</x:v>
      </x:c>
      <x:c r="M297" s="43">
        <x:v>14</x:v>
      </x:c>
      <x:c r="N297" s="43" t="s">
        <x:v>46</x:v>
      </x:c>
      <x:c r="O297" s="43">
        <x:v>2022</x:v>
      </x:c>
      <x:c r="Q297" s="21" t="s">
        <x:v>47</x:v>
      </x:c>
      <x:c r="R297" s="43" t="s">
        <x:v>249</x:v>
      </x:c>
      <x:c r="S297" s="17" t="s">
        <x:v>48</x:v>
      </x:c>
      <x:c r="T297" s="42"/>
      <x:c r="U297" s="42"/>
      <x:c r="V297" s="69">
        <x:v>-2.0940059999999998</x:v>
      </x:c>
      <x:c r="W297" s="42">
        <x:v>106.105633</x:v>
      </x:c>
      <x:c r="X297" s="42"/>
      <x:c r="Y297" s="44"/>
      <x:c r="Z297" s="26" t="s">
        <x:v>50</x:v>
      </x:c>
      <x:c r="AA297" s="39" t="s">
        <x:v>51</x:v>
      </x:c>
      <x:c r="AB297" s="71">
        <x:v>46220</x:v>
      </x:c>
      <x:c r="AC297" s="41" t="s">
        <x:v>52</x:v>
      </x:c>
      <x:c r="AD297" s="45">
        <x:f t="shared" si="20"/>
        <x:v>1</x:v>
      </x:c>
      <x:c r="AE297" s="45">
        <x:f t="shared" si="21"/>
        <x:v>0.93333333333333335</x:v>
      </x:c>
      <x:c r="AF297" s="227"/>
      <x:c r="AG297" s="228"/>
      <x:c r="AH297" s="229"/>
    </x:row>
    <x:row r="298" s="43" customFormat="1" ht="25">
      <x:c r="A298" s="27" t="s">
        <x:v>1054</x:v>
      </x:c>
      <x:c r="B298" s="42" t="s">
        <x:v>1055</x:v>
      </x:c>
      <x:c r="C298" s="43" t="s">
        <x:v>39</x:v>
      </x:c>
      <x:c r="D298" s="42" t="s">
        <x:v>75</x:v>
      </x:c>
      <x:c r="E298" s="42" t="s">
        <x:v>375</x:v>
      </x:c>
      <x:c r="F298" s="43" t="s">
        <x:v>1056</x:v>
      </x:c>
      <x:c r="G298" s="43" t="s">
        <x:v>1057</x:v>
      </x:c>
      <x:c r="H298" s="43" t="s">
        <x:v>1053</x:v>
      </x:c>
      <x:c r="I298" s="43" t="s">
        <x:v>142</x:v>
      </x:c>
      <x:c r="J298" s="43">
        <x:v>2017</x:v>
      </x:c>
      <x:c r="K298" s="43">
        <x:v>40</x:v>
      </x:c>
      <x:c r="L298" s="42">
        <x:v>40</x:v>
      </x:c>
      <x:c r="M298" s="43">
        <x:v>40</x:v>
      </x:c>
      <x:c r="N298" s="43" t="s">
        <x:v>46</x:v>
      </x:c>
      <x:c r="O298" s="43">
        <x:v>2022</x:v>
      </x:c>
      <x:c r="Q298" s="21" t="s">
        <x:v>47</x:v>
      </x:c>
      <x:c r="R298" s="43" t="s">
        <x:v>143</x:v>
      </x:c>
      <x:c r="S298" s="17" t="s">
        <x:v>48</x:v>
      </x:c>
      <x:c r="T298" s="42"/>
      <x:c r="U298" s="42"/>
      <x:c r="V298" s="69">
        <x:v>-2.0972919999999999</x:v>
      </x:c>
      <x:c r="W298" s="42">
        <x:v>106.10591599999999</x:v>
      </x:c>
      <x:c r="X298" s="42"/>
      <x:c r="Y298" s="44"/>
      <x:c r="Z298" s="26" t="s">
        <x:v>50</x:v>
      </x:c>
      <x:c r="AA298" s="39" t="s">
        <x:v>51</x:v>
      </x:c>
      <x:c r="AB298" s="71">
        <x:v>46220</x:v>
      </x:c>
      <x:c r="AC298" s="41" t="s">
        <x:v>52</x:v>
      </x:c>
      <x:c r="AD298" s="45">
        <x:f t="shared" si="20"/>
        <x:v>1</x:v>
      </x:c>
      <x:c r="AE298" s="45">
        <x:f t="shared" si="21"/>
        <x:v>1</x:v>
      </x:c>
      <x:c r="AF298" s="227"/>
      <x:c r="AG298" s="228"/>
      <x:c r="AH298" s="229"/>
    </x:row>
    <x:row r="299" s="43" customFormat="1" ht="25">
      <x:c r="A299" s="27" t="s">
        <x:v>1058</x:v>
      </x:c>
      <x:c r="B299" s="42" t="s">
        <x:v>1059</x:v>
      </x:c>
      <x:c r="C299" s="43" t="s">
        <x:v>39</x:v>
      </x:c>
      <x:c r="D299" s="42" t="s">
        <x:v>75</x:v>
      </x:c>
      <x:c r="E299" s="42" t="s">
        <x:v>375</x:v>
      </x:c>
      <x:c r="F299" s="43" t="s">
        <x:v>1056</x:v>
      </x:c>
      <x:c r="G299" s="43" t="s">
        <x:v>1060</x:v>
      </x:c>
      <x:c r="H299" s="43" t="s">
        <x:v>1053</x:v>
      </x:c>
      <x:c r="I299" s="43" t="s">
        <x:v>142</x:v>
      </x:c>
      <x:c r="J299" s="43">
        <x:v>2017</x:v>
      </x:c>
      <x:c r="K299" s="43">
        <x:v>34</x:v>
      </x:c>
      <x:c r="L299" s="42">
        <x:v>33</x:v>
      </x:c>
      <x:c r="M299" s="43">
        <x:v>32</x:v>
      </x:c>
      <x:c r="N299" s="43" t="s">
        <x:v>46</x:v>
      </x:c>
      <x:c r="O299" s="43">
        <x:v>2022</x:v>
      </x:c>
      <x:c r="Q299" s="21" t="s">
        <x:v>47</x:v>
      </x:c>
      <x:c r="R299" s="43" t="s">
        <x:v>143</x:v>
      </x:c>
      <x:c r="S299" s="17" t="s">
        <x:v>48</x:v>
      </x:c>
      <x:c r="T299" s="42"/>
      <x:c r="U299" s="42"/>
      <x:c r="V299" s="69">
        <x:v>-2.0940059999999998</x:v>
      </x:c>
      <x:c r="W299" s="42">
        <x:v>106.105633</x:v>
      </x:c>
      <x:c r="X299" s="42"/>
      <x:c r="Y299" s="44"/>
      <x:c r="Z299" s="26" t="s">
        <x:v>50</x:v>
      </x:c>
      <x:c r="AA299" s="39" t="s">
        <x:v>51</x:v>
      </x:c>
      <x:c r="AB299" s="71">
        <x:v>46220</x:v>
      </x:c>
      <x:c r="AC299" s="41" t="s">
        <x:v>52</x:v>
      </x:c>
      <x:c r="AD299" s="45">
        <x:f t="shared" si="20"/>
        <x:v>0.97058823529411764</x:v>
      </x:c>
      <x:c r="AE299" s="45">
        <x:f t="shared" si="21"/>
        <x:v>0.96969696969696972</x:v>
      </x:c>
      <x:c r="AF299" s="227"/>
      <x:c r="AG299" s="228"/>
      <x:c r="AH299" s="229"/>
    </x:row>
    <x:row r="300" s="43" customFormat="1" ht="25">
      <x:c r="A300" s="27" t="s">
        <x:v>1061</x:v>
      </x:c>
      <x:c r="B300" s="42" t="s">
        <x:v>1062</x:v>
      </x:c>
      <x:c r="C300" s="43" t="s">
        <x:v>39</x:v>
      </x:c>
      <x:c r="D300" s="42" t="s">
        <x:v>75</x:v>
      </x:c>
      <x:c r="E300" s="42" t="s">
        <x:v>375</x:v>
      </x:c>
      <x:c r="F300" s="43" t="s">
        <x:v>1056</x:v>
      </x:c>
      <x:c r="G300" s="43" t="s">
        <x:v>1060</x:v>
      </x:c>
      <x:c r="H300" s="43" t="s">
        <x:v>1053</x:v>
      </x:c>
      <x:c r="I300" s="43" t="s">
        <x:v>142</x:v>
      </x:c>
      <x:c r="J300" s="43">
        <x:v>2017</x:v>
      </x:c>
      <x:c r="K300" s="43">
        <x:v>50</x:v>
      </x:c>
      <x:c r="L300" s="42">
        <x:v>50</x:v>
      </x:c>
      <x:c r="M300" s="43">
        <x:v>42</x:v>
      </x:c>
      <x:c r="N300" s="43" t="s">
        <x:v>46</x:v>
      </x:c>
      <x:c r="O300" s="43">
        <x:v>2022</x:v>
      </x:c>
      <x:c r="Q300" s="21" t="s">
        <x:v>47</x:v>
      </x:c>
      <x:c r="R300" s="43" t="s">
        <x:v>143</x:v>
      </x:c>
      <x:c r="S300" s="17" t="s">
        <x:v>48</x:v>
      </x:c>
      <x:c r="T300" s="42"/>
      <x:c r="U300" s="42"/>
      <x:c r="V300" s="69">
        <x:v>-2.0929440000000001</x:v>
      </x:c>
      <x:c r="W300" s="42">
        <x:v>106.109611</x:v>
      </x:c>
      <x:c r="X300" s="42"/>
      <x:c r="Y300" s="44"/>
      <x:c r="Z300" s="26" t="s">
        <x:v>50</x:v>
      </x:c>
      <x:c r="AA300" s="39" t="s">
        <x:v>51</x:v>
      </x:c>
      <x:c r="AB300" s="71">
        <x:v>46220</x:v>
      </x:c>
      <x:c r="AC300" s="41" t="s">
        <x:v>52</x:v>
      </x:c>
      <x:c r="AD300" s="45">
        <x:f t="shared" si="20"/>
        <x:v>1</x:v>
      </x:c>
      <x:c r="AE300" s="45">
        <x:f t="shared" si="21"/>
        <x:v>0.84</x:v>
      </x:c>
      <x:c r="AF300" s="227"/>
      <x:c r="AG300" s="228"/>
      <x:c r="AH300" s="229"/>
    </x:row>
    <x:row r="301" s="43" customFormat="1" ht="25">
      <x:c r="A301" s="27" t="s">
        <x:v>1063</x:v>
      </x:c>
      <x:c r="B301" s="42" t="s">
        <x:v>1064</x:v>
      </x:c>
      <x:c r="C301" s="43" t="s">
        <x:v>39</x:v>
      </x:c>
      <x:c r="D301" s="42" t="s">
        <x:v>75</x:v>
      </x:c>
      <x:c r="E301" s="42" t="s">
        <x:v>375</x:v>
      </x:c>
      <x:c r="F301" s="43" t="s">
        <x:v>1065</x:v>
      </x:c>
      <x:c r="G301" s="43" t="s">
        <x:v>1060</x:v>
      </x:c>
      <x:c r="H301" s="43" t="s">
        <x:v>1053</x:v>
      </x:c>
      <x:c r="I301" s="43" t="s">
        <x:v>142</x:v>
      </x:c>
      <x:c r="J301" s="43">
        <x:v>2017</x:v>
      </x:c>
      <x:c r="K301" s="43">
        <x:v>26</x:v>
      </x:c>
      <x:c r="L301" s="42">
        <x:v>26</x:v>
      </x:c>
      <x:c r="M301" s="43">
        <x:v>24</x:v>
      </x:c>
      <x:c r="N301" s="43" t="s">
        <x:v>46</x:v>
      </x:c>
      <x:c r="O301" s="43">
        <x:v>2022</x:v>
      </x:c>
      <x:c r="Q301" s="21" t="s">
        <x:v>47</x:v>
      </x:c>
      <x:c r="R301" s="43" t="s">
        <x:v>249</x:v>
      </x:c>
      <x:c r="S301" s="17" t="s">
        <x:v>48</x:v>
      </x:c>
      <x:c r="T301" s="42"/>
      <x:c r="U301" s="42"/>
      <x:c r="V301" s="69">
        <x:v>-2.0958761250000002</x:v>
      </x:c>
      <x:c r="W301" s="42">
        <x:v>106.113303</x:v>
      </x:c>
      <x:c r="X301" s="42"/>
      <x:c r="Y301" s="44"/>
      <x:c r="Z301" s="26" t="s">
        <x:v>50</x:v>
      </x:c>
      <x:c r="AA301" s="39" t="s">
        <x:v>51</x:v>
      </x:c>
      <x:c r="AB301" s="71">
        <x:v>46220</x:v>
      </x:c>
      <x:c r="AC301" s="41" t="s">
        <x:v>52</x:v>
      </x:c>
      <x:c r="AD301" s="45">
        <x:f t="shared" si="20"/>
        <x:v>1</x:v>
      </x:c>
      <x:c r="AE301" s="45">
        <x:f t="shared" si="21"/>
        <x:v>0.92307692307692313</x:v>
      </x:c>
      <x:c r="AF301" s="227"/>
      <x:c r="AG301" s="228"/>
      <x:c r="AH301" s="229"/>
    </x:row>
    <x:row r="302" s="43" customFormat="1" ht="25">
      <x:c r="A302" s="27" t="s">
        <x:v>1066</x:v>
      </x:c>
      <x:c r="B302" s="42" t="s">
        <x:v>1067</x:v>
      </x:c>
      <x:c r="C302" s="43" t="s">
        <x:v>39</x:v>
      </x:c>
      <x:c r="D302" s="42" t="s">
        <x:v>75</x:v>
      </x:c>
      <x:c r="E302" s="42" t="s">
        <x:v>76</x:v>
      </x:c>
      <x:c r="F302" s="43" t="s">
        <x:v>1068</x:v>
      </x:c>
      <x:c r="G302" s="43" t="s">
        <x:v>1060</x:v>
      </x:c>
      <x:c r="H302" s="43" t="s">
        <x:v>1053</x:v>
      </x:c>
      <x:c r="I302" s="43" t="s">
        <x:v>142</x:v>
      </x:c>
      <x:c r="J302" s="43">
        <x:v>2018</x:v>
      </x:c>
      <x:c r="K302" s="43">
        <x:v>55</x:v>
      </x:c>
      <x:c r="L302" s="42">
        <x:v>55</x:v>
      </x:c>
      <x:c r="M302" s="43">
        <x:v>54</x:v>
      </x:c>
      <x:c r="N302" s="43" t="s">
        <x:v>46</x:v>
      </x:c>
      <x:c r="O302" s="43">
        <x:v>2022</x:v>
      </x:c>
      <x:c r="Q302" s="43" t="s">
        <x:v>89</x:v>
      </x:c>
      <x:c r="R302" s="43" t="s">
        <x:v>249</x:v>
      </x:c>
      <x:c r="S302" s="17" t="s">
        <x:v>48</x:v>
      </x:c>
      <x:c r="T302" s="42"/>
      <x:c r="U302" s="42"/>
      <x:c r="V302" s="69">
        <x:v>-2.1036250000000001</x:v>
      </x:c>
      <x:c r="W302" s="42">
        <x:v>106.104417</x:v>
      </x:c>
      <x:c r="X302" s="42"/>
      <x:c r="Y302" s="44"/>
      <x:c r="Z302" s="26" t="s">
        <x:v>50</x:v>
      </x:c>
      <x:c r="AA302" s="39" t="s">
        <x:v>51</x:v>
      </x:c>
      <x:c r="AB302" s="71">
        <x:v>46220</x:v>
      </x:c>
      <x:c r="AC302" s="41" t="s">
        <x:v>52</x:v>
      </x:c>
      <x:c r="AD302" s="45">
        <x:f t="shared" si="20"/>
        <x:v>1</x:v>
      </x:c>
      <x:c r="AE302" s="45">
        <x:f t="shared" si="21"/>
        <x:v>0.98181818181818181</x:v>
      </x:c>
      <x:c r="AF302" s="227"/>
      <x:c r="AG302" s="228"/>
      <x:c r="AH302" s="229"/>
    </x:row>
    <x:row r="303" s="43" customFormat="1" ht="25">
      <x:c r="A303" s="27" t="s">
        <x:v>1069</x:v>
      </x:c>
      <x:c r="B303" s="42" t="s">
        <x:v>1070</x:v>
      </x:c>
      <x:c r="C303" s="43" t="s">
        <x:v>39</x:v>
      </x:c>
      <x:c r="D303" s="42" t="s">
        <x:v>40</x:v>
      </x:c>
      <x:c r="E303" s="42" t="s">
        <x:v>177</x:v>
      </x:c>
      <x:c r="F303" s="43" t="s">
        <x:v>1071</x:v>
      </x:c>
      <x:c r="G303" s="43" t="s">
        <x:v>1060</x:v>
      </x:c>
      <x:c r="H303" s="43" t="s">
        <x:v>1053</x:v>
      </x:c>
      <x:c r="I303" s="43" t="s">
        <x:v>142</x:v>
      </x:c>
      <x:c r="J303" s="43">
        <x:v>2018</x:v>
      </x:c>
      <x:c r="K303" s="43">
        <x:v>37</x:v>
      </x:c>
      <x:c r="L303" s="42">
        <x:v>37</x:v>
      </x:c>
      <x:c r="M303" s="43">
        <x:v>37</x:v>
      </x:c>
      <x:c r="N303" s="43" t="s">
        <x:v>46</x:v>
      </x:c>
      <x:c r="O303" s="43">
        <x:v>2022</x:v>
      </x:c>
      <x:c r="Q303" s="21" t="s">
        <x:v>47</x:v>
      </x:c>
      <x:c r="R303" s="43" t="s">
        <x:v>143</x:v>
      </x:c>
      <x:c r="S303" s="17" t="s">
        <x:v>48</x:v>
      </x:c>
      <x:c r="T303" s="42"/>
      <x:c r="U303" s="42"/>
      <x:c r="V303" s="69">
        <x:v>-2.1039151</x:v>
      </x:c>
      <x:c r="W303" s="42">
        <x:v>106.0908293</x:v>
      </x:c>
      <x:c r="X303" s="42"/>
      <x:c r="Y303" s="44"/>
      <x:c r="Z303" s="26" t="s">
        <x:v>50</x:v>
      </x:c>
      <x:c r="AA303" s="39" t="s">
        <x:v>51</x:v>
      </x:c>
      <x:c r="AB303" s="71">
        <x:v>46220</x:v>
      </x:c>
      <x:c r="AC303" s="41" t="s">
        <x:v>52</x:v>
      </x:c>
      <x:c r="AD303" s="45">
        <x:f t="shared" si="20"/>
        <x:v>1</x:v>
      </x:c>
      <x:c r="AE303" s="45">
        <x:f t="shared" si="21"/>
        <x:v>1</x:v>
      </x:c>
      <x:c r="AF303" s="227"/>
      <x:c r="AG303" s="228"/>
      <x:c r="AH303" s="229"/>
    </x:row>
    <x:row r="304" s="43" customFormat="1" ht="25">
      <x:c r="A304" s="27" t="s">
        <x:v>1072</x:v>
      </x:c>
      <x:c r="B304" s="42" t="s">
        <x:v>1073</x:v>
      </x:c>
      <x:c r="C304" s="43" t="s">
        <x:v>39</x:v>
      </x:c>
      <x:c r="D304" s="42" t="s">
        <x:v>40</x:v>
      </x:c>
      <x:c r="E304" s="42" t="s">
        <x:v>252</x:v>
      </x:c>
      <x:c r="F304" s="43" t="s">
        <x:v>253</x:v>
      </x:c>
      <x:c r="G304" s="43" t="s">
        <x:v>1060</x:v>
      </x:c>
      <x:c r="H304" s="43" t="s">
        <x:v>1053</x:v>
      </x:c>
      <x:c r="I304" s="43" t="s">
        <x:v>142</x:v>
      </x:c>
      <x:c r="J304" s="43">
        <x:v>2018</x:v>
      </x:c>
      <x:c r="K304" s="43">
        <x:v>20</x:v>
      </x:c>
      <x:c r="L304" s="42">
        <x:v>20</x:v>
      </x:c>
      <x:c r="M304" s="43">
        <x:v>20</x:v>
      </x:c>
      <x:c r="N304" s="43" t="s">
        <x:v>46</x:v>
      </x:c>
      <x:c r="O304" s="43">
        <x:v>2022</x:v>
      </x:c>
      <x:c r="Q304" s="21" t="s">
        <x:v>47</x:v>
      </x:c>
      <x:c r="R304" s="43" t="s">
        <x:v>143</x:v>
      </x:c>
      <x:c r="S304" s="17" t="s">
        <x:v>48</x:v>
      </x:c>
      <x:c r="T304" s="42"/>
      <x:c r="U304" s="42"/>
      <x:c r="V304" s="69">
        <x:v>-2.1048110000000002</x:v>
      </x:c>
      <x:c r="W304" s="42">
        <x:v>106.088823</x:v>
      </x:c>
      <x:c r="X304" s="42"/>
      <x:c r="Y304" s="44"/>
      <x:c r="Z304" s="26" t="s">
        <x:v>50</x:v>
      </x:c>
      <x:c r="AA304" s="39" t="s">
        <x:v>51</x:v>
      </x:c>
      <x:c r="AB304" s="71">
        <x:v>46220</x:v>
      </x:c>
      <x:c r="AC304" s="41" t="s">
        <x:v>52</x:v>
      </x:c>
      <x:c r="AD304" s="45">
        <x:f t="shared" si="20"/>
        <x:v>1</x:v>
      </x:c>
      <x:c r="AE304" s="45">
        <x:f t="shared" si="21"/>
        <x:v>1</x:v>
      </x:c>
      <x:c r="AF304" s="227"/>
      <x:c r="AG304" s="228"/>
      <x:c r="AH304" s="229"/>
    </x:row>
    <x:row r="305" s="43" customFormat="1" ht="25">
      <x:c r="A305" s="27" t="s">
        <x:v>1074</x:v>
      </x:c>
      <x:c r="B305" s="42" t="s">
        <x:v>1075</x:v>
      </x:c>
      <x:c r="C305" s="43" t="s">
        <x:v>39</x:v>
      </x:c>
      <x:c r="D305" s="42" t="s">
        <x:v>75</x:v>
      </x:c>
      <x:c r="E305" s="42" t="s">
        <x:v>76</x:v>
      </x:c>
      <x:c r="F305" s="43" t="s">
        <x:v>1076</x:v>
      </x:c>
      <x:c r="G305" s="43" t="s">
        <x:v>1060</x:v>
      </x:c>
      <x:c r="H305" s="43" t="s">
        <x:v>1053</x:v>
      </x:c>
      <x:c r="I305" s="43" t="s">
        <x:v>142</x:v>
      </x:c>
      <x:c r="J305" s="43">
        <x:v>2018</x:v>
      </x:c>
      <x:c r="K305" s="43">
        <x:v>39</x:v>
      </x:c>
      <x:c r="L305" s="42">
        <x:v>35</x:v>
      </x:c>
      <x:c r="M305" s="43">
        <x:v>34</x:v>
      </x:c>
      <x:c r="N305" s="43" t="s">
        <x:v>46</x:v>
      </x:c>
      <x:c r="O305" s="43">
        <x:v>2022</x:v>
      </x:c>
      <x:c r="Q305" s="43" t="s">
        <x:v>89</x:v>
      </x:c>
      <x:c r="R305" s="43" t="s">
        <x:v>68</x:v>
      </x:c>
      <x:c r="S305" s="17" t="s">
        <x:v>48</x:v>
      </x:c>
      <x:c r="T305" s="42"/>
      <x:c r="U305" s="42"/>
      <x:c r="V305" s="69">
        <x:v>-2.1032679999999999</x:v>
      </x:c>
      <x:c r="W305" s="42">
        <x:v>106.102847</x:v>
      </x:c>
      <x:c r="X305" s="42"/>
      <x:c r="Y305" s="44"/>
      <x:c r="Z305" s="26" t="s">
        <x:v>50</x:v>
      </x:c>
      <x:c r="AA305" s="39" t="s">
        <x:v>51</x:v>
      </x:c>
      <x:c r="AB305" s="71">
        <x:v>46220</x:v>
      </x:c>
      <x:c r="AC305" s="41" t="s">
        <x:v>52</x:v>
      </x:c>
      <x:c r="AD305" s="45">
        <x:f t="shared" si="20"/>
        <x:v>0.89743589743589747</x:v>
      </x:c>
      <x:c r="AE305" s="45">
        <x:f t="shared" si="21"/>
        <x:v>0.97142857142857142</x:v>
      </x:c>
      <x:c r="AF305" s="227"/>
      <x:c r="AG305" s="228"/>
      <x:c r="AH305" s="229"/>
    </x:row>
    <x:row r="306" s="43" customFormat="1" ht="25">
      <x:c r="A306" s="27" t="s">
        <x:v>1077</x:v>
      </x:c>
      <x:c r="B306" s="42" t="s">
        <x:v>1078</x:v>
      </x:c>
      <x:c r="C306" s="43" t="s">
        <x:v>39</x:v>
      </x:c>
      <x:c r="D306" s="42" t="s">
        <x:v>40</x:v>
      </x:c>
      <x:c r="E306" s="42" t="s">
        <x:v>55</x:v>
      </x:c>
      <x:c r="F306" s="43" t="s">
        <x:v>61</x:v>
      </x:c>
      <x:c r="G306" s="43" t="s">
        <x:v>1060</x:v>
      </x:c>
      <x:c r="H306" s="43" t="s">
        <x:v>1053</x:v>
      </x:c>
      <x:c r="I306" s="43" t="s">
        <x:v>142</x:v>
      </x:c>
      <x:c r="J306" s="43">
        <x:v>2018</x:v>
      </x:c>
      <x:c r="K306" s="43">
        <x:v>35</x:v>
      </x:c>
      <x:c r="L306" s="42">
        <x:v>35</x:v>
      </x:c>
      <x:c r="M306" s="43">
        <x:v>35</x:v>
      </x:c>
      <x:c r="N306" s="43" t="s">
        <x:v>64</x:v>
      </x:c>
      <x:c r="Q306" s="21" t="s">
        <x:v>47</x:v>
      </x:c>
      <x:c r="S306" s="17" t="s">
        <x:v>48</x:v>
      </x:c>
      <x:c r="T306" s="42"/>
      <x:c r="U306" s="42"/>
      <x:c r="V306" s="69">
        <x:v>-2.1212407999999998</x:v>
      </x:c>
      <x:c r="W306" s="42">
        <x:v>106.07339570000001</x:v>
      </x:c>
      <x:c r="X306" s="42"/>
      <x:c r="Y306" s="44"/>
      <x:c r="Z306" s="26" t="s">
        <x:v>50</x:v>
      </x:c>
      <x:c r="AA306" s="39" t="s">
        <x:v>51</x:v>
      </x:c>
      <x:c r="AB306" s="71">
        <x:v>46220</x:v>
      </x:c>
      <x:c r="AC306" s="41" t="s">
        <x:v>52</x:v>
      </x:c>
      <x:c r="AD306" s="45">
        <x:f t="shared" si="20"/>
        <x:v>1</x:v>
      </x:c>
      <x:c r="AE306" s="45">
        <x:f t="shared" si="21"/>
        <x:v>1</x:v>
      </x:c>
      <x:c r="AF306" s="227"/>
      <x:c r="AG306" s="228"/>
      <x:c r="AH306" s="229"/>
    </x:row>
    <x:row r="307" s="43" customFormat="1" ht="25">
      <x:c r="A307" s="27" t="s">
        <x:v>1079</x:v>
      </x:c>
      <x:c r="B307" s="42" t="s">
        <x:v>1080</x:v>
      </x:c>
      <x:c r="C307" s="43" t="s">
        <x:v>39</x:v>
      </x:c>
      <x:c r="D307" s="42" t="s">
        <x:v>75</x:v>
      </x:c>
      <x:c r="E307" s="42" t="s">
        <x:v>87</x:v>
      </x:c>
      <x:c r="F307" s="43" t="s">
        <x:v>704</x:v>
      </x:c>
      <x:c r="G307" s="43" t="s">
        <x:v>1060</x:v>
      </x:c>
      <x:c r="H307" s="43" t="s">
        <x:v>1053</x:v>
      </x:c>
      <x:c r="I307" s="43" t="s">
        <x:v>142</x:v>
      </x:c>
      <x:c r="J307" s="43">
        <x:v>2019</x:v>
      </x:c>
      <x:c r="K307" s="43">
        <x:v>39</x:v>
      </x:c>
      <x:c r="L307" s="42">
        <x:v>39</x:v>
      </x:c>
      <x:c r="M307" s="43">
        <x:v>31</x:v>
      </x:c>
      <x:c r="N307" s="43" t="s">
        <x:v>64</x:v>
      </x:c>
      <x:c r="Q307" s="21" t="s">
        <x:v>47</x:v>
      </x:c>
      <x:c r="R307" s="21" t="s">
        <x:v>110</x:v>
      </x:c>
      <x:c r="S307" s="17" t="s">
        <x:v>48</x:v>
      </x:c>
      <x:c r="T307" s="42"/>
      <x:c r="U307" s="42"/>
      <x:c r="V307" s="69">
        <x:v>-2.0921159999999999</x:v>
      </x:c>
      <x:c r="W307" s="42">
        <x:v>106.092775</x:v>
      </x:c>
      <x:c r="X307" s="42"/>
      <x:c r="Y307" s="44"/>
      <x:c r="Z307" s="26" t="s">
        <x:v>50</x:v>
      </x:c>
      <x:c r="AA307" s="39" t="s">
        <x:v>51</x:v>
      </x:c>
      <x:c r="AB307" s="71">
        <x:v>46220</x:v>
      </x:c>
      <x:c r="AC307" s="41" t="s">
        <x:v>52</x:v>
      </x:c>
      <x:c r="AD307" s="45">
        <x:f t="shared" si="20"/>
        <x:v>1</x:v>
      </x:c>
      <x:c r="AE307" s="45">
        <x:f t="shared" si="21"/>
        <x:v>0.79487179487179482</x:v>
      </x:c>
      <x:c r="AF307" s="227"/>
      <x:c r="AG307" s="228"/>
      <x:c r="AH307" s="229"/>
    </x:row>
    <x:row r="308" s="43" customFormat="1" ht="25">
      <x:c r="A308" s="27" t="s">
        <x:v>1081</x:v>
      </x:c>
      <x:c r="B308" s="42" t="s">
        <x:v>1082</x:v>
      </x:c>
      <x:c r="C308" s="43" t="s">
        <x:v>39</x:v>
      </x:c>
      <x:c r="D308" s="42" t="s">
        <x:v>40</x:v>
      </x:c>
      <x:c r="E308" s="42" t="s">
        <x:v>41</x:v>
      </x:c>
      <x:c r="F308" s="43" t="s">
        <x:v>1083</x:v>
      </x:c>
      <x:c r="G308" s="43" t="s">
        <x:v>1060</x:v>
      </x:c>
      <x:c r="H308" s="43" t="s">
        <x:v>1053</x:v>
      </x:c>
      <x:c r="I308" s="43" t="s">
        <x:v>142</x:v>
      </x:c>
      <x:c r="J308" s="43">
        <x:v>2019</x:v>
      </x:c>
      <x:c r="K308" s="43">
        <x:v>39</x:v>
      </x:c>
      <x:c r="L308" s="42">
        <x:v>36</x:v>
      </x:c>
      <x:c r="M308" s="43">
        <x:v>36</x:v>
      </x:c>
      <x:c r="N308" s="43" t="s">
        <x:v>64</x:v>
      </x:c>
      <x:c r="Q308" s="21" t="s">
        <x:v>47</x:v>
      </x:c>
      <x:c r="S308" s="17" t="s">
        <x:v>48</x:v>
      </x:c>
      <x:c r="T308" s="42"/>
      <x:c r="U308" s="42"/>
      <x:c r="V308" s="69">
        <x:v>-2.109334</x:v>
      </x:c>
      <x:c r="W308" s="42">
        <x:v>106.08140899999999</x:v>
      </x:c>
      <x:c r="X308" s="42"/>
      <x:c r="Y308" s="44"/>
      <x:c r="Z308" s="26" t="s">
        <x:v>50</x:v>
      </x:c>
      <x:c r="AA308" s="39" t="s">
        <x:v>51</x:v>
      </x:c>
      <x:c r="AB308" s="71">
        <x:v>46220</x:v>
      </x:c>
      <x:c r="AC308" s="41" t="s">
        <x:v>52</x:v>
      </x:c>
      <x:c r="AD308" s="45">
        <x:f t="shared" si="20"/>
        <x:v>0.92307692307692313</x:v>
      </x:c>
      <x:c r="AE308" s="45">
        <x:f t="shared" si="21"/>
        <x:v>1</x:v>
      </x:c>
      <x:c r="AF308" s="227"/>
      <x:c r="AG308" s="228"/>
      <x:c r="AH308" s="229"/>
    </x:row>
    <x:row r="309" s="43" customFormat="1" ht="25">
      <x:c r="A309" s="27" t="s">
        <x:v>1084</x:v>
      </x:c>
      <x:c r="B309" s="42" t="s">
        <x:v>1085</x:v>
      </x:c>
      <x:c r="C309" s="43" t="s">
        <x:v>39</x:v>
      </x:c>
      <x:c r="D309" s="42" t="s">
        <x:v>75</x:v>
      </x:c>
      <x:c r="E309" s="42" t="s">
        <x:v>87</x:v>
      </x:c>
      <x:c r="F309" s="43" t="s">
        <x:v>92</x:v>
      </x:c>
      <x:c r="G309" s="43" t="s">
        <x:v>1060</x:v>
      </x:c>
      <x:c r="H309" s="43" t="s">
        <x:v>756</x:v>
      </x:c>
      <x:c r="I309" s="43" t="s">
        <x:v>142</x:v>
      </x:c>
      <x:c r="J309" s="43">
        <x:v>2021</x:v>
      </x:c>
      <x:c r="K309" s="43">
        <x:v>34</x:v>
      </x:c>
      <x:c r="L309" s="42">
        <x:v>34</x:v>
      </x:c>
      <x:c r="M309" s="43">
        <x:v>34</x:v>
      </x:c>
      <x:c r="N309" s="43" t="s">
        <x:v>64</x:v>
      </x:c>
      <x:c r="Q309" s="21" t="s">
        <x:v>47</x:v>
      </x:c>
      <x:c r="R309" s="21" t="s">
        <x:v>110</x:v>
      </x:c>
      <x:c r="S309" s="17" t="s">
        <x:v>48</x:v>
      </x:c>
      <x:c r="T309" s="42"/>
      <x:c r="U309" s="42"/>
      <x:c r="V309" s="69"/>
      <x:c r="W309" s="42"/>
      <x:c r="X309" s="42"/>
      <x:c r="Y309" s="44"/>
      <x:c r="Z309" s="26" t="s">
        <x:v>50</x:v>
      </x:c>
      <x:c r="AA309" s="39" t="s">
        <x:v>51</x:v>
      </x:c>
      <x:c r="AB309" s="71">
        <x:v>46220</x:v>
      </x:c>
      <x:c r="AC309" s="41" t="s">
        <x:v>52</x:v>
      </x:c>
      <x:c r="AD309" s="45" t="n">
        <x:f t="shared" ref="AD309:AD340" si="22">IF(A309="","",IFERROR(L309/K309,0))</x:f>
        <x:v>1</x:v>
      </x:c>
      <x:c r="AE309" s="45" t="n">
        <x:f t="shared" ref="AE309:AE340" si="23">IF(A309="","",IFERROR(M309/L309,0))</x:f>
        <x:v>1</x:v>
      </x:c>
      <x:c r="AF309" s="227"/>
      <x:c r="AG309" s="228"/>
      <x:c r="AH309" s="229"/>
    </x:row>
    <x:row r="310" s="43" customFormat="1" ht="25">
      <x:c r="A310" s="27" t="s">
        <x:v>1086</x:v>
      </x:c>
      <x:c r="B310" s="42" t="s">
        <x:v>1087</x:v>
      </x:c>
      <x:c r="C310" s="43" t="s">
        <x:v>39</x:v>
      </x:c>
      <x:c r="D310" s="42" t="s">
        <x:v>40</x:v>
      </x:c>
      <x:c r="E310" s="42" t="s">
        <x:v>41</x:v>
      </x:c>
      <x:c r="F310" s="43" t="s">
        <x:v>1083</x:v>
      </x:c>
      <x:c r="G310" s="43" t="s">
        <x:v>1060</x:v>
      </x:c>
      <x:c r="H310" s="43" t="s">
        <x:v>1088</x:v>
      </x:c>
      <x:c r="I310" s="43" t="s">
        <x:v>142</x:v>
      </x:c>
      <x:c r="J310" s="43">
        <x:v>2022</x:v>
      </x:c>
      <x:c r="K310" s="43">
        <x:v>58</x:v>
      </x:c>
      <x:c r="L310" s="42">
        <x:v>58</x:v>
      </x:c>
      <x:c r="M310" s="43">
        <x:v>0</x:v>
      </x:c>
      <x:c r="N310" s="43" t="s">
        <x:v>64</x:v>
      </x:c>
      <x:c r="Q310" s="21" t="s">
        <x:v>47</x:v>
      </x:c>
      <x:c r="R310" s="43" t="s">
        <x:v>110</x:v>
      </x:c>
      <x:c r="S310" s="17" t="s">
        <x:v>48</x:v>
      </x:c>
      <x:c r="T310" s="42"/>
      <x:c r="U310" s="42"/>
      <x:c r="V310" s="69">
        <x:v>-2.1086290000000001</x:v>
      </x:c>
      <x:c r="W310" s="42">
        <x:v>106.080664</x:v>
      </x:c>
      <x:c r="X310" s="42"/>
      <x:c r="Y310" s="44"/>
      <x:c r="Z310" s="26" t="s">
        <x:v>50</x:v>
      </x:c>
      <x:c r="AA310" s="39" t="s">
        <x:v>51</x:v>
      </x:c>
      <x:c r="AB310" s="71">
        <x:v>46220</x:v>
      </x:c>
      <x:c r="AC310" s="41" t="s">
        <x:v>52</x:v>
      </x:c>
      <x:c r="AD310" s="45">
        <x:f t="shared" si="22"/>
        <x:v>1</x:v>
      </x:c>
      <x:c r="AE310" s="45">
        <x:f t="shared" si="23"/>
        <x:v>0</x:v>
      </x:c>
      <x:c r="AF310" s="227"/>
      <x:c r="AG310" s="228"/>
      <x:c r="AH310" s="229"/>
    </x:row>
    <x:row r="311" s="43" customFormat="1" ht="25">
      <x:c r="A311" s="27" t="s">
        <x:v>1089</x:v>
      </x:c>
      <x:c r="B311" s="42" t="s">
        <x:v>1090</x:v>
      </x:c>
      <x:c r="C311" s="43" t="s">
        <x:v>39</x:v>
      </x:c>
      <x:c r="D311" s="42" t="s">
        <x:v>75</x:v>
      </x:c>
      <x:c r="E311" s="42" t="s">
        <x:v>76</x:v>
      </x:c>
      <x:c r="F311" s="43" t="s">
        <x:v>1091</x:v>
      </x:c>
      <x:c r="G311" s="43" t="s">
        <x:v>1060</x:v>
      </x:c>
      <x:c r="H311" s="43" t="s">
        <x:v>756</x:v>
      </x:c>
      <x:c r="I311" s="43" t="s">
        <x:v>142</x:v>
      </x:c>
      <x:c r="J311" s="43">
        <x:v>2022</x:v>
      </x:c>
      <x:c r="K311" s="43">
        <x:v>36</x:v>
      </x:c>
      <x:c r="L311" s="42">
        <x:v>33</x:v>
      </x:c>
      <x:c r="M311" s="43">
        <x:v>33</x:v>
      </x:c>
      <x:c r="N311" s="43" t="s">
        <x:v>64</x:v>
      </x:c>
      <x:c r="Q311" s="21" t="s">
        <x:v>47</x:v>
      </x:c>
      <x:c r="S311" s="17" t="s">
        <x:v>48</x:v>
      </x:c>
      <x:c r="T311" s="42"/>
      <x:c r="U311" s="42"/>
      <x:c r="V311" s="69">
        <x:v>-2.1061350000000001</x:v>
      </x:c>
      <x:c r="W311" s="42">
        <x:v>106.102529</x:v>
      </x:c>
      <x:c r="X311" s="42"/>
      <x:c r="Y311" s="44"/>
      <x:c r="Z311" s="26" t="s">
        <x:v>50</x:v>
      </x:c>
      <x:c r="AA311" s="39" t="s">
        <x:v>51</x:v>
      </x:c>
      <x:c r="AB311" s="71">
        <x:v>46220</x:v>
      </x:c>
      <x:c r="AC311" s="41" t="s">
        <x:v>52</x:v>
      </x:c>
      <x:c r="AD311" s="45">
        <x:f t="shared" si="22"/>
        <x:v>0.91666666666666663</x:v>
      </x:c>
      <x:c r="AE311" s="45">
        <x:f t="shared" si="23"/>
        <x:v>1</x:v>
      </x:c>
      <x:c r="AF311" s="227"/>
      <x:c r="AG311" s="228"/>
      <x:c r="AH311" s="229"/>
    </x:row>
    <x:row r="312" s="43" customFormat="1" ht="25">
      <x:c r="A312" s="27" t="s">
        <x:v>1092</x:v>
      </x:c>
      <x:c r="B312" s="42" t="s">
        <x:v>1093</x:v>
      </x:c>
      <x:c r="C312" s="43" t="s">
        <x:v>39</x:v>
      </x:c>
      <x:c r="D312" s="42" t="s">
        <x:v>40</x:v>
      </x:c>
      <x:c r="E312" s="42" t="s">
        <x:v>41</x:v>
      </x:c>
      <x:c r="F312" s="43" t="s">
        <x:v>132</x:v>
      </x:c>
      <x:c r="G312" s="43" t="s">
        <x:v>1060</x:v>
      </x:c>
      <x:c r="H312" s="43" t="s">
        <x:v>1088</x:v>
      </x:c>
      <x:c r="I312" s="43" t="s">
        <x:v>142</x:v>
      </x:c>
      <x:c r="J312" s="43">
        <x:v>2023</x:v>
      </x:c>
      <x:c r="K312" s="43">
        <x:v>35</x:v>
      </x:c>
      <x:c r="L312" s="42">
        <x:v>29</x:v>
      </x:c>
      <x:c r="M312" s="43">
        <x:v>21</x:v>
      </x:c>
      <x:c r="N312" s="43" t="s">
        <x:v>64</x:v>
      </x:c>
      <x:c r="Q312" s="21" t="s">
        <x:v>47</x:v>
      </x:c>
      <x:c r="R312" s="21" t="s">
        <x:v>110</x:v>
      </x:c>
      <x:c r="S312" s="17" t="s">
        <x:v>48</x:v>
      </x:c>
      <x:c r="T312" s="42"/>
      <x:c r="U312" s="42"/>
      <x:c r="V312" s="69">
        <x:v>-2.1097893000000001</x:v>
      </x:c>
      <x:c r="W312" s="42">
        <x:v>106.0797096</x:v>
      </x:c>
      <x:c r="X312" s="42"/>
      <x:c r="Y312" s="44"/>
      <x:c r="Z312" s="26" t="s">
        <x:v>50</x:v>
      </x:c>
      <x:c r="AA312" s="39" t="s">
        <x:v>51</x:v>
      </x:c>
      <x:c r="AB312" s="71">
        <x:v>46220</x:v>
      </x:c>
      <x:c r="AC312" s="41" t="s">
        <x:v>52</x:v>
      </x:c>
      <x:c r="AD312" s="45">
        <x:f t="shared" si="22"/>
        <x:v>0.82857142857142863</x:v>
      </x:c>
      <x:c r="AE312" s="45">
        <x:f t="shared" si="23"/>
        <x:v>0.72413793103448276</x:v>
      </x:c>
      <x:c r="AF312" s="227"/>
      <x:c r="AG312" s="228"/>
      <x:c r="AH312" s="229"/>
    </x:row>
    <x:row r="313" s="43" customFormat="1" ht="25">
      <x:c r="A313" s="27" t="s">
        <x:v>1094</x:v>
      </x:c>
      <x:c r="B313" s="42" t="s">
        <x:v>1095</x:v>
      </x:c>
      <x:c r="C313" s="43" t="s">
        <x:v>39</x:v>
      </x:c>
      <x:c r="D313" s="42" t="s">
        <x:v>75</x:v>
      </x:c>
      <x:c r="E313" s="42" t="s">
        <x:v>75</x:v>
      </x:c>
      <x:c r="F313" s="43" t="s">
        <x:v>1096</x:v>
      </x:c>
      <x:c r="G313" s="43" t="s">
        <x:v>1060</x:v>
      </x:c>
      <x:c r="H313" s="43" t="s">
        <x:v>1088</x:v>
      </x:c>
      <x:c r="I313" s="43" t="s">
        <x:v>142</x:v>
      </x:c>
      <x:c r="J313" s="43">
        <x:v>2024</x:v>
      </x:c>
      <x:c r="K313" s="43">
        <x:v>62</x:v>
      </x:c>
      <x:c r="L313" s="42">
        <x:v>0</x:v>
      </x:c>
      <x:c r="M313" s="43">
        <x:v>0</x:v>
      </x:c>
      <x:c r="N313" s="43" t="s">
        <x:v>64</x:v>
      </x:c>
      <x:c r="Q313" s="21" t="s">
        <x:v>47</x:v>
      </x:c>
      <x:c r="R313" s="43" t="s">
        <x:v>110</x:v>
      </x:c>
      <x:c r="S313" s="17" t="s">
        <x:v>48</x:v>
      </x:c>
      <x:c r="T313" s="42"/>
      <x:c r="U313" s="42"/>
      <x:c r="V313" s="69">
        <x:v>-2.10541</x:v>
      </x:c>
      <x:c r="W313" s="42">
        <x:v>106.107096</x:v>
      </x:c>
      <x:c r="X313" s="42"/>
      <x:c r="Y313" s="44"/>
      <x:c r="Z313" s="26" t="s">
        <x:v>50</x:v>
      </x:c>
      <x:c r="AA313" s="39" t="s">
        <x:v>51</x:v>
      </x:c>
      <x:c r="AB313" s="71">
        <x:v>46220</x:v>
      </x:c>
      <x:c r="AC313" s="41" t="s">
        <x:v>52</x:v>
      </x:c>
      <x:c r="AD313" s="45">
        <x:f t="shared" si="22"/>
        <x:v>0</x:v>
      </x:c>
      <x:c r="AE313" s="45">
        <x:f t="shared" si="23"/>
        <x:v>0</x:v>
      </x:c>
      <x:c r="AF313" s="227"/>
      <x:c r="AG313" s="228"/>
      <x:c r="AH313" s="229"/>
    </x:row>
    <x:row r="314" s="43" customFormat="1" ht="25">
      <x:c r="A314" s="27" t="s">
        <x:v>1097</x:v>
      </x:c>
      <x:c r="B314" s="42" t="s">
        <x:v>1098</x:v>
      </x:c>
      <x:c r="C314" s="43" t="s">
        <x:v>39</x:v>
      </x:c>
      <x:c r="D314" s="42" t="s">
        <x:v>40</x:v>
      </x:c>
      <x:c r="E314" s="42" t="s">
        <x:v>177</x:v>
      </x:c>
      <x:c r="F314" s="43" t="s">
        <x:v>77</x:v>
      </x:c>
      <x:c r="G314" s="43" t="s">
        <x:v>1060</x:v>
      </x:c>
      <x:c r="H314" s="43" t="s">
        <x:v>756</x:v>
      </x:c>
      <x:c r="I314" s="43" t="s">
        <x:v>142</x:v>
      </x:c>
      <x:c r="J314" s="43">
        <x:v>2019</x:v>
      </x:c>
      <x:c r="K314" s="43">
        <x:v>115</x:v>
      </x:c>
      <x:c r="L314" s="42">
        <x:v>115</x:v>
      </x:c>
      <x:c r="M314" s="43">
        <x:v>115</x:v>
      </x:c>
      <x:c r="N314" s="43" t="s">
        <x:v>64</x:v>
      </x:c>
      <x:c r="Q314" s="21" t="s">
        <x:v>47</x:v>
      </x:c>
      <x:c r="S314" s="17" t="s">
        <x:v>48</x:v>
      </x:c>
      <x:c r="T314" s="42"/>
      <x:c r="U314" s="42"/>
      <x:c r="V314" s="69">
        <x:v>-2.1040869999999998</x:v>
      </x:c>
      <x:c r="W314" s="42">
        <x:v>106.09254199999999</x:v>
      </x:c>
      <x:c r="X314" s="42"/>
      <x:c r="Y314" s="44"/>
      <x:c r="Z314" s="26" t="s">
        <x:v>50</x:v>
      </x:c>
      <x:c r="AA314" s="39" t="s">
        <x:v>51</x:v>
      </x:c>
      <x:c r="AB314" s="71">
        <x:v>46220</x:v>
      </x:c>
      <x:c r="AC314" s="41" t="s">
        <x:v>52</x:v>
      </x:c>
      <x:c r="AD314" s="45">
        <x:f t="shared" si="22"/>
        <x:v>1</x:v>
      </x:c>
      <x:c r="AE314" s="45">
        <x:f t="shared" si="23"/>
        <x:v>1</x:v>
      </x:c>
      <x:c r="AF314" s="227"/>
      <x:c r="AG314" s="228"/>
      <x:c r="AH314" s="229"/>
    </x:row>
    <x:row r="315" s="43" customFormat="1" ht="25">
      <x:c r="A315" s="27" t="s">
        <x:v>1099</x:v>
      </x:c>
      <x:c r="B315" s="42" t="s">
        <x:v>1100</x:v>
      </x:c>
      <x:c r="C315" s="43" t="s">
        <x:v>39</x:v>
      </x:c>
      <x:c r="D315" s="42" t="s">
        <x:v>40</x:v>
      </x:c>
      <x:c r="E315" s="42" t="s">
        <x:v>177</x:v>
      </x:c>
      <x:c r="F315" s="43" t="s">
        <x:v>77</x:v>
      </x:c>
      <x:c r="G315" s="43" t="s">
        <x:v>1060</x:v>
      </x:c>
      <x:c r="H315" s="43" t="s">
        <x:v>756</x:v>
      </x:c>
      <x:c r="I315" s="43" t="s">
        <x:v>142</x:v>
      </x:c>
      <x:c r="J315" s="43">
        <x:v>2019</x:v>
      </x:c>
      <x:c r="K315" s="43">
        <x:v>83</x:v>
      </x:c>
      <x:c r="L315" s="42">
        <x:v>78</x:v>
      </x:c>
      <x:c r="M315" s="43">
        <x:v>78</x:v>
      </x:c>
      <x:c r="N315" s="43" t="s">
        <x:v>64</x:v>
      </x:c>
      <x:c r="Q315" s="21" t="s">
        <x:v>47</x:v>
      </x:c>
      <x:c r="S315" s="17" t="s">
        <x:v>48</x:v>
      </x:c>
      <x:c r="T315" s="42"/>
      <x:c r="U315" s="42"/>
      <x:c r="V315" s="69">
        <x:v>-2.1046480000000001</x:v>
      </x:c>
      <x:c r="W315" s="42">
        <x:v>106.093439</x:v>
      </x:c>
      <x:c r="X315" s="42"/>
      <x:c r="Y315" s="44"/>
      <x:c r="Z315" s="26" t="s">
        <x:v>50</x:v>
      </x:c>
      <x:c r="AA315" s="39" t="s">
        <x:v>51</x:v>
      </x:c>
      <x:c r="AB315" s="71">
        <x:v>46220</x:v>
      </x:c>
      <x:c r="AC315" s="41" t="s">
        <x:v>52</x:v>
      </x:c>
      <x:c r="AD315" s="45">
        <x:f t="shared" si="22"/>
        <x:v>0.93975903614457834</x:v>
      </x:c>
      <x:c r="AE315" s="45">
        <x:f t="shared" si="23"/>
        <x:v>1</x:v>
      </x:c>
      <x:c r="AF315" s="227"/>
      <x:c r="AG315" s="228"/>
      <x:c r="AH315" s="229"/>
    </x:row>
    <x:row r="316" s="43" customFormat="1" ht="25">
      <x:c r="A316" s="27" t="s">
        <x:v>1101</x:v>
      </x:c>
      <x:c r="B316" s="42" t="s">
        <x:v>1102</x:v>
      </x:c>
      <x:c r="C316" s="43" t="s">
        <x:v>226</x:v>
      </x:c>
      <x:c r="D316" s="42" t="s">
        <x:v>102</x:v>
      </x:c>
      <x:c r="E316" s="42" t="s">
        <x:v>277</x:v>
      </x:c>
      <x:c r="F316" s="43" t="s">
        <x:v>1103</x:v>
      </x:c>
      <x:c r="G316" s="43" t="s">
        <x:v>62</x:v>
      </x:c>
      <x:c r="H316" s="43" t="s">
        <x:v>62</x:v>
      </x:c>
      <x:c r="I316" s="43" t="s">
        <x:v>62</x:v>
      </x:c>
      <x:c r="K316" s="43">
        <x:v>90</x:v>
      </x:c>
      <x:c r="L316" s="42">
        <x:v>0</x:v>
      </x:c>
      <x:c r="M316" s="43">
        <x:v>0</x:v>
      </x:c>
      <x:c r="N316" s="43" t="s">
        <x:v>64</x:v>
      </x:c>
      <x:c r="Q316" s="43" t="s">
        <x:v>89</x:v>
      </x:c>
      <x:c r="S316" s="42"/>
      <x:c r="T316" s="42"/>
      <x:c r="U316" s="42"/>
      <x:c r="V316" s="69"/>
      <x:c r="W316" s="42"/>
      <x:c r="X316" s="42"/>
      <x:c r="Y316" s="44"/>
      <x:c r="Z316" s="26" t="s">
        <x:v>50</x:v>
      </x:c>
      <x:c r="AA316" s="39" t="s">
        <x:v>51</x:v>
      </x:c>
      <x:c r="AB316" s="71">
        <x:v>46220</x:v>
      </x:c>
      <x:c r="AC316" s="41" t="s">
        <x:v>52</x:v>
      </x:c>
      <x:c r="AD316" s="45">
        <x:f t="shared" si="22"/>
        <x:v>0</x:v>
      </x:c>
      <x:c r="AE316" s="45">
        <x:f t="shared" si="23"/>
        <x:v>0</x:v>
      </x:c>
      <x:c r="AF316" s="227"/>
      <x:c r="AG316" s="228"/>
      <x:c r="AH316" s="229"/>
    </x:row>
    <x:row r="317" s="43" customFormat="1" ht="25">
      <x:c r="A317" s="27" t="s">
        <x:v>1104</x:v>
      </x:c>
      <x:c r="B317" s="42" t="s">
        <x:v>1105</x:v>
      </x:c>
      <x:c r="C317" s="43" t="s">
        <x:v>39</x:v>
      </x:c>
      <x:c r="D317" s="42" t="s">
        <x:v>40</x:v>
      </x:c>
      <x:c r="E317" s="42" t="s">
        <x:v>41</x:v>
      </x:c>
      <x:c r="F317" s="43" t="s">
        <x:v>565</x:v>
      </x:c>
      <x:c r="G317" s="43" t="s">
        <x:v>1106</x:v>
      </x:c>
      <x:c r="H317" s="43" t="s">
        <x:v>1107</x:v>
      </x:c>
      <x:c r="I317" s="43" t="s">
        <x:v>107</x:v>
      </x:c>
      <x:c r="J317" s="43">
        <x:v>2015</x:v>
      </x:c>
      <x:c r="K317" s="43">
        <x:v>75</x:v>
      </x:c>
      <x:c r="L317" s="42">
        <x:v>43</x:v>
      </x:c>
      <x:c r="M317" s="43">
        <x:v>43</x:v>
      </x:c>
      <x:c r="N317" s="43" t="s">
        <x:v>64</x:v>
      </x:c>
      <x:c r="Q317" s="21" t="s">
        <x:v>47</x:v>
      </x:c>
      <x:c r="R317" s="21" t="s">
        <x:v>110</x:v>
      </x:c>
      <x:c r="S317" s="42"/>
      <x:c r="T317" s="42"/>
      <x:c r="U317" s="42"/>
      <x:c r="V317" s="69"/>
      <x:c r="W317" s="42"/>
      <x:c r="X317" s="42"/>
      <x:c r="Y317" s="44"/>
      <x:c r="Z317" s="26" t="s">
        <x:v>50</x:v>
      </x:c>
      <x:c r="AA317" s="39" t="s">
        <x:v>51</x:v>
      </x:c>
      <x:c r="AB317" s="71">
        <x:v>46220</x:v>
      </x:c>
      <x:c r="AC317" s="41" t="s">
        <x:v>52</x:v>
      </x:c>
      <x:c r="AD317" s="45">
        <x:f t="shared" si="22"/>
        <x:v>0.57333333333333336</x:v>
      </x:c>
      <x:c r="AE317" s="45">
        <x:f t="shared" si="23"/>
        <x:v>1</x:v>
      </x:c>
      <x:c r="AF317" s="227"/>
      <x:c r="AG317" s="228"/>
      <x:c r="AH317" s="229"/>
    </x:row>
    <x:row r="318" s="43" customFormat="1" ht="25">
      <x:c r="A318" s="27" t="s">
        <x:v>1108</x:v>
      </x:c>
      <x:c r="B318" s="42" t="s">
        <x:v>1109</x:v>
      </x:c>
      <x:c r="C318" s="43" t="s">
        <x:v>39</x:v>
      </x:c>
      <x:c r="D318" s="42" t="s">
        <x:v>40</x:v>
      </x:c>
      <x:c r="E318" s="42" t="s">
        <x:v>252</x:v>
      </x:c>
      <x:c r="F318" s="43" t="s">
        <x:v>253</x:v>
      </x:c>
      <x:c r="G318" s="43" t="s">
        <x:v>1106</x:v>
      </x:c>
      <x:c r="H318" s="43" t="s">
        <x:v>1107</x:v>
      </x:c>
      <x:c r="I318" s="43" t="s">
        <x:v>107</x:v>
      </x:c>
      <x:c r="J318" s="43">
        <x:v>2018</x:v>
      </x:c>
      <x:c r="K318" s="43">
        <x:v>45</x:v>
      </x:c>
      <x:c r="L318" s="42">
        <x:v>43</x:v>
      </x:c>
      <x:c r="M318" s="43">
        <x:v>43</x:v>
      </x:c>
      <x:c r="N318" s="43" t="s">
        <x:v>64</x:v>
      </x:c>
      <x:c r="Q318" s="21" t="s">
        <x:v>47</x:v>
      </x:c>
      <x:c r="S318" s="42"/>
      <x:c r="T318" s="42"/>
      <x:c r="U318" s="42"/>
      <x:c r="V318" s="69">
        <x:v>-2.1097419999999998</x:v>
      </x:c>
      <x:c r="W318" s="42">
        <x:v>106.090282</x:v>
      </x:c>
      <x:c r="X318" s="42"/>
      <x:c r="Y318" s="44"/>
      <x:c r="Z318" s="26" t="s">
        <x:v>50</x:v>
      </x:c>
      <x:c r="AA318" s="39" t="s">
        <x:v>51</x:v>
      </x:c>
      <x:c r="AB318" s="71">
        <x:v>46220</x:v>
      </x:c>
      <x:c r="AC318" s="41" t="s">
        <x:v>52</x:v>
      </x:c>
      <x:c r="AD318" s="45">
        <x:f t="shared" si="22"/>
        <x:v>0.9555555555555556</x:v>
      </x:c>
      <x:c r="AE318" s="45">
        <x:f t="shared" si="23"/>
        <x:v>1</x:v>
      </x:c>
      <x:c r="AF318" s="227"/>
      <x:c r="AG318" s="228"/>
      <x:c r="AH318" s="229"/>
    </x:row>
    <x:row r="319" s="43" customFormat="1" ht="25">
      <x:c r="A319" s="27" t="s">
        <x:v>1110</x:v>
      </x:c>
      <x:c r="B319" s="42" t="s">
        <x:v>1111</x:v>
      </x:c>
      <x:c r="C319" s="43" t="s">
        <x:v>39</x:v>
      </x:c>
      <x:c r="D319" s="42" t="s">
        <x:v>40</x:v>
      </x:c>
      <x:c r="E319" s="42" t="s">
        <x:v>177</x:v>
      </x:c>
      <x:c r="F319" s="43" t="s">
        <x:v>253</x:v>
      </x:c>
      <x:c r="G319" s="43" t="s">
        <x:v>1112</x:v>
      </x:c>
      <x:c r="H319" s="43" t="s">
        <x:v>1107</x:v>
      </x:c>
      <x:c r="I319" s="43" t="s">
        <x:v>107</x:v>
      </x:c>
      <x:c r="J319" s="43">
        <x:v>2018</x:v>
      </x:c>
      <x:c r="K319" s="43">
        <x:v>58</x:v>
      </x:c>
      <x:c r="L319" s="42">
        <x:v>0</x:v>
      </x:c>
      <x:c r="M319" s="43">
        <x:v>0</x:v>
      </x:c>
      <x:c r="N319" s="43" t="s">
        <x:v>64</x:v>
      </x:c>
      <x:c r="Q319" s="21" t="s">
        <x:v>47</x:v>
      </x:c>
      <x:c r="S319" s="42"/>
      <x:c r="T319" s="42"/>
      <x:c r="U319" s="42"/>
      <x:c r="V319" s="69">
        <x:v>-2.1087570000000002</x:v>
      </x:c>
      <x:c r="W319" s="42">
        <x:v>106.08998630000001</x:v>
      </x:c>
      <x:c r="X319" s="42"/>
      <x:c r="Y319" s="44"/>
      <x:c r="Z319" s="26" t="s">
        <x:v>50</x:v>
      </x:c>
      <x:c r="AA319" s="39" t="s">
        <x:v>51</x:v>
      </x:c>
      <x:c r="AB319" s="71">
        <x:v>46220</x:v>
      </x:c>
      <x:c r="AC319" s="41" t="s">
        <x:v>52</x:v>
      </x:c>
      <x:c r="AD319" s="45">
        <x:f t="shared" si="22"/>
        <x:v>0</x:v>
      </x:c>
      <x:c r="AE319" s="45">
        <x:f t="shared" si="23"/>
        <x:v>0</x:v>
      </x:c>
      <x:c r="AF319" s="227"/>
      <x:c r="AG319" s="228"/>
      <x:c r="AH319" s="229"/>
    </x:row>
    <x:row r="320" s="43" customFormat="1" ht="25">
      <x:c r="A320" s="27" t="s">
        <x:v>1113</x:v>
      </x:c>
      <x:c r="B320" s="42" t="s">
        <x:v>1114</x:v>
      </x:c>
      <x:c r="C320" s="43" t="s">
        <x:v>39</x:v>
      </x:c>
      <x:c r="D320" s="42" t="s">
        <x:v>102</x:v>
      </x:c>
      <x:c r="E320" s="42" t="s">
        <x:v>277</x:v>
      </x:c>
      <x:c r="F320" s="43" t="s">
        <x:v>661</x:v>
      </x:c>
      <x:c r="G320" s="43" t="s">
        <x:v>1115</x:v>
      </x:c>
      <x:c r="H320" s="43" t="s">
        <x:v>1116</x:v>
      </x:c>
      <x:c r="I320" s="43" t="s">
        <x:v>107</x:v>
      </x:c>
      <x:c r="J320" s="43">
        <x:v>2021</x:v>
      </x:c>
      <x:c r="K320" s="43">
        <x:v>35</x:v>
      </x:c>
      <x:c r="L320" s="42">
        <x:v>19</x:v>
      </x:c>
      <x:c r="M320" s="43">
        <x:v>17</x:v>
      </x:c>
      <x:c r="N320" s="43" t="s">
        <x:v>64</x:v>
      </x:c>
      <x:c r="Q320" s="21" t="s">
        <x:v>47</x:v>
      </x:c>
      <x:c r="R320" s="21" t="s">
        <x:v>110</x:v>
      </x:c>
      <x:c r="S320" s="42"/>
      <x:c r="T320" s="42"/>
      <x:c r="U320" s="42"/>
      <x:c r="V320" s="69">
        <x:v>-2.1572900000000002</x:v>
      </x:c>
      <x:c r="W320" s="42">
        <x:v>106.15357899999999</x:v>
      </x:c>
      <x:c r="X320" s="42"/>
      <x:c r="Y320" s="44"/>
      <x:c r="Z320" s="26" t="s">
        <x:v>50</x:v>
      </x:c>
      <x:c r="AA320" s="39" t="s">
        <x:v>51</x:v>
      </x:c>
      <x:c r="AB320" s="71">
        <x:v>46220</x:v>
      </x:c>
      <x:c r="AC320" s="41" t="s">
        <x:v>52</x:v>
      </x:c>
      <x:c r="AD320" s="45">
        <x:f t="shared" si="22"/>
        <x:v>0.54285714285714282</x:v>
      </x:c>
      <x:c r="AE320" s="45">
        <x:f t="shared" si="23"/>
        <x:v>0.89473684210526316</x:v>
      </x:c>
      <x:c r="AF320" s="227"/>
      <x:c r="AG320" s="228"/>
      <x:c r="AH320" s="229"/>
    </x:row>
    <x:row r="321" s="43" customFormat="1" ht="25">
      <x:c r="A321" s="27" t="s">
        <x:v>1117</x:v>
      </x:c>
      <x:c r="B321" s="42" t="s">
        <x:v>1118</x:v>
      </x:c>
      <x:c r="C321" s="43" t="s">
        <x:v>39</x:v>
      </x:c>
      <x:c r="D321" s="42" t="s">
        <x:v>75</x:v>
      </x:c>
      <x:c r="E321" s="42" t="s">
        <x:v>87</x:v>
      </x:c>
      <x:c r="F321" s="43" t="s">
        <x:v>684</x:v>
      </x:c>
      <x:c r="G321" s="43" t="s">
        <x:v>1119</x:v>
      </x:c>
      <x:c r="H321" s="43" t="s">
        <x:v>478</x:v>
      </x:c>
      <x:c r="I321" s="43" t="s">
        <x:v>62</x:v>
      </x:c>
      <x:c r="J321" s="43">
        <x:v>2017</x:v>
      </x:c>
      <x:c r="K321" s="43">
        <x:v>38</x:v>
      </x:c>
      <x:c r="L321" s="42">
        <x:v>29</x:v>
      </x:c>
      <x:c r="M321" s="43">
        <x:v>29</x:v>
      </x:c>
      <x:c r="N321" s="43" t="s">
        <x:v>64</x:v>
      </x:c>
      <x:c r="Q321" s="21" t="s">
        <x:v>47</x:v>
      </x:c>
      <x:c r="S321" s="42"/>
      <x:c r="T321" s="42"/>
      <x:c r="U321" s="42"/>
      <x:c r="V321" s="69"/>
      <x:c r="W321" s="42"/>
      <x:c r="X321" s="42"/>
      <x:c r="Y321" s="44"/>
      <x:c r="Z321" s="26" t="s">
        <x:v>50</x:v>
      </x:c>
      <x:c r="AA321" s="39" t="s">
        <x:v>51</x:v>
      </x:c>
      <x:c r="AB321" s="71">
        <x:v>46220</x:v>
      </x:c>
      <x:c r="AC321" s="41" t="s">
        <x:v>52</x:v>
      </x:c>
      <x:c r="AD321" s="45">
        <x:f t="shared" si="22"/>
        <x:v>0.76315789473684215</x:v>
      </x:c>
      <x:c r="AE321" s="45">
        <x:f t="shared" si="23"/>
        <x:v>1</x:v>
      </x:c>
      <x:c r="AF321" s="227"/>
      <x:c r="AG321" s="228"/>
      <x:c r="AH321" s="229"/>
    </x:row>
    <x:row r="322" s="43" customFormat="1" ht="25">
      <x:c r="A322" s="27" t="s">
        <x:v>1120</x:v>
      </x:c>
      <x:c r="B322" s="42" t="s">
        <x:v>1121</x:v>
      </x:c>
      <x:c r="C322" s="43" t="s">
        <x:v>39</x:v>
      </x:c>
      <x:c r="D322" s="42" t="s">
        <x:v>40</x:v>
      </x:c>
      <x:c r="E322" s="42" t="s">
        <x:v>41</x:v>
      </x:c>
      <x:c r="F322" s="43" t="s">
        <x:v>77</x:v>
      </x:c>
      <x:c r="G322" s="43" t="s">
        <x:v>502</x:v>
      </x:c>
      <x:c r="H322" s="43" t="s">
        <x:v>503</x:v>
      </x:c>
      <x:c r="I322" s="43" t="s">
        <x:v>142</x:v>
      </x:c>
      <x:c r="J322" s="43">
        <x:v>2017</x:v>
      </x:c>
      <x:c r="K322" s="43">
        <x:v>100</x:v>
      </x:c>
      <x:c r="L322" s="42">
        <x:v>98</x:v>
      </x:c>
      <x:c r="M322" s="43">
        <x:v>98</x:v>
      </x:c>
      <x:c r="N322" s="43" t="s">
        <x:v>64</x:v>
      </x:c>
      <x:c r="Q322" s="21" t="s">
        <x:v>47</x:v>
      </x:c>
      <x:c r="R322" s="21" t="s">
        <x:v>110</x:v>
      </x:c>
      <x:c r="S322" s="42"/>
      <x:c r="T322" s="42"/>
      <x:c r="U322" s="42"/>
      <x:c r="V322" s="69">
        <x:v>-2.1049924</x:v>
      </x:c>
      <x:c r="W322" s="42">
        <x:v>106.0809118</x:v>
      </x:c>
      <x:c r="X322" s="42"/>
      <x:c r="Y322" s="44"/>
      <x:c r="Z322" s="26" t="s">
        <x:v>50</x:v>
      </x:c>
      <x:c r="AA322" s="39" t="s">
        <x:v>51</x:v>
      </x:c>
      <x:c r="AB322" s="71">
        <x:v>46220</x:v>
      </x:c>
      <x:c r="AC322" s="41" t="s">
        <x:v>52</x:v>
      </x:c>
      <x:c r="AD322" s="45">
        <x:f t="shared" si="22"/>
        <x:v>0.98</x:v>
      </x:c>
      <x:c r="AE322" s="45">
        <x:f t="shared" si="23"/>
        <x:v>1</x:v>
      </x:c>
      <x:c r="AF322" s="227"/>
      <x:c r="AG322" s="228"/>
      <x:c r="AH322" s="229"/>
    </x:row>
    <x:row r="323" s="43" customFormat="1" ht="25">
      <x:c r="A323" s="27" t="s">
        <x:v>1122</x:v>
      </x:c>
      <x:c r="B323" s="42" t="s">
        <x:v>1123</x:v>
      </x:c>
      <x:c r="C323" s="43" t="s">
        <x:v>39</x:v>
      </x:c>
      <x:c r="D323" s="42" t="s">
        <x:v>433</x:v>
      </x:c>
      <x:c r="E323" s="42" t="s">
        <x:v>434</x:v>
      </x:c>
      <x:c r="F323" s="43" t="s">
        <x:v>1124</x:v>
      </x:c>
      <x:c r="G323" s="43" t="s">
        <x:v>62</x:v>
      </x:c>
      <x:c r="H323" s="43" t="s">
        <x:v>62</x:v>
      </x:c>
      <x:c r="I323" s="43" t="s">
        <x:v>62</x:v>
      </x:c>
      <x:c r="J323" s="43">
        <x:v>2016</x:v>
      </x:c>
      <x:c r="K323" s="43">
        <x:v>45</x:v>
      </x:c>
      <x:c r="L323" s="42">
        <x:v>45</x:v>
      </x:c>
      <x:c r="M323" s="43">
        <x:v>45</x:v>
      </x:c>
      <x:c r="N323" s="43" t="s">
        <x:v>64</x:v>
      </x:c>
      <x:c r="Q323" s="21" t="s">
        <x:v>47</x:v>
      </x:c>
      <x:c r="R323" s="21" t="s">
        <x:v>110</x:v>
      </x:c>
      <x:c r="S323" s="42"/>
      <x:c r="T323" s="42"/>
      <x:c r="U323" s="42"/>
      <x:c r="V323" s="69"/>
      <x:c r="W323" s="42"/>
      <x:c r="X323" s="42"/>
      <x:c r="Y323" s="44"/>
      <x:c r="Z323" s="26" t="s">
        <x:v>50</x:v>
      </x:c>
      <x:c r="AA323" s="39" t="s">
        <x:v>51</x:v>
      </x:c>
      <x:c r="AB323" s="71">
        <x:v>46220</x:v>
      </x:c>
      <x:c r="AC323" s="41" t="s">
        <x:v>52</x:v>
      </x:c>
      <x:c r="AD323" s="45">
        <x:f t="shared" si="22"/>
        <x:v>1</x:v>
      </x:c>
      <x:c r="AE323" s="45">
        <x:f t="shared" si="23"/>
        <x:v>1</x:v>
      </x:c>
      <x:c r="AF323" s="227"/>
      <x:c r="AG323" s="228"/>
      <x:c r="AH323" s="229"/>
    </x:row>
    <x:row r="324" s="43" customFormat="1" ht="25">
      <x:c r="A324" s="27" t="s">
        <x:v>1125</x:v>
      </x:c>
      <x:c r="B324" s="42" t="s">
        <x:v>1126</x:v>
      </x:c>
      <x:c r="C324" s="43" t="s">
        <x:v>39</x:v>
      </x:c>
      <x:c r="D324" s="42" t="s">
        <x:v>433</x:v>
      </x:c>
      <x:c r="E324" s="42" t="s">
        <x:v>434</x:v>
      </x:c>
      <x:c r="F324" s="43" t="s">
        <x:v>1127</x:v>
      </x:c>
      <x:c r="G324" s="43" t="s">
        <x:v>62</x:v>
      </x:c>
      <x:c r="H324" s="43" t="s">
        <x:v>62</x:v>
      </x:c>
      <x:c r="I324" s="43" t="s">
        <x:v>62</x:v>
      </x:c>
      <x:c r="K324" s="43">
        <x:v>18</x:v>
      </x:c>
      <x:c r="L324" s="42">
        <x:v>18</x:v>
      </x:c>
      <x:c r="M324" s="43">
        <x:v>18</x:v>
      </x:c>
      <x:c r="N324" s="43" t="s">
        <x:v>64</x:v>
      </x:c>
      <x:c r="Q324" s="21" t="s">
        <x:v>47</x:v>
      </x:c>
      <x:c r="S324" s="42"/>
      <x:c r="T324" s="42"/>
      <x:c r="U324" s="42"/>
      <x:c r="V324" s="69">
        <x:v>-2.1483458</x:v>
      </x:c>
      <x:c r="W324" s="42">
        <x:v>106.1082993</x:v>
      </x:c>
      <x:c r="X324" s="42"/>
      <x:c r="Y324" s="44"/>
      <x:c r="Z324" s="26" t="s">
        <x:v>50</x:v>
      </x:c>
      <x:c r="AA324" s="39" t="s">
        <x:v>51</x:v>
      </x:c>
      <x:c r="AB324" s="71">
        <x:v>46220</x:v>
      </x:c>
      <x:c r="AC324" s="41" t="s">
        <x:v>52</x:v>
      </x:c>
      <x:c r="AD324" s="45">
        <x:f t="shared" si="22"/>
        <x:v>1</x:v>
      </x:c>
      <x:c r="AE324" s="45">
        <x:f t="shared" si="23"/>
        <x:v>1</x:v>
      </x:c>
      <x:c r="AF324" s="227"/>
      <x:c r="AG324" s="228"/>
      <x:c r="AH324" s="229"/>
    </x:row>
    <x:row r="325" s="43" customFormat="1" ht="25">
      <x:c r="A325" s="27" t="s">
        <x:v>1128</x:v>
      </x:c>
      <x:c r="B325" s="42" t="s">
        <x:v>1129</x:v>
      </x:c>
      <x:c r="C325" s="43" t="s">
        <x:v>39</x:v>
      </x:c>
      <x:c r="D325" s="42" t="s">
        <x:v>40</x:v>
      </x:c>
      <x:c r="E325" s="42" t="s">
        <x:v>41</x:v>
      </x:c>
      <x:c r="F325" s="43" t="s">
        <x:v>1130</x:v>
      </x:c>
      <x:c r="G325" s="43" t="s">
        <x:v>1131</x:v>
      </x:c>
      <x:c r="H325" s="43" t="s">
        <x:v>1132</x:v>
      </x:c>
      <x:c r="I325" s="43" t="s">
        <x:v>107</x:v>
      </x:c>
      <x:c r="J325" s="43">
        <x:v>2017</x:v>
      </x:c>
      <x:c r="K325" s="43">
        <x:v>101</x:v>
      </x:c>
      <x:c r="L325" s="42">
        <x:v>93</x:v>
      </x:c>
      <x:c r="M325" s="43">
        <x:v>92</x:v>
      </x:c>
      <x:c r="N325" s="43" t="s">
        <x:v>46</x:v>
      </x:c>
      <x:c r="O325" s="43">
        <x:v>2022</x:v>
      </x:c>
      <x:c r="Q325" s="21" t="s">
        <x:v>47</x:v>
      </x:c>
      <x:c r="S325" s="42"/>
      <x:c r="T325" s="42" t="s">
        <x:v>49</x:v>
      </x:c>
      <x:c r="U325" s="42"/>
      <x:c r="V325" s="69">
        <x:v>-2.1053109000000001</x:v>
      </x:c>
      <x:c r="W325" s="42">
        <x:v>106.0879218</x:v>
      </x:c>
      <x:c r="X325" s="42"/>
      <x:c r="Y325" s="44"/>
      <x:c r="Z325" s="26" t="s">
        <x:v>50</x:v>
      </x:c>
      <x:c r="AA325" s="39" t="s">
        <x:v>51</x:v>
      </x:c>
      <x:c r="AB325" s="71">
        <x:v>46220</x:v>
      </x:c>
      <x:c r="AC325" s="41" t="s">
        <x:v>52</x:v>
      </x:c>
      <x:c r="AD325" s="45">
        <x:f t="shared" si="22"/>
        <x:v>0.92079207920792083</x:v>
      </x:c>
      <x:c r="AE325" s="45">
        <x:f t="shared" si="23"/>
        <x:v>0.989247311827957</x:v>
      </x:c>
      <x:c r="AF325" s="227"/>
      <x:c r="AG325" s="228"/>
      <x:c r="AH325" s="229"/>
    </x:row>
    <x:row r="326" s="43" customFormat="1" ht="25">
      <x:c r="A326" s="27" t="s">
        <x:v>1133</x:v>
      </x:c>
      <x:c r="B326" s="42" t="s">
        <x:v>1134</x:v>
      </x:c>
      <x:c r="C326" s="43" t="s">
        <x:v>39</x:v>
      </x:c>
      <x:c r="D326" s="42" t="s">
        <x:v>40</x:v>
      </x:c>
      <x:c r="E326" s="42" t="s">
        <x:v>41</x:v>
      </x:c>
      <x:c r="F326" s="43" t="s">
        <x:v>1135</x:v>
      </x:c>
      <x:c r="G326" s="43" t="s">
        <x:v>502</x:v>
      </x:c>
      <x:c r="H326" s="43" t="s">
        <x:v>503</x:v>
      </x:c>
      <x:c r="I326" s="43" t="s">
        <x:v>142</x:v>
      </x:c>
      <x:c r="J326" s="43">
        <x:v>2016</x:v>
      </x:c>
      <x:c r="K326" s="43">
        <x:v>36</x:v>
      </x:c>
      <x:c r="L326" s="42">
        <x:v>36</x:v>
      </x:c>
      <x:c r="M326" s="43">
        <x:v>34</x:v>
      </x:c>
      <x:c r="N326" s="43" t="s">
        <x:v>46</x:v>
      </x:c>
      <x:c r="O326" s="43">
        <x:v>2023</x:v>
      </x:c>
      <x:c r="Q326" s="21" t="s">
        <x:v>47</x:v>
      </x:c>
      <x:c r="S326" s="42"/>
      <x:c r="T326" s="42"/>
      <x:c r="U326" s="42"/>
      <x:c r="V326" s="69">
        <x:v>-2.1001536000000001</x:v>
      </x:c>
      <x:c r="W326" s="42">
        <x:v>106.08345679999999</x:v>
      </x:c>
      <x:c r="X326" s="42"/>
      <x:c r="Y326" s="44"/>
      <x:c r="Z326" s="26" t="s">
        <x:v>50</x:v>
      </x:c>
      <x:c r="AA326" s="39" t="s">
        <x:v>51</x:v>
      </x:c>
      <x:c r="AB326" s="71">
        <x:v>46220</x:v>
      </x:c>
      <x:c r="AC326" s="41" t="s">
        <x:v>52</x:v>
      </x:c>
      <x:c r="AD326" s="45">
        <x:f t="shared" si="22"/>
        <x:v>1</x:v>
      </x:c>
      <x:c r="AE326" s="45">
        <x:f t="shared" si="23"/>
        <x:v>0.94444444444444442</x:v>
      </x:c>
      <x:c r="AF326" s="227"/>
      <x:c r="AG326" s="228"/>
      <x:c r="AH326" s="229"/>
    </x:row>
    <x:row r="327" s="43" customFormat="1" ht="25">
      <x:c r="A327" s="27" t="s">
        <x:v>1136</x:v>
      </x:c>
      <x:c r="B327" s="42" t="s">
        <x:v>1137</x:v>
      </x:c>
      <x:c r="C327" s="43" t="s">
        <x:v>39</x:v>
      </x:c>
      <x:c r="D327" s="42" t="s">
        <x:v>40</x:v>
      </x:c>
      <x:c r="E327" s="42" t="s">
        <x:v>41</x:v>
      </x:c>
      <x:c r="F327" s="43" t="s">
        <x:v>735</x:v>
      </x:c>
      <x:c r="G327" s="43" t="s">
        <x:v>502</x:v>
      </x:c>
      <x:c r="H327" s="43" t="s">
        <x:v>503</x:v>
      </x:c>
      <x:c r="I327" s="43" t="s">
        <x:v>142</x:v>
      </x:c>
      <x:c r="J327" s="43">
        <x:v>2015</x:v>
      </x:c>
      <x:c r="K327" s="43">
        <x:v>22</x:v>
      </x:c>
      <x:c r="L327" s="42">
        <x:v>17</x:v>
      </x:c>
      <x:c r="M327" s="43">
        <x:v>17</x:v>
      </x:c>
      <x:c r="N327" s="43" t="s">
        <x:v>46</x:v>
      </x:c>
      <x:c r="O327" s="43">
        <x:v>2023</x:v>
      </x:c>
      <x:c r="Q327" s="21" t="s">
        <x:v>47</x:v>
      </x:c>
      <x:c r="S327" s="42"/>
      <x:c r="T327" s="42"/>
      <x:c r="U327" s="42"/>
      <x:c r="V327" s="69">
        <x:v>-2.1023559999999999</x:v>
      </x:c>
      <x:c r="W327" s="42">
        <x:v>106.083191</x:v>
      </x:c>
      <x:c r="X327" s="42"/>
      <x:c r="Y327" s="44"/>
      <x:c r="Z327" s="26" t="s">
        <x:v>50</x:v>
      </x:c>
      <x:c r="AA327" s="39" t="s">
        <x:v>51</x:v>
      </x:c>
      <x:c r="AB327" s="71">
        <x:v>46220</x:v>
      </x:c>
      <x:c r="AC327" s="41" t="s">
        <x:v>52</x:v>
      </x:c>
      <x:c r="AD327" s="45">
        <x:f t="shared" si="22"/>
        <x:v>0.77272727272727271</x:v>
      </x:c>
      <x:c r="AE327" s="45">
        <x:f t="shared" si="23"/>
        <x:v>1</x:v>
      </x:c>
      <x:c r="AF327" s="227"/>
      <x:c r="AG327" s="228"/>
      <x:c r="AH327" s="229"/>
    </x:row>
    <x:row r="328" s="43" customFormat="1" ht="25">
      <x:c r="A328" s="27" t="s">
        <x:v>1138</x:v>
      </x:c>
      <x:c r="B328" s="42" t="s">
        <x:v>1139</x:v>
      </x:c>
      <x:c r="C328" s="43" t="s">
        <x:v>226</x:v>
      </x:c>
      <x:c r="D328" s="42" t="s">
        <x:v>102</x:v>
      </x:c>
      <x:c r="E328" s="42" t="s">
        <x:v>158</x:v>
      </x:c>
      <x:c r="F328" s="43" t="s">
        <x:v>215</x:v>
      </x:c>
      <x:c r="G328" s="43" t="s">
        <x:v>1140</x:v>
      </x:c>
      <x:c r="H328" s="43" t="s">
        <x:v>1141</x:v>
      </x:c>
      <x:c r="I328" s="43" t="s">
        <x:v>107</x:v>
      </x:c>
      <x:c r="K328" s="43">
        <x:v>378</x:v>
      </x:c>
      <x:c r="L328" s="42">
        <x:v>257</x:v>
      </x:c>
      <x:c r="M328" s="43">
        <x:v>174</x:v>
      </x:c>
      <x:c r="N328" s="43" t="s">
        <x:v>46</x:v>
      </x:c>
      <x:c r="O328" s="43">
        <x:v>2020</x:v>
      </x:c>
      <x:c r="Q328" s="43" t="s">
        <x:v>89</x:v>
      </x:c>
      <x:c r="R328" s="43" t="s">
        <x:v>68</x:v>
      </x:c>
      <x:c r="S328" s="17" t="s">
        <x:v>48</x:v>
      </x:c>
      <x:c r="T328" s="42"/>
      <x:c r="U328" s="42"/>
      <x:c r="V328" s="69"/>
      <x:c r="W328" s="42"/>
      <x:c r="X328" s="42"/>
      <x:c r="Y328" s="44"/>
      <x:c r="Z328" s="26" t="s">
        <x:v>50</x:v>
      </x:c>
      <x:c r="AA328" s="39" t="s">
        <x:v>51</x:v>
      </x:c>
      <x:c r="AB328" s="71">
        <x:v>46220</x:v>
      </x:c>
      <x:c r="AC328" s="41" t="s">
        <x:v>52</x:v>
      </x:c>
      <x:c r="AD328" s="45">
        <x:f t="shared" si="22"/>
        <x:v>0.67989417989417988</x:v>
      </x:c>
      <x:c r="AE328" s="45">
        <x:f t="shared" si="23"/>
        <x:v>0.67704280155642027</x:v>
      </x:c>
      <x:c r="AF328" s="227"/>
      <x:c r="AG328" s="228"/>
      <x:c r="AH328" s="229"/>
    </x:row>
    <x:row r="329" s="43" customFormat="1" ht="25">
      <x:c r="A329" s="27" t="s">
        <x:v>1142</x:v>
      </x:c>
      <x:c r="B329" s="42" t="s">
        <x:v>1143</x:v>
      </x:c>
      <x:c r="C329" s="43" t="s">
        <x:v>39</x:v>
      </x:c>
      <x:c r="D329" s="42" t="s">
        <x:v>102</x:v>
      </x:c>
      <x:c r="E329" s="42" t="s">
        <x:v>158</x:v>
      </x:c>
      <x:c r="F329" s="43" t="s">
        <x:v>1144</x:v>
      </x:c>
      <x:c r="G329" s="43" t="s">
        <x:v>1145</x:v>
      </x:c>
      <x:c r="H329" s="43" t="s">
        <x:v>1146</x:v>
      </x:c>
      <x:c r="I329" s="43" t="s">
        <x:v>107</x:v>
      </x:c>
      <x:c r="J329" s="43">
        <x:v>2023</x:v>
      </x:c>
      <x:c r="K329" s="43">
        <x:v>111</x:v>
      </x:c>
      <x:c r="L329" s="42">
        <x:v>51</x:v>
      </x:c>
      <x:c r="M329" s="43">
        <x:v>41</x:v>
      </x:c>
      <x:c r="N329" s="43" t="s">
        <x:v>64</x:v>
      </x:c>
      <x:c r="Q329" s="21" t="s">
        <x:v>47</x:v>
      </x:c>
      <x:c r="R329" s="43" t="s">
        <x:v>110</x:v>
      </x:c>
      <x:c r="S329" s="17" t="s">
        <x:v>48</x:v>
      </x:c>
      <x:c r="T329" s="42"/>
      <x:c r="U329" s="42"/>
      <x:c r="V329" s="69">
        <x:v>-2.1357955</x:v>
      </x:c>
      <x:c r="W329" s="42">
        <x:v>106.157904</x:v>
      </x:c>
      <x:c r="X329" s="42"/>
      <x:c r="Y329" s="44"/>
      <x:c r="Z329" s="26" t="s">
        <x:v>50</x:v>
      </x:c>
      <x:c r="AA329" s="39" t="s">
        <x:v>51</x:v>
      </x:c>
      <x:c r="AB329" s="71">
        <x:v>46220</x:v>
      </x:c>
      <x:c r="AC329" s="41" t="s">
        <x:v>52</x:v>
      </x:c>
      <x:c r="AD329" s="45">
        <x:f t="shared" si="22"/>
        <x:v>0.45945945945945948</x:v>
      </x:c>
      <x:c r="AE329" s="45">
        <x:f t="shared" si="23"/>
        <x:v>0.80392156862745101</x:v>
      </x:c>
      <x:c r="AF329" s="227"/>
      <x:c r="AG329" s="228"/>
      <x:c r="AH329" s="229"/>
    </x:row>
    <x:row r="330" s="43" customFormat="1" ht="25">
      <x:c r="A330" s="27" t="s">
        <x:v>1147</x:v>
      </x:c>
      <x:c r="B330" s="42" t="s">
        <x:v>1148</x:v>
      </x:c>
      <x:c r="C330" s="43" t="s">
        <x:v>226</x:v>
      </x:c>
      <x:c r="D330" s="42" t="s">
        <x:v>102</x:v>
      </x:c>
      <x:c r="E330" s="42" t="s">
        <x:v>158</x:v>
      </x:c>
      <x:c r="F330" s="43" t="s">
        <x:v>1149</x:v>
      </x:c>
      <x:c r="G330" s="43" t="s">
        <x:v>1140</x:v>
      </x:c>
      <x:c r="H330" s="43" t="s">
        <x:v>1141</x:v>
      </x:c>
      <x:c r="I330" s="43" t="s">
        <x:v>107</x:v>
      </x:c>
      <x:c r="K330" s="43">
        <x:v>313</x:v>
      </x:c>
      <x:c r="L330" s="42">
        <x:v>112</x:v>
      </x:c>
      <x:c r="M330" s="43">
        <x:v>70</x:v>
      </x:c>
      <x:c r="N330" s="43" t="s">
        <x:v>46</x:v>
      </x:c>
      <x:c r="O330" s="43">
        <x:v>2020</x:v>
      </x:c>
      <x:c r="Q330" s="43" t="s">
        <x:v>89</x:v>
      </x:c>
      <x:c r="R330" s="43" t="s">
        <x:v>68</x:v>
      </x:c>
      <x:c r="S330" s="17" t="s">
        <x:v>48</x:v>
      </x:c>
      <x:c r="T330" s="42"/>
      <x:c r="U330" s="42"/>
      <x:c r="V330" s="69">
        <x:v>-2.1391578999999998</x:v>
      </x:c>
      <x:c r="W330" s="42">
        <x:v>106.162323</x:v>
      </x:c>
      <x:c r="X330" s="42"/>
      <x:c r="Y330" s="44"/>
      <x:c r="Z330" s="26" t="s">
        <x:v>50</x:v>
      </x:c>
      <x:c r="AA330" s="39" t="s">
        <x:v>51</x:v>
      </x:c>
      <x:c r="AB330" s="71">
        <x:v>46220</x:v>
      </x:c>
      <x:c r="AC330" s="41" t="s">
        <x:v>52</x:v>
      </x:c>
      <x:c r="AD330" s="45">
        <x:f t="shared" si="22"/>
        <x:v>0.35782747603833864</x:v>
      </x:c>
      <x:c r="AE330" s="45">
        <x:f t="shared" si="23"/>
        <x:v>0.625</x:v>
      </x:c>
      <x:c r="AF330" s="227"/>
      <x:c r="AG330" s="228"/>
      <x:c r="AH330" s="229"/>
    </x:row>
    <x:row r="331" s="43" customFormat="1" ht="25">
      <x:c r="A331" s="27" t="s">
        <x:v>1150</x:v>
      </x:c>
      <x:c r="B331" s="42" t="s">
        <x:v>1151</x:v>
      </x:c>
      <x:c r="C331" s="43" t="s">
        <x:v>226</x:v>
      </x:c>
      <x:c r="D331" s="42" t="s">
        <x:v>102</x:v>
      </x:c>
      <x:c r="E331" s="42" t="s">
        <x:v>120</x:v>
      </x:c>
      <x:c r="F331" s="43" t="s">
        <x:v>863</x:v>
      </x:c>
      <x:c r="G331" s="43" t="s">
        <x:v>1140</x:v>
      </x:c>
      <x:c r="H331" s="43" t="s">
        <x:v>1141</x:v>
      </x:c>
      <x:c r="I331" s="43" t="s">
        <x:v>107</x:v>
      </x:c>
      <x:c r="K331" s="43">
        <x:v>200</x:v>
      </x:c>
      <x:c r="L331" s="42">
        <x:v>200</x:v>
      </x:c>
      <x:c r="M331" s="43">
        <x:v>200</x:v>
      </x:c>
      <x:c r="N331" s="43" t="s">
        <x:v>64</x:v>
      </x:c>
      <x:c r="Q331" s="43" t="s">
        <x:v>89</x:v>
      </x:c>
      <x:c r="S331" s="17" t="s">
        <x:v>48</x:v>
      </x:c>
      <x:c r="T331" s="42"/>
      <x:c r="U331" s="42"/>
      <x:c r="V331" s="69"/>
      <x:c r="W331" s="42"/>
      <x:c r="X331" s="42"/>
      <x:c r="Y331" s="44"/>
      <x:c r="Z331" s="26" t="s">
        <x:v>50</x:v>
      </x:c>
      <x:c r="AA331" s="39" t="s">
        <x:v>51</x:v>
      </x:c>
      <x:c r="AB331" s="71">
        <x:v>46220</x:v>
      </x:c>
      <x:c r="AC331" s="41" t="s">
        <x:v>52</x:v>
      </x:c>
      <x:c r="AD331" s="45">
        <x:f t="shared" si="22"/>
        <x:v>1</x:v>
      </x:c>
      <x:c r="AE331" s="45">
        <x:f t="shared" si="23"/>
        <x:v>1</x:v>
      </x:c>
      <x:c r="AF331" s="227"/>
      <x:c r="AG331" s="228"/>
      <x:c r="AH331" s="229"/>
    </x:row>
    <x:row r="332" s="43" customFormat="1" ht="25">
      <x:c r="A332" s="27" t="s">
        <x:v>1152</x:v>
      </x:c>
      <x:c r="B332" s="42" t="s">
        <x:v>1153</x:v>
      </x:c>
      <x:c r="C332" s="43" t="s">
        <x:v>39</x:v>
      </x:c>
      <x:c r="D332" s="42" t="s">
        <x:v>102</x:v>
      </x:c>
      <x:c r="E332" s="42" t="s">
        <x:v>120</x:v>
      </x:c>
      <x:c r="F332" s="43" t="s">
        <x:v>863</x:v>
      </x:c>
      <x:c r="G332" s="43" t="s">
        <x:v>1140</x:v>
      </x:c>
      <x:c r="H332" s="43" t="s">
        <x:v>1141</x:v>
      </x:c>
      <x:c r="I332" s="43" t="s">
        <x:v>107</x:v>
      </x:c>
      <x:c r="J332" s="43">
        <x:v>2016</x:v>
      </x:c>
      <x:c r="K332" s="43">
        <x:v>59</x:v>
      </x:c>
      <x:c r="L332" s="42">
        <x:v>59</x:v>
      </x:c>
      <x:c r="M332" s="43">
        <x:v>57</x:v>
      </x:c>
      <x:c r="N332" s="43" t="s">
        <x:v>46</x:v>
      </x:c>
      <x:c r="O332" s="43">
        <x:v>2020</x:v>
      </x:c>
      <x:c r="Q332" s="21" t="s">
        <x:v>47</x:v>
      </x:c>
      <x:c r="R332" s="43" t="s">
        <x:v>110</x:v>
      </x:c>
      <x:c r="S332" s="17" t="s">
        <x:v>48</x:v>
      </x:c>
      <x:c r="T332" s="42"/>
      <x:c r="U332" s="42"/>
      <x:c r="V332" s="69"/>
      <x:c r="W332" s="42"/>
      <x:c r="X332" s="42"/>
      <x:c r="Y332" s="44"/>
      <x:c r="Z332" s="26" t="s">
        <x:v>50</x:v>
      </x:c>
      <x:c r="AA332" s="39" t="s">
        <x:v>51</x:v>
      </x:c>
      <x:c r="AB332" s="71">
        <x:v>46220</x:v>
      </x:c>
      <x:c r="AC332" s="41" t="s">
        <x:v>52</x:v>
      </x:c>
      <x:c r="AD332" s="45">
        <x:f t="shared" si="22"/>
        <x:v>1</x:v>
      </x:c>
      <x:c r="AE332" s="45">
        <x:f t="shared" si="23"/>
        <x:v>0.96610169491525422</x:v>
      </x:c>
      <x:c r="AF332" s="227"/>
      <x:c r="AG332" s="228"/>
      <x:c r="AH332" s="229"/>
    </x:row>
    <x:row r="333" s="43" customFormat="1" ht="25">
      <x:c r="A333" s="27" t="s">
        <x:v>1154</x:v>
      </x:c>
      <x:c r="B333" s="42" t="s">
        <x:v>1155</x:v>
      </x:c>
      <x:c r="C333" s="43" t="s">
        <x:v>39</x:v>
      </x:c>
      <x:c r="D333" s="42" t="s">
        <x:v>102</x:v>
      </x:c>
      <x:c r="E333" s="42" t="s">
        <x:v>277</x:v>
      </x:c>
      <x:c r="F333" s="43" t="s">
        <x:v>1149</x:v>
      </x:c>
      <x:c r="G333" s="43" t="s">
        <x:v>1140</x:v>
      </x:c>
      <x:c r="H333" s="43" t="s">
        <x:v>1141</x:v>
      </x:c>
      <x:c r="I333" s="43" t="s">
        <x:v>107</x:v>
      </x:c>
      <x:c r="J333" s="43">
        <x:v>2019</x:v>
      </x:c>
      <x:c r="K333" s="43">
        <x:v>305</x:v>
      </x:c>
      <x:c r="L333" s="42">
        <x:v>108</x:v>
      </x:c>
      <x:c r="M333" s="43">
        <x:v>102</x:v>
      </x:c>
      <x:c r="N333" s="43" t="s">
        <x:v>64</x:v>
      </x:c>
      <x:c r="Q333" s="21" t="s">
        <x:v>47</x:v>
      </x:c>
      <x:c r="R333" s="43" t="s">
        <x:v>110</x:v>
      </x:c>
      <x:c r="S333" s="17" t="s">
        <x:v>48</x:v>
      </x:c>
      <x:c r="T333" s="42"/>
      <x:c r="U333" s="42"/>
      <x:c r="V333" s="69"/>
      <x:c r="W333" s="42"/>
      <x:c r="X333" s="42"/>
      <x:c r="Y333" s="44"/>
      <x:c r="Z333" s="26" t="s">
        <x:v>50</x:v>
      </x:c>
      <x:c r="AA333" s="39" t="s">
        <x:v>51</x:v>
      </x:c>
      <x:c r="AB333" s="71">
        <x:v>46220</x:v>
      </x:c>
      <x:c r="AC333" s="41" t="s">
        <x:v>52</x:v>
      </x:c>
      <x:c r="AD333" s="45">
        <x:f t="shared" si="22"/>
        <x:v>0.35409836065573769</x:v>
      </x:c>
      <x:c r="AE333" s="45">
        <x:f t="shared" si="23"/>
        <x:v>0.94444444444444442</x:v>
      </x:c>
      <x:c r="AF333" s="227"/>
      <x:c r="AG333" s="228"/>
      <x:c r="AH333" s="229"/>
    </x:row>
    <x:row r="334" s="43" customFormat="1" ht="25">
      <x:c r="A334" s="27" t="s">
        <x:v>1156</x:v>
      </x:c>
      <x:c r="B334" s="42" t="s">
        <x:v>1157</x:v>
      </x:c>
      <x:c r="C334" s="43" t="s">
        <x:v>39</x:v>
      </x:c>
      <x:c r="D334" s="42" t="s">
        <x:v>75</x:v>
      </x:c>
      <x:c r="E334" s="42" t="s">
        <x:v>114</x:v>
      </x:c>
      <x:c r="F334" s="43" t="s">
        <x:v>286</x:v>
      </x:c>
      <x:c r="G334" s="43" t="s">
        <x:v>1158</x:v>
      </x:c>
      <x:c r="H334" s="43" t="s">
        <x:v>1159</x:v>
      </x:c>
      <x:c r="I334" s="43" t="s">
        <x:v>80</x:v>
      </x:c>
      <x:c r="J334" s="43">
        <x:v>2020</x:v>
      </x:c>
      <x:c r="K334" s="43">
        <x:v>68</x:v>
      </x:c>
      <x:c r="L334" s="42">
        <x:v>61</x:v>
      </x:c>
      <x:c r="M334" s="43">
        <x:v>12</x:v>
      </x:c>
      <x:c r="N334" s="43" t="s">
        <x:v>64</x:v>
      </x:c>
      <x:c r="Q334" s="21" t="s">
        <x:v>47</x:v>
      </x:c>
      <x:c r="R334" s="21" t="s">
        <x:v>110</x:v>
      </x:c>
      <x:c r="S334" s="42"/>
      <x:c r="T334" s="42"/>
      <x:c r="U334" s="42"/>
      <x:c r="V334" s="69">
        <x:v>-2.0771199999999999</x:v>
      </x:c>
      <x:c r="W334" s="42">
        <x:v>106.1209532</x:v>
      </x:c>
      <x:c r="X334" s="42"/>
      <x:c r="Y334" s="44"/>
      <x:c r="Z334" s="26" t="s">
        <x:v>50</x:v>
      </x:c>
      <x:c r="AA334" s="39" t="s">
        <x:v>51</x:v>
      </x:c>
      <x:c r="AB334" s="71">
        <x:v>46220</x:v>
      </x:c>
      <x:c r="AC334" s="41" t="s">
        <x:v>52</x:v>
      </x:c>
      <x:c r="AD334" s="45">
        <x:f t="shared" si="22"/>
        <x:v>0.8970588235294118</x:v>
      </x:c>
      <x:c r="AE334" s="45">
        <x:f t="shared" si="23"/>
        <x:v>0.19672131147540983</x:v>
      </x:c>
      <x:c r="AF334" s="227"/>
      <x:c r="AG334" s="228"/>
      <x:c r="AH334" s="229"/>
    </x:row>
    <x:row r="335" s="43" customFormat="1" ht="25">
      <x:c r="A335" s="27" t="s">
        <x:v>1160</x:v>
      </x:c>
      <x:c r="B335" s="42" t="s">
        <x:v>1161</x:v>
      </x:c>
      <x:c r="C335" s="43" t="s">
        <x:v>39</x:v>
      </x:c>
      <x:c r="D335" s="42" t="s">
        <x:v>75</x:v>
      </x:c>
      <x:c r="E335" s="42" t="s">
        <x:v>114</x:v>
      </x:c>
      <x:c r="F335" s="43" t="s">
        <x:v>1162</x:v>
      </x:c>
      <x:c r="G335" s="43" t="s">
        <x:v>1158</x:v>
      </x:c>
      <x:c r="H335" s="43" t="s">
        <x:v>1159</x:v>
      </x:c>
      <x:c r="I335" s="43" t="s">
        <x:v>80</x:v>
      </x:c>
      <x:c r="J335" s="43">
        <x:v>2023</x:v>
      </x:c>
      <x:c r="K335" s="43">
        <x:v>25</x:v>
      </x:c>
      <x:c r="L335" s="42">
        <x:v>6</x:v>
      </x:c>
      <x:c r="M335" s="43">
        <x:v>0</x:v>
      </x:c>
      <x:c r="N335" s="43" t="s">
        <x:v>64</x:v>
      </x:c>
      <x:c r="Q335" s="21" t="s">
        <x:v>47</x:v>
      </x:c>
      <x:c r="R335" s="21" t="s">
        <x:v>110</x:v>
      </x:c>
      <x:c r="S335" s="42"/>
      <x:c r="T335" s="42"/>
      <x:c r="U335" s="42"/>
      <x:c r="V335" s="69">
        <x:v>-2.075809</x:v>
      </x:c>
      <x:c r="W335" s="42">
        <x:v>106.1217353</x:v>
      </x:c>
      <x:c r="X335" s="42"/>
      <x:c r="Y335" s="44"/>
      <x:c r="Z335" s="26" t="s">
        <x:v>50</x:v>
      </x:c>
      <x:c r="AA335" s="39" t="s">
        <x:v>51</x:v>
      </x:c>
      <x:c r="AB335" s="71">
        <x:v>46220</x:v>
      </x:c>
      <x:c r="AC335" s="41" t="s">
        <x:v>52</x:v>
      </x:c>
      <x:c r="AD335" s="45">
        <x:f t="shared" si="22"/>
        <x:v>0.24</x:v>
      </x:c>
      <x:c r="AE335" s="45">
        <x:f t="shared" si="23"/>
        <x:v>0</x:v>
      </x:c>
      <x:c r="AF335" s="227"/>
      <x:c r="AG335" s="228"/>
      <x:c r="AH335" s="229"/>
    </x:row>
    <x:row r="336" s="43" customFormat="1" ht="25">
      <x:c r="A336" s="27" t="s">
        <x:v>1163</x:v>
      </x:c>
      <x:c r="B336" s="42" t="s">
        <x:v>1164</x:v>
      </x:c>
      <x:c r="C336" s="43" t="s">
        <x:v>39</x:v>
      </x:c>
      <x:c r="D336" s="42" t="s">
        <x:v>102</x:v>
      </x:c>
      <x:c r="E336" s="42" t="s">
        <x:v>277</x:v>
      </x:c>
      <x:c r="F336" s="43" t="s">
        <x:v>605</x:v>
      </x:c>
      <x:c r="G336" s="43" t="s">
        <x:v>211</x:v>
      </x:c>
      <x:c r="H336" s="43" t="s">
        <x:v>62</x:v>
      </x:c>
      <x:c r="I336" s="43" t="s">
        <x:v>62</x:v>
      </x:c>
      <x:c r="J336" s="43">
        <x:v>2014</x:v>
      </x:c>
      <x:c r="K336" s="43">
        <x:v>123</x:v>
      </x:c>
      <x:c r="L336" s="42">
        <x:v>123</x:v>
      </x:c>
      <x:c r="M336" s="43">
        <x:v>123</x:v>
      </x:c>
      <x:c r="N336" s="43" t="s">
        <x:v>64</x:v>
      </x:c>
      <x:c r="Q336" s="21" t="s">
        <x:v>47</x:v>
      </x:c>
      <x:c r="S336" s="42"/>
      <x:c r="T336" s="42"/>
      <x:c r="U336" s="42"/>
      <x:c r="V336" s="69"/>
      <x:c r="W336" s="42"/>
      <x:c r="X336" s="42"/>
      <x:c r="Y336" s="44"/>
      <x:c r="Z336" s="26" t="s">
        <x:v>50</x:v>
      </x:c>
      <x:c r="AA336" s="39" t="s">
        <x:v>51</x:v>
      </x:c>
      <x:c r="AB336" s="71">
        <x:v>46220</x:v>
      </x:c>
      <x:c r="AC336" s="41" t="s">
        <x:v>52</x:v>
      </x:c>
      <x:c r="AD336" s="45">
        <x:f t="shared" si="22"/>
        <x:v>1</x:v>
      </x:c>
      <x:c r="AE336" s="45">
        <x:f t="shared" si="23"/>
        <x:v>1</x:v>
      </x:c>
      <x:c r="AF336" s="227"/>
      <x:c r="AG336" s="228"/>
      <x:c r="AH336" s="229"/>
    </x:row>
    <x:row r="337" s="43" customFormat="1" ht="25">
      <x:c r="A337" s="27" t="s">
        <x:v>1165</x:v>
      </x:c>
      <x:c r="B337" s="42" t="s">
        <x:v>1166</x:v>
      </x:c>
      <x:c r="C337" s="43" t="s">
        <x:v>39</x:v>
      </x:c>
      <x:c r="D337" s="42" t="s">
        <x:v>75</x:v>
      </x:c>
      <x:c r="E337" s="42" t="s">
        <x:v>114</x:v>
      </x:c>
      <x:c r="F337" s="43" t="s">
        <x:v>1167</x:v>
      </x:c>
      <x:c r="G337" s="43" t="s">
        <x:v>1168</x:v>
      </x:c>
      <x:c r="H337" s="43" t="s">
        <x:v>1169</x:v>
      </x:c>
      <x:c r="I337" s="43" t="s">
        <x:v>142</x:v>
      </x:c>
      <x:c r="J337" s="43">
        <x:v>2017</x:v>
      </x:c>
      <x:c r="K337" s="43">
        <x:v>18</x:v>
      </x:c>
      <x:c r="L337" s="42">
        <x:v>18</x:v>
      </x:c>
      <x:c r="M337" s="43">
        <x:v>18</x:v>
      </x:c>
      <x:c r="N337" s="43" t="s">
        <x:v>64</x:v>
      </x:c>
      <x:c r="Q337" s="21" t="s">
        <x:v>47</x:v>
      </x:c>
      <x:c r="R337" s="21" t="s">
        <x:v>110</x:v>
      </x:c>
      <x:c r="S337" s="42"/>
      <x:c r="T337" s="42"/>
      <x:c r="U337" s="42"/>
      <x:c r="V337" s="69">
        <x:v>-2.080425</x:v>
      </x:c>
      <x:c r="W337" s="42">
        <x:v>106.12715</x:v>
      </x:c>
      <x:c r="X337" s="42"/>
      <x:c r="Y337" s="44"/>
      <x:c r="Z337" s="26" t="s">
        <x:v>50</x:v>
      </x:c>
      <x:c r="AA337" s="39" t="s">
        <x:v>51</x:v>
      </x:c>
      <x:c r="AB337" s="71">
        <x:v>46220</x:v>
      </x:c>
      <x:c r="AC337" s="41" t="s">
        <x:v>52</x:v>
      </x:c>
      <x:c r="AD337" s="45">
        <x:f t="shared" si="22"/>
        <x:v>1</x:v>
      </x:c>
      <x:c r="AE337" s="45">
        <x:f t="shared" si="23"/>
        <x:v>1</x:v>
      </x:c>
      <x:c r="AF337" s="227"/>
      <x:c r="AG337" s="228"/>
      <x:c r="AH337" s="229"/>
    </x:row>
    <x:row r="338" s="43" customFormat="1" ht="25">
      <x:c r="A338" s="27" t="s">
        <x:v>1170</x:v>
      </x:c>
      <x:c r="B338" s="42" t="s">
        <x:v>1171</x:v>
      </x:c>
      <x:c r="C338" s="43" t="s">
        <x:v>39</x:v>
      </x:c>
      <x:c r="D338" s="42" t="s">
        <x:v>75</x:v>
      </x:c>
      <x:c r="E338" s="42" t="s">
        <x:v>114</x:v>
      </x:c>
      <x:c r="F338" s="43" t="s">
        <x:v>146</x:v>
      </x:c>
      <x:c r="G338" s="43" t="s">
        <x:v>1168</x:v>
      </x:c>
      <x:c r="H338" s="43" t="s">
        <x:v>62</x:v>
      </x:c>
      <x:c r="I338" s="43" t="s">
        <x:v>142</x:v>
      </x:c>
      <x:c r="K338" s="43">
        <x:v>68</x:v>
      </x:c>
      <x:c r="L338" s="42">
        <x:v>68</x:v>
      </x:c>
      <x:c r="M338" s="43">
        <x:v>62</x:v>
      </x:c>
      <x:c r="N338" s="43" t="s">
        <x:v>64</x:v>
      </x:c>
      <x:c r="Q338" s="21" t="s">
        <x:v>47</x:v>
      </x:c>
      <x:c r="S338" s="42"/>
      <x:c r="T338" s="42"/>
      <x:c r="U338" s="42"/>
      <x:c r="V338" s="69">
        <x:v>-2.0804089000000001</x:v>
      </x:c>
      <x:c r="W338" s="42">
        <x:v>106.1274526</x:v>
      </x:c>
      <x:c r="X338" s="42"/>
      <x:c r="Y338" s="44"/>
      <x:c r="Z338" s="26" t="s">
        <x:v>50</x:v>
      </x:c>
      <x:c r="AA338" s="39" t="s">
        <x:v>51</x:v>
      </x:c>
      <x:c r="AB338" s="71">
        <x:v>46220</x:v>
      </x:c>
      <x:c r="AC338" s="41" t="s">
        <x:v>52</x:v>
      </x:c>
      <x:c r="AD338" s="45">
        <x:f t="shared" si="22"/>
        <x:v>1</x:v>
      </x:c>
      <x:c r="AE338" s="45">
        <x:f t="shared" si="23"/>
        <x:v>0.91176470588235292</x:v>
      </x:c>
      <x:c r="AF338" s="227"/>
      <x:c r="AG338" s="228"/>
      <x:c r="AH338" s="229"/>
    </x:row>
    <x:row r="339" s="43" customFormat="1" ht="25">
      <x:c r="A339" s="27" t="s">
        <x:v>1172</x:v>
      </x:c>
      <x:c r="B339" s="42" t="s">
        <x:v>1173</x:v>
      </x:c>
      <x:c r="C339" s="43" t="s">
        <x:v>39</x:v>
      </x:c>
      <x:c r="D339" s="42" t="s">
        <x:v>75</x:v>
      </x:c>
      <x:c r="E339" s="42" t="s">
        <x:v>114</x:v>
      </x:c>
      <x:c r="F339" s="43" t="s">
        <x:v>1174</x:v>
      </x:c>
      <x:c r="G339" s="43" t="s">
        <x:v>1168</x:v>
      </x:c>
      <x:c r="H339" s="43" t="s">
        <x:v>1175</x:v>
      </x:c>
      <x:c r="I339" s="43" t="s">
        <x:v>142</x:v>
      </x:c>
      <x:c r="J339" s="43">
        <x:v>2018</x:v>
      </x:c>
      <x:c r="K339" s="43">
        <x:v>47</x:v>
      </x:c>
      <x:c r="L339" s="42">
        <x:v>24</x:v>
      </x:c>
      <x:c r="M339" s="43">
        <x:v>24</x:v>
      </x:c>
      <x:c r="N339" s="43" t="s">
        <x:v>64</x:v>
      </x:c>
      <x:c r="Q339" s="21" t="s">
        <x:v>47</x:v>
      </x:c>
      <x:c r="R339" s="21" t="s">
        <x:v>110</x:v>
      </x:c>
      <x:c r="S339" s="42"/>
      <x:c r="T339" s="42"/>
      <x:c r="U339" s="42"/>
      <x:c r="V339" s="69">
        <x:v>-2.0781331999999999</x:v>
      </x:c>
      <x:c r="W339" s="42">
        <x:v>106.12577349999999</x:v>
      </x:c>
      <x:c r="X339" s="42"/>
      <x:c r="Y339" s="44"/>
      <x:c r="Z339" s="26" t="s">
        <x:v>50</x:v>
      </x:c>
      <x:c r="AA339" s="39" t="s">
        <x:v>51</x:v>
      </x:c>
      <x:c r="AB339" s="71">
        <x:v>46220</x:v>
      </x:c>
      <x:c r="AC339" s="41" t="s">
        <x:v>52</x:v>
      </x:c>
      <x:c r="AD339" s="45">
        <x:f t="shared" si="22"/>
        <x:v>0.51063829787234039</x:v>
      </x:c>
      <x:c r="AE339" s="45">
        <x:f t="shared" si="23"/>
        <x:v>1</x:v>
      </x:c>
      <x:c r="AF339" s="227"/>
      <x:c r="AG339" s="228"/>
      <x:c r="AH339" s="229"/>
    </x:row>
    <x:row r="340" s="43" customFormat="1" ht="25">
      <x:c r="A340" s="27" t="s">
        <x:v>1176</x:v>
      </x:c>
      <x:c r="B340" s="42" t="s">
        <x:v>1177</x:v>
      </x:c>
      <x:c r="C340" s="43" t="s">
        <x:v>226</x:v>
      </x:c>
      <x:c r="D340" s="42" t="s">
        <x:v>75</x:v>
      </x:c>
      <x:c r="E340" s="42" t="s">
        <x:v>375</x:v>
      </x:c>
      <x:c r="F340" s="43" t="s">
        <x:v>1178</x:v>
      </x:c>
      <x:c r="G340" s="43" t="s">
        <x:v>1179</x:v>
      </x:c>
      <x:c r="H340" s="43" t="s">
        <x:v>1180</x:v>
      </x:c>
      <x:c r="I340" s="43" t="s">
        <x:v>107</x:v>
      </x:c>
      <x:c r="K340" s="43">
        <x:v>468</x:v>
      </x:c>
      <x:c r="L340" s="42">
        <x:v>468</x:v>
      </x:c>
      <x:c r="M340" s="43">
        <x:v>468</x:v>
      </x:c>
      <x:c r="N340" s="43" t="s">
        <x:v>64</x:v>
      </x:c>
      <x:c r="Q340" s="43" t="s">
        <x:v>89</x:v>
      </x:c>
      <x:c r="S340" s="17" t="s">
        <x:v>48</x:v>
      </x:c>
      <x:c r="T340" s="42"/>
      <x:c r="U340" s="42"/>
      <x:c r="V340" s="69">
        <x:v>-2.0850230000000001</x:v>
      </x:c>
      <x:c r="W340" s="42">
        <x:v>106.10572999999999</x:v>
      </x:c>
      <x:c r="X340" s="42"/>
      <x:c r="Y340" s="44"/>
      <x:c r="Z340" s="26" t="s">
        <x:v>50</x:v>
      </x:c>
      <x:c r="AA340" s="39" t="s">
        <x:v>51</x:v>
      </x:c>
      <x:c r="AB340" s="71">
        <x:v>46220</x:v>
      </x:c>
      <x:c r="AC340" s="41" t="s">
        <x:v>52</x:v>
      </x:c>
      <x:c r="AD340" s="45">
        <x:f t="shared" si="22"/>
        <x:v>1</x:v>
      </x:c>
      <x:c r="AE340" s="45">
        <x:f t="shared" si="23"/>
        <x:v>1</x:v>
      </x:c>
      <x:c r="AF340" s="227"/>
      <x:c r="AG340" s="228"/>
      <x:c r="AH340" s="229"/>
    </x:row>
    <x:row r="341" s="43" customFormat="1" ht="25">
      <x:c r="A341" s="27" t="s">
        <x:v>1181</x:v>
      </x:c>
      <x:c r="B341" s="42" t="s">
        <x:v>1182</x:v>
      </x:c>
      <x:c r="C341" s="43" t="s">
        <x:v>39</x:v>
      </x:c>
      <x:c r="D341" s="42" t="s">
        <x:v>102</x:v>
      </x:c>
      <x:c r="E341" s="42" t="s">
        <x:v>158</x:v>
      </x:c>
      <x:c r="F341" s="43" t="s">
        <x:v>1183</x:v>
      </x:c>
      <x:c r="G341" s="43" t="s">
        <x:v>1184</x:v>
      </x:c>
      <x:c r="H341" s="43" t="s">
        <x:v>856</x:v>
      </x:c>
      <x:c r="I341" s="43" t="s">
        <x:v>80</x:v>
      </x:c>
      <x:c r="J341" s="43">
        <x:v>2019</x:v>
      </x:c>
      <x:c r="K341" s="43">
        <x:v>63</x:v>
      </x:c>
      <x:c r="L341" s="42">
        <x:v>59</x:v>
      </x:c>
      <x:c r="M341" s="43">
        <x:v>59</x:v>
      </x:c>
      <x:c r="N341" s="43" t="s">
        <x:v>64</x:v>
      </x:c>
      <x:c r="Q341" s="43" t="s">
        <x:v>89</x:v>
      </x:c>
      <x:c r="S341" s="42"/>
      <x:c r="T341" s="42"/>
      <x:c r="U341" s="42"/>
      <x:c r="V341" s="69">
        <x:v>-2.128768</x:v>
      </x:c>
      <x:c r="W341" s="42">
        <x:v>106.160301</x:v>
      </x:c>
      <x:c r="X341" s="42"/>
      <x:c r="Y341" s="44"/>
      <x:c r="Z341" s="26" t="s">
        <x:v>50</x:v>
      </x:c>
      <x:c r="AA341" s="39" t="s">
        <x:v>51</x:v>
      </x:c>
      <x:c r="AB341" s="71">
        <x:v>46220</x:v>
      </x:c>
      <x:c r="AC341" s="41" t="s">
        <x:v>52</x:v>
      </x:c>
      <x:c r="AD341" s="45" t="n">
        <x:f t="shared" ref="AD341:AD348" si="24">IF(A341="","",IFERROR(L341/K341,0))</x:f>
        <x:v>0.9365079365079365</x:v>
      </x:c>
      <x:c r="AE341" s="45" t="n">
        <x:f t="shared" ref="AE341:AE348" si="25">IF(A341="","",IFERROR(M341/L341,0))</x:f>
        <x:v>1</x:v>
      </x:c>
      <x:c r="AF341" s="227"/>
      <x:c r="AG341" s="228"/>
      <x:c r="AH341" s="229"/>
    </x:row>
    <x:row r="342" s="43" customFormat="1" ht="25">
      <x:c r="A342" s="27" t="s">
        <x:v>1185</x:v>
      </x:c>
      <x:c r="B342" s="42" t="s">
        <x:v>1186</x:v>
      </x:c>
      <x:c r="C342" s="43" t="s">
        <x:v>39</x:v>
      </x:c>
      <x:c r="D342" s="42" t="s">
        <x:v>433</x:v>
      </x:c>
      <x:c r="E342" s="42" t="s">
        <x:v>434</x:v>
      </x:c>
      <x:c r="F342" s="43" t="s">
        <x:v>937</x:v>
      </x:c>
      <x:c r="G342" s="43" t="s">
        <x:v>62</x:v>
      </x:c>
      <x:c r="H342" s="43" t="s">
        <x:v>1187</x:v>
      </x:c>
      <x:c r="I342" s="43" t="s">
        <x:v>62</x:v>
      </x:c>
      <x:c r="J342" s="43">
        <x:v>2015</x:v>
      </x:c>
      <x:c r="K342" s="43">
        <x:v>78</x:v>
      </x:c>
      <x:c r="L342" s="42">
        <x:v>78</x:v>
      </x:c>
      <x:c r="M342" s="43">
        <x:v>76</x:v>
      </x:c>
      <x:c r="N342" s="43" t="s">
        <x:v>64</x:v>
      </x:c>
      <x:c r="Q342" s="21" t="s">
        <x:v>47</x:v>
      </x:c>
      <x:c r="S342" s="42"/>
      <x:c r="T342" s="42"/>
      <x:c r="U342" s="42"/>
      <x:c r="V342" s="69">
        <x:v>-2.1533030000000002</x:v>
      </x:c>
      <x:c r="W342" s="42">
        <x:v>106.107823</x:v>
      </x:c>
      <x:c r="X342" s="42"/>
      <x:c r="Y342" s="44"/>
      <x:c r="Z342" s="26" t="s">
        <x:v>50</x:v>
      </x:c>
      <x:c r="AA342" s="39" t="s">
        <x:v>51</x:v>
      </x:c>
      <x:c r="AB342" s="71">
        <x:v>46220</x:v>
      </x:c>
      <x:c r="AC342" s="41" t="s">
        <x:v>52</x:v>
      </x:c>
      <x:c r="AD342" s="45">
        <x:f t="shared" si="24"/>
        <x:v>1</x:v>
      </x:c>
      <x:c r="AE342" s="45">
        <x:f t="shared" si="25"/>
        <x:v>0.97435897435897434</x:v>
      </x:c>
      <x:c r="AF342" s="227"/>
      <x:c r="AG342" s="228"/>
      <x:c r="AH342" s="229"/>
    </x:row>
    <x:row r="343" s="43" customFormat="1" ht="25">
      <x:c r="A343" s="27" t="s">
        <x:v>1188</x:v>
      </x:c>
      <x:c r="B343" s="42" t="s">
        <x:v>1189</x:v>
      </x:c>
      <x:c r="C343" s="43" t="s">
        <x:v>39</x:v>
      </x:c>
      <x:c r="D343" s="42" t="s">
        <x:v>75</x:v>
      </x:c>
      <x:c r="E343" s="42" t="s">
        <x:v>114</x:v>
      </x:c>
      <x:c r="F343" s="43" t="s">
        <x:v>99</x:v>
      </x:c>
      <x:c r="G343" s="43" t="s">
        <x:v>1190</x:v>
      </x:c>
      <x:c r="H343" s="43" t="s">
        <x:v>1191</x:v>
      </x:c>
      <x:c r="I343" s="43" t="s">
        <x:v>45</x:v>
      </x:c>
      <x:c r="J343" s="43">
        <x:v>2015</x:v>
      </x:c>
      <x:c r="K343" s="43">
        <x:v>44</x:v>
      </x:c>
      <x:c r="L343" s="42">
        <x:v>44</x:v>
      </x:c>
      <x:c r="M343" s="43">
        <x:v>44</x:v>
      </x:c>
      <x:c r="N343" s="43" t="s">
        <x:v>64</x:v>
      </x:c>
      <x:c r="Q343" s="21" t="s">
        <x:v>47</x:v>
      </x:c>
      <x:c r="S343" s="42"/>
      <x:c r="T343" s="42"/>
      <x:c r="U343" s="42"/>
      <x:c r="V343" s="69">
        <x:v>-2.0866501</x:v>
      </x:c>
      <x:c r="W343" s="42">
        <x:v>106.09902460000001</x:v>
      </x:c>
      <x:c r="X343" s="42"/>
      <x:c r="Y343" s="44"/>
      <x:c r="Z343" s="26" t="s">
        <x:v>50</x:v>
      </x:c>
      <x:c r="AA343" s="39" t="s">
        <x:v>51</x:v>
      </x:c>
      <x:c r="AB343" s="71">
        <x:v>46220</x:v>
      </x:c>
      <x:c r="AC343" s="41" t="s">
        <x:v>52</x:v>
      </x:c>
      <x:c r="AD343" s="45">
        <x:f t="shared" si="24"/>
        <x:v>1</x:v>
      </x:c>
      <x:c r="AE343" s="45">
        <x:f t="shared" si="25"/>
        <x:v>1</x:v>
      </x:c>
      <x:c r="AF343" s="227"/>
      <x:c r="AG343" s="228"/>
      <x:c r="AH343" s="229"/>
    </x:row>
    <x:row r="344" s="43" customFormat="1" ht="25">
      <x:c r="A344" s="27" t="s">
        <x:v>1192</x:v>
      </x:c>
      <x:c r="B344" s="42" t="s">
        <x:v>1193</x:v>
      </x:c>
      <x:c r="C344" s="43" t="s">
        <x:v>39</x:v>
      </x:c>
      <x:c r="D344" s="42" t="s">
        <x:v>75</x:v>
      </x:c>
      <x:c r="E344" s="42" t="s">
        <x:v>87</x:v>
      </x:c>
      <x:c r="F344" s="43" t="s">
        <x:v>704</x:v>
      </x:c>
      <x:c r="G344" s="43" t="s">
        <x:v>1190</x:v>
      </x:c>
      <x:c r="H344" s="43" t="s">
        <x:v>1191</x:v>
      </x:c>
      <x:c r="I344" s="43" t="s">
        <x:v>45</x:v>
      </x:c>
      <x:c r="J344" s="43">
        <x:v>2019</x:v>
      </x:c>
      <x:c r="K344" s="43">
        <x:v>39</x:v>
      </x:c>
      <x:c r="L344" s="42">
        <x:v>39</x:v>
      </x:c>
      <x:c r="M344" s="43">
        <x:v>39</x:v>
      </x:c>
      <x:c r="N344" s="43" t="s">
        <x:v>64</x:v>
      </x:c>
      <x:c r="Q344" s="21" t="s">
        <x:v>47</x:v>
      </x:c>
      <x:c r="S344" s="42"/>
      <x:c r="T344" s="42"/>
      <x:c r="U344" s="42"/>
      <x:c r="V344" s="69">
        <x:v>-2.0910150000000001</x:v>
      </x:c>
      <x:c r="W344" s="42">
        <x:v>106.092673</x:v>
      </x:c>
      <x:c r="X344" s="42"/>
      <x:c r="Y344" s="44"/>
      <x:c r="Z344" s="26" t="s">
        <x:v>50</x:v>
      </x:c>
      <x:c r="AA344" s="39" t="s">
        <x:v>51</x:v>
      </x:c>
      <x:c r="AB344" s="71">
        <x:v>46220</x:v>
      </x:c>
      <x:c r="AC344" s="41" t="s">
        <x:v>52</x:v>
      </x:c>
      <x:c r="AD344" s="45">
        <x:f t="shared" si="24"/>
        <x:v>1</x:v>
      </x:c>
      <x:c r="AE344" s="45">
        <x:f t="shared" si="25"/>
        <x:v>1</x:v>
      </x:c>
      <x:c r="AF344" s="227"/>
      <x:c r="AG344" s="228"/>
      <x:c r="AH344" s="229"/>
    </x:row>
    <x:row r="345" s="43" customFormat="1" ht="25">
      <x:c r="A345" s="27" t="s">
        <x:v>1194</x:v>
      </x:c>
      <x:c r="B345" s="42" t="s">
        <x:v>1195</x:v>
      </x:c>
      <x:c r="C345" s="43" t="s">
        <x:v>39</x:v>
      </x:c>
      <x:c r="D345" s="42" t="s">
        <x:v>40</x:v>
      </x:c>
      <x:c r="E345" s="42" t="s">
        <x:v>41</x:v>
      </x:c>
      <x:c r="F345" s="43" t="s">
        <x:v>438</x:v>
      </x:c>
      <x:c r="G345" s="43" t="s">
        <x:v>1190</x:v>
      </x:c>
      <x:c r="H345" s="43" t="s">
        <x:v>1191</x:v>
      </x:c>
      <x:c r="I345" s="43" t="s">
        <x:v>45</x:v>
      </x:c>
      <x:c r="J345" s="43">
        <x:v>2018</x:v>
      </x:c>
      <x:c r="K345" s="43">
        <x:v>12</x:v>
      </x:c>
      <x:c r="L345" s="42">
        <x:v>12</x:v>
      </x:c>
      <x:c r="M345" s="43">
        <x:v>12</x:v>
      </x:c>
      <x:c r="N345" s="43" t="s">
        <x:v>64</x:v>
      </x:c>
      <x:c r="Q345" s="21" t="s">
        <x:v>47</x:v>
      </x:c>
      <x:c r="S345" s="42"/>
      <x:c r="T345" s="42"/>
      <x:c r="U345" s="42"/>
      <x:c r="V345" s="69"/>
      <x:c r="W345" s="42"/>
      <x:c r="X345" s="42"/>
      <x:c r="Y345" s="44"/>
      <x:c r="Z345" s="26" t="s">
        <x:v>50</x:v>
      </x:c>
      <x:c r="AA345" s="39" t="s">
        <x:v>51</x:v>
      </x:c>
      <x:c r="AB345" s="71">
        <x:v>46220</x:v>
      </x:c>
      <x:c r="AC345" s="41" t="s">
        <x:v>52</x:v>
      </x:c>
      <x:c r="AD345" s="45">
        <x:f t="shared" si="24"/>
        <x:v>1</x:v>
      </x:c>
      <x:c r="AE345" s="45">
        <x:f t="shared" si="25"/>
        <x:v>1</x:v>
      </x:c>
      <x:c r="AF345" s="227"/>
      <x:c r="AG345" s="228"/>
      <x:c r="AH345" s="229"/>
    </x:row>
    <x:row r="346" s="43" customFormat="1" ht="25">
      <x:c r="A346" s="27" t="s">
        <x:v>1196</x:v>
      </x:c>
      <x:c r="B346" s="42" t="s">
        <x:v>1197</x:v>
      </x:c>
      <x:c r="C346" s="43" t="s">
        <x:v>39</x:v>
      </x:c>
      <x:c r="D346" s="42" t="s">
        <x:v>102</x:v>
      </x:c>
      <x:c r="E346" s="42" t="s">
        <x:v>158</x:v>
      </x:c>
      <x:c r="F346" s="43" t="s">
        <x:v>215</x:v>
      </x:c>
      <x:c r="G346" s="43" t="s">
        <x:v>1190</x:v>
      </x:c>
      <x:c r="H346" s="43" t="s">
        <x:v>1191</x:v>
      </x:c>
      <x:c r="I346" s="43" t="s">
        <x:v>45</x:v>
      </x:c>
      <x:c r="J346" s="43">
        <x:v>2017</x:v>
      </x:c>
      <x:c r="K346" s="43">
        <x:v>21</x:v>
      </x:c>
      <x:c r="L346" s="42">
        <x:v>21</x:v>
      </x:c>
      <x:c r="M346" s="43">
        <x:v>21</x:v>
      </x:c>
      <x:c r="N346" s="43" t="s">
        <x:v>64</x:v>
      </x:c>
      <x:c r="Q346" s="21" t="s">
        <x:v>47</x:v>
      </x:c>
      <x:c r="S346" s="42"/>
      <x:c r="T346" s="42"/>
      <x:c r="U346" s="42"/>
      <x:c r="V346" s="69">
        <x:v>-2.1389182999999998</x:v>
      </x:c>
      <x:c r="W346" s="42">
        <x:v>106.16784389999999</x:v>
      </x:c>
      <x:c r="X346" s="42"/>
      <x:c r="Y346" s="44"/>
      <x:c r="Z346" s="26" t="s">
        <x:v>50</x:v>
      </x:c>
      <x:c r="AA346" s="39" t="s">
        <x:v>51</x:v>
      </x:c>
      <x:c r="AB346" s="71">
        <x:v>46220</x:v>
      </x:c>
      <x:c r="AC346" s="41" t="s">
        <x:v>52</x:v>
      </x:c>
      <x:c r="AD346" s="45">
        <x:f t="shared" si="24"/>
        <x:v>1</x:v>
      </x:c>
      <x:c r="AE346" s="45">
        <x:f t="shared" si="25"/>
        <x:v>1</x:v>
      </x:c>
      <x:c r="AF346" s="227"/>
      <x:c r="AG346" s="228"/>
      <x:c r="AH346" s="229"/>
    </x:row>
    <x:row r="347" s="43" customFormat="1" ht="25">
      <x:c r="A347" s="27" t="s">
        <x:v>1198</x:v>
      </x:c>
      <x:c r="B347" s="42" t="s">
        <x:v>1199</x:v>
      </x:c>
      <x:c r="C347" s="43" t="s">
        <x:v>113</x:v>
      </x:c>
      <x:c r="D347" s="42" t="s">
        <x:v>1200</x:v>
      </x:c>
      <x:c r="E347" s="42" t="s">
        <x:v>1201</x:v>
      </x:c>
      <x:c r="F347" s="43" t="s">
        <x:v>1202</x:v>
      </x:c>
      <x:c r="G347" s="43" t="s">
        <x:v>1203</x:v>
      </x:c>
      <x:c r="H347" s="43" t="s">
        <x:v>1204</x:v>
      </x:c>
      <x:c r="I347" s="43" t="s">
        <x:v>107</x:v>
      </x:c>
      <x:c r="J347" s="43">
        <x:v>2021</x:v>
      </x:c>
      <x:c r="K347" s="43">
        <x:v>50</x:v>
      </x:c>
      <x:c r="L347" s="42">
        <x:v>50</x:v>
      </x:c>
      <x:c r="M347" s="43">
        <x:v>50</x:v>
      </x:c>
      <x:c r="N347" s="43" t="s">
        <x:v>46</x:v>
      </x:c>
      <x:c r="O347" s="43">
        <x:v>2026</x:v>
      </x:c>
      <x:c r="Q347" s="21" t="s">
        <x:v>47</x:v>
      </x:c>
      <x:c r="S347" s="17" t="s">
        <x:v>48</x:v>
      </x:c>
      <x:c r="T347" s="42"/>
      <x:c r="U347" s="42"/>
      <x:c r="V347" s="69">
        <x:v>-2.1468946</x:v>
      </x:c>
      <x:c r="W347" s="42">
        <x:v>106.0942438</x:v>
      </x:c>
      <x:c r="X347" s="42"/>
      <x:c r="Y347" s="44"/>
      <x:c r="Z347" s="26" t="s">
        <x:v>50</x:v>
      </x:c>
      <x:c r="AA347" s="39" t="s">
        <x:v>51</x:v>
      </x:c>
      <x:c r="AB347" s="71">
        <x:v>46220</x:v>
      </x:c>
      <x:c r="AC347" s="41" t="s">
        <x:v>52</x:v>
      </x:c>
      <x:c r="AD347" s="45">
        <x:f t="shared" si="24"/>
        <x:v>1</x:v>
      </x:c>
      <x:c r="AE347" s="45">
        <x:f t="shared" si="25"/>
        <x:v>1</x:v>
      </x:c>
      <x:c r="AF347" s="227"/>
      <x:c r="AG347" s="228"/>
      <x:c r="AH347" s="229"/>
    </x:row>
    <x:row r="348" s="43" customFormat="1" ht="25">
      <x:c r="A348" s="27" t="s">
        <x:v>1205</x:v>
      </x:c>
      <x:c r="B348" s="42" t="s">
        <x:v>1206</x:v>
      </x:c>
      <x:c r="C348" s="43" t="s">
        <x:v>39</x:v>
      </x:c>
      <x:c r="D348" s="42" t="s">
        <x:v>102</x:v>
      </x:c>
      <x:c r="E348" s="42" t="s">
        <x:v>411</x:v>
      </x:c>
      <x:c r="F348" s="43" t="s">
        <x:v>412</x:v>
      </x:c>
      <x:c r="G348" s="43" t="s">
        <x:v>1203</x:v>
      </x:c>
      <x:c r="H348" s="43" t="s">
        <x:v>1204</x:v>
      </x:c>
      <x:c r="I348" s="43" t="s">
        <x:v>107</x:v>
      </x:c>
      <x:c r="J348" s="43">
        <x:v>2023</x:v>
      </x:c>
      <x:c r="K348" s="43">
        <x:v>170</x:v>
      </x:c>
      <x:c r="L348" s="42">
        <x:v>135</x:v>
      </x:c>
      <x:c r="M348" s="43">
        <x:v>135</x:v>
      </x:c>
      <x:c r="N348" s="43" t="s">
        <x:v>64</x:v>
      </x:c>
      <x:c r="Q348" s="21" t="s">
        <x:v>47</x:v>
      </x:c>
      <x:c r="R348" s="43" t="s">
        <x:v>110</x:v>
      </x:c>
      <x:c r="S348" s="17" t="s">
        <x:v>48</x:v>
      </x:c>
      <x:c r="T348" s="42"/>
      <x:c r="U348" s="42"/>
      <x:c r="V348" s="69">
        <x:v>-2.1261269999999999</x:v>
      </x:c>
      <x:c r="W348" s="42">
        <x:v>106.14223749999999</x:v>
      </x:c>
      <x:c r="X348" s="42"/>
      <x:c r="Y348" s="44"/>
      <x:c r="Z348" s="26" t="s">
        <x:v>50</x:v>
      </x:c>
      <x:c r="AA348" s="39" t="s">
        <x:v>51</x:v>
      </x:c>
      <x:c r="AB348" s="71">
        <x:v>46220</x:v>
      </x:c>
      <x:c r="AC348" s="41" t="s">
        <x:v>52</x:v>
      </x:c>
      <x:c r="AD348" s="45">
        <x:f t="shared" si="24"/>
        <x:v>0.79411764705882348</x:v>
      </x:c>
      <x:c r="AE348" s="45">
        <x:f t="shared" si="25"/>
        <x:v>1</x:v>
      </x:c>
      <x:c r="AF348" s="227"/>
      <x:c r="AG348" s="228"/>
      <x:c r="AH348" s="229"/>
    </x:row>
    <x:row r="349" s="43" customFormat="1" ht="19.399999618530273" customHeight="1">
      <x:c r="A349" s="27" t="s">
        <x:v>1207</x:v>
      </x:c>
      <x:c r="B349" s="42" t="s">
        <x:v>1208</x:v>
      </x:c>
      <x:c r="C349" s="43" t="s">
        <x:v>39</x:v>
      </x:c>
      <x:c r="D349" s="42" t="s">
        <x:v>102</x:v>
      </x:c>
      <x:c r="E349" s="42" t="s">
        <x:v>411</x:v>
      </x:c>
      <x:c r="F349" s="43" t="s">
        <x:v>1209</x:v>
      </x:c>
      <x:c r="G349" s="43" t="s">
        <x:v>1203</x:v>
      </x:c>
      <x:c r="H349" s="43" t="s">
        <x:v>1204</x:v>
      </x:c>
      <x:c r="I349" s="43" t="s">
        <x:v>107</x:v>
      </x:c>
      <x:c r="J349" s="43">
        <x:v>2026</x:v>
      </x:c>
      <x:c r="K349" s="43">
        <x:v>48</x:v>
      </x:c>
      <x:c r="L349" s="42">
        <x:v>0</x:v>
      </x:c>
      <x:c r="M349" s="43">
        <x:v>0</x:v>
      </x:c>
      <x:c r="N349" s="217" t="s">
        <x:v>64</x:v>
      </x:c>
      <x:c r="P349" s="43">
        <x:v>956.32</x:v>
      </x:c>
      <x:c r="Q349" s="21" t="s">
        <x:v>47</x:v>
      </x:c>
      <x:c r="R349" s="43" t="s">
        <x:v>110</x:v>
      </x:c>
      <x:c r="S349" s="17" t="s">
        <x:v>48</x:v>
      </x:c>
      <x:c r="T349" s="42"/>
      <x:c r="U349" s="42"/>
      <x:c r="V349" s="69">
        <x:v>-2.1257536190000001</x:v>
      </x:c>
      <x:c r="W349" s="42">
        <x:v>106.141600876</x:v>
      </x:c>
      <x:c r="X349" s="216" t="s">
        <x:v>1210</x:v>
      </x:c>
      <x:c r="Y349" s="44">
        <x:v>2026</x:v>
      </x:c>
      <x:c r="Z349" s="26" t="s">
        <x:v>50</x:v>
      </x:c>
      <x:c r="AA349" s="39" t="s">
        <x:v>223</x:v>
      </x:c>
      <x:c r="AB349" s="71">
        <x:v>46250</x:v>
      </x:c>
      <x:c r="AC349" s="41" t="s">
        <x:v>52</x:v>
      </x:c>
      <x:c r="AD349" s="45"/>
      <x:c r="AE349" s="45"/>
      <x:c r="AF349" s="227"/>
      <x:c r="AG349" s="228"/>
      <x:c r="AH349" s="229"/>
    </x:row>
    <x:row r="350" s="43" customFormat="1" ht="25">
      <x:c r="A350" s="27" t="s">
        <x:v>1211</x:v>
      </x:c>
      <x:c r="B350" s="42" t="s">
        <x:v>1212</x:v>
      </x:c>
      <x:c r="C350" s="43" t="s">
        <x:v>39</x:v>
      </x:c>
      <x:c r="D350" s="42" t="s">
        <x:v>40</x:v>
      </x:c>
      <x:c r="E350" s="42" t="s">
        <x:v>41</x:v>
      </x:c>
      <x:c r="F350" s="43" t="s">
        <x:v>146</x:v>
      </x:c>
      <x:c r="G350" s="43" t="s">
        <x:v>62</x:v>
      </x:c>
      <x:c r="H350" s="43" t="s">
        <x:v>62</x:v>
      </x:c>
      <x:c r="I350" s="43" t="s">
        <x:v>62</x:v>
      </x:c>
      <x:c r="J350" s="43">
        <x:v>2018</x:v>
      </x:c>
      <x:c r="K350" s="43">
        <x:v>33</x:v>
      </x:c>
      <x:c r="L350" s="42">
        <x:v>33</x:v>
      </x:c>
      <x:c r="M350" s="43">
        <x:v>33</x:v>
      </x:c>
      <x:c r="N350" s="43" t="s">
        <x:v>64</x:v>
      </x:c>
      <x:c r="Q350" s="21" t="s">
        <x:v>47</x:v>
      </x:c>
      <x:c r="R350" s="21" t="s">
        <x:v>110</x:v>
      </x:c>
      <x:c r="S350" s="42"/>
      <x:c r="T350" s="42"/>
      <x:c r="U350" s="42"/>
      <x:c r="V350" s="69">
        <x:v>-2.1123416000000002</x:v>
      </x:c>
      <x:c r="W350" s="42">
        <x:v>106.06992219999999</x:v>
      </x:c>
      <x:c r="X350" s="42"/>
      <x:c r="Y350" s="44"/>
      <x:c r="Z350" s="26" t="s">
        <x:v>50</x:v>
      </x:c>
      <x:c r="AA350" s="39" t="s">
        <x:v>51</x:v>
      </x:c>
      <x:c r="AB350" s="71">
        <x:v>46220</x:v>
      </x:c>
      <x:c r="AC350" s="41" t="s">
        <x:v>52</x:v>
      </x:c>
      <x:c r="AD350" s="45" t="n">
        <x:f t="shared" ref="AD350:AD361" si="26">IF(A350="","",IFERROR(L350/K350,0))</x:f>
        <x:v>1</x:v>
      </x:c>
      <x:c r="AE350" s="45" t="n">
        <x:f t="shared" ref="AE350:AE361" si="27">IF(A350="","",IFERROR(M350/L350,0))</x:f>
        <x:v>1</x:v>
      </x:c>
      <x:c r="AF350" s="227"/>
      <x:c r="AG350" s="228"/>
      <x:c r="AH350" s="229"/>
    </x:row>
    <x:row r="351" s="43" customFormat="1" ht="25">
      <x:c r="A351" s="27" t="s">
        <x:v>1213</x:v>
      </x:c>
      <x:c r="B351" s="42" t="s">
        <x:v>1214</x:v>
      </x:c>
      <x:c r="C351" s="43" t="s">
        <x:v>39</x:v>
      </x:c>
      <x:c r="D351" s="42" t="s">
        <x:v>126</x:v>
      </x:c>
      <x:c r="E351" s="42" t="s">
        <x:v>1215</x:v>
      </x:c>
      <x:c r="F351" s="43" t="s">
        <x:v>1216</x:v>
      </x:c>
      <x:c r="G351" s="43" t="s">
        <x:v>705</x:v>
      </x:c>
      <x:c r="H351" s="43" t="s">
        <x:v>1217</x:v>
      </x:c>
      <x:c r="I351" s="215" t="s">
        <x:v>218</x:v>
      </x:c>
      <x:c r="J351" s="43">
        <x:v>2020</x:v>
      </x:c>
      <x:c r="K351" s="43">
        <x:v>62</x:v>
      </x:c>
      <x:c r="L351" s="42">
        <x:v>27</x:v>
      </x:c>
      <x:c r="M351" s="43">
        <x:v>27</x:v>
      </x:c>
      <x:c r="N351" s="43" t="s">
        <x:v>64</x:v>
      </x:c>
      <x:c r="Q351" s="21" t="s">
        <x:v>47</x:v>
      </x:c>
      <x:c r="R351" s="21" t="s">
        <x:v>110</x:v>
      </x:c>
      <x:c r="S351" s="42"/>
      <x:c r="T351" s="42"/>
      <x:c r="U351" s="42"/>
      <x:c r="V351" s="69">
        <x:v>-2.1102194000000001</x:v>
      </x:c>
      <x:c r="W351" s="42">
        <x:v>106.123358</x:v>
      </x:c>
      <x:c r="X351" s="42"/>
      <x:c r="Y351" s="44"/>
      <x:c r="Z351" s="26" t="s">
        <x:v>50</x:v>
      </x:c>
      <x:c r="AA351" s="39" t="s">
        <x:v>51</x:v>
      </x:c>
      <x:c r="AB351" s="71">
        <x:v>46220</x:v>
      </x:c>
      <x:c r="AC351" s="41" t="s">
        <x:v>52</x:v>
      </x:c>
      <x:c r="AD351" s="45">
        <x:f t="shared" si="26"/>
        <x:v>0.43548387096774194</x:v>
      </x:c>
      <x:c r="AE351" s="45">
        <x:f t="shared" si="27"/>
        <x:v>1</x:v>
      </x:c>
      <x:c r="AF351" s="227"/>
      <x:c r="AG351" s="228"/>
      <x:c r="AH351" s="229"/>
    </x:row>
    <x:row r="352" s="43" customFormat="1" ht="25">
      <x:c r="A352" s="27" t="s">
        <x:v>1218</x:v>
      </x:c>
      <x:c r="B352" s="42" t="s">
        <x:v>1219</x:v>
      </x:c>
      <x:c r="C352" s="43" t="s">
        <x:v>39</x:v>
      </x:c>
      <x:c r="D352" s="42" t="s">
        <x:v>75</x:v>
      </x:c>
      <x:c r="E352" s="42" t="s">
        <x:v>114</x:v>
      </x:c>
      <x:c r="F352" s="43" t="s">
        <x:v>1220</x:v>
      </x:c>
      <x:c r="G352" s="43" t="s">
        <x:v>1221</x:v>
      </x:c>
      <x:c r="H352" s="43" t="s">
        <x:v>62</x:v>
      </x:c>
      <x:c r="I352" s="43" t="s">
        <x:v>268</x:v>
      </x:c>
      <x:c r="J352" s="43">
        <x:v>2017</x:v>
      </x:c>
      <x:c r="K352" s="43">
        <x:v>43</x:v>
      </x:c>
      <x:c r="L352" s="42">
        <x:v>40</x:v>
      </x:c>
      <x:c r="M352" s="43">
        <x:v>34</x:v>
      </x:c>
      <x:c r="N352" s="43" t="s">
        <x:v>64</x:v>
      </x:c>
      <x:c r="Q352" s="21" t="s">
        <x:v>47</x:v>
      </x:c>
      <x:c r="R352" s="21" t="s">
        <x:v>110</x:v>
      </x:c>
      <x:c r="S352" s="42"/>
      <x:c r="T352" s="42"/>
      <x:c r="U352" s="42"/>
      <x:c r="V352" s="69">
        <x:v>-2.0877240000000001</x:v>
      </x:c>
      <x:c r="W352" s="42">
        <x:v>106.104771</x:v>
      </x:c>
      <x:c r="X352" s="42"/>
      <x:c r="Y352" s="44"/>
      <x:c r="Z352" s="26" t="s">
        <x:v>50</x:v>
      </x:c>
      <x:c r="AA352" s="39" t="s">
        <x:v>51</x:v>
      </x:c>
      <x:c r="AB352" s="71">
        <x:v>46220</x:v>
      </x:c>
      <x:c r="AC352" s="41" t="s">
        <x:v>52</x:v>
      </x:c>
      <x:c r="AD352" s="45">
        <x:f t="shared" si="26"/>
        <x:v>0.93023255813953487</x:v>
      </x:c>
      <x:c r="AE352" s="45">
        <x:f t="shared" si="27"/>
        <x:v>0.85</x:v>
      </x:c>
      <x:c r="AF352" s="227"/>
      <x:c r="AG352" s="228"/>
      <x:c r="AH352" s="229"/>
    </x:row>
    <x:row r="353" s="43" customFormat="1" ht="25">
      <x:c r="A353" s="27" t="s">
        <x:v>1222</x:v>
      </x:c>
      <x:c r="B353" s="42" t="s">
        <x:v>1223</x:v>
      </x:c>
      <x:c r="C353" s="43" t="s">
        <x:v>39</x:v>
      </x:c>
      <x:c r="D353" s="42" t="s">
        <x:v>40</x:v>
      </x:c>
      <x:c r="E353" s="42" t="s">
        <x:v>41</x:v>
      </x:c>
      <x:c r="F353" s="43" t="s">
        <x:v>1224</x:v>
      </x:c>
      <x:c r="G353" s="43" t="s">
        <x:v>1225</x:v>
      </x:c>
      <x:c r="H353" s="43" t="s">
        <x:v>973</x:v>
      </x:c>
      <x:c r="I353" s="43" t="s">
        <x:v>142</x:v>
      </x:c>
      <x:c r="J353" s="43">
        <x:v>2019</x:v>
      </x:c>
      <x:c r="K353" s="43">
        <x:v>44</x:v>
      </x:c>
      <x:c r="L353" s="42">
        <x:v>44</x:v>
      </x:c>
      <x:c r="M353" s="43">
        <x:v>44</x:v>
      </x:c>
      <x:c r="N353" s="43" t="s">
        <x:v>64</x:v>
      </x:c>
      <x:c r="Q353" s="21" t="s">
        <x:v>47</x:v>
      </x:c>
      <x:c r="S353" s="42"/>
      <x:c r="T353" s="42"/>
      <x:c r="U353" s="42"/>
      <x:c r="V353" s="69">
        <x:v>-2.1144664</x:v>
      </x:c>
      <x:c r="W353" s="42">
        <x:v>106.07396660000001</x:v>
      </x:c>
      <x:c r="X353" s="42"/>
      <x:c r="Y353" s="44"/>
      <x:c r="Z353" s="26" t="s">
        <x:v>50</x:v>
      </x:c>
      <x:c r="AA353" s="39" t="s">
        <x:v>51</x:v>
      </x:c>
      <x:c r="AB353" s="71">
        <x:v>46220</x:v>
      </x:c>
      <x:c r="AC353" s="41" t="s">
        <x:v>52</x:v>
      </x:c>
      <x:c r="AD353" s="45">
        <x:f t="shared" si="26"/>
        <x:v>1</x:v>
      </x:c>
      <x:c r="AE353" s="45">
        <x:f t="shared" si="27"/>
        <x:v>1</x:v>
      </x:c>
      <x:c r="AF353" s="227"/>
      <x:c r="AG353" s="228"/>
      <x:c r="AH353" s="229"/>
    </x:row>
    <x:row r="354" s="43" customFormat="1" ht="25">
      <x:c r="A354" s="27" t="s">
        <x:v>1226</x:v>
      </x:c>
      <x:c r="B354" s="42" t="s">
        <x:v>1227</x:v>
      </x:c>
      <x:c r="C354" s="43" t="s">
        <x:v>39</x:v>
      </x:c>
      <x:c r="D354" s="42" t="s">
        <x:v>126</x:v>
      </x:c>
      <x:c r="E354" s="42" t="s">
        <x:v>291</x:v>
      </x:c>
      <x:c r="F354" s="43" t="s">
        <x:v>1228</x:v>
      </x:c>
      <x:c r="G354" s="43" t="s">
        <x:v>1229</x:v>
      </x:c>
      <x:c r="H354" s="43" t="s">
        <x:v>1230</x:v>
      </x:c>
      <x:c r="I354" s="43" t="s">
        <x:v>268</x:v>
      </x:c>
      <x:c r="J354" s="43">
        <x:v>2017</x:v>
      </x:c>
      <x:c r="K354" s="43">
        <x:v>48</x:v>
      </x:c>
      <x:c r="L354" s="42">
        <x:v>42</x:v>
      </x:c>
      <x:c r="M354" s="43">
        <x:v>33</x:v>
      </x:c>
      <x:c r="N354" s="43" t="s">
        <x:v>64</x:v>
      </x:c>
      <x:c r="Q354" s="21" t="s">
        <x:v>47</x:v>
      </x:c>
      <x:c r="R354" s="21" t="s">
        <x:v>110</x:v>
      </x:c>
      <x:c r="S354" s="42"/>
      <x:c r="T354" s="42"/>
      <x:c r="U354" s="42"/>
      <x:c r="V354" s="69">
        <x:v>-2.0870636999999999</x:v>
      </x:c>
      <x:c r="W354" s="42">
        <x:v>106.12246279999999</x:v>
      </x:c>
      <x:c r="X354" s="42"/>
      <x:c r="Y354" s="44"/>
      <x:c r="Z354" s="26" t="s">
        <x:v>50</x:v>
      </x:c>
      <x:c r="AA354" s="39" t="s">
        <x:v>51</x:v>
      </x:c>
      <x:c r="AB354" s="71">
        <x:v>46220</x:v>
      </x:c>
      <x:c r="AC354" s="41" t="s">
        <x:v>52</x:v>
      </x:c>
      <x:c r="AD354" s="45">
        <x:f t="shared" si="26"/>
        <x:v>0.875</x:v>
      </x:c>
      <x:c r="AE354" s="45">
        <x:f t="shared" si="27"/>
        <x:v>0.7857142857142857</x:v>
      </x:c>
      <x:c r="AF354" s="227"/>
      <x:c r="AG354" s="228"/>
      <x:c r="AH354" s="229"/>
    </x:row>
    <x:row r="355" s="43" customFormat="1" ht="25">
      <x:c r="A355" s="27" t="s">
        <x:v>1231</x:v>
      </x:c>
      <x:c r="B355" s="42" t="s">
        <x:v>1232</x:v>
      </x:c>
      <x:c r="C355" s="43" t="s">
        <x:v>39</x:v>
      </x:c>
      <x:c r="D355" s="42" t="s">
        <x:v>75</x:v>
      </x:c>
      <x:c r="E355" s="42" t="s">
        <x:v>114</x:v>
      </x:c>
      <x:c r="F355" s="43" t="s">
        <x:v>1233</x:v>
      </x:c>
      <x:c r="G355" s="43" t="s">
        <x:v>204</x:v>
      </x:c>
      <x:c r="H355" s="43" t="s">
        <x:v>205</x:v>
      </x:c>
      <x:c r="I355" s="43" t="s">
        <x:v>80</x:v>
      </x:c>
      <x:c r="J355" s="43">
        <x:v>2016</x:v>
      </x:c>
      <x:c r="K355" s="43">
        <x:v>56</x:v>
      </x:c>
      <x:c r="L355" s="42">
        <x:v>56</x:v>
      </x:c>
      <x:c r="M355" s="43">
        <x:v>56</x:v>
      </x:c>
      <x:c r="N355" s="43" t="s">
        <x:v>64</x:v>
      </x:c>
      <x:c r="Q355" s="21" t="s">
        <x:v>47</x:v>
      </x:c>
      <x:c r="S355" s="42"/>
      <x:c r="T355" s="42"/>
      <x:c r="U355" s="42"/>
      <x:c r="V355" s="69">
        <x:v>-2.0997509999999999</x:v>
      </x:c>
      <x:c r="W355" s="42">
        <x:v>106.108549</x:v>
      </x:c>
      <x:c r="X355" s="42"/>
      <x:c r="Y355" s="44"/>
      <x:c r="Z355" s="26" t="s">
        <x:v>50</x:v>
      </x:c>
      <x:c r="AA355" s="39" t="s">
        <x:v>51</x:v>
      </x:c>
      <x:c r="AB355" s="71">
        <x:v>46220</x:v>
      </x:c>
      <x:c r="AC355" s="41" t="s">
        <x:v>52</x:v>
      </x:c>
      <x:c r="AD355" s="45">
        <x:f t="shared" si="26"/>
        <x:v>1</x:v>
      </x:c>
      <x:c r="AE355" s="45">
        <x:f t="shared" si="27"/>
        <x:v>1</x:v>
      </x:c>
      <x:c r="AF355" s="227"/>
      <x:c r="AG355" s="228"/>
      <x:c r="AH355" s="229"/>
    </x:row>
    <x:row r="356" s="43" customFormat="1" ht="25">
      <x:c r="A356" s="27" t="s">
        <x:v>1234</x:v>
      </x:c>
      <x:c r="B356" s="42" t="s">
        <x:v>1235</x:v>
      </x:c>
      <x:c r="C356" s="43" t="s">
        <x:v>39</x:v>
      </x:c>
      <x:c r="D356" s="42" t="s">
        <x:v>75</x:v>
      </x:c>
      <x:c r="E356" s="42" t="s">
        <x:v>87</x:v>
      </x:c>
      <x:c r="F356" s="43" t="s">
        <x:v>1236</x:v>
      </x:c>
      <x:c r="G356" s="43" t="s">
        <x:v>1237</x:v>
      </x:c>
      <x:c r="H356" s="43" t="s">
        <x:v>1238</x:v>
      </x:c>
      <x:c r="I356" s="43" t="s">
        <x:v>62</x:v>
      </x:c>
      <x:c r="J356" s="43">
        <x:v>2023</x:v>
      </x:c>
      <x:c r="K356" s="43">
        <x:v>77</x:v>
      </x:c>
      <x:c r="L356" s="42">
        <x:v>29</x:v>
      </x:c>
      <x:c r="M356" s="43">
        <x:v>24</x:v>
      </x:c>
      <x:c r="N356" s="43" t="s">
        <x:v>64</x:v>
      </x:c>
      <x:c r="Q356" s="21" t="s">
        <x:v>47</x:v>
      </x:c>
      <x:c r="R356" s="21" t="s">
        <x:v>110</x:v>
      </x:c>
      <x:c r="S356" s="42"/>
      <x:c r="T356" s="42"/>
      <x:c r="U356" s="42"/>
      <x:c r="V356" s="69">
        <x:v>-2.0913586999999998</x:v>
      </x:c>
      <x:c r="W356" s="42">
        <x:v>106.0929603</x:v>
      </x:c>
      <x:c r="X356" s="42"/>
      <x:c r="Y356" s="44"/>
      <x:c r="Z356" s="26" t="s">
        <x:v>50</x:v>
      </x:c>
      <x:c r="AA356" s="39" t="s">
        <x:v>51</x:v>
      </x:c>
      <x:c r="AB356" s="71">
        <x:v>46220</x:v>
      </x:c>
      <x:c r="AC356" s="41" t="s">
        <x:v>52</x:v>
      </x:c>
      <x:c r="AD356" s="45">
        <x:f t="shared" si="26"/>
        <x:v>0.37662337662337664</x:v>
      </x:c>
      <x:c r="AE356" s="45">
        <x:f t="shared" si="27"/>
        <x:v>0.82758620689655171</x:v>
      </x:c>
      <x:c r="AF356" s="227"/>
      <x:c r="AG356" s="228"/>
      <x:c r="AH356" s="229"/>
    </x:row>
    <x:row r="357" s="43" customFormat="1" ht="25">
      <x:c r="A357" s="27" t="s">
        <x:v>1239</x:v>
      </x:c>
      <x:c r="B357" s="42" t="s">
        <x:v>1240</x:v>
      </x:c>
      <x:c r="C357" s="43" t="s">
        <x:v>226</x:v>
      </x:c>
      <x:c r="D357" s="42" t="s">
        <x:v>1200</x:v>
      </x:c>
      <x:c r="E357" s="42" t="s">
        <x:v>1241</x:v>
      </x:c>
      <x:c r="F357" s="43" t="s">
        <x:v>1242</x:v>
      </x:c>
      <x:c r="G357" s="43" t="s">
        <x:v>62</x:v>
      </x:c>
      <x:c r="H357" s="43" t="s">
        <x:v>62</x:v>
      </x:c>
      <x:c r="I357" s="43" t="s">
        <x:v>62</x:v>
      </x:c>
      <x:c r="K357" s="43">
        <x:v>4</x:v>
      </x:c>
      <x:c r="L357" s="42">
        <x:v>4</x:v>
      </x:c>
      <x:c r="M357" s="43">
        <x:v>4</x:v>
      </x:c>
      <x:c r="N357" s="43" t="s">
        <x:v>64</x:v>
      </x:c>
      <x:c r="Q357" s="21" t="s">
        <x:v>47</x:v>
      </x:c>
      <x:c r="S357" s="42"/>
      <x:c r="T357" s="42"/>
      <x:c r="U357" s="42"/>
      <x:c r="V357" s="69">
        <x:v>-2.1322789200000001</x:v>
      </x:c>
      <x:c r="W357" s="42">
        <x:v>106.0984273</x:v>
      </x:c>
      <x:c r="X357" s="42"/>
      <x:c r="Y357" s="44"/>
      <x:c r="Z357" s="26" t="s">
        <x:v>50</x:v>
      </x:c>
      <x:c r="AA357" s="39" t="s">
        <x:v>51</x:v>
      </x:c>
      <x:c r="AB357" s="71">
        <x:v>46220</x:v>
      </x:c>
      <x:c r="AC357" s="41" t="s">
        <x:v>52</x:v>
      </x:c>
      <x:c r="AD357" s="45">
        <x:f t="shared" si="26"/>
        <x:v>1</x:v>
      </x:c>
      <x:c r="AE357" s="45">
        <x:f t="shared" si="27"/>
        <x:v>1</x:v>
      </x:c>
      <x:c r="AF357" s="227"/>
      <x:c r="AG357" s="228"/>
      <x:c r="AH357" s="229"/>
    </x:row>
    <x:row r="358" s="43" customFormat="1" ht="25">
      <x:c r="A358" s="27" t="s">
        <x:v>1243</x:v>
      </x:c>
      <x:c r="B358" s="42" t="s">
        <x:v>1244</x:v>
      </x:c>
      <x:c r="C358" s="43" t="s">
        <x:v>39</x:v>
      </x:c>
      <x:c r="D358" s="42" t="s">
        <x:v>75</x:v>
      </x:c>
      <x:c r="E358" s="42" t="s">
        <x:v>114</x:v>
      </x:c>
      <x:c r="F358" s="43" t="s">
        <x:v>286</x:v>
      </x:c>
      <x:c r="G358" s="43" t="s">
        <x:v>1245</x:v>
      </x:c>
      <x:c r="H358" s="43" t="s">
        <x:v>1246</x:v>
      </x:c>
      <x:c r="I358" s="43" t="s">
        <x:v>62</x:v>
      </x:c>
      <x:c r="J358" s="43">
        <x:v>2018</x:v>
      </x:c>
      <x:c r="K358" s="43">
        <x:v>128</x:v>
      </x:c>
      <x:c r="L358" s="42">
        <x:v>128</x:v>
      </x:c>
      <x:c r="M358" s="43">
        <x:v>128</x:v>
      </x:c>
      <x:c r="N358" s="43" t="s">
        <x:v>64</x:v>
      </x:c>
      <x:c r="Q358" s="21" t="s">
        <x:v>47</x:v>
      </x:c>
      <x:c r="S358" s="42"/>
      <x:c r="T358" s="42"/>
      <x:c r="U358" s="42"/>
      <x:c r="V358" s="69">
        <x:v>-2.0771069999999998</x:v>
      </x:c>
      <x:c r="W358" s="42">
        <x:v>106.115712</x:v>
      </x:c>
      <x:c r="X358" s="42"/>
      <x:c r="Y358" s="44"/>
      <x:c r="Z358" s="26" t="s">
        <x:v>50</x:v>
      </x:c>
      <x:c r="AA358" s="39" t="s">
        <x:v>51</x:v>
      </x:c>
      <x:c r="AB358" s="71">
        <x:v>46220</x:v>
      </x:c>
      <x:c r="AC358" s="41" t="s">
        <x:v>52</x:v>
      </x:c>
      <x:c r="AD358" s="45">
        <x:f t="shared" si="26"/>
        <x:v>1</x:v>
      </x:c>
      <x:c r="AE358" s="45">
        <x:f t="shared" si="27"/>
        <x:v>1</x:v>
      </x:c>
      <x:c r="AF358" s="227"/>
      <x:c r="AG358" s="228"/>
      <x:c r="AH358" s="229"/>
    </x:row>
    <x:row r="359" s="43" customFormat="1" ht="25">
      <x:c r="A359" s="27" t="s">
        <x:v>1247</x:v>
      </x:c>
      <x:c r="B359" s="42" t="s">
        <x:v>1248</x:v>
      </x:c>
      <x:c r="C359" s="43" t="s">
        <x:v>39</x:v>
      </x:c>
      <x:c r="D359" s="42" t="s">
        <x:v>75</x:v>
      </x:c>
      <x:c r="E359" s="42" t="s">
        <x:v>114</x:v>
      </x:c>
      <x:c r="F359" s="43" t="s">
        <x:v>286</x:v>
      </x:c>
      <x:c r="G359" s="43" t="s">
        <x:v>1245</x:v>
      </x:c>
      <x:c r="H359" s="43" t="s">
        <x:v>1246</x:v>
      </x:c>
      <x:c r="I359" s="43" t="s">
        <x:v>62</x:v>
      </x:c>
      <x:c r="J359" s="43">
        <x:v>2018</x:v>
      </x:c>
      <x:c r="K359" s="43">
        <x:v>116</x:v>
      </x:c>
      <x:c r="L359" s="42">
        <x:v>59</x:v>
      </x:c>
      <x:c r="M359" s="43">
        <x:v>59</x:v>
      </x:c>
      <x:c r="N359" s="43" t="s">
        <x:v>64</x:v>
      </x:c>
      <x:c r="Q359" s="21" t="s">
        <x:v>47</x:v>
      </x:c>
      <x:c r="S359" s="42"/>
      <x:c r="T359" s="42"/>
      <x:c r="U359" s="42"/>
      <x:c r="V359" s="69">
        <x:v>-2.0771069999999998</x:v>
      </x:c>
      <x:c r="W359" s="42">
        <x:v>106.115712</x:v>
      </x:c>
      <x:c r="X359" s="42"/>
      <x:c r="Y359" s="44"/>
      <x:c r="Z359" s="26" t="s">
        <x:v>50</x:v>
      </x:c>
      <x:c r="AA359" s="39" t="s">
        <x:v>51</x:v>
      </x:c>
      <x:c r="AB359" s="71">
        <x:v>46220</x:v>
      </x:c>
      <x:c r="AC359" s="41" t="s">
        <x:v>52</x:v>
      </x:c>
      <x:c r="AD359" s="45">
        <x:f t="shared" si="26"/>
        <x:v>0.50862068965517238</x:v>
      </x:c>
      <x:c r="AE359" s="45">
        <x:f t="shared" si="27"/>
        <x:v>1</x:v>
      </x:c>
      <x:c r="AF359" s="227"/>
      <x:c r="AG359" s="228"/>
      <x:c r="AH359" s="229"/>
    </x:row>
    <x:row r="360" s="43" customFormat="1" ht="25">
      <x:c r="A360" s="27" t="s">
        <x:v>1249</x:v>
      </x:c>
      <x:c r="B360" s="42" t="s">
        <x:v>1250</x:v>
      </x:c>
      <x:c r="C360" s="43" t="s">
        <x:v>39</x:v>
      </x:c>
      <x:c r="D360" s="42" t="s">
        <x:v>75</x:v>
      </x:c>
      <x:c r="E360" s="42" t="s">
        <x:v>114</x:v>
      </x:c>
      <x:c r="F360" s="43" t="s">
        <x:v>286</x:v>
      </x:c>
      <x:c r="G360" s="43" t="s">
        <x:v>1245</x:v>
      </x:c>
      <x:c r="H360" s="43" t="s">
        <x:v>1246</x:v>
      </x:c>
      <x:c r="I360" s="43" t="s">
        <x:v>62</x:v>
      </x:c>
      <x:c r="J360" s="43">
        <x:v>2019</x:v>
      </x:c>
      <x:c r="K360" s="43">
        <x:v>105</x:v>
      </x:c>
      <x:c r="L360" s="42">
        <x:v>9</x:v>
      </x:c>
      <x:c r="M360" s="43">
        <x:v>9</x:v>
      </x:c>
      <x:c r="N360" s="43" t="s">
        <x:v>64</x:v>
      </x:c>
      <x:c r="Q360" s="21" t="s">
        <x:v>47</x:v>
      </x:c>
      <x:c r="S360" s="42"/>
      <x:c r="T360" s="42"/>
      <x:c r="U360" s="42"/>
      <x:c r="V360" s="69">
        <x:v>-2.0771069999999998</x:v>
      </x:c>
      <x:c r="W360" s="42">
        <x:v>106.115712</x:v>
      </x:c>
      <x:c r="X360" s="42"/>
      <x:c r="Y360" s="44"/>
      <x:c r="Z360" s="26" t="s">
        <x:v>50</x:v>
      </x:c>
      <x:c r="AA360" s="39" t="s">
        <x:v>51</x:v>
      </x:c>
      <x:c r="AB360" s="71">
        <x:v>46220</x:v>
      </x:c>
      <x:c r="AC360" s="41" t="s">
        <x:v>52</x:v>
      </x:c>
      <x:c r="AD360" s="45">
        <x:f t="shared" si="26"/>
        <x:v>8.5714285714285715E-2</x:v>
      </x:c>
      <x:c r="AE360" s="45">
        <x:f t="shared" si="27"/>
        <x:v>1</x:v>
      </x:c>
      <x:c r="AF360" s="227"/>
      <x:c r="AG360" s="228"/>
      <x:c r="AH360" s="229"/>
    </x:row>
    <x:row r="361" s="43" customFormat="1" ht="25">
      <x:c r="A361" s="27" t="s">
        <x:v>1251</x:v>
      </x:c>
      <x:c r="B361" s="42" t="s">
        <x:v>1252</x:v>
      </x:c>
      <x:c r="C361" s="43" t="s">
        <x:v>39</x:v>
      </x:c>
      <x:c r="D361" s="42" t="s">
        <x:v>75</x:v>
      </x:c>
      <x:c r="E361" s="42" t="s">
        <x:v>114</x:v>
      </x:c>
      <x:c r="F361" s="43" t="s">
        <x:v>1253</x:v>
      </x:c>
      <x:c r="G361" s="43" t="s">
        <x:v>1245</x:v>
      </x:c>
      <x:c r="H361" s="43" t="s">
        <x:v>1246</x:v>
      </x:c>
      <x:c r="I361" s="43" t="s">
        <x:v>62</x:v>
      </x:c>
      <x:c r="J361" s="43">
        <x:v>2019</x:v>
      </x:c>
      <x:c r="K361" s="43">
        <x:v>43</x:v>
      </x:c>
      <x:c r="L361" s="42">
        <x:v>0</x:v>
      </x:c>
      <x:c r="M361" s="43">
        <x:v>0</x:v>
      </x:c>
      <x:c r="N361" s="43" t="s">
        <x:v>64</x:v>
      </x:c>
      <x:c r="Q361" s="21" t="s">
        <x:v>47</x:v>
      </x:c>
      <x:c r="S361" s="42"/>
      <x:c r="T361" s="42"/>
      <x:c r="U361" s="42"/>
      <x:c r="V361" s="69">
        <x:v>-2.0771069999999998</x:v>
      </x:c>
      <x:c r="W361" s="42">
        <x:v>106.115712</x:v>
      </x:c>
      <x:c r="X361" s="42"/>
      <x:c r="Y361" s="44"/>
      <x:c r="Z361" s="26" t="s">
        <x:v>50</x:v>
      </x:c>
      <x:c r="AA361" s="39" t="s">
        <x:v>51</x:v>
      </x:c>
      <x:c r="AB361" s="71">
        <x:v>46220</x:v>
      </x:c>
      <x:c r="AC361" s="41" t="s">
        <x:v>52</x:v>
      </x:c>
      <x:c r="AD361" s="45">
        <x:f t="shared" si="26"/>
        <x:v>0</x:v>
      </x:c>
      <x:c r="AE361" s="45">
        <x:f t="shared" si="27"/>
        <x:v>0</x:v>
      </x:c>
      <x:c r="AF361" s="230"/>
      <x:c r="AG361" s="231"/>
      <x:c r="AH361" s="232"/>
    </x:row>
  </x:sheetData>
  <x:mergeCells>
    <x:mergeCell ref="A1:AE1"/>
    <x:mergeCell ref="A2:AE2"/>
    <x:mergeCell ref="A3:AE3"/>
  </x:mergeCells>
  <x:conditionalFormatting sqref="AD6:AE361">
    <x:cfRule type="dataBar" priority="1">
      <x:dataBar>
        <x:cfvo type="min"/>
        <x:cfvo type="max"/>
        <x:color rgb="FF175B72"/>
      </x:dataBar>
    </x:cfRule>
    <x:cfRule type="dataBar" priority="2">
      <x:dataBar>
        <x:cfvo type="min"/>
        <x:cfvo type="max"/>
        <x:color rgb="FF175B72"/>
      </x:dataBar>
    </x:cfRule>
    <x:cfRule type="dataBar" priority="3">
      <x:dataBar>
        <x:cfvo type="min"/>
        <x:cfvo type="max"/>
        <x:color rgb="FF175B72"/>
      </x:dataBar>
    </x:cfRule>
    <x:cfRule type="dataBar" priority="4">
      <x:dataBar>
        <x:cfvo type="min"/>
        <x:cfvo type="max"/>
        <x:color rgb="FF175B72"/>
      </x:dataBar>
    </x:cfRule>
    <x:cfRule type="dataBar" priority="5">
      <x:dataBar>
        <x:cfvo type="min"/>
        <x:cfvo type="max"/>
        <x:color rgb="FF175B72"/>
      </x:dataBar>
    </x:cfRule>
    <x:cfRule type="dataBar" priority="6">
      <x:dataBar>
        <x:cfvo type="min"/>
        <x:cfvo type="max"/>
        <x:color rgb="FF175B72"/>
      </x:dataBar>
    </x:cfRule>
    <x:cfRule type="dataBar" priority="7">
      <x:dataBar>
        <x:cfvo type="min"/>
        <x:cfvo type="max"/>
        <x:color rgb="FF175B72"/>
      </x:dataBar>
      <x:extLst>
        <x:ext xmlns:x14="http://schemas.microsoft.com/office/spreadsheetml/2009/9/main" uri="{B025F937-C7B1-47D3-B67F-A62EFF666E3E}">
          <x14:id>{DF34E544-7FC4-FE13-C659-99D1A02A5B09}</x14:id>
        </x:ext>
      </x:extLst>
    </x:cfRule>
  </x:conditionalFormatting>
  <x:dataValidations count="10">
    <x:dataValidation type="list" sqref="C6:C361">
      <x:formula1>"Subsidi,Komersial,Campuran,Lainnya"</x:formula1>
    </x:dataValidation>
    <x:dataValidation type="list" sqref="D6:D361">
      <x:formula1>"Bukit Intan,Gabek,Gerunggang,Girimaya,Pangkal Balam,Rangkui,Taman Sari"</x:formula1>
    </x:dataValidation>
    <x:dataValidation type="list" sqref="N6:N361">
      <x:formula1>"SUDAH DISERAHKAN,BELUM DISERAHKAN,DALAM PROSES,TIDAK DIKETAHUI"</x:formula1>
    </x:dataValidation>
    <x:dataValidation type="list" sqref="Q6:Q361">
      <x:formula1>"RTH terbangun,RTH belum terbangun,RTH beralih fungsi,Tidak tersedia,Belum terdata"</x:formula1>
    </x:dataValidation>
    <x:dataValidation type="list" sqref="R6:R361">
      <x:formula1>"Jalan belum perkerasan,Jalan rusak ringan,Jalan rusak sedang,Jalan rusak berat"</x:formula1>
    </x:dataValidation>
    <x:dataValidation type="list" sqref="S248:S264 S50:S51 S116:S124 S176:S177 S173 S196:S198 S207:S210 S45:S47 S57:S83 S88:S91 S103 S109:S113 S133:S139 S163 S350:S361 S181:S187 S215:S228 S234:S238 S266 S277:S296 S316:S327 S334:S339 S341:S346 S165:S168 S143:S145 S128:S131 S141 S147:S151 S153:S159">
      <x:formula1>"Pengembang tidak aktif"</x:formula1>
    </x:dataValidation>
    <x:dataValidation type="list" sqref="T6:T361">
      <x:formula1>"Titik rawan genangan dan banjir"</x:formula1>
    </x:dataValidation>
    <x:dataValidation type="list" sqref="AA6:AA361">
      <x:formula1>"Draft,Dalam Verifikasi,Terverifikasi,Perlu Perbaikan"</x:formula1>
    </x:dataValidation>
    <x:dataValidation type="list" showDropDown="1" sqref="S9:S11 S24:S26 S36:S37 S41:S44">
      <x:formula1>"Pengembang tidak aktif; Pengembang masih aktif"</x:formula1>
    </x:dataValidation>
    <x:dataValidation type="list" sqref="S6:S8 S52:S56 S125:S127 S174:S175 S178:S180 S199:S206 S265 S12:S23 S27:S35 S38:S40 S48:S49 S84:S87 S92:S102 S104:S108 S114:S115 S146 S140 S169:S172 S188:S195 S211:S214 S229:S233 S239:S247 S267:S276 S297:S315 S328:S333 S340 S347:S349 S164 S160:S162 S132 S142 S152">
      <x:formula1>"Masih Aktif, Tidak Aktif, Belum Teridentifikasi"</x:formula1>
    </x:dataValidation>
  </x:dataValidations>
  <x:pageMargins left="0.7" right="0.7" top="0.75" bottom="0.75" header="0.3" footer="0.3"/>
  <x:tableParts count="1">
    <x:tablePart xmlns:r="http://schemas.openxmlformats.org/officeDocument/2006/relationships" r:id="R5b2aea70d05340b1"/>
  </x:tableParts>
  <x:extLst>
    <x:ext xmlns:x14="http://schemas.microsoft.com/office/spreadsheetml/2009/9/main" xmlns:xm="http://schemas.microsoft.com/office/excel/2006/main" uri="{78C0D931-6437-407d-A8EE-F0AAD7539E65}">
      <x14:conditionalFormattings>
        <x14:conditionalFormatting>
          <x14:cfRule type="dataBar" priority="7" id="{DF34E544-7FC4-FE13-C659-99D1A02A5B09}">
            <x14:dataBar>
              <x14:cfvo type="min"/>
              <x14:cfvo type="max"/>
              <x14:fillColor rgb="FF175B72"/>
              <x14:negativeFillColor auto="1"/>
              <x14:axisColor auto="1"/>
            </x14:dataBar>
          </x14:cfRule>
          <xm:sqref>AD6:AE361</xm:sqref>
        </x14:conditionalFormatting>
      </x14:conditionalFormattings>
    </x:ext>
  </x:extLst>
</x:worksheet>
</file>

<file path=xl/worksheets/sheet2.xml><?xml version="1.0" encoding="utf-8"?>
<x:worksheet xmlns:x="http://schemas.openxmlformats.org/spreadsheetml/2006/main">
  <x:sheetFormatPr defaultRowHeight="14"/>
  <x:cols>
    <x:col min="1" max="2" width="16" customWidth="1"/>
    <x:col min="3" max="4" width="18" customWidth="1"/>
    <x:col min="5" max="5" width="34" customWidth="1"/>
    <x:col min="6" max="6" width="28" customWidth="1"/>
    <x:col min="7" max="8" width="18" customWidth="1"/>
    <x:col min="9" max="9" width="12" customWidth="1"/>
    <x:col min="10" max="10" width="32" customWidth="1"/>
    <x:col min="11" max="11" width="22" customWidth="1"/>
    <x:col min="12" max="14" width="24" customWidth="1"/>
    <x:col min="15" max="15" width="20" customWidth="1"/>
    <x:col min="16" max="16" width="32" customWidth="1"/>
    <x:col min="17" max="17" width="24" customWidth="1"/>
    <x:col min="18" max="20" width="20" customWidth="1"/>
    <x:col min="22" max="22" width="20" customWidth="1"/>
    <x:col min="23" max="23" width="48" customWidth="1"/>
    <x:col min="3" max="3" width="28" hidden="0" customWidth="1"/>
  </x:cols>
  <x:sheetData>
    <x:row r="1" ht="20" customHeight="1">
      <x:c r="A1" s="254" t="s">
        <x:v>1254</x:v>
      </x:c>
      <x:c r="B1" s="254"/>
      <x:c r="C1" s="254"/>
      <x:c r="D1" s="254"/>
      <x:c r="E1" s="254"/>
      <x:c r="F1" s="254"/>
      <x:c r="G1" s="254"/>
      <x:c r="H1" s="254"/>
      <x:c r="I1" s="254"/>
      <x:c r="J1" s="254"/>
      <x:c r="K1" s="254"/>
      <x:c r="L1" s="254"/>
      <x:c r="M1" s="254"/>
      <x:c r="N1" s="254"/>
      <x:c r="O1" s="254"/>
      <x:c r="P1" s="254"/>
      <x:c r="Q1" s="254"/>
      <x:c r="R1" s="254"/>
      <x:c r="S1" s="254"/>
      <x:c r="T1" s="254"/>
      <x:c r="V1" s="257" t="s">
        <x:v>1255</x:v>
      </x:c>
      <x:c r="W1" s="257"/>
    </x:row>
    <x:row r="2" ht="22.649999618530273" customHeight="1">
      <x:c r="A2" s="255" t="s">
        <x:v>1256</x:v>
      </x:c>
      <x:c r="B2" s="255"/>
      <x:c r="C2" s="255"/>
      <x:c r="D2" s="255"/>
      <x:c r="E2" s="255"/>
      <x:c r="F2" s="255"/>
      <x:c r="G2" s="255"/>
      <x:c r="H2" s="255"/>
      <x:c r="I2" s="255"/>
      <x:c r="J2" s="255"/>
      <x:c r="K2" s="255"/>
      <x:c r="L2" s="255"/>
      <x:c r="M2" s="255"/>
      <x:c r="N2" s="255"/>
      <x:c r="O2" s="255"/>
      <x:c r="P2" s="255"/>
      <x:c r="Q2" s="255"/>
      <x:c r="R2" s="255"/>
      <x:c r="S2" s="255"/>
      <x:c r="T2" s="255"/>
      <x:c r="V2" s="245" t="s">
        <x:v>1257</x:v>
      </x:c>
      <x:c r="W2" s="245" t="s">
        <x:v>1258</x:v>
      </x:c>
    </x:row>
    <x:row r="3" ht="44" customHeight="1">
      <x:c r="A3" s="256" t="str">
        <x:v>PETUNJUK: Jangan mengubah nama header. Isi data mulai baris 6. ID_PERUMAHAN dipilih/diisi sesuai sheet PERUMAHAN; NAMA_PERUMAHAN terisi otomatis dan jangan diubah manual. TAHUN_SITEPLAN_ACUAN mengikuti versi site plan yang menjadi sumber rincian. JENIS_PSU mengikuti nomenklatur Perwako Kota Pangkal Pinang No. 44 Tahun 2024 Pasal 2; pilih Lainnya bila dokumen resmi memuat jenis lain. LUAS_RENCANA_M2/LUAS_SUDAH_DISERAHKAN_M2 digunakan untuk komponen berbasis luas, sedangkan JUMLAH_RENCANA/JUMLAH_SUDAH_DISERAHKAN untuk unit/titik. STATUS_FISIK dipisahkan dari STATUS_PENYERAHAN. Untuk perumahan subsidi, lahan RTH dapat dicatat 'LAHAN TERSEDIA / BELUM TERBANGUN' dan tetap dapat diserahterimakan. Jangan isi 0 jika data tidak diketahui; biarkan kosong.</x:v>
      </x:c>
      <x:c r="B3" s="256"/>
      <x:c r="C3" s="256"/>
      <x:c r="D3" s="256"/>
      <x:c r="E3" s="256"/>
      <x:c r="F3" s="256"/>
      <x:c r="G3" s="256"/>
      <x:c r="H3" s="256"/>
      <x:c r="I3" s="256"/>
      <x:c r="J3" s="256"/>
      <x:c r="K3" s="256"/>
      <x:c r="L3" s="256"/>
      <x:c r="M3" s="256"/>
      <x:c r="N3" s="256"/>
      <x:c r="O3" s="256"/>
      <x:c r="P3" s="256"/>
      <x:c r="Q3" s="256"/>
      <x:c r="R3" s="256"/>
      <x:c r="S3" s="256"/>
      <x:c r="T3" s="256"/>
      <x:c r="V3" s="246" t="s">
        <x:v>1259</x:v>
      </x:c>
      <x:c r="W3" s="246" t="s">
        <x:v>1260</x:v>
      </x:c>
    </x:row>
    <x:row r="4">
      <x:c r="V4" s="246" t="s">
        <x:v>1259</x:v>
      </x:c>
      <x:c r="W4" s="246" t="s">
        <x:v>1261</x:v>
      </x:c>
    </x:row>
    <x:row r="5" s="248" customFormat="1" ht="25.399999618530273" customHeight="1">
      <x:c r="A5" s="247" t="s">
        <x:v>1262</x:v>
      </x:c>
      <x:c r="B5" s="247" t="s">
        <x:v>3</x:v>
      </x:c>
      <x:c r="C5" s="568" t="str">
        <x:v>NAMA_PERUMAHAN</x:v>
      </x:c>
      <x:c r="D5" s="247" t="s">
        <x:v>1263</x:v>
      </x:c>
      <x:c r="E5" s="247" t="s">
        <x:v>1264</x:v>
      </x:c>
      <x:c r="F5" s="247" t="s">
        <x:v>1265</x:v>
      </x:c>
      <x:c r="G5" s="247" t="s">
        <x:v>1266</x:v>
      </x:c>
      <x:c r="H5" s="247" t="s">
        <x:v>1267</x:v>
      </x:c>
      <x:c r="I5" s="247" t="s">
        <x:v>1268</x:v>
      </x:c>
      <x:c r="J5" s="247" t="s">
        <x:v>1269</x:v>
      </x:c>
      <x:c r="K5" s="247" t="s">
        <x:v>1270</x:v>
      </x:c>
      <x:c r="L5" s="247" t="s">
        <x:v>1271</x:v>
      </x:c>
      <x:c r="M5" s="247" t="s">
        <x:v>1272</x:v>
      </x:c>
      <x:c r="N5" s="247" t="s">
        <x:v>1273</x:v>
      </x:c>
      <x:c r="O5" s="247" t="s">
        <x:v>1274</x:v>
      </x:c>
      <x:c r="P5" s="247" t="s">
        <x:v>1275</x:v>
      </x:c>
      <x:c r="Q5" s="247" t="s">
        <x:v>1276</x:v>
      </x:c>
      <x:c r="R5" s="247" t="s">
        <x:v>28</x:v>
      </x:c>
      <x:c r="S5" s="247" t="s">
        <x:v>29</x:v>
      </x:c>
      <x:c r="T5" s="247" t="s">
        <x:v>30</x:v>
      </x:c>
      <x:c r="U5" t="s">
        <x:v>31</x:v>
      </x:c>
      <x:c r="V5" s="249" t="s">
        <x:v>1259</x:v>
      </x:c>
      <x:c r="W5" s="249" t="s">
        <x:v>1277</x:v>
      </x:c>
      <x:c r="AA5"/>
      <x:c r="AB5"/>
      <x:c r="AC5"/>
      <x:c r="AD5"/>
      <x:c r="AE5"/>
      <x:c r="AF5"/>
      <x:c r="AG5"/>
      <x:c r="AH5"/>
      <x:c r="AI5"/>
      <x:c r="AJ5"/>
      <x:c r="AK5"/>
      <x:c r="AL5"/>
      <x:c r="AM5"/>
      <x:c r="AN5"/>
      <x:c r="AO5"/>
      <x:c r="AP5"/>
      <x:c r="AQ5"/>
      <x:c r="AR5"/>
    </x:row>
    <x:row r="6" s="248" customFormat="1">
      <x:c r="A6" s="250" t="s">
        <x:v>1278</x:v>
      </x:c>
      <x:c r="B6" s="250" t="s">
        <x:v>232</x:v>
      </x:c>
      <x:c r="C6" s="566" t="str">
        <x:f>IF(B6="","",IFERROR(VLOOKUP(B6,PERUMAHAN!$A:$B,2,FALSE),"ID tidak ditemukan"))</x:f>
        <x:v>BUKIT BARU REGENCY</x:v>
      </x:c>
      <x:c r="D6" s="250">
        <x:v>2026</x:v>
      </x:c>
      <x:c r="E6" s="250" t="s">
        <x:v>1259</x:v>
      </x:c>
      <x:c r="F6" s="250" t="s">
        <x:v>1260</x:v>
      </x:c>
      <x:c r="G6" s="252"/>
      <x:c r="H6" s="252">
        <x:v>1285</x:v>
      </x:c>
      <x:c r="I6" s="250"/>
      <x:c r="J6" s="250" t="s">
        <x:v>1279</x:v>
      </x:c>
      <x:c r="K6" s="250" t="s">
        <x:v>1280</x:v>
      </x:c>
      <x:c r="L6" s="250" t="s">
        <x:v>1281</x:v>
      </x:c>
      <x:c r="M6" s="252" t="s">
        <x:v>64</x:v>
      </x:c>
      <x:c r="N6" s="252"/>
      <x:c r="O6" s="251"/>
      <x:c r="P6" s="250"/>
      <x:c r="Q6" s="250"/>
      <x:c r="R6" s="250" t="s">
        <x:v>1282</x:v>
      </x:c>
      <x:c r="S6" s="253" t="s">
        <x:v>223</x:v>
      </x:c>
      <x:c r="T6" s="250">
        <x:v>46250</x:v>
      </x:c>
      <x:c r="U6" t="s">
        <x:v>52</x:v>
      </x:c>
      <x:c r="V6" s="249" t="s">
        <x:v>1259</x:v>
      </x:c>
      <x:c r="W6" s="249" t="s">
        <x:v>1283</x:v>
      </x:c>
      <x:c r="AA6"/>
      <x:c r="AB6"/>
      <x:c r="AC6"/>
      <x:c r="AD6"/>
      <x:c r="AE6"/>
      <x:c r="AF6"/>
      <x:c r="AG6"/>
      <x:c r="AH6"/>
      <x:c r="AI6"/>
      <x:c r="AJ6"/>
      <x:c r="AK6"/>
      <x:c r="AL6"/>
      <x:c r="AM6"/>
      <x:c r="AN6"/>
      <x:c r="AO6"/>
      <x:c r="AP6"/>
      <x:c r="AQ6"/>
      <x:c r="AR6"/>
    </x:row>
    <x:row r="7" s="248" customFormat="1" ht="28">
      <x:c r="A7" s="250" t="s">
        <x:v>1284</x:v>
      </x:c>
      <x:c r="B7" s="250" t="s">
        <x:v>232</x:v>
      </x:c>
      <x:c r="C7" s="566" t="str">
        <x:f>IF(B7="","",IFERROR(VLOOKUP(B7,PERUMAHAN!$A:$B,2,FALSE),"ID tidak ditemukan"))</x:f>
        <x:v>BUKIT BARU REGENCY</x:v>
      </x:c>
      <x:c r="D7" s="250">
        <x:v>2026</x:v>
      </x:c>
      <x:c r="E7" s="250" t="s">
        <x:v>1259</x:v>
      </x:c>
      <x:c r="F7" s="250" t="s">
        <x:v>1277</x:v>
      </x:c>
      <x:c r="G7" s="252"/>
      <x:c r="H7" s="252">
        <x:v>159</x:v>
      </x:c>
      <x:c r="I7" s="250"/>
      <x:c r="J7" s="250" t="s">
        <x:v>1279</x:v>
      </x:c>
      <x:c r="K7" s="250" t="s">
        <x:v>1280</x:v>
      </x:c>
      <x:c r="L7" s="250" t="s">
        <x:v>1281</x:v>
      </x:c>
      <x:c r="M7" s="252" t="s">
        <x:v>64</x:v>
      </x:c>
      <x:c r="N7" s="252"/>
      <x:c r="O7" s="251"/>
      <x:c r="P7" s="250"/>
      <x:c r="Q7" s="250"/>
      <x:c r="R7" s="250" t="s">
        <x:v>1282</x:v>
      </x:c>
      <x:c r="S7" s="253" t="s">
        <x:v>223</x:v>
      </x:c>
      <x:c r="T7" s="250">
        <x:v>46250</x:v>
      </x:c>
      <x:c r="U7" t="s">
        <x:v>52</x:v>
      </x:c>
      <x:c r="V7" s="249" t="s">
        <x:v>1259</x:v>
      </x:c>
      <x:c r="W7" s="249" t="s">
        <x:v>1285</x:v>
      </x:c>
      <x:c r="AA7"/>
      <x:c r="AB7"/>
      <x:c r="AC7"/>
      <x:c r="AD7"/>
      <x:c r="AE7"/>
      <x:c r="AF7"/>
      <x:c r="AG7"/>
      <x:c r="AH7"/>
      <x:c r="AI7"/>
      <x:c r="AJ7"/>
      <x:c r="AK7"/>
      <x:c r="AL7"/>
      <x:c r="AM7"/>
      <x:c r="AN7"/>
      <x:c r="AO7"/>
      <x:c r="AP7"/>
      <x:c r="AQ7"/>
      <x:c r="AR7"/>
    </x:row>
    <x:row r="8" s="248" customFormat="1" ht="28">
      <x:c r="A8" s="250" t="s">
        <x:v>1286</x:v>
      </x:c>
      <x:c r="B8" s="250" t="s">
        <x:v>232</x:v>
      </x:c>
      <x:c r="C8" s="566" t="str">
        <x:f>IF(B8="","",IFERROR(VLOOKUP(B8,PERUMAHAN!$A:$B,2,FALSE),"ID tidak ditemukan"))</x:f>
        <x:v>BUKIT BARU REGENCY</x:v>
      </x:c>
      <x:c r="D8" s="250">
        <x:v>2026</x:v>
      </x:c>
      <x:c r="E8" s="250" t="s">
        <x:v>1287</x:v>
      </x:c>
      <x:c r="F8" s="250" t="s">
        <x:v>1288</x:v>
      </x:c>
      <x:c r="G8" s="252"/>
      <x:c r="H8" s="252">
        <x:v>665</x:v>
      </x:c>
      <x:c r="I8" s="250"/>
      <x:c r="J8" s="250" t="s">
        <x:v>1279</x:v>
      </x:c>
      <x:c r="K8" s="250" t="s">
        <x:v>1289</x:v>
      </x:c>
      <x:c r="L8" s="250" t="s">
        <x:v>1281</x:v>
      </x:c>
      <x:c r="M8" s="252" t="s">
        <x:v>64</x:v>
      </x:c>
      <x:c r="N8" s="252"/>
      <x:c r="O8" s="251"/>
      <x:c r="P8" s="250"/>
      <x:c r="Q8" s="250"/>
      <x:c r="R8" s="250" t="s">
        <x:v>1282</x:v>
      </x:c>
      <x:c r="S8" s="253" t="s">
        <x:v>223</x:v>
      </x:c>
      <x:c r="T8" s="250">
        <x:v>46250</x:v>
      </x:c>
      <x:c r="U8" t="s">
        <x:v>52</x:v>
      </x:c>
      <x:c r="V8" s="249" t="s">
        <x:v>1287</x:v>
      </x:c>
      <x:c r="W8" s="249" t="s">
        <x:v>1290</x:v>
      </x:c>
      <x:c r="AA8"/>
      <x:c r="AB8"/>
      <x:c r="AC8"/>
      <x:c r="AD8"/>
      <x:c r="AE8"/>
      <x:c r="AF8"/>
      <x:c r="AG8"/>
      <x:c r="AH8"/>
      <x:c r="AI8"/>
      <x:c r="AJ8"/>
      <x:c r="AK8"/>
      <x:c r="AL8"/>
      <x:c r="AM8"/>
      <x:c r="AN8"/>
      <x:c r="AO8"/>
      <x:c r="AP8"/>
      <x:c r="AQ8"/>
      <x:c r="AR8"/>
    </x:row>
    <x:row r="9" s="248" customFormat="1">
      <x:c r="A9" s="250" t="s">
        <x:v>1291</x:v>
      </x:c>
      <x:c r="B9" s="250" t="s">
        <x:v>232</x:v>
      </x:c>
      <x:c r="C9" s="566" t="str">
        <x:f>IF(B9="","",IFERROR(VLOOKUP(B9,PERUMAHAN!$A:$B,2,FALSE),"ID tidak ditemukan"))</x:f>
        <x:v>BUKIT BARU REGENCY</x:v>
      </x:c>
      <x:c r="D9" s="250">
        <x:v>2026</x:v>
      </x:c>
      <x:c r="E9" s="250" t="s">
        <x:v>1292</x:v>
      </x:c>
      <x:c r="F9" s="250" t="s">
        <x:v>1293</x:v>
      </x:c>
      <x:c r="G9" s="252"/>
      <x:c r="H9" s="252"/>
      <x:c r="I9" s="250">
        <x:v>4</x:v>
      </x:c>
      <x:c r="J9" s="250" t="s">
        <x:v>1294</x:v>
      </x:c>
      <x:c r="K9" s="250" t="s">
        <x:v>1280</x:v>
      </x:c>
      <x:c r="L9" s="250" t="s">
        <x:v>1281</x:v>
      </x:c>
      <x:c r="M9" s="252" t="s">
        <x:v>64</x:v>
      </x:c>
      <x:c r="N9" s="252"/>
      <x:c r="O9" s="251"/>
      <x:c r="P9" s="250"/>
      <x:c r="Q9" s="250"/>
      <x:c r="R9" s="250" t="s">
        <x:v>1282</x:v>
      </x:c>
      <x:c r="S9" s="253" t="s">
        <x:v>223</x:v>
      </x:c>
      <x:c r="T9" s="250">
        <x:v>46250</x:v>
      </x:c>
      <x:c r="U9" t="s">
        <x:v>52</x:v>
      </x:c>
      <x:c r="V9" s="249" t="s">
        <x:v>1287</x:v>
      </x:c>
      <x:c r="W9" s="249" t="s">
        <x:v>1295</x:v>
      </x:c>
      <x:c r="AA9"/>
      <x:c r="AB9"/>
      <x:c r="AC9"/>
      <x:c r="AD9"/>
      <x:c r="AE9"/>
      <x:c r="AF9"/>
      <x:c r="AG9"/>
      <x:c r="AH9"/>
      <x:c r="AI9"/>
      <x:c r="AJ9"/>
      <x:c r="AK9"/>
      <x:c r="AL9"/>
      <x:c r="AM9"/>
      <x:c r="AN9"/>
      <x:c r="AO9"/>
      <x:c r="AP9"/>
      <x:c r="AQ9"/>
      <x:c r="AR9"/>
    </x:row>
    <x:row r="10" s="248" customFormat="1">
      <x:c r="A10" s="250" t="s">
        <x:v>1296</x:v>
      </x:c>
      <x:c r="B10" s="250" t="s">
        <x:v>439</x:v>
      </x:c>
      <x:c r="C10" s="566" t="str">
        <x:f>IF(B10="","",IFERROR(VLOOKUP(B10,PERUMAHAN!$A:$B,2,FALSE),"ID tidak ditemukan"))</x:f>
        <x:v>DREAMLAND 2</x:v>
      </x:c>
      <x:c r="D10" s="250">
        <x:v>2026</x:v>
      </x:c>
      <x:c r="E10" s="250" t="s">
        <x:v>1259</x:v>
      </x:c>
      <x:c r="F10" s="250" t="s">
        <x:v>1260</x:v>
      </x:c>
      <x:c r="G10" s="252"/>
      <x:c r="H10" s="252">
        <x:v>1830.5</x:v>
      </x:c>
      <x:c r="I10" s="250"/>
      <x:c r="J10" s="250" t="s">
        <x:v>1279</x:v>
      </x:c>
      <x:c r="K10" s="250" t="s">
        <x:v>1280</x:v>
      </x:c>
      <x:c r="L10" s="250" t="s">
        <x:v>1281</x:v>
      </x:c>
      <x:c r="M10" s="252" t="s">
        <x:v>64</x:v>
      </x:c>
      <x:c r="N10" s="252"/>
      <x:c r="O10" s="251"/>
      <x:c r="P10" s="250"/>
      <x:c r="Q10" s="250"/>
      <x:c r="R10" s="250" t="s">
        <x:v>1282</x:v>
      </x:c>
      <x:c r="S10" s="253" t="s">
        <x:v>223</x:v>
      </x:c>
      <x:c r="T10" s="250">
        <x:v>46250</x:v>
      </x:c>
      <x:c r="U10" t="s">
        <x:v>52</x:v>
      </x:c>
      <x:c r="V10" s="249" t="s">
        <x:v>1287</x:v>
      </x:c>
      <x:c r="W10" s="249" t="s">
        <x:v>1297</x:v>
      </x:c>
      <x:c r="AA10"/>
      <x:c r="AB10"/>
      <x:c r="AC10"/>
      <x:c r="AD10"/>
      <x:c r="AE10"/>
      <x:c r="AF10"/>
      <x:c r="AG10"/>
      <x:c r="AH10"/>
      <x:c r="AI10"/>
      <x:c r="AJ10"/>
      <x:c r="AK10"/>
      <x:c r="AL10"/>
      <x:c r="AM10"/>
      <x:c r="AN10"/>
      <x:c r="AO10"/>
      <x:c r="AP10"/>
      <x:c r="AQ10"/>
      <x:c r="AR10"/>
    </x:row>
    <x:row r="11" s="248" customFormat="1" ht="28">
      <x:c r="A11" s="250" t="s">
        <x:v>1298</x:v>
      </x:c>
      <x:c r="B11" s="250" t="s">
        <x:v>439</x:v>
      </x:c>
      <x:c r="C11" s="566" t="str">
        <x:f>IF(B11="","",IFERROR(VLOOKUP(B11,PERUMAHAN!$A:$B,2,FALSE),"ID tidak ditemukan"))</x:f>
        <x:v>DREAMLAND 2</x:v>
      </x:c>
      <x:c r="D11" s="250">
        <x:v>2026</x:v>
      </x:c>
      <x:c r="E11" s="250" t="s">
        <x:v>1259</x:v>
      </x:c>
      <x:c r="F11" s="250" t="s">
        <x:v>1277</x:v>
      </x:c>
      <x:c r="G11" s="252"/>
      <x:c r="H11" s="252">
        <x:v>670.9</x:v>
      </x:c>
      <x:c r="I11" s="250"/>
      <x:c r="J11" s="250" t="s">
        <x:v>1279</x:v>
      </x:c>
      <x:c r="K11" s="250" t="s">
        <x:v>1280</x:v>
      </x:c>
      <x:c r="L11" s="250" t="s">
        <x:v>1281</x:v>
      </x:c>
      <x:c r="M11" s="252" t="s">
        <x:v>64</x:v>
      </x:c>
      <x:c r="N11" s="252"/>
      <x:c r="O11" s="251"/>
      <x:c r="P11" s="250"/>
      <x:c r="Q11" s="250"/>
      <x:c r="R11" s="250" t="s">
        <x:v>1282</x:v>
      </x:c>
      <x:c r="S11" s="253" t="s">
        <x:v>223</x:v>
      </x:c>
      <x:c r="T11" s="250">
        <x:v>46250</x:v>
      </x:c>
      <x:c r="U11" t="s">
        <x:v>52</x:v>
      </x:c>
      <x:c r="V11" s="249" t="s">
        <x:v>1287</x:v>
      </x:c>
      <x:c r="W11" s="249" t="s">
        <x:v>1299</x:v>
      </x:c>
      <x:c r="AA11"/>
      <x:c r="AB11"/>
      <x:c r="AC11"/>
      <x:c r="AD11"/>
      <x:c r="AE11"/>
      <x:c r="AF11"/>
      <x:c r="AG11"/>
      <x:c r="AH11"/>
      <x:c r="AI11"/>
      <x:c r="AJ11"/>
      <x:c r="AK11"/>
      <x:c r="AL11"/>
      <x:c r="AM11"/>
      <x:c r="AN11"/>
      <x:c r="AO11"/>
      <x:c r="AP11"/>
      <x:c r="AQ11"/>
      <x:c r="AR11"/>
    </x:row>
    <x:row r="12" s="248" customFormat="1" ht="28">
      <x:c r="A12" s="250" t="s">
        <x:v>1300</x:v>
      </x:c>
      <x:c r="B12" s="250" t="s">
        <x:v>439</x:v>
      </x:c>
      <x:c r="C12" s="566" t="str">
        <x:f>IF(B12="","",IFERROR(VLOOKUP(B12,PERUMAHAN!$A:$B,2,FALSE),"ID tidak ditemukan"))</x:f>
        <x:v>DREAMLAND 2</x:v>
      </x:c>
      <x:c r="D12" s="250">
        <x:v>2026</x:v>
      </x:c>
      <x:c r="E12" s="250" t="s">
        <x:v>1287</x:v>
      </x:c>
      <x:c r="F12" s="250" t="s">
        <x:v>1288</x:v>
      </x:c>
      <x:c r="G12" s="252"/>
      <x:c r="H12" s="252">
        <x:v>893.5</x:v>
      </x:c>
      <x:c r="I12" s="250"/>
      <x:c r="J12" s="250" t="s">
        <x:v>1279</x:v>
      </x:c>
      <x:c r="K12" s="250" t="s">
        <x:v>1289</x:v>
      </x:c>
      <x:c r="L12" s="250" t="s">
        <x:v>1281</x:v>
      </x:c>
      <x:c r="M12" s="252" t="s">
        <x:v>64</x:v>
      </x:c>
      <x:c r="N12" s="252"/>
      <x:c r="O12" s="251"/>
      <x:c r="P12" s="250"/>
      <x:c r="Q12" s="250"/>
      <x:c r="R12" s="250" t="s">
        <x:v>1282</x:v>
      </x:c>
      <x:c r="S12" s="253" t="s">
        <x:v>223</x:v>
      </x:c>
      <x:c r="T12" s="250">
        <x:v>46250</x:v>
      </x:c>
      <x:c r="U12" t="s">
        <x:v>52</x:v>
      </x:c>
      <x:c r="V12" s="249" t="s">
        <x:v>1287</x:v>
      </x:c>
      <x:c r="W12" s="249" t="s">
        <x:v>1301</x:v>
      </x:c>
      <x:c r="AA12"/>
      <x:c r="AB12"/>
      <x:c r="AC12"/>
      <x:c r="AD12"/>
      <x:c r="AE12"/>
      <x:c r="AF12"/>
      <x:c r="AG12"/>
      <x:c r="AH12"/>
      <x:c r="AI12"/>
      <x:c r="AJ12"/>
      <x:c r="AK12"/>
      <x:c r="AL12"/>
      <x:c r="AM12"/>
      <x:c r="AN12"/>
      <x:c r="AO12"/>
      <x:c r="AP12"/>
      <x:c r="AQ12"/>
      <x:c r="AR12"/>
    </x:row>
    <x:row r="13" s="248" customFormat="1">
      <x:c r="A13" s="250" t="s">
        <x:v>1302</x:v>
      </x:c>
      <x:c r="B13" s="250" t="s">
        <x:v>439</x:v>
      </x:c>
      <x:c r="C13" s="566" t="str">
        <x:f>IF(B13="","",IFERROR(VLOOKUP(B13,PERUMAHAN!$A:$B,2,FALSE),"ID tidak ditemukan"))</x:f>
        <x:v>DREAMLAND 2</x:v>
      </x:c>
      <x:c r="D13" s="250">
        <x:v>2026</x:v>
      </x:c>
      <x:c r="E13" s="250" t="s">
        <x:v>1292</x:v>
      </x:c>
      <x:c r="F13" s="250" t="s">
        <x:v>1293</x:v>
      </x:c>
      <x:c r="G13" s="252"/>
      <x:c r="H13" s="252"/>
      <x:c r="I13" s="250">
        <x:v>10</x:v>
      </x:c>
      <x:c r="J13" s="250" t="s">
        <x:v>1303</x:v>
      </x:c>
      <x:c r="K13" s="250" t="s">
        <x:v>1280</x:v>
      </x:c>
      <x:c r="L13" s="250" t="s">
        <x:v>1281</x:v>
      </x:c>
      <x:c r="M13" s="252" t="s">
        <x:v>64</x:v>
      </x:c>
      <x:c r="N13" s="252"/>
      <x:c r="O13" s="251"/>
      <x:c r="P13" s="250"/>
      <x:c r="Q13" s="250"/>
      <x:c r="R13" s="250" t="s">
        <x:v>1282</x:v>
      </x:c>
      <x:c r="S13" s="253" t="s">
        <x:v>223</x:v>
      </x:c>
      <x:c r="T13" s="250">
        <x:v>46250</x:v>
      </x:c>
      <x:c r="U13" t="s">
        <x:v>52</x:v>
      </x:c>
      <x:c r="V13" s="249" t="s">
        <x:v>1287</x:v>
      </x:c>
      <x:c r="W13" s="249" t="s">
        <x:v>1304</x:v>
      </x:c>
      <x:c r="AA13"/>
      <x:c r="AB13"/>
      <x:c r="AC13"/>
      <x:c r="AD13"/>
      <x:c r="AE13"/>
      <x:c r="AF13"/>
      <x:c r="AG13"/>
      <x:c r="AH13"/>
      <x:c r="AI13"/>
      <x:c r="AJ13"/>
      <x:c r="AK13"/>
      <x:c r="AL13"/>
      <x:c r="AM13"/>
      <x:c r="AN13"/>
      <x:c r="AO13"/>
      <x:c r="AP13"/>
      <x:c r="AQ13"/>
      <x:c r="AR13"/>
    </x:row>
    <x:row r="14" s="248" customFormat="1">
      <x:c r="A14" s="250" t="s">
        <x:v>1305</x:v>
      </x:c>
      <x:c r="B14" s="250" t="s">
        <x:v>439</x:v>
      </x:c>
      <x:c r="C14" s="566" t="str">
        <x:f>IF(B14="","",IFERROR(VLOOKUP(B14,PERUMAHAN!$A:$B,2,FALSE),"ID tidak ditemukan"))</x:f>
        <x:v>DREAMLAND 2</x:v>
      </x:c>
      <x:c r="D14" s="250">
        <x:v>2026</x:v>
      </x:c>
      <x:c r="E14" s="250" t="s">
        <x:v>1306</x:v>
      </x:c>
      <x:c r="F14" s="250" t="s">
        <x:v>1307</x:v>
      </x:c>
      <x:c r="G14" s="252" t="s">
        <x:v>1308</x:v>
      </x:c>
      <x:c r="H14" s="252"/>
      <x:c r="I14" s="250">
        <x:v>4</x:v>
      </x:c>
      <x:c r="J14" s="250" t="s">
        <x:v>1303</x:v>
      </x:c>
      <x:c r="K14" s="250" t="s">
        <x:v>1309</x:v>
      </x:c>
      <x:c r="L14" s="250" t="s">
        <x:v>1281</x:v>
      </x:c>
      <x:c r="M14" s="252" t="s">
        <x:v>64</x:v>
      </x:c>
      <x:c r="N14" s="252"/>
      <x:c r="O14" s="251"/>
      <x:c r="P14" s="250"/>
      <x:c r="Q14" s="250"/>
      <x:c r="R14" s="250" t="s">
        <x:v>1282</x:v>
      </x:c>
      <x:c r="S14" s="253" t="s">
        <x:v>223</x:v>
      </x:c>
      <x:c r="T14" s="250">
        <x:v>46250</x:v>
      </x:c>
      <x:c r="U14" t="s">
        <x:v>52</x:v>
      </x:c>
      <x:c r="V14" s="249" t="s">
        <x:v>1287</x:v>
      </x:c>
      <x:c r="W14" s="249" t="s">
        <x:v>1310</x:v>
      </x:c>
      <x:c r="AA14"/>
      <x:c r="AB14"/>
      <x:c r="AC14"/>
      <x:c r="AD14"/>
      <x:c r="AE14"/>
      <x:c r="AF14"/>
      <x:c r="AG14"/>
      <x:c r="AH14"/>
      <x:c r="AI14"/>
      <x:c r="AJ14"/>
      <x:c r="AK14"/>
      <x:c r="AL14"/>
      <x:c r="AM14"/>
      <x:c r="AN14"/>
      <x:c r="AO14"/>
      <x:c r="AP14"/>
      <x:c r="AQ14"/>
      <x:c r="AR14"/>
    </x:row>
    <x:row r="15" s="248" customFormat="1" ht="28">
      <x:c r="A15" s="250" t="s">
        <x:v>1311</x:v>
      </x:c>
      <x:c r="B15" s="250" t="s">
        <x:v>439</x:v>
      </x:c>
      <x:c r="C15" s="566" t="str">
        <x:f>IF(B15="","",IFERROR(VLOOKUP(B15,PERUMAHAN!$A:$B,2,FALSE),"ID tidak ditemukan"))</x:f>
        <x:v>DREAMLAND 2</x:v>
      </x:c>
      <x:c r="D15" s="250">
        <x:v>2026</x:v>
      </x:c>
      <x:c r="E15" s="250" t="s">
        <x:v>1292</x:v>
      </x:c>
      <x:c r="F15" s="250" t="s">
        <x:v>1307</x:v>
      </x:c>
      <x:c r="G15" s="252" t="s">
        <x:v>1312</x:v>
      </x:c>
      <x:c r="H15" s="252"/>
      <x:c r="I15" s="250">
        <x:v>3</x:v>
      </x:c>
      <x:c r="J15" s="250" t="s">
        <x:v>1303</x:v>
      </x:c>
      <x:c r="K15" s="250" t="s">
        <x:v>1309</x:v>
      </x:c>
      <x:c r="L15" s="250" t="s">
        <x:v>1281</x:v>
      </x:c>
      <x:c r="M15" s="252" t="s">
        <x:v>64</x:v>
      </x:c>
      <x:c r="N15" s="252"/>
      <x:c r="O15" s="251"/>
      <x:c r="P15" s="250"/>
      <x:c r="Q15" s="250"/>
      <x:c r="R15" s="250" t="s">
        <x:v>1282</x:v>
      </x:c>
      <x:c r="S15" s="253" t="s">
        <x:v>223</x:v>
      </x:c>
      <x:c r="T15" s="250">
        <x:v>46250</x:v>
      </x:c>
      <x:c r="U15" t="s">
        <x:v>52</x:v>
      </x:c>
      <x:c r="V15" s="249" t="s">
        <x:v>1287</x:v>
      </x:c>
      <x:c r="W15" s="249" t="s">
        <x:v>1288</x:v>
      </x:c>
      <x:c r="AA15"/>
      <x:c r="AB15"/>
      <x:c r="AC15"/>
      <x:c r="AD15"/>
      <x:c r="AE15"/>
      <x:c r="AF15"/>
      <x:c r="AG15"/>
      <x:c r="AH15"/>
      <x:c r="AI15"/>
      <x:c r="AJ15"/>
      <x:c r="AK15"/>
      <x:c r="AL15"/>
      <x:c r="AM15"/>
      <x:c r="AN15"/>
      <x:c r="AO15"/>
      <x:c r="AP15"/>
      <x:c r="AQ15"/>
      <x:c r="AR15"/>
    </x:row>
    <x:row r="16" s="248" customFormat="1">
      <x:c r="A16" s="250" t="s">
        <x:v>1313</x:v>
      </x:c>
      <x:c r="B16" s="250" t="s">
        <x:v>581</x:v>
      </x:c>
      <x:c r="C16" s="566" t="str">
        <x:f>IF(B16="","",IFERROR(VLOOKUP(B16,PERUMAHAN!$A:$B,2,FALSE),"ID tidak ditemukan"))</x:f>
        <x:v>GRAND ERANES</x:v>
      </x:c>
      <x:c r="D16" s="250">
        <x:v>2026</x:v>
      </x:c>
      <x:c r="E16" s="250" t="s">
        <x:v>1259</x:v>
      </x:c>
      <x:c r="F16" s="250" t="s">
        <x:v>1260</x:v>
      </x:c>
      <x:c r="G16" s="252"/>
      <x:c r="H16" s="252">
        <x:v>2395.7399999999998</x:v>
      </x:c>
      <x:c r="I16" s="250"/>
      <x:c r="J16" s="250" t="s">
        <x:v>1279</x:v>
      </x:c>
      <x:c r="K16" s="250" t="s">
        <x:v>1309</x:v>
      </x:c>
      <x:c r="L16" s="250" t="s">
        <x:v>1281</x:v>
      </x:c>
      <x:c r="M16" s="252" t="s">
        <x:v>64</x:v>
      </x:c>
      <x:c r="N16" s="252"/>
      <x:c r="O16" s="251"/>
      <x:c r="P16" s="250"/>
      <x:c r="Q16" s="250"/>
      <x:c r="R16" s="250" t="s">
        <x:v>1282</x:v>
      </x:c>
      <x:c r="S16" s="253" t="s">
        <x:v>223</x:v>
      </x:c>
      <x:c r="T16" s="250">
        <x:v>46250</x:v>
      </x:c>
      <x:c r="U16" t="s">
        <x:v>52</x:v>
      </x:c>
      <x:c r="V16" s="249" t="s">
        <x:v>1287</x:v>
      </x:c>
      <x:c r="W16" s="249" t="s">
        <x:v>1314</x:v>
      </x:c>
      <x:c r="AA16"/>
      <x:c r="AB16"/>
      <x:c r="AC16"/>
      <x:c r="AD16"/>
      <x:c r="AE16"/>
      <x:c r="AF16"/>
      <x:c r="AG16"/>
      <x:c r="AH16"/>
      <x:c r="AI16"/>
      <x:c r="AJ16"/>
      <x:c r="AK16"/>
      <x:c r="AL16"/>
      <x:c r="AM16"/>
      <x:c r="AN16"/>
      <x:c r="AO16"/>
      <x:c r="AP16"/>
      <x:c r="AQ16"/>
      <x:c r="AR16"/>
    </x:row>
    <x:row r="17" s="248" customFormat="1" ht="28">
      <x:c r="A17" s="250" t="s">
        <x:v>1315</x:v>
      </x:c>
      <x:c r="B17" s="250" t="s">
        <x:v>581</x:v>
      </x:c>
      <x:c r="C17" s="566" t="str">
        <x:f>IF(B17="","",IFERROR(VLOOKUP(B17,PERUMAHAN!$A:$B,2,FALSE),"ID tidak ditemukan"))</x:f>
        <x:v>GRAND ERANES</x:v>
      </x:c>
      <x:c r="D17" s="250">
        <x:v>2026</x:v>
      </x:c>
      <x:c r="E17" s="250" t="s">
        <x:v>1259</x:v>
      </x:c>
      <x:c r="F17" s="250" t="s">
        <x:v>1277</x:v>
      </x:c>
      <x:c r="G17" s="252"/>
      <x:c r="H17" s="252">
        <x:v>325.75</x:v>
      </x:c>
      <x:c r="I17" s="250"/>
      <x:c r="J17" s="250" t="s">
        <x:v>1279</x:v>
      </x:c>
      <x:c r="K17" s="250" t="s">
        <x:v>1309</x:v>
      </x:c>
      <x:c r="L17" s="250" t="s">
        <x:v>1281</x:v>
      </x:c>
      <x:c r="M17" s="252" t="s">
        <x:v>64</x:v>
      </x:c>
      <x:c r="N17" s="252"/>
      <x:c r="O17" s="251"/>
      <x:c r="P17" s="250"/>
      <x:c r="Q17" s="250"/>
      <x:c r="R17" s="250" t="s">
        <x:v>1282</x:v>
      </x:c>
      <x:c r="S17" s="253" t="s">
        <x:v>223</x:v>
      </x:c>
      <x:c r="T17" s="250">
        <x:v>46250</x:v>
      </x:c>
      <x:c r="U17" t="s">
        <x:v>52</x:v>
      </x:c>
      <x:c r="V17" s="249" t="s">
        <x:v>1292</x:v>
      </x:c>
      <x:c r="W17" s="249" t="s">
        <x:v>1316</x:v>
      </x:c>
      <x:c r="AA17"/>
      <x:c r="AB17"/>
      <x:c r="AC17"/>
      <x:c r="AD17"/>
      <x:c r="AE17"/>
      <x:c r="AF17"/>
      <x:c r="AG17"/>
      <x:c r="AH17"/>
      <x:c r="AI17"/>
      <x:c r="AJ17"/>
      <x:c r="AK17"/>
      <x:c r="AL17"/>
      <x:c r="AM17"/>
      <x:c r="AN17"/>
      <x:c r="AO17"/>
      <x:c r="AP17"/>
      <x:c r="AQ17"/>
      <x:c r="AR17"/>
    </x:row>
    <x:row r="18" s="248" customFormat="1" ht="28">
      <x:c r="A18" s="250" t="s">
        <x:v>1317</x:v>
      </x:c>
      <x:c r="B18" s="250" t="s">
        <x:v>581</x:v>
      </x:c>
      <x:c r="C18" s="566" t="str">
        <x:f>IF(B18="","",IFERROR(VLOOKUP(B18,PERUMAHAN!$A:$B,2,FALSE),"ID tidak ditemukan"))</x:f>
        <x:v>GRAND ERANES</x:v>
      </x:c>
      <x:c r="D18" s="250">
        <x:v>2026</x:v>
      </x:c>
      <x:c r="E18" s="250" t="s">
        <x:v>1287</x:v>
      </x:c>
      <x:c r="F18" s="250" t="s">
        <x:v>1288</x:v>
      </x:c>
      <x:c r="G18" s="252"/>
      <x:c r="H18" s="252">
        <x:v>1099.51</x:v>
      </x:c>
      <x:c r="I18" s="250"/>
      <x:c r="J18" s="250" t="s">
        <x:v>1279</x:v>
      </x:c>
      <x:c r="K18" s="250" t="s">
        <x:v>1289</x:v>
      </x:c>
      <x:c r="L18" s="250" t="s">
        <x:v>1281</x:v>
      </x:c>
      <x:c r="M18" s="252" t="s">
        <x:v>64</x:v>
      </x:c>
      <x:c r="N18" s="252"/>
      <x:c r="O18" s="251"/>
      <x:c r="P18" s="250"/>
      <x:c r="Q18" s="250"/>
      <x:c r="R18" s="250" t="s">
        <x:v>1282</x:v>
      </x:c>
      <x:c r="S18" s="253" t="s">
        <x:v>223</x:v>
      </x:c>
      <x:c r="T18" s="250">
        <x:v>46250</x:v>
      </x:c>
      <x:c r="U18" t="s">
        <x:v>52</x:v>
      </x:c>
      <x:c r="V18" s="249" t="s">
        <x:v>1292</x:v>
      </x:c>
      <x:c r="W18" s="249" t="s">
        <x:v>1318</x:v>
      </x:c>
      <x:c r="AA18"/>
      <x:c r="AB18"/>
      <x:c r="AC18"/>
      <x:c r="AD18"/>
      <x:c r="AE18"/>
      <x:c r="AF18"/>
      <x:c r="AG18"/>
      <x:c r="AH18"/>
      <x:c r="AI18"/>
      <x:c r="AJ18"/>
      <x:c r="AK18"/>
      <x:c r="AL18"/>
      <x:c r="AM18"/>
      <x:c r="AN18"/>
      <x:c r="AO18"/>
      <x:c r="AP18"/>
      <x:c r="AQ18"/>
      <x:c r="AR18"/>
    </x:row>
    <x:row r="19" s="248" customFormat="1">
      <x:c r="A19" s="250"/>
      <x:c r="B19" s="250" t="s">
        <x:v>727</x:v>
      </x:c>
      <x:c r="C19" s="566" t="str">
        <x:f>IF(B19="","",IFERROR(VLOOKUP(B19,PERUMAHAN!$A:$B,2,FALSE),"ID tidak ditemukan"))</x:f>
        <x:v>HARVEST RESIDENCE 9</x:v>
      </x:c>
      <x:c r="D19" s="250"/>
      <x:c r="E19" s="250"/>
      <x:c r="F19" s="250"/>
      <x:c r="G19" s="252"/>
      <x:c r="H19" s="252"/>
      <x:c r="I19" s="250"/>
      <x:c r="J19" s="250"/>
      <x:c r="K19" s="250"/>
      <x:c r="L19" s="250"/>
      <x:c r="M19" s="252"/>
      <x:c r="N19" s="252"/>
      <x:c r="O19" s="251"/>
      <x:c r="P19" s="250"/>
      <x:c r="Q19" s="250"/>
      <x:c r="R19" s="250"/>
      <x:c r="S19" s="253"/>
      <x:c r="T19" s="250"/>
      <x:c r="U19"/>
      <x:c r="V19" s="249" t="s">
        <x:v>1292</x:v>
      </x:c>
      <x:c r="W19" s="249" t="s">
        <x:v>1319</x:v>
      </x:c>
      <x:c r="AA19"/>
      <x:c r="AB19"/>
      <x:c r="AC19"/>
      <x:c r="AD19"/>
      <x:c r="AE19"/>
      <x:c r="AF19"/>
      <x:c r="AG19"/>
      <x:c r="AH19"/>
      <x:c r="AI19"/>
      <x:c r="AJ19"/>
      <x:c r="AK19"/>
      <x:c r="AL19"/>
      <x:c r="AM19"/>
      <x:c r="AN19"/>
      <x:c r="AO19"/>
      <x:c r="AP19"/>
      <x:c r="AQ19"/>
      <x:c r="AR19"/>
    </x:row>
    <x:row r="20" s="248" customFormat="1">
      <x:c r="A20" s="250"/>
      <x:c r="B20" s="250"/>
      <x:c r="C20" s="566" t="str">
        <x:f>IF(B20="","",IFERROR(VLOOKUP(B20,PERUMAHAN!$A:$B,2,FALSE),"ID tidak ditemukan"))</x:f>
      </x:c>
      <x:c r="D20" s="250"/>
      <x:c r="E20" s="250"/>
      <x:c r="F20" s="250"/>
      <x:c r="G20" s="252"/>
      <x:c r="H20" s="252"/>
      <x:c r="I20" s="250"/>
      <x:c r="J20" s="250"/>
      <x:c r="K20" s="250"/>
      <x:c r="L20" s="250"/>
      <x:c r="M20" s="252"/>
      <x:c r="N20" s="252"/>
      <x:c r="O20" s="251"/>
      <x:c r="P20" s="250"/>
      <x:c r="Q20" s="250"/>
      <x:c r="R20" s="250"/>
      <x:c r="S20" s="253"/>
      <x:c r="T20" s="250"/>
      <x:c r="U20"/>
      <x:c r="V20" s="249" t="s">
        <x:v>1292</x:v>
      </x:c>
      <x:c r="W20" s="249" t="s">
        <x:v>1320</x:v>
      </x:c>
      <x:c r="AA20"/>
      <x:c r="AB20"/>
      <x:c r="AC20"/>
      <x:c r="AD20"/>
      <x:c r="AE20"/>
      <x:c r="AF20"/>
      <x:c r="AG20"/>
      <x:c r="AH20"/>
      <x:c r="AI20"/>
      <x:c r="AJ20"/>
      <x:c r="AK20"/>
      <x:c r="AL20"/>
      <x:c r="AM20"/>
      <x:c r="AN20"/>
      <x:c r="AO20"/>
      <x:c r="AP20"/>
      <x:c r="AQ20"/>
      <x:c r="AR20"/>
    </x:row>
    <x:row r="21" s="248" customFormat="1">
      <x:c r="A21" s="250"/>
      <x:c r="B21" s="250"/>
      <x:c r="C21" s="566" t="str">
        <x:f>IF(B21="","",IFERROR(VLOOKUP(B21,PERUMAHAN!$A:$B,2,FALSE),"ID tidak ditemukan"))</x:f>
      </x:c>
      <x:c r="D21" s="250"/>
      <x:c r="E21" s="250"/>
      <x:c r="F21" s="250"/>
      <x:c r="G21" s="252"/>
      <x:c r="H21" s="252"/>
      <x:c r="I21" s="250"/>
      <x:c r="J21" s="250"/>
      <x:c r="K21" s="250"/>
      <x:c r="L21" s="250"/>
      <x:c r="M21" s="252"/>
      <x:c r="N21" s="252"/>
      <x:c r="O21" s="251"/>
      <x:c r="P21" s="250"/>
      <x:c r="Q21" s="250"/>
      <x:c r="R21" s="250"/>
      <x:c r="S21" s="253"/>
      <x:c r="T21" s="250"/>
      <x:c r="U21"/>
      <x:c r="V21" s="249" t="s">
        <x:v>1292</x:v>
      </x:c>
      <x:c r="W21" s="249" t="s">
        <x:v>1321</x:v>
      </x:c>
      <x:c r="AA21"/>
      <x:c r="AB21"/>
      <x:c r="AC21"/>
      <x:c r="AD21"/>
      <x:c r="AE21"/>
      <x:c r="AF21"/>
      <x:c r="AG21"/>
      <x:c r="AH21"/>
      <x:c r="AI21"/>
      <x:c r="AJ21"/>
      <x:c r="AK21"/>
      <x:c r="AL21"/>
      <x:c r="AM21"/>
      <x:c r="AN21"/>
      <x:c r="AO21"/>
      <x:c r="AP21"/>
      <x:c r="AQ21"/>
      <x:c r="AR21"/>
    </x:row>
    <x:row r="22" s="248" customFormat="1">
      <x:c r="A22" s="250"/>
      <x:c r="B22" s="250"/>
      <x:c r="C22" s="566" t="str">
        <x:f>IF(B22="","",IFERROR(VLOOKUP(B22,PERUMAHAN!$A:$B,2,FALSE),"ID tidak ditemukan"))</x:f>
      </x:c>
      <x:c r="D22" s="250"/>
      <x:c r="E22" s="250"/>
      <x:c r="F22" s="250"/>
      <x:c r="G22" s="252"/>
      <x:c r="H22" s="252"/>
      <x:c r="I22" s="250"/>
      <x:c r="J22" s="250"/>
      <x:c r="K22" s="250"/>
      <x:c r="L22" s="250"/>
      <x:c r="M22" s="252"/>
      <x:c r="N22" s="252"/>
      <x:c r="O22" s="251"/>
      <x:c r="P22" s="250"/>
      <x:c r="Q22" s="250"/>
      <x:c r="R22" s="250"/>
      <x:c r="S22" s="253"/>
      <x:c r="T22" s="250"/>
      <x:c r="U22"/>
      <x:c r="V22" s="249" t="s">
        <x:v>1292</x:v>
      </x:c>
      <x:c r="W22" s="249" t="s">
        <x:v>1322</x:v>
      </x:c>
      <x:c r="AA22"/>
      <x:c r="AB22"/>
      <x:c r="AC22"/>
      <x:c r="AD22"/>
      <x:c r="AE22"/>
      <x:c r="AF22"/>
      <x:c r="AG22"/>
      <x:c r="AH22"/>
      <x:c r="AI22"/>
      <x:c r="AJ22"/>
      <x:c r="AK22"/>
      <x:c r="AL22"/>
      <x:c r="AM22"/>
      <x:c r="AN22"/>
      <x:c r="AO22"/>
      <x:c r="AP22"/>
      <x:c r="AQ22"/>
      <x:c r="AR22"/>
    </x:row>
    <x:row r="23" s="248" customFormat="1">
      <x:c r="A23" s="250"/>
      <x:c r="B23" s="250"/>
      <x:c r="C23" s="566" t="str">
        <x:f>IF(B23="","",IFERROR(VLOOKUP(B23,PERUMAHAN!$A:$B,2,FALSE),"ID tidak ditemukan"))</x:f>
      </x:c>
      <x:c r="D23" s="250"/>
      <x:c r="E23" s="250"/>
      <x:c r="F23" s="250"/>
      <x:c r="G23" s="252"/>
      <x:c r="H23" s="252"/>
      <x:c r="I23" s="250"/>
      <x:c r="J23" s="250"/>
      <x:c r="K23" s="250"/>
      <x:c r="L23" s="250"/>
      <x:c r="M23" s="252"/>
      <x:c r="N23" s="252"/>
      <x:c r="O23" s="251"/>
      <x:c r="P23" s="250"/>
      <x:c r="Q23" s="250"/>
      <x:c r="R23" s="250"/>
      <x:c r="S23" s="253"/>
      <x:c r="T23" s="250"/>
      <x:c r="U23"/>
      <x:c r="V23" s="249" t="s">
        <x:v>1292</x:v>
      </x:c>
      <x:c r="W23" s="249" t="s">
        <x:v>1293</x:v>
      </x:c>
      <x:c r="AA23"/>
      <x:c r="AB23"/>
      <x:c r="AC23"/>
      <x:c r="AD23"/>
      <x:c r="AE23"/>
      <x:c r="AF23"/>
      <x:c r="AG23"/>
      <x:c r="AH23"/>
      <x:c r="AI23"/>
      <x:c r="AJ23"/>
      <x:c r="AK23"/>
      <x:c r="AL23"/>
      <x:c r="AM23"/>
      <x:c r="AN23"/>
      <x:c r="AO23"/>
      <x:c r="AP23"/>
      <x:c r="AQ23"/>
      <x:c r="AR23"/>
    </x:row>
    <x:row r="24" s="248" customFormat="1">
      <x:c r="A24" s="250"/>
      <x:c r="B24" s="250"/>
      <x:c r="C24" s="566" t="str">
        <x:f>IF(B24="","",IFERROR(VLOOKUP(B24,PERUMAHAN!$A:$B,2,FALSE),"ID tidak ditemukan"))</x:f>
      </x:c>
      <x:c r="D24" s="250"/>
      <x:c r="E24" s="250"/>
      <x:c r="F24" s="250"/>
      <x:c r="G24" s="252"/>
      <x:c r="H24" s="252"/>
      <x:c r="I24" s="250"/>
      <x:c r="J24" s="250"/>
      <x:c r="K24" s="250"/>
      <x:c r="L24" s="250"/>
      <x:c r="M24" s="252"/>
      <x:c r="N24" s="252"/>
      <x:c r="O24" s="251"/>
      <x:c r="P24" s="250"/>
      <x:c r="Q24" s="250"/>
      <x:c r="R24" s="250"/>
      <x:c r="S24" s="253"/>
      <x:c r="T24" s="250"/>
      <x:c r="U24"/>
      <x:c r="V24" s="249" t="s">
        <x:v>1306</x:v>
      </x:c>
      <x:c r="W24" s="249" t="s">
        <x:v>1307</x:v>
      </x:c>
      <x:c r="AA24"/>
      <x:c r="AB24"/>
      <x:c r="AC24"/>
      <x:c r="AD24"/>
      <x:c r="AE24"/>
      <x:c r="AF24"/>
      <x:c r="AG24"/>
      <x:c r="AH24"/>
      <x:c r="AI24"/>
      <x:c r="AJ24"/>
      <x:c r="AK24"/>
      <x:c r="AL24"/>
      <x:c r="AM24"/>
      <x:c r="AN24"/>
      <x:c r="AO24"/>
      <x:c r="AP24"/>
      <x:c r="AQ24"/>
      <x:c r="AR24"/>
    </x:row>
    <x:row r="25" s="248" customFormat="1">
      <x:c r="A25" s="250"/>
      <x:c r="B25" s="250"/>
      <x:c r="C25" s="566" t="str">
        <x:f>IF(B25="","",IFERROR(VLOOKUP(B25,PERUMAHAN!$A:$B,2,FALSE),"ID tidak ditemukan"))</x:f>
      </x:c>
      <x:c r="D25" s="250"/>
      <x:c r="E25" s="250"/>
      <x:c r="F25" s="250"/>
      <x:c r="G25" s="252"/>
      <x:c r="H25" s="252"/>
      <x:c r="I25" s="250"/>
      <x:c r="J25" s="250"/>
      <x:c r="K25" s="250"/>
      <x:c r="L25" s="250"/>
      <x:c r="M25" s="252"/>
      <x:c r="N25" s="252"/>
      <x:c r="O25" s="251"/>
      <x:c r="P25" s="250"/>
      <x:c r="Q25" s="250"/>
      <x:c r="R25" s="250"/>
      <x:c r="S25" s="253"/>
      <x:c r="T25" s="250"/>
      <x:c r="U25"/>
      <x:c r="AA25"/>
      <x:c r="AB25"/>
      <x:c r="AC25"/>
      <x:c r="AD25"/>
      <x:c r="AE25"/>
      <x:c r="AF25"/>
      <x:c r="AG25"/>
      <x:c r="AH25"/>
      <x:c r="AI25"/>
      <x:c r="AJ25"/>
      <x:c r="AK25"/>
      <x:c r="AL25"/>
      <x:c r="AM25"/>
      <x:c r="AN25"/>
      <x:c r="AO25"/>
      <x:c r="AP25"/>
      <x:c r="AQ25"/>
      <x:c r="AR25"/>
    </x:row>
    <x:row r="26" s="248" customFormat="1">
      <x:c r="A26" s="250"/>
      <x:c r="B26" s="250"/>
      <x:c r="C26" s="566" t="str">
        <x:f>IF(B26="","",IFERROR(VLOOKUP(B26,PERUMAHAN!$A:$B,2,FALSE),"ID tidak ditemukan"))</x:f>
      </x:c>
      <x:c r="D26" s="250"/>
      <x:c r="E26" s="250"/>
      <x:c r="F26" s="250"/>
      <x:c r="G26" s="252"/>
      <x:c r="H26" s="252"/>
      <x:c r="I26" s="250"/>
      <x:c r="J26" s="250"/>
      <x:c r="K26" s="250"/>
      <x:c r="L26" s="250"/>
      <x:c r="M26" s="252"/>
      <x:c r="N26" s="252"/>
      <x:c r="O26" s="251"/>
      <x:c r="P26" s="250"/>
      <x:c r="Q26" s="250"/>
      <x:c r="R26" s="250"/>
      <x:c r="S26" s="253"/>
      <x:c r="T26" s="250"/>
      <x:c r="U26"/>
      <x:c r="AA26"/>
      <x:c r="AB26"/>
      <x:c r="AC26"/>
      <x:c r="AD26"/>
      <x:c r="AE26"/>
      <x:c r="AF26"/>
      <x:c r="AG26"/>
      <x:c r="AH26"/>
      <x:c r="AI26"/>
      <x:c r="AJ26"/>
      <x:c r="AK26"/>
      <x:c r="AL26"/>
      <x:c r="AM26"/>
      <x:c r="AN26"/>
      <x:c r="AO26"/>
      <x:c r="AP26"/>
      <x:c r="AQ26"/>
      <x:c r="AR26"/>
    </x:row>
    <x:row r="27" s="248" customFormat="1">
      <x:c r="A27" s="250"/>
      <x:c r="B27" s="250"/>
      <x:c r="C27" s="566" t="str">
        <x:f>IF(B27="","",IFERROR(VLOOKUP(B27,PERUMAHAN!$A:$B,2,FALSE),"ID tidak ditemukan"))</x:f>
      </x:c>
      <x:c r="D27" s="250"/>
      <x:c r="E27" s="250"/>
      <x:c r="F27" s="250"/>
      <x:c r="G27" s="252"/>
      <x:c r="H27" s="252"/>
      <x:c r="I27" s="250"/>
      <x:c r="J27" s="250"/>
      <x:c r="K27" s="250"/>
      <x:c r="L27" s="250"/>
      <x:c r="M27" s="252"/>
      <x:c r="N27" s="252"/>
      <x:c r="O27" s="251"/>
      <x:c r="P27" s="250"/>
      <x:c r="Q27" s="250"/>
      <x:c r="R27" s="250"/>
      <x:c r="S27" s="253"/>
      <x:c r="T27" s="250"/>
      <x:c r="U27"/>
      <x:c r="AA27"/>
      <x:c r="AB27"/>
      <x:c r="AC27"/>
      <x:c r="AD27"/>
      <x:c r="AE27"/>
      <x:c r="AF27"/>
      <x:c r="AG27"/>
      <x:c r="AH27"/>
      <x:c r="AI27"/>
      <x:c r="AJ27"/>
      <x:c r="AK27"/>
      <x:c r="AL27"/>
      <x:c r="AM27"/>
      <x:c r="AN27"/>
      <x:c r="AO27"/>
      <x:c r="AP27"/>
      <x:c r="AQ27"/>
      <x:c r="AR27"/>
    </x:row>
    <x:row r="28" s="248" customFormat="1">
      <x:c r="A28" s="250"/>
      <x:c r="B28" s="250"/>
      <x:c r="C28" s="566" t="str">
        <x:f>IF(B28="","",IFERROR(VLOOKUP(B28,PERUMAHAN!$A:$B,2,FALSE),"ID tidak ditemukan"))</x:f>
      </x:c>
      <x:c r="D28" s="250"/>
      <x:c r="E28" s="250"/>
      <x:c r="F28" s="250"/>
      <x:c r="G28" s="252"/>
      <x:c r="H28" s="252"/>
      <x:c r="I28" s="250"/>
      <x:c r="J28" s="250"/>
      <x:c r="K28" s="250"/>
      <x:c r="L28" s="250"/>
      <x:c r="M28" s="252"/>
      <x:c r="N28" s="252"/>
      <x:c r="O28" s="251"/>
      <x:c r="P28" s="250"/>
      <x:c r="Q28" s="250"/>
      <x:c r="R28" s="250"/>
      <x:c r="S28" s="253"/>
      <x:c r="T28" s="250"/>
      <x:c r="U28"/>
      <x:c r="AA28"/>
      <x:c r="AB28"/>
      <x:c r="AC28"/>
      <x:c r="AD28"/>
      <x:c r="AE28"/>
      <x:c r="AF28"/>
      <x:c r="AG28"/>
      <x:c r="AH28"/>
      <x:c r="AI28"/>
      <x:c r="AJ28"/>
      <x:c r="AK28"/>
      <x:c r="AL28"/>
      <x:c r="AM28"/>
      <x:c r="AN28"/>
      <x:c r="AO28"/>
      <x:c r="AP28"/>
      <x:c r="AQ28"/>
      <x:c r="AR28"/>
    </x:row>
    <x:row r="29" s="248" customFormat="1">
      <x:c r="A29" s="250"/>
      <x:c r="B29" s="250"/>
      <x:c r="C29" s="566" t="str">
        <x:f>IF(B29="","",IFERROR(VLOOKUP(B29,PERUMAHAN!$A:$B,2,FALSE),"ID tidak ditemukan"))</x:f>
      </x:c>
      <x:c r="D29" s="250"/>
      <x:c r="E29" s="250"/>
      <x:c r="F29" s="250"/>
      <x:c r="G29" s="252"/>
      <x:c r="H29" s="252"/>
      <x:c r="I29" s="250"/>
      <x:c r="J29" s="250"/>
      <x:c r="K29" s="250"/>
      <x:c r="L29" s="250"/>
      <x:c r="M29" s="252"/>
      <x:c r="N29" s="252"/>
      <x:c r="O29" s="251"/>
      <x:c r="P29" s="250"/>
      <x:c r="Q29" s="250"/>
      <x:c r="R29" s="250"/>
      <x:c r="S29" s="253"/>
      <x:c r="T29" s="250"/>
      <x:c r="U29"/>
      <x:c r="AA29"/>
      <x:c r="AB29"/>
      <x:c r="AC29"/>
      <x:c r="AD29"/>
      <x:c r="AE29"/>
      <x:c r="AF29"/>
      <x:c r="AG29"/>
      <x:c r="AH29"/>
      <x:c r="AI29"/>
      <x:c r="AJ29"/>
      <x:c r="AK29"/>
      <x:c r="AL29"/>
      <x:c r="AM29"/>
      <x:c r="AN29"/>
      <x:c r="AO29"/>
      <x:c r="AP29"/>
      <x:c r="AQ29"/>
      <x:c r="AR29"/>
    </x:row>
    <x:row r="30" s="248" customFormat="1">
      <x:c r="A30" s="250"/>
      <x:c r="B30" s="250"/>
      <x:c r="C30" s="566" t="str">
        <x:f>IF(B30="","",IFERROR(VLOOKUP(B30,PERUMAHAN!$A:$B,2,FALSE),"ID tidak ditemukan"))</x:f>
      </x:c>
      <x:c r="D30" s="250"/>
      <x:c r="E30" s="250"/>
      <x:c r="F30" s="250"/>
      <x:c r="G30" s="252"/>
      <x:c r="H30" s="252"/>
      <x:c r="I30" s="250"/>
      <x:c r="J30" s="250"/>
      <x:c r="K30" s="250"/>
      <x:c r="L30" s="250"/>
      <x:c r="M30" s="252"/>
      <x:c r="N30" s="252"/>
      <x:c r="O30" s="251"/>
      <x:c r="P30" s="250"/>
      <x:c r="Q30" s="250"/>
      <x:c r="R30" s="250"/>
      <x:c r="S30" s="253"/>
      <x:c r="T30" s="250"/>
      <x:c r="U30"/>
      <x:c r="AA30"/>
      <x:c r="AB30"/>
      <x:c r="AC30"/>
      <x:c r="AD30"/>
      <x:c r="AE30"/>
      <x:c r="AF30"/>
      <x:c r="AG30"/>
      <x:c r="AH30"/>
      <x:c r="AI30"/>
      <x:c r="AJ30"/>
      <x:c r="AK30"/>
      <x:c r="AL30"/>
      <x:c r="AM30"/>
      <x:c r="AN30"/>
      <x:c r="AO30"/>
      <x:c r="AP30"/>
      <x:c r="AQ30"/>
      <x:c r="AR30"/>
    </x:row>
    <x:row r="31" s="248" customFormat="1">
      <x:c r="A31" s="250"/>
      <x:c r="B31" s="250"/>
      <x:c r="C31" s="566" t="str">
        <x:f>IF(B31="","",IFERROR(VLOOKUP(B31,PERUMAHAN!$A:$B,2,FALSE),"ID tidak ditemukan"))</x:f>
      </x:c>
      <x:c r="D31" s="250"/>
      <x:c r="E31" s="250"/>
      <x:c r="F31" s="250"/>
      <x:c r="G31" s="252"/>
      <x:c r="H31" s="252"/>
      <x:c r="I31" s="250"/>
      <x:c r="J31" s="250"/>
      <x:c r="K31" s="250"/>
      <x:c r="L31" s="250"/>
      <x:c r="M31" s="252"/>
      <x:c r="N31" s="252"/>
      <x:c r="O31" s="251"/>
      <x:c r="P31" s="250"/>
      <x:c r="Q31" s="250"/>
      <x:c r="R31" s="250"/>
      <x:c r="S31" s="253"/>
      <x:c r="T31" s="250"/>
      <x:c r="U31"/>
      <x:c r="AA31"/>
      <x:c r="AB31"/>
      <x:c r="AC31"/>
      <x:c r="AD31"/>
      <x:c r="AE31"/>
      <x:c r="AF31"/>
      <x:c r="AG31"/>
      <x:c r="AH31"/>
      <x:c r="AI31"/>
      <x:c r="AJ31"/>
      <x:c r="AK31"/>
      <x:c r="AL31"/>
      <x:c r="AM31"/>
      <x:c r="AN31"/>
      <x:c r="AO31"/>
      <x:c r="AP31"/>
      <x:c r="AQ31"/>
      <x:c r="AR31"/>
    </x:row>
    <x:row r="32" s="248" customFormat="1">
      <x:c r="A32" s="250"/>
      <x:c r="B32" s="250"/>
      <x:c r="C32" s="566" t="str">
        <x:f>IF(B32="","",IFERROR(VLOOKUP(B32,PERUMAHAN!$A:$B,2,FALSE),"ID tidak ditemukan"))</x:f>
      </x:c>
      <x:c r="D32" s="250"/>
      <x:c r="E32" s="250"/>
      <x:c r="F32" s="250"/>
      <x:c r="G32" s="252"/>
      <x:c r="H32" s="252"/>
      <x:c r="I32" s="250"/>
      <x:c r="J32" s="250"/>
      <x:c r="K32" s="250"/>
      <x:c r="L32" s="250"/>
      <x:c r="M32" s="252"/>
      <x:c r="N32" s="252"/>
      <x:c r="O32" s="251"/>
      <x:c r="P32" s="250"/>
      <x:c r="Q32" s="250"/>
      <x:c r="R32" s="250"/>
      <x:c r="S32" s="253"/>
      <x:c r="T32" s="250"/>
      <x:c r="U32"/>
      <x:c r="AA32"/>
      <x:c r="AB32"/>
      <x:c r="AC32"/>
      <x:c r="AD32"/>
      <x:c r="AE32"/>
      <x:c r="AF32"/>
      <x:c r="AG32"/>
      <x:c r="AH32"/>
      <x:c r="AI32"/>
      <x:c r="AJ32"/>
      <x:c r="AK32"/>
      <x:c r="AL32"/>
      <x:c r="AM32"/>
      <x:c r="AN32"/>
      <x:c r="AO32"/>
      <x:c r="AP32"/>
      <x:c r="AQ32"/>
      <x:c r="AR32"/>
    </x:row>
    <x:row r="33" s="248" customFormat="1">
      <x:c r="A33" s="250"/>
      <x:c r="B33" s="250"/>
      <x:c r="C33" s="566" t="str">
        <x:f>IF(B33="","",IFERROR(VLOOKUP(B33,PERUMAHAN!$A:$B,2,FALSE),"ID tidak ditemukan"))</x:f>
      </x:c>
      <x:c r="D33" s="250"/>
      <x:c r="E33" s="250"/>
      <x:c r="F33" s="250"/>
      <x:c r="G33" s="252"/>
      <x:c r="H33" s="252"/>
      <x:c r="I33" s="250"/>
      <x:c r="J33" s="250"/>
      <x:c r="K33" s="250"/>
      <x:c r="L33" s="250"/>
      <x:c r="M33" s="252"/>
      <x:c r="N33" s="252"/>
      <x:c r="O33" s="251"/>
      <x:c r="P33" s="250"/>
      <x:c r="Q33" s="250"/>
      <x:c r="R33" s="250"/>
      <x:c r="S33" s="253"/>
      <x:c r="T33" s="250"/>
      <x:c r="U33"/>
      <x:c r="AA33"/>
      <x:c r="AB33"/>
      <x:c r="AC33"/>
      <x:c r="AD33"/>
      <x:c r="AE33"/>
      <x:c r="AF33"/>
      <x:c r="AG33"/>
      <x:c r="AH33"/>
      <x:c r="AI33"/>
      <x:c r="AJ33"/>
      <x:c r="AK33"/>
      <x:c r="AL33"/>
      <x:c r="AM33"/>
      <x:c r="AN33"/>
      <x:c r="AO33"/>
      <x:c r="AP33"/>
      <x:c r="AQ33"/>
      <x:c r="AR33"/>
    </x:row>
    <x:row r="34" s="248" customFormat="1">
      <x:c r="A34" s="250"/>
      <x:c r="B34" s="250"/>
      <x:c r="C34" s="566" t="str">
        <x:f>IF(B34="","",IFERROR(VLOOKUP(B34,PERUMAHAN!$A:$B,2,FALSE),"ID tidak ditemukan"))</x:f>
      </x:c>
      <x:c r="D34" s="250"/>
      <x:c r="E34" s="250"/>
      <x:c r="F34" s="250"/>
      <x:c r="G34" s="252"/>
      <x:c r="H34" s="252"/>
      <x:c r="I34" s="250"/>
      <x:c r="J34" s="250"/>
      <x:c r="K34" s="250"/>
      <x:c r="L34" s="250"/>
      <x:c r="M34" s="252"/>
      <x:c r="N34" s="252"/>
      <x:c r="O34" s="251"/>
      <x:c r="P34" s="250"/>
      <x:c r="Q34" s="250"/>
      <x:c r="R34" s="250"/>
      <x:c r="S34" s="253"/>
      <x:c r="T34" s="250"/>
      <x:c r="U34"/>
      <x:c r="AA34"/>
      <x:c r="AB34"/>
      <x:c r="AC34"/>
      <x:c r="AD34"/>
      <x:c r="AE34"/>
      <x:c r="AF34"/>
      <x:c r="AG34"/>
      <x:c r="AH34"/>
      <x:c r="AI34"/>
      <x:c r="AJ34"/>
      <x:c r="AK34"/>
      <x:c r="AL34"/>
      <x:c r="AM34"/>
      <x:c r="AN34"/>
      <x:c r="AO34"/>
      <x:c r="AP34"/>
      <x:c r="AQ34"/>
      <x:c r="AR34"/>
    </x:row>
    <x:row r="35" s="248" customFormat="1">
      <x:c r="A35" s="250"/>
      <x:c r="B35" s="250"/>
      <x:c r="C35" s="566" t="str">
        <x:f>IF(B35="","",IFERROR(VLOOKUP(B35,PERUMAHAN!$A:$B,2,FALSE),"ID tidak ditemukan"))</x:f>
      </x:c>
      <x:c r="D35" s="250"/>
      <x:c r="E35" s="250"/>
      <x:c r="F35" s="250"/>
      <x:c r="G35" s="252"/>
      <x:c r="H35" s="252"/>
      <x:c r="I35" s="250"/>
      <x:c r="J35" s="250"/>
      <x:c r="K35" s="250"/>
      <x:c r="L35" s="250"/>
      <x:c r="M35" s="252"/>
      <x:c r="N35" s="252"/>
      <x:c r="O35" s="251"/>
      <x:c r="P35" s="250"/>
      <x:c r="Q35" s="250"/>
      <x:c r="R35" s="250"/>
      <x:c r="S35" s="253"/>
      <x:c r="T35" s="250"/>
      <x:c r="U35"/>
      <x:c r="AA35"/>
      <x:c r="AB35"/>
      <x:c r="AC35"/>
      <x:c r="AD35"/>
      <x:c r="AE35"/>
      <x:c r="AF35"/>
      <x:c r="AG35"/>
      <x:c r="AH35"/>
      <x:c r="AI35"/>
      <x:c r="AJ35"/>
      <x:c r="AK35"/>
      <x:c r="AL35"/>
      <x:c r="AM35"/>
      <x:c r="AN35"/>
      <x:c r="AO35"/>
      <x:c r="AP35"/>
      <x:c r="AQ35"/>
      <x:c r="AR35"/>
    </x:row>
    <x:row r="36" s="248" customFormat="1">
      <x:c r="A36" s="250"/>
      <x:c r="B36" s="250"/>
      <x:c r="C36" s="566" t="str">
        <x:f>IF(B36="","",IFERROR(VLOOKUP(B36,PERUMAHAN!$A:$B,2,FALSE),"ID tidak ditemukan"))</x:f>
      </x:c>
      <x:c r="D36" s="250"/>
      <x:c r="E36" s="250"/>
      <x:c r="F36" s="250"/>
      <x:c r="G36" s="252"/>
      <x:c r="H36" s="252"/>
      <x:c r="I36" s="250"/>
      <x:c r="J36" s="250"/>
      <x:c r="K36" s="250"/>
      <x:c r="L36" s="250"/>
      <x:c r="M36" s="252"/>
      <x:c r="N36" s="252"/>
      <x:c r="O36" s="251"/>
      <x:c r="P36" s="250"/>
      <x:c r="Q36" s="250"/>
      <x:c r="R36" s="250"/>
      <x:c r="S36" s="253"/>
      <x:c r="T36" s="250"/>
      <x:c r="U36"/>
      <x:c r="AA36"/>
      <x:c r="AB36"/>
      <x:c r="AC36"/>
      <x:c r="AD36"/>
      <x:c r="AE36"/>
      <x:c r="AF36"/>
      <x:c r="AG36"/>
      <x:c r="AH36"/>
      <x:c r="AI36"/>
      <x:c r="AJ36"/>
      <x:c r="AK36"/>
      <x:c r="AL36"/>
      <x:c r="AM36"/>
      <x:c r="AN36"/>
      <x:c r="AO36"/>
      <x:c r="AP36"/>
      <x:c r="AQ36"/>
      <x:c r="AR36"/>
    </x:row>
    <x:row r="37" s="248" customFormat="1">
      <x:c r="A37" s="250"/>
      <x:c r="B37" s="250"/>
      <x:c r="C37" s="566" t="str">
        <x:f>IF(B37="","",IFERROR(VLOOKUP(B37,PERUMAHAN!$A:$B,2,FALSE),"ID tidak ditemukan"))</x:f>
      </x:c>
      <x:c r="D37" s="250"/>
      <x:c r="E37" s="250"/>
      <x:c r="F37" s="250"/>
      <x:c r="G37" s="252"/>
      <x:c r="H37" s="252"/>
      <x:c r="I37" s="250"/>
      <x:c r="J37" s="250"/>
      <x:c r="K37" s="250"/>
      <x:c r="L37" s="250"/>
      <x:c r="M37" s="252"/>
      <x:c r="N37" s="252"/>
      <x:c r="O37" s="251"/>
      <x:c r="P37" s="250"/>
      <x:c r="Q37" s="250"/>
      <x:c r="R37" s="250"/>
      <x:c r="S37" s="253"/>
      <x:c r="T37" s="250"/>
      <x:c r="U37"/>
      <x:c r="AA37"/>
      <x:c r="AB37"/>
      <x:c r="AC37"/>
      <x:c r="AD37"/>
      <x:c r="AE37"/>
      <x:c r="AF37"/>
      <x:c r="AG37"/>
      <x:c r="AH37"/>
      <x:c r="AI37"/>
      <x:c r="AJ37"/>
      <x:c r="AK37"/>
      <x:c r="AL37"/>
      <x:c r="AM37"/>
      <x:c r="AN37"/>
      <x:c r="AO37"/>
      <x:c r="AP37"/>
      <x:c r="AQ37"/>
      <x:c r="AR37"/>
    </x:row>
    <x:row r="38" s="248" customFormat="1">
      <x:c r="A38" s="250"/>
      <x:c r="B38" s="250"/>
      <x:c r="C38" s="566" t="str">
        <x:f>IF(B38="","",IFERROR(VLOOKUP(B38,PERUMAHAN!$A:$B,2,FALSE),"ID tidak ditemukan"))</x:f>
      </x:c>
      <x:c r="D38" s="250"/>
      <x:c r="E38" s="250"/>
      <x:c r="F38" s="250"/>
      <x:c r="G38" s="252"/>
      <x:c r="H38" s="252"/>
      <x:c r="I38" s="250"/>
      <x:c r="J38" s="250"/>
      <x:c r="K38" s="250"/>
      <x:c r="L38" s="250"/>
      <x:c r="M38" s="252"/>
      <x:c r="N38" s="252"/>
      <x:c r="O38" s="251"/>
      <x:c r="P38" s="250"/>
      <x:c r="Q38" s="250"/>
      <x:c r="R38" s="250"/>
      <x:c r="S38" s="253"/>
      <x:c r="T38" s="250"/>
      <x:c r="U38"/>
      <x:c r="AA38"/>
      <x:c r="AB38"/>
      <x:c r="AC38"/>
      <x:c r="AD38"/>
      <x:c r="AE38"/>
      <x:c r="AF38"/>
      <x:c r="AG38"/>
      <x:c r="AH38"/>
      <x:c r="AI38"/>
      <x:c r="AJ38"/>
      <x:c r="AK38"/>
      <x:c r="AL38"/>
      <x:c r="AM38"/>
      <x:c r="AN38"/>
      <x:c r="AO38"/>
      <x:c r="AP38"/>
      <x:c r="AQ38"/>
      <x:c r="AR38"/>
    </x:row>
    <x:row r="39" s="248" customFormat="1">
      <x:c r="A39" s="250"/>
      <x:c r="B39" s="250"/>
      <x:c r="C39" s="566" t="str">
        <x:f>IF(B39="","",IFERROR(VLOOKUP(B39,PERUMAHAN!$A:$B,2,FALSE),"ID tidak ditemukan"))</x:f>
      </x:c>
      <x:c r="D39" s="250"/>
      <x:c r="E39" s="250"/>
      <x:c r="F39" s="250"/>
      <x:c r="G39" s="252"/>
      <x:c r="H39" s="252"/>
      <x:c r="I39" s="250"/>
      <x:c r="J39" s="250"/>
      <x:c r="K39" s="250"/>
      <x:c r="L39" s="250"/>
      <x:c r="M39" s="252"/>
      <x:c r="N39" s="252"/>
      <x:c r="O39" s="251"/>
      <x:c r="P39" s="250"/>
      <x:c r="Q39" s="250"/>
      <x:c r="R39" s="250"/>
      <x:c r="S39" s="253"/>
      <x:c r="T39" s="250"/>
      <x:c r="U39"/>
      <x:c r="AA39"/>
      <x:c r="AB39"/>
      <x:c r="AC39"/>
      <x:c r="AD39"/>
      <x:c r="AE39"/>
      <x:c r="AF39"/>
      <x:c r="AG39"/>
      <x:c r="AH39"/>
      <x:c r="AI39"/>
      <x:c r="AJ39"/>
      <x:c r="AK39"/>
      <x:c r="AL39"/>
      <x:c r="AM39"/>
      <x:c r="AN39"/>
      <x:c r="AO39"/>
      <x:c r="AP39"/>
      <x:c r="AQ39"/>
      <x:c r="AR39"/>
    </x:row>
    <x:row r="40" s="248" customFormat="1">
      <x:c r="A40" s="250"/>
      <x:c r="B40" s="250"/>
      <x:c r="C40" s="566" t="str">
        <x:f>IF(B40="","",IFERROR(VLOOKUP(B40,PERUMAHAN!$A:$B,2,FALSE),"ID tidak ditemukan"))</x:f>
      </x:c>
      <x:c r="D40" s="250"/>
      <x:c r="E40" s="250"/>
      <x:c r="F40" s="250"/>
      <x:c r="G40" s="252"/>
      <x:c r="H40" s="252"/>
      <x:c r="I40" s="250"/>
      <x:c r="J40" s="250"/>
      <x:c r="K40" s="250"/>
      <x:c r="L40" s="250"/>
      <x:c r="M40" s="252"/>
      <x:c r="N40" s="252"/>
      <x:c r="O40" s="251"/>
      <x:c r="P40" s="250"/>
      <x:c r="Q40" s="250"/>
      <x:c r="R40" s="250"/>
      <x:c r="S40" s="253"/>
      <x:c r="T40" s="250"/>
      <x:c r="U40"/>
      <x:c r="AA40"/>
      <x:c r="AB40"/>
      <x:c r="AC40"/>
      <x:c r="AD40"/>
      <x:c r="AE40"/>
      <x:c r="AF40"/>
      <x:c r="AG40"/>
      <x:c r="AH40"/>
      <x:c r="AI40"/>
      <x:c r="AJ40"/>
      <x:c r="AK40"/>
      <x:c r="AL40"/>
      <x:c r="AM40"/>
      <x:c r="AN40"/>
      <x:c r="AO40"/>
      <x:c r="AP40"/>
      <x:c r="AQ40"/>
      <x:c r="AR40"/>
    </x:row>
    <x:row r="41" s="248" customFormat="1">
      <x:c r="A41" s="250"/>
      <x:c r="B41" s="250"/>
      <x:c r="C41" s="566" t="str">
        <x:f>IF(B41="","",IFERROR(VLOOKUP(B41,PERUMAHAN!$A:$B,2,FALSE),"ID tidak ditemukan"))</x:f>
      </x:c>
      <x:c r="D41" s="250"/>
      <x:c r="E41" s="250"/>
      <x:c r="F41" s="250"/>
      <x:c r="G41" s="252"/>
      <x:c r="H41" s="252"/>
      <x:c r="I41" s="250"/>
      <x:c r="J41" s="250"/>
      <x:c r="K41" s="250"/>
      <x:c r="L41" s="250"/>
      <x:c r="M41" s="252"/>
      <x:c r="N41" s="252"/>
      <x:c r="O41" s="251"/>
      <x:c r="P41" s="250"/>
      <x:c r="Q41" s="250"/>
      <x:c r="R41" s="250"/>
      <x:c r="S41" s="253"/>
      <x:c r="T41" s="250"/>
      <x:c r="U41"/>
      <x:c r="AA41"/>
      <x:c r="AB41"/>
      <x:c r="AC41"/>
      <x:c r="AD41"/>
      <x:c r="AE41"/>
      <x:c r="AF41"/>
      <x:c r="AG41"/>
      <x:c r="AH41"/>
      <x:c r="AI41"/>
      <x:c r="AJ41"/>
      <x:c r="AK41"/>
      <x:c r="AL41"/>
      <x:c r="AM41"/>
      <x:c r="AN41"/>
      <x:c r="AO41"/>
      <x:c r="AP41"/>
      <x:c r="AQ41"/>
      <x:c r="AR41"/>
    </x:row>
    <x:row r="42" s="248" customFormat="1">
      <x:c r="A42" s="250"/>
      <x:c r="B42" s="250"/>
      <x:c r="C42" s="566" t="str">
        <x:f>IF(B42="","",IFERROR(VLOOKUP(B42,PERUMAHAN!$A:$B,2,FALSE),"ID tidak ditemukan"))</x:f>
      </x:c>
      <x:c r="D42" s="250"/>
      <x:c r="E42" s="250"/>
      <x:c r="F42" s="250"/>
      <x:c r="G42" s="252"/>
      <x:c r="H42" s="252"/>
      <x:c r="I42" s="250"/>
      <x:c r="J42" s="250"/>
      <x:c r="K42" s="250"/>
      <x:c r="L42" s="250"/>
      <x:c r="M42" s="252"/>
      <x:c r="N42" s="252"/>
      <x:c r="O42" s="251"/>
      <x:c r="P42" s="250"/>
      <x:c r="Q42" s="250"/>
      <x:c r="R42" s="250"/>
      <x:c r="S42" s="253"/>
      <x:c r="T42" s="250"/>
      <x:c r="U42"/>
      <x:c r="AA42"/>
      <x:c r="AB42"/>
      <x:c r="AC42"/>
      <x:c r="AD42"/>
      <x:c r="AE42"/>
      <x:c r="AF42"/>
      <x:c r="AG42"/>
      <x:c r="AH42"/>
      <x:c r="AI42"/>
      <x:c r="AJ42"/>
      <x:c r="AK42"/>
      <x:c r="AL42"/>
      <x:c r="AM42"/>
      <x:c r="AN42"/>
      <x:c r="AO42"/>
      <x:c r="AP42"/>
      <x:c r="AQ42"/>
      <x:c r="AR42"/>
    </x:row>
    <x:row r="43" s="248" customFormat="1">
      <x:c r="A43" s="250"/>
      <x:c r="B43" s="250"/>
      <x:c r="C43" s="566" t="str">
        <x:f>IF(B43="","",IFERROR(VLOOKUP(B43,PERUMAHAN!$A:$B,2,FALSE),"ID tidak ditemukan"))</x:f>
      </x:c>
      <x:c r="D43" s="250"/>
      <x:c r="E43" s="250"/>
      <x:c r="F43" s="250"/>
      <x:c r="G43" s="252"/>
      <x:c r="H43" s="252"/>
      <x:c r="I43" s="250"/>
      <x:c r="J43" s="250"/>
      <x:c r="K43" s="250"/>
      <x:c r="L43" s="250"/>
      <x:c r="M43" s="252"/>
      <x:c r="N43" s="252"/>
      <x:c r="O43" s="251"/>
      <x:c r="P43" s="250"/>
      <x:c r="Q43" s="250"/>
      <x:c r="R43" s="250"/>
      <x:c r="S43" s="253"/>
      <x:c r="T43" s="250"/>
      <x:c r="U43"/>
      <x:c r="AA43"/>
      <x:c r="AB43"/>
      <x:c r="AC43"/>
      <x:c r="AD43"/>
      <x:c r="AE43"/>
      <x:c r="AF43"/>
      <x:c r="AG43"/>
      <x:c r="AH43"/>
      <x:c r="AI43"/>
      <x:c r="AJ43"/>
      <x:c r="AK43"/>
      <x:c r="AL43"/>
      <x:c r="AM43"/>
      <x:c r="AN43"/>
      <x:c r="AO43"/>
      <x:c r="AP43"/>
      <x:c r="AQ43"/>
      <x:c r="AR43"/>
    </x:row>
    <x:row r="44" s="248" customFormat="1">
      <x:c r="A44" s="250"/>
      <x:c r="B44" s="250"/>
      <x:c r="C44" s="566" t="str">
        <x:f>IF(B44="","",IFERROR(VLOOKUP(B44,PERUMAHAN!$A:$B,2,FALSE),"ID tidak ditemukan"))</x:f>
      </x:c>
      <x:c r="D44" s="250"/>
      <x:c r="E44" s="250"/>
      <x:c r="F44" s="250"/>
      <x:c r="G44" s="252"/>
      <x:c r="H44" s="252"/>
      <x:c r="I44" s="250"/>
      <x:c r="J44" s="250"/>
      <x:c r="K44" s="250"/>
      <x:c r="L44" s="250"/>
      <x:c r="M44" s="252"/>
      <x:c r="N44" s="252"/>
      <x:c r="O44" s="251"/>
      <x:c r="P44" s="250"/>
      <x:c r="Q44" s="250"/>
      <x:c r="R44" s="250"/>
      <x:c r="S44" s="253"/>
      <x:c r="T44" s="250"/>
      <x:c r="U44"/>
      <x:c r="AA44"/>
      <x:c r="AB44"/>
      <x:c r="AC44"/>
      <x:c r="AD44"/>
      <x:c r="AE44"/>
      <x:c r="AF44"/>
      <x:c r="AG44"/>
      <x:c r="AH44"/>
      <x:c r="AI44"/>
      <x:c r="AJ44"/>
      <x:c r="AK44"/>
      <x:c r="AL44"/>
      <x:c r="AM44"/>
      <x:c r="AN44"/>
      <x:c r="AO44"/>
      <x:c r="AP44"/>
      <x:c r="AQ44"/>
      <x:c r="AR44"/>
    </x:row>
    <x:row r="45" s="248" customFormat="1">
      <x:c r="A45" s="250"/>
      <x:c r="B45" s="250"/>
      <x:c r="C45" s="566" t="str">
        <x:f>IF(B45="","",IFERROR(VLOOKUP(B45,PERUMAHAN!$A:$B,2,FALSE),"ID tidak ditemukan"))</x:f>
      </x:c>
      <x:c r="D45" s="250"/>
      <x:c r="E45" s="250"/>
      <x:c r="F45" s="250"/>
      <x:c r="G45" s="252"/>
      <x:c r="H45" s="252"/>
      <x:c r="I45" s="250"/>
      <x:c r="J45" s="250"/>
      <x:c r="K45" s="250"/>
      <x:c r="L45" s="250"/>
      <x:c r="M45" s="252"/>
      <x:c r="N45" s="252"/>
      <x:c r="O45" s="251"/>
      <x:c r="P45" s="250"/>
      <x:c r="Q45" s="250"/>
      <x:c r="R45" s="250"/>
      <x:c r="S45" s="253"/>
      <x:c r="T45" s="250"/>
      <x:c r="U45"/>
      <x:c r="AA45"/>
      <x:c r="AB45"/>
      <x:c r="AC45"/>
      <x:c r="AD45"/>
      <x:c r="AE45"/>
      <x:c r="AF45"/>
      <x:c r="AG45"/>
      <x:c r="AH45"/>
      <x:c r="AI45"/>
      <x:c r="AJ45"/>
      <x:c r="AK45"/>
      <x:c r="AL45"/>
      <x:c r="AM45"/>
      <x:c r="AN45"/>
      <x:c r="AO45"/>
      <x:c r="AP45"/>
      <x:c r="AQ45"/>
      <x:c r="AR45"/>
    </x:row>
    <x:row r="46" s="248" customFormat="1">
      <x:c r="A46" s="250"/>
      <x:c r="B46" s="250"/>
      <x:c r="C46" s="566" t="str">
        <x:f>IF(B46="","",IFERROR(VLOOKUP(B46,PERUMAHAN!$A:$B,2,FALSE),"ID tidak ditemukan"))</x:f>
      </x:c>
      <x:c r="D46" s="250"/>
      <x:c r="E46" s="250"/>
      <x:c r="F46" s="250"/>
      <x:c r="G46" s="252"/>
      <x:c r="H46" s="252"/>
      <x:c r="I46" s="250"/>
      <x:c r="J46" s="250"/>
      <x:c r="K46" s="250"/>
      <x:c r="L46" s="250"/>
      <x:c r="M46" s="252"/>
      <x:c r="N46" s="252"/>
      <x:c r="O46" s="251"/>
      <x:c r="P46" s="250"/>
      <x:c r="Q46" s="250"/>
      <x:c r="R46" s="250"/>
      <x:c r="S46" s="253"/>
      <x:c r="T46" s="250"/>
      <x:c r="U46"/>
      <x:c r="AA46"/>
      <x:c r="AB46"/>
      <x:c r="AC46"/>
      <x:c r="AD46"/>
      <x:c r="AE46"/>
      <x:c r="AF46"/>
      <x:c r="AG46"/>
      <x:c r="AH46"/>
      <x:c r="AI46"/>
      <x:c r="AJ46"/>
      <x:c r="AK46"/>
      <x:c r="AL46"/>
      <x:c r="AM46"/>
      <x:c r="AN46"/>
      <x:c r="AO46"/>
      <x:c r="AP46"/>
      <x:c r="AQ46"/>
      <x:c r="AR46"/>
    </x:row>
    <x:row r="47" s="248" customFormat="1">
      <x:c r="A47" s="250"/>
      <x:c r="B47" s="250"/>
      <x:c r="C47" s="566" t="str">
        <x:f>IF(B47="","",IFERROR(VLOOKUP(B47,PERUMAHAN!$A:$B,2,FALSE),"ID tidak ditemukan"))</x:f>
      </x:c>
      <x:c r="D47" s="250"/>
      <x:c r="E47" s="250"/>
      <x:c r="F47" s="250"/>
      <x:c r="G47" s="252"/>
      <x:c r="H47" s="252"/>
      <x:c r="I47" s="250"/>
      <x:c r="J47" s="250"/>
      <x:c r="K47" s="250"/>
      <x:c r="L47" s="250"/>
      <x:c r="M47" s="252"/>
      <x:c r="N47" s="252"/>
      <x:c r="O47" s="251"/>
      <x:c r="P47" s="250"/>
      <x:c r="Q47" s="250"/>
      <x:c r="R47" s="250"/>
      <x:c r="S47" s="253"/>
      <x:c r="T47" s="250"/>
      <x:c r="U47"/>
      <x:c r="AA47"/>
      <x:c r="AB47"/>
      <x:c r="AC47"/>
      <x:c r="AD47"/>
      <x:c r="AE47"/>
      <x:c r="AF47"/>
      <x:c r="AG47"/>
      <x:c r="AH47"/>
      <x:c r="AI47"/>
      <x:c r="AJ47"/>
      <x:c r="AK47"/>
      <x:c r="AL47"/>
      <x:c r="AM47"/>
      <x:c r="AN47"/>
      <x:c r="AO47"/>
      <x:c r="AP47"/>
      <x:c r="AQ47"/>
      <x:c r="AR47"/>
    </x:row>
    <x:row r="48" s="248" customFormat="1">
      <x:c r="A48" s="250"/>
      <x:c r="B48" s="250"/>
      <x:c r="C48" s="566" t="str">
        <x:f>IF(B48="","",IFERROR(VLOOKUP(B48,PERUMAHAN!$A:$B,2,FALSE),"ID tidak ditemukan"))</x:f>
      </x:c>
      <x:c r="D48" s="250"/>
      <x:c r="E48" s="250"/>
      <x:c r="F48" s="250"/>
      <x:c r="G48" s="252"/>
      <x:c r="H48" s="252"/>
      <x:c r="I48" s="250"/>
      <x:c r="J48" s="250"/>
      <x:c r="K48" s="250"/>
      <x:c r="L48" s="250"/>
      <x:c r="M48" s="252"/>
      <x:c r="N48" s="252"/>
      <x:c r="O48" s="251"/>
      <x:c r="P48" s="250"/>
      <x:c r="Q48" s="250"/>
      <x:c r="R48" s="250"/>
      <x:c r="S48" s="253"/>
      <x:c r="T48" s="250"/>
      <x:c r="U48"/>
      <x:c r="AA48"/>
      <x:c r="AB48"/>
      <x:c r="AC48"/>
      <x:c r="AD48"/>
      <x:c r="AE48"/>
      <x:c r="AF48"/>
      <x:c r="AG48"/>
      <x:c r="AH48"/>
      <x:c r="AI48"/>
      <x:c r="AJ48"/>
      <x:c r="AK48"/>
      <x:c r="AL48"/>
      <x:c r="AM48"/>
      <x:c r="AN48"/>
      <x:c r="AO48"/>
      <x:c r="AP48"/>
      <x:c r="AQ48"/>
      <x:c r="AR48"/>
    </x:row>
    <x:row r="49" s="248" customFormat="1">
      <x:c r="A49" s="250"/>
      <x:c r="B49" s="250"/>
      <x:c r="C49" s="566" t="str">
        <x:f>IF(B49="","",IFERROR(VLOOKUP(B49,PERUMAHAN!$A:$B,2,FALSE),"ID tidak ditemukan"))</x:f>
      </x:c>
      <x:c r="D49" s="250"/>
      <x:c r="E49" s="250"/>
      <x:c r="F49" s="250"/>
      <x:c r="G49" s="252"/>
      <x:c r="H49" s="252"/>
      <x:c r="I49" s="250"/>
      <x:c r="J49" s="250"/>
      <x:c r="K49" s="250"/>
      <x:c r="L49" s="250"/>
      <x:c r="M49" s="252"/>
      <x:c r="N49" s="252"/>
      <x:c r="O49" s="251"/>
      <x:c r="P49" s="250"/>
      <x:c r="Q49" s="250"/>
      <x:c r="R49" s="250"/>
      <x:c r="S49" s="253"/>
      <x:c r="T49" s="250"/>
      <x:c r="U49"/>
      <x:c r="AA49"/>
      <x:c r="AB49"/>
      <x:c r="AC49"/>
      <x:c r="AD49"/>
      <x:c r="AE49"/>
      <x:c r="AF49"/>
      <x:c r="AG49"/>
      <x:c r="AH49"/>
      <x:c r="AI49"/>
      <x:c r="AJ49"/>
      <x:c r="AK49"/>
      <x:c r="AL49"/>
      <x:c r="AM49"/>
      <x:c r="AN49"/>
      <x:c r="AO49"/>
      <x:c r="AP49"/>
      <x:c r="AQ49"/>
      <x:c r="AR49"/>
    </x:row>
    <x:row r="50" s="248" customFormat="1">
      <x:c r="A50" s="250"/>
      <x:c r="B50" s="250"/>
      <x:c r="C50" s="566" t="str">
        <x:f>IF(B50="","",IFERROR(VLOOKUP(B50,PERUMAHAN!$A:$B,2,FALSE),"ID tidak ditemukan"))</x:f>
      </x:c>
      <x:c r="D50" s="250"/>
      <x:c r="E50" s="250"/>
      <x:c r="F50" s="250"/>
      <x:c r="G50" s="252"/>
      <x:c r="H50" s="252"/>
      <x:c r="I50" s="250"/>
      <x:c r="J50" s="250"/>
      <x:c r="K50" s="250"/>
      <x:c r="L50" s="250"/>
      <x:c r="M50" s="252"/>
      <x:c r="N50" s="252"/>
      <x:c r="O50" s="251"/>
      <x:c r="P50" s="250"/>
      <x:c r="Q50" s="250"/>
      <x:c r="R50" s="250"/>
      <x:c r="S50" s="253"/>
      <x:c r="T50" s="250"/>
      <x:c r="U50"/>
      <x:c r="AA50"/>
      <x:c r="AB50"/>
      <x:c r="AC50"/>
      <x:c r="AD50"/>
      <x:c r="AE50"/>
      <x:c r="AF50"/>
      <x:c r="AG50"/>
      <x:c r="AH50"/>
      <x:c r="AI50"/>
      <x:c r="AJ50"/>
      <x:c r="AK50"/>
      <x:c r="AL50"/>
      <x:c r="AM50"/>
      <x:c r="AN50"/>
      <x:c r="AO50"/>
      <x:c r="AP50"/>
      <x:c r="AQ50"/>
      <x:c r="AR50"/>
    </x:row>
    <x:row r="51" s="248" customFormat="1">
      <x:c r="A51" s="250"/>
      <x:c r="B51" s="250"/>
      <x:c r="C51" s="566" t="str">
        <x:f>IF(B51="","",IFERROR(VLOOKUP(B51,PERUMAHAN!$A:$B,2,FALSE),"ID tidak ditemukan"))</x:f>
      </x:c>
      <x:c r="D51" s="250"/>
      <x:c r="E51" s="250"/>
      <x:c r="F51" s="250"/>
      <x:c r="G51" s="252"/>
      <x:c r="H51" s="252"/>
      <x:c r="I51" s="250"/>
      <x:c r="J51" s="250"/>
      <x:c r="K51" s="250"/>
      <x:c r="L51" s="250"/>
      <x:c r="M51" s="252"/>
      <x:c r="N51" s="252"/>
      <x:c r="O51" s="251"/>
      <x:c r="P51" s="250"/>
      <x:c r="Q51" s="250"/>
      <x:c r="R51" s="250"/>
      <x:c r="S51" s="253"/>
      <x:c r="T51" s="250"/>
      <x:c r="U51"/>
      <x:c r="AA51"/>
      <x:c r="AB51"/>
      <x:c r="AC51"/>
      <x:c r="AD51"/>
      <x:c r="AE51"/>
      <x:c r="AF51"/>
      <x:c r="AG51"/>
      <x:c r="AH51"/>
      <x:c r="AI51"/>
      <x:c r="AJ51"/>
      <x:c r="AK51"/>
      <x:c r="AL51"/>
      <x:c r="AM51"/>
      <x:c r="AN51"/>
      <x:c r="AO51"/>
      <x:c r="AP51"/>
      <x:c r="AQ51"/>
      <x:c r="AR51"/>
    </x:row>
    <x:row r="52" s="248" customFormat="1">
      <x:c r="A52" s="250"/>
      <x:c r="B52" s="250"/>
      <x:c r="C52" s="566" t="str">
        <x:f>IF(B52="","",IFERROR(VLOOKUP(B52,PERUMAHAN!$A:$B,2,FALSE),"ID tidak ditemukan"))</x:f>
      </x:c>
      <x:c r="D52" s="250"/>
      <x:c r="E52" s="250"/>
      <x:c r="F52" s="250"/>
      <x:c r="G52" s="252"/>
      <x:c r="H52" s="252"/>
      <x:c r="I52" s="250"/>
      <x:c r="J52" s="250"/>
      <x:c r="K52" s="250"/>
      <x:c r="L52" s="250"/>
      <x:c r="M52" s="252"/>
      <x:c r="N52" s="252"/>
      <x:c r="O52" s="251"/>
      <x:c r="P52" s="250"/>
      <x:c r="Q52" s="250"/>
      <x:c r="R52" s="250"/>
      <x:c r="S52" s="253"/>
      <x:c r="T52" s="250"/>
      <x:c r="U52"/>
      <x:c r="AA52"/>
      <x:c r="AB52"/>
      <x:c r="AC52"/>
      <x:c r="AD52"/>
      <x:c r="AE52"/>
      <x:c r="AF52"/>
      <x:c r="AG52"/>
      <x:c r="AH52"/>
      <x:c r="AI52"/>
      <x:c r="AJ52"/>
      <x:c r="AK52"/>
      <x:c r="AL52"/>
      <x:c r="AM52"/>
      <x:c r="AN52"/>
      <x:c r="AO52"/>
      <x:c r="AP52"/>
      <x:c r="AQ52"/>
      <x:c r="AR52"/>
    </x:row>
    <x:row r="53" s="248" customFormat="1">
      <x:c r="A53" s="250"/>
      <x:c r="B53" s="250"/>
      <x:c r="C53" s="566" t="str">
        <x:f>IF(B53="","",IFERROR(VLOOKUP(B53,PERUMAHAN!$A:$B,2,FALSE),"ID tidak ditemukan"))</x:f>
      </x:c>
      <x:c r="D53" s="250"/>
      <x:c r="E53" s="250"/>
      <x:c r="F53" s="250"/>
      <x:c r="G53" s="252"/>
      <x:c r="H53" s="252"/>
      <x:c r="I53" s="250"/>
      <x:c r="J53" s="250"/>
      <x:c r="K53" s="250"/>
      <x:c r="L53" s="250"/>
      <x:c r="M53" s="252"/>
      <x:c r="N53" s="252"/>
      <x:c r="O53" s="251"/>
      <x:c r="P53" s="250"/>
      <x:c r="Q53" s="250"/>
      <x:c r="R53" s="250"/>
      <x:c r="S53" s="253"/>
      <x:c r="T53" s="250"/>
      <x:c r="U53"/>
      <x:c r="AA53"/>
      <x:c r="AB53"/>
      <x:c r="AC53"/>
      <x:c r="AD53"/>
      <x:c r="AE53"/>
      <x:c r="AF53"/>
      <x:c r="AG53"/>
      <x:c r="AH53"/>
      <x:c r="AI53"/>
      <x:c r="AJ53"/>
      <x:c r="AK53"/>
      <x:c r="AL53"/>
      <x:c r="AM53"/>
      <x:c r="AN53"/>
      <x:c r="AO53"/>
      <x:c r="AP53"/>
      <x:c r="AQ53"/>
      <x:c r="AR53"/>
    </x:row>
    <x:row r="54" s="248" customFormat="1">
      <x:c r="A54" s="250"/>
      <x:c r="B54" s="250"/>
      <x:c r="C54" s="566" t="str">
        <x:f>IF(B54="","",IFERROR(VLOOKUP(B54,PERUMAHAN!$A:$B,2,FALSE),"ID tidak ditemukan"))</x:f>
      </x:c>
      <x:c r="D54" s="250"/>
      <x:c r="E54" s="250"/>
      <x:c r="F54" s="250"/>
      <x:c r="G54" s="252"/>
      <x:c r="H54" s="252"/>
      <x:c r="I54" s="250"/>
      <x:c r="J54" s="250"/>
      <x:c r="K54" s="250"/>
      <x:c r="L54" s="250"/>
      <x:c r="M54" s="252"/>
      <x:c r="N54" s="252"/>
      <x:c r="O54" s="251"/>
      <x:c r="P54" s="250"/>
      <x:c r="Q54" s="250"/>
      <x:c r="R54" s="250"/>
      <x:c r="S54" s="253"/>
      <x:c r="T54" s="250"/>
      <x:c r="U54"/>
      <x:c r="AA54"/>
      <x:c r="AB54"/>
      <x:c r="AC54"/>
      <x:c r="AD54"/>
      <x:c r="AE54"/>
      <x:c r="AF54"/>
      <x:c r="AG54"/>
      <x:c r="AH54"/>
      <x:c r="AI54"/>
      <x:c r="AJ54"/>
      <x:c r="AK54"/>
      <x:c r="AL54"/>
      <x:c r="AM54"/>
      <x:c r="AN54"/>
      <x:c r="AO54"/>
      <x:c r="AP54"/>
      <x:c r="AQ54"/>
      <x:c r="AR54"/>
    </x:row>
    <x:row r="55" s="248" customFormat="1">
      <x:c r="A55" s="250"/>
      <x:c r="B55" s="250"/>
      <x:c r="C55" s="566" t="str">
        <x:f>IF(B55="","",IFERROR(VLOOKUP(B55,PERUMAHAN!$A:$B,2,FALSE),"ID tidak ditemukan"))</x:f>
      </x:c>
      <x:c r="D55" s="250"/>
      <x:c r="E55" s="250"/>
      <x:c r="F55" s="250"/>
      <x:c r="G55" s="252"/>
      <x:c r="H55" s="252"/>
      <x:c r="I55" s="250"/>
      <x:c r="J55" s="250"/>
      <x:c r="K55" s="250"/>
      <x:c r="L55" s="250"/>
      <x:c r="M55" s="252"/>
      <x:c r="N55" s="252"/>
      <x:c r="O55" s="251"/>
      <x:c r="P55" s="250"/>
      <x:c r="Q55" s="250"/>
      <x:c r="R55" s="250"/>
      <x:c r="S55" s="253"/>
      <x:c r="T55" s="250"/>
      <x:c r="U55"/>
      <x:c r="AA55"/>
      <x:c r="AB55"/>
      <x:c r="AC55"/>
      <x:c r="AD55"/>
      <x:c r="AE55"/>
      <x:c r="AF55"/>
      <x:c r="AG55"/>
      <x:c r="AH55"/>
      <x:c r="AI55"/>
      <x:c r="AJ55"/>
      <x:c r="AK55"/>
      <x:c r="AL55"/>
      <x:c r="AM55"/>
      <x:c r="AN55"/>
      <x:c r="AO55"/>
      <x:c r="AP55"/>
      <x:c r="AQ55"/>
      <x:c r="AR55"/>
    </x:row>
    <x:row r="56" s="248" customFormat="1">
      <x:c r="A56" s="250"/>
      <x:c r="B56" s="250"/>
      <x:c r="C56" s="566" t="str">
        <x:f>IF(B56="","",IFERROR(VLOOKUP(B56,PERUMAHAN!$A:$B,2,FALSE),"ID tidak ditemukan"))</x:f>
      </x:c>
      <x:c r="D56" s="250"/>
      <x:c r="E56" s="250"/>
      <x:c r="F56" s="250"/>
      <x:c r="G56" s="252"/>
      <x:c r="H56" s="252"/>
      <x:c r="I56" s="250"/>
      <x:c r="J56" s="250"/>
      <x:c r="K56" s="250"/>
      <x:c r="L56" s="250"/>
      <x:c r="M56" s="252"/>
      <x:c r="N56" s="252"/>
      <x:c r="O56" s="251"/>
      <x:c r="P56" s="250"/>
      <x:c r="Q56" s="250"/>
      <x:c r="R56" s="250"/>
      <x:c r="S56" s="253"/>
      <x:c r="T56" s="250"/>
      <x:c r="U56"/>
      <x:c r="AA56"/>
      <x:c r="AB56"/>
      <x:c r="AC56"/>
      <x:c r="AD56"/>
      <x:c r="AE56"/>
      <x:c r="AF56"/>
      <x:c r="AG56"/>
      <x:c r="AH56"/>
      <x:c r="AI56"/>
      <x:c r="AJ56"/>
      <x:c r="AK56"/>
      <x:c r="AL56"/>
      <x:c r="AM56"/>
      <x:c r="AN56"/>
      <x:c r="AO56"/>
      <x:c r="AP56"/>
      <x:c r="AQ56"/>
      <x:c r="AR56"/>
    </x:row>
    <x:row r="57" s="248" customFormat="1">
      <x:c r="A57" s="250"/>
      <x:c r="B57" s="250"/>
      <x:c r="C57" s="566" t="str">
        <x:f>IF(B57="","",IFERROR(VLOOKUP(B57,PERUMAHAN!$A:$B,2,FALSE),"ID tidak ditemukan"))</x:f>
      </x:c>
      <x:c r="D57" s="250"/>
      <x:c r="E57" s="250"/>
      <x:c r="F57" s="250"/>
      <x:c r="G57" s="252"/>
      <x:c r="H57" s="252"/>
      <x:c r="I57" s="250"/>
      <x:c r="J57" s="250"/>
      <x:c r="K57" s="250"/>
      <x:c r="L57" s="250"/>
      <x:c r="M57" s="252"/>
      <x:c r="N57" s="252"/>
      <x:c r="O57" s="251"/>
      <x:c r="P57" s="250"/>
      <x:c r="Q57" s="250"/>
      <x:c r="R57" s="250"/>
      <x:c r="S57" s="253"/>
      <x:c r="T57" s="250"/>
      <x:c r="U57"/>
      <x:c r="AA57"/>
      <x:c r="AB57"/>
      <x:c r="AC57"/>
      <x:c r="AD57"/>
      <x:c r="AE57"/>
      <x:c r="AF57"/>
      <x:c r="AG57"/>
      <x:c r="AH57"/>
      <x:c r="AI57"/>
      <x:c r="AJ57"/>
      <x:c r="AK57"/>
      <x:c r="AL57"/>
      <x:c r="AM57"/>
      <x:c r="AN57"/>
      <x:c r="AO57"/>
      <x:c r="AP57"/>
      <x:c r="AQ57"/>
      <x:c r="AR57"/>
    </x:row>
    <x:row r="58" s="248" customFormat="1">
      <x:c r="A58" s="250"/>
      <x:c r="B58" s="250"/>
      <x:c r="C58" s="566" t="str">
        <x:f>IF(B58="","",IFERROR(VLOOKUP(B58,PERUMAHAN!$A:$B,2,FALSE),"ID tidak ditemukan"))</x:f>
      </x:c>
      <x:c r="D58" s="250"/>
      <x:c r="E58" s="250"/>
      <x:c r="F58" s="250"/>
      <x:c r="G58" s="252"/>
      <x:c r="H58" s="252"/>
      <x:c r="I58" s="250"/>
      <x:c r="J58" s="250"/>
      <x:c r="K58" s="250"/>
      <x:c r="L58" s="250"/>
      <x:c r="M58" s="252"/>
      <x:c r="N58" s="252"/>
      <x:c r="O58" s="251"/>
      <x:c r="P58" s="250"/>
      <x:c r="Q58" s="250"/>
      <x:c r="R58" s="250"/>
      <x:c r="S58" s="253"/>
      <x:c r="T58" s="250"/>
      <x:c r="U58"/>
      <x:c r="AA58"/>
      <x:c r="AB58"/>
      <x:c r="AC58"/>
      <x:c r="AD58"/>
      <x:c r="AE58"/>
      <x:c r="AF58"/>
      <x:c r="AG58"/>
      <x:c r="AH58"/>
      <x:c r="AI58"/>
      <x:c r="AJ58"/>
      <x:c r="AK58"/>
      <x:c r="AL58"/>
      <x:c r="AM58"/>
      <x:c r="AN58"/>
      <x:c r="AO58"/>
      <x:c r="AP58"/>
      <x:c r="AQ58"/>
      <x:c r="AR58"/>
    </x:row>
    <x:row r="59" s="248" customFormat="1">
      <x:c r="A59" s="250"/>
      <x:c r="B59" s="250"/>
      <x:c r="C59" s="566" t="str">
        <x:f>IF(B59="","",IFERROR(VLOOKUP(B59,PERUMAHAN!$A:$B,2,FALSE),"ID tidak ditemukan"))</x:f>
      </x:c>
      <x:c r="D59" s="250"/>
      <x:c r="E59" s="250"/>
      <x:c r="F59" s="250"/>
      <x:c r="G59" s="252"/>
      <x:c r="H59" s="252"/>
      <x:c r="I59" s="250"/>
      <x:c r="J59" s="250"/>
      <x:c r="K59" s="250"/>
      <x:c r="L59" s="250"/>
      <x:c r="M59" s="252"/>
      <x:c r="N59" s="252"/>
      <x:c r="O59" s="251"/>
      <x:c r="P59" s="250"/>
      <x:c r="Q59" s="250"/>
      <x:c r="R59" s="250"/>
      <x:c r="S59" s="253"/>
      <x:c r="T59" s="250"/>
      <x:c r="U59"/>
      <x:c r="AA59"/>
      <x:c r="AB59"/>
      <x:c r="AC59"/>
      <x:c r="AD59"/>
      <x:c r="AE59"/>
      <x:c r="AF59"/>
      <x:c r="AG59"/>
      <x:c r="AH59"/>
      <x:c r="AI59"/>
      <x:c r="AJ59"/>
      <x:c r="AK59"/>
      <x:c r="AL59"/>
      <x:c r="AM59"/>
      <x:c r="AN59"/>
      <x:c r="AO59"/>
      <x:c r="AP59"/>
      <x:c r="AQ59"/>
      <x:c r="AR59"/>
    </x:row>
    <x:row r="60" s="248" customFormat="1">
      <x:c r="A60" s="250"/>
      <x:c r="B60" s="250"/>
      <x:c r="C60" s="566" t="str">
        <x:f>IF(B60="","",IFERROR(VLOOKUP(B60,PERUMAHAN!$A:$B,2,FALSE),"ID tidak ditemukan"))</x:f>
      </x:c>
      <x:c r="D60" s="250"/>
      <x:c r="E60" s="250"/>
      <x:c r="F60" s="250"/>
      <x:c r="G60" s="252"/>
      <x:c r="H60" s="252"/>
      <x:c r="I60" s="250"/>
      <x:c r="J60" s="250"/>
      <x:c r="K60" s="250"/>
      <x:c r="L60" s="250"/>
      <x:c r="M60" s="252"/>
      <x:c r="N60" s="252"/>
      <x:c r="O60" s="251"/>
      <x:c r="P60" s="250"/>
      <x:c r="Q60" s="250"/>
      <x:c r="R60" s="250"/>
      <x:c r="S60" s="253"/>
      <x:c r="T60" s="250"/>
      <x:c r="U60"/>
      <x:c r="AA60"/>
      <x:c r="AB60"/>
      <x:c r="AC60"/>
      <x:c r="AD60"/>
      <x:c r="AE60"/>
      <x:c r="AF60"/>
      <x:c r="AG60"/>
      <x:c r="AH60"/>
      <x:c r="AI60"/>
      <x:c r="AJ60"/>
      <x:c r="AK60"/>
      <x:c r="AL60"/>
      <x:c r="AM60"/>
      <x:c r="AN60"/>
      <x:c r="AO60"/>
      <x:c r="AP60"/>
      <x:c r="AQ60"/>
      <x:c r="AR60"/>
    </x:row>
    <x:row r="61" s="248" customFormat="1">
      <x:c r="A61" s="250"/>
      <x:c r="B61" s="250"/>
      <x:c r="C61" s="566" t="str">
        <x:f>IF(B61="","",IFERROR(VLOOKUP(B61,PERUMAHAN!$A:$B,2,FALSE),"ID tidak ditemukan"))</x:f>
      </x:c>
      <x:c r="D61" s="250"/>
      <x:c r="E61" s="250"/>
      <x:c r="F61" s="250"/>
      <x:c r="G61" s="252"/>
      <x:c r="H61" s="252"/>
      <x:c r="I61" s="250"/>
      <x:c r="J61" s="250"/>
      <x:c r="K61" s="250"/>
      <x:c r="L61" s="250"/>
      <x:c r="M61" s="252"/>
      <x:c r="N61" s="252"/>
      <x:c r="O61" s="251"/>
      <x:c r="P61" s="250"/>
      <x:c r="Q61" s="250"/>
      <x:c r="R61" s="250"/>
      <x:c r="S61" s="253"/>
      <x:c r="T61" s="250"/>
      <x:c r="U61"/>
      <x:c r="AA61"/>
      <x:c r="AB61"/>
      <x:c r="AC61"/>
      <x:c r="AD61"/>
      <x:c r="AE61"/>
      <x:c r="AF61"/>
      <x:c r="AG61"/>
      <x:c r="AH61"/>
      <x:c r="AI61"/>
      <x:c r="AJ61"/>
      <x:c r="AK61"/>
      <x:c r="AL61"/>
      <x:c r="AM61"/>
      <x:c r="AN61"/>
      <x:c r="AO61"/>
      <x:c r="AP61"/>
      <x:c r="AQ61"/>
      <x:c r="AR61"/>
    </x:row>
    <x:row r="62" s="248" customFormat="1">
      <x:c r="A62" s="250"/>
      <x:c r="B62" s="250"/>
      <x:c r="C62" s="566" t="str">
        <x:f>IF(B62="","",IFERROR(VLOOKUP(B62,PERUMAHAN!$A:$B,2,FALSE),"ID tidak ditemukan"))</x:f>
      </x:c>
      <x:c r="D62" s="250"/>
      <x:c r="E62" s="250"/>
      <x:c r="F62" s="250"/>
      <x:c r="G62" s="252"/>
      <x:c r="H62" s="252"/>
      <x:c r="I62" s="250"/>
      <x:c r="J62" s="250"/>
      <x:c r="K62" s="250"/>
      <x:c r="L62" s="250"/>
      <x:c r="M62" s="252"/>
      <x:c r="N62" s="252"/>
      <x:c r="O62" s="251"/>
      <x:c r="P62" s="250"/>
      <x:c r="Q62" s="250"/>
      <x:c r="R62" s="250"/>
      <x:c r="S62" s="253"/>
      <x:c r="T62" s="250"/>
      <x:c r="U62"/>
      <x:c r="AA62"/>
      <x:c r="AB62"/>
      <x:c r="AC62"/>
      <x:c r="AD62"/>
      <x:c r="AE62"/>
      <x:c r="AF62"/>
      <x:c r="AG62"/>
      <x:c r="AH62"/>
      <x:c r="AI62"/>
      <x:c r="AJ62"/>
      <x:c r="AK62"/>
      <x:c r="AL62"/>
      <x:c r="AM62"/>
      <x:c r="AN62"/>
      <x:c r="AO62"/>
      <x:c r="AP62"/>
      <x:c r="AQ62"/>
      <x:c r="AR62"/>
    </x:row>
    <x:row r="63" s="248" customFormat="1">
      <x:c r="A63" s="250"/>
      <x:c r="B63" s="250"/>
      <x:c r="C63" s="566" t="str">
        <x:f>IF(B63="","",IFERROR(VLOOKUP(B63,PERUMAHAN!$A:$B,2,FALSE),"ID tidak ditemukan"))</x:f>
      </x:c>
      <x:c r="D63" s="250"/>
      <x:c r="E63" s="250"/>
      <x:c r="F63" s="250"/>
      <x:c r="G63" s="252"/>
      <x:c r="H63" s="252"/>
      <x:c r="I63" s="250"/>
      <x:c r="J63" s="250"/>
      <x:c r="K63" s="250"/>
      <x:c r="L63" s="250"/>
      <x:c r="M63" s="252"/>
      <x:c r="N63" s="252"/>
      <x:c r="O63" s="251"/>
      <x:c r="P63" s="250"/>
      <x:c r="Q63" s="250"/>
      <x:c r="R63" s="250"/>
      <x:c r="S63" s="253"/>
      <x:c r="T63" s="250"/>
      <x:c r="U63"/>
      <x:c r="AA63"/>
      <x:c r="AB63"/>
      <x:c r="AC63"/>
      <x:c r="AD63"/>
      <x:c r="AE63"/>
      <x:c r="AF63"/>
      <x:c r="AG63"/>
      <x:c r="AH63"/>
      <x:c r="AI63"/>
      <x:c r="AJ63"/>
      <x:c r="AK63"/>
      <x:c r="AL63"/>
      <x:c r="AM63"/>
      <x:c r="AN63"/>
      <x:c r="AO63"/>
      <x:c r="AP63"/>
      <x:c r="AQ63"/>
      <x:c r="AR63"/>
    </x:row>
    <x:row r="64" s="248" customFormat="1">
      <x:c r="A64" s="250"/>
      <x:c r="B64" s="250"/>
      <x:c r="C64" s="566" t="str">
        <x:f>IF(B64="","",IFERROR(VLOOKUP(B64,PERUMAHAN!$A:$B,2,FALSE),"ID tidak ditemukan"))</x:f>
      </x:c>
      <x:c r="D64" s="250"/>
      <x:c r="E64" s="250"/>
      <x:c r="F64" s="250"/>
      <x:c r="G64" s="252"/>
      <x:c r="H64" s="252"/>
      <x:c r="I64" s="250"/>
      <x:c r="J64" s="250"/>
      <x:c r="K64" s="250"/>
      <x:c r="L64" s="250"/>
      <x:c r="M64" s="252"/>
      <x:c r="N64" s="252"/>
      <x:c r="O64" s="251"/>
      <x:c r="P64" s="250"/>
      <x:c r="Q64" s="250"/>
      <x:c r="R64" s="250"/>
      <x:c r="S64" s="253"/>
      <x:c r="T64" s="250"/>
      <x:c r="U64"/>
      <x:c r="AA64"/>
      <x:c r="AB64"/>
      <x:c r="AC64"/>
      <x:c r="AD64"/>
      <x:c r="AE64"/>
      <x:c r="AF64"/>
      <x:c r="AG64"/>
      <x:c r="AH64"/>
      <x:c r="AI64"/>
      <x:c r="AJ64"/>
      <x:c r="AK64"/>
      <x:c r="AL64"/>
      <x:c r="AM64"/>
      <x:c r="AN64"/>
      <x:c r="AO64"/>
      <x:c r="AP64"/>
      <x:c r="AQ64"/>
      <x:c r="AR64"/>
    </x:row>
    <x:row r="65" s="248" customFormat="1">
      <x:c r="A65" s="250"/>
      <x:c r="B65" s="250"/>
      <x:c r="C65" s="566" t="str">
        <x:f>IF(B65="","",IFERROR(VLOOKUP(B65,PERUMAHAN!$A:$B,2,FALSE),"ID tidak ditemukan"))</x:f>
      </x:c>
      <x:c r="D65" s="250"/>
      <x:c r="E65" s="250"/>
      <x:c r="F65" s="250"/>
      <x:c r="G65" s="252"/>
      <x:c r="H65" s="252"/>
      <x:c r="I65" s="250"/>
      <x:c r="J65" s="250"/>
      <x:c r="K65" s="250"/>
      <x:c r="L65" s="250"/>
      <x:c r="M65" s="252"/>
      <x:c r="N65" s="252"/>
      <x:c r="O65" s="251"/>
      <x:c r="P65" s="250"/>
      <x:c r="Q65" s="250"/>
      <x:c r="R65" s="250"/>
      <x:c r="S65" s="253"/>
      <x:c r="T65" s="250"/>
      <x:c r="U65"/>
      <x:c r="AA65"/>
      <x:c r="AB65"/>
      <x:c r="AC65"/>
      <x:c r="AD65"/>
      <x:c r="AE65"/>
      <x:c r="AF65"/>
      <x:c r="AG65"/>
      <x:c r="AH65"/>
      <x:c r="AI65"/>
      <x:c r="AJ65"/>
      <x:c r="AK65"/>
      <x:c r="AL65"/>
      <x:c r="AM65"/>
      <x:c r="AN65"/>
      <x:c r="AO65"/>
      <x:c r="AP65"/>
      <x:c r="AQ65"/>
      <x:c r="AR65"/>
    </x:row>
    <x:row r="66" s="248" customFormat="1">
      <x:c r="A66" s="250"/>
      <x:c r="B66" s="250"/>
      <x:c r="C66" s="566" t="str">
        <x:f>IF(B66="","",IFERROR(VLOOKUP(B66,PERUMAHAN!$A:$B,2,FALSE),"ID tidak ditemukan"))</x:f>
      </x:c>
      <x:c r="D66" s="250"/>
      <x:c r="E66" s="250"/>
      <x:c r="F66" s="250"/>
      <x:c r="G66" s="252"/>
      <x:c r="H66" s="252"/>
      <x:c r="I66" s="250"/>
      <x:c r="J66" s="250"/>
      <x:c r="K66" s="250"/>
      <x:c r="L66" s="250"/>
      <x:c r="M66" s="252"/>
      <x:c r="N66" s="252"/>
      <x:c r="O66" s="251"/>
      <x:c r="P66" s="250"/>
      <x:c r="Q66" s="250"/>
      <x:c r="R66" s="250"/>
      <x:c r="S66" s="253"/>
      <x:c r="T66" s="250"/>
      <x:c r="U66"/>
      <x:c r="AA66"/>
      <x:c r="AB66"/>
      <x:c r="AC66"/>
      <x:c r="AD66"/>
      <x:c r="AE66"/>
      <x:c r="AF66"/>
      <x:c r="AG66"/>
      <x:c r="AH66"/>
      <x:c r="AI66"/>
      <x:c r="AJ66"/>
      <x:c r="AK66"/>
      <x:c r="AL66"/>
      <x:c r="AM66"/>
      <x:c r="AN66"/>
      <x:c r="AO66"/>
      <x:c r="AP66"/>
      <x:c r="AQ66"/>
      <x:c r="AR66"/>
    </x:row>
    <x:row r="67" s="248" customFormat="1">
      <x:c r="A67" s="250"/>
      <x:c r="B67" s="250"/>
      <x:c r="C67" s="566" t="str">
        <x:f>IF(B67="","",IFERROR(VLOOKUP(B67,PERUMAHAN!$A:$B,2,FALSE),"ID tidak ditemukan"))</x:f>
      </x:c>
      <x:c r="D67" s="250"/>
      <x:c r="E67" s="250"/>
      <x:c r="F67" s="250"/>
      <x:c r="G67" s="252"/>
      <x:c r="H67" s="252"/>
      <x:c r="I67" s="250"/>
      <x:c r="J67" s="250"/>
      <x:c r="K67" s="250"/>
      <x:c r="L67" s="250"/>
      <x:c r="M67" s="252"/>
      <x:c r="N67" s="252"/>
      <x:c r="O67" s="251"/>
      <x:c r="P67" s="250"/>
      <x:c r="Q67" s="250"/>
      <x:c r="R67" s="250"/>
      <x:c r="S67" s="253"/>
      <x:c r="T67" s="250"/>
      <x:c r="U67"/>
      <x:c r="AA67"/>
      <x:c r="AB67"/>
      <x:c r="AC67"/>
      <x:c r="AD67"/>
      <x:c r="AE67"/>
      <x:c r="AF67"/>
      <x:c r="AG67"/>
      <x:c r="AH67"/>
      <x:c r="AI67"/>
      <x:c r="AJ67"/>
      <x:c r="AK67"/>
      <x:c r="AL67"/>
      <x:c r="AM67"/>
      <x:c r="AN67"/>
      <x:c r="AO67"/>
      <x:c r="AP67"/>
      <x:c r="AQ67"/>
      <x:c r="AR67"/>
    </x:row>
    <x:row r="68" s="248" customFormat="1">
      <x:c r="A68" s="250"/>
      <x:c r="B68" s="250"/>
      <x:c r="C68" s="566" t="str">
        <x:f>IF(B68="","",IFERROR(VLOOKUP(B68,PERUMAHAN!$A:$B,2,FALSE),"ID tidak ditemukan"))</x:f>
      </x:c>
      <x:c r="D68" s="250"/>
      <x:c r="E68" s="250"/>
      <x:c r="F68" s="250"/>
      <x:c r="G68" s="252"/>
      <x:c r="H68" s="252"/>
      <x:c r="I68" s="250"/>
      <x:c r="J68" s="250"/>
      <x:c r="K68" s="250"/>
      <x:c r="L68" s="250"/>
      <x:c r="M68" s="252"/>
      <x:c r="N68" s="252"/>
      <x:c r="O68" s="251"/>
      <x:c r="P68" s="250"/>
      <x:c r="Q68" s="250"/>
      <x:c r="R68" s="250"/>
      <x:c r="S68" s="253"/>
      <x:c r="T68" s="250"/>
      <x:c r="U68"/>
      <x:c r="AA68"/>
      <x:c r="AB68"/>
      <x:c r="AC68"/>
      <x:c r="AD68"/>
      <x:c r="AE68"/>
      <x:c r="AF68"/>
      <x:c r="AG68"/>
      <x:c r="AH68"/>
      <x:c r="AI68"/>
      <x:c r="AJ68"/>
      <x:c r="AK68"/>
      <x:c r="AL68"/>
      <x:c r="AM68"/>
      <x:c r="AN68"/>
      <x:c r="AO68"/>
      <x:c r="AP68"/>
      <x:c r="AQ68"/>
      <x:c r="AR68"/>
    </x:row>
    <x:row r="69" s="248" customFormat="1">
      <x:c r="A69" s="250"/>
      <x:c r="B69" s="250"/>
      <x:c r="C69" s="566" t="str">
        <x:f>IF(B69="","",IFERROR(VLOOKUP(B69,PERUMAHAN!$A:$B,2,FALSE),"ID tidak ditemukan"))</x:f>
      </x:c>
      <x:c r="D69" s="250"/>
      <x:c r="E69" s="250"/>
      <x:c r="F69" s="250"/>
      <x:c r="G69" s="252"/>
      <x:c r="H69" s="252"/>
      <x:c r="I69" s="250"/>
      <x:c r="J69" s="250"/>
      <x:c r="K69" s="250"/>
      <x:c r="L69" s="250"/>
      <x:c r="M69" s="252"/>
      <x:c r="N69" s="252"/>
      <x:c r="O69" s="251"/>
      <x:c r="P69" s="250"/>
      <x:c r="Q69" s="250"/>
      <x:c r="R69" s="250"/>
      <x:c r="S69" s="253"/>
      <x:c r="T69" s="250"/>
      <x:c r="U69"/>
      <x:c r="AA69"/>
      <x:c r="AB69"/>
      <x:c r="AC69"/>
      <x:c r="AD69"/>
      <x:c r="AE69"/>
      <x:c r="AF69"/>
      <x:c r="AG69"/>
      <x:c r="AH69"/>
      <x:c r="AI69"/>
      <x:c r="AJ69"/>
      <x:c r="AK69"/>
      <x:c r="AL69"/>
      <x:c r="AM69"/>
      <x:c r="AN69"/>
      <x:c r="AO69"/>
      <x:c r="AP69"/>
      <x:c r="AQ69"/>
      <x:c r="AR69"/>
    </x:row>
    <x:row r="70" s="248" customFormat="1">
      <x:c r="A70" s="250"/>
      <x:c r="B70" s="250"/>
      <x:c r="C70" s="566" t="str">
        <x:f>IF(B70="","",IFERROR(VLOOKUP(B70,PERUMAHAN!$A:$B,2,FALSE),"ID tidak ditemukan"))</x:f>
      </x:c>
      <x:c r="D70" s="250"/>
      <x:c r="E70" s="250"/>
      <x:c r="F70" s="250"/>
      <x:c r="G70" s="252"/>
      <x:c r="H70" s="252"/>
      <x:c r="I70" s="250"/>
      <x:c r="J70" s="250"/>
      <x:c r="K70" s="250"/>
      <x:c r="L70" s="250"/>
      <x:c r="M70" s="252"/>
      <x:c r="N70" s="252"/>
      <x:c r="O70" s="251"/>
      <x:c r="P70" s="250"/>
      <x:c r="Q70" s="250"/>
      <x:c r="R70" s="250"/>
      <x:c r="S70" s="253"/>
      <x:c r="T70" s="250"/>
      <x:c r="U70"/>
      <x:c r="AA70"/>
      <x:c r="AB70"/>
      <x:c r="AC70"/>
      <x:c r="AD70"/>
      <x:c r="AE70"/>
      <x:c r="AF70"/>
      <x:c r="AG70"/>
      <x:c r="AH70"/>
      <x:c r="AI70"/>
      <x:c r="AJ70"/>
      <x:c r="AK70"/>
      <x:c r="AL70"/>
      <x:c r="AM70"/>
      <x:c r="AN70"/>
      <x:c r="AO70"/>
      <x:c r="AP70"/>
      <x:c r="AQ70"/>
      <x:c r="AR70"/>
    </x:row>
    <x:row r="71" s="248" customFormat="1">
      <x:c r="A71" s="250"/>
      <x:c r="B71" s="250"/>
      <x:c r="C71" s="566" t="str">
        <x:f>IF(B71="","",IFERROR(VLOOKUP(B71,PERUMAHAN!$A:$B,2,FALSE),"ID tidak ditemukan"))</x:f>
      </x:c>
      <x:c r="D71" s="250"/>
      <x:c r="E71" s="250"/>
      <x:c r="F71" s="250"/>
      <x:c r="G71" s="252"/>
      <x:c r="H71" s="252"/>
      <x:c r="I71" s="250"/>
      <x:c r="J71" s="250"/>
      <x:c r="K71" s="250"/>
      <x:c r="L71" s="250"/>
      <x:c r="M71" s="252"/>
      <x:c r="N71" s="252"/>
      <x:c r="O71" s="251"/>
      <x:c r="P71" s="250"/>
      <x:c r="Q71" s="250"/>
      <x:c r="R71" s="250"/>
      <x:c r="S71" s="253"/>
      <x:c r="T71" s="250"/>
      <x:c r="U71"/>
      <x:c r="AA71"/>
      <x:c r="AB71"/>
      <x:c r="AC71"/>
      <x:c r="AD71"/>
      <x:c r="AE71"/>
      <x:c r="AF71"/>
      <x:c r="AG71"/>
      <x:c r="AH71"/>
      <x:c r="AI71"/>
      <x:c r="AJ71"/>
      <x:c r="AK71"/>
      <x:c r="AL71"/>
      <x:c r="AM71"/>
      <x:c r="AN71"/>
      <x:c r="AO71"/>
      <x:c r="AP71"/>
      <x:c r="AQ71"/>
      <x:c r="AR71"/>
    </x:row>
    <x:row r="72" s="248" customFormat="1">
      <x:c r="A72" s="250"/>
      <x:c r="B72" s="250"/>
      <x:c r="C72" s="566" t="str">
        <x:f>IF(B72="","",IFERROR(VLOOKUP(B72,PERUMAHAN!$A:$B,2,FALSE),"ID tidak ditemukan"))</x:f>
      </x:c>
      <x:c r="D72" s="250"/>
      <x:c r="E72" s="250"/>
      <x:c r="F72" s="250"/>
      <x:c r="G72" s="252"/>
      <x:c r="H72" s="252"/>
      <x:c r="I72" s="250"/>
      <x:c r="J72" s="250"/>
      <x:c r="K72" s="250"/>
      <x:c r="L72" s="250"/>
      <x:c r="M72" s="252"/>
      <x:c r="N72" s="252"/>
      <x:c r="O72" s="251"/>
      <x:c r="P72" s="250"/>
      <x:c r="Q72" s="250"/>
      <x:c r="R72" s="250"/>
      <x:c r="S72" s="253"/>
      <x:c r="T72" s="250"/>
      <x:c r="U72"/>
      <x:c r="AA72"/>
      <x:c r="AB72"/>
      <x:c r="AC72"/>
      <x:c r="AD72"/>
      <x:c r="AE72"/>
      <x:c r="AF72"/>
      <x:c r="AG72"/>
      <x:c r="AH72"/>
      <x:c r="AI72"/>
      <x:c r="AJ72"/>
      <x:c r="AK72"/>
      <x:c r="AL72"/>
      <x:c r="AM72"/>
      <x:c r="AN72"/>
      <x:c r="AO72"/>
      <x:c r="AP72"/>
      <x:c r="AQ72"/>
      <x:c r="AR72"/>
    </x:row>
    <x:row r="73" s="248" customFormat="1">
      <x:c r="A73" s="250"/>
      <x:c r="B73" s="250"/>
      <x:c r="C73" s="566" t="str">
        <x:f>IF(B73="","",IFERROR(VLOOKUP(B73,PERUMAHAN!$A:$B,2,FALSE),"ID tidak ditemukan"))</x:f>
      </x:c>
      <x:c r="D73" s="250"/>
      <x:c r="E73" s="250"/>
      <x:c r="F73" s="250"/>
      <x:c r="G73" s="252"/>
      <x:c r="H73" s="252"/>
      <x:c r="I73" s="250"/>
      <x:c r="J73" s="250"/>
      <x:c r="K73" s="250"/>
      <x:c r="L73" s="250"/>
      <x:c r="M73" s="252"/>
      <x:c r="N73" s="252"/>
      <x:c r="O73" s="251"/>
      <x:c r="P73" s="250"/>
      <x:c r="Q73" s="250"/>
      <x:c r="R73" s="250"/>
      <x:c r="S73" s="253"/>
      <x:c r="T73" s="250"/>
      <x:c r="U73"/>
      <x:c r="AA73"/>
      <x:c r="AB73"/>
      <x:c r="AC73"/>
      <x:c r="AD73"/>
      <x:c r="AE73"/>
      <x:c r="AF73"/>
      <x:c r="AG73"/>
      <x:c r="AH73"/>
      <x:c r="AI73"/>
      <x:c r="AJ73"/>
      <x:c r="AK73"/>
      <x:c r="AL73"/>
      <x:c r="AM73"/>
      <x:c r="AN73"/>
      <x:c r="AO73"/>
      <x:c r="AP73"/>
      <x:c r="AQ73"/>
      <x:c r="AR73"/>
    </x:row>
    <x:row r="74" s="248" customFormat="1">
      <x:c r="A74" s="250"/>
      <x:c r="B74" s="250"/>
      <x:c r="C74" s="566" t="str">
        <x:f>IF(B74="","",IFERROR(VLOOKUP(B74,PERUMAHAN!$A:$B,2,FALSE),"ID tidak ditemukan"))</x:f>
      </x:c>
      <x:c r="D74" s="250"/>
      <x:c r="E74" s="250"/>
      <x:c r="F74" s="250"/>
      <x:c r="G74" s="252"/>
      <x:c r="H74" s="252"/>
      <x:c r="I74" s="250"/>
      <x:c r="J74" s="250"/>
      <x:c r="K74" s="250"/>
      <x:c r="L74" s="250"/>
      <x:c r="M74" s="252"/>
      <x:c r="N74" s="252"/>
      <x:c r="O74" s="251"/>
      <x:c r="P74" s="250"/>
      <x:c r="Q74" s="250"/>
      <x:c r="R74" s="250"/>
      <x:c r="S74" s="253"/>
      <x:c r="T74" s="250"/>
      <x:c r="U74"/>
      <x:c r="AA74"/>
      <x:c r="AB74"/>
      <x:c r="AC74"/>
      <x:c r="AD74"/>
      <x:c r="AE74"/>
      <x:c r="AF74"/>
      <x:c r="AG74"/>
      <x:c r="AH74"/>
      <x:c r="AI74"/>
      <x:c r="AJ74"/>
      <x:c r="AK74"/>
      <x:c r="AL74"/>
      <x:c r="AM74"/>
      <x:c r="AN74"/>
      <x:c r="AO74"/>
      <x:c r="AP74"/>
      <x:c r="AQ74"/>
      <x:c r="AR74"/>
    </x:row>
    <x:row r="75" s="248" customFormat="1">
      <x:c r="A75" s="250"/>
      <x:c r="B75" s="250"/>
      <x:c r="C75" s="566" t="str">
        <x:f>IF(B75="","",IFERROR(VLOOKUP(B75,PERUMAHAN!$A:$B,2,FALSE),"ID tidak ditemukan"))</x:f>
      </x:c>
      <x:c r="D75" s="250"/>
      <x:c r="E75" s="250"/>
      <x:c r="F75" s="250"/>
      <x:c r="G75" s="252"/>
      <x:c r="H75" s="252"/>
      <x:c r="I75" s="250"/>
      <x:c r="J75" s="250"/>
      <x:c r="K75" s="250"/>
      <x:c r="L75" s="250"/>
      <x:c r="M75" s="252"/>
      <x:c r="N75" s="252"/>
      <x:c r="O75" s="251"/>
      <x:c r="P75" s="250"/>
      <x:c r="Q75" s="250"/>
      <x:c r="R75" s="250"/>
      <x:c r="S75" s="253"/>
      <x:c r="T75" s="250"/>
      <x:c r="U75"/>
      <x:c r="AA75"/>
      <x:c r="AB75"/>
      <x:c r="AC75"/>
      <x:c r="AD75"/>
      <x:c r="AE75"/>
      <x:c r="AF75"/>
      <x:c r="AG75"/>
      <x:c r="AH75"/>
      <x:c r="AI75"/>
      <x:c r="AJ75"/>
      <x:c r="AK75"/>
      <x:c r="AL75"/>
      <x:c r="AM75"/>
      <x:c r="AN75"/>
      <x:c r="AO75"/>
      <x:c r="AP75"/>
      <x:c r="AQ75"/>
      <x:c r="AR75"/>
    </x:row>
    <x:row r="76" s="248" customFormat="1">
      <x:c r="A76" s="250"/>
      <x:c r="B76" s="250"/>
      <x:c r="C76" s="566" t="str">
        <x:f>IF(B76="","",IFERROR(VLOOKUP(B76,PERUMAHAN!$A:$B,2,FALSE),"ID tidak ditemukan"))</x:f>
      </x:c>
      <x:c r="D76" s="250"/>
      <x:c r="E76" s="250"/>
      <x:c r="F76" s="250"/>
      <x:c r="G76" s="252"/>
      <x:c r="H76" s="252"/>
      <x:c r="I76" s="250"/>
      <x:c r="J76" s="250"/>
      <x:c r="K76" s="250"/>
      <x:c r="L76" s="250"/>
      <x:c r="M76" s="252"/>
      <x:c r="N76" s="252"/>
      <x:c r="O76" s="251"/>
      <x:c r="P76" s="250"/>
      <x:c r="Q76" s="250"/>
      <x:c r="R76" s="250"/>
      <x:c r="S76" s="253"/>
      <x:c r="T76" s="250"/>
      <x:c r="U76"/>
      <x:c r="AA76"/>
      <x:c r="AB76"/>
      <x:c r="AC76"/>
      <x:c r="AD76"/>
      <x:c r="AE76"/>
      <x:c r="AF76"/>
      <x:c r="AG76"/>
      <x:c r="AH76"/>
      <x:c r="AI76"/>
      <x:c r="AJ76"/>
      <x:c r="AK76"/>
      <x:c r="AL76"/>
      <x:c r="AM76"/>
      <x:c r="AN76"/>
      <x:c r="AO76"/>
      <x:c r="AP76"/>
      <x:c r="AQ76"/>
      <x:c r="AR76"/>
    </x:row>
    <x:row r="77" s="248" customFormat="1">
      <x:c r="A77" s="250"/>
      <x:c r="B77" s="250"/>
      <x:c r="C77" s="566" t="str">
        <x:f>IF(B77="","",IFERROR(VLOOKUP(B77,PERUMAHAN!$A:$B,2,FALSE),"ID tidak ditemukan"))</x:f>
      </x:c>
      <x:c r="D77" s="250"/>
      <x:c r="E77" s="250"/>
      <x:c r="F77" s="250"/>
      <x:c r="G77" s="252"/>
      <x:c r="H77" s="252"/>
      <x:c r="I77" s="250"/>
      <x:c r="J77" s="250"/>
      <x:c r="K77" s="250"/>
      <x:c r="L77" s="250"/>
      <x:c r="M77" s="252"/>
      <x:c r="N77" s="252"/>
      <x:c r="O77" s="251"/>
      <x:c r="P77" s="250"/>
      <x:c r="Q77" s="250"/>
      <x:c r="R77" s="250"/>
      <x:c r="S77" s="253"/>
      <x:c r="T77" s="250"/>
      <x:c r="U77"/>
      <x:c r="AA77"/>
      <x:c r="AB77"/>
      <x:c r="AC77"/>
      <x:c r="AD77"/>
      <x:c r="AE77"/>
      <x:c r="AF77"/>
      <x:c r="AG77"/>
      <x:c r="AH77"/>
      <x:c r="AI77"/>
      <x:c r="AJ77"/>
      <x:c r="AK77"/>
      <x:c r="AL77"/>
      <x:c r="AM77"/>
      <x:c r="AN77"/>
      <x:c r="AO77"/>
      <x:c r="AP77"/>
      <x:c r="AQ77"/>
      <x:c r="AR77"/>
    </x:row>
    <x:row r="78" s="248" customFormat="1">
      <x:c r="A78" s="250"/>
      <x:c r="B78" s="250"/>
      <x:c r="C78" s="566" t="str">
        <x:f>IF(B78="","",IFERROR(VLOOKUP(B78,PERUMAHAN!$A:$B,2,FALSE),"ID tidak ditemukan"))</x:f>
      </x:c>
      <x:c r="D78" s="250"/>
      <x:c r="E78" s="250"/>
      <x:c r="F78" s="250"/>
      <x:c r="G78" s="252"/>
      <x:c r="H78" s="252"/>
      <x:c r="I78" s="250"/>
      <x:c r="J78" s="250"/>
      <x:c r="K78" s="250"/>
      <x:c r="L78" s="250"/>
      <x:c r="M78" s="252"/>
      <x:c r="N78" s="252"/>
      <x:c r="O78" s="251"/>
      <x:c r="P78" s="250"/>
      <x:c r="Q78" s="250"/>
      <x:c r="R78" s="250"/>
      <x:c r="S78" s="253"/>
      <x:c r="T78" s="250"/>
      <x:c r="U78"/>
      <x:c r="AA78"/>
      <x:c r="AB78"/>
      <x:c r="AC78"/>
      <x:c r="AD78"/>
      <x:c r="AE78"/>
      <x:c r="AF78"/>
      <x:c r="AG78"/>
      <x:c r="AH78"/>
      <x:c r="AI78"/>
      <x:c r="AJ78"/>
      <x:c r="AK78"/>
      <x:c r="AL78"/>
      <x:c r="AM78"/>
      <x:c r="AN78"/>
      <x:c r="AO78"/>
      <x:c r="AP78"/>
      <x:c r="AQ78"/>
      <x:c r="AR78"/>
    </x:row>
    <x:row r="79" s="248" customFormat="1">
      <x:c r="A79" s="250"/>
      <x:c r="B79" s="250"/>
      <x:c r="C79" s="566" t="str">
        <x:f>IF(B79="","",IFERROR(VLOOKUP(B79,PERUMAHAN!$A:$B,2,FALSE),"ID tidak ditemukan"))</x:f>
      </x:c>
      <x:c r="D79" s="250"/>
      <x:c r="E79" s="250"/>
      <x:c r="F79" s="250"/>
      <x:c r="G79" s="252"/>
      <x:c r="H79" s="252"/>
      <x:c r="I79" s="250"/>
      <x:c r="J79" s="250"/>
      <x:c r="K79" s="250"/>
      <x:c r="L79" s="250"/>
      <x:c r="M79" s="252"/>
      <x:c r="N79" s="252"/>
      <x:c r="O79" s="251"/>
      <x:c r="P79" s="250"/>
      <x:c r="Q79" s="250"/>
      <x:c r="R79" s="250"/>
      <x:c r="S79" s="253"/>
      <x:c r="T79" s="250"/>
      <x:c r="U79"/>
      <x:c r="AA79"/>
      <x:c r="AB79"/>
      <x:c r="AC79"/>
      <x:c r="AD79"/>
      <x:c r="AE79"/>
      <x:c r="AF79"/>
      <x:c r="AG79"/>
      <x:c r="AH79"/>
      <x:c r="AI79"/>
      <x:c r="AJ79"/>
      <x:c r="AK79"/>
      <x:c r="AL79"/>
      <x:c r="AM79"/>
      <x:c r="AN79"/>
      <x:c r="AO79"/>
      <x:c r="AP79"/>
      <x:c r="AQ79"/>
      <x:c r="AR79"/>
    </x:row>
    <x:row r="80" s="248" customFormat="1">
      <x:c r="A80" s="250"/>
      <x:c r="B80" s="250"/>
      <x:c r="C80" s="566" t="str">
        <x:f>IF(B80="","",IFERROR(VLOOKUP(B80,PERUMAHAN!$A:$B,2,FALSE),"ID tidak ditemukan"))</x:f>
      </x:c>
      <x:c r="D80" s="250"/>
      <x:c r="E80" s="250"/>
      <x:c r="F80" s="250"/>
      <x:c r="G80" s="252"/>
      <x:c r="H80" s="252"/>
      <x:c r="I80" s="250"/>
      <x:c r="J80" s="250"/>
      <x:c r="K80" s="250"/>
      <x:c r="L80" s="250"/>
      <x:c r="M80" s="252"/>
      <x:c r="N80" s="252"/>
      <x:c r="O80" s="251"/>
      <x:c r="P80" s="250"/>
      <x:c r="Q80" s="250"/>
      <x:c r="R80" s="250"/>
      <x:c r="S80" s="253"/>
      <x:c r="T80" s="250"/>
      <x:c r="U80"/>
      <x:c r="AA80"/>
      <x:c r="AB80"/>
      <x:c r="AC80"/>
      <x:c r="AD80"/>
      <x:c r="AE80"/>
      <x:c r="AF80"/>
      <x:c r="AG80"/>
      <x:c r="AH80"/>
      <x:c r="AI80"/>
      <x:c r="AJ80"/>
      <x:c r="AK80"/>
      <x:c r="AL80"/>
      <x:c r="AM80"/>
      <x:c r="AN80"/>
      <x:c r="AO80"/>
      <x:c r="AP80"/>
      <x:c r="AQ80"/>
      <x:c r="AR80"/>
    </x:row>
    <x:row r="81" s="248" customFormat="1">
      <x:c r="A81" s="250"/>
      <x:c r="B81" s="250"/>
      <x:c r="C81" s="566" t="str">
        <x:f>IF(B81="","",IFERROR(VLOOKUP(B81,PERUMAHAN!$A:$B,2,FALSE),"ID tidak ditemukan"))</x:f>
      </x:c>
      <x:c r="D81" s="250"/>
      <x:c r="E81" s="250"/>
      <x:c r="F81" s="250"/>
      <x:c r="G81" s="252"/>
      <x:c r="H81" s="252"/>
      <x:c r="I81" s="250"/>
      <x:c r="J81" s="250"/>
      <x:c r="K81" s="250"/>
      <x:c r="L81" s="250"/>
      <x:c r="M81" s="252"/>
      <x:c r="N81" s="252"/>
      <x:c r="O81" s="251"/>
      <x:c r="P81" s="250"/>
      <x:c r="Q81" s="250"/>
      <x:c r="R81" s="250"/>
      <x:c r="S81" s="253"/>
      <x:c r="T81" s="250"/>
      <x:c r="U81"/>
      <x:c r="AA81"/>
      <x:c r="AB81"/>
      <x:c r="AC81"/>
      <x:c r="AD81"/>
      <x:c r="AE81"/>
      <x:c r="AF81"/>
      <x:c r="AG81"/>
      <x:c r="AH81"/>
      <x:c r="AI81"/>
      <x:c r="AJ81"/>
      <x:c r="AK81"/>
      <x:c r="AL81"/>
      <x:c r="AM81"/>
      <x:c r="AN81"/>
      <x:c r="AO81"/>
      <x:c r="AP81"/>
      <x:c r="AQ81"/>
      <x:c r="AR81"/>
    </x:row>
    <x:row r="82" s="248" customFormat="1">
      <x:c r="A82" s="250"/>
      <x:c r="B82" s="250"/>
      <x:c r="C82" s="566" t="str">
        <x:f>IF(B82="","",IFERROR(VLOOKUP(B82,PERUMAHAN!$A:$B,2,FALSE),"ID tidak ditemukan"))</x:f>
      </x:c>
      <x:c r="D82" s="250"/>
      <x:c r="E82" s="250"/>
      <x:c r="F82" s="250"/>
      <x:c r="G82" s="252"/>
      <x:c r="H82" s="252"/>
      <x:c r="I82" s="250"/>
      <x:c r="J82" s="250"/>
      <x:c r="K82" s="250"/>
      <x:c r="L82" s="250"/>
      <x:c r="M82" s="252"/>
      <x:c r="N82" s="252"/>
      <x:c r="O82" s="251"/>
      <x:c r="P82" s="250"/>
      <x:c r="Q82" s="250"/>
      <x:c r="R82" s="250"/>
      <x:c r="S82" s="253"/>
      <x:c r="T82" s="250"/>
      <x:c r="U82"/>
      <x:c r="AA82"/>
      <x:c r="AB82"/>
      <x:c r="AC82"/>
      <x:c r="AD82"/>
      <x:c r="AE82"/>
      <x:c r="AF82"/>
      <x:c r="AG82"/>
      <x:c r="AH82"/>
      <x:c r="AI82"/>
      <x:c r="AJ82"/>
      <x:c r="AK82"/>
      <x:c r="AL82"/>
      <x:c r="AM82"/>
      <x:c r="AN82"/>
      <x:c r="AO82"/>
      <x:c r="AP82"/>
      <x:c r="AQ82"/>
      <x:c r="AR82"/>
    </x:row>
    <x:row r="83" s="248" customFormat="1">
      <x:c r="A83" s="250"/>
      <x:c r="B83" s="250"/>
      <x:c r="C83" s="566" t="str">
        <x:f>IF(B83="","",IFERROR(VLOOKUP(B83,PERUMAHAN!$A:$B,2,FALSE),"ID tidak ditemukan"))</x:f>
      </x:c>
      <x:c r="D83" s="250"/>
      <x:c r="E83" s="250"/>
      <x:c r="F83" s="250"/>
      <x:c r="G83" s="252"/>
      <x:c r="H83" s="252"/>
      <x:c r="I83" s="250"/>
      <x:c r="J83" s="250"/>
      <x:c r="K83" s="250"/>
      <x:c r="L83" s="250"/>
      <x:c r="M83" s="252"/>
      <x:c r="N83" s="252"/>
      <x:c r="O83" s="251"/>
      <x:c r="P83" s="250"/>
      <x:c r="Q83" s="250"/>
      <x:c r="R83" s="250"/>
      <x:c r="S83" s="253"/>
      <x:c r="T83" s="250"/>
      <x:c r="U83"/>
      <x:c r="AA83"/>
      <x:c r="AB83"/>
      <x:c r="AC83"/>
      <x:c r="AD83"/>
      <x:c r="AE83"/>
      <x:c r="AF83"/>
      <x:c r="AG83"/>
      <x:c r="AH83"/>
      <x:c r="AI83"/>
      <x:c r="AJ83"/>
      <x:c r="AK83"/>
      <x:c r="AL83"/>
      <x:c r="AM83"/>
      <x:c r="AN83"/>
      <x:c r="AO83"/>
      <x:c r="AP83"/>
      <x:c r="AQ83"/>
      <x:c r="AR83"/>
    </x:row>
    <x:row r="84" s="248" customFormat="1">
      <x:c r="A84" s="250"/>
      <x:c r="B84" s="250"/>
      <x:c r="C84" s="566" t="str">
        <x:f>IF(B84="","",IFERROR(VLOOKUP(B84,PERUMAHAN!$A:$B,2,FALSE),"ID tidak ditemukan"))</x:f>
      </x:c>
      <x:c r="D84" s="250"/>
      <x:c r="E84" s="250"/>
      <x:c r="F84" s="250"/>
      <x:c r="G84" s="252"/>
      <x:c r="H84" s="252"/>
      <x:c r="I84" s="250"/>
      <x:c r="J84" s="250"/>
      <x:c r="K84" s="250"/>
      <x:c r="L84" s="250"/>
      <x:c r="M84" s="252"/>
      <x:c r="N84" s="252"/>
      <x:c r="O84" s="251"/>
      <x:c r="P84" s="250"/>
      <x:c r="Q84" s="250"/>
      <x:c r="R84" s="250"/>
      <x:c r="S84" s="253"/>
      <x:c r="T84" s="250"/>
      <x:c r="U84"/>
      <x:c r="AA84"/>
      <x:c r="AB84"/>
      <x:c r="AC84"/>
      <x:c r="AD84"/>
      <x:c r="AE84"/>
      <x:c r="AF84"/>
      <x:c r="AG84"/>
      <x:c r="AH84"/>
      <x:c r="AI84"/>
      <x:c r="AJ84"/>
      <x:c r="AK84"/>
      <x:c r="AL84"/>
      <x:c r="AM84"/>
      <x:c r="AN84"/>
      <x:c r="AO84"/>
      <x:c r="AP84"/>
      <x:c r="AQ84"/>
      <x:c r="AR84"/>
    </x:row>
    <x:row r="85" s="248" customFormat="1">
      <x:c r="A85" s="250"/>
      <x:c r="B85" s="250"/>
      <x:c r="C85" s="566" t="str">
        <x:f>IF(B85="","",IFERROR(VLOOKUP(B85,PERUMAHAN!$A:$B,2,FALSE),"ID tidak ditemukan"))</x:f>
      </x:c>
      <x:c r="D85" s="250"/>
      <x:c r="E85" s="250"/>
      <x:c r="F85" s="250"/>
      <x:c r="G85" s="252"/>
      <x:c r="H85" s="252"/>
      <x:c r="I85" s="250"/>
      <x:c r="J85" s="250"/>
      <x:c r="K85" s="250"/>
      <x:c r="L85" s="250"/>
      <x:c r="M85" s="252"/>
      <x:c r="N85" s="252"/>
      <x:c r="O85" s="251"/>
      <x:c r="P85" s="250"/>
      <x:c r="Q85" s="250"/>
      <x:c r="R85" s="250"/>
      <x:c r="S85" s="253"/>
      <x:c r="T85" s="250"/>
      <x:c r="U85"/>
      <x:c r="AA85"/>
      <x:c r="AB85"/>
      <x:c r="AC85"/>
      <x:c r="AD85"/>
      <x:c r="AE85"/>
      <x:c r="AF85"/>
      <x:c r="AG85"/>
      <x:c r="AH85"/>
      <x:c r="AI85"/>
      <x:c r="AJ85"/>
      <x:c r="AK85"/>
      <x:c r="AL85"/>
      <x:c r="AM85"/>
      <x:c r="AN85"/>
      <x:c r="AO85"/>
      <x:c r="AP85"/>
      <x:c r="AQ85"/>
      <x:c r="AR85"/>
    </x:row>
    <x:row r="86" s="248" customFormat="1">
      <x:c r="A86" s="250"/>
      <x:c r="B86" s="250"/>
      <x:c r="C86" s="566" t="str">
        <x:f>IF(B86="","",IFERROR(VLOOKUP(B86,PERUMAHAN!$A:$B,2,FALSE),"ID tidak ditemukan"))</x:f>
      </x:c>
      <x:c r="D86" s="250"/>
      <x:c r="E86" s="250"/>
      <x:c r="F86" s="250"/>
      <x:c r="G86" s="252"/>
      <x:c r="H86" s="252"/>
      <x:c r="I86" s="250"/>
      <x:c r="J86" s="250"/>
      <x:c r="K86" s="250"/>
      <x:c r="L86" s="250"/>
      <x:c r="M86" s="252"/>
      <x:c r="N86" s="252"/>
      <x:c r="O86" s="251"/>
      <x:c r="P86" s="250"/>
      <x:c r="Q86" s="250"/>
      <x:c r="R86" s="250"/>
      <x:c r="S86" s="253"/>
      <x:c r="T86" s="250"/>
      <x:c r="U86"/>
      <x:c r="AA86"/>
      <x:c r="AB86"/>
      <x:c r="AC86"/>
      <x:c r="AD86"/>
      <x:c r="AE86"/>
      <x:c r="AF86"/>
      <x:c r="AG86"/>
      <x:c r="AH86"/>
      <x:c r="AI86"/>
      <x:c r="AJ86"/>
      <x:c r="AK86"/>
      <x:c r="AL86"/>
      <x:c r="AM86"/>
      <x:c r="AN86"/>
      <x:c r="AO86"/>
      <x:c r="AP86"/>
      <x:c r="AQ86"/>
      <x:c r="AR86"/>
    </x:row>
    <x:row r="87" s="248" customFormat="1">
      <x:c r="A87" s="250"/>
      <x:c r="B87" s="250"/>
      <x:c r="C87" s="566" t="str">
        <x:f>IF(B87="","",IFERROR(VLOOKUP(B87,PERUMAHAN!$A:$B,2,FALSE),"ID tidak ditemukan"))</x:f>
      </x:c>
      <x:c r="D87" s="250"/>
      <x:c r="E87" s="250"/>
      <x:c r="F87" s="250"/>
      <x:c r="G87" s="252"/>
      <x:c r="H87" s="252"/>
      <x:c r="I87" s="250"/>
      <x:c r="J87" s="250"/>
      <x:c r="K87" s="250"/>
      <x:c r="L87" s="250"/>
      <x:c r="M87" s="252"/>
      <x:c r="N87" s="252"/>
      <x:c r="O87" s="251"/>
      <x:c r="P87" s="250"/>
      <x:c r="Q87" s="250"/>
      <x:c r="R87" s="250"/>
      <x:c r="S87" s="253"/>
      <x:c r="T87" s="250"/>
      <x:c r="U87"/>
      <x:c r="AA87"/>
      <x:c r="AB87"/>
      <x:c r="AC87"/>
      <x:c r="AD87"/>
      <x:c r="AE87"/>
      <x:c r="AF87"/>
      <x:c r="AG87"/>
      <x:c r="AH87"/>
      <x:c r="AI87"/>
      <x:c r="AJ87"/>
      <x:c r="AK87"/>
      <x:c r="AL87"/>
      <x:c r="AM87"/>
      <x:c r="AN87"/>
      <x:c r="AO87"/>
      <x:c r="AP87"/>
      <x:c r="AQ87"/>
      <x:c r="AR87"/>
    </x:row>
    <x:row r="88" s="248" customFormat="1">
      <x:c r="A88" s="250"/>
      <x:c r="B88" s="250"/>
      <x:c r="C88" s="566" t="str">
        <x:f>IF(B88="","",IFERROR(VLOOKUP(B88,PERUMAHAN!$A:$B,2,FALSE),"ID tidak ditemukan"))</x:f>
      </x:c>
      <x:c r="D88" s="250"/>
      <x:c r="E88" s="250"/>
      <x:c r="F88" s="250"/>
      <x:c r="G88" s="252"/>
      <x:c r="H88" s="252"/>
      <x:c r="I88" s="250"/>
      <x:c r="J88" s="250"/>
      <x:c r="K88" s="250"/>
      <x:c r="L88" s="250"/>
      <x:c r="M88" s="252"/>
      <x:c r="N88" s="252"/>
      <x:c r="O88" s="251"/>
      <x:c r="P88" s="250"/>
      <x:c r="Q88" s="250"/>
      <x:c r="R88" s="250"/>
      <x:c r="S88" s="253"/>
      <x:c r="T88" s="250"/>
      <x:c r="U88"/>
      <x:c r="AA88"/>
      <x:c r="AB88"/>
      <x:c r="AC88"/>
      <x:c r="AD88"/>
      <x:c r="AE88"/>
      <x:c r="AF88"/>
      <x:c r="AG88"/>
      <x:c r="AH88"/>
      <x:c r="AI88"/>
      <x:c r="AJ88"/>
      <x:c r="AK88"/>
      <x:c r="AL88"/>
      <x:c r="AM88"/>
      <x:c r="AN88"/>
      <x:c r="AO88"/>
      <x:c r="AP88"/>
      <x:c r="AQ88"/>
      <x:c r="AR88"/>
    </x:row>
    <x:row r="89" s="248" customFormat="1">
      <x:c r="A89" s="250"/>
      <x:c r="B89" s="250"/>
      <x:c r="C89" s="566" t="str">
        <x:f>IF(B89="","",IFERROR(VLOOKUP(B89,PERUMAHAN!$A:$B,2,FALSE),"ID tidak ditemukan"))</x:f>
      </x:c>
      <x:c r="D89" s="250"/>
      <x:c r="E89" s="250"/>
      <x:c r="F89" s="250"/>
      <x:c r="G89" s="252"/>
      <x:c r="H89" s="252"/>
      <x:c r="I89" s="250"/>
      <x:c r="J89" s="250"/>
      <x:c r="K89" s="250"/>
      <x:c r="L89" s="250"/>
      <x:c r="M89" s="252"/>
      <x:c r="N89" s="252"/>
      <x:c r="O89" s="251"/>
      <x:c r="P89" s="250"/>
      <x:c r="Q89" s="250"/>
      <x:c r="R89" s="250"/>
      <x:c r="S89" s="253"/>
      <x:c r="T89" s="250"/>
      <x:c r="U89"/>
      <x:c r="AA89"/>
      <x:c r="AB89"/>
      <x:c r="AC89"/>
      <x:c r="AD89"/>
      <x:c r="AE89"/>
      <x:c r="AF89"/>
      <x:c r="AG89"/>
      <x:c r="AH89"/>
      <x:c r="AI89"/>
      <x:c r="AJ89"/>
      <x:c r="AK89"/>
      <x:c r="AL89"/>
      <x:c r="AM89"/>
      <x:c r="AN89"/>
      <x:c r="AO89"/>
      <x:c r="AP89"/>
      <x:c r="AQ89"/>
      <x:c r="AR89"/>
    </x:row>
    <x:row r="90" s="248" customFormat="1">
      <x:c r="A90" s="250"/>
      <x:c r="B90" s="250"/>
      <x:c r="C90" s="566" t="str">
        <x:f>IF(B90="","",IFERROR(VLOOKUP(B90,PERUMAHAN!$A:$B,2,FALSE),"ID tidak ditemukan"))</x:f>
      </x:c>
      <x:c r="D90" s="250"/>
      <x:c r="E90" s="250"/>
      <x:c r="F90" s="250"/>
      <x:c r="G90" s="252"/>
      <x:c r="H90" s="252"/>
      <x:c r="I90" s="250"/>
      <x:c r="J90" s="250"/>
      <x:c r="K90" s="250"/>
      <x:c r="L90" s="250"/>
      <x:c r="M90" s="252"/>
      <x:c r="N90" s="252"/>
      <x:c r="O90" s="251"/>
      <x:c r="P90" s="250"/>
      <x:c r="Q90" s="250"/>
      <x:c r="R90" s="250"/>
      <x:c r="S90" s="253"/>
      <x:c r="T90" s="250"/>
      <x:c r="U90"/>
      <x:c r="AA90"/>
      <x:c r="AB90"/>
      <x:c r="AC90"/>
      <x:c r="AD90"/>
      <x:c r="AE90"/>
      <x:c r="AF90"/>
      <x:c r="AG90"/>
      <x:c r="AH90"/>
      <x:c r="AI90"/>
      <x:c r="AJ90"/>
      <x:c r="AK90"/>
      <x:c r="AL90"/>
      <x:c r="AM90"/>
      <x:c r="AN90"/>
      <x:c r="AO90"/>
      <x:c r="AP90"/>
      <x:c r="AQ90"/>
      <x:c r="AR90"/>
    </x:row>
    <x:row r="91" s="248" customFormat="1">
      <x:c r="A91" s="250"/>
      <x:c r="B91" s="250"/>
      <x:c r="C91" s="566" t="str">
        <x:f>IF(B91="","",IFERROR(VLOOKUP(B91,PERUMAHAN!$A:$B,2,FALSE),"ID tidak ditemukan"))</x:f>
      </x:c>
      <x:c r="D91" s="250"/>
      <x:c r="E91" s="250"/>
      <x:c r="F91" s="250"/>
      <x:c r="G91" s="252"/>
      <x:c r="H91" s="252"/>
      <x:c r="I91" s="250"/>
      <x:c r="J91" s="250"/>
      <x:c r="K91" s="250"/>
      <x:c r="L91" s="250"/>
      <x:c r="M91" s="252"/>
      <x:c r="N91" s="252"/>
      <x:c r="O91" s="251"/>
      <x:c r="P91" s="250"/>
      <x:c r="Q91" s="250"/>
      <x:c r="R91" s="250"/>
      <x:c r="S91" s="253"/>
      <x:c r="T91" s="250"/>
      <x:c r="U91"/>
      <x:c r="AA91"/>
      <x:c r="AB91"/>
      <x:c r="AC91"/>
      <x:c r="AD91"/>
      <x:c r="AE91"/>
      <x:c r="AF91"/>
      <x:c r="AG91"/>
      <x:c r="AH91"/>
      <x:c r="AI91"/>
      <x:c r="AJ91"/>
      <x:c r="AK91"/>
      <x:c r="AL91"/>
      <x:c r="AM91"/>
      <x:c r="AN91"/>
      <x:c r="AO91"/>
      <x:c r="AP91"/>
      <x:c r="AQ91"/>
      <x:c r="AR91"/>
    </x:row>
    <x:row r="92" s="248" customFormat="1">
      <x:c r="A92" s="250"/>
      <x:c r="B92" s="250"/>
      <x:c r="C92" s="566" t="str">
        <x:f>IF(B92="","",IFERROR(VLOOKUP(B92,PERUMAHAN!$A:$B,2,FALSE),"ID tidak ditemukan"))</x:f>
      </x:c>
      <x:c r="D92" s="250"/>
      <x:c r="E92" s="250"/>
      <x:c r="F92" s="250"/>
      <x:c r="G92" s="252"/>
      <x:c r="H92" s="252"/>
      <x:c r="I92" s="250"/>
      <x:c r="J92" s="250"/>
      <x:c r="K92" s="250"/>
      <x:c r="L92" s="250"/>
      <x:c r="M92" s="252"/>
      <x:c r="N92" s="252"/>
      <x:c r="O92" s="251"/>
      <x:c r="P92" s="250"/>
      <x:c r="Q92" s="250"/>
      <x:c r="R92" s="250"/>
      <x:c r="S92" s="253"/>
      <x:c r="T92" s="250"/>
      <x:c r="U92"/>
      <x:c r="AA92"/>
      <x:c r="AB92"/>
      <x:c r="AC92"/>
      <x:c r="AD92"/>
      <x:c r="AE92"/>
      <x:c r="AF92"/>
      <x:c r="AG92"/>
      <x:c r="AH92"/>
      <x:c r="AI92"/>
      <x:c r="AJ92"/>
      <x:c r="AK92"/>
      <x:c r="AL92"/>
      <x:c r="AM92"/>
      <x:c r="AN92"/>
      <x:c r="AO92"/>
      <x:c r="AP92"/>
      <x:c r="AQ92"/>
      <x:c r="AR92"/>
    </x:row>
    <x:row r="93" s="248" customFormat="1">
      <x:c r="A93" s="250"/>
      <x:c r="B93" s="250"/>
      <x:c r="C93" s="566" t="str">
        <x:f>IF(B93="","",IFERROR(VLOOKUP(B93,PERUMAHAN!$A:$B,2,FALSE),"ID tidak ditemukan"))</x:f>
      </x:c>
      <x:c r="D93" s="250"/>
      <x:c r="E93" s="250"/>
      <x:c r="F93" s="250"/>
      <x:c r="G93" s="252"/>
      <x:c r="H93" s="252"/>
      <x:c r="I93" s="250"/>
      <x:c r="J93" s="250"/>
      <x:c r="K93" s="250"/>
      <x:c r="L93" s="250"/>
      <x:c r="M93" s="252"/>
      <x:c r="N93" s="252"/>
      <x:c r="O93" s="251"/>
      <x:c r="P93" s="250"/>
      <x:c r="Q93" s="250"/>
      <x:c r="R93" s="250"/>
      <x:c r="S93" s="253"/>
      <x:c r="T93" s="250"/>
      <x:c r="U93"/>
      <x:c r="AA93"/>
      <x:c r="AB93"/>
      <x:c r="AC93"/>
      <x:c r="AD93"/>
      <x:c r="AE93"/>
      <x:c r="AF93"/>
      <x:c r="AG93"/>
      <x:c r="AH93"/>
      <x:c r="AI93"/>
      <x:c r="AJ93"/>
      <x:c r="AK93"/>
      <x:c r="AL93"/>
      <x:c r="AM93"/>
      <x:c r="AN93"/>
      <x:c r="AO93"/>
      <x:c r="AP93"/>
      <x:c r="AQ93"/>
      <x:c r="AR93"/>
    </x:row>
    <x:row r="94" s="248" customFormat="1">
      <x:c r="A94" s="250"/>
      <x:c r="B94" s="250"/>
      <x:c r="C94" s="566" t="str">
        <x:f>IF(B94="","",IFERROR(VLOOKUP(B94,PERUMAHAN!$A:$B,2,FALSE),"ID tidak ditemukan"))</x:f>
      </x:c>
      <x:c r="D94" s="250"/>
      <x:c r="E94" s="250"/>
      <x:c r="F94" s="250"/>
      <x:c r="G94" s="252"/>
      <x:c r="H94" s="252"/>
      <x:c r="I94" s="250"/>
      <x:c r="J94" s="250"/>
      <x:c r="K94" s="250"/>
      <x:c r="L94" s="250"/>
      <x:c r="M94" s="252"/>
      <x:c r="N94" s="252"/>
      <x:c r="O94" s="251"/>
      <x:c r="P94" s="250"/>
      <x:c r="Q94" s="250"/>
      <x:c r="R94" s="250"/>
      <x:c r="S94" s="253"/>
      <x:c r="T94" s="250"/>
      <x:c r="U94"/>
      <x:c r="AA94"/>
      <x:c r="AB94"/>
      <x:c r="AC94"/>
      <x:c r="AD94"/>
      <x:c r="AE94"/>
      <x:c r="AF94"/>
      <x:c r="AG94"/>
      <x:c r="AH94"/>
      <x:c r="AI94"/>
      <x:c r="AJ94"/>
      <x:c r="AK94"/>
      <x:c r="AL94"/>
      <x:c r="AM94"/>
      <x:c r="AN94"/>
      <x:c r="AO94"/>
      <x:c r="AP94"/>
      <x:c r="AQ94"/>
      <x:c r="AR94"/>
    </x:row>
    <x:row r="95" s="248" customFormat="1">
      <x:c r="A95" s="250"/>
      <x:c r="B95" s="250"/>
      <x:c r="C95" s="566" t="str">
        <x:f>IF(B95="","",IFERROR(VLOOKUP(B95,PERUMAHAN!$A:$B,2,FALSE),"ID tidak ditemukan"))</x:f>
      </x:c>
      <x:c r="D95" s="250"/>
      <x:c r="E95" s="250"/>
      <x:c r="F95" s="250"/>
      <x:c r="G95" s="252"/>
      <x:c r="H95" s="252"/>
      <x:c r="I95" s="250"/>
      <x:c r="J95" s="250"/>
      <x:c r="K95" s="250"/>
      <x:c r="L95" s="250"/>
      <x:c r="M95" s="252"/>
      <x:c r="N95" s="252"/>
      <x:c r="O95" s="251"/>
      <x:c r="P95" s="250"/>
      <x:c r="Q95" s="250"/>
      <x:c r="R95" s="250"/>
      <x:c r="S95" s="253"/>
      <x:c r="T95" s="250"/>
      <x:c r="U95"/>
      <x:c r="AA95"/>
      <x:c r="AB95"/>
      <x:c r="AC95"/>
      <x:c r="AD95"/>
      <x:c r="AE95"/>
      <x:c r="AF95"/>
      <x:c r="AG95"/>
      <x:c r="AH95"/>
      <x:c r="AI95"/>
      <x:c r="AJ95"/>
      <x:c r="AK95"/>
      <x:c r="AL95"/>
      <x:c r="AM95"/>
      <x:c r="AN95"/>
      <x:c r="AO95"/>
      <x:c r="AP95"/>
      <x:c r="AQ95"/>
      <x:c r="AR95"/>
    </x:row>
    <x:row r="96" s="248" customFormat="1">
      <x:c r="A96" s="250"/>
      <x:c r="B96" s="250"/>
      <x:c r="C96" s="566" t="str">
        <x:f>IF(B96="","",IFERROR(VLOOKUP(B96,PERUMAHAN!$A:$B,2,FALSE),"ID tidak ditemukan"))</x:f>
      </x:c>
      <x:c r="D96" s="250"/>
      <x:c r="E96" s="250"/>
      <x:c r="F96" s="250"/>
      <x:c r="G96" s="252"/>
      <x:c r="H96" s="252"/>
      <x:c r="I96" s="250"/>
      <x:c r="J96" s="250"/>
      <x:c r="K96" s="250"/>
      <x:c r="L96" s="250"/>
      <x:c r="M96" s="252"/>
      <x:c r="N96" s="252"/>
      <x:c r="O96" s="251"/>
      <x:c r="P96" s="250"/>
      <x:c r="Q96" s="250"/>
      <x:c r="R96" s="250"/>
      <x:c r="S96" s="253"/>
      <x:c r="T96" s="250"/>
      <x:c r="U96"/>
      <x:c r="AA96"/>
      <x:c r="AB96"/>
      <x:c r="AC96"/>
      <x:c r="AD96"/>
      <x:c r="AE96"/>
      <x:c r="AF96"/>
      <x:c r="AG96"/>
      <x:c r="AH96"/>
      <x:c r="AI96"/>
      <x:c r="AJ96"/>
      <x:c r="AK96"/>
      <x:c r="AL96"/>
      <x:c r="AM96"/>
      <x:c r="AN96"/>
      <x:c r="AO96"/>
      <x:c r="AP96"/>
      <x:c r="AQ96"/>
      <x:c r="AR96"/>
    </x:row>
    <x:row r="97" s="248" customFormat="1">
      <x:c r="A97" s="250"/>
      <x:c r="B97" s="250"/>
      <x:c r="C97" s="566" t="str">
        <x:f>IF(B97="","",IFERROR(VLOOKUP(B97,PERUMAHAN!$A:$B,2,FALSE),"ID tidak ditemukan"))</x:f>
      </x:c>
      <x:c r="D97" s="250"/>
      <x:c r="E97" s="250"/>
      <x:c r="F97" s="250"/>
      <x:c r="G97" s="252"/>
      <x:c r="H97" s="252"/>
      <x:c r="I97" s="250"/>
      <x:c r="J97" s="250"/>
      <x:c r="K97" s="250"/>
      <x:c r="L97" s="250"/>
      <x:c r="M97" s="252"/>
      <x:c r="N97" s="252"/>
      <x:c r="O97" s="251"/>
      <x:c r="P97" s="250"/>
      <x:c r="Q97" s="250"/>
      <x:c r="R97" s="250"/>
      <x:c r="S97" s="253"/>
      <x:c r="T97" s="250"/>
      <x:c r="U97"/>
      <x:c r="AA97"/>
      <x:c r="AB97"/>
      <x:c r="AC97"/>
      <x:c r="AD97"/>
      <x:c r="AE97"/>
      <x:c r="AF97"/>
      <x:c r="AG97"/>
      <x:c r="AH97"/>
      <x:c r="AI97"/>
      <x:c r="AJ97"/>
      <x:c r="AK97"/>
      <x:c r="AL97"/>
      <x:c r="AM97"/>
      <x:c r="AN97"/>
      <x:c r="AO97"/>
      <x:c r="AP97"/>
      <x:c r="AQ97"/>
      <x:c r="AR97"/>
    </x:row>
    <x:row r="98" s="248" customFormat="1">
      <x:c r="A98" s="250"/>
      <x:c r="B98" s="250"/>
      <x:c r="C98" s="566" t="str">
        <x:f>IF(B98="","",IFERROR(VLOOKUP(B98,PERUMAHAN!$A:$B,2,FALSE),"ID tidak ditemukan"))</x:f>
      </x:c>
      <x:c r="D98" s="250"/>
      <x:c r="E98" s="250"/>
      <x:c r="F98" s="250"/>
      <x:c r="G98" s="252"/>
      <x:c r="H98" s="252"/>
      <x:c r="I98" s="250"/>
      <x:c r="J98" s="250"/>
      <x:c r="K98" s="250"/>
      <x:c r="L98" s="250"/>
      <x:c r="M98" s="252"/>
      <x:c r="N98" s="252"/>
      <x:c r="O98" s="251"/>
      <x:c r="P98" s="250"/>
      <x:c r="Q98" s="250"/>
      <x:c r="R98" s="250"/>
      <x:c r="S98" s="253"/>
      <x:c r="T98" s="250"/>
      <x:c r="U98"/>
      <x:c r="AA98"/>
      <x:c r="AB98"/>
      <x:c r="AC98"/>
      <x:c r="AD98"/>
      <x:c r="AE98"/>
      <x:c r="AF98"/>
      <x:c r="AG98"/>
      <x:c r="AH98"/>
      <x:c r="AI98"/>
      <x:c r="AJ98"/>
      <x:c r="AK98"/>
      <x:c r="AL98"/>
      <x:c r="AM98"/>
      <x:c r="AN98"/>
      <x:c r="AO98"/>
      <x:c r="AP98"/>
      <x:c r="AQ98"/>
      <x:c r="AR98"/>
    </x:row>
    <x:row r="99" s="248" customFormat="1">
      <x:c r="A99" s="250"/>
      <x:c r="B99" s="250"/>
      <x:c r="C99" s="566" t="str">
        <x:f>IF(B99="","",IFERROR(VLOOKUP(B99,PERUMAHAN!$A:$B,2,FALSE),"ID tidak ditemukan"))</x:f>
      </x:c>
      <x:c r="D99" s="250"/>
      <x:c r="E99" s="250"/>
      <x:c r="F99" s="250"/>
      <x:c r="G99" s="252"/>
      <x:c r="H99" s="252"/>
      <x:c r="I99" s="250"/>
      <x:c r="J99" s="250"/>
      <x:c r="K99" s="250"/>
      <x:c r="L99" s="250"/>
      <x:c r="M99" s="252"/>
      <x:c r="N99" s="252"/>
      <x:c r="O99" s="251"/>
      <x:c r="P99" s="250"/>
      <x:c r="Q99" s="250"/>
      <x:c r="R99" s="250"/>
      <x:c r="S99" s="253"/>
      <x:c r="T99" s="250"/>
      <x:c r="U99"/>
      <x:c r="AA99"/>
      <x:c r="AB99"/>
      <x:c r="AC99"/>
      <x:c r="AD99"/>
      <x:c r="AE99"/>
      <x:c r="AF99"/>
      <x:c r="AG99"/>
      <x:c r="AH99"/>
      <x:c r="AI99"/>
      <x:c r="AJ99"/>
      <x:c r="AK99"/>
      <x:c r="AL99"/>
      <x:c r="AM99"/>
      <x:c r="AN99"/>
      <x:c r="AO99"/>
      <x:c r="AP99"/>
      <x:c r="AQ99"/>
      <x:c r="AR99"/>
    </x:row>
    <x:row r="100" s="248" customFormat="1">
      <x:c r="A100" s="250"/>
      <x:c r="B100" s="250"/>
      <x:c r="C100" s="566" t="str">
        <x:f>IF(B100="","",IFERROR(VLOOKUP(B100,PERUMAHAN!$A:$B,2,FALSE),"ID tidak ditemukan"))</x:f>
      </x:c>
      <x:c r="D100" s="250"/>
      <x:c r="E100" s="250"/>
      <x:c r="F100" s="250"/>
      <x:c r="G100" s="252"/>
      <x:c r="H100" s="252"/>
      <x:c r="I100" s="250"/>
      <x:c r="J100" s="250"/>
      <x:c r="K100" s="250"/>
      <x:c r="L100" s="250"/>
      <x:c r="M100" s="252"/>
      <x:c r="N100" s="252"/>
      <x:c r="O100" s="251"/>
      <x:c r="P100" s="250"/>
      <x:c r="Q100" s="250"/>
      <x:c r="R100" s="250"/>
      <x:c r="S100" s="253"/>
      <x:c r="T100" s="250"/>
      <x:c r="U100"/>
      <x:c r="AA100"/>
      <x:c r="AB100"/>
      <x:c r="AC100"/>
      <x:c r="AD100"/>
      <x:c r="AE100"/>
      <x:c r="AF100"/>
      <x:c r="AG100"/>
      <x:c r="AH100"/>
      <x:c r="AI100"/>
      <x:c r="AJ100"/>
      <x:c r="AK100"/>
      <x:c r="AL100"/>
      <x:c r="AM100"/>
      <x:c r="AN100"/>
      <x:c r="AO100"/>
      <x:c r="AP100"/>
      <x:c r="AQ100"/>
      <x:c r="AR100"/>
    </x:row>
    <x:row r="101" s="248" customFormat="1">
      <x:c r="A101" s="250"/>
      <x:c r="B101" s="250"/>
      <x:c r="C101" s="566" t="str">
        <x:f>IF(B101="","",IFERROR(VLOOKUP(B101,PERUMAHAN!$A:$B,2,FALSE),"ID tidak ditemukan"))</x:f>
      </x:c>
      <x:c r="D101" s="250"/>
      <x:c r="E101" s="250"/>
      <x:c r="F101" s="250"/>
      <x:c r="G101" s="252"/>
      <x:c r="H101" s="252"/>
      <x:c r="I101" s="250"/>
      <x:c r="J101" s="250"/>
      <x:c r="K101" s="250"/>
      <x:c r="L101" s="250"/>
      <x:c r="M101" s="252"/>
      <x:c r="N101" s="252"/>
      <x:c r="O101" s="251"/>
      <x:c r="P101" s="250"/>
      <x:c r="Q101" s="250"/>
      <x:c r="R101" s="250"/>
      <x:c r="S101" s="253"/>
      <x:c r="T101" s="250"/>
      <x:c r="U101"/>
      <x:c r="AA101"/>
      <x:c r="AB101"/>
      <x:c r="AC101"/>
      <x:c r="AD101"/>
      <x:c r="AE101"/>
      <x:c r="AF101"/>
      <x:c r="AG101"/>
      <x:c r="AH101"/>
      <x:c r="AI101"/>
      <x:c r="AJ101"/>
      <x:c r="AK101"/>
      <x:c r="AL101"/>
      <x:c r="AM101"/>
      <x:c r="AN101"/>
      <x:c r="AO101"/>
      <x:c r="AP101"/>
      <x:c r="AQ101"/>
      <x:c r="AR101"/>
    </x:row>
    <x:row r="102" s="248" customFormat="1">
      <x:c r="A102" s="250"/>
      <x:c r="B102" s="250"/>
      <x:c r="C102" s="566" t="str">
        <x:f>IF(B102="","",IFERROR(VLOOKUP(B102,PERUMAHAN!$A:$B,2,FALSE),"ID tidak ditemukan"))</x:f>
      </x:c>
      <x:c r="D102" s="250"/>
      <x:c r="E102" s="250"/>
      <x:c r="F102" s="250"/>
      <x:c r="G102" s="252"/>
      <x:c r="H102" s="252"/>
      <x:c r="I102" s="250"/>
      <x:c r="J102" s="250"/>
      <x:c r="K102" s="250"/>
      <x:c r="L102" s="250"/>
      <x:c r="M102" s="252"/>
      <x:c r="N102" s="252"/>
      <x:c r="O102" s="251"/>
      <x:c r="P102" s="250"/>
      <x:c r="Q102" s="250"/>
      <x:c r="R102" s="250"/>
      <x:c r="S102" s="253"/>
      <x:c r="T102" s="250"/>
      <x:c r="U102"/>
      <x:c r="AA102"/>
      <x:c r="AB102"/>
      <x:c r="AC102"/>
      <x:c r="AD102"/>
      <x:c r="AE102"/>
      <x:c r="AF102"/>
      <x:c r="AG102"/>
      <x:c r="AH102"/>
      <x:c r="AI102"/>
      <x:c r="AJ102"/>
      <x:c r="AK102"/>
      <x:c r="AL102"/>
      <x:c r="AM102"/>
      <x:c r="AN102"/>
      <x:c r="AO102"/>
      <x:c r="AP102"/>
      <x:c r="AQ102"/>
      <x:c r="AR102"/>
    </x:row>
    <x:row r="103" s="248" customFormat="1">
      <x:c r="A103" s="250"/>
      <x:c r="B103" s="250"/>
      <x:c r="C103" s="566" t="str">
        <x:f>IF(B103="","",IFERROR(VLOOKUP(B103,PERUMAHAN!$A:$B,2,FALSE),"ID tidak ditemukan"))</x:f>
      </x:c>
      <x:c r="D103" s="250"/>
      <x:c r="E103" s="250"/>
      <x:c r="F103" s="250"/>
      <x:c r="G103" s="252"/>
      <x:c r="H103" s="252"/>
      <x:c r="I103" s="250"/>
      <x:c r="J103" s="250"/>
      <x:c r="K103" s="250"/>
      <x:c r="L103" s="250"/>
      <x:c r="M103" s="252"/>
      <x:c r="N103" s="252"/>
      <x:c r="O103" s="251"/>
      <x:c r="P103" s="250"/>
      <x:c r="Q103" s="250"/>
      <x:c r="R103" s="250"/>
      <x:c r="S103" s="253"/>
      <x:c r="T103" s="250"/>
      <x:c r="U103"/>
      <x:c r="AA103"/>
      <x:c r="AB103"/>
      <x:c r="AC103"/>
      <x:c r="AD103"/>
      <x:c r="AE103"/>
      <x:c r="AF103"/>
      <x:c r="AG103"/>
      <x:c r="AH103"/>
      <x:c r="AI103"/>
      <x:c r="AJ103"/>
      <x:c r="AK103"/>
      <x:c r="AL103"/>
      <x:c r="AM103"/>
      <x:c r="AN103"/>
      <x:c r="AO103"/>
      <x:c r="AP103"/>
      <x:c r="AQ103"/>
      <x:c r="AR103"/>
    </x:row>
    <x:row r="104" s="248" customFormat="1">
      <x:c r="A104" s="250"/>
      <x:c r="B104" s="250"/>
      <x:c r="C104" s="566" t="str">
        <x:f>IF(B104="","",IFERROR(VLOOKUP(B104,PERUMAHAN!$A:$B,2,FALSE),"ID tidak ditemukan"))</x:f>
      </x:c>
      <x:c r="D104" s="250"/>
      <x:c r="E104" s="250"/>
      <x:c r="F104" s="250"/>
      <x:c r="G104" s="252"/>
      <x:c r="H104" s="252"/>
      <x:c r="I104" s="250"/>
      <x:c r="J104" s="250"/>
      <x:c r="K104" s="250"/>
      <x:c r="L104" s="250"/>
      <x:c r="M104" s="252"/>
      <x:c r="N104" s="252"/>
      <x:c r="O104" s="251"/>
      <x:c r="P104" s="250"/>
      <x:c r="Q104" s="250"/>
      <x:c r="R104" s="250"/>
      <x:c r="S104" s="253"/>
      <x:c r="T104" s="250"/>
      <x:c r="U104"/>
      <x:c r="AA104"/>
      <x:c r="AB104"/>
      <x:c r="AC104"/>
      <x:c r="AD104"/>
      <x:c r="AE104"/>
      <x:c r="AF104"/>
      <x:c r="AG104"/>
      <x:c r="AH104"/>
      <x:c r="AI104"/>
      <x:c r="AJ104"/>
      <x:c r="AK104"/>
      <x:c r="AL104"/>
      <x:c r="AM104"/>
      <x:c r="AN104"/>
      <x:c r="AO104"/>
      <x:c r="AP104"/>
      <x:c r="AQ104"/>
      <x:c r="AR104"/>
    </x:row>
    <x:row r="105" s="248" customFormat="1">
      <x:c r="A105" s="250"/>
      <x:c r="B105" s="250"/>
      <x:c r="C105" s="566" t="str">
        <x:f>IF(B105="","",IFERROR(VLOOKUP(B105,PERUMAHAN!$A:$B,2,FALSE),"ID tidak ditemukan"))</x:f>
      </x:c>
      <x:c r="D105" s="250"/>
      <x:c r="E105" s="250"/>
      <x:c r="F105" s="250"/>
      <x:c r="G105" s="252"/>
      <x:c r="H105" s="252"/>
      <x:c r="I105" s="250"/>
      <x:c r="J105" s="250"/>
      <x:c r="K105" s="250"/>
      <x:c r="L105" s="250"/>
      <x:c r="M105" s="252"/>
      <x:c r="N105" s="252"/>
      <x:c r="O105" s="251"/>
      <x:c r="P105" s="250"/>
      <x:c r="Q105" s="250"/>
      <x:c r="R105" s="250"/>
      <x:c r="S105" s="253"/>
      <x:c r="T105" s="250"/>
      <x:c r="U105"/>
      <x:c r="AA105"/>
      <x:c r="AB105"/>
      <x:c r="AC105"/>
      <x:c r="AD105"/>
      <x:c r="AE105"/>
      <x:c r="AF105"/>
      <x:c r="AG105"/>
      <x:c r="AH105"/>
      <x:c r="AI105"/>
      <x:c r="AJ105"/>
      <x:c r="AK105"/>
      <x:c r="AL105"/>
      <x:c r="AM105"/>
      <x:c r="AN105"/>
      <x:c r="AO105"/>
      <x:c r="AP105"/>
      <x:c r="AQ105"/>
      <x:c r="AR105"/>
    </x:row>
    <x:row r="106" s="248" customFormat="1">
      <x:c r="A106" s="250"/>
      <x:c r="B106" s="250"/>
      <x:c r="C106" s="566" t="str">
        <x:f>IF(B106="","",IFERROR(VLOOKUP(B106,PERUMAHAN!$A:$B,2,FALSE),"ID tidak ditemukan"))</x:f>
      </x:c>
      <x:c r="D106" s="250"/>
      <x:c r="E106" s="250"/>
      <x:c r="F106" s="250"/>
      <x:c r="G106" s="252"/>
      <x:c r="H106" s="252"/>
      <x:c r="I106" s="250"/>
      <x:c r="J106" s="250"/>
      <x:c r="K106" s="250"/>
      <x:c r="L106" s="250"/>
      <x:c r="M106" s="252"/>
      <x:c r="N106" s="252"/>
      <x:c r="O106" s="251"/>
      <x:c r="P106" s="250"/>
      <x:c r="Q106" s="250"/>
      <x:c r="R106" s="250"/>
      <x:c r="S106" s="253"/>
      <x:c r="T106" s="250"/>
      <x:c r="U106"/>
      <x:c r="AA106"/>
      <x:c r="AB106"/>
      <x:c r="AC106"/>
      <x:c r="AD106"/>
      <x:c r="AE106"/>
      <x:c r="AF106"/>
      <x:c r="AG106"/>
      <x:c r="AH106"/>
      <x:c r="AI106"/>
      <x:c r="AJ106"/>
      <x:c r="AK106"/>
      <x:c r="AL106"/>
      <x:c r="AM106"/>
      <x:c r="AN106"/>
      <x:c r="AO106"/>
      <x:c r="AP106"/>
      <x:c r="AQ106"/>
      <x:c r="AR106"/>
    </x:row>
    <x:row r="107" s="248" customFormat="1">
      <x:c r="A107" s="250"/>
      <x:c r="B107" s="250"/>
      <x:c r="C107" s="566" t="str">
        <x:f>IF(B107="","",IFERROR(VLOOKUP(B107,PERUMAHAN!$A:$B,2,FALSE),"ID tidak ditemukan"))</x:f>
      </x:c>
      <x:c r="D107" s="250"/>
      <x:c r="E107" s="250"/>
      <x:c r="F107" s="250"/>
      <x:c r="G107" s="252"/>
      <x:c r="H107" s="252"/>
      <x:c r="I107" s="250"/>
      <x:c r="J107" s="250"/>
      <x:c r="K107" s="250"/>
      <x:c r="L107" s="250"/>
      <x:c r="M107" s="252"/>
      <x:c r="N107" s="252"/>
      <x:c r="O107" s="251"/>
      <x:c r="P107" s="250"/>
      <x:c r="Q107" s="250"/>
      <x:c r="R107" s="250"/>
      <x:c r="S107" s="253"/>
      <x:c r="T107" s="250"/>
      <x:c r="U107"/>
      <x:c r="AA107"/>
      <x:c r="AB107"/>
      <x:c r="AC107"/>
      <x:c r="AD107"/>
      <x:c r="AE107"/>
      <x:c r="AF107"/>
      <x:c r="AG107"/>
      <x:c r="AH107"/>
      <x:c r="AI107"/>
      <x:c r="AJ107"/>
      <x:c r="AK107"/>
      <x:c r="AL107"/>
      <x:c r="AM107"/>
      <x:c r="AN107"/>
      <x:c r="AO107"/>
      <x:c r="AP107"/>
      <x:c r="AQ107"/>
      <x:c r="AR107"/>
    </x:row>
    <x:row r="108" s="248" customFormat="1">
      <x:c r="A108" s="250"/>
      <x:c r="B108" s="250"/>
      <x:c r="C108" s="566" t="str">
        <x:f>IF(B108="","",IFERROR(VLOOKUP(B108,PERUMAHAN!$A:$B,2,FALSE),"ID tidak ditemukan"))</x:f>
      </x:c>
      <x:c r="D108" s="250"/>
      <x:c r="E108" s="250"/>
      <x:c r="F108" s="250"/>
      <x:c r="G108" s="252"/>
      <x:c r="H108" s="252"/>
      <x:c r="I108" s="250"/>
      <x:c r="J108" s="250"/>
      <x:c r="K108" s="250"/>
      <x:c r="L108" s="250"/>
      <x:c r="M108" s="252"/>
      <x:c r="N108" s="252"/>
      <x:c r="O108" s="251"/>
      <x:c r="P108" s="250"/>
      <x:c r="Q108" s="250"/>
      <x:c r="R108" s="250"/>
      <x:c r="S108" s="253"/>
      <x:c r="T108" s="250"/>
      <x:c r="U108"/>
      <x:c r="AA108"/>
      <x:c r="AB108"/>
      <x:c r="AC108"/>
      <x:c r="AD108"/>
      <x:c r="AE108"/>
      <x:c r="AF108"/>
      <x:c r="AG108"/>
      <x:c r="AH108"/>
      <x:c r="AI108"/>
      <x:c r="AJ108"/>
      <x:c r="AK108"/>
      <x:c r="AL108"/>
      <x:c r="AM108"/>
      <x:c r="AN108"/>
      <x:c r="AO108"/>
      <x:c r="AP108"/>
      <x:c r="AQ108"/>
      <x:c r="AR108"/>
    </x:row>
    <x:row r="109" s="248" customFormat="1">
      <x:c r="A109" s="250"/>
      <x:c r="B109" s="250"/>
      <x:c r="C109" s="566" t="str">
        <x:f>IF(B109="","",IFERROR(VLOOKUP(B109,PERUMAHAN!$A:$B,2,FALSE),"ID tidak ditemukan"))</x:f>
      </x:c>
      <x:c r="D109" s="250"/>
      <x:c r="E109" s="250"/>
      <x:c r="F109" s="250"/>
      <x:c r="G109" s="252"/>
      <x:c r="H109" s="252"/>
      <x:c r="I109" s="250"/>
      <x:c r="J109" s="250"/>
      <x:c r="K109" s="250"/>
      <x:c r="L109" s="250"/>
      <x:c r="M109" s="252"/>
      <x:c r="N109" s="252"/>
      <x:c r="O109" s="251"/>
      <x:c r="P109" s="250"/>
      <x:c r="Q109" s="250"/>
      <x:c r="R109" s="250"/>
      <x:c r="S109" s="253"/>
      <x:c r="T109" s="250"/>
      <x:c r="U109"/>
      <x:c r="AA109"/>
      <x:c r="AB109"/>
      <x:c r="AC109"/>
      <x:c r="AD109"/>
      <x:c r="AE109"/>
      <x:c r="AF109"/>
      <x:c r="AG109"/>
      <x:c r="AH109"/>
      <x:c r="AI109"/>
      <x:c r="AJ109"/>
      <x:c r="AK109"/>
      <x:c r="AL109"/>
      <x:c r="AM109"/>
      <x:c r="AN109"/>
      <x:c r="AO109"/>
      <x:c r="AP109"/>
      <x:c r="AQ109"/>
      <x:c r="AR109"/>
    </x:row>
    <x:row r="110" s="248" customFormat="1">
      <x:c r="A110" s="250"/>
      <x:c r="B110" s="250"/>
      <x:c r="C110" s="566" t="str">
        <x:f>IF(B110="","",IFERROR(VLOOKUP(B110,PERUMAHAN!$A:$B,2,FALSE),"ID tidak ditemukan"))</x:f>
      </x:c>
      <x:c r="D110" s="250"/>
      <x:c r="E110" s="250"/>
      <x:c r="F110" s="250"/>
      <x:c r="G110" s="252"/>
      <x:c r="H110" s="252"/>
      <x:c r="I110" s="250"/>
      <x:c r="J110" s="250"/>
      <x:c r="K110" s="250"/>
      <x:c r="L110" s="250"/>
      <x:c r="M110" s="252"/>
      <x:c r="N110" s="252"/>
      <x:c r="O110" s="251"/>
      <x:c r="P110" s="250"/>
      <x:c r="Q110" s="250"/>
      <x:c r="R110" s="250"/>
      <x:c r="S110" s="253"/>
      <x:c r="T110" s="250"/>
      <x:c r="U110"/>
      <x:c r="AA110"/>
      <x:c r="AB110"/>
      <x:c r="AC110"/>
      <x:c r="AD110"/>
      <x:c r="AE110"/>
      <x:c r="AF110"/>
      <x:c r="AG110"/>
      <x:c r="AH110"/>
      <x:c r="AI110"/>
      <x:c r="AJ110"/>
      <x:c r="AK110"/>
      <x:c r="AL110"/>
      <x:c r="AM110"/>
      <x:c r="AN110"/>
      <x:c r="AO110"/>
      <x:c r="AP110"/>
      <x:c r="AQ110"/>
      <x:c r="AR110"/>
    </x:row>
    <x:row r="111" s="248" customFormat="1">
      <x:c r="A111" s="250"/>
      <x:c r="B111" s="250"/>
      <x:c r="C111" s="566" t="str">
        <x:f>IF(B111="","",IFERROR(VLOOKUP(B111,PERUMAHAN!$A:$B,2,FALSE),"ID tidak ditemukan"))</x:f>
      </x:c>
      <x:c r="D111" s="250"/>
      <x:c r="E111" s="250"/>
      <x:c r="F111" s="250"/>
      <x:c r="G111" s="252"/>
      <x:c r="H111" s="252"/>
      <x:c r="I111" s="250"/>
      <x:c r="J111" s="250"/>
      <x:c r="K111" s="250"/>
      <x:c r="L111" s="250"/>
      <x:c r="M111" s="252"/>
      <x:c r="N111" s="252"/>
      <x:c r="O111" s="251"/>
      <x:c r="P111" s="250"/>
      <x:c r="Q111" s="250"/>
      <x:c r="R111" s="250"/>
      <x:c r="S111" s="253"/>
      <x:c r="T111" s="250"/>
      <x:c r="U111"/>
      <x:c r="AA111"/>
      <x:c r="AB111"/>
      <x:c r="AC111"/>
      <x:c r="AD111"/>
      <x:c r="AE111"/>
      <x:c r="AF111"/>
      <x:c r="AG111"/>
      <x:c r="AH111"/>
      <x:c r="AI111"/>
      <x:c r="AJ111"/>
      <x:c r="AK111"/>
      <x:c r="AL111"/>
      <x:c r="AM111"/>
      <x:c r="AN111"/>
      <x:c r="AO111"/>
      <x:c r="AP111"/>
      <x:c r="AQ111"/>
      <x:c r="AR111"/>
    </x:row>
    <x:row r="112" s="248" customFormat="1">
      <x:c r="A112" s="250"/>
      <x:c r="B112" s="250"/>
      <x:c r="C112" s="566" t="str">
        <x:f>IF(B112="","",IFERROR(VLOOKUP(B112,PERUMAHAN!$A:$B,2,FALSE),"ID tidak ditemukan"))</x:f>
      </x:c>
      <x:c r="D112" s="250"/>
      <x:c r="E112" s="250"/>
      <x:c r="F112" s="250"/>
      <x:c r="G112" s="252"/>
      <x:c r="H112" s="252"/>
      <x:c r="I112" s="250"/>
      <x:c r="J112" s="250"/>
      <x:c r="K112" s="250"/>
      <x:c r="L112" s="250"/>
      <x:c r="M112" s="252"/>
      <x:c r="N112" s="252"/>
      <x:c r="O112" s="251"/>
      <x:c r="P112" s="250"/>
      <x:c r="Q112" s="250"/>
      <x:c r="R112" s="250"/>
      <x:c r="S112" s="253"/>
      <x:c r="T112" s="250"/>
      <x:c r="U112"/>
      <x:c r="AA112"/>
      <x:c r="AB112"/>
      <x:c r="AC112"/>
      <x:c r="AD112"/>
      <x:c r="AE112"/>
      <x:c r="AF112"/>
      <x:c r="AG112"/>
      <x:c r="AH112"/>
      <x:c r="AI112"/>
      <x:c r="AJ112"/>
      <x:c r="AK112"/>
      <x:c r="AL112"/>
      <x:c r="AM112"/>
      <x:c r="AN112"/>
      <x:c r="AO112"/>
      <x:c r="AP112"/>
      <x:c r="AQ112"/>
      <x:c r="AR112"/>
    </x:row>
    <x:row r="113" s="248" customFormat="1">
      <x:c r="A113" s="250"/>
      <x:c r="B113" s="250"/>
      <x:c r="C113" s="566" t="str">
        <x:f>IF(B113="","",IFERROR(VLOOKUP(B113,PERUMAHAN!$A:$B,2,FALSE),"ID tidak ditemukan"))</x:f>
      </x:c>
      <x:c r="D113" s="250"/>
      <x:c r="E113" s="250"/>
      <x:c r="F113" s="250"/>
      <x:c r="G113" s="252"/>
      <x:c r="H113" s="252"/>
      <x:c r="I113" s="250"/>
      <x:c r="J113" s="250"/>
      <x:c r="K113" s="250"/>
      <x:c r="L113" s="250"/>
      <x:c r="M113" s="252"/>
      <x:c r="N113" s="252"/>
      <x:c r="O113" s="251"/>
      <x:c r="P113" s="250"/>
      <x:c r="Q113" s="250"/>
      <x:c r="R113" s="250"/>
      <x:c r="S113" s="253"/>
      <x:c r="T113" s="250"/>
      <x:c r="U113"/>
      <x:c r="AA113"/>
      <x:c r="AB113"/>
      <x:c r="AC113"/>
      <x:c r="AD113"/>
      <x:c r="AE113"/>
      <x:c r="AF113"/>
      <x:c r="AG113"/>
      <x:c r="AH113"/>
      <x:c r="AI113"/>
      <x:c r="AJ113"/>
      <x:c r="AK113"/>
      <x:c r="AL113"/>
      <x:c r="AM113"/>
      <x:c r="AN113"/>
      <x:c r="AO113"/>
      <x:c r="AP113"/>
      <x:c r="AQ113"/>
      <x:c r="AR113"/>
    </x:row>
    <x:row r="114" s="248" customFormat="1">
      <x:c r="A114" s="250"/>
      <x:c r="B114" s="250"/>
      <x:c r="C114" s="566" t="str">
        <x:f>IF(B114="","",IFERROR(VLOOKUP(B114,PERUMAHAN!$A:$B,2,FALSE),"ID tidak ditemukan"))</x:f>
      </x:c>
      <x:c r="D114" s="250"/>
      <x:c r="E114" s="250"/>
      <x:c r="F114" s="250"/>
      <x:c r="G114" s="252"/>
      <x:c r="H114" s="252"/>
      <x:c r="I114" s="250"/>
      <x:c r="J114" s="250"/>
      <x:c r="K114" s="250"/>
      <x:c r="L114" s="250"/>
      <x:c r="M114" s="252"/>
      <x:c r="N114" s="252"/>
      <x:c r="O114" s="251"/>
      <x:c r="P114" s="250"/>
      <x:c r="Q114" s="250"/>
      <x:c r="R114" s="250"/>
      <x:c r="S114" s="253"/>
      <x:c r="T114" s="250"/>
      <x:c r="U114"/>
      <x:c r="AA114"/>
      <x:c r="AB114"/>
      <x:c r="AC114"/>
      <x:c r="AD114"/>
      <x:c r="AE114"/>
      <x:c r="AF114"/>
      <x:c r="AG114"/>
      <x:c r="AH114"/>
      <x:c r="AI114"/>
      <x:c r="AJ114"/>
      <x:c r="AK114"/>
      <x:c r="AL114"/>
      <x:c r="AM114"/>
      <x:c r="AN114"/>
      <x:c r="AO114"/>
      <x:c r="AP114"/>
      <x:c r="AQ114"/>
      <x:c r="AR114"/>
    </x:row>
    <x:row r="115" s="248" customFormat="1">
      <x:c r="A115" s="250"/>
      <x:c r="B115" s="250"/>
      <x:c r="C115" s="566" t="str">
        <x:f>IF(B115="","",IFERROR(VLOOKUP(B115,PERUMAHAN!$A:$B,2,FALSE),"ID tidak ditemukan"))</x:f>
      </x:c>
      <x:c r="D115" s="250"/>
      <x:c r="E115" s="250"/>
      <x:c r="F115" s="250"/>
      <x:c r="G115" s="252"/>
      <x:c r="H115" s="252"/>
      <x:c r="I115" s="250"/>
      <x:c r="J115" s="250"/>
      <x:c r="K115" s="250"/>
      <x:c r="L115" s="250"/>
      <x:c r="M115" s="252"/>
      <x:c r="N115" s="252"/>
      <x:c r="O115" s="251"/>
      <x:c r="P115" s="250"/>
      <x:c r="Q115" s="250"/>
      <x:c r="R115" s="250"/>
      <x:c r="S115" s="253"/>
      <x:c r="T115" s="250"/>
      <x:c r="U115"/>
      <x:c r="AA115"/>
      <x:c r="AB115"/>
      <x:c r="AC115"/>
      <x:c r="AD115"/>
      <x:c r="AE115"/>
      <x:c r="AF115"/>
      <x:c r="AG115"/>
      <x:c r="AH115"/>
      <x:c r="AI115"/>
      <x:c r="AJ115"/>
      <x:c r="AK115"/>
      <x:c r="AL115"/>
      <x:c r="AM115"/>
      <x:c r="AN115"/>
      <x:c r="AO115"/>
      <x:c r="AP115"/>
      <x:c r="AQ115"/>
      <x:c r="AR115"/>
    </x:row>
    <x:row r="116" s="248" customFormat="1">
      <x:c r="A116" s="250"/>
      <x:c r="B116" s="250"/>
      <x:c r="C116" s="566" t="str">
        <x:f>IF(B116="","",IFERROR(VLOOKUP(B116,PERUMAHAN!$A:$B,2,FALSE),"ID tidak ditemukan"))</x:f>
      </x:c>
      <x:c r="D116" s="250"/>
      <x:c r="E116" s="250"/>
      <x:c r="F116" s="250"/>
      <x:c r="G116" s="252"/>
      <x:c r="H116" s="252"/>
      <x:c r="I116" s="250"/>
      <x:c r="J116" s="250"/>
      <x:c r="K116" s="250"/>
      <x:c r="L116" s="250"/>
      <x:c r="M116" s="252"/>
      <x:c r="N116" s="252"/>
      <x:c r="O116" s="251"/>
      <x:c r="P116" s="250"/>
      <x:c r="Q116" s="250"/>
      <x:c r="R116" s="250"/>
      <x:c r="S116" s="253"/>
      <x:c r="T116" s="250"/>
      <x:c r="U116"/>
      <x:c r="AA116"/>
      <x:c r="AB116"/>
      <x:c r="AC116"/>
      <x:c r="AD116"/>
      <x:c r="AE116"/>
      <x:c r="AF116"/>
      <x:c r="AG116"/>
      <x:c r="AH116"/>
      <x:c r="AI116"/>
      <x:c r="AJ116"/>
      <x:c r="AK116"/>
      <x:c r="AL116"/>
      <x:c r="AM116"/>
      <x:c r="AN116"/>
      <x:c r="AO116"/>
      <x:c r="AP116"/>
      <x:c r="AQ116"/>
      <x:c r="AR116"/>
    </x:row>
    <x:row r="117" s="248" customFormat="1">
      <x:c r="A117" s="250"/>
      <x:c r="B117" s="250"/>
      <x:c r="C117" s="566" t="str">
        <x:f>IF(B117="","",IFERROR(VLOOKUP(B117,PERUMAHAN!$A:$B,2,FALSE),"ID tidak ditemukan"))</x:f>
      </x:c>
      <x:c r="D117" s="250"/>
      <x:c r="E117" s="250"/>
      <x:c r="F117" s="250"/>
      <x:c r="G117" s="252"/>
      <x:c r="H117" s="252"/>
      <x:c r="I117" s="250"/>
      <x:c r="J117" s="250"/>
      <x:c r="K117" s="250"/>
      <x:c r="L117" s="250"/>
      <x:c r="M117" s="252"/>
      <x:c r="N117" s="252"/>
      <x:c r="O117" s="251"/>
      <x:c r="P117" s="250"/>
      <x:c r="Q117" s="250"/>
      <x:c r="R117" s="250"/>
      <x:c r="S117" s="253"/>
      <x:c r="T117" s="250"/>
      <x:c r="U117"/>
      <x:c r="AA117"/>
      <x:c r="AB117"/>
      <x:c r="AC117"/>
      <x:c r="AD117"/>
      <x:c r="AE117"/>
      <x:c r="AF117"/>
      <x:c r="AG117"/>
      <x:c r="AH117"/>
      <x:c r="AI117"/>
      <x:c r="AJ117"/>
      <x:c r="AK117"/>
      <x:c r="AL117"/>
      <x:c r="AM117"/>
      <x:c r="AN117"/>
      <x:c r="AO117"/>
      <x:c r="AP117"/>
      <x:c r="AQ117"/>
      <x:c r="AR117"/>
    </x:row>
    <x:row r="118" s="248" customFormat="1">
      <x:c r="A118" s="250"/>
      <x:c r="B118" s="250"/>
      <x:c r="C118" s="566" t="str">
        <x:f>IF(B118="","",IFERROR(VLOOKUP(B118,PERUMAHAN!$A:$B,2,FALSE),"ID tidak ditemukan"))</x:f>
      </x:c>
      <x:c r="D118" s="250"/>
      <x:c r="E118" s="250"/>
      <x:c r="F118" s="250"/>
      <x:c r="G118" s="252"/>
      <x:c r="H118" s="252"/>
      <x:c r="I118" s="250"/>
      <x:c r="J118" s="250"/>
      <x:c r="K118" s="250"/>
      <x:c r="L118" s="250"/>
      <x:c r="M118" s="252"/>
      <x:c r="N118" s="252"/>
      <x:c r="O118" s="251"/>
      <x:c r="P118" s="250"/>
      <x:c r="Q118" s="250"/>
      <x:c r="R118" s="250"/>
      <x:c r="S118" s="253"/>
      <x:c r="T118" s="250"/>
      <x:c r="U118"/>
      <x:c r="AA118"/>
      <x:c r="AB118"/>
      <x:c r="AC118"/>
      <x:c r="AD118"/>
      <x:c r="AE118"/>
      <x:c r="AF118"/>
      <x:c r="AG118"/>
      <x:c r="AH118"/>
      <x:c r="AI118"/>
      <x:c r="AJ118"/>
      <x:c r="AK118"/>
      <x:c r="AL118"/>
      <x:c r="AM118"/>
      <x:c r="AN118"/>
      <x:c r="AO118"/>
      <x:c r="AP118"/>
      <x:c r="AQ118"/>
      <x:c r="AR118"/>
    </x:row>
    <x:row r="119" s="248" customFormat="1">
      <x:c r="A119" s="250"/>
      <x:c r="B119" s="250"/>
      <x:c r="C119" s="566" t="str">
        <x:f>IF(B119="","",IFERROR(VLOOKUP(B119,PERUMAHAN!$A:$B,2,FALSE),"ID tidak ditemukan"))</x:f>
      </x:c>
      <x:c r="D119" s="250"/>
      <x:c r="E119" s="250"/>
      <x:c r="F119" s="250"/>
      <x:c r="G119" s="252"/>
      <x:c r="H119" s="252"/>
      <x:c r="I119" s="250"/>
      <x:c r="J119" s="250"/>
      <x:c r="K119" s="250"/>
      <x:c r="L119" s="250"/>
      <x:c r="M119" s="252"/>
      <x:c r="N119" s="252"/>
      <x:c r="O119" s="251"/>
      <x:c r="P119" s="250"/>
      <x:c r="Q119" s="250"/>
      <x:c r="R119" s="250"/>
      <x:c r="S119" s="253"/>
      <x:c r="T119" s="250"/>
      <x:c r="U119"/>
      <x:c r="AA119"/>
      <x:c r="AB119"/>
      <x:c r="AC119"/>
      <x:c r="AD119"/>
      <x:c r="AE119"/>
      <x:c r="AF119"/>
      <x:c r="AG119"/>
      <x:c r="AH119"/>
      <x:c r="AI119"/>
      <x:c r="AJ119"/>
      <x:c r="AK119"/>
      <x:c r="AL119"/>
      <x:c r="AM119"/>
      <x:c r="AN119"/>
      <x:c r="AO119"/>
      <x:c r="AP119"/>
      <x:c r="AQ119"/>
      <x:c r="AR119"/>
    </x:row>
    <x:row r="120" s="248" customFormat="1">
      <x:c r="A120" s="250"/>
      <x:c r="B120" s="250"/>
      <x:c r="C120" s="566" t="str">
        <x:f>IF(B120="","",IFERROR(VLOOKUP(B120,PERUMAHAN!$A:$B,2,FALSE),"ID tidak ditemukan"))</x:f>
      </x:c>
      <x:c r="D120" s="250"/>
      <x:c r="E120" s="250"/>
      <x:c r="F120" s="250"/>
      <x:c r="G120" s="252"/>
      <x:c r="H120" s="252"/>
      <x:c r="I120" s="250"/>
      <x:c r="J120" s="250"/>
      <x:c r="K120" s="250"/>
      <x:c r="L120" s="250"/>
      <x:c r="M120" s="252"/>
      <x:c r="N120" s="252"/>
      <x:c r="O120" s="251"/>
      <x:c r="P120" s="250"/>
      <x:c r="Q120" s="250"/>
      <x:c r="R120" s="250"/>
      <x:c r="S120" s="253"/>
      <x:c r="T120" s="250"/>
      <x:c r="U120"/>
      <x:c r="AA120"/>
      <x:c r="AB120"/>
      <x:c r="AC120"/>
      <x:c r="AD120"/>
      <x:c r="AE120"/>
      <x:c r="AF120"/>
      <x:c r="AG120"/>
      <x:c r="AH120"/>
      <x:c r="AI120"/>
      <x:c r="AJ120"/>
      <x:c r="AK120"/>
      <x:c r="AL120"/>
      <x:c r="AM120"/>
      <x:c r="AN120"/>
      <x:c r="AO120"/>
      <x:c r="AP120"/>
      <x:c r="AQ120"/>
      <x:c r="AR120"/>
    </x:row>
    <x:row r="121" s="248" customFormat="1">
      <x:c r="A121" s="250"/>
      <x:c r="B121" s="250"/>
      <x:c r="C121" s="566" t="str">
        <x:f>IF(B121="","",IFERROR(VLOOKUP(B121,PERUMAHAN!$A:$B,2,FALSE),"ID tidak ditemukan"))</x:f>
      </x:c>
      <x:c r="D121" s="250"/>
      <x:c r="E121" s="250"/>
      <x:c r="F121" s="250"/>
      <x:c r="G121" s="252"/>
      <x:c r="H121" s="252"/>
      <x:c r="I121" s="250"/>
      <x:c r="J121" s="250"/>
      <x:c r="K121" s="250"/>
      <x:c r="L121" s="250"/>
      <x:c r="M121" s="252"/>
      <x:c r="N121" s="252"/>
      <x:c r="O121" s="251"/>
      <x:c r="P121" s="250"/>
      <x:c r="Q121" s="250"/>
      <x:c r="R121" s="250"/>
      <x:c r="S121" s="253"/>
      <x:c r="T121" s="250"/>
      <x:c r="U121"/>
      <x:c r="AA121"/>
      <x:c r="AB121"/>
      <x:c r="AC121"/>
      <x:c r="AD121"/>
      <x:c r="AE121"/>
      <x:c r="AF121"/>
      <x:c r="AG121"/>
      <x:c r="AH121"/>
      <x:c r="AI121"/>
      <x:c r="AJ121"/>
      <x:c r="AK121"/>
      <x:c r="AL121"/>
      <x:c r="AM121"/>
      <x:c r="AN121"/>
      <x:c r="AO121"/>
      <x:c r="AP121"/>
      <x:c r="AQ121"/>
      <x:c r="AR121"/>
    </x:row>
    <x:row r="122" s="248" customFormat="1">
      <x:c r="A122" s="250"/>
      <x:c r="B122" s="250"/>
      <x:c r="C122" s="566" t="str">
        <x:f>IF(B122="","",IFERROR(VLOOKUP(B122,PERUMAHAN!$A:$B,2,FALSE),"ID tidak ditemukan"))</x:f>
      </x:c>
      <x:c r="D122" s="250"/>
      <x:c r="E122" s="250"/>
      <x:c r="F122" s="250"/>
      <x:c r="G122" s="252"/>
      <x:c r="H122" s="252"/>
      <x:c r="I122" s="250"/>
      <x:c r="J122" s="250"/>
      <x:c r="K122" s="250"/>
      <x:c r="L122" s="250"/>
      <x:c r="M122" s="252"/>
      <x:c r="N122" s="252"/>
      <x:c r="O122" s="251"/>
      <x:c r="P122" s="250"/>
      <x:c r="Q122" s="250"/>
      <x:c r="R122" s="250"/>
      <x:c r="S122" s="253"/>
      <x:c r="T122" s="250"/>
      <x:c r="U122"/>
      <x:c r="AA122"/>
      <x:c r="AB122"/>
      <x:c r="AC122"/>
      <x:c r="AD122"/>
      <x:c r="AE122"/>
      <x:c r="AF122"/>
      <x:c r="AG122"/>
      <x:c r="AH122"/>
      <x:c r="AI122"/>
      <x:c r="AJ122"/>
      <x:c r="AK122"/>
      <x:c r="AL122"/>
      <x:c r="AM122"/>
      <x:c r="AN122"/>
      <x:c r="AO122"/>
      <x:c r="AP122"/>
      <x:c r="AQ122"/>
      <x:c r="AR122"/>
    </x:row>
    <x:row r="123" s="248" customFormat="1">
      <x:c r="A123" s="250"/>
      <x:c r="B123" s="250"/>
      <x:c r="C123" s="566" t="str">
        <x:f>IF(B123="","",IFERROR(VLOOKUP(B123,PERUMAHAN!$A:$B,2,FALSE),"ID tidak ditemukan"))</x:f>
      </x:c>
      <x:c r="D123" s="250"/>
      <x:c r="E123" s="250"/>
      <x:c r="F123" s="250"/>
      <x:c r="G123" s="252"/>
      <x:c r="H123" s="252"/>
      <x:c r="I123" s="250"/>
      <x:c r="J123" s="250"/>
      <x:c r="K123" s="250"/>
      <x:c r="L123" s="250"/>
      <x:c r="M123" s="252"/>
      <x:c r="N123" s="252"/>
      <x:c r="O123" s="251"/>
      <x:c r="P123" s="250"/>
      <x:c r="Q123" s="250"/>
      <x:c r="R123" s="250"/>
      <x:c r="S123" s="253"/>
      <x:c r="T123" s="250"/>
      <x:c r="U123"/>
      <x:c r="AA123"/>
      <x:c r="AB123"/>
      <x:c r="AC123"/>
      <x:c r="AD123"/>
      <x:c r="AE123"/>
      <x:c r="AF123"/>
      <x:c r="AG123"/>
      <x:c r="AH123"/>
      <x:c r="AI123"/>
      <x:c r="AJ123"/>
      <x:c r="AK123"/>
      <x:c r="AL123"/>
      <x:c r="AM123"/>
      <x:c r="AN123"/>
      <x:c r="AO123"/>
      <x:c r="AP123"/>
      <x:c r="AQ123"/>
      <x:c r="AR123"/>
    </x:row>
    <x:row r="124" s="248" customFormat="1">
      <x:c r="A124" s="250"/>
      <x:c r="B124" s="250"/>
      <x:c r="C124" s="566" t="str">
        <x:f>IF(B124="","",IFERROR(VLOOKUP(B124,PERUMAHAN!$A:$B,2,FALSE),"ID tidak ditemukan"))</x:f>
      </x:c>
      <x:c r="D124" s="250"/>
      <x:c r="E124" s="250"/>
      <x:c r="F124" s="250"/>
      <x:c r="G124" s="252"/>
      <x:c r="H124" s="252"/>
      <x:c r="I124" s="250"/>
      <x:c r="J124" s="250"/>
      <x:c r="K124" s="250"/>
      <x:c r="L124" s="250"/>
      <x:c r="M124" s="252"/>
      <x:c r="N124" s="252"/>
      <x:c r="O124" s="251"/>
      <x:c r="P124" s="250"/>
      <x:c r="Q124" s="250"/>
      <x:c r="R124" s="250"/>
      <x:c r="S124" s="253"/>
      <x:c r="T124" s="250"/>
      <x:c r="U124"/>
      <x:c r="AA124"/>
      <x:c r="AB124"/>
      <x:c r="AC124"/>
      <x:c r="AD124"/>
      <x:c r="AE124"/>
      <x:c r="AF124"/>
      <x:c r="AG124"/>
      <x:c r="AH124"/>
      <x:c r="AI124"/>
      <x:c r="AJ124"/>
      <x:c r="AK124"/>
      <x:c r="AL124"/>
      <x:c r="AM124"/>
      <x:c r="AN124"/>
      <x:c r="AO124"/>
      <x:c r="AP124"/>
      <x:c r="AQ124"/>
      <x:c r="AR124"/>
    </x:row>
    <x:row r="125" s="248" customFormat="1">
      <x:c r="A125" s="250"/>
      <x:c r="B125" s="250"/>
      <x:c r="C125" s="566" t="str">
        <x:f>IF(B125="","",IFERROR(VLOOKUP(B125,PERUMAHAN!$A:$B,2,FALSE),"ID tidak ditemukan"))</x:f>
      </x:c>
      <x:c r="D125" s="250"/>
      <x:c r="E125" s="250"/>
      <x:c r="F125" s="250"/>
      <x:c r="G125" s="252"/>
      <x:c r="H125" s="252"/>
      <x:c r="I125" s="250"/>
      <x:c r="J125" s="250"/>
      <x:c r="K125" s="250"/>
      <x:c r="L125" s="250"/>
      <x:c r="M125" s="252"/>
      <x:c r="N125" s="252"/>
      <x:c r="O125" s="251"/>
      <x:c r="P125" s="250"/>
      <x:c r="Q125" s="250"/>
      <x:c r="R125" s="250"/>
      <x:c r="S125" s="253"/>
      <x:c r="T125" s="250"/>
      <x:c r="U125"/>
      <x:c r="AA125"/>
      <x:c r="AB125"/>
      <x:c r="AC125"/>
      <x:c r="AD125"/>
      <x:c r="AE125"/>
      <x:c r="AF125"/>
      <x:c r="AG125"/>
      <x:c r="AH125"/>
      <x:c r="AI125"/>
      <x:c r="AJ125"/>
      <x:c r="AK125"/>
      <x:c r="AL125"/>
      <x:c r="AM125"/>
      <x:c r="AN125"/>
      <x:c r="AO125"/>
      <x:c r="AP125"/>
      <x:c r="AQ125"/>
      <x:c r="AR125"/>
    </x:row>
    <x:row r="126" s="248" customFormat="1">
      <x:c r="A126" s="250"/>
      <x:c r="B126" s="250"/>
      <x:c r="C126" s="566" t="str">
        <x:f>IF(B126="","",IFERROR(VLOOKUP(B126,PERUMAHAN!$A:$B,2,FALSE),"ID tidak ditemukan"))</x:f>
      </x:c>
      <x:c r="D126" s="250"/>
      <x:c r="E126" s="250"/>
      <x:c r="F126" s="250"/>
      <x:c r="G126" s="252"/>
      <x:c r="H126" s="252"/>
      <x:c r="I126" s="250"/>
      <x:c r="J126" s="250"/>
      <x:c r="K126" s="250"/>
      <x:c r="L126" s="250"/>
      <x:c r="M126" s="252"/>
      <x:c r="N126" s="252"/>
      <x:c r="O126" s="251"/>
      <x:c r="P126" s="250"/>
      <x:c r="Q126" s="250"/>
      <x:c r="R126" s="250"/>
      <x:c r="S126" s="253"/>
      <x:c r="T126" s="250"/>
      <x:c r="U126"/>
      <x:c r="AA126"/>
      <x:c r="AB126"/>
      <x:c r="AC126"/>
      <x:c r="AD126"/>
      <x:c r="AE126"/>
      <x:c r="AF126"/>
      <x:c r="AG126"/>
      <x:c r="AH126"/>
      <x:c r="AI126"/>
      <x:c r="AJ126"/>
      <x:c r="AK126"/>
      <x:c r="AL126"/>
      <x:c r="AM126"/>
      <x:c r="AN126"/>
      <x:c r="AO126"/>
      <x:c r="AP126"/>
      <x:c r="AQ126"/>
      <x:c r="AR126"/>
    </x:row>
    <x:row r="127" s="248" customFormat="1">
      <x:c r="A127" s="250"/>
      <x:c r="B127" s="250"/>
      <x:c r="C127" s="566" t="str">
        <x:f>IF(B127="","",IFERROR(VLOOKUP(B127,PERUMAHAN!$A:$B,2,FALSE),"ID tidak ditemukan"))</x:f>
      </x:c>
      <x:c r="D127" s="250"/>
      <x:c r="E127" s="250"/>
      <x:c r="F127" s="250"/>
      <x:c r="G127" s="252"/>
      <x:c r="H127" s="252"/>
      <x:c r="I127" s="250"/>
      <x:c r="J127" s="250"/>
      <x:c r="K127" s="250"/>
      <x:c r="L127" s="250"/>
      <x:c r="M127" s="252"/>
      <x:c r="N127" s="252"/>
      <x:c r="O127" s="251"/>
      <x:c r="P127" s="250"/>
      <x:c r="Q127" s="250"/>
      <x:c r="R127" s="250"/>
      <x:c r="S127" s="253"/>
      <x:c r="T127" s="250"/>
      <x:c r="U127"/>
      <x:c r="AA127"/>
      <x:c r="AB127"/>
      <x:c r="AC127"/>
      <x:c r="AD127"/>
      <x:c r="AE127"/>
      <x:c r="AF127"/>
      <x:c r="AG127"/>
      <x:c r="AH127"/>
      <x:c r="AI127"/>
      <x:c r="AJ127"/>
      <x:c r="AK127"/>
      <x:c r="AL127"/>
      <x:c r="AM127"/>
      <x:c r="AN127"/>
      <x:c r="AO127"/>
      <x:c r="AP127"/>
      <x:c r="AQ127"/>
      <x:c r="AR127"/>
    </x:row>
    <x:row r="128" s="248" customFormat="1">
      <x:c r="A128" s="250"/>
      <x:c r="B128" s="250"/>
      <x:c r="C128" s="566" t="str">
        <x:f>IF(B128="","",IFERROR(VLOOKUP(B128,PERUMAHAN!$A:$B,2,FALSE),"ID tidak ditemukan"))</x:f>
      </x:c>
      <x:c r="D128" s="250"/>
      <x:c r="E128" s="250"/>
      <x:c r="F128" s="250"/>
      <x:c r="G128" s="252"/>
      <x:c r="H128" s="252"/>
      <x:c r="I128" s="250"/>
      <x:c r="J128" s="250"/>
      <x:c r="K128" s="250"/>
      <x:c r="L128" s="250"/>
      <x:c r="M128" s="252"/>
      <x:c r="N128" s="252"/>
      <x:c r="O128" s="251"/>
      <x:c r="P128" s="250"/>
      <x:c r="Q128" s="250"/>
      <x:c r="R128" s="250"/>
      <x:c r="S128" s="253"/>
      <x:c r="T128" s="250"/>
      <x:c r="U128"/>
      <x:c r="AA128"/>
      <x:c r="AB128"/>
      <x:c r="AC128"/>
      <x:c r="AD128"/>
      <x:c r="AE128"/>
      <x:c r="AF128"/>
      <x:c r="AG128"/>
      <x:c r="AH128"/>
      <x:c r="AI128"/>
      <x:c r="AJ128"/>
      <x:c r="AK128"/>
      <x:c r="AL128"/>
      <x:c r="AM128"/>
      <x:c r="AN128"/>
      <x:c r="AO128"/>
      <x:c r="AP128"/>
      <x:c r="AQ128"/>
      <x:c r="AR128"/>
    </x:row>
    <x:row r="129" s="248" customFormat="1">
      <x:c r="A129" s="250"/>
      <x:c r="B129" s="250"/>
      <x:c r="C129" s="566" t="str">
        <x:f>IF(B129="","",IFERROR(VLOOKUP(B129,PERUMAHAN!$A:$B,2,FALSE),"ID tidak ditemukan"))</x:f>
      </x:c>
      <x:c r="D129" s="250"/>
      <x:c r="E129" s="250"/>
      <x:c r="F129" s="250"/>
      <x:c r="G129" s="252"/>
      <x:c r="H129" s="252"/>
      <x:c r="I129" s="250"/>
      <x:c r="J129" s="250"/>
      <x:c r="K129" s="250"/>
      <x:c r="L129" s="250"/>
      <x:c r="M129" s="252"/>
      <x:c r="N129" s="252"/>
      <x:c r="O129" s="251"/>
      <x:c r="P129" s="250"/>
      <x:c r="Q129" s="250"/>
      <x:c r="R129" s="250"/>
      <x:c r="S129" s="253"/>
      <x:c r="T129" s="250"/>
      <x:c r="U129"/>
      <x:c r="AA129"/>
      <x:c r="AB129"/>
      <x:c r="AC129"/>
      <x:c r="AD129"/>
      <x:c r="AE129"/>
      <x:c r="AF129"/>
      <x:c r="AG129"/>
      <x:c r="AH129"/>
      <x:c r="AI129"/>
      <x:c r="AJ129"/>
      <x:c r="AK129"/>
      <x:c r="AL129"/>
      <x:c r="AM129"/>
      <x:c r="AN129"/>
      <x:c r="AO129"/>
      <x:c r="AP129"/>
      <x:c r="AQ129"/>
      <x:c r="AR129"/>
    </x:row>
    <x:row r="130" s="248" customFormat="1">
      <x:c r="A130" s="250"/>
      <x:c r="B130" s="250"/>
      <x:c r="C130" s="566" t="str">
        <x:f>IF(B130="","",IFERROR(VLOOKUP(B130,PERUMAHAN!$A:$B,2,FALSE),"ID tidak ditemukan"))</x:f>
      </x:c>
      <x:c r="D130" s="250"/>
      <x:c r="E130" s="250"/>
      <x:c r="F130" s="250"/>
      <x:c r="G130" s="252"/>
      <x:c r="H130" s="252"/>
      <x:c r="I130" s="250"/>
      <x:c r="J130" s="250"/>
      <x:c r="K130" s="250"/>
      <x:c r="L130" s="250"/>
      <x:c r="M130" s="252"/>
      <x:c r="N130" s="252"/>
      <x:c r="O130" s="251"/>
      <x:c r="P130" s="250"/>
      <x:c r="Q130" s="250"/>
      <x:c r="R130" s="250"/>
      <x:c r="S130" s="253"/>
      <x:c r="T130" s="250"/>
      <x:c r="U130"/>
      <x:c r="AA130"/>
      <x:c r="AB130"/>
      <x:c r="AC130"/>
      <x:c r="AD130"/>
      <x:c r="AE130"/>
      <x:c r="AF130"/>
      <x:c r="AG130"/>
      <x:c r="AH130"/>
      <x:c r="AI130"/>
      <x:c r="AJ130"/>
      <x:c r="AK130"/>
      <x:c r="AL130"/>
      <x:c r="AM130"/>
      <x:c r="AN130"/>
      <x:c r="AO130"/>
      <x:c r="AP130"/>
      <x:c r="AQ130"/>
      <x:c r="AR130"/>
    </x:row>
    <x:row r="131" s="248" customFormat="1">
      <x:c r="A131" s="250"/>
      <x:c r="B131" s="250"/>
      <x:c r="C131" s="566" t="str">
        <x:f>IF(B131="","",IFERROR(VLOOKUP(B131,PERUMAHAN!$A:$B,2,FALSE),"ID tidak ditemukan"))</x:f>
      </x:c>
      <x:c r="D131" s="250"/>
      <x:c r="E131" s="250"/>
      <x:c r="F131" s="250"/>
      <x:c r="G131" s="252"/>
      <x:c r="H131" s="252"/>
      <x:c r="I131" s="250"/>
      <x:c r="J131" s="250"/>
      <x:c r="K131" s="250"/>
      <x:c r="L131" s="250"/>
      <x:c r="M131" s="252"/>
      <x:c r="N131" s="252"/>
      <x:c r="O131" s="251"/>
      <x:c r="P131" s="250"/>
      <x:c r="Q131" s="250"/>
      <x:c r="R131" s="250"/>
      <x:c r="S131" s="253"/>
      <x:c r="T131" s="250"/>
      <x:c r="U131"/>
      <x:c r="AA131"/>
      <x:c r="AB131"/>
      <x:c r="AC131"/>
      <x:c r="AD131"/>
      <x:c r="AE131"/>
      <x:c r="AF131"/>
      <x:c r="AG131"/>
      <x:c r="AH131"/>
      <x:c r="AI131"/>
      <x:c r="AJ131"/>
      <x:c r="AK131"/>
      <x:c r="AL131"/>
      <x:c r="AM131"/>
      <x:c r="AN131"/>
      <x:c r="AO131"/>
      <x:c r="AP131"/>
      <x:c r="AQ131"/>
      <x:c r="AR131"/>
    </x:row>
    <x:row r="132" s="248" customFormat="1">
      <x:c r="A132" s="250"/>
      <x:c r="B132" s="250"/>
      <x:c r="C132" s="566" t="str">
        <x:f>IF(B132="","",IFERROR(VLOOKUP(B132,PERUMAHAN!$A:$B,2,FALSE),"ID tidak ditemukan"))</x:f>
      </x:c>
      <x:c r="D132" s="250"/>
      <x:c r="E132" s="250"/>
      <x:c r="F132" s="250"/>
      <x:c r="G132" s="252"/>
      <x:c r="H132" s="252"/>
      <x:c r="I132" s="250"/>
      <x:c r="J132" s="250"/>
      <x:c r="K132" s="250"/>
      <x:c r="L132" s="250"/>
      <x:c r="M132" s="252"/>
      <x:c r="N132" s="252"/>
      <x:c r="O132" s="251"/>
      <x:c r="P132" s="250"/>
      <x:c r="Q132" s="250"/>
      <x:c r="R132" s="250"/>
      <x:c r="S132" s="253"/>
      <x:c r="T132" s="250"/>
      <x:c r="U132"/>
      <x:c r="AA132"/>
      <x:c r="AB132"/>
      <x:c r="AC132"/>
      <x:c r="AD132"/>
      <x:c r="AE132"/>
      <x:c r="AF132"/>
      <x:c r="AG132"/>
      <x:c r="AH132"/>
      <x:c r="AI132"/>
      <x:c r="AJ132"/>
      <x:c r="AK132"/>
      <x:c r="AL132"/>
      <x:c r="AM132"/>
      <x:c r="AN132"/>
      <x:c r="AO132"/>
      <x:c r="AP132"/>
      <x:c r="AQ132"/>
      <x:c r="AR132"/>
    </x:row>
    <x:row r="133" s="248" customFormat="1">
      <x:c r="A133" s="250"/>
      <x:c r="B133" s="250"/>
      <x:c r="C133" s="566" t="str">
        <x:f>IF(B133="","",IFERROR(VLOOKUP(B133,PERUMAHAN!$A:$B,2,FALSE),"ID tidak ditemukan"))</x:f>
      </x:c>
      <x:c r="D133" s="250"/>
      <x:c r="E133" s="250"/>
      <x:c r="F133" s="250"/>
      <x:c r="G133" s="252"/>
      <x:c r="H133" s="252"/>
      <x:c r="I133" s="250"/>
      <x:c r="J133" s="250"/>
      <x:c r="K133" s="250"/>
      <x:c r="L133" s="250"/>
      <x:c r="M133" s="252"/>
      <x:c r="N133" s="252"/>
      <x:c r="O133" s="251"/>
      <x:c r="P133" s="250"/>
      <x:c r="Q133" s="250"/>
      <x:c r="R133" s="250"/>
      <x:c r="S133" s="253"/>
      <x:c r="T133" s="250"/>
      <x:c r="U133"/>
      <x:c r="AA133"/>
      <x:c r="AB133"/>
      <x:c r="AC133"/>
      <x:c r="AD133"/>
      <x:c r="AE133"/>
      <x:c r="AF133"/>
      <x:c r="AG133"/>
      <x:c r="AH133"/>
      <x:c r="AI133"/>
      <x:c r="AJ133"/>
      <x:c r="AK133"/>
      <x:c r="AL133"/>
      <x:c r="AM133"/>
      <x:c r="AN133"/>
      <x:c r="AO133"/>
      <x:c r="AP133"/>
      <x:c r="AQ133"/>
      <x:c r="AR133"/>
    </x:row>
    <x:row r="134" s="248" customFormat="1">
      <x:c r="A134" s="250"/>
      <x:c r="B134" s="250"/>
      <x:c r="C134" s="566" t="str">
        <x:f>IF(B134="","",IFERROR(VLOOKUP(B134,PERUMAHAN!$A:$B,2,FALSE),"ID tidak ditemukan"))</x:f>
      </x:c>
      <x:c r="D134" s="250"/>
      <x:c r="E134" s="250"/>
      <x:c r="F134" s="250"/>
      <x:c r="G134" s="252"/>
      <x:c r="H134" s="252"/>
      <x:c r="I134" s="250"/>
      <x:c r="J134" s="250"/>
      <x:c r="K134" s="250"/>
      <x:c r="L134" s="250"/>
      <x:c r="M134" s="252"/>
      <x:c r="N134" s="252"/>
      <x:c r="O134" s="251"/>
      <x:c r="P134" s="250"/>
      <x:c r="Q134" s="250"/>
      <x:c r="R134" s="250"/>
      <x:c r="S134" s="253"/>
      <x:c r="T134" s="250"/>
      <x:c r="U134"/>
      <x:c r="AA134"/>
      <x:c r="AB134"/>
      <x:c r="AC134"/>
      <x:c r="AD134"/>
      <x:c r="AE134"/>
      <x:c r="AF134"/>
      <x:c r="AG134"/>
      <x:c r="AH134"/>
      <x:c r="AI134"/>
      <x:c r="AJ134"/>
      <x:c r="AK134"/>
      <x:c r="AL134"/>
      <x:c r="AM134"/>
      <x:c r="AN134"/>
      <x:c r="AO134"/>
      <x:c r="AP134"/>
      <x:c r="AQ134"/>
      <x:c r="AR134"/>
    </x:row>
    <x:row r="135" s="248" customFormat="1">
      <x:c r="A135" s="250"/>
      <x:c r="B135" s="250"/>
      <x:c r="C135" s="566" t="str">
        <x:f>IF(B135="","",IFERROR(VLOOKUP(B135,PERUMAHAN!$A:$B,2,FALSE),"ID tidak ditemukan"))</x:f>
      </x:c>
      <x:c r="D135" s="250"/>
      <x:c r="E135" s="250"/>
      <x:c r="F135" s="250"/>
      <x:c r="G135" s="252"/>
      <x:c r="H135" s="252"/>
      <x:c r="I135" s="250"/>
      <x:c r="J135" s="250"/>
      <x:c r="K135" s="250"/>
      <x:c r="L135" s="250"/>
      <x:c r="M135" s="252"/>
      <x:c r="N135" s="252"/>
      <x:c r="O135" s="251"/>
      <x:c r="P135" s="250"/>
      <x:c r="Q135" s="250"/>
      <x:c r="R135" s="250"/>
      <x:c r="S135" s="253"/>
      <x:c r="T135" s="250"/>
      <x:c r="U135"/>
      <x:c r="AA135"/>
      <x:c r="AB135"/>
      <x:c r="AC135"/>
      <x:c r="AD135"/>
      <x:c r="AE135"/>
      <x:c r="AF135"/>
      <x:c r="AG135"/>
      <x:c r="AH135"/>
      <x:c r="AI135"/>
      <x:c r="AJ135"/>
      <x:c r="AK135"/>
      <x:c r="AL135"/>
      <x:c r="AM135"/>
      <x:c r="AN135"/>
      <x:c r="AO135"/>
      <x:c r="AP135"/>
      <x:c r="AQ135"/>
      <x:c r="AR135"/>
    </x:row>
    <x:row r="136" s="248" customFormat="1">
      <x:c r="A136" s="250"/>
      <x:c r="B136" s="250"/>
      <x:c r="C136" s="566" t="str">
        <x:f>IF(B136="","",IFERROR(VLOOKUP(B136,PERUMAHAN!$A:$B,2,FALSE),"ID tidak ditemukan"))</x:f>
      </x:c>
      <x:c r="D136" s="250"/>
      <x:c r="E136" s="250"/>
      <x:c r="F136" s="250"/>
      <x:c r="G136" s="252"/>
      <x:c r="H136" s="252"/>
      <x:c r="I136" s="250"/>
      <x:c r="J136" s="250"/>
      <x:c r="K136" s="250"/>
      <x:c r="L136" s="250"/>
      <x:c r="M136" s="252"/>
      <x:c r="N136" s="252"/>
      <x:c r="O136" s="251"/>
      <x:c r="P136" s="250"/>
      <x:c r="Q136" s="250"/>
      <x:c r="R136" s="250"/>
      <x:c r="S136" s="253"/>
      <x:c r="T136" s="250"/>
      <x:c r="U136"/>
      <x:c r="AA136"/>
      <x:c r="AB136"/>
      <x:c r="AC136"/>
      <x:c r="AD136"/>
      <x:c r="AE136"/>
      <x:c r="AF136"/>
      <x:c r="AG136"/>
      <x:c r="AH136"/>
      <x:c r="AI136"/>
      <x:c r="AJ136"/>
      <x:c r="AK136"/>
      <x:c r="AL136"/>
      <x:c r="AM136"/>
      <x:c r="AN136"/>
      <x:c r="AO136"/>
      <x:c r="AP136"/>
      <x:c r="AQ136"/>
      <x:c r="AR136"/>
    </x:row>
    <x:row r="137" s="248" customFormat="1">
      <x:c r="A137" s="250"/>
      <x:c r="B137" s="250"/>
      <x:c r="C137" s="566" t="str">
        <x:f>IF(B137="","",IFERROR(VLOOKUP(B137,PERUMAHAN!$A:$B,2,FALSE),"ID tidak ditemukan"))</x:f>
      </x:c>
      <x:c r="D137" s="250"/>
      <x:c r="E137" s="250"/>
      <x:c r="F137" s="250"/>
      <x:c r="G137" s="252"/>
      <x:c r="H137" s="252"/>
      <x:c r="I137" s="250"/>
      <x:c r="J137" s="250"/>
      <x:c r="K137" s="250"/>
      <x:c r="L137" s="250"/>
      <x:c r="M137" s="252"/>
      <x:c r="N137" s="252"/>
      <x:c r="O137" s="251"/>
      <x:c r="P137" s="250"/>
      <x:c r="Q137" s="250"/>
      <x:c r="R137" s="250"/>
      <x:c r="S137" s="253"/>
      <x:c r="T137" s="250"/>
      <x:c r="U137"/>
      <x:c r="AA137"/>
      <x:c r="AB137"/>
      <x:c r="AC137"/>
      <x:c r="AD137"/>
      <x:c r="AE137"/>
      <x:c r="AF137"/>
      <x:c r="AG137"/>
      <x:c r="AH137"/>
      <x:c r="AI137"/>
      <x:c r="AJ137"/>
      <x:c r="AK137"/>
      <x:c r="AL137"/>
      <x:c r="AM137"/>
      <x:c r="AN137"/>
      <x:c r="AO137"/>
      <x:c r="AP137"/>
      <x:c r="AQ137"/>
      <x:c r="AR137"/>
    </x:row>
    <x:row r="138" s="248" customFormat="1">
      <x:c r="A138" s="250"/>
      <x:c r="B138" s="250"/>
      <x:c r="C138" s="566" t="str">
        <x:f>IF(B138="","",IFERROR(VLOOKUP(B138,PERUMAHAN!$A:$B,2,FALSE),"ID tidak ditemukan"))</x:f>
      </x:c>
      <x:c r="D138" s="250"/>
      <x:c r="E138" s="250"/>
      <x:c r="F138" s="250"/>
      <x:c r="G138" s="252"/>
      <x:c r="H138" s="252"/>
      <x:c r="I138" s="250"/>
      <x:c r="J138" s="250"/>
      <x:c r="K138" s="250"/>
      <x:c r="L138" s="250"/>
      <x:c r="M138" s="252"/>
      <x:c r="N138" s="252"/>
      <x:c r="O138" s="251"/>
      <x:c r="P138" s="250"/>
      <x:c r="Q138" s="250"/>
      <x:c r="R138" s="250"/>
      <x:c r="S138" s="253"/>
      <x:c r="T138" s="250"/>
      <x:c r="U138"/>
      <x:c r="AA138"/>
      <x:c r="AB138"/>
      <x:c r="AC138"/>
      <x:c r="AD138"/>
      <x:c r="AE138"/>
      <x:c r="AF138"/>
      <x:c r="AG138"/>
      <x:c r="AH138"/>
      <x:c r="AI138"/>
      <x:c r="AJ138"/>
      <x:c r="AK138"/>
      <x:c r="AL138"/>
      <x:c r="AM138"/>
      <x:c r="AN138"/>
      <x:c r="AO138"/>
      <x:c r="AP138"/>
      <x:c r="AQ138"/>
      <x:c r="AR138"/>
    </x:row>
    <x:row r="139" s="248" customFormat="1">
      <x:c r="A139" s="250"/>
      <x:c r="B139" s="250"/>
      <x:c r="C139" s="566" t="str">
        <x:f>IF(B139="","",IFERROR(VLOOKUP(B139,PERUMAHAN!$A:$B,2,FALSE),"ID tidak ditemukan"))</x:f>
      </x:c>
      <x:c r="D139" s="250"/>
      <x:c r="E139" s="250"/>
      <x:c r="F139" s="250"/>
      <x:c r="G139" s="252"/>
      <x:c r="H139" s="252"/>
      <x:c r="I139" s="250"/>
      <x:c r="J139" s="250"/>
      <x:c r="K139" s="250"/>
      <x:c r="L139" s="250"/>
      <x:c r="M139" s="252"/>
      <x:c r="N139" s="252"/>
      <x:c r="O139" s="251"/>
      <x:c r="P139" s="250"/>
      <x:c r="Q139" s="250"/>
      <x:c r="R139" s="250"/>
      <x:c r="S139" s="253"/>
      <x:c r="T139" s="250"/>
      <x:c r="U139"/>
      <x:c r="AA139"/>
      <x:c r="AB139"/>
      <x:c r="AC139"/>
      <x:c r="AD139"/>
      <x:c r="AE139"/>
      <x:c r="AF139"/>
      <x:c r="AG139"/>
      <x:c r="AH139"/>
      <x:c r="AI139"/>
      <x:c r="AJ139"/>
      <x:c r="AK139"/>
      <x:c r="AL139"/>
      <x:c r="AM139"/>
      <x:c r="AN139"/>
      <x:c r="AO139"/>
      <x:c r="AP139"/>
      <x:c r="AQ139"/>
      <x:c r="AR139"/>
    </x:row>
    <x:row r="140" s="248" customFormat="1">
      <x:c r="A140" s="250"/>
      <x:c r="B140" s="250"/>
      <x:c r="C140" s="566" t="str">
        <x:f>IF(B140="","",IFERROR(VLOOKUP(B140,PERUMAHAN!$A:$B,2,FALSE),"ID tidak ditemukan"))</x:f>
      </x:c>
      <x:c r="D140" s="250"/>
      <x:c r="E140" s="250"/>
      <x:c r="F140" s="250"/>
      <x:c r="G140" s="252"/>
      <x:c r="H140" s="252"/>
      <x:c r="I140" s="250"/>
      <x:c r="J140" s="250"/>
      <x:c r="K140" s="250"/>
      <x:c r="L140" s="250"/>
      <x:c r="M140" s="252"/>
      <x:c r="N140" s="252"/>
      <x:c r="O140" s="251"/>
      <x:c r="P140" s="250"/>
      <x:c r="Q140" s="250"/>
      <x:c r="R140" s="250"/>
      <x:c r="S140" s="253"/>
      <x:c r="T140" s="250"/>
      <x:c r="U140"/>
      <x:c r="AA140"/>
      <x:c r="AB140"/>
      <x:c r="AC140"/>
      <x:c r="AD140"/>
      <x:c r="AE140"/>
      <x:c r="AF140"/>
      <x:c r="AG140"/>
      <x:c r="AH140"/>
      <x:c r="AI140"/>
      <x:c r="AJ140"/>
      <x:c r="AK140"/>
      <x:c r="AL140"/>
      <x:c r="AM140"/>
      <x:c r="AN140"/>
      <x:c r="AO140"/>
      <x:c r="AP140"/>
      <x:c r="AQ140"/>
      <x:c r="AR140"/>
    </x:row>
    <x:row r="141" s="248" customFormat="1">
      <x:c r="A141" s="250"/>
      <x:c r="B141" s="250"/>
      <x:c r="C141" s="566" t="str">
        <x:f>IF(B141="","",IFERROR(VLOOKUP(B141,PERUMAHAN!$A:$B,2,FALSE),"ID tidak ditemukan"))</x:f>
      </x:c>
      <x:c r="D141" s="250"/>
      <x:c r="E141" s="250"/>
      <x:c r="F141" s="250"/>
      <x:c r="G141" s="252"/>
      <x:c r="H141" s="252"/>
      <x:c r="I141" s="250"/>
      <x:c r="J141" s="250"/>
      <x:c r="K141" s="250"/>
      <x:c r="L141" s="250"/>
      <x:c r="M141" s="252"/>
      <x:c r="N141" s="252"/>
      <x:c r="O141" s="251"/>
      <x:c r="P141" s="250"/>
      <x:c r="Q141" s="250"/>
      <x:c r="R141" s="250"/>
      <x:c r="S141" s="253"/>
      <x:c r="T141" s="250"/>
      <x:c r="U141"/>
      <x:c r="AA141"/>
      <x:c r="AB141"/>
      <x:c r="AC141"/>
      <x:c r="AD141"/>
      <x:c r="AE141"/>
      <x:c r="AF141"/>
      <x:c r="AG141"/>
      <x:c r="AH141"/>
      <x:c r="AI141"/>
      <x:c r="AJ141"/>
      <x:c r="AK141"/>
      <x:c r="AL141"/>
      <x:c r="AM141"/>
      <x:c r="AN141"/>
      <x:c r="AO141"/>
      <x:c r="AP141"/>
      <x:c r="AQ141"/>
      <x:c r="AR141"/>
    </x:row>
    <x:row r="142" s="248" customFormat="1">
      <x:c r="A142" s="250"/>
      <x:c r="B142" s="250"/>
      <x:c r="C142" s="566" t="str">
        <x:f>IF(B142="","",IFERROR(VLOOKUP(B142,PERUMAHAN!$A:$B,2,FALSE),"ID tidak ditemukan"))</x:f>
      </x:c>
      <x:c r="D142" s="250"/>
      <x:c r="E142" s="250"/>
      <x:c r="F142" s="250"/>
      <x:c r="G142" s="252"/>
      <x:c r="H142" s="252"/>
      <x:c r="I142" s="250"/>
      <x:c r="J142" s="250"/>
      <x:c r="K142" s="250"/>
      <x:c r="L142" s="250"/>
      <x:c r="M142" s="252"/>
      <x:c r="N142" s="252"/>
      <x:c r="O142" s="251"/>
      <x:c r="P142" s="250"/>
      <x:c r="Q142" s="250"/>
      <x:c r="R142" s="250"/>
      <x:c r="S142" s="253"/>
      <x:c r="T142" s="250"/>
      <x:c r="U142"/>
      <x:c r="AA142"/>
      <x:c r="AB142"/>
      <x:c r="AC142"/>
      <x:c r="AD142"/>
      <x:c r="AE142"/>
      <x:c r="AF142"/>
      <x:c r="AG142"/>
      <x:c r="AH142"/>
      <x:c r="AI142"/>
      <x:c r="AJ142"/>
      <x:c r="AK142"/>
      <x:c r="AL142"/>
      <x:c r="AM142"/>
      <x:c r="AN142"/>
      <x:c r="AO142"/>
      <x:c r="AP142"/>
      <x:c r="AQ142"/>
      <x:c r="AR142"/>
    </x:row>
    <x:row r="143" s="248" customFormat="1">
      <x:c r="A143" s="250"/>
      <x:c r="B143" s="250"/>
      <x:c r="C143" s="566" t="str">
        <x:f>IF(B143="","",IFERROR(VLOOKUP(B143,PERUMAHAN!$A:$B,2,FALSE),"ID tidak ditemukan"))</x:f>
      </x:c>
      <x:c r="D143" s="250"/>
      <x:c r="E143" s="250"/>
      <x:c r="F143" s="250"/>
      <x:c r="G143" s="252"/>
      <x:c r="H143" s="252"/>
      <x:c r="I143" s="250"/>
      <x:c r="J143" s="250"/>
      <x:c r="K143" s="250"/>
      <x:c r="L143" s="250"/>
      <x:c r="M143" s="252"/>
      <x:c r="N143" s="252"/>
      <x:c r="O143" s="251"/>
      <x:c r="P143" s="250"/>
      <x:c r="Q143" s="250"/>
      <x:c r="R143" s="250"/>
      <x:c r="S143" s="253"/>
      <x:c r="T143" s="250"/>
      <x:c r="U143"/>
      <x:c r="AA143"/>
      <x:c r="AB143"/>
      <x:c r="AC143"/>
      <x:c r="AD143"/>
      <x:c r="AE143"/>
      <x:c r="AF143"/>
      <x:c r="AG143"/>
      <x:c r="AH143"/>
      <x:c r="AI143"/>
      <x:c r="AJ143"/>
      <x:c r="AK143"/>
      <x:c r="AL143"/>
      <x:c r="AM143"/>
      <x:c r="AN143"/>
      <x:c r="AO143"/>
      <x:c r="AP143"/>
      <x:c r="AQ143"/>
      <x:c r="AR143"/>
    </x:row>
    <x:row r="144" s="248" customFormat="1">
      <x:c r="A144" s="250"/>
      <x:c r="B144" s="250"/>
      <x:c r="C144" s="566" t="str">
        <x:f>IF(B144="","",IFERROR(VLOOKUP(B144,PERUMAHAN!$A:$B,2,FALSE),"ID tidak ditemukan"))</x:f>
      </x:c>
      <x:c r="D144" s="250"/>
      <x:c r="E144" s="250"/>
      <x:c r="F144" s="250"/>
      <x:c r="G144" s="252"/>
      <x:c r="H144" s="252"/>
      <x:c r="I144" s="250"/>
      <x:c r="J144" s="250"/>
      <x:c r="K144" s="250"/>
      <x:c r="L144" s="250"/>
      <x:c r="M144" s="252"/>
      <x:c r="N144" s="252"/>
      <x:c r="O144" s="251"/>
      <x:c r="P144" s="250"/>
      <x:c r="Q144" s="250"/>
      <x:c r="R144" s="250"/>
      <x:c r="S144" s="253"/>
      <x:c r="T144" s="250"/>
      <x:c r="U144"/>
      <x:c r="AA144"/>
      <x:c r="AB144"/>
      <x:c r="AC144"/>
      <x:c r="AD144"/>
      <x:c r="AE144"/>
      <x:c r="AF144"/>
      <x:c r="AG144"/>
      <x:c r="AH144"/>
      <x:c r="AI144"/>
      <x:c r="AJ144"/>
      <x:c r="AK144"/>
      <x:c r="AL144"/>
      <x:c r="AM144"/>
      <x:c r="AN144"/>
      <x:c r="AO144"/>
      <x:c r="AP144"/>
      <x:c r="AQ144"/>
      <x:c r="AR144"/>
    </x:row>
    <x:row r="145" s="248" customFormat="1">
      <x:c r="A145" s="250"/>
      <x:c r="B145" s="250"/>
      <x:c r="C145" s="566" t="str">
        <x:f>IF(B145="","",IFERROR(VLOOKUP(B145,PERUMAHAN!$A:$B,2,FALSE),"ID tidak ditemukan"))</x:f>
      </x:c>
      <x:c r="D145" s="250"/>
      <x:c r="E145" s="250"/>
      <x:c r="F145" s="250"/>
      <x:c r="G145" s="252"/>
      <x:c r="H145" s="252"/>
      <x:c r="I145" s="250"/>
      <x:c r="J145" s="250"/>
      <x:c r="K145" s="250"/>
      <x:c r="L145" s="250"/>
      <x:c r="M145" s="252"/>
      <x:c r="N145" s="252"/>
      <x:c r="O145" s="251"/>
      <x:c r="P145" s="250"/>
      <x:c r="Q145" s="250"/>
      <x:c r="R145" s="250"/>
      <x:c r="S145" s="253"/>
      <x:c r="T145" s="250"/>
      <x:c r="U145"/>
      <x:c r="AA145"/>
      <x:c r="AB145"/>
      <x:c r="AC145"/>
      <x:c r="AD145"/>
      <x:c r="AE145"/>
      <x:c r="AF145"/>
      <x:c r="AG145"/>
      <x:c r="AH145"/>
      <x:c r="AI145"/>
      <x:c r="AJ145"/>
      <x:c r="AK145"/>
      <x:c r="AL145"/>
      <x:c r="AM145"/>
      <x:c r="AN145"/>
      <x:c r="AO145"/>
      <x:c r="AP145"/>
      <x:c r="AQ145"/>
      <x:c r="AR145"/>
    </x:row>
    <x:row r="146" s="248" customFormat="1">
      <x:c r="A146" s="250"/>
      <x:c r="B146" s="250"/>
      <x:c r="C146" s="566" t="str">
        <x:f>IF(B146="","",IFERROR(VLOOKUP(B146,PERUMAHAN!$A:$B,2,FALSE),"ID tidak ditemukan"))</x:f>
      </x:c>
      <x:c r="D146" s="250"/>
      <x:c r="E146" s="250"/>
      <x:c r="F146" s="250"/>
      <x:c r="G146" s="252"/>
      <x:c r="H146" s="252"/>
      <x:c r="I146" s="250"/>
      <x:c r="J146" s="250"/>
      <x:c r="K146" s="250"/>
      <x:c r="L146" s="250"/>
      <x:c r="M146" s="252"/>
      <x:c r="N146" s="252"/>
      <x:c r="O146" s="251"/>
      <x:c r="P146" s="250"/>
      <x:c r="Q146" s="250"/>
      <x:c r="R146" s="250"/>
      <x:c r="S146" s="253"/>
      <x:c r="T146" s="250"/>
      <x:c r="U146"/>
      <x:c r="AA146"/>
      <x:c r="AB146"/>
      <x:c r="AC146"/>
      <x:c r="AD146"/>
      <x:c r="AE146"/>
      <x:c r="AF146"/>
      <x:c r="AG146"/>
      <x:c r="AH146"/>
      <x:c r="AI146"/>
      <x:c r="AJ146"/>
      <x:c r="AK146"/>
      <x:c r="AL146"/>
      <x:c r="AM146"/>
      <x:c r="AN146"/>
      <x:c r="AO146"/>
      <x:c r="AP146"/>
      <x:c r="AQ146"/>
      <x:c r="AR146"/>
    </x:row>
    <x:row r="147" s="248" customFormat="1">
      <x:c r="A147" s="250"/>
      <x:c r="B147" s="250"/>
      <x:c r="C147" s="566" t="str">
        <x:f>IF(B147="","",IFERROR(VLOOKUP(B147,PERUMAHAN!$A:$B,2,FALSE),"ID tidak ditemukan"))</x:f>
      </x:c>
      <x:c r="D147" s="250"/>
      <x:c r="E147" s="250"/>
      <x:c r="F147" s="250"/>
      <x:c r="G147" s="252"/>
      <x:c r="H147" s="252"/>
      <x:c r="I147" s="250"/>
      <x:c r="J147" s="250"/>
      <x:c r="K147" s="250"/>
      <x:c r="L147" s="250"/>
      <x:c r="M147" s="252"/>
      <x:c r="N147" s="252"/>
      <x:c r="O147" s="251"/>
      <x:c r="P147" s="250"/>
      <x:c r="Q147" s="250"/>
      <x:c r="R147" s="250"/>
      <x:c r="S147" s="253"/>
      <x:c r="T147" s="250"/>
      <x:c r="U147"/>
      <x:c r="AA147"/>
      <x:c r="AB147"/>
      <x:c r="AC147"/>
      <x:c r="AD147"/>
      <x:c r="AE147"/>
      <x:c r="AF147"/>
      <x:c r="AG147"/>
      <x:c r="AH147"/>
      <x:c r="AI147"/>
      <x:c r="AJ147"/>
      <x:c r="AK147"/>
      <x:c r="AL147"/>
      <x:c r="AM147"/>
      <x:c r="AN147"/>
      <x:c r="AO147"/>
      <x:c r="AP147"/>
      <x:c r="AQ147"/>
      <x:c r="AR147"/>
    </x:row>
    <x:row r="148" s="248" customFormat="1">
      <x:c r="A148" s="250"/>
      <x:c r="B148" s="250"/>
      <x:c r="C148" s="566" t="str">
        <x:f>IF(B148="","",IFERROR(VLOOKUP(B148,PERUMAHAN!$A:$B,2,FALSE),"ID tidak ditemukan"))</x:f>
      </x:c>
      <x:c r="D148" s="250"/>
      <x:c r="E148" s="250"/>
      <x:c r="F148" s="250"/>
      <x:c r="G148" s="252"/>
      <x:c r="H148" s="252"/>
      <x:c r="I148" s="250"/>
      <x:c r="J148" s="250"/>
      <x:c r="K148" s="250"/>
      <x:c r="L148" s="250"/>
      <x:c r="M148" s="252"/>
      <x:c r="N148" s="252"/>
      <x:c r="O148" s="251"/>
      <x:c r="P148" s="250"/>
      <x:c r="Q148" s="250"/>
      <x:c r="R148" s="250"/>
      <x:c r="S148" s="253"/>
      <x:c r="T148" s="250"/>
      <x:c r="U148"/>
      <x:c r="AA148"/>
      <x:c r="AB148"/>
      <x:c r="AC148"/>
      <x:c r="AD148"/>
      <x:c r="AE148"/>
      <x:c r="AF148"/>
      <x:c r="AG148"/>
      <x:c r="AH148"/>
      <x:c r="AI148"/>
      <x:c r="AJ148"/>
      <x:c r="AK148"/>
      <x:c r="AL148"/>
      <x:c r="AM148"/>
      <x:c r="AN148"/>
      <x:c r="AO148"/>
      <x:c r="AP148"/>
      <x:c r="AQ148"/>
      <x:c r="AR148"/>
    </x:row>
    <x:row r="149" s="248" customFormat="1">
      <x:c r="A149" s="250"/>
      <x:c r="B149" s="250"/>
      <x:c r="C149" s="566" t="str">
        <x:f>IF(B149="","",IFERROR(VLOOKUP(B149,PERUMAHAN!$A:$B,2,FALSE),"ID tidak ditemukan"))</x:f>
      </x:c>
      <x:c r="D149" s="250"/>
      <x:c r="E149" s="250"/>
      <x:c r="F149" s="250"/>
      <x:c r="G149" s="252"/>
      <x:c r="H149" s="252"/>
      <x:c r="I149" s="250"/>
      <x:c r="J149" s="250"/>
      <x:c r="K149" s="250"/>
      <x:c r="L149" s="250"/>
      <x:c r="M149" s="252"/>
      <x:c r="N149" s="252"/>
      <x:c r="O149" s="251"/>
      <x:c r="P149" s="250"/>
      <x:c r="Q149" s="250"/>
      <x:c r="R149" s="250"/>
      <x:c r="S149" s="253"/>
      <x:c r="T149" s="250"/>
      <x:c r="U149"/>
      <x:c r="AA149"/>
      <x:c r="AB149"/>
      <x:c r="AC149"/>
      <x:c r="AD149"/>
      <x:c r="AE149"/>
      <x:c r="AF149"/>
      <x:c r="AG149"/>
      <x:c r="AH149"/>
      <x:c r="AI149"/>
      <x:c r="AJ149"/>
      <x:c r="AK149"/>
      <x:c r="AL149"/>
      <x:c r="AM149"/>
      <x:c r="AN149"/>
      <x:c r="AO149"/>
      <x:c r="AP149"/>
      <x:c r="AQ149"/>
      <x:c r="AR149"/>
    </x:row>
    <x:row r="150" s="248" customFormat="1">
      <x:c r="A150" s="250"/>
      <x:c r="B150" s="250"/>
      <x:c r="C150" s="566" t="str">
        <x:f>IF(B150="","",IFERROR(VLOOKUP(B150,PERUMAHAN!$A:$B,2,FALSE),"ID tidak ditemukan"))</x:f>
      </x:c>
      <x:c r="D150" s="250"/>
      <x:c r="E150" s="250"/>
      <x:c r="F150" s="250"/>
      <x:c r="G150" s="252"/>
      <x:c r="H150" s="252"/>
      <x:c r="I150" s="250"/>
      <x:c r="J150" s="250"/>
      <x:c r="K150" s="250"/>
      <x:c r="L150" s="250"/>
      <x:c r="M150" s="252"/>
      <x:c r="N150" s="252"/>
      <x:c r="O150" s="251"/>
      <x:c r="P150" s="250"/>
      <x:c r="Q150" s="250"/>
      <x:c r="R150" s="250"/>
      <x:c r="S150" s="253"/>
      <x:c r="T150" s="250"/>
      <x:c r="U150"/>
      <x:c r="AA150"/>
      <x:c r="AB150"/>
      <x:c r="AC150"/>
      <x:c r="AD150"/>
      <x:c r="AE150"/>
      <x:c r="AF150"/>
      <x:c r="AG150"/>
      <x:c r="AH150"/>
      <x:c r="AI150"/>
      <x:c r="AJ150"/>
      <x:c r="AK150"/>
      <x:c r="AL150"/>
      <x:c r="AM150"/>
      <x:c r="AN150"/>
      <x:c r="AO150"/>
      <x:c r="AP150"/>
      <x:c r="AQ150"/>
      <x:c r="AR150"/>
    </x:row>
    <x:row r="151" s="248" customFormat="1">
      <x:c r="A151" s="250"/>
      <x:c r="B151" s="250"/>
      <x:c r="C151" s="566" t="str">
        <x:f>IF(B151="","",IFERROR(VLOOKUP(B151,PERUMAHAN!$A:$B,2,FALSE),"ID tidak ditemukan"))</x:f>
      </x:c>
      <x:c r="D151" s="250"/>
      <x:c r="E151" s="250"/>
      <x:c r="F151" s="250"/>
      <x:c r="G151" s="252"/>
      <x:c r="H151" s="252"/>
      <x:c r="I151" s="250"/>
      <x:c r="J151" s="250"/>
      <x:c r="K151" s="250"/>
      <x:c r="L151" s="250"/>
      <x:c r="M151" s="252"/>
      <x:c r="N151" s="252"/>
      <x:c r="O151" s="251"/>
      <x:c r="P151" s="250"/>
      <x:c r="Q151" s="250"/>
      <x:c r="R151" s="250"/>
      <x:c r="S151" s="253"/>
      <x:c r="T151" s="250"/>
      <x:c r="U151"/>
      <x:c r="AA151"/>
      <x:c r="AB151"/>
      <x:c r="AC151"/>
      <x:c r="AD151"/>
      <x:c r="AE151"/>
      <x:c r="AF151"/>
      <x:c r="AG151"/>
      <x:c r="AH151"/>
      <x:c r="AI151"/>
      <x:c r="AJ151"/>
      <x:c r="AK151"/>
      <x:c r="AL151"/>
      <x:c r="AM151"/>
      <x:c r="AN151"/>
      <x:c r="AO151"/>
      <x:c r="AP151"/>
      <x:c r="AQ151"/>
      <x:c r="AR151"/>
    </x:row>
    <x:row r="152" s="248" customFormat="1">
      <x:c r="A152" s="250"/>
      <x:c r="B152" s="250"/>
      <x:c r="C152" s="566" t="str">
        <x:f>IF(B152="","",IFERROR(VLOOKUP(B152,PERUMAHAN!$A:$B,2,FALSE),"ID tidak ditemukan"))</x:f>
      </x:c>
      <x:c r="D152" s="250"/>
      <x:c r="E152" s="250"/>
      <x:c r="F152" s="250"/>
      <x:c r="G152" s="252"/>
      <x:c r="H152" s="252"/>
      <x:c r="I152" s="250"/>
      <x:c r="J152" s="250"/>
      <x:c r="K152" s="250"/>
      <x:c r="L152" s="250"/>
      <x:c r="M152" s="252"/>
      <x:c r="N152" s="252"/>
      <x:c r="O152" s="251"/>
      <x:c r="P152" s="250"/>
      <x:c r="Q152" s="250"/>
      <x:c r="R152" s="250"/>
      <x:c r="S152" s="253"/>
      <x:c r="T152" s="250"/>
      <x:c r="U152"/>
      <x:c r="AA152"/>
      <x:c r="AB152"/>
      <x:c r="AC152"/>
      <x:c r="AD152"/>
      <x:c r="AE152"/>
      <x:c r="AF152"/>
      <x:c r="AG152"/>
      <x:c r="AH152"/>
      <x:c r="AI152"/>
      <x:c r="AJ152"/>
      <x:c r="AK152"/>
      <x:c r="AL152"/>
      <x:c r="AM152"/>
      <x:c r="AN152"/>
      <x:c r="AO152"/>
      <x:c r="AP152"/>
      <x:c r="AQ152"/>
      <x:c r="AR152"/>
    </x:row>
    <x:row r="153" s="248" customFormat="1">
      <x:c r="A153" s="250"/>
      <x:c r="B153" s="250"/>
      <x:c r="C153" s="566" t="str">
        <x:f>IF(B153="","",IFERROR(VLOOKUP(B153,PERUMAHAN!$A:$B,2,FALSE),"ID tidak ditemukan"))</x:f>
      </x:c>
      <x:c r="D153" s="250"/>
      <x:c r="E153" s="250"/>
      <x:c r="F153" s="250"/>
      <x:c r="G153" s="252"/>
      <x:c r="H153" s="252"/>
      <x:c r="I153" s="250"/>
      <x:c r="J153" s="250"/>
      <x:c r="K153" s="250"/>
      <x:c r="L153" s="250"/>
      <x:c r="M153" s="252"/>
      <x:c r="N153" s="252"/>
      <x:c r="O153" s="251"/>
      <x:c r="P153" s="250"/>
      <x:c r="Q153" s="250"/>
      <x:c r="R153" s="250"/>
      <x:c r="S153" s="253"/>
      <x:c r="T153" s="250"/>
      <x:c r="U153"/>
      <x:c r="AA153"/>
      <x:c r="AB153"/>
      <x:c r="AC153"/>
      <x:c r="AD153"/>
      <x:c r="AE153"/>
      <x:c r="AF153"/>
      <x:c r="AG153"/>
      <x:c r="AH153"/>
      <x:c r="AI153"/>
      <x:c r="AJ153"/>
      <x:c r="AK153"/>
      <x:c r="AL153"/>
      <x:c r="AM153"/>
      <x:c r="AN153"/>
      <x:c r="AO153"/>
      <x:c r="AP153"/>
      <x:c r="AQ153"/>
      <x:c r="AR153"/>
    </x:row>
    <x:row r="154" s="248" customFormat="1">
      <x:c r="A154" s="250"/>
      <x:c r="B154" s="250"/>
      <x:c r="C154" s="566" t="str">
        <x:f>IF(B154="","",IFERROR(VLOOKUP(B154,PERUMAHAN!$A:$B,2,FALSE),"ID tidak ditemukan"))</x:f>
      </x:c>
      <x:c r="D154" s="250"/>
      <x:c r="E154" s="250"/>
      <x:c r="F154" s="250"/>
      <x:c r="G154" s="252"/>
      <x:c r="H154" s="252"/>
      <x:c r="I154" s="250"/>
      <x:c r="J154" s="250"/>
      <x:c r="K154" s="250"/>
      <x:c r="L154" s="250"/>
      <x:c r="M154" s="252"/>
      <x:c r="N154" s="252"/>
      <x:c r="O154" s="251"/>
      <x:c r="P154" s="250"/>
      <x:c r="Q154" s="250"/>
      <x:c r="R154" s="250"/>
      <x:c r="S154" s="253"/>
      <x:c r="T154" s="250"/>
      <x:c r="U154"/>
      <x:c r="AA154"/>
      <x:c r="AB154"/>
      <x:c r="AC154"/>
      <x:c r="AD154"/>
      <x:c r="AE154"/>
      <x:c r="AF154"/>
      <x:c r="AG154"/>
      <x:c r="AH154"/>
      <x:c r="AI154"/>
      <x:c r="AJ154"/>
      <x:c r="AK154"/>
      <x:c r="AL154"/>
      <x:c r="AM154"/>
      <x:c r="AN154"/>
      <x:c r="AO154"/>
      <x:c r="AP154"/>
      <x:c r="AQ154"/>
      <x:c r="AR154"/>
    </x:row>
    <x:row r="155" s="248" customFormat="1">
      <x:c r="A155" s="250"/>
      <x:c r="B155" s="250"/>
      <x:c r="C155" s="566" t="str">
        <x:f>IF(B155="","",IFERROR(VLOOKUP(B155,PERUMAHAN!$A:$B,2,FALSE),"ID tidak ditemukan"))</x:f>
      </x:c>
      <x:c r="D155" s="250"/>
      <x:c r="E155" s="250"/>
      <x:c r="F155" s="250"/>
      <x:c r="G155" s="252"/>
      <x:c r="H155" s="252"/>
      <x:c r="I155" s="250"/>
      <x:c r="J155" s="250"/>
      <x:c r="K155" s="250"/>
      <x:c r="L155" s="250"/>
      <x:c r="M155" s="252"/>
      <x:c r="N155" s="252"/>
      <x:c r="O155" s="251"/>
      <x:c r="P155" s="250"/>
      <x:c r="Q155" s="250"/>
      <x:c r="R155" s="250"/>
      <x:c r="S155" s="253"/>
      <x:c r="T155" s="250"/>
      <x:c r="U155"/>
      <x:c r="AA155"/>
      <x:c r="AB155"/>
      <x:c r="AC155"/>
      <x:c r="AD155"/>
      <x:c r="AE155"/>
      <x:c r="AF155"/>
      <x:c r="AG155"/>
      <x:c r="AH155"/>
      <x:c r="AI155"/>
      <x:c r="AJ155"/>
      <x:c r="AK155"/>
      <x:c r="AL155"/>
      <x:c r="AM155"/>
      <x:c r="AN155"/>
      <x:c r="AO155"/>
      <x:c r="AP155"/>
      <x:c r="AQ155"/>
      <x:c r="AR155"/>
    </x:row>
    <x:row r="156" s="248" customFormat="1">
      <x:c r="A156" s="250"/>
      <x:c r="B156" s="250"/>
      <x:c r="C156" s="566" t="str">
        <x:f>IF(B156="","",IFERROR(VLOOKUP(B156,PERUMAHAN!$A:$B,2,FALSE),"ID tidak ditemukan"))</x:f>
      </x:c>
      <x:c r="D156" s="250"/>
      <x:c r="E156" s="250"/>
      <x:c r="F156" s="250"/>
      <x:c r="G156" s="252"/>
      <x:c r="H156" s="252"/>
      <x:c r="I156" s="250"/>
      <x:c r="J156" s="250"/>
      <x:c r="K156" s="250"/>
      <x:c r="L156" s="250"/>
      <x:c r="M156" s="252"/>
      <x:c r="N156" s="252"/>
      <x:c r="O156" s="251"/>
      <x:c r="P156" s="250"/>
      <x:c r="Q156" s="250"/>
      <x:c r="R156" s="250"/>
      <x:c r="S156" s="253"/>
      <x:c r="T156" s="250"/>
      <x:c r="U156"/>
      <x:c r="AA156"/>
      <x:c r="AB156"/>
      <x:c r="AC156"/>
      <x:c r="AD156"/>
      <x:c r="AE156"/>
      <x:c r="AF156"/>
      <x:c r="AG156"/>
      <x:c r="AH156"/>
      <x:c r="AI156"/>
      <x:c r="AJ156"/>
      <x:c r="AK156"/>
      <x:c r="AL156"/>
      <x:c r="AM156"/>
      <x:c r="AN156"/>
      <x:c r="AO156"/>
      <x:c r="AP156"/>
      <x:c r="AQ156"/>
      <x:c r="AR156"/>
    </x:row>
    <x:row r="157" s="248" customFormat="1">
      <x:c r="A157" s="250"/>
      <x:c r="B157" s="250"/>
      <x:c r="C157" s="566" t="str">
        <x:f>IF(B157="","",IFERROR(VLOOKUP(B157,PERUMAHAN!$A:$B,2,FALSE),"ID tidak ditemukan"))</x:f>
      </x:c>
      <x:c r="D157" s="250"/>
      <x:c r="E157" s="250"/>
      <x:c r="F157" s="250"/>
      <x:c r="G157" s="252"/>
      <x:c r="H157" s="252"/>
      <x:c r="I157" s="250"/>
      <x:c r="J157" s="250"/>
      <x:c r="K157" s="250"/>
      <x:c r="L157" s="250"/>
      <x:c r="M157" s="252"/>
      <x:c r="N157" s="252"/>
      <x:c r="O157" s="251"/>
      <x:c r="P157" s="250"/>
      <x:c r="Q157" s="250"/>
      <x:c r="R157" s="250"/>
      <x:c r="S157" s="253"/>
      <x:c r="T157" s="250"/>
      <x:c r="U157"/>
      <x:c r="AA157"/>
      <x:c r="AB157"/>
      <x:c r="AC157"/>
      <x:c r="AD157"/>
      <x:c r="AE157"/>
      <x:c r="AF157"/>
      <x:c r="AG157"/>
      <x:c r="AH157"/>
      <x:c r="AI157"/>
      <x:c r="AJ157"/>
      <x:c r="AK157"/>
      <x:c r="AL157"/>
      <x:c r="AM157"/>
      <x:c r="AN157"/>
      <x:c r="AO157"/>
      <x:c r="AP157"/>
      <x:c r="AQ157"/>
      <x:c r="AR157"/>
    </x:row>
    <x:row r="158" s="248" customFormat="1">
      <x:c r="A158" s="250"/>
      <x:c r="B158" s="250"/>
      <x:c r="C158" s="566" t="str">
        <x:f>IF(B158="","",IFERROR(VLOOKUP(B158,PERUMAHAN!$A:$B,2,FALSE),"ID tidak ditemukan"))</x:f>
      </x:c>
      <x:c r="D158" s="250"/>
      <x:c r="E158" s="250"/>
      <x:c r="F158" s="250"/>
      <x:c r="G158" s="252"/>
      <x:c r="H158" s="252"/>
      <x:c r="I158" s="250"/>
      <x:c r="J158" s="250"/>
      <x:c r="K158" s="250"/>
      <x:c r="L158" s="250"/>
      <x:c r="M158" s="252"/>
      <x:c r="N158" s="252"/>
      <x:c r="O158" s="251"/>
      <x:c r="P158" s="250"/>
      <x:c r="Q158" s="250"/>
      <x:c r="R158" s="250"/>
      <x:c r="S158" s="253"/>
      <x:c r="T158" s="250"/>
      <x:c r="U158"/>
      <x:c r="AA158"/>
      <x:c r="AB158"/>
      <x:c r="AC158"/>
      <x:c r="AD158"/>
      <x:c r="AE158"/>
      <x:c r="AF158"/>
      <x:c r="AG158"/>
      <x:c r="AH158"/>
      <x:c r="AI158"/>
      <x:c r="AJ158"/>
      <x:c r="AK158"/>
      <x:c r="AL158"/>
      <x:c r="AM158"/>
      <x:c r="AN158"/>
      <x:c r="AO158"/>
      <x:c r="AP158"/>
      <x:c r="AQ158"/>
      <x:c r="AR158"/>
    </x:row>
    <x:row r="159" s="248" customFormat="1">
      <x:c r="A159" s="250"/>
      <x:c r="B159" s="250"/>
      <x:c r="C159" s="566" t="str">
        <x:f>IF(B159="","",IFERROR(VLOOKUP(B159,PERUMAHAN!$A:$B,2,FALSE),"ID tidak ditemukan"))</x:f>
      </x:c>
      <x:c r="D159" s="250"/>
      <x:c r="E159" s="250"/>
      <x:c r="F159" s="250"/>
      <x:c r="G159" s="252"/>
      <x:c r="H159" s="252"/>
      <x:c r="I159" s="250"/>
      <x:c r="J159" s="250"/>
      <x:c r="K159" s="250"/>
      <x:c r="L159" s="250"/>
      <x:c r="M159" s="252"/>
      <x:c r="N159" s="252"/>
      <x:c r="O159" s="251"/>
      <x:c r="P159" s="250"/>
      <x:c r="Q159" s="250"/>
      <x:c r="R159" s="250"/>
      <x:c r="S159" s="253"/>
      <x:c r="T159" s="250"/>
      <x:c r="U159"/>
      <x:c r="AA159"/>
      <x:c r="AB159"/>
      <x:c r="AC159"/>
      <x:c r="AD159"/>
      <x:c r="AE159"/>
      <x:c r="AF159"/>
      <x:c r="AG159"/>
      <x:c r="AH159"/>
      <x:c r="AI159"/>
      <x:c r="AJ159"/>
      <x:c r="AK159"/>
      <x:c r="AL159"/>
      <x:c r="AM159"/>
      <x:c r="AN159"/>
      <x:c r="AO159"/>
      <x:c r="AP159"/>
      <x:c r="AQ159"/>
      <x:c r="AR159"/>
    </x:row>
    <x:row r="160" s="248" customFormat="1">
      <x:c r="A160" s="250"/>
      <x:c r="B160" s="250"/>
      <x:c r="C160" s="566" t="str">
        <x:f>IF(B160="","",IFERROR(VLOOKUP(B160,PERUMAHAN!$A:$B,2,FALSE),"ID tidak ditemukan"))</x:f>
      </x:c>
      <x:c r="D160" s="250"/>
      <x:c r="E160" s="250"/>
      <x:c r="F160" s="250"/>
      <x:c r="G160" s="252"/>
      <x:c r="H160" s="252"/>
      <x:c r="I160" s="250"/>
      <x:c r="J160" s="250"/>
      <x:c r="K160" s="250"/>
      <x:c r="L160" s="250"/>
      <x:c r="M160" s="252"/>
      <x:c r="N160" s="252"/>
      <x:c r="O160" s="251"/>
      <x:c r="P160" s="250"/>
      <x:c r="Q160" s="250"/>
      <x:c r="R160" s="250"/>
      <x:c r="S160" s="253"/>
      <x:c r="T160" s="250"/>
      <x:c r="U160"/>
      <x:c r="AA160"/>
      <x:c r="AB160"/>
      <x:c r="AC160"/>
      <x:c r="AD160"/>
      <x:c r="AE160"/>
      <x:c r="AF160"/>
      <x:c r="AG160"/>
      <x:c r="AH160"/>
      <x:c r="AI160"/>
      <x:c r="AJ160"/>
      <x:c r="AK160"/>
      <x:c r="AL160"/>
      <x:c r="AM160"/>
      <x:c r="AN160"/>
      <x:c r="AO160"/>
      <x:c r="AP160"/>
      <x:c r="AQ160"/>
      <x:c r="AR160"/>
    </x:row>
    <x:row r="161" s="248" customFormat="1">
      <x:c r="A161" s="250"/>
      <x:c r="B161" s="250"/>
      <x:c r="C161" s="566" t="str">
        <x:f>IF(B161="","",IFERROR(VLOOKUP(B161,PERUMAHAN!$A:$B,2,FALSE),"ID tidak ditemukan"))</x:f>
      </x:c>
      <x:c r="D161" s="250"/>
      <x:c r="E161" s="250"/>
      <x:c r="F161" s="250"/>
      <x:c r="G161" s="252"/>
      <x:c r="H161" s="252"/>
      <x:c r="I161" s="250"/>
      <x:c r="J161" s="250"/>
      <x:c r="K161" s="250"/>
      <x:c r="L161" s="250"/>
      <x:c r="M161" s="252"/>
      <x:c r="N161" s="252"/>
      <x:c r="O161" s="251"/>
      <x:c r="P161" s="250"/>
      <x:c r="Q161" s="250"/>
      <x:c r="R161" s="250"/>
      <x:c r="S161" s="253"/>
      <x:c r="T161" s="250"/>
      <x:c r="U161"/>
      <x:c r="AA161"/>
      <x:c r="AB161"/>
      <x:c r="AC161"/>
      <x:c r="AD161"/>
      <x:c r="AE161"/>
      <x:c r="AF161"/>
      <x:c r="AG161"/>
      <x:c r="AH161"/>
      <x:c r="AI161"/>
      <x:c r="AJ161"/>
      <x:c r="AK161"/>
      <x:c r="AL161"/>
      <x:c r="AM161"/>
      <x:c r="AN161"/>
      <x:c r="AO161"/>
      <x:c r="AP161"/>
      <x:c r="AQ161"/>
      <x:c r="AR161"/>
    </x:row>
    <x:row r="162" s="248" customFormat="1">
      <x:c r="A162" s="250"/>
      <x:c r="B162" s="250"/>
      <x:c r="C162" s="566" t="str">
        <x:f>IF(B162="","",IFERROR(VLOOKUP(B162,PERUMAHAN!$A:$B,2,FALSE),"ID tidak ditemukan"))</x:f>
      </x:c>
      <x:c r="D162" s="250"/>
      <x:c r="E162" s="250"/>
      <x:c r="F162" s="250"/>
      <x:c r="G162" s="252"/>
      <x:c r="H162" s="252"/>
      <x:c r="I162" s="250"/>
      <x:c r="J162" s="250"/>
      <x:c r="K162" s="250"/>
      <x:c r="L162" s="250"/>
      <x:c r="M162" s="252"/>
      <x:c r="N162" s="252"/>
      <x:c r="O162" s="251"/>
      <x:c r="P162" s="250"/>
      <x:c r="Q162" s="250"/>
      <x:c r="R162" s="250"/>
      <x:c r="S162" s="253"/>
      <x:c r="T162" s="250"/>
      <x:c r="U162"/>
      <x:c r="AA162"/>
      <x:c r="AB162"/>
      <x:c r="AC162"/>
      <x:c r="AD162"/>
      <x:c r="AE162"/>
      <x:c r="AF162"/>
      <x:c r="AG162"/>
      <x:c r="AH162"/>
      <x:c r="AI162"/>
      <x:c r="AJ162"/>
      <x:c r="AK162"/>
      <x:c r="AL162"/>
      <x:c r="AM162"/>
      <x:c r="AN162"/>
      <x:c r="AO162"/>
      <x:c r="AP162"/>
      <x:c r="AQ162"/>
      <x:c r="AR162"/>
    </x:row>
    <x:row r="163" s="248" customFormat="1">
      <x:c r="A163" s="250"/>
      <x:c r="B163" s="250"/>
      <x:c r="C163" s="566" t="str">
        <x:f>IF(B163="","",IFERROR(VLOOKUP(B163,PERUMAHAN!$A:$B,2,FALSE),"ID tidak ditemukan"))</x:f>
      </x:c>
      <x:c r="D163" s="250"/>
      <x:c r="E163" s="250"/>
      <x:c r="F163" s="250"/>
      <x:c r="G163" s="252"/>
      <x:c r="H163" s="252"/>
      <x:c r="I163" s="250"/>
      <x:c r="J163" s="250"/>
      <x:c r="K163" s="250"/>
      <x:c r="L163" s="250"/>
      <x:c r="M163" s="252"/>
      <x:c r="N163" s="252"/>
      <x:c r="O163" s="251"/>
      <x:c r="P163" s="250"/>
      <x:c r="Q163" s="250"/>
      <x:c r="R163" s="250"/>
      <x:c r="S163" s="253"/>
      <x:c r="T163" s="250"/>
      <x:c r="U163"/>
      <x:c r="AA163"/>
      <x:c r="AB163"/>
      <x:c r="AC163"/>
      <x:c r="AD163"/>
      <x:c r="AE163"/>
      <x:c r="AF163"/>
      <x:c r="AG163"/>
      <x:c r="AH163"/>
      <x:c r="AI163"/>
      <x:c r="AJ163"/>
      <x:c r="AK163"/>
      <x:c r="AL163"/>
      <x:c r="AM163"/>
      <x:c r="AN163"/>
      <x:c r="AO163"/>
      <x:c r="AP163"/>
      <x:c r="AQ163"/>
      <x:c r="AR163"/>
    </x:row>
    <x:row r="164" s="248" customFormat="1">
      <x:c r="A164" s="250"/>
      <x:c r="B164" s="250"/>
      <x:c r="C164" s="566" t="str">
        <x:f>IF(B164="","",IFERROR(VLOOKUP(B164,PERUMAHAN!$A:$B,2,FALSE),"ID tidak ditemukan"))</x:f>
      </x:c>
      <x:c r="D164" s="250"/>
      <x:c r="E164" s="250"/>
      <x:c r="F164" s="250"/>
      <x:c r="G164" s="252"/>
      <x:c r="H164" s="252"/>
      <x:c r="I164" s="250"/>
      <x:c r="J164" s="250"/>
      <x:c r="K164" s="250"/>
      <x:c r="L164" s="250"/>
      <x:c r="M164" s="252"/>
      <x:c r="N164" s="252"/>
      <x:c r="O164" s="251"/>
      <x:c r="P164" s="250"/>
      <x:c r="Q164" s="250"/>
      <x:c r="R164" s="250"/>
      <x:c r="S164" s="253"/>
      <x:c r="T164" s="250"/>
      <x:c r="U164"/>
      <x:c r="AA164"/>
      <x:c r="AB164"/>
      <x:c r="AC164"/>
      <x:c r="AD164"/>
      <x:c r="AE164"/>
      <x:c r="AF164"/>
      <x:c r="AG164"/>
      <x:c r="AH164"/>
      <x:c r="AI164"/>
      <x:c r="AJ164"/>
      <x:c r="AK164"/>
      <x:c r="AL164"/>
      <x:c r="AM164"/>
      <x:c r="AN164"/>
      <x:c r="AO164"/>
      <x:c r="AP164"/>
      <x:c r="AQ164"/>
      <x:c r="AR164"/>
    </x:row>
    <x:row r="165" s="248" customFormat="1">
      <x:c r="A165" s="250"/>
      <x:c r="B165" s="250"/>
      <x:c r="C165" s="566" t="str">
        <x:f>IF(B165="","",IFERROR(VLOOKUP(B165,PERUMAHAN!$A:$B,2,FALSE),"ID tidak ditemukan"))</x:f>
      </x:c>
      <x:c r="D165" s="250"/>
      <x:c r="E165" s="250"/>
      <x:c r="F165" s="250"/>
      <x:c r="G165" s="252"/>
      <x:c r="H165" s="252"/>
      <x:c r="I165" s="250"/>
      <x:c r="J165" s="250"/>
      <x:c r="K165" s="250"/>
      <x:c r="L165" s="250"/>
      <x:c r="M165" s="252"/>
      <x:c r="N165" s="252"/>
      <x:c r="O165" s="251"/>
      <x:c r="P165" s="250"/>
      <x:c r="Q165" s="250"/>
      <x:c r="R165" s="250"/>
      <x:c r="S165" s="253"/>
      <x:c r="T165" s="250"/>
      <x:c r="U165"/>
      <x:c r="AA165"/>
      <x:c r="AB165"/>
      <x:c r="AC165"/>
      <x:c r="AD165"/>
      <x:c r="AE165"/>
      <x:c r="AF165"/>
      <x:c r="AG165"/>
      <x:c r="AH165"/>
      <x:c r="AI165"/>
      <x:c r="AJ165"/>
      <x:c r="AK165"/>
      <x:c r="AL165"/>
      <x:c r="AM165"/>
      <x:c r="AN165"/>
      <x:c r="AO165"/>
      <x:c r="AP165"/>
      <x:c r="AQ165"/>
      <x:c r="AR165"/>
    </x:row>
    <x:row r="166" s="248" customFormat="1">
      <x:c r="A166" s="250"/>
      <x:c r="B166" s="250"/>
      <x:c r="C166" s="566" t="str">
        <x:f>IF(B166="","",IFERROR(VLOOKUP(B166,PERUMAHAN!$A:$B,2,FALSE),"ID tidak ditemukan"))</x:f>
      </x:c>
      <x:c r="D166" s="250"/>
      <x:c r="E166" s="250"/>
      <x:c r="F166" s="250"/>
      <x:c r="G166" s="252"/>
      <x:c r="H166" s="252"/>
      <x:c r="I166" s="250"/>
      <x:c r="J166" s="250"/>
      <x:c r="K166" s="250"/>
      <x:c r="L166" s="250"/>
      <x:c r="M166" s="252"/>
      <x:c r="N166" s="252"/>
      <x:c r="O166" s="251"/>
      <x:c r="P166" s="250"/>
      <x:c r="Q166" s="250"/>
      <x:c r="R166" s="250"/>
      <x:c r="S166" s="253"/>
      <x:c r="T166" s="250"/>
      <x:c r="U166"/>
      <x:c r="AA166"/>
      <x:c r="AB166"/>
      <x:c r="AC166"/>
      <x:c r="AD166"/>
      <x:c r="AE166"/>
      <x:c r="AF166"/>
      <x:c r="AG166"/>
      <x:c r="AH166"/>
      <x:c r="AI166"/>
      <x:c r="AJ166"/>
      <x:c r="AK166"/>
      <x:c r="AL166"/>
      <x:c r="AM166"/>
      <x:c r="AN166"/>
      <x:c r="AO166"/>
      <x:c r="AP166"/>
      <x:c r="AQ166"/>
      <x:c r="AR166"/>
    </x:row>
    <x:row r="167" s="248" customFormat="1">
      <x:c r="A167" s="250"/>
      <x:c r="B167" s="250"/>
      <x:c r="C167" s="566" t="str">
        <x:f>IF(B167="","",IFERROR(VLOOKUP(B167,PERUMAHAN!$A:$B,2,FALSE),"ID tidak ditemukan"))</x:f>
      </x:c>
      <x:c r="D167" s="250"/>
      <x:c r="E167" s="250"/>
      <x:c r="F167" s="250"/>
      <x:c r="G167" s="252"/>
      <x:c r="H167" s="252"/>
      <x:c r="I167" s="250"/>
      <x:c r="J167" s="250"/>
      <x:c r="K167" s="250"/>
      <x:c r="L167" s="250"/>
      <x:c r="M167" s="252"/>
      <x:c r="N167" s="252"/>
      <x:c r="O167" s="251"/>
      <x:c r="P167" s="250"/>
      <x:c r="Q167" s="250"/>
      <x:c r="R167" s="250"/>
      <x:c r="S167" s="253"/>
      <x:c r="T167" s="250"/>
      <x:c r="U167"/>
      <x:c r="AA167"/>
      <x:c r="AB167"/>
      <x:c r="AC167"/>
      <x:c r="AD167"/>
      <x:c r="AE167"/>
      <x:c r="AF167"/>
      <x:c r="AG167"/>
      <x:c r="AH167"/>
      <x:c r="AI167"/>
      <x:c r="AJ167"/>
      <x:c r="AK167"/>
      <x:c r="AL167"/>
      <x:c r="AM167"/>
      <x:c r="AN167"/>
      <x:c r="AO167"/>
      <x:c r="AP167"/>
      <x:c r="AQ167"/>
      <x:c r="AR167"/>
    </x:row>
    <x:row r="168" s="248" customFormat="1">
      <x:c r="A168" s="250"/>
      <x:c r="B168" s="250"/>
      <x:c r="C168" s="566" t="str">
        <x:f>IF(B168="","",IFERROR(VLOOKUP(B168,PERUMAHAN!$A:$B,2,FALSE),"ID tidak ditemukan"))</x:f>
      </x:c>
      <x:c r="D168" s="250"/>
      <x:c r="E168" s="250"/>
      <x:c r="F168" s="250"/>
      <x:c r="G168" s="252"/>
      <x:c r="H168" s="252"/>
      <x:c r="I168" s="250"/>
      <x:c r="J168" s="250"/>
      <x:c r="K168" s="250"/>
      <x:c r="L168" s="250"/>
      <x:c r="M168" s="252"/>
      <x:c r="N168" s="252"/>
      <x:c r="O168" s="251"/>
      <x:c r="P168" s="250"/>
      <x:c r="Q168" s="250"/>
      <x:c r="R168" s="250"/>
      <x:c r="S168" s="253"/>
      <x:c r="T168" s="250"/>
      <x:c r="U168"/>
      <x:c r="AA168"/>
      <x:c r="AB168"/>
      <x:c r="AC168"/>
      <x:c r="AD168"/>
      <x:c r="AE168"/>
      <x:c r="AF168"/>
      <x:c r="AG168"/>
      <x:c r="AH168"/>
      <x:c r="AI168"/>
      <x:c r="AJ168"/>
      <x:c r="AK168"/>
      <x:c r="AL168"/>
      <x:c r="AM168"/>
      <x:c r="AN168"/>
      <x:c r="AO168"/>
      <x:c r="AP168"/>
      <x:c r="AQ168"/>
      <x:c r="AR168"/>
    </x:row>
    <x:row r="169" s="248" customFormat="1">
      <x:c r="A169" s="250"/>
      <x:c r="B169" s="250"/>
      <x:c r="C169" s="566" t="str">
        <x:f>IF(B169="","",IFERROR(VLOOKUP(B169,PERUMAHAN!$A:$B,2,FALSE),"ID tidak ditemukan"))</x:f>
      </x:c>
      <x:c r="D169" s="250"/>
      <x:c r="E169" s="250"/>
      <x:c r="F169" s="250"/>
      <x:c r="G169" s="252"/>
      <x:c r="H169" s="252"/>
      <x:c r="I169" s="250"/>
      <x:c r="J169" s="250"/>
      <x:c r="K169" s="250"/>
      <x:c r="L169" s="250"/>
      <x:c r="M169" s="252"/>
      <x:c r="N169" s="252"/>
      <x:c r="O169" s="251"/>
      <x:c r="P169" s="250"/>
      <x:c r="Q169" s="250"/>
      <x:c r="R169" s="250"/>
      <x:c r="S169" s="253"/>
      <x:c r="T169" s="250"/>
      <x:c r="U169"/>
      <x:c r="AA169"/>
      <x:c r="AB169"/>
      <x:c r="AC169"/>
      <x:c r="AD169"/>
      <x:c r="AE169"/>
      <x:c r="AF169"/>
      <x:c r="AG169"/>
      <x:c r="AH169"/>
      <x:c r="AI169"/>
      <x:c r="AJ169"/>
      <x:c r="AK169"/>
      <x:c r="AL169"/>
      <x:c r="AM169"/>
      <x:c r="AN169"/>
      <x:c r="AO169"/>
      <x:c r="AP169"/>
      <x:c r="AQ169"/>
      <x:c r="AR169"/>
    </x:row>
    <x:row r="170" s="248" customFormat="1">
      <x:c r="A170" s="250"/>
      <x:c r="B170" s="250"/>
      <x:c r="C170" s="566" t="str">
        <x:f>IF(B170="","",IFERROR(VLOOKUP(B170,PERUMAHAN!$A:$B,2,FALSE),"ID tidak ditemukan"))</x:f>
      </x:c>
      <x:c r="D170" s="250"/>
      <x:c r="E170" s="250"/>
      <x:c r="F170" s="250"/>
      <x:c r="G170" s="252"/>
      <x:c r="H170" s="252"/>
      <x:c r="I170" s="250"/>
      <x:c r="J170" s="250"/>
      <x:c r="K170" s="250"/>
      <x:c r="L170" s="250"/>
      <x:c r="M170" s="252"/>
      <x:c r="N170" s="252"/>
      <x:c r="O170" s="251"/>
      <x:c r="P170" s="250"/>
      <x:c r="Q170" s="250"/>
      <x:c r="R170" s="250"/>
      <x:c r="S170" s="253"/>
      <x:c r="T170" s="250"/>
      <x:c r="U170"/>
      <x:c r="AA170"/>
      <x:c r="AB170"/>
      <x:c r="AC170"/>
      <x:c r="AD170"/>
      <x:c r="AE170"/>
      <x:c r="AF170"/>
      <x:c r="AG170"/>
      <x:c r="AH170"/>
      <x:c r="AI170"/>
      <x:c r="AJ170"/>
      <x:c r="AK170"/>
      <x:c r="AL170"/>
      <x:c r="AM170"/>
      <x:c r="AN170"/>
      <x:c r="AO170"/>
      <x:c r="AP170"/>
      <x:c r="AQ170"/>
      <x:c r="AR170"/>
    </x:row>
    <x:row r="171" s="248" customFormat="1">
      <x:c r="A171" s="250"/>
      <x:c r="B171" s="250"/>
      <x:c r="C171" s="566" t="str">
        <x:f>IF(B171="","",IFERROR(VLOOKUP(B171,PERUMAHAN!$A:$B,2,FALSE),"ID tidak ditemukan"))</x:f>
      </x:c>
      <x:c r="D171" s="250"/>
      <x:c r="E171" s="250"/>
      <x:c r="F171" s="250"/>
      <x:c r="G171" s="252"/>
      <x:c r="H171" s="252"/>
      <x:c r="I171" s="250"/>
      <x:c r="J171" s="250"/>
      <x:c r="K171" s="250"/>
      <x:c r="L171" s="250"/>
      <x:c r="M171" s="252"/>
      <x:c r="N171" s="252"/>
      <x:c r="O171" s="251"/>
      <x:c r="P171" s="250"/>
      <x:c r="Q171" s="250"/>
      <x:c r="R171" s="250"/>
      <x:c r="S171" s="253"/>
      <x:c r="T171" s="250"/>
      <x:c r="U171"/>
      <x:c r="AA171"/>
      <x:c r="AB171"/>
      <x:c r="AC171"/>
      <x:c r="AD171"/>
      <x:c r="AE171"/>
      <x:c r="AF171"/>
      <x:c r="AG171"/>
      <x:c r="AH171"/>
      <x:c r="AI171"/>
      <x:c r="AJ171"/>
      <x:c r="AK171"/>
      <x:c r="AL171"/>
      <x:c r="AM171"/>
      <x:c r="AN171"/>
      <x:c r="AO171"/>
      <x:c r="AP171"/>
      <x:c r="AQ171"/>
      <x:c r="AR171"/>
    </x:row>
    <x:row r="172" s="248" customFormat="1">
      <x:c r="A172" s="250"/>
      <x:c r="B172" s="250"/>
      <x:c r="C172" s="566" t="str">
        <x:f>IF(B172="","",IFERROR(VLOOKUP(B172,PERUMAHAN!$A:$B,2,FALSE),"ID tidak ditemukan"))</x:f>
      </x:c>
      <x:c r="D172" s="250"/>
      <x:c r="E172" s="250"/>
      <x:c r="F172" s="250"/>
      <x:c r="G172" s="252"/>
      <x:c r="H172" s="252"/>
      <x:c r="I172" s="250"/>
      <x:c r="J172" s="250"/>
      <x:c r="K172" s="250"/>
      <x:c r="L172" s="250"/>
      <x:c r="M172" s="252"/>
      <x:c r="N172" s="252"/>
      <x:c r="O172" s="251"/>
      <x:c r="P172" s="250"/>
      <x:c r="Q172" s="250"/>
      <x:c r="R172" s="250"/>
      <x:c r="S172" s="253"/>
      <x:c r="T172" s="250"/>
      <x:c r="U172"/>
      <x:c r="AA172"/>
      <x:c r="AB172"/>
      <x:c r="AC172"/>
      <x:c r="AD172"/>
      <x:c r="AE172"/>
      <x:c r="AF172"/>
      <x:c r="AG172"/>
      <x:c r="AH172"/>
      <x:c r="AI172"/>
      <x:c r="AJ172"/>
      <x:c r="AK172"/>
      <x:c r="AL172"/>
      <x:c r="AM172"/>
      <x:c r="AN172"/>
      <x:c r="AO172"/>
      <x:c r="AP172"/>
      <x:c r="AQ172"/>
      <x:c r="AR172"/>
    </x:row>
    <x:row r="173" s="248" customFormat="1">
      <x:c r="A173" s="250"/>
      <x:c r="B173" s="250"/>
      <x:c r="C173" s="566" t="str">
        <x:f>IF(B173="","",IFERROR(VLOOKUP(B173,PERUMAHAN!$A:$B,2,FALSE),"ID tidak ditemukan"))</x:f>
      </x:c>
      <x:c r="D173" s="250"/>
      <x:c r="E173" s="250"/>
      <x:c r="F173" s="250"/>
      <x:c r="G173" s="252"/>
      <x:c r="H173" s="252"/>
      <x:c r="I173" s="250"/>
      <x:c r="J173" s="250"/>
      <x:c r="K173" s="250"/>
      <x:c r="L173" s="250"/>
      <x:c r="M173" s="252"/>
      <x:c r="N173" s="252"/>
      <x:c r="O173" s="251"/>
      <x:c r="P173" s="250"/>
      <x:c r="Q173" s="250"/>
      <x:c r="R173" s="250"/>
      <x:c r="S173" s="253"/>
      <x:c r="T173" s="250"/>
      <x:c r="U173"/>
      <x:c r="AA173"/>
      <x:c r="AB173"/>
      <x:c r="AC173"/>
      <x:c r="AD173"/>
      <x:c r="AE173"/>
      <x:c r="AF173"/>
      <x:c r="AG173"/>
      <x:c r="AH173"/>
      <x:c r="AI173"/>
      <x:c r="AJ173"/>
      <x:c r="AK173"/>
      <x:c r="AL173"/>
      <x:c r="AM173"/>
      <x:c r="AN173"/>
      <x:c r="AO173"/>
      <x:c r="AP173"/>
      <x:c r="AQ173"/>
      <x:c r="AR173"/>
    </x:row>
    <x:row r="174" s="248" customFormat="1">
      <x:c r="A174" s="250"/>
      <x:c r="B174" s="250"/>
      <x:c r="C174" s="566" t="str">
        <x:f>IF(B174="","",IFERROR(VLOOKUP(B174,PERUMAHAN!$A:$B,2,FALSE),"ID tidak ditemukan"))</x:f>
      </x:c>
      <x:c r="D174" s="250"/>
      <x:c r="E174" s="250"/>
      <x:c r="F174" s="250"/>
      <x:c r="G174" s="252"/>
      <x:c r="H174" s="252"/>
      <x:c r="I174" s="250"/>
      <x:c r="J174" s="250"/>
      <x:c r="K174" s="250"/>
      <x:c r="L174" s="250"/>
      <x:c r="M174" s="252"/>
      <x:c r="N174" s="252"/>
      <x:c r="O174" s="251"/>
      <x:c r="P174" s="250"/>
      <x:c r="Q174" s="250"/>
      <x:c r="R174" s="250"/>
      <x:c r="S174" s="253"/>
      <x:c r="T174" s="250"/>
      <x:c r="U174"/>
      <x:c r="AA174"/>
      <x:c r="AB174"/>
      <x:c r="AC174"/>
      <x:c r="AD174"/>
      <x:c r="AE174"/>
      <x:c r="AF174"/>
      <x:c r="AG174"/>
      <x:c r="AH174"/>
      <x:c r="AI174"/>
      <x:c r="AJ174"/>
      <x:c r="AK174"/>
      <x:c r="AL174"/>
      <x:c r="AM174"/>
      <x:c r="AN174"/>
      <x:c r="AO174"/>
      <x:c r="AP174"/>
      <x:c r="AQ174"/>
      <x:c r="AR174"/>
    </x:row>
    <x:row r="175" s="248" customFormat="1">
      <x:c r="A175" s="250"/>
      <x:c r="B175" s="250"/>
      <x:c r="C175" s="566" t="str">
        <x:f>IF(B175="","",IFERROR(VLOOKUP(B175,PERUMAHAN!$A:$B,2,FALSE),"ID tidak ditemukan"))</x:f>
      </x:c>
      <x:c r="D175" s="250"/>
      <x:c r="E175" s="250"/>
      <x:c r="F175" s="250"/>
      <x:c r="G175" s="252"/>
      <x:c r="H175" s="252"/>
      <x:c r="I175" s="250"/>
      <x:c r="J175" s="250"/>
      <x:c r="K175" s="250"/>
      <x:c r="L175" s="250"/>
      <x:c r="M175" s="252"/>
      <x:c r="N175" s="252"/>
      <x:c r="O175" s="251"/>
      <x:c r="P175" s="250"/>
      <x:c r="Q175" s="250"/>
      <x:c r="R175" s="250"/>
      <x:c r="S175" s="253"/>
      <x:c r="T175" s="250"/>
      <x:c r="U175"/>
      <x:c r="AA175"/>
      <x:c r="AB175"/>
      <x:c r="AC175"/>
      <x:c r="AD175"/>
      <x:c r="AE175"/>
      <x:c r="AF175"/>
      <x:c r="AG175"/>
      <x:c r="AH175"/>
      <x:c r="AI175"/>
      <x:c r="AJ175"/>
      <x:c r="AK175"/>
      <x:c r="AL175"/>
      <x:c r="AM175"/>
      <x:c r="AN175"/>
      <x:c r="AO175"/>
      <x:c r="AP175"/>
      <x:c r="AQ175"/>
      <x:c r="AR175"/>
    </x:row>
    <x:row r="176" s="248" customFormat="1">
      <x:c r="A176" s="250"/>
      <x:c r="B176" s="250"/>
      <x:c r="C176" s="566" t="str">
        <x:f>IF(B176="","",IFERROR(VLOOKUP(B176,PERUMAHAN!$A:$B,2,FALSE),"ID tidak ditemukan"))</x:f>
      </x:c>
      <x:c r="D176" s="250"/>
      <x:c r="E176" s="250"/>
      <x:c r="F176" s="250"/>
      <x:c r="G176" s="252"/>
      <x:c r="H176" s="252"/>
      <x:c r="I176" s="250"/>
      <x:c r="J176" s="250"/>
      <x:c r="K176" s="250"/>
      <x:c r="L176" s="250"/>
      <x:c r="M176" s="252"/>
      <x:c r="N176" s="252"/>
      <x:c r="O176" s="251"/>
      <x:c r="P176" s="250"/>
      <x:c r="Q176" s="250"/>
      <x:c r="R176" s="250"/>
      <x:c r="S176" s="253"/>
      <x:c r="T176" s="250"/>
      <x:c r="U176"/>
      <x:c r="AA176"/>
      <x:c r="AB176"/>
      <x:c r="AC176"/>
      <x:c r="AD176"/>
      <x:c r="AE176"/>
      <x:c r="AF176"/>
      <x:c r="AG176"/>
      <x:c r="AH176"/>
      <x:c r="AI176"/>
      <x:c r="AJ176"/>
      <x:c r="AK176"/>
      <x:c r="AL176"/>
      <x:c r="AM176"/>
      <x:c r="AN176"/>
      <x:c r="AO176"/>
      <x:c r="AP176"/>
      <x:c r="AQ176"/>
      <x:c r="AR176"/>
    </x:row>
    <x:row r="177" s="248" customFormat="1">
      <x:c r="A177" s="250"/>
      <x:c r="B177" s="250"/>
      <x:c r="C177" s="566" t="str">
        <x:f>IF(B177="","",IFERROR(VLOOKUP(B177,PERUMAHAN!$A:$B,2,FALSE),"ID tidak ditemukan"))</x:f>
      </x:c>
      <x:c r="D177" s="250"/>
      <x:c r="E177" s="250"/>
      <x:c r="F177" s="250"/>
      <x:c r="G177" s="252"/>
      <x:c r="H177" s="252"/>
      <x:c r="I177" s="250"/>
      <x:c r="J177" s="250"/>
      <x:c r="K177" s="250"/>
      <x:c r="L177" s="250"/>
      <x:c r="M177" s="252"/>
      <x:c r="N177" s="252"/>
      <x:c r="O177" s="251"/>
      <x:c r="P177" s="250"/>
      <x:c r="Q177" s="250"/>
      <x:c r="R177" s="250"/>
      <x:c r="S177" s="253"/>
      <x:c r="T177" s="250"/>
      <x:c r="U177"/>
      <x:c r="AA177"/>
      <x:c r="AB177"/>
      <x:c r="AC177"/>
      <x:c r="AD177"/>
      <x:c r="AE177"/>
      <x:c r="AF177"/>
      <x:c r="AG177"/>
      <x:c r="AH177"/>
      <x:c r="AI177"/>
      <x:c r="AJ177"/>
      <x:c r="AK177"/>
      <x:c r="AL177"/>
      <x:c r="AM177"/>
      <x:c r="AN177"/>
      <x:c r="AO177"/>
      <x:c r="AP177"/>
      <x:c r="AQ177"/>
      <x:c r="AR177"/>
    </x:row>
    <x:row r="178" s="248" customFormat="1">
      <x:c r="A178" s="250"/>
      <x:c r="B178" s="250"/>
      <x:c r="C178" s="566" t="str">
        <x:f>IF(B178="","",IFERROR(VLOOKUP(B178,PERUMAHAN!$A:$B,2,FALSE),"ID tidak ditemukan"))</x:f>
      </x:c>
      <x:c r="D178" s="250"/>
      <x:c r="E178" s="250"/>
      <x:c r="F178" s="250"/>
      <x:c r="G178" s="252"/>
      <x:c r="H178" s="252"/>
      <x:c r="I178" s="250"/>
      <x:c r="J178" s="250"/>
      <x:c r="K178" s="250"/>
      <x:c r="L178" s="250"/>
      <x:c r="M178" s="252"/>
      <x:c r="N178" s="252"/>
      <x:c r="O178" s="251"/>
      <x:c r="P178" s="250"/>
      <x:c r="Q178" s="250"/>
      <x:c r="R178" s="250"/>
      <x:c r="S178" s="253"/>
      <x:c r="T178" s="250"/>
      <x:c r="U178"/>
      <x:c r="AA178"/>
      <x:c r="AB178"/>
      <x:c r="AC178"/>
      <x:c r="AD178"/>
      <x:c r="AE178"/>
      <x:c r="AF178"/>
      <x:c r="AG178"/>
      <x:c r="AH178"/>
      <x:c r="AI178"/>
      <x:c r="AJ178"/>
      <x:c r="AK178"/>
      <x:c r="AL178"/>
      <x:c r="AM178"/>
      <x:c r="AN178"/>
      <x:c r="AO178"/>
      <x:c r="AP178"/>
      <x:c r="AQ178"/>
      <x:c r="AR178"/>
    </x:row>
    <x:row r="179" s="248" customFormat="1">
      <x:c r="A179" s="250"/>
      <x:c r="B179" s="250"/>
      <x:c r="C179" s="566" t="str">
        <x:f>IF(B179="","",IFERROR(VLOOKUP(B179,PERUMAHAN!$A:$B,2,FALSE),"ID tidak ditemukan"))</x:f>
      </x:c>
      <x:c r="D179" s="250"/>
      <x:c r="E179" s="250"/>
      <x:c r="F179" s="250"/>
      <x:c r="G179" s="252"/>
      <x:c r="H179" s="252"/>
      <x:c r="I179" s="250"/>
      <x:c r="J179" s="250"/>
      <x:c r="K179" s="250"/>
      <x:c r="L179" s="250"/>
      <x:c r="M179" s="252"/>
      <x:c r="N179" s="252"/>
      <x:c r="O179" s="251"/>
      <x:c r="P179" s="250"/>
      <x:c r="Q179" s="250"/>
      <x:c r="R179" s="250"/>
      <x:c r="S179" s="253"/>
      <x:c r="T179" s="250"/>
      <x:c r="U179"/>
      <x:c r="AA179"/>
      <x:c r="AB179"/>
      <x:c r="AC179"/>
      <x:c r="AD179"/>
      <x:c r="AE179"/>
      <x:c r="AF179"/>
      <x:c r="AG179"/>
      <x:c r="AH179"/>
      <x:c r="AI179"/>
      <x:c r="AJ179"/>
      <x:c r="AK179"/>
      <x:c r="AL179"/>
      <x:c r="AM179"/>
      <x:c r="AN179"/>
      <x:c r="AO179"/>
      <x:c r="AP179"/>
      <x:c r="AQ179"/>
      <x:c r="AR179"/>
    </x:row>
    <x:row r="180" s="248" customFormat="1">
      <x:c r="A180" s="250"/>
      <x:c r="B180" s="250"/>
      <x:c r="C180" s="566" t="str">
        <x:f>IF(B180="","",IFERROR(VLOOKUP(B180,PERUMAHAN!$A:$B,2,FALSE),"ID tidak ditemukan"))</x:f>
      </x:c>
      <x:c r="D180" s="250"/>
      <x:c r="E180" s="250"/>
      <x:c r="F180" s="250"/>
      <x:c r="G180" s="252"/>
      <x:c r="H180" s="252"/>
      <x:c r="I180" s="250"/>
      <x:c r="J180" s="250"/>
      <x:c r="K180" s="250"/>
      <x:c r="L180" s="250"/>
      <x:c r="M180" s="252"/>
      <x:c r="N180" s="252"/>
      <x:c r="O180" s="251"/>
      <x:c r="P180" s="250"/>
      <x:c r="Q180" s="250"/>
      <x:c r="R180" s="250"/>
      <x:c r="S180" s="253"/>
      <x:c r="T180" s="250"/>
      <x:c r="U180"/>
      <x:c r="AA180"/>
      <x:c r="AB180"/>
      <x:c r="AC180"/>
      <x:c r="AD180"/>
      <x:c r="AE180"/>
      <x:c r="AF180"/>
      <x:c r="AG180"/>
      <x:c r="AH180"/>
      <x:c r="AI180"/>
      <x:c r="AJ180"/>
      <x:c r="AK180"/>
      <x:c r="AL180"/>
      <x:c r="AM180"/>
      <x:c r="AN180"/>
      <x:c r="AO180"/>
      <x:c r="AP180"/>
      <x:c r="AQ180"/>
      <x:c r="AR180"/>
    </x:row>
    <x:row r="181" s="248" customFormat="1">
      <x:c r="A181" s="250"/>
      <x:c r="B181" s="250"/>
      <x:c r="C181" s="566" t="str">
        <x:f>IF(B181="","",IFERROR(VLOOKUP(B181,PERUMAHAN!$A:$B,2,FALSE),"ID tidak ditemukan"))</x:f>
      </x:c>
      <x:c r="D181" s="250"/>
      <x:c r="E181" s="250"/>
      <x:c r="F181" s="250"/>
      <x:c r="G181" s="252"/>
      <x:c r="H181" s="252"/>
      <x:c r="I181" s="250"/>
      <x:c r="J181" s="250"/>
      <x:c r="K181" s="250"/>
      <x:c r="L181" s="250"/>
      <x:c r="M181" s="252"/>
      <x:c r="N181" s="252"/>
      <x:c r="O181" s="251"/>
      <x:c r="P181" s="250"/>
      <x:c r="Q181" s="250"/>
      <x:c r="R181" s="250"/>
      <x:c r="S181" s="253"/>
      <x:c r="T181" s="250"/>
      <x:c r="U181"/>
      <x:c r="AA181"/>
      <x:c r="AB181"/>
      <x:c r="AC181"/>
      <x:c r="AD181"/>
      <x:c r="AE181"/>
      <x:c r="AF181"/>
      <x:c r="AG181"/>
      <x:c r="AH181"/>
      <x:c r="AI181"/>
      <x:c r="AJ181"/>
      <x:c r="AK181"/>
      <x:c r="AL181"/>
      <x:c r="AM181"/>
      <x:c r="AN181"/>
      <x:c r="AO181"/>
      <x:c r="AP181"/>
      <x:c r="AQ181"/>
      <x:c r="AR181"/>
    </x:row>
    <x:row r="182" s="248" customFormat="1">
      <x:c r="A182" s="250"/>
      <x:c r="B182" s="250"/>
      <x:c r="C182" s="566" t="str">
        <x:f>IF(B182="","",IFERROR(VLOOKUP(B182,PERUMAHAN!$A:$B,2,FALSE),"ID tidak ditemukan"))</x:f>
      </x:c>
      <x:c r="D182" s="250"/>
      <x:c r="E182" s="250"/>
      <x:c r="F182" s="250"/>
      <x:c r="G182" s="252"/>
      <x:c r="H182" s="252"/>
      <x:c r="I182" s="250"/>
      <x:c r="J182" s="250"/>
      <x:c r="K182" s="250"/>
      <x:c r="L182" s="250"/>
      <x:c r="M182" s="252"/>
      <x:c r="N182" s="252"/>
      <x:c r="O182" s="251"/>
      <x:c r="P182" s="250"/>
      <x:c r="Q182" s="250"/>
      <x:c r="R182" s="250"/>
      <x:c r="S182" s="253"/>
      <x:c r="T182" s="250"/>
      <x:c r="U182"/>
      <x:c r="AA182"/>
      <x:c r="AB182"/>
      <x:c r="AC182"/>
      <x:c r="AD182"/>
      <x:c r="AE182"/>
      <x:c r="AF182"/>
      <x:c r="AG182"/>
      <x:c r="AH182"/>
      <x:c r="AI182"/>
      <x:c r="AJ182"/>
      <x:c r="AK182"/>
      <x:c r="AL182"/>
      <x:c r="AM182"/>
      <x:c r="AN182"/>
      <x:c r="AO182"/>
      <x:c r="AP182"/>
      <x:c r="AQ182"/>
      <x:c r="AR182"/>
    </x:row>
    <x:row r="183" s="248" customFormat="1">
      <x:c r="A183" s="250"/>
      <x:c r="B183" s="250"/>
      <x:c r="C183" s="566" t="str">
        <x:f>IF(B183="","",IFERROR(VLOOKUP(B183,PERUMAHAN!$A:$B,2,FALSE),"ID tidak ditemukan"))</x:f>
      </x:c>
      <x:c r="D183" s="250"/>
      <x:c r="E183" s="250"/>
      <x:c r="F183" s="250"/>
      <x:c r="G183" s="252"/>
      <x:c r="H183" s="252"/>
      <x:c r="I183" s="250"/>
      <x:c r="J183" s="250"/>
      <x:c r="K183" s="250"/>
      <x:c r="L183" s="250"/>
      <x:c r="M183" s="252"/>
      <x:c r="N183" s="252"/>
      <x:c r="O183" s="251"/>
      <x:c r="P183" s="250"/>
      <x:c r="Q183" s="250"/>
      <x:c r="R183" s="250"/>
      <x:c r="S183" s="253"/>
      <x:c r="T183" s="250"/>
      <x:c r="U183"/>
      <x:c r="AA183"/>
      <x:c r="AB183"/>
      <x:c r="AC183"/>
      <x:c r="AD183"/>
      <x:c r="AE183"/>
      <x:c r="AF183"/>
      <x:c r="AG183"/>
      <x:c r="AH183"/>
      <x:c r="AI183"/>
      <x:c r="AJ183"/>
      <x:c r="AK183"/>
      <x:c r="AL183"/>
      <x:c r="AM183"/>
      <x:c r="AN183"/>
      <x:c r="AO183"/>
      <x:c r="AP183"/>
      <x:c r="AQ183"/>
      <x:c r="AR183"/>
    </x:row>
    <x:row r="184" s="248" customFormat="1">
      <x:c r="A184" s="250"/>
      <x:c r="B184" s="250"/>
      <x:c r="C184" s="566" t="str">
        <x:f>IF(B184="","",IFERROR(VLOOKUP(B184,PERUMAHAN!$A:$B,2,FALSE),"ID tidak ditemukan"))</x:f>
      </x:c>
      <x:c r="D184" s="250"/>
      <x:c r="E184" s="250"/>
      <x:c r="F184" s="250"/>
      <x:c r="G184" s="252"/>
      <x:c r="H184" s="252"/>
      <x:c r="I184" s="250"/>
      <x:c r="J184" s="250"/>
      <x:c r="K184" s="250"/>
      <x:c r="L184" s="250"/>
      <x:c r="M184" s="252"/>
      <x:c r="N184" s="252"/>
      <x:c r="O184" s="251"/>
      <x:c r="P184" s="250"/>
      <x:c r="Q184" s="250"/>
      <x:c r="R184" s="250"/>
      <x:c r="S184" s="253"/>
      <x:c r="T184" s="250"/>
      <x:c r="U184"/>
      <x:c r="AA184"/>
      <x:c r="AB184"/>
      <x:c r="AC184"/>
      <x:c r="AD184"/>
      <x:c r="AE184"/>
      <x:c r="AF184"/>
      <x:c r="AG184"/>
      <x:c r="AH184"/>
      <x:c r="AI184"/>
      <x:c r="AJ184"/>
      <x:c r="AK184"/>
      <x:c r="AL184"/>
      <x:c r="AM184"/>
      <x:c r="AN184"/>
      <x:c r="AO184"/>
      <x:c r="AP184"/>
      <x:c r="AQ184"/>
      <x:c r="AR184"/>
    </x:row>
    <x:row r="185" s="248" customFormat="1">
      <x:c r="A185" s="250"/>
      <x:c r="B185" s="250"/>
      <x:c r="C185" s="566" t="str">
        <x:f>IF(B185="","",IFERROR(VLOOKUP(B185,PERUMAHAN!$A:$B,2,FALSE),"ID tidak ditemukan"))</x:f>
      </x:c>
      <x:c r="D185" s="250"/>
      <x:c r="E185" s="250"/>
      <x:c r="F185" s="250"/>
      <x:c r="G185" s="252"/>
      <x:c r="H185" s="252"/>
      <x:c r="I185" s="250"/>
      <x:c r="J185" s="250"/>
      <x:c r="K185" s="250"/>
      <x:c r="L185" s="250"/>
      <x:c r="M185" s="252"/>
      <x:c r="N185" s="252"/>
      <x:c r="O185" s="251"/>
      <x:c r="P185" s="250"/>
      <x:c r="Q185" s="250"/>
      <x:c r="R185" s="250"/>
      <x:c r="S185" s="253"/>
      <x:c r="T185" s="250"/>
      <x:c r="U185"/>
      <x:c r="AA185"/>
      <x:c r="AB185"/>
      <x:c r="AC185"/>
      <x:c r="AD185"/>
      <x:c r="AE185"/>
      <x:c r="AF185"/>
      <x:c r="AG185"/>
      <x:c r="AH185"/>
      <x:c r="AI185"/>
      <x:c r="AJ185"/>
      <x:c r="AK185"/>
      <x:c r="AL185"/>
      <x:c r="AM185"/>
      <x:c r="AN185"/>
      <x:c r="AO185"/>
      <x:c r="AP185"/>
      <x:c r="AQ185"/>
      <x:c r="AR185"/>
    </x:row>
    <x:row r="186" s="248" customFormat="1">
      <x:c r="A186" s="250"/>
      <x:c r="B186" s="250"/>
      <x:c r="C186" s="566" t="str">
        <x:f>IF(B186="","",IFERROR(VLOOKUP(B186,PERUMAHAN!$A:$B,2,FALSE),"ID tidak ditemukan"))</x:f>
      </x:c>
      <x:c r="D186" s="250"/>
      <x:c r="E186" s="250"/>
      <x:c r="F186" s="250"/>
      <x:c r="G186" s="252"/>
      <x:c r="H186" s="252"/>
      <x:c r="I186" s="250"/>
      <x:c r="J186" s="250"/>
      <x:c r="K186" s="250"/>
      <x:c r="L186" s="250"/>
      <x:c r="M186" s="252"/>
      <x:c r="N186" s="252"/>
      <x:c r="O186" s="251"/>
      <x:c r="P186" s="250"/>
      <x:c r="Q186" s="250"/>
      <x:c r="R186" s="250"/>
      <x:c r="S186" s="253"/>
      <x:c r="T186" s="250"/>
      <x:c r="U186"/>
      <x:c r="AA186"/>
      <x:c r="AB186"/>
      <x:c r="AC186"/>
      <x:c r="AD186"/>
      <x:c r="AE186"/>
      <x:c r="AF186"/>
      <x:c r="AG186"/>
      <x:c r="AH186"/>
      <x:c r="AI186"/>
      <x:c r="AJ186"/>
      <x:c r="AK186"/>
      <x:c r="AL186"/>
      <x:c r="AM186"/>
      <x:c r="AN186"/>
      <x:c r="AO186"/>
      <x:c r="AP186"/>
      <x:c r="AQ186"/>
      <x:c r="AR186"/>
    </x:row>
    <x:row r="187" s="248" customFormat="1">
      <x:c r="A187" s="250"/>
      <x:c r="B187" s="250"/>
      <x:c r="C187" s="566" t="str">
        <x:f>IF(B187="","",IFERROR(VLOOKUP(B187,PERUMAHAN!$A:$B,2,FALSE),"ID tidak ditemukan"))</x:f>
      </x:c>
      <x:c r="D187" s="250"/>
      <x:c r="E187" s="250"/>
      <x:c r="F187" s="250"/>
      <x:c r="G187" s="252"/>
      <x:c r="H187" s="252"/>
      <x:c r="I187" s="250"/>
      <x:c r="J187" s="250"/>
      <x:c r="K187" s="250"/>
      <x:c r="L187" s="250"/>
      <x:c r="M187" s="252"/>
      <x:c r="N187" s="252"/>
      <x:c r="O187" s="251"/>
      <x:c r="P187" s="250"/>
      <x:c r="Q187" s="250"/>
      <x:c r="R187" s="250"/>
      <x:c r="S187" s="253"/>
      <x:c r="T187" s="250"/>
      <x:c r="U187"/>
      <x:c r="AA187"/>
      <x:c r="AB187"/>
      <x:c r="AC187"/>
      <x:c r="AD187"/>
      <x:c r="AE187"/>
      <x:c r="AF187"/>
      <x:c r="AG187"/>
      <x:c r="AH187"/>
      <x:c r="AI187"/>
      <x:c r="AJ187"/>
      <x:c r="AK187"/>
      <x:c r="AL187"/>
      <x:c r="AM187"/>
      <x:c r="AN187"/>
      <x:c r="AO187"/>
      <x:c r="AP187"/>
      <x:c r="AQ187"/>
      <x:c r="AR187"/>
    </x:row>
    <x:row r="188" s="248" customFormat="1">
      <x:c r="A188" s="250"/>
      <x:c r="B188" s="250"/>
      <x:c r="C188" s="566" t="str">
        <x:f>IF(B188="","",IFERROR(VLOOKUP(B188,PERUMAHAN!$A:$B,2,FALSE),"ID tidak ditemukan"))</x:f>
      </x:c>
      <x:c r="D188" s="250"/>
      <x:c r="E188" s="250"/>
      <x:c r="F188" s="250"/>
      <x:c r="G188" s="252"/>
      <x:c r="H188" s="252"/>
      <x:c r="I188" s="250"/>
      <x:c r="J188" s="250"/>
      <x:c r="K188" s="250"/>
      <x:c r="L188" s="250"/>
      <x:c r="M188" s="252"/>
      <x:c r="N188" s="252"/>
      <x:c r="O188" s="251"/>
      <x:c r="P188" s="250"/>
      <x:c r="Q188" s="250"/>
      <x:c r="R188" s="250"/>
      <x:c r="S188" s="253"/>
      <x:c r="T188" s="250"/>
      <x:c r="U188"/>
      <x:c r="AA188"/>
      <x:c r="AB188"/>
      <x:c r="AC188"/>
      <x:c r="AD188"/>
      <x:c r="AE188"/>
      <x:c r="AF188"/>
      <x:c r="AG188"/>
      <x:c r="AH188"/>
      <x:c r="AI188"/>
      <x:c r="AJ188"/>
      <x:c r="AK188"/>
      <x:c r="AL188"/>
      <x:c r="AM188"/>
      <x:c r="AN188"/>
      <x:c r="AO188"/>
      <x:c r="AP188"/>
      <x:c r="AQ188"/>
      <x:c r="AR188"/>
    </x:row>
    <x:row r="189" s="248" customFormat="1">
      <x:c r="A189" s="250"/>
      <x:c r="B189" s="250"/>
      <x:c r="C189" s="566" t="str">
        <x:f>IF(B189="","",IFERROR(VLOOKUP(B189,PERUMAHAN!$A:$B,2,FALSE),"ID tidak ditemukan"))</x:f>
      </x:c>
      <x:c r="D189" s="250"/>
      <x:c r="E189" s="250"/>
      <x:c r="F189" s="250"/>
      <x:c r="G189" s="252"/>
      <x:c r="H189" s="252"/>
      <x:c r="I189" s="250"/>
      <x:c r="J189" s="250"/>
      <x:c r="K189" s="250"/>
      <x:c r="L189" s="250"/>
      <x:c r="M189" s="252"/>
      <x:c r="N189" s="252"/>
      <x:c r="O189" s="251"/>
      <x:c r="P189" s="250"/>
      <x:c r="Q189" s="250"/>
      <x:c r="R189" s="250"/>
      <x:c r="S189" s="253"/>
      <x:c r="T189" s="250"/>
      <x:c r="U189"/>
      <x:c r="AA189"/>
      <x:c r="AB189"/>
      <x:c r="AC189"/>
      <x:c r="AD189"/>
      <x:c r="AE189"/>
      <x:c r="AF189"/>
      <x:c r="AG189"/>
      <x:c r="AH189"/>
      <x:c r="AI189"/>
      <x:c r="AJ189"/>
      <x:c r="AK189"/>
      <x:c r="AL189"/>
      <x:c r="AM189"/>
      <x:c r="AN189"/>
      <x:c r="AO189"/>
      <x:c r="AP189"/>
      <x:c r="AQ189"/>
      <x:c r="AR189"/>
    </x:row>
    <x:row r="190" s="248" customFormat="1">
      <x:c r="A190" s="250"/>
      <x:c r="B190" s="250"/>
      <x:c r="C190" s="566" t="str">
        <x:f>IF(B190="","",IFERROR(VLOOKUP(B190,PERUMAHAN!$A:$B,2,FALSE),"ID tidak ditemukan"))</x:f>
      </x:c>
      <x:c r="D190" s="250"/>
      <x:c r="E190" s="250"/>
      <x:c r="F190" s="250"/>
      <x:c r="G190" s="252"/>
      <x:c r="H190" s="252"/>
      <x:c r="I190" s="250"/>
      <x:c r="J190" s="250"/>
      <x:c r="K190" s="250"/>
      <x:c r="L190" s="250"/>
      <x:c r="M190" s="252"/>
      <x:c r="N190" s="252"/>
      <x:c r="O190" s="251"/>
      <x:c r="P190" s="250"/>
      <x:c r="Q190" s="250"/>
      <x:c r="R190" s="250"/>
      <x:c r="S190" s="253"/>
      <x:c r="T190" s="250"/>
      <x:c r="U190"/>
      <x:c r="AA190"/>
      <x:c r="AB190"/>
      <x:c r="AC190"/>
      <x:c r="AD190"/>
      <x:c r="AE190"/>
      <x:c r="AF190"/>
      <x:c r="AG190"/>
      <x:c r="AH190"/>
      <x:c r="AI190"/>
      <x:c r="AJ190"/>
      <x:c r="AK190"/>
      <x:c r="AL190"/>
      <x:c r="AM190"/>
      <x:c r="AN190"/>
      <x:c r="AO190"/>
      <x:c r="AP190"/>
      <x:c r="AQ190"/>
      <x:c r="AR190"/>
    </x:row>
    <x:row r="191" s="248" customFormat="1">
      <x:c r="A191" s="250"/>
      <x:c r="B191" s="250"/>
      <x:c r="C191" s="566" t="str">
        <x:f>IF(B191="","",IFERROR(VLOOKUP(B191,PERUMAHAN!$A:$B,2,FALSE),"ID tidak ditemukan"))</x:f>
      </x:c>
      <x:c r="D191" s="250"/>
      <x:c r="E191" s="250"/>
      <x:c r="F191" s="250"/>
      <x:c r="G191" s="252"/>
      <x:c r="H191" s="252"/>
      <x:c r="I191" s="250"/>
      <x:c r="J191" s="250"/>
      <x:c r="K191" s="250"/>
      <x:c r="L191" s="250"/>
      <x:c r="M191" s="252"/>
      <x:c r="N191" s="252"/>
      <x:c r="O191" s="251"/>
      <x:c r="P191" s="250"/>
      <x:c r="Q191" s="250"/>
      <x:c r="R191" s="250"/>
      <x:c r="S191" s="253"/>
      <x:c r="T191" s="250"/>
      <x:c r="U191"/>
      <x:c r="AA191"/>
      <x:c r="AB191"/>
      <x:c r="AC191"/>
      <x:c r="AD191"/>
      <x:c r="AE191"/>
      <x:c r="AF191"/>
      <x:c r="AG191"/>
      <x:c r="AH191"/>
      <x:c r="AI191"/>
      <x:c r="AJ191"/>
      <x:c r="AK191"/>
      <x:c r="AL191"/>
      <x:c r="AM191"/>
      <x:c r="AN191"/>
      <x:c r="AO191"/>
      <x:c r="AP191"/>
      <x:c r="AQ191"/>
      <x:c r="AR191"/>
    </x:row>
    <x:row r="192" s="248" customFormat="1">
      <x:c r="A192" s="250"/>
      <x:c r="B192" s="250"/>
      <x:c r="C192" s="566" t="str">
        <x:f>IF(B192="","",IFERROR(VLOOKUP(B192,PERUMAHAN!$A:$B,2,FALSE),"ID tidak ditemukan"))</x:f>
      </x:c>
      <x:c r="D192" s="250"/>
      <x:c r="E192" s="250"/>
      <x:c r="F192" s="250"/>
      <x:c r="G192" s="252"/>
      <x:c r="H192" s="252"/>
      <x:c r="I192" s="250"/>
      <x:c r="J192" s="250"/>
      <x:c r="K192" s="250"/>
      <x:c r="L192" s="250"/>
      <x:c r="M192" s="252"/>
      <x:c r="N192" s="252"/>
      <x:c r="O192" s="251"/>
      <x:c r="P192" s="250"/>
      <x:c r="Q192" s="250"/>
      <x:c r="R192" s="250"/>
      <x:c r="S192" s="253"/>
      <x:c r="T192" s="250"/>
      <x:c r="U192"/>
      <x:c r="AA192"/>
      <x:c r="AB192"/>
      <x:c r="AC192"/>
      <x:c r="AD192"/>
      <x:c r="AE192"/>
      <x:c r="AF192"/>
      <x:c r="AG192"/>
      <x:c r="AH192"/>
      <x:c r="AI192"/>
      <x:c r="AJ192"/>
      <x:c r="AK192"/>
      <x:c r="AL192"/>
      <x:c r="AM192"/>
      <x:c r="AN192"/>
      <x:c r="AO192"/>
      <x:c r="AP192"/>
      <x:c r="AQ192"/>
      <x:c r="AR192"/>
    </x:row>
    <x:row r="193" s="248" customFormat="1">
      <x:c r="A193" s="250"/>
      <x:c r="B193" s="250"/>
      <x:c r="C193" s="566" t="str">
        <x:f>IF(B193="","",IFERROR(VLOOKUP(B193,PERUMAHAN!$A:$B,2,FALSE),"ID tidak ditemukan"))</x:f>
      </x:c>
      <x:c r="D193" s="250"/>
      <x:c r="E193" s="250"/>
      <x:c r="F193" s="250"/>
      <x:c r="G193" s="252"/>
      <x:c r="H193" s="252"/>
      <x:c r="I193" s="250"/>
      <x:c r="J193" s="250"/>
      <x:c r="K193" s="250"/>
      <x:c r="L193" s="250"/>
      <x:c r="M193" s="252"/>
      <x:c r="N193" s="252"/>
      <x:c r="O193" s="251"/>
      <x:c r="P193" s="250"/>
      <x:c r="Q193" s="250"/>
      <x:c r="R193" s="250"/>
      <x:c r="S193" s="253"/>
      <x:c r="T193" s="250"/>
      <x:c r="U193"/>
      <x:c r="AA193"/>
      <x:c r="AB193"/>
      <x:c r="AC193"/>
      <x:c r="AD193"/>
      <x:c r="AE193"/>
      <x:c r="AF193"/>
      <x:c r="AG193"/>
      <x:c r="AH193"/>
      <x:c r="AI193"/>
      <x:c r="AJ193"/>
      <x:c r="AK193"/>
      <x:c r="AL193"/>
      <x:c r="AM193"/>
      <x:c r="AN193"/>
      <x:c r="AO193"/>
      <x:c r="AP193"/>
      <x:c r="AQ193"/>
      <x:c r="AR193"/>
    </x:row>
    <x:row r="194" s="248" customFormat="1">
      <x:c r="A194" s="250"/>
      <x:c r="B194" s="250"/>
      <x:c r="C194" s="566" t="str">
        <x:f>IF(B194="","",IFERROR(VLOOKUP(B194,PERUMAHAN!$A:$B,2,FALSE),"ID tidak ditemukan"))</x:f>
      </x:c>
      <x:c r="D194" s="250"/>
      <x:c r="E194" s="250"/>
      <x:c r="F194" s="250"/>
      <x:c r="G194" s="252"/>
      <x:c r="H194" s="252"/>
      <x:c r="I194" s="250"/>
      <x:c r="J194" s="250"/>
      <x:c r="K194" s="250"/>
      <x:c r="L194" s="250"/>
      <x:c r="M194" s="252"/>
      <x:c r="N194" s="252"/>
      <x:c r="O194" s="251"/>
      <x:c r="P194" s="250"/>
      <x:c r="Q194" s="250"/>
      <x:c r="R194" s="250"/>
      <x:c r="S194" s="253"/>
      <x:c r="T194" s="250"/>
      <x:c r="U194"/>
      <x:c r="AA194"/>
      <x:c r="AB194"/>
      <x:c r="AC194"/>
      <x:c r="AD194"/>
      <x:c r="AE194"/>
      <x:c r="AF194"/>
      <x:c r="AG194"/>
      <x:c r="AH194"/>
      <x:c r="AI194"/>
      <x:c r="AJ194"/>
      <x:c r="AK194"/>
      <x:c r="AL194"/>
      <x:c r="AM194"/>
      <x:c r="AN194"/>
      <x:c r="AO194"/>
      <x:c r="AP194"/>
      <x:c r="AQ194"/>
      <x:c r="AR194"/>
    </x:row>
    <x:row r="195" s="248" customFormat="1">
      <x:c r="A195" s="250"/>
      <x:c r="B195" s="250"/>
      <x:c r="C195" s="566" t="str">
        <x:f>IF(B195="","",IFERROR(VLOOKUP(B195,PERUMAHAN!$A:$B,2,FALSE),"ID tidak ditemukan"))</x:f>
      </x:c>
      <x:c r="D195" s="250"/>
      <x:c r="E195" s="250"/>
      <x:c r="F195" s="250"/>
      <x:c r="G195" s="252"/>
      <x:c r="H195" s="252"/>
      <x:c r="I195" s="250"/>
      <x:c r="J195" s="250"/>
      <x:c r="K195" s="250"/>
      <x:c r="L195" s="250"/>
      <x:c r="M195" s="252"/>
      <x:c r="N195" s="252"/>
      <x:c r="O195" s="251"/>
      <x:c r="P195" s="250"/>
      <x:c r="Q195" s="250"/>
      <x:c r="R195" s="250"/>
      <x:c r="S195" s="253"/>
      <x:c r="T195" s="250"/>
      <x:c r="U195"/>
      <x:c r="AA195"/>
      <x:c r="AB195"/>
      <x:c r="AC195"/>
      <x:c r="AD195"/>
      <x:c r="AE195"/>
      <x:c r="AF195"/>
      <x:c r="AG195"/>
      <x:c r="AH195"/>
      <x:c r="AI195"/>
      <x:c r="AJ195"/>
      <x:c r="AK195"/>
      <x:c r="AL195"/>
      <x:c r="AM195"/>
      <x:c r="AN195"/>
      <x:c r="AO195"/>
      <x:c r="AP195"/>
      <x:c r="AQ195"/>
      <x:c r="AR195"/>
    </x:row>
    <x:row r="196" s="248" customFormat="1">
      <x:c r="A196" s="250"/>
      <x:c r="B196" s="250"/>
      <x:c r="C196" s="566" t="str">
        <x:f>IF(B196="","",IFERROR(VLOOKUP(B196,PERUMAHAN!$A:$B,2,FALSE),"ID tidak ditemukan"))</x:f>
      </x:c>
      <x:c r="D196" s="250"/>
      <x:c r="E196" s="250"/>
      <x:c r="F196" s="250"/>
      <x:c r="G196" s="252"/>
      <x:c r="H196" s="252"/>
      <x:c r="I196" s="250"/>
      <x:c r="J196" s="250"/>
      <x:c r="K196" s="250"/>
      <x:c r="L196" s="250"/>
      <x:c r="M196" s="252"/>
      <x:c r="N196" s="252"/>
      <x:c r="O196" s="251"/>
      <x:c r="P196" s="250"/>
      <x:c r="Q196" s="250"/>
      <x:c r="R196" s="250"/>
      <x:c r="S196" s="253"/>
      <x:c r="T196" s="250"/>
      <x:c r="U196"/>
      <x:c r="AA196"/>
      <x:c r="AB196"/>
      <x:c r="AC196"/>
      <x:c r="AD196"/>
      <x:c r="AE196"/>
      <x:c r="AF196"/>
      <x:c r="AG196"/>
      <x:c r="AH196"/>
      <x:c r="AI196"/>
      <x:c r="AJ196"/>
      <x:c r="AK196"/>
      <x:c r="AL196"/>
      <x:c r="AM196"/>
      <x:c r="AN196"/>
      <x:c r="AO196"/>
      <x:c r="AP196"/>
      <x:c r="AQ196"/>
      <x:c r="AR196"/>
    </x:row>
    <x:row r="197" s="248" customFormat="1">
      <x:c r="A197" s="250"/>
      <x:c r="B197" s="250"/>
      <x:c r="C197" s="566" t="str">
        <x:f>IF(B197="","",IFERROR(VLOOKUP(B197,PERUMAHAN!$A:$B,2,FALSE),"ID tidak ditemukan"))</x:f>
      </x:c>
      <x:c r="D197" s="250"/>
      <x:c r="E197" s="250"/>
      <x:c r="F197" s="250"/>
      <x:c r="G197" s="252"/>
      <x:c r="H197" s="252"/>
      <x:c r="I197" s="250"/>
      <x:c r="J197" s="250"/>
      <x:c r="K197" s="250"/>
      <x:c r="L197" s="250"/>
      <x:c r="M197" s="252"/>
      <x:c r="N197" s="252"/>
      <x:c r="O197" s="251"/>
      <x:c r="P197" s="250"/>
      <x:c r="Q197" s="250"/>
      <x:c r="R197" s="250"/>
      <x:c r="S197" s="253"/>
      <x:c r="T197" s="250"/>
      <x:c r="U197"/>
      <x:c r="AA197"/>
      <x:c r="AB197"/>
      <x:c r="AC197"/>
      <x:c r="AD197"/>
      <x:c r="AE197"/>
      <x:c r="AF197"/>
      <x:c r="AG197"/>
      <x:c r="AH197"/>
      <x:c r="AI197"/>
      <x:c r="AJ197"/>
      <x:c r="AK197"/>
      <x:c r="AL197"/>
      <x:c r="AM197"/>
      <x:c r="AN197"/>
      <x:c r="AO197"/>
      <x:c r="AP197"/>
      <x:c r="AQ197"/>
      <x:c r="AR197"/>
    </x:row>
    <x:row r="198" s="248" customFormat="1">
      <x:c r="A198" s="250"/>
      <x:c r="B198" s="250"/>
      <x:c r="C198" s="566" t="str">
        <x:f>IF(B198="","",IFERROR(VLOOKUP(B198,PERUMAHAN!$A:$B,2,FALSE),"ID tidak ditemukan"))</x:f>
      </x:c>
      <x:c r="D198" s="250"/>
      <x:c r="E198" s="250"/>
      <x:c r="F198" s="250"/>
      <x:c r="G198" s="252"/>
      <x:c r="H198" s="252"/>
      <x:c r="I198" s="250"/>
      <x:c r="J198" s="250"/>
      <x:c r="K198" s="250"/>
      <x:c r="L198" s="250"/>
      <x:c r="M198" s="252"/>
      <x:c r="N198" s="252"/>
      <x:c r="O198" s="251"/>
      <x:c r="P198" s="250"/>
      <x:c r="Q198" s="250"/>
      <x:c r="R198" s="250"/>
      <x:c r="S198" s="253"/>
      <x:c r="T198" s="250"/>
      <x:c r="U198"/>
      <x:c r="AA198"/>
      <x:c r="AB198"/>
      <x:c r="AC198"/>
      <x:c r="AD198"/>
      <x:c r="AE198"/>
      <x:c r="AF198"/>
      <x:c r="AG198"/>
      <x:c r="AH198"/>
      <x:c r="AI198"/>
      <x:c r="AJ198"/>
      <x:c r="AK198"/>
      <x:c r="AL198"/>
      <x:c r="AM198"/>
      <x:c r="AN198"/>
      <x:c r="AO198"/>
      <x:c r="AP198"/>
      <x:c r="AQ198"/>
      <x:c r="AR198"/>
    </x:row>
    <x:row r="199" s="248" customFormat="1">
      <x:c r="A199" s="250"/>
      <x:c r="B199" s="250"/>
      <x:c r="C199" s="566" t="str">
        <x:f>IF(B199="","",IFERROR(VLOOKUP(B199,PERUMAHAN!$A:$B,2,FALSE),"ID tidak ditemukan"))</x:f>
      </x:c>
      <x:c r="D199" s="250"/>
      <x:c r="E199" s="250"/>
      <x:c r="F199" s="250"/>
      <x:c r="G199" s="252"/>
      <x:c r="H199" s="252"/>
      <x:c r="I199" s="250"/>
      <x:c r="J199" s="250"/>
      <x:c r="K199" s="250"/>
      <x:c r="L199" s="250"/>
      <x:c r="M199" s="252"/>
      <x:c r="N199" s="252"/>
      <x:c r="O199" s="251"/>
      <x:c r="P199" s="250"/>
      <x:c r="Q199" s="250"/>
      <x:c r="R199" s="250"/>
      <x:c r="S199" s="253"/>
      <x:c r="T199" s="250"/>
      <x:c r="U199"/>
      <x:c r="AA199"/>
      <x:c r="AB199"/>
      <x:c r="AC199"/>
      <x:c r="AD199"/>
      <x:c r="AE199"/>
      <x:c r="AF199"/>
      <x:c r="AG199"/>
      <x:c r="AH199"/>
      <x:c r="AI199"/>
      <x:c r="AJ199"/>
      <x:c r="AK199"/>
      <x:c r="AL199"/>
      <x:c r="AM199"/>
      <x:c r="AN199"/>
      <x:c r="AO199"/>
      <x:c r="AP199"/>
      <x:c r="AQ199"/>
      <x:c r="AR199"/>
    </x:row>
    <x:row r="200" s="248" customFormat="1">
      <x:c r="A200" s="250"/>
      <x:c r="B200" s="250"/>
      <x:c r="C200" s="566" t="str">
        <x:f>IF(B200="","",IFERROR(VLOOKUP(B200,PERUMAHAN!$A:$B,2,FALSE),"ID tidak ditemukan"))</x:f>
      </x:c>
      <x:c r="D200" s="250"/>
      <x:c r="E200" s="250"/>
      <x:c r="F200" s="250"/>
      <x:c r="G200" s="252"/>
      <x:c r="H200" s="252"/>
      <x:c r="I200" s="250"/>
      <x:c r="J200" s="250"/>
      <x:c r="K200" s="250"/>
      <x:c r="L200" s="250"/>
      <x:c r="M200" s="252"/>
      <x:c r="N200" s="252"/>
      <x:c r="O200" s="251"/>
      <x:c r="P200" s="250"/>
      <x:c r="Q200" s="250"/>
      <x:c r="R200" s="250"/>
      <x:c r="S200" s="253"/>
      <x:c r="T200" s="250"/>
      <x:c r="U200"/>
      <x:c r="AA200"/>
      <x:c r="AB200"/>
      <x:c r="AC200"/>
      <x:c r="AD200"/>
      <x:c r="AE200"/>
      <x:c r="AF200"/>
      <x:c r="AG200"/>
      <x:c r="AH200"/>
      <x:c r="AI200"/>
      <x:c r="AJ200"/>
      <x:c r="AK200"/>
      <x:c r="AL200"/>
      <x:c r="AM200"/>
      <x:c r="AN200"/>
      <x:c r="AO200"/>
      <x:c r="AP200"/>
      <x:c r="AQ200"/>
      <x:c r="AR200"/>
    </x:row>
    <x:row r="201" s="248" customFormat="1">
      <x:c r="A201" s="250"/>
      <x:c r="B201" s="250"/>
      <x:c r="C201" s="566" t="str">
        <x:f>IF(B201="","",IFERROR(VLOOKUP(B201,PERUMAHAN!$A:$B,2,FALSE),"ID tidak ditemukan"))</x:f>
      </x:c>
      <x:c r="D201" s="250"/>
      <x:c r="E201" s="250"/>
      <x:c r="F201" s="250"/>
      <x:c r="G201" s="252"/>
      <x:c r="H201" s="252"/>
      <x:c r="I201" s="250"/>
      <x:c r="J201" s="250"/>
      <x:c r="K201" s="250"/>
      <x:c r="L201" s="250"/>
      <x:c r="M201" s="252"/>
      <x:c r="N201" s="252"/>
      <x:c r="O201" s="251"/>
      <x:c r="P201" s="250"/>
      <x:c r="Q201" s="250"/>
      <x:c r="R201" s="250"/>
      <x:c r="S201" s="253"/>
      <x:c r="T201" s="250"/>
      <x:c r="U201"/>
      <x:c r="AA201"/>
      <x:c r="AB201"/>
      <x:c r="AC201"/>
      <x:c r="AD201"/>
      <x:c r="AE201"/>
      <x:c r="AF201"/>
      <x:c r="AG201"/>
      <x:c r="AH201"/>
      <x:c r="AI201"/>
      <x:c r="AJ201"/>
      <x:c r="AK201"/>
      <x:c r="AL201"/>
      <x:c r="AM201"/>
      <x:c r="AN201"/>
      <x:c r="AO201"/>
      <x:c r="AP201"/>
      <x:c r="AQ201"/>
      <x:c r="AR201"/>
    </x:row>
    <x:row r="202" s="248" customFormat="1">
      <x:c r="A202" s="250"/>
      <x:c r="B202" s="250"/>
      <x:c r="C202" s="566" t="str">
        <x:f>IF(B202="","",IFERROR(VLOOKUP(B202,PERUMAHAN!$A:$B,2,FALSE),"ID tidak ditemukan"))</x:f>
      </x:c>
      <x:c r="D202" s="250"/>
      <x:c r="E202" s="250"/>
      <x:c r="F202" s="250"/>
      <x:c r="G202" s="252"/>
      <x:c r="H202" s="252"/>
      <x:c r="I202" s="250"/>
      <x:c r="J202" s="250"/>
      <x:c r="K202" s="250"/>
      <x:c r="L202" s="250"/>
      <x:c r="M202" s="252"/>
      <x:c r="N202" s="252"/>
      <x:c r="O202" s="251"/>
      <x:c r="P202" s="250"/>
      <x:c r="Q202" s="250"/>
      <x:c r="R202" s="250"/>
      <x:c r="S202" s="253"/>
      <x:c r="T202" s="250"/>
      <x:c r="U202"/>
      <x:c r="AA202"/>
      <x:c r="AB202"/>
      <x:c r="AC202"/>
      <x:c r="AD202"/>
      <x:c r="AE202"/>
      <x:c r="AF202"/>
      <x:c r="AG202"/>
      <x:c r="AH202"/>
      <x:c r="AI202"/>
      <x:c r="AJ202"/>
      <x:c r="AK202"/>
      <x:c r="AL202"/>
      <x:c r="AM202"/>
      <x:c r="AN202"/>
      <x:c r="AO202"/>
      <x:c r="AP202"/>
      <x:c r="AQ202"/>
      <x:c r="AR202"/>
    </x:row>
    <x:row r="203" s="248" customFormat="1">
      <x:c r="A203" s="250"/>
      <x:c r="B203" s="250"/>
      <x:c r="C203" s="566" t="str">
        <x:f>IF(B203="","",IFERROR(VLOOKUP(B203,PERUMAHAN!$A:$B,2,FALSE),"ID tidak ditemukan"))</x:f>
      </x:c>
      <x:c r="D203" s="250"/>
      <x:c r="E203" s="250"/>
      <x:c r="F203" s="250"/>
      <x:c r="G203" s="252"/>
      <x:c r="H203" s="252"/>
      <x:c r="I203" s="250"/>
      <x:c r="J203" s="250"/>
      <x:c r="K203" s="250"/>
      <x:c r="L203" s="250"/>
      <x:c r="M203" s="252"/>
      <x:c r="N203" s="252"/>
      <x:c r="O203" s="251"/>
      <x:c r="P203" s="250"/>
      <x:c r="Q203" s="250"/>
      <x:c r="R203" s="250"/>
      <x:c r="S203" s="253"/>
      <x:c r="T203" s="250"/>
      <x:c r="U203"/>
      <x:c r="AA203"/>
      <x:c r="AB203"/>
      <x:c r="AC203"/>
      <x:c r="AD203"/>
      <x:c r="AE203"/>
      <x:c r="AF203"/>
      <x:c r="AG203"/>
      <x:c r="AH203"/>
      <x:c r="AI203"/>
      <x:c r="AJ203"/>
      <x:c r="AK203"/>
      <x:c r="AL203"/>
      <x:c r="AM203"/>
      <x:c r="AN203"/>
      <x:c r="AO203"/>
      <x:c r="AP203"/>
      <x:c r="AQ203"/>
      <x:c r="AR203"/>
    </x:row>
    <x:row r="204" s="248" customFormat="1">
      <x:c r="A204" s="250"/>
      <x:c r="B204" s="250"/>
      <x:c r="C204" s="566" t="str">
        <x:f>IF(B204="","",IFERROR(VLOOKUP(B204,PERUMAHAN!$A:$B,2,FALSE),"ID tidak ditemukan"))</x:f>
      </x:c>
      <x:c r="D204" s="250"/>
      <x:c r="E204" s="250"/>
      <x:c r="F204" s="250"/>
      <x:c r="G204" s="252"/>
      <x:c r="H204" s="252"/>
      <x:c r="I204" s="250"/>
      <x:c r="J204" s="250"/>
      <x:c r="K204" s="250"/>
      <x:c r="L204" s="250"/>
      <x:c r="M204" s="252"/>
      <x:c r="N204" s="252"/>
      <x:c r="O204" s="251"/>
      <x:c r="P204" s="250"/>
      <x:c r="Q204" s="250"/>
      <x:c r="R204" s="250"/>
      <x:c r="S204" s="253"/>
      <x:c r="T204" s="250"/>
      <x:c r="U204"/>
      <x:c r="AA204"/>
      <x:c r="AB204"/>
      <x:c r="AC204"/>
      <x:c r="AD204"/>
      <x:c r="AE204"/>
      <x:c r="AF204"/>
      <x:c r="AG204"/>
      <x:c r="AH204"/>
      <x:c r="AI204"/>
      <x:c r="AJ204"/>
      <x:c r="AK204"/>
      <x:c r="AL204"/>
      <x:c r="AM204"/>
      <x:c r="AN204"/>
      <x:c r="AO204"/>
      <x:c r="AP204"/>
      <x:c r="AQ204"/>
      <x:c r="AR204"/>
    </x:row>
    <x:row r="205" s="248" customFormat="1">
      <x:c r="A205" s="250"/>
      <x:c r="B205" s="250"/>
      <x:c r="C205" s="566" t="str">
        <x:f>IF(B205="","",IFERROR(VLOOKUP(B205,PERUMAHAN!$A:$B,2,FALSE),"ID tidak ditemukan"))</x:f>
      </x:c>
      <x:c r="D205" s="250"/>
      <x:c r="E205" s="250"/>
      <x:c r="F205" s="250"/>
      <x:c r="G205" s="252"/>
      <x:c r="H205" s="252"/>
      <x:c r="I205" s="250"/>
      <x:c r="J205" s="250"/>
      <x:c r="K205" s="250"/>
      <x:c r="L205" s="250"/>
      <x:c r="M205" s="252"/>
      <x:c r="N205" s="252"/>
      <x:c r="O205" s="251"/>
      <x:c r="P205" s="250"/>
      <x:c r="Q205" s="250"/>
      <x:c r="R205" s="250"/>
      <x:c r="S205" s="253"/>
      <x:c r="T205" s="250"/>
      <x:c r="U205"/>
      <x:c r="AA205"/>
      <x:c r="AB205"/>
      <x:c r="AC205"/>
      <x:c r="AD205"/>
      <x:c r="AE205"/>
      <x:c r="AF205"/>
      <x:c r="AG205"/>
      <x:c r="AH205"/>
      <x:c r="AI205"/>
      <x:c r="AJ205"/>
      <x:c r="AK205"/>
      <x:c r="AL205"/>
      <x:c r="AM205"/>
      <x:c r="AN205"/>
      <x:c r="AO205"/>
      <x:c r="AP205"/>
      <x:c r="AQ205"/>
      <x:c r="AR205"/>
    </x:row>
    <x:row r="206" s="248" customFormat="1">
      <x:c r="A206" s="250"/>
      <x:c r="B206" s="250"/>
      <x:c r="C206" s="566" t="str">
        <x:f>IF(B206="","",IFERROR(VLOOKUP(B206,PERUMAHAN!$A:$B,2,FALSE),"ID tidak ditemukan"))</x:f>
      </x:c>
      <x:c r="D206" s="250"/>
      <x:c r="E206" s="250"/>
      <x:c r="F206" s="250"/>
      <x:c r="G206" s="252"/>
      <x:c r="H206" s="252"/>
      <x:c r="I206" s="250"/>
      <x:c r="J206" s="250"/>
      <x:c r="K206" s="250"/>
      <x:c r="L206" s="250"/>
      <x:c r="M206" s="252"/>
      <x:c r="N206" s="252"/>
      <x:c r="O206" s="251"/>
      <x:c r="P206" s="250"/>
      <x:c r="Q206" s="250"/>
      <x:c r="R206" s="250"/>
      <x:c r="S206" s="253"/>
      <x:c r="T206" s="250"/>
      <x:c r="U206"/>
      <x:c r="AA206"/>
      <x:c r="AB206"/>
      <x:c r="AC206"/>
      <x:c r="AD206"/>
      <x:c r="AE206"/>
      <x:c r="AF206"/>
      <x:c r="AG206"/>
      <x:c r="AH206"/>
      <x:c r="AI206"/>
      <x:c r="AJ206"/>
      <x:c r="AK206"/>
      <x:c r="AL206"/>
      <x:c r="AM206"/>
      <x:c r="AN206"/>
      <x:c r="AO206"/>
      <x:c r="AP206"/>
      <x:c r="AQ206"/>
      <x:c r="AR206"/>
    </x:row>
    <x:row r="207" s="248" customFormat="1">
      <x:c r="A207" s="250"/>
      <x:c r="B207" s="250"/>
      <x:c r="C207" s="566" t="str">
        <x:f>IF(B207="","",IFERROR(VLOOKUP(B207,PERUMAHAN!$A:$B,2,FALSE),"ID tidak ditemukan"))</x:f>
      </x:c>
      <x:c r="D207" s="250"/>
      <x:c r="E207" s="250"/>
      <x:c r="F207" s="250"/>
      <x:c r="G207" s="252"/>
      <x:c r="H207" s="252"/>
      <x:c r="I207" s="250"/>
      <x:c r="J207" s="250"/>
      <x:c r="K207" s="250"/>
      <x:c r="L207" s="250"/>
      <x:c r="M207" s="252"/>
      <x:c r="N207" s="252"/>
      <x:c r="O207" s="251"/>
      <x:c r="P207" s="250"/>
      <x:c r="Q207" s="250"/>
      <x:c r="R207" s="250"/>
      <x:c r="S207" s="253"/>
      <x:c r="T207" s="250"/>
      <x:c r="U207"/>
      <x:c r="AA207"/>
      <x:c r="AB207"/>
      <x:c r="AC207"/>
      <x:c r="AD207"/>
      <x:c r="AE207"/>
      <x:c r="AF207"/>
      <x:c r="AG207"/>
      <x:c r="AH207"/>
      <x:c r="AI207"/>
      <x:c r="AJ207"/>
      <x:c r="AK207"/>
      <x:c r="AL207"/>
      <x:c r="AM207"/>
      <x:c r="AN207"/>
      <x:c r="AO207"/>
      <x:c r="AP207"/>
      <x:c r="AQ207"/>
      <x:c r="AR207"/>
    </x:row>
    <x:row r="208" s="248" customFormat="1">
      <x:c r="A208" s="250"/>
      <x:c r="B208" s="250"/>
      <x:c r="C208" s="566" t="str">
        <x:f>IF(B208="","",IFERROR(VLOOKUP(B208,PERUMAHAN!$A:$B,2,FALSE),"ID tidak ditemukan"))</x:f>
      </x:c>
      <x:c r="D208" s="250"/>
      <x:c r="E208" s="250"/>
      <x:c r="F208" s="250"/>
      <x:c r="G208" s="252"/>
      <x:c r="H208" s="252"/>
      <x:c r="I208" s="250"/>
      <x:c r="J208" s="250"/>
      <x:c r="K208" s="250"/>
      <x:c r="L208" s="250"/>
      <x:c r="M208" s="252"/>
      <x:c r="N208" s="252"/>
      <x:c r="O208" s="251"/>
      <x:c r="P208" s="250"/>
      <x:c r="Q208" s="250"/>
      <x:c r="R208" s="250"/>
      <x:c r="S208" s="253"/>
      <x:c r="T208" s="250"/>
      <x:c r="U208"/>
      <x:c r="AA208"/>
      <x:c r="AB208"/>
      <x:c r="AC208"/>
      <x:c r="AD208"/>
      <x:c r="AE208"/>
      <x:c r="AF208"/>
      <x:c r="AG208"/>
      <x:c r="AH208"/>
      <x:c r="AI208"/>
      <x:c r="AJ208"/>
      <x:c r="AK208"/>
      <x:c r="AL208"/>
      <x:c r="AM208"/>
      <x:c r="AN208"/>
      <x:c r="AO208"/>
      <x:c r="AP208"/>
      <x:c r="AQ208"/>
      <x:c r="AR208"/>
    </x:row>
    <x:row r="209" s="248" customFormat="1">
      <x:c r="A209" s="250"/>
      <x:c r="B209" s="250"/>
      <x:c r="C209" s="566" t="str">
        <x:f>IF(B209="","",IFERROR(VLOOKUP(B209,PERUMAHAN!$A:$B,2,FALSE),"ID tidak ditemukan"))</x:f>
      </x:c>
      <x:c r="D209" s="250"/>
      <x:c r="E209" s="250"/>
      <x:c r="F209" s="250"/>
      <x:c r="G209" s="252"/>
      <x:c r="H209" s="252"/>
      <x:c r="I209" s="250"/>
      <x:c r="J209" s="250"/>
      <x:c r="K209" s="250"/>
      <x:c r="L209" s="250"/>
      <x:c r="M209" s="252"/>
      <x:c r="N209" s="252"/>
      <x:c r="O209" s="251"/>
      <x:c r="P209" s="250"/>
      <x:c r="Q209" s="250"/>
      <x:c r="R209" s="250"/>
      <x:c r="S209" s="253"/>
      <x:c r="T209" s="250"/>
      <x:c r="U209"/>
      <x:c r="AA209"/>
      <x:c r="AB209"/>
      <x:c r="AC209"/>
      <x:c r="AD209"/>
      <x:c r="AE209"/>
      <x:c r="AF209"/>
      <x:c r="AG209"/>
      <x:c r="AH209"/>
      <x:c r="AI209"/>
      <x:c r="AJ209"/>
      <x:c r="AK209"/>
      <x:c r="AL209"/>
      <x:c r="AM209"/>
      <x:c r="AN209"/>
      <x:c r="AO209"/>
      <x:c r="AP209"/>
      <x:c r="AQ209"/>
      <x:c r="AR209"/>
    </x:row>
    <x:row r="210" s="248" customFormat="1">
      <x:c r="A210" s="250"/>
      <x:c r="B210" s="250"/>
      <x:c r="C210" s="566" t="str">
        <x:f>IF(B210="","",IFERROR(VLOOKUP(B210,PERUMAHAN!$A:$B,2,FALSE),"ID tidak ditemukan"))</x:f>
      </x:c>
      <x:c r="D210" s="250"/>
      <x:c r="E210" s="250"/>
      <x:c r="F210" s="250"/>
      <x:c r="G210" s="252"/>
      <x:c r="H210" s="252"/>
      <x:c r="I210" s="250"/>
      <x:c r="J210" s="250"/>
      <x:c r="K210" s="250"/>
      <x:c r="L210" s="250"/>
      <x:c r="M210" s="252"/>
      <x:c r="N210" s="252"/>
      <x:c r="O210" s="251"/>
      <x:c r="P210" s="250"/>
      <x:c r="Q210" s="250"/>
      <x:c r="R210" s="250"/>
      <x:c r="S210" s="253"/>
      <x:c r="T210" s="250"/>
      <x:c r="U210"/>
      <x:c r="AA210"/>
      <x:c r="AB210"/>
      <x:c r="AC210"/>
      <x:c r="AD210"/>
      <x:c r="AE210"/>
      <x:c r="AF210"/>
      <x:c r="AG210"/>
      <x:c r="AH210"/>
      <x:c r="AI210"/>
      <x:c r="AJ210"/>
      <x:c r="AK210"/>
      <x:c r="AL210"/>
      <x:c r="AM210"/>
      <x:c r="AN210"/>
      <x:c r="AO210"/>
      <x:c r="AP210"/>
      <x:c r="AQ210"/>
      <x:c r="AR210"/>
    </x:row>
    <x:row r="211" s="248" customFormat="1">
      <x:c r="A211" s="250"/>
      <x:c r="B211" s="250"/>
      <x:c r="C211" s="566" t="str">
        <x:f>IF(B211="","",IFERROR(VLOOKUP(B211,PERUMAHAN!$A:$B,2,FALSE),"ID tidak ditemukan"))</x:f>
      </x:c>
      <x:c r="D211" s="250"/>
      <x:c r="E211" s="250"/>
      <x:c r="F211" s="250"/>
      <x:c r="G211" s="252"/>
      <x:c r="H211" s="252"/>
      <x:c r="I211" s="250"/>
      <x:c r="J211" s="250"/>
      <x:c r="K211" s="250"/>
      <x:c r="L211" s="250"/>
      <x:c r="M211" s="252"/>
      <x:c r="N211" s="252"/>
      <x:c r="O211" s="251"/>
      <x:c r="P211" s="250"/>
      <x:c r="Q211" s="250"/>
      <x:c r="R211" s="250"/>
      <x:c r="S211" s="253"/>
      <x:c r="T211" s="250"/>
      <x:c r="U211"/>
      <x:c r="AA211"/>
      <x:c r="AB211"/>
      <x:c r="AC211"/>
      <x:c r="AD211"/>
      <x:c r="AE211"/>
      <x:c r="AF211"/>
      <x:c r="AG211"/>
      <x:c r="AH211"/>
      <x:c r="AI211"/>
      <x:c r="AJ211"/>
      <x:c r="AK211"/>
      <x:c r="AL211"/>
      <x:c r="AM211"/>
      <x:c r="AN211"/>
      <x:c r="AO211"/>
      <x:c r="AP211"/>
      <x:c r="AQ211"/>
      <x:c r="AR211"/>
    </x:row>
    <x:row r="212" s="248" customFormat="1">
      <x:c r="A212" s="250"/>
      <x:c r="B212" s="250"/>
      <x:c r="C212" s="566" t="str">
        <x:f>IF(B212="","",IFERROR(VLOOKUP(B212,PERUMAHAN!$A:$B,2,FALSE),"ID tidak ditemukan"))</x:f>
      </x:c>
      <x:c r="D212" s="250"/>
      <x:c r="E212" s="250"/>
      <x:c r="F212" s="250"/>
      <x:c r="G212" s="252"/>
      <x:c r="H212" s="252"/>
      <x:c r="I212" s="250"/>
      <x:c r="J212" s="250"/>
      <x:c r="K212" s="250"/>
      <x:c r="L212" s="250"/>
      <x:c r="M212" s="252"/>
      <x:c r="N212" s="252"/>
      <x:c r="O212" s="251"/>
      <x:c r="P212" s="250"/>
      <x:c r="Q212" s="250"/>
      <x:c r="R212" s="250"/>
      <x:c r="S212" s="253"/>
      <x:c r="T212" s="250"/>
      <x:c r="U212"/>
      <x:c r="AA212"/>
      <x:c r="AB212"/>
      <x:c r="AC212"/>
      <x:c r="AD212"/>
      <x:c r="AE212"/>
      <x:c r="AF212"/>
      <x:c r="AG212"/>
      <x:c r="AH212"/>
      <x:c r="AI212"/>
      <x:c r="AJ212"/>
      <x:c r="AK212"/>
      <x:c r="AL212"/>
      <x:c r="AM212"/>
      <x:c r="AN212"/>
      <x:c r="AO212"/>
      <x:c r="AP212"/>
      <x:c r="AQ212"/>
      <x:c r="AR212"/>
    </x:row>
    <x:row r="213" s="248" customFormat="1">
      <x:c r="A213" s="250"/>
      <x:c r="B213" s="250"/>
      <x:c r="C213" s="566" t="str">
        <x:f>IF(B213="","",IFERROR(VLOOKUP(B213,PERUMAHAN!$A:$B,2,FALSE),"ID tidak ditemukan"))</x:f>
      </x:c>
      <x:c r="D213" s="250"/>
      <x:c r="E213" s="250"/>
      <x:c r="F213" s="250"/>
      <x:c r="G213" s="252"/>
      <x:c r="H213" s="252"/>
      <x:c r="I213" s="250"/>
      <x:c r="J213" s="250"/>
      <x:c r="K213" s="250"/>
      <x:c r="L213" s="250"/>
      <x:c r="M213" s="252"/>
      <x:c r="N213" s="252"/>
      <x:c r="O213" s="251"/>
      <x:c r="P213" s="250"/>
      <x:c r="Q213" s="250"/>
      <x:c r="R213" s="250"/>
      <x:c r="S213" s="253"/>
      <x:c r="T213" s="250"/>
      <x:c r="U213"/>
      <x:c r="AA213"/>
      <x:c r="AB213"/>
      <x:c r="AC213"/>
      <x:c r="AD213"/>
      <x:c r="AE213"/>
      <x:c r="AF213"/>
      <x:c r="AG213"/>
      <x:c r="AH213"/>
      <x:c r="AI213"/>
      <x:c r="AJ213"/>
      <x:c r="AK213"/>
      <x:c r="AL213"/>
      <x:c r="AM213"/>
      <x:c r="AN213"/>
      <x:c r="AO213"/>
      <x:c r="AP213"/>
      <x:c r="AQ213"/>
      <x:c r="AR213"/>
    </x:row>
    <x:row r="214" s="248" customFormat="1">
      <x:c r="A214" s="250"/>
      <x:c r="B214" s="250"/>
      <x:c r="C214" s="566" t="str">
        <x:f>IF(B214="","",IFERROR(VLOOKUP(B214,PERUMAHAN!$A:$B,2,FALSE),"ID tidak ditemukan"))</x:f>
      </x:c>
      <x:c r="D214" s="250"/>
      <x:c r="E214" s="250"/>
      <x:c r="F214" s="250"/>
      <x:c r="G214" s="252"/>
      <x:c r="H214" s="252"/>
      <x:c r="I214" s="250"/>
      <x:c r="J214" s="250"/>
      <x:c r="K214" s="250"/>
      <x:c r="L214" s="250"/>
      <x:c r="M214" s="252"/>
      <x:c r="N214" s="252"/>
      <x:c r="O214" s="251"/>
      <x:c r="P214" s="250"/>
      <x:c r="Q214" s="250"/>
      <x:c r="R214" s="250"/>
      <x:c r="S214" s="253"/>
      <x:c r="T214" s="250"/>
      <x:c r="U214"/>
      <x:c r="AA214"/>
      <x:c r="AB214"/>
      <x:c r="AC214"/>
      <x:c r="AD214"/>
      <x:c r="AE214"/>
      <x:c r="AF214"/>
      <x:c r="AG214"/>
      <x:c r="AH214"/>
      <x:c r="AI214"/>
      <x:c r="AJ214"/>
      <x:c r="AK214"/>
      <x:c r="AL214"/>
      <x:c r="AM214"/>
      <x:c r="AN214"/>
      <x:c r="AO214"/>
      <x:c r="AP214"/>
      <x:c r="AQ214"/>
      <x:c r="AR214"/>
    </x:row>
    <x:row r="215" s="248" customFormat="1">
      <x:c r="A215" s="250"/>
      <x:c r="B215" s="250"/>
      <x:c r="C215" s="566" t="str">
        <x:f>IF(B215="","",IFERROR(VLOOKUP(B215,PERUMAHAN!$A:$B,2,FALSE),"ID tidak ditemukan"))</x:f>
      </x:c>
      <x:c r="D215" s="250"/>
      <x:c r="E215" s="250"/>
      <x:c r="F215" s="250"/>
      <x:c r="G215" s="252"/>
      <x:c r="H215" s="252"/>
      <x:c r="I215" s="250"/>
      <x:c r="J215" s="250"/>
      <x:c r="K215" s="250"/>
      <x:c r="L215" s="250"/>
      <x:c r="M215" s="252"/>
      <x:c r="N215" s="252"/>
      <x:c r="O215" s="251"/>
      <x:c r="P215" s="250"/>
      <x:c r="Q215" s="250"/>
      <x:c r="R215" s="250"/>
      <x:c r="S215" s="253"/>
      <x:c r="T215" s="250"/>
      <x:c r="U215"/>
      <x:c r="AA215"/>
      <x:c r="AB215"/>
      <x:c r="AC215"/>
      <x:c r="AD215"/>
      <x:c r="AE215"/>
      <x:c r="AF215"/>
      <x:c r="AG215"/>
      <x:c r="AH215"/>
      <x:c r="AI215"/>
      <x:c r="AJ215"/>
      <x:c r="AK215"/>
      <x:c r="AL215"/>
      <x:c r="AM215"/>
      <x:c r="AN215"/>
      <x:c r="AO215"/>
      <x:c r="AP215"/>
      <x:c r="AQ215"/>
      <x:c r="AR215"/>
    </x:row>
    <x:row r="216" s="248" customFormat="1">
      <x:c r="A216" s="250"/>
      <x:c r="B216" s="250"/>
      <x:c r="C216" s="566" t="str">
        <x:f>IF(B216="","",IFERROR(VLOOKUP(B216,PERUMAHAN!$A:$B,2,FALSE),"ID tidak ditemukan"))</x:f>
      </x:c>
      <x:c r="D216" s="250"/>
      <x:c r="E216" s="250"/>
      <x:c r="F216" s="250"/>
      <x:c r="G216" s="252"/>
      <x:c r="H216" s="252"/>
      <x:c r="I216" s="250"/>
      <x:c r="J216" s="250"/>
      <x:c r="K216" s="250"/>
      <x:c r="L216" s="250"/>
      <x:c r="M216" s="252"/>
      <x:c r="N216" s="252"/>
      <x:c r="O216" s="251"/>
      <x:c r="P216" s="250"/>
      <x:c r="Q216" s="250"/>
      <x:c r="R216" s="250"/>
      <x:c r="S216" s="253"/>
      <x:c r="T216" s="250"/>
      <x:c r="U216"/>
      <x:c r="AA216"/>
      <x:c r="AB216"/>
      <x:c r="AC216"/>
      <x:c r="AD216"/>
      <x:c r="AE216"/>
      <x:c r="AF216"/>
      <x:c r="AG216"/>
      <x:c r="AH216"/>
      <x:c r="AI216"/>
      <x:c r="AJ216"/>
      <x:c r="AK216"/>
      <x:c r="AL216"/>
      <x:c r="AM216"/>
      <x:c r="AN216"/>
      <x:c r="AO216"/>
      <x:c r="AP216"/>
      <x:c r="AQ216"/>
      <x:c r="AR216"/>
    </x:row>
    <x:row r="217" s="248" customFormat="1">
      <x:c r="A217" s="250"/>
      <x:c r="B217" s="250"/>
      <x:c r="C217" s="566" t="str">
        <x:f>IF(B217="","",IFERROR(VLOOKUP(B217,PERUMAHAN!$A:$B,2,FALSE),"ID tidak ditemukan"))</x:f>
      </x:c>
      <x:c r="D217" s="250"/>
      <x:c r="E217" s="250"/>
      <x:c r="F217" s="250"/>
      <x:c r="G217" s="252"/>
      <x:c r="H217" s="252"/>
      <x:c r="I217" s="250"/>
      <x:c r="J217" s="250"/>
      <x:c r="K217" s="250"/>
      <x:c r="L217" s="250"/>
      <x:c r="M217" s="252"/>
      <x:c r="N217" s="252"/>
      <x:c r="O217" s="251"/>
      <x:c r="P217" s="250"/>
      <x:c r="Q217" s="250"/>
      <x:c r="R217" s="250"/>
      <x:c r="S217" s="253"/>
      <x:c r="T217" s="250"/>
      <x:c r="U217"/>
      <x:c r="AA217"/>
      <x:c r="AB217"/>
      <x:c r="AC217"/>
      <x:c r="AD217"/>
      <x:c r="AE217"/>
      <x:c r="AF217"/>
      <x:c r="AG217"/>
      <x:c r="AH217"/>
      <x:c r="AI217"/>
      <x:c r="AJ217"/>
      <x:c r="AK217"/>
      <x:c r="AL217"/>
      <x:c r="AM217"/>
      <x:c r="AN217"/>
      <x:c r="AO217"/>
      <x:c r="AP217"/>
      <x:c r="AQ217"/>
      <x:c r="AR217"/>
    </x:row>
    <x:row r="218" s="248" customFormat="1">
      <x:c r="A218" s="250"/>
      <x:c r="B218" s="250"/>
      <x:c r="C218" s="566" t="str">
        <x:f>IF(B218="","",IFERROR(VLOOKUP(B218,PERUMAHAN!$A:$B,2,FALSE),"ID tidak ditemukan"))</x:f>
      </x:c>
      <x:c r="D218" s="250"/>
      <x:c r="E218" s="250"/>
      <x:c r="F218" s="250"/>
      <x:c r="G218" s="252"/>
      <x:c r="H218" s="252"/>
      <x:c r="I218" s="250"/>
      <x:c r="J218" s="250"/>
      <x:c r="K218" s="250"/>
      <x:c r="L218" s="250"/>
      <x:c r="M218" s="252"/>
      <x:c r="N218" s="252"/>
      <x:c r="O218" s="251"/>
      <x:c r="P218" s="250"/>
      <x:c r="Q218" s="250"/>
      <x:c r="R218" s="250"/>
      <x:c r="S218" s="253"/>
      <x:c r="T218" s="250"/>
      <x:c r="U218"/>
      <x:c r="AA218"/>
      <x:c r="AB218"/>
      <x:c r="AC218"/>
      <x:c r="AD218"/>
      <x:c r="AE218"/>
      <x:c r="AF218"/>
      <x:c r="AG218"/>
      <x:c r="AH218"/>
      <x:c r="AI218"/>
      <x:c r="AJ218"/>
      <x:c r="AK218"/>
      <x:c r="AL218"/>
      <x:c r="AM218"/>
      <x:c r="AN218"/>
      <x:c r="AO218"/>
      <x:c r="AP218"/>
      <x:c r="AQ218"/>
      <x:c r="AR218"/>
    </x:row>
    <x:row r="219" s="248" customFormat="1">
      <x:c r="A219" s="250"/>
      <x:c r="B219" s="250"/>
      <x:c r="C219" s="566" t="str">
        <x:f>IF(B219="","",IFERROR(VLOOKUP(B219,PERUMAHAN!$A:$B,2,FALSE),"ID tidak ditemukan"))</x:f>
      </x:c>
      <x:c r="D219" s="250"/>
      <x:c r="E219" s="250"/>
      <x:c r="F219" s="250"/>
      <x:c r="G219" s="252"/>
      <x:c r="H219" s="252"/>
      <x:c r="I219" s="250"/>
      <x:c r="J219" s="250"/>
      <x:c r="K219" s="250"/>
      <x:c r="L219" s="250"/>
      <x:c r="M219" s="252"/>
      <x:c r="N219" s="252"/>
      <x:c r="O219" s="251"/>
      <x:c r="P219" s="250"/>
      <x:c r="Q219" s="250"/>
      <x:c r="R219" s="250"/>
      <x:c r="S219" s="253"/>
      <x:c r="T219" s="250"/>
      <x:c r="U219"/>
      <x:c r="AA219"/>
      <x:c r="AB219"/>
      <x:c r="AC219"/>
      <x:c r="AD219"/>
      <x:c r="AE219"/>
      <x:c r="AF219"/>
      <x:c r="AG219"/>
      <x:c r="AH219"/>
      <x:c r="AI219"/>
      <x:c r="AJ219"/>
      <x:c r="AK219"/>
      <x:c r="AL219"/>
      <x:c r="AM219"/>
      <x:c r="AN219"/>
      <x:c r="AO219"/>
      <x:c r="AP219"/>
      <x:c r="AQ219"/>
      <x:c r="AR219"/>
    </x:row>
    <x:row r="220" s="248" customFormat="1">
      <x:c r="A220" s="250"/>
      <x:c r="B220" s="250"/>
      <x:c r="C220" s="566" t="str">
        <x:f>IF(B220="","",IFERROR(VLOOKUP(B220,PERUMAHAN!$A:$B,2,FALSE),"ID tidak ditemukan"))</x:f>
      </x:c>
      <x:c r="D220" s="250"/>
      <x:c r="E220" s="250"/>
      <x:c r="F220" s="250"/>
      <x:c r="G220" s="252"/>
      <x:c r="H220" s="252"/>
      <x:c r="I220" s="250"/>
      <x:c r="J220" s="250"/>
      <x:c r="K220" s="250"/>
      <x:c r="L220" s="250"/>
      <x:c r="M220" s="252"/>
      <x:c r="N220" s="252"/>
      <x:c r="O220" s="251"/>
      <x:c r="P220" s="250"/>
      <x:c r="Q220" s="250"/>
      <x:c r="R220" s="250"/>
      <x:c r="S220" s="253"/>
      <x:c r="T220" s="250"/>
      <x:c r="U220"/>
      <x:c r="AA220"/>
      <x:c r="AB220"/>
      <x:c r="AC220"/>
      <x:c r="AD220"/>
      <x:c r="AE220"/>
      <x:c r="AF220"/>
      <x:c r="AG220"/>
      <x:c r="AH220"/>
      <x:c r="AI220"/>
      <x:c r="AJ220"/>
      <x:c r="AK220"/>
      <x:c r="AL220"/>
      <x:c r="AM220"/>
      <x:c r="AN220"/>
      <x:c r="AO220"/>
      <x:c r="AP220"/>
      <x:c r="AQ220"/>
      <x:c r="AR220"/>
    </x:row>
    <x:row r="221" s="248" customFormat="1">
      <x:c r="A221" s="250"/>
      <x:c r="B221" s="250"/>
      <x:c r="C221" s="566" t="str">
        <x:f>IF(B221="","",IFERROR(VLOOKUP(B221,PERUMAHAN!$A:$B,2,FALSE),"ID tidak ditemukan"))</x:f>
      </x:c>
      <x:c r="D221" s="250"/>
      <x:c r="E221" s="250"/>
      <x:c r="F221" s="250"/>
      <x:c r="G221" s="252"/>
      <x:c r="H221" s="252"/>
      <x:c r="I221" s="250"/>
      <x:c r="J221" s="250"/>
      <x:c r="K221" s="250"/>
      <x:c r="L221" s="250"/>
      <x:c r="M221" s="252"/>
      <x:c r="N221" s="252"/>
      <x:c r="O221" s="251"/>
      <x:c r="P221" s="250"/>
      <x:c r="Q221" s="250"/>
      <x:c r="R221" s="250"/>
      <x:c r="S221" s="253"/>
      <x:c r="T221" s="250"/>
      <x:c r="U221"/>
      <x:c r="AA221"/>
      <x:c r="AB221"/>
      <x:c r="AC221"/>
      <x:c r="AD221"/>
      <x:c r="AE221"/>
      <x:c r="AF221"/>
      <x:c r="AG221"/>
      <x:c r="AH221"/>
      <x:c r="AI221"/>
      <x:c r="AJ221"/>
      <x:c r="AK221"/>
      <x:c r="AL221"/>
      <x:c r="AM221"/>
      <x:c r="AN221"/>
      <x:c r="AO221"/>
      <x:c r="AP221"/>
      <x:c r="AQ221"/>
      <x:c r="AR221"/>
    </x:row>
    <x:row r="222" s="248" customFormat="1">
      <x:c r="A222" s="250"/>
      <x:c r="B222" s="250"/>
      <x:c r="C222" s="566" t="str">
        <x:f>IF(B222="","",IFERROR(VLOOKUP(B222,PERUMAHAN!$A:$B,2,FALSE),"ID tidak ditemukan"))</x:f>
      </x:c>
      <x:c r="D222" s="250"/>
      <x:c r="E222" s="250"/>
      <x:c r="F222" s="250"/>
      <x:c r="G222" s="252"/>
      <x:c r="H222" s="252"/>
      <x:c r="I222" s="250"/>
      <x:c r="J222" s="250"/>
      <x:c r="K222" s="250"/>
      <x:c r="L222" s="250"/>
      <x:c r="M222" s="252"/>
      <x:c r="N222" s="252"/>
      <x:c r="O222" s="251"/>
      <x:c r="P222" s="250"/>
      <x:c r="Q222" s="250"/>
      <x:c r="R222" s="250"/>
      <x:c r="S222" s="253"/>
      <x:c r="T222" s="250"/>
      <x:c r="U222"/>
      <x:c r="AA222"/>
      <x:c r="AB222"/>
      <x:c r="AC222"/>
      <x:c r="AD222"/>
      <x:c r="AE222"/>
      <x:c r="AF222"/>
      <x:c r="AG222"/>
      <x:c r="AH222"/>
      <x:c r="AI222"/>
      <x:c r="AJ222"/>
      <x:c r="AK222"/>
      <x:c r="AL222"/>
      <x:c r="AM222"/>
      <x:c r="AN222"/>
      <x:c r="AO222"/>
      <x:c r="AP222"/>
      <x:c r="AQ222"/>
      <x:c r="AR222"/>
    </x:row>
    <x:row r="223" s="248" customFormat="1">
      <x:c r="A223" s="250"/>
      <x:c r="B223" s="250"/>
      <x:c r="C223" s="566" t="str">
        <x:f>IF(B223="","",IFERROR(VLOOKUP(B223,PERUMAHAN!$A:$B,2,FALSE),"ID tidak ditemukan"))</x:f>
      </x:c>
      <x:c r="D223" s="250"/>
      <x:c r="E223" s="250"/>
      <x:c r="F223" s="250"/>
      <x:c r="G223" s="252"/>
      <x:c r="H223" s="252"/>
      <x:c r="I223" s="250"/>
      <x:c r="J223" s="250"/>
      <x:c r="K223" s="250"/>
      <x:c r="L223" s="250"/>
      <x:c r="M223" s="252"/>
      <x:c r="N223" s="252"/>
      <x:c r="O223" s="251"/>
      <x:c r="P223" s="250"/>
      <x:c r="Q223" s="250"/>
      <x:c r="R223" s="250"/>
      <x:c r="S223" s="253"/>
      <x:c r="T223" s="250"/>
      <x:c r="U223"/>
      <x:c r="AA223"/>
      <x:c r="AB223"/>
      <x:c r="AC223"/>
      <x:c r="AD223"/>
      <x:c r="AE223"/>
      <x:c r="AF223"/>
      <x:c r="AG223"/>
      <x:c r="AH223"/>
      <x:c r="AI223"/>
      <x:c r="AJ223"/>
      <x:c r="AK223"/>
      <x:c r="AL223"/>
      <x:c r="AM223"/>
      <x:c r="AN223"/>
      <x:c r="AO223"/>
      <x:c r="AP223"/>
      <x:c r="AQ223"/>
      <x:c r="AR223"/>
    </x:row>
    <x:row r="224" s="248" customFormat="1">
      <x:c r="A224" s="250"/>
      <x:c r="B224" s="250"/>
      <x:c r="C224" s="566" t="str">
        <x:f>IF(B224="","",IFERROR(VLOOKUP(B224,PERUMAHAN!$A:$B,2,FALSE),"ID tidak ditemukan"))</x:f>
      </x:c>
      <x:c r="D224" s="250"/>
      <x:c r="E224" s="250"/>
      <x:c r="F224" s="250"/>
      <x:c r="G224" s="252"/>
      <x:c r="H224" s="252"/>
      <x:c r="I224" s="250"/>
      <x:c r="J224" s="250"/>
      <x:c r="K224" s="250"/>
      <x:c r="L224" s="250"/>
      <x:c r="M224" s="252"/>
      <x:c r="N224" s="252"/>
      <x:c r="O224" s="251"/>
      <x:c r="P224" s="250"/>
      <x:c r="Q224" s="250"/>
      <x:c r="R224" s="250"/>
      <x:c r="S224" s="253"/>
      <x:c r="T224" s="250"/>
      <x:c r="U224"/>
      <x:c r="AA224"/>
      <x:c r="AB224"/>
      <x:c r="AC224"/>
      <x:c r="AD224"/>
      <x:c r="AE224"/>
      <x:c r="AF224"/>
      <x:c r="AG224"/>
      <x:c r="AH224"/>
      <x:c r="AI224"/>
      <x:c r="AJ224"/>
      <x:c r="AK224"/>
      <x:c r="AL224"/>
      <x:c r="AM224"/>
      <x:c r="AN224"/>
      <x:c r="AO224"/>
      <x:c r="AP224"/>
      <x:c r="AQ224"/>
      <x:c r="AR224"/>
    </x:row>
    <x:row r="225" s="248" customFormat="1">
      <x:c r="A225" s="250"/>
      <x:c r="B225" s="250"/>
      <x:c r="C225" s="566" t="str">
        <x:f>IF(B225="","",IFERROR(VLOOKUP(B225,PERUMAHAN!$A:$B,2,FALSE),"ID tidak ditemukan"))</x:f>
      </x:c>
      <x:c r="D225" s="250"/>
      <x:c r="E225" s="250"/>
      <x:c r="F225" s="250"/>
      <x:c r="G225" s="252"/>
      <x:c r="H225" s="252"/>
      <x:c r="I225" s="250"/>
      <x:c r="J225" s="250"/>
      <x:c r="K225" s="250"/>
      <x:c r="L225" s="250"/>
      <x:c r="M225" s="252"/>
      <x:c r="N225" s="252"/>
      <x:c r="O225" s="251"/>
      <x:c r="P225" s="250"/>
      <x:c r="Q225" s="250"/>
      <x:c r="R225" s="250"/>
      <x:c r="S225" s="253"/>
      <x:c r="T225" s="250"/>
      <x:c r="U225"/>
      <x:c r="AA225"/>
      <x:c r="AB225"/>
      <x:c r="AC225"/>
      <x:c r="AD225"/>
      <x:c r="AE225"/>
      <x:c r="AF225"/>
      <x:c r="AG225"/>
      <x:c r="AH225"/>
      <x:c r="AI225"/>
      <x:c r="AJ225"/>
      <x:c r="AK225"/>
      <x:c r="AL225"/>
      <x:c r="AM225"/>
      <x:c r="AN225"/>
      <x:c r="AO225"/>
      <x:c r="AP225"/>
      <x:c r="AQ225"/>
      <x:c r="AR225"/>
    </x:row>
    <x:row r="226" s="248" customFormat="1">
      <x:c r="A226" s="250"/>
      <x:c r="B226" s="250"/>
      <x:c r="C226" s="566" t="str">
        <x:f>IF(B226="","",IFERROR(VLOOKUP(B226,PERUMAHAN!$A:$B,2,FALSE),"ID tidak ditemukan"))</x:f>
      </x:c>
      <x:c r="D226" s="250"/>
      <x:c r="E226" s="250"/>
      <x:c r="F226" s="250"/>
      <x:c r="G226" s="252"/>
      <x:c r="H226" s="252"/>
      <x:c r="I226" s="250"/>
      <x:c r="J226" s="250"/>
      <x:c r="K226" s="250"/>
      <x:c r="L226" s="250"/>
      <x:c r="M226" s="252"/>
      <x:c r="N226" s="252"/>
      <x:c r="O226" s="251"/>
      <x:c r="P226" s="250"/>
      <x:c r="Q226" s="250"/>
      <x:c r="R226" s="250"/>
      <x:c r="S226" s="253"/>
      <x:c r="T226" s="250"/>
      <x:c r="U226"/>
      <x:c r="AA226"/>
      <x:c r="AB226"/>
      <x:c r="AC226"/>
      <x:c r="AD226"/>
      <x:c r="AE226"/>
      <x:c r="AF226"/>
      <x:c r="AG226"/>
      <x:c r="AH226"/>
      <x:c r="AI226"/>
      <x:c r="AJ226"/>
      <x:c r="AK226"/>
      <x:c r="AL226"/>
      <x:c r="AM226"/>
      <x:c r="AN226"/>
      <x:c r="AO226"/>
      <x:c r="AP226"/>
      <x:c r="AQ226"/>
      <x:c r="AR226"/>
    </x:row>
    <x:row r="227" s="248" customFormat="1">
      <x:c r="A227" s="250"/>
      <x:c r="B227" s="250"/>
      <x:c r="C227" s="566" t="str">
        <x:f>IF(B227="","",IFERROR(VLOOKUP(B227,PERUMAHAN!$A:$B,2,FALSE),"ID tidak ditemukan"))</x:f>
      </x:c>
      <x:c r="D227" s="250"/>
      <x:c r="E227" s="250"/>
      <x:c r="F227" s="250"/>
      <x:c r="G227" s="252"/>
      <x:c r="H227" s="252"/>
      <x:c r="I227" s="250"/>
      <x:c r="J227" s="250"/>
      <x:c r="K227" s="250"/>
      <x:c r="L227" s="250"/>
      <x:c r="M227" s="252"/>
      <x:c r="N227" s="252"/>
      <x:c r="O227" s="251"/>
      <x:c r="P227" s="250"/>
      <x:c r="Q227" s="250"/>
      <x:c r="R227" s="250"/>
      <x:c r="S227" s="253"/>
      <x:c r="T227" s="250"/>
      <x:c r="U227"/>
      <x:c r="AA227"/>
      <x:c r="AB227"/>
      <x:c r="AC227"/>
      <x:c r="AD227"/>
      <x:c r="AE227"/>
      <x:c r="AF227"/>
      <x:c r="AG227"/>
      <x:c r="AH227"/>
      <x:c r="AI227"/>
      <x:c r="AJ227"/>
      <x:c r="AK227"/>
      <x:c r="AL227"/>
      <x:c r="AM227"/>
      <x:c r="AN227"/>
      <x:c r="AO227"/>
      <x:c r="AP227"/>
      <x:c r="AQ227"/>
      <x:c r="AR227"/>
    </x:row>
    <x:row r="228" s="248" customFormat="1">
      <x:c r="A228" s="250"/>
      <x:c r="B228" s="250"/>
      <x:c r="C228" s="566" t="str">
        <x:f>IF(B228="","",IFERROR(VLOOKUP(B228,PERUMAHAN!$A:$B,2,FALSE),"ID tidak ditemukan"))</x:f>
      </x:c>
      <x:c r="D228" s="250"/>
      <x:c r="E228" s="250"/>
      <x:c r="F228" s="250"/>
      <x:c r="G228" s="252"/>
      <x:c r="H228" s="252"/>
      <x:c r="I228" s="250"/>
      <x:c r="J228" s="250"/>
      <x:c r="K228" s="250"/>
      <x:c r="L228" s="250"/>
      <x:c r="M228" s="252"/>
      <x:c r="N228" s="252"/>
      <x:c r="O228" s="251"/>
      <x:c r="P228" s="250"/>
      <x:c r="Q228" s="250"/>
      <x:c r="R228" s="250"/>
      <x:c r="S228" s="253"/>
      <x:c r="T228" s="250"/>
      <x:c r="U228"/>
      <x:c r="AA228"/>
      <x:c r="AB228"/>
      <x:c r="AC228"/>
      <x:c r="AD228"/>
      <x:c r="AE228"/>
      <x:c r="AF228"/>
      <x:c r="AG228"/>
      <x:c r="AH228"/>
      <x:c r="AI228"/>
      <x:c r="AJ228"/>
      <x:c r="AK228"/>
      <x:c r="AL228"/>
      <x:c r="AM228"/>
      <x:c r="AN228"/>
      <x:c r="AO228"/>
      <x:c r="AP228"/>
      <x:c r="AQ228"/>
      <x:c r="AR228"/>
    </x:row>
    <x:row r="229" s="248" customFormat="1">
      <x:c r="A229" s="250"/>
      <x:c r="B229" s="250"/>
      <x:c r="C229" s="566" t="str">
        <x:f>IF(B229="","",IFERROR(VLOOKUP(B229,PERUMAHAN!$A:$B,2,FALSE),"ID tidak ditemukan"))</x:f>
      </x:c>
      <x:c r="D229" s="250"/>
      <x:c r="E229" s="250"/>
      <x:c r="F229" s="250"/>
      <x:c r="G229" s="252"/>
      <x:c r="H229" s="252"/>
      <x:c r="I229" s="250"/>
      <x:c r="J229" s="250"/>
      <x:c r="K229" s="250"/>
      <x:c r="L229" s="250"/>
      <x:c r="M229" s="252"/>
      <x:c r="N229" s="252"/>
      <x:c r="O229" s="251"/>
      <x:c r="P229" s="250"/>
      <x:c r="Q229" s="250"/>
      <x:c r="R229" s="250"/>
      <x:c r="S229" s="253"/>
      <x:c r="T229" s="250"/>
      <x:c r="U229"/>
      <x:c r="AA229"/>
      <x:c r="AB229"/>
      <x:c r="AC229"/>
      <x:c r="AD229"/>
      <x:c r="AE229"/>
      <x:c r="AF229"/>
      <x:c r="AG229"/>
      <x:c r="AH229"/>
      <x:c r="AI229"/>
      <x:c r="AJ229"/>
      <x:c r="AK229"/>
      <x:c r="AL229"/>
      <x:c r="AM229"/>
      <x:c r="AN229"/>
      <x:c r="AO229"/>
      <x:c r="AP229"/>
      <x:c r="AQ229"/>
      <x:c r="AR229"/>
    </x:row>
    <x:row r="230" s="248" customFormat="1">
      <x:c r="A230" s="250"/>
      <x:c r="B230" s="250"/>
      <x:c r="C230" s="566" t="str">
        <x:f>IF(B230="","",IFERROR(VLOOKUP(B230,PERUMAHAN!$A:$B,2,FALSE),"ID tidak ditemukan"))</x:f>
      </x:c>
      <x:c r="D230" s="250"/>
      <x:c r="E230" s="250"/>
      <x:c r="F230" s="250"/>
      <x:c r="G230" s="252"/>
      <x:c r="H230" s="252"/>
      <x:c r="I230" s="250"/>
      <x:c r="J230" s="250"/>
      <x:c r="K230" s="250"/>
      <x:c r="L230" s="250"/>
      <x:c r="M230" s="252"/>
      <x:c r="N230" s="252"/>
      <x:c r="O230" s="251"/>
      <x:c r="P230" s="250"/>
      <x:c r="Q230" s="250"/>
      <x:c r="R230" s="250"/>
      <x:c r="S230" s="253"/>
      <x:c r="T230" s="250"/>
      <x:c r="U230"/>
      <x:c r="AA230"/>
      <x:c r="AB230"/>
      <x:c r="AC230"/>
      <x:c r="AD230"/>
      <x:c r="AE230"/>
      <x:c r="AF230"/>
      <x:c r="AG230"/>
      <x:c r="AH230"/>
      <x:c r="AI230"/>
      <x:c r="AJ230"/>
      <x:c r="AK230"/>
      <x:c r="AL230"/>
      <x:c r="AM230"/>
      <x:c r="AN230"/>
      <x:c r="AO230"/>
      <x:c r="AP230"/>
      <x:c r="AQ230"/>
      <x:c r="AR230"/>
    </x:row>
    <x:row r="231" s="248" customFormat="1">
      <x:c r="A231" s="250"/>
      <x:c r="B231" s="250"/>
      <x:c r="C231" s="566" t="str">
        <x:f>IF(B231="","",IFERROR(VLOOKUP(B231,PERUMAHAN!$A:$B,2,FALSE),"ID tidak ditemukan"))</x:f>
      </x:c>
      <x:c r="D231" s="250"/>
      <x:c r="E231" s="250"/>
      <x:c r="F231" s="250"/>
      <x:c r="G231" s="252"/>
      <x:c r="H231" s="252"/>
      <x:c r="I231" s="250"/>
      <x:c r="J231" s="250"/>
      <x:c r="K231" s="250"/>
      <x:c r="L231" s="250"/>
      <x:c r="M231" s="252"/>
      <x:c r="N231" s="252"/>
      <x:c r="O231" s="251"/>
      <x:c r="P231" s="250"/>
      <x:c r="Q231" s="250"/>
      <x:c r="R231" s="250"/>
      <x:c r="S231" s="253"/>
      <x:c r="T231" s="250"/>
      <x:c r="U231"/>
      <x:c r="AA231"/>
      <x:c r="AB231"/>
      <x:c r="AC231"/>
      <x:c r="AD231"/>
      <x:c r="AE231"/>
      <x:c r="AF231"/>
      <x:c r="AG231"/>
      <x:c r="AH231"/>
      <x:c r="AI231"/>
      <x:c r="AJ231"/>
      <x:c r="AK231"/>
      <x:c r="AL231"/>
      <x:c r="AM231"/>
      <x:c r="AN231"/>
      <x:c r="AO231"/>
      <x:c r="AP231"/>
      <x:c r="AQ231"/>
      <x:c r="AR231"/>
    </x:row>
    <x:row r="232" s="248" customFormat="1">
      <x:c r="A232" s="250"/>
      <x:c r="B232" s="250"/>
      <x:c r="C232" s="566" t="str">
        <x:f>IF(B232="","",IFERROR(VLOOKUP(B232,PERUMAHAN!$A:$B,2,FALSE),"ID tidak ditemukan"))</x:f>
      </x:c>
      <x:c r="D232" s="250"/>
      <x:c r="E232" s="250"/>
      <x:c r="F232" s="250"/>
      <x:c r="G232" s="252"/>
      <x:c r="H232" s="252"/>
      <x:c r="I232" s="250"/>
      <x:c r="J232" s="250"/>
      <x:c r="K232" s="250"/>
      <x:c r="L232" s="250"/>
      <x:c r="M232" s="252"/>
      <x:c r="N232" s="252"/>
      <x:c r="O232" s="251"/>
      <x:c r="P232" s="250"/>
      <x:c r="Q232" s="250"/>
      <x:c r="R232" s="250"/>
      <x:c r="S232" s="253"/>
      <x:c r="T232" s="250"/>
      <x:c r="U232"/>
      <x:c r="AA232"/>
      <x:c r="AB232"/>
      <x:c r="AC232"/>
      <x:c r="AD232"/>
      <x:c r="AE232"/>
      <x:c r="AF232"/>
      <x:c r="AG232"/>
      <x:c r="AH232"/>
      <x:c r="AI232"/>
      <x:c r="AJ232"/>
      <x:c r="AK232"/>
      <x:c r="AL232"/>
      <x:c r="AM232"/>
      <x:c r="AN232"/>
      <x:c r="AO232"/>
      <x:c r="AP232"/>
      <x:c r="AQ232"/>
      <x:c r="AR232"/>
    </x:row>
    <x:row r="233" s="248" customFormat="1">
      <x:c r="A233" s="250"/>
      <x:c r="B233" s="250"/>
      <x:c r="C233" s="566" t="str">
        <x:f>IF(B233="","",IFERROR(VLOOKUP(B233,PERUMAHAN!$A:$B,2,FALSE),"ID tidak ditemukan"))</x:f>
      </x:c>
      <x:c r="D233" s="250"/>
      <x:c r="E233" s="250"/>
      <x:c r="F233" s="250"/>
      <x:c r="G233" s="252"/>
      <x:c r="H233" s="252"/>
      <x:c r="I233" s="250"/>
      <x:c r="J233" s="250"/>
      <x:c r="K233" s="250"/>
      <x:c r="L233" s="250"/>
      <x:c r="M233" s="252"/>
      <x:c r="N233" s="252"/>
      <x:c r="O233" s="251"/>
      <x:c r="P233" s="250"/>
      <x:c r="Q233" s="250"/>
      <x:c r="R233" s="250"/>
      <x:c r="S233" s="253"/>
      <x:c r="T233" s="250"/>
      <x:c r="U233"/>
      <x:c r="AA233"/>
      <x:c r="AB233"/>
      <x:c r="AC233"/>
      <x:c r="AD233"/>
      <x:c r="AE233"/>
      <x:c r="AF233"/>
      <x:c r="AG233"/>
      <x:c r="AH233"/>
      <x:c r="AI233"/>
      <x:c r="AJ233"/>
      <x:c r="AK233"/>
      <x:c r="AL233"/>
      <x:c r="AM233"/>
      <x:c r="AN233"/>
      <x:c r="AO233"/>
      <x:c r="AP233"/>
      <x:c r="AQ233"/>
      <x:c r="AR233"/>
    </x:row>
    <x:row r="234" s="248" customFormat="1">
      <x:c r="A234" s="250"/>
      <x:c r="B234" s="250"/>
      <x:c r="C234" s="566" t="str">
        <x:f>IF(B234="","",IFERROR(VLOOKUP(B234,PERUMAHAN!$A:$B,2,FALSE),"ID tidak ditemukan"))</x:f>
      </x:c>
      <x:c r="D234" s="250"/>
      <x:c r="E234" s="250"/>
      <x:c r="F234" s="250"/>
      <x:c r="G234" s="252"/>
      <x:c r="H234" s="252"/>
      <x:c r="I234" s="250"/>
      <x:c r="J234" s="250"/>
      <x:c r="K234" s="250"/>
      <x:c r="L234" s="250"/>
      <x:c r="M234" s="252"/>
      <x:c r="N234" s="252"/>
      <x:c r="O234" s="251"/>
      <x:c r="P234" s="250"/>
      <x:c r="Q234" s="250"/>
      <x:c r="R234" s="250"/>
      <x:c r="S234" s="253"/>
      <x:c r="T234" s="250"/>
      <x:c r="U234"/>
      <x:c r="AA234"/>
      <x:c r="AB234"/>
      <x:c r="AC234"/>
      <x:c r="AD234"/>
      <x:c r="AE234"/>
      <x:c r="AF234"/>
      <x:c r="AG234"/>
      <x:c r="AH234"/>
      <x:c r="AI234"/>
      <x:c r="AJ234"/>
      <x:c r="AK234"/>
      <x:c r="AL234"/>
      <x:c r="AM234"/>
      <x:c r="AN234"/>
      <x:c r="AO234"/>
      <x:c r="AP234"/>
      <x:c r="AQ234"/>
      <x:c r="AR234"/>
    </x:row>
    <x:row r="235" s="248" customFormat="1">
      <x:c r="A235" s="250"/>
      <x:c r="B235" s="250"/>
      <x:c r="C235" s="566" t="str">
        <x:f>IF(B235="","",IFERROR(VLOOKUP(B235,PERUMAHAN!$A:$B,2,FALSE),"ID tidak ditemukan"))</x:f>
      </x:c>
      <x:c r="D235" s="250"/>
      <x:c r="E235" s="250"/>
      <x:c r="F235" s="250"/>
      <x:c r="G235" s="252"/>
      <x:c r="H235" s="252"/>
      <x:c r="I235" s="250"/>
      <x:c r="J235" s="250"/>
      <x:c r="K235" s="250"/>
      <x:c r="L235" s="250"/>
      <x:c r="M235" s="252"/>
      <x:c r="N235" s="252"/>
      <x:c r="O235" s="251"/>
      <x:c r="P235" s="250"/>
      <x:c r="Q235" s="250"/>
      <x:c r="R235" s="250"/>
      <x:c r="S235" s="253"/>
      <x:c r="T235" s="250"/>
      <x:c r="U235"/>
      <x:c r="AA235"/>
      <x:c r="AB235"/>
      <x:c r="AC235"/>
      <x:c r="AD235"/>
      <x:c r="AE235"/>
      <x:c r="AF235"/>
      <x:c r="AG235"/>
      <x:c r="AH235"/>
      <x:c r="AI235"/>
      <x:c r="AJ235"/>
      <x:c r="AK235"/>
      <x:c r="AL235"/>
      <x:c r="AM235"/>
      <x:c r="AN235"/>
      <x:c r="AO235"/>
      <x:c r="AP235"/>
      <x:c r="AQ235"/>
      <x:c r="AR235"/>
    </x:row>
    <x:row r="236" s="248" customFormat="1">
      <x:c r="A236" s="250"/>
      <x:c r="B236" s="250"/>
      <x:c r="C236" s="566" t="str">
        <x:f>IF(B236="","",IFERROR(VLOOKUP(B236,PERUMAHAN!$A:$B,2,FALSE),"ID tidak ditemukan"))</x:f>
      </x:c>
      <x:c r="D236" s="250"/>
      <x:c r="E236" s="250"/>
      <x:c r="F236" s="250"/>
      <x:c r="G236" s="252"/>
      <x:c r="H236" s="252"/>
      <x:c r="I236" s="250"/>
      <x:c r="J236" s="250"/>
      <x:c r="K236" s="250"/>
      <x:c r="L236" s="250"/>
      <x:c r="M236" s="252"/>
      <x:c r="N236" s="252"/>
      <x:c r="O236" s="251"/>
      <x:c r="P236" s="250"/>
      <x:c r="Q236" s="250"/>
      <x:c r="R236" s="250"/>
      <x:c r="S236" s="253"/>
      <x:c r="T236" s="250"/>
      <x:c r="U236"/>
      <x:c r="AA236"/>
      <x:c r="AB236"/>
      <x:c r="AC236"/>
      <x:c r="AD236"/>
      <x:c r="AE236"/>
      <x:c r="AF236"/>
      <x:c r="AG236"/>
      <x:c r="AH236"/>
      <x:c r="AI236"/>
      <x:c r="AJ236"/>
      <x:c r="AK236"/>
      <x:c r="AL236"/>
      <x:c r="AM236"/>
      <x:c r="AN236"/>
      <x:c r="AO236"/>
      <x:c r="AP236"/>
      <x:c r="AQ236"/>
      <x:c r="AR236"/>
    </x:row>
    <x:row r="237" s="248" customFormat="1">
      <x:c r="A237" s="250"/>
      <x:c r="B237" s="250"/>
      <x:c r="C237" s="566" t="str">
        <x:f>IF(B237="","",IFERROR(VLOOKUP(B237,PERUMAHAN!$A:$B,2,FALSE),"ID tidak ditemukan"))</x:f>
      </x:c>
      <x:c r="D237" s="250"/>
      <x:c r="E237" s="250"/>
      <x:c r="F237" s="250"/>
      <x:c r="G237" s="252"/>
      <x:c r="H237" s="252"/>
      <x:c r="I237" s="250"/>
      <x:c r="J237" s="250"/>
      <x:c r="K237" s="250"/>
      <x:c r="L237" s="250"/>
      <x:c r="M237" s="252"/>
      <x:c r="N237" s="252"/>
      <x:c r="O237" s="251"/>
      <x:c r="P237" s="250"/>
      <x:c r="Q237" s="250"/>
      <x:c r="R237" s="250"/>
      <x:c r="S237" s="253"/>
      <x:c r="T237" s="250"/>
      <x:c r="U237"/>
      <x:c r="AA237"/>
      <x:c r="AB237"/>
      <x:c r="AC237"/>
      <x:c r="AD237"/>
      <x:c r="AE237"/>
      <x:c r="AF237"/>
      <x:c r="AG237"/>
      <x:c r="AH237"/>
      <x:c r="AI237"/>
      <x:c r="AJ237"/>
      <x:c r="AK237"/>
      <x:c r="AL237"/>
      <x:c r="AM237"/>
      <x:c r="AN237"/>
      <x:c r="AO237"/>
      <x:c r="AP237"/>
      <x:c r="AQ237"/>
      <x:c r="AR237"/>
    </x:row>
    <x:row r="238" s="248" customFormat="1">
      <x:c r="A238" s="250"/>
      <x:c r="B238" s="250"/>
      <x:c r="C238" s="566" t="str">
        <x:f>IF(B238="","",IFERROR(VLOOKUP(B238,PERUMAHAN!$A:$B,2,FALSE),"ID tidak ditemukan"))</x:f>
      </x:c>
      <x:c r="D238" s="250"/>
      <x:c r="E238" s="250"/>
      <x:c r="F238" s="250"/>
      <x:c r="G238" s="252"/>
      <x:c r="H238" s="252"/>
      <x:c r="I238" s="250"/>
      <x:c r="J238" s="250"/>
      <x:c r="K238" s="250"/>
      <x:c r="L238" s="250"/>
      <x:c r="M238" s="252"/>
      <x:c r="N238" s="252"/>
      <x:c r="O238" s="251"/>
      <x:c r="P238" s="250"/>
      <x:c r="Q238" s="250"/>
      <x:c r="R238" s="250"/>
      <x:c r="S238" s="253"/>
      <x:c r="T238" s="250"/>
      <x:c r="U238"/>
      <x:c r="AA238"/>
      <x:c r="AB238"/>
      <x:c r="AC238"/>
      <x:c r="AD238"/>
      <x:c r="AE238"/>
      <x:c r="AF238"/>
      <x:c r="AG238"/>
      <x:c r="AH238"/>
      <x:c r="AI238"/>
      <x:c r="AJ238"/>
      <x:c r="AK238"/>
      <x:c r="AL238"/>
      <x:c r="AM238"/>
      <x:c r="AN238"/>
      <x:c r="AO238"/>
      <x:c r="AP238"/>
      <x:c r="AQ238"/>
      <x:c r="AR238"/>
    </x:row>
    <x:row r="239" s="248" customFormat="1">
      <x:c r="A239" s="250"/>
      <x:c r="B239" s="250"/>
      <x:c r="C239" s="566" t="str">
        <x:f>IF(B239="","",IFERROR(VLOOKUP(B239,PERUMAHAN!$A:$B,2,FALSE),"ID tidak ditemukan"))</x:f>
      </x:c>
      <x:c r="D239" s="250"/>
      <x:c r="E239" s="250"/>
      <x:c r="F239" s="250"/>
      <x:c r="G239" s="252"/>
      <x:c r="H239" s="252"/>
      <x:c r="I239" s="250"/>
      <x:c r="J239" s="250"/>
      <x:c r="K239" s="250"/>
      <x:c r="L239" s="250"/>
      <x:c r="M239" s="252"/>
      <x:c r="N239" s="252"/>
      <x:c r="O239" s="251"/>
      <x:c r="P239" s="250"/>
      <x:c r="Q239" s="250"/>
      <x:c r="R239" s="250"/>
      <x:c r="S239" s="253"/>
      <x:c r="T239" s="250"/>
      <x:c r="U239"/>
      <x:c r="AA239"/>
      <x:c r="AB239"/>
      <x:c r="AC239"/>
      <x:c r="AD239"/>
      <x:c r="AE239"/>
      <x:c r="AF239"/>
      <x:c r="AG239"/>
      <x:c r="AH239"/>
      <x:c r="AI239"/>
      <x:c r="AJ239"/>
      <x:c r="AK239"/>
      <x:c r="AL239"/>
      <x:c r="AM239"/>
      <x:c r="AN239"/>
      <x:c r="AO239"/>
      <x:c r="AP239"/>
      <x:c r="AQ239"/>
      <x:c r="AR239"/>
    </x:row>
    <x:row r="240" s="248" customFormat="1">
      <x:c r="A240" s="250"/>
      <x:c r="B240" s="250"/>
      <x:c r="C240" s="566" t="str">
        <x:f>IF(B240="","",IFERROR(VLOOKUP(B240,PERUMAHAN!$A:$B,2,FALSE),"ID tidak ditemukan"))</x:f>
      </x:c>
      <x:c r="D240" s="250"/>
      <x:c r="E240" s="250"/>
      <x:c r="F240" s="250"/>
      <x:c r="G240" s="252"/>
      <x:c r="H240" s="252"/>
      <x:c r="I240" s="250"/>
      <x:c r="J240" s="250"/>
      <x:c r="K240" s="250"/>
      <x:c r="L240" s="250"/>
      <x:c r="M240" s="252"/>
      <x:c r="N240" s="252"/>
      <x:c r="O240" s="251"/>
      <x:c r="P240" s="250"/>
      <x:c r="Q240" s="250"/>
      <x:c r="R240" s="250"/>
      <x:c r="S240" s="253"/>
      <x:c r="T240" s="250"/>
      <x:c r="U240"/>
      <x:c r="AA240"/>
      <x:c r="AB240"/>
      <x:c r="AC240"/>
      <x:c r="AD240"/>
      <x:c r="AE240"/>
      <x:c r="AF240"/>
      <x:c r="AG240"/>
      <x:c r="AH240"/>
      <x:c r="AI240"/>
      <x:c r="AJ240"/>
      <x:c r="AK240"/>
      <x:c r="AL240"/>
      <x:c r="AM240"/>
      <x:c r="AN240"/>
      <x:c r="AO240"/>
      <x:c r="AP240"/>
      <x:c r="AQ240"/>
      <x:c r="AR240"/>
    </x:row>
    <x:row r="241" s="248" customFormat="1">
      <x:c r="A241" s="250"/>
      <x:c r="B241" s="250"/>
      <x:c r="C241" s="566" t="str">
        <x:f>IF(B241="","",IFERROR(VLOOKUP(B241,PERUMAHAN!$A:$B,2,FALSE),"ID tidak ditemukan"))</x:f>
      </x:c>
      <x:c r="D241" s="250"/>
      <x:c r="E241" s="250"/>
      <x:c r="F241" s="250"/>
      <x:c r="G241" s="252"/>
      <x:c r="H241" s="252"/>
      <x:c r="I241" s="250"/>
      <x:c r="J241" s="250"/>
      <x:c r="K241" s="250"/>
      <x:c r="L241" s="250"/>
      <x:c r="M241" s="252"/>
      <x:c r="N241" s="252"/>
      <x:c r="O241" s="251"/>
      <x:c r="P241" s="250"/>
      <x:c r="Q241" s="250"/>
      <x:c r="R241" s="250"/>
      <x:c r="S241" s="253"/>
      <x:c r="T241" s="250"/>
      <x:c r="U241"/>
      <x:c r="AA241"/>
      <x:c r="AB241"/>
      <x:c r="AC241"/>
      <x:c r="AD241"/>
      <x:c r="AE241"/>
      <x:c r="AF241"/>
      <x:c r="AG241"/>
      <x:c r="AH241"/>
      <x:c r="AI241"/>
      <x:c r="AJ241"/>
      <x:c r="AK241"/>
      <x:c r="AL241"/>
      <x:c r="AM241"/>
      <x:c r="AN241"/>
      <x:c r="AO241"/>
      <x:c r="AP241"/>
      <x:c r="AQ241"/>
      <x:c r="AR241"/>
    </x:row>
    <x:row r="242" s="248" customFormat="1">
      <x:c r="A242" s="250"/>
      <x:c r="B242" s="250"/>
      <x:c r="C242" s="566" t="str">
        <x:f>IF(B242="","",IFERROR(VLOOKUP(B242,PERUMAHAN!$A:$B,2,FALSE),"ID tidak ditemukan"))</x:f>
      </x:c>
      <x:c r="D242" s="250"/>
      <x:c r="E242" s="250"/>
      <x:c r="F242" s="250"/>
      <x:c r="G242" s="252"/>
      <x:c r="H242" s="252"/>
      <x:c r="I242" s="250"/>
      <x:c r="J242" s="250"/>
      <x:c r="K242" s="250"/>
      <x:c r="L242" s="250"/>
      <x:c r="M242" s="252"/>
      <x:c r="N242" s="252"/>
      <x:c r="O242" s="251"/>
      <x:c r="P242" s="250"/>
      <x:c r="Q242" s="250"/>
      <x:c r="R242" s="250"/>
      <x:c r="S242" s="253"/>
      <x:c r="T242" s="250"/>
      <x:c r="U242"/>
      <x:c r="AA242"/>
      <x:c r="AB242"/>
      <x:c r="AC242"/>
      <x:c r="AD242"/>
      <x:c r="AE242"/>
      <x:c r="AF242"/>
      <x:c r="AG242"/>
      <x:c r="AH242"/>
      <x:c r="AI242"/>
      <x:c r="AJ242"/>
      <x:c r="AK242"/>
      <x:c r="AL242"/>
      <x:c r="AM242"/>
      <x:c r="AN242"/>
      <x:c r="AO242"/>
      <x:c r="AP242"/>
      <x:c r="AQ242"/>
      <x:c r="AR242"/>
    </x:row>
    <x:row r="243" s="248" customFormat="1">
      <x:c r="A243" s="250"/>
      <x:c r="B243" s="250"/>
      <x:c r="C243" s="566" t="str">
        <x:f>IF(B243="","",IFERROR(VLOOKUP(B243,PERUMAHAN!$A:$B,2,FALSE),"ID tidak ditemukan"))</x:f>
      </x:c>
      <x:c r="D243" s="250"/>
      <x:c r="E243" s="250"/>
      <x:c r="F243" s="250"/>
      <x:c r="G243" s="252"/>
      <x:c r="H243" s="252"/>
      <x:c r="I243" s="250"/>
      <x:c r="J243" s="250"/>
      <x:c r="K243" s="250"/>
      <x:c r="L243" s="250"/>
      <x:c r="M243" s="252"/>
      <x:c r="N243" s="252"/>
      <x:c r="O243" s="251"/>
      <x:c r="P243" s="250"/>
      <x:c r="Q243" s="250"/>
      <x:c r="R243" s="250"/>
      <x:c r="S243" s="253"/>
      <x:c r="T243" s="250"/>
      <x:c r="U243"/>
      <x:c r="AA243"/>
      <x:c r="AB243"/>
      <x:c r="AC243"/>
      <x:c r="AD243"/>
      <x:c r="AE243"/>
      <x:c r="AF243"/>
      <x:c r="AG243"/>
      <x:c r="AH243"/>
      <x:c r="AI243"/>
      <x:c r="AJ243"/>
      <x:c r="AK243"/>
      <x:c r="AL243"/>
      <x:c r="AM243"/>
      <x:c r="AN243"/>
      <x:c r="AO243"/>
      <x:c r="AP243"/>
      <x:c r="AQ243"/>
      <x:c r="AR243"/>
    </x:row>
    <x:row r="244" s="248" customFormat="1">
      <x:c r="A244" s="250"/>
      <x:c r="B244" s="250"/>
      <x:c r="C244" s="566" t="str">
        <x:f>IF(B244="","",IFERROR(VLOOKUP(B244,PERUMAHAN!$A:$B,2,FALSE),"ID tidak ditemukan"))</x:f>
      </x:c>
      <x:c r="D244" s="250"/>
      <x:c r="E244" s="250"/>
      <x:c r="F244" s="250"/>
      <x:c r="G244" s="252"/>
      <x:c r="H244" s="252"/>
      <x:c r="I244" s="250"/>
      <x:c r="J244" s="250"/>
      <x:c r="K244" s="250"/>
      <x:c r="L244" s="250"/>
      <x:c r="M244" s="252"/>
      <x:c r="N244" s="252"/>
      <x:c r="O244" s="251"/>
      <x:c r="P244" s="250"/>
      <x:c r="Q244" s="250"/>
      <x:c r="R244" s="250"/>
      <x:c r="S244" s="253"/>
      <x:c r="T244" s="250"/>
      <x:c r="U244"/>
      <x:c r="AA244"/>
      <x:c r="AB244"/>
      <x:c r="AC244"/>
      <x:c r="AD244"/>
      <x:c r="AE244"/>
      <x:c r="AF244"/>
      <x:c r="AG244"/>
      <x:c r="AH244"/>
      <x:c r="AI244"/>
      <x:c r="AJ244"/>
      <x:c r="AK244"/>
      <x:c r="AL244"/>
      <x:c r="AM244"/>
      <x:c r="AN244"/>
      <x:c r="AO244"/>
      <x:c r="AP244"/>
      <x:c r="AQ244"/>
      <x:c r="AR244"/>
    </x:row>
    <x:row r="245" s="248" customFormat="1">
      <x:c r="A245" s="250"/>
      <x:c r="B245" s="250"/>
      <x:c r="C245" s="566" t="str">
        <x:f>IF(B245="","",IFERROR(VLOOKUP(B245,PERUMAHAN!$A:$B,2,FALSE),"ID tidak ditemukan"))</x:f>
      </x:c>
      <x:c r="D245" s="250"/>
      <x:c r="E245" s="250"/>
      <x:c r="F245" s="250"/>
      <x:c r="G245" s="252"/>
      <x:c r="H245" s="252"/>
      <x:c r="I245" s="250"/>
      <x:c r="J245" s="250"/>
      <x:c r="K245" s="250"/>
      <x:c r="L245" s="250"/>
      <x:c r="M245" s="252"/>
      <x:c r="N245" s="252"/>
      <x:c r="O245" s="251"/>
      <x:c r="P245" s="250"/>
      <x:c r="Q245" s="250"/>
      <x:c r="R245" s="250"/>
      <x:c r="S245" s="253"/>
      <x:c r="T245" s="250"/>
      <x:c r="U245"/>
      <x:c r="AA245"/>
      <x:c r="AB245"/>
      <x:c r="AC245"/>
      <x:c r="AD245"/>
      <x:c r="AE245"/>
      <x:c r="AF245"/>
      <x:c r="AG245"/>
      <x:c r="AH245"/>
      <x:c r="AI245"/>
      <x:c r="AJ245"/>
      <x:c r="AK245"/>
      <x:c r="AL245"/>
      <x:c r="AM245"/>
      <x:c r="AN245"/>
      <x:c r="AO245"/>
      <x:c r="AP245"/>
      <x:c r="AQ245"/>
      <x:c r="AR245"/>
    </x:row>
    <x:row r="246" s="248" customFormat="1">
      <x:c r="A246" s="250"/>
      <x:c r="B246" s="250"/>
      <x:c r="C246" s="566" t="str">
        <x:f>IF(B246="","",IFERROR(VLOOKUP(B246,PERUMAHAN!$A:$B,2,FALSE),"ID tidak ditemukan"))</x:f>
      </x:c>
      <x:c r="D246" s="250"/>
      <x:c r="E246" s="250"/>
      <x:c r="F246" s="250"/>
      <x:c r="G246" s="252"/>
      <x:c r="H246" s="252"/>
      <x:c r="I246" s="250"/>
      <x:c r="J246" s="250"/>
      <x:c r="K246" s="250"/>
      <x:c r="L246" s="250"/>
      <x:c r="M246" s="252"/>
      <x:c r="N246" s="252"/>
      <x:c r="O246" s="251"/>
      <x:c r="P246" s="250"/>
      <x:c r="Q246" s="250"/>
      <x:c r="R246" s="250"/>
      <x:c r="S246" s="253"/>
      <x:c r="T246" s="250"/>
      <x:c r="U246"/>
      <x:c r="AA246"/>
      <x:c r="AB246"/>
      <x:c r="AC246"/>
      <x:c r="AD246"/>
      <x:c r="AE246"/>
      <x:c r="AF246"/>
      <x:c r="AG246"/>
      <x:c r="AH246"/>
      <x:c r="AI246"/>
      <x:c r="AJ246"/>
      <x:c r="AK246"/>
      <x:c r="AL246"/>
      <x:c r="AM246"/>
      <x:c r="AN246"/>
      <x:c r="AO246"/>
      <x:c r="AP246"/>
      <x:c r="AQ246"/>
      <x:c r="AR246"/>
    </x:row>
    <x:row r="247" s="248" customFormat="1">
      <x:c r="A247" s="250"/>
      <x:c r="B247" s="250"/>
      <x:c r="C247" s="566" t="str">
        <x:f>IF(B247="","",IFERROR(VLOOKUP(B247,PERUMAHAN!$A:$B,2,FALSE),"ID tidak ditemukan"))</x:f>
      </x:c>
      <x:c r="D247" s="250"/>
      <x:c r="E247" s="250"/>
      <x:c r="F247" s="250"/>
      <x:c r="G247" s="252"/>
      <x:c r="H247" s="252"/>
      <x:c r="I247" s="250"/>
      <x:c r="J247" s="250"/>
      <x:c r="K247" s="250"/>
      <x:c r="L247" s="250"/>
      <x:c r="M247" s="252"/>
      <x:c r="N247" s="252"/>
      <x:c r="O247" s="251"/>
      <x:c r="P247" s="250"/>
      <x:c r="Q247" s="250"/>
      <x:c r="R247" s="250"/>
      <x:c r="S247" s="253"/>
      <x:c r="T247" s="250"/>
      <x:c r="U247"/>
      <x:c r="AA247"/>
      <x:c r="AB247"/>
      <x:c r="AC247"/>
      <x:c r="AD247"/>
      <x:c r="AE247"/>
      <x:c r="AF247"/>
      <x:c r="AG247"/>
      <x:c r="AH247"/>
      <x:c r="AI247"/>
      <x:c r="AJ247"/>
      <x:c r="AK247"/>
      <x:c r="AL247"/>
      <x:c r="AM247"/>
      <x:c r="AN247"/>
      <x:c r="AO247"/>
      <x:c r="AP247"/>
      <x:c r="AQ247"/>
      <x:c r="AR247"/>
    </x:row>
    <x:row r="248" s="248" customFormat="1">
      <x:c r="A248" s="250"/>
      <x:c r="B248" s="250"/>
      <x:c r="C248" s="566" t="str">
        <x:f>IF(B248="","",IFERROR(VLOOKUP(B248,PERUMAHAN!$A:$B,2,FALSE),"ID tidak ditemukan"))</x:f>
      </x:c>
      <x:c r="D248" s="250"/>
      <x:c r="E248" s="250"/>
      <x:c r="F248" s="250"/>
      <x:c r="G248" s="252"/>
      <x:c r="H248" s="252"/>
      <x:c r="I248" s="250"/>
      <x:c r="J248" s="250"/>
      <x:c r="K248" s="250"/>
      <x:c r="L248" s="250"/>
      <x:c r="M248" s="252"/>
      <x:c r="N248" s="252"/>
      <x:c r="O248" s="251"/>
      <x:c r="P248" s="250"/>
      <x:c r="Q248" s="250"/>
      <x:c r="R248" s="250"/>
      <x:c r="S248" s="253"/>
      <x:c r="T248" s="250"/>
      <x:c r="U248"/>
      <x:c r="AA248"/>
      <x:c r="AB248"/>
      <x:c r="AC248"/>
      <x:c r="AD248"/>
      <x:c r="AE248"/>
      <x:c r="AF248"/>
      <x:c r="AG248"/>
      <x:c r="AH248"/>
      <x:c r="AI248"/>
      <x:c r="AJ248"/>
      <x:c r="AK248"/>
      <x:c r="AL248"/>
      <x:c r="AM248"/>
      <x:c r="AN248"/>
      <x:c r="AO248"/>
      <x:c r="AP248"/>
      <x:c r="AQ248"/>
      <x:c r="AR248"/>
    </x:row>
    <x:row r="249" s="248" customFormat="1">
      <x:c r="A249" s="250"/>
      <x:c r="B249" s="250"/>
      <x:c r="C249" s="566" t="str">
        <x:f>IF(B249="","",IFERROR(VLOOKUP(B249,PERUMAHAN!$A:$B,2,FALSE),"ID tidak ditemukan"))</x:f>
      </x:c>
      <x:c r="D249" s="250"/>
      <x:c r="E249" s="250"/>
      <x:c r="F249" s="250"/>
      <x:c r="G249" s="252"/>
      <x:c r="H249" s="252"/>
      <x:c r="I249" s="250"/>
      <x:c r="J249" s="250"/>
      <x:c r="K249" s="250"/>
      <x:c r="L249" s="250"/>
      <x:c r="M249" s="252"/>
      <x:c r="N249" s="252"/>
      <x:c r="O249" s="251"/>
      <x:c r="P249" s="250"/>
      <x:c r="Q249" s="250"/>
      <x:c r="R249" s="250"/>
      <x:c r="S249" s="253"/>
      <x:c r="T249" s="250"/>
      <x:c r="U249"/>
      <x:c r="AA249"/>
      <x:c r="AB249"/>
      <x:c r="AC249"/>
      <x:c r="AD249"/>
      <x:c r="AE249"/>
      <x:c r="AF249"/>
      <x:c r="AG249"/>
      <x:c r="AH249"/>
      <x:c r="AI249"/>
      <x:c r="AJ249"/>
      <x:c r="AK249"/>
      <x:c r="AL249"/>
      <x:c r="AM249"/>
      <x:c r="AN249"/>
      <x:c r="AO249"/>
      <x:c r="AP249"/>
      <x:c r="AQ249"/>
      <x:c r="AR249"/>
    </x:row>
    <x:row r="250" s="248" customFormat="1">
      <x:c r="A250" s="250"/>
      <x:c r="B250" s="250"/>
      <x:c r="C250" s="566" t="str">
        <x:f>IF(B250="","",IFERROR(VLOOKUP(B250,PERUMAHAN!$A:$B,2,FALSE),"ID tidak ditemukan"))</x:f>
      </x:c>
      <x:c r="D250" s="250"/>
      <x:c r="E250" s="250"/>
      <x:c r="F250" s="250"/>
      <x:c r="G250" s="252"/>
      <x:c r="H250" s="252"/>
      <x:c r="I250" s="250"/>
      <x:c r="J250" s="250"/>
      <x:c r="K250" s="250"/>
      <x:c r="L250" s="250"/>
      <x:c r="M250" s="252"/>
      <x:c r="N250" s="252"/>
      <x:c r="O250" s="251"/>
      <x:c r="P250" s="250"/>
      <x:c r="Q250" s="250"/>
      <x:c r="R250" s="250"/>
      <x:c r="S250" s="253"/>
      <x:c r="T250" s="250"/>
      <x:c r="U250"/>
      <x:c r="AA250"/>
      <x:c r="AB250"/>
      <x:c r="AC250"/>
      <x:c r="AD250"/>
      <x:c r="AE250"/>
      <x:c r="AF250"/>
      <x:c r="AG250"/>
      <x:c r="AH250"/>
      <x:c r="AI250"/>
      <x:c r="AJ250"/>
      <x:c r="AK250"/>
      <x:c r="AL250"/>
      <x:c r="AM250"/>
      <x:c r="AN250"/>
      <x:c r="AO250"/>
      <x:c r="AP250"/>
      <x:c r="AQ250"/>
      <x:c r="AR250"/>
    </x:row>
    <x:row r="251" s="248" customFormat="1">
      <x:c r="A251" s="250"/>
      <x:c r="B251" s="250"/>
      <x:c r="C251" s="566" t="str">
        <x:f>IF(B251="","",IFERROR(VLOOKUP(B251,PERUMAHAN!$A:$B,2,FALSE),"ID tidak ditemukan"))</x:f>
      </x:c>
      <x:c r="D251" s="250"/>
      <x:c r="E251" s="250"/>
      <x:c r="F251" s="250"/>
      <x:c r="G251" s="252"/>
      <x:c r="H251" s="252"/>
      <x:c r="I251" s="250"/>
      <x:c r="J251" s="250"/>
      <x:c r="K251" s="250"/>
      <x:c r="L251" s="250"/>
      <x:c r="M251" s="252"/>
      <x:c r="N251" s="252"/>
      <x:c r="O251" s="251"/>
      <x:c r="P251" s="250"/>
      <x:c r="Q251" s="250"/>
      <x:c r="R251" s="250"/>
      <x:c r="S251" s="253"/>
      <x:c r="T251" s="250"/>
      <x:c r="U251"/>
      <x:c r="AA251"/>
      <x:c r="AB251"/>
      <x:c r="AC251"/>
      <x:c r="AD251"/>
      <x:c r="AE251"/>
      <x:c r="AF251"/>
      <x:c r="AG251"/>
      <x:c r="AH251"/>
      <x:c r="AI251"/>
      <x:c r="AJ251"/>
      <x:c r="AK251"/>
      <x:c r="AL251"/>
      <x:c r="AM251"/>
      <x:c r="AN251"/>
      <x:c r="AO251"/>
      <x:c r="AP251"/>
      <x:c r="AQ251"/>
      <x:c r="AR251"/>
    </x:row>
    <x:row r="252" s="248" customFormat="1">
      <x:c r="A252" s="250"/>
      <x:c r="B252" s="250"/>
      <x:c r="C252" s="566" t="str">
        <x:f>IF(B252="","",IFERROR(VLOOKUP(B252,PERUMAHAN!$A:$B,2,FALSE),"ID tidak ditemukan"))</x:f>
      </x:c>
      <x:c r="D252" s="250"/>
      <x:c r="E252" s="250"/>
      <x:c r="F252" s="250"/>
      <x:c r="G252" s="252"/>
      <x:c r="H252" s="252"/>
      <x:c r="I252" s="250"/>
      <x:c r="J252" s="250"/>
      <x:c r="K252" s="250"/>
      <x:c r="L252" s="250"/>
      <x:c r="M252" s="252"/>
      <x:c r="N252" s="252"/>
      <x:c r="O252" s="251"/>
      <x:c r="P252" s="250"/>
      <x:c r="Q252" s="250"/>
      <x:c r="R252" s="250"/>
      <x:c r="S252" s="253"/>
      <x:c r="T252" s="250"/>
      <x:c r="U252"/>
      <x:c r="AA252"/>
      <x:c r="AB252"/>
      <x:c r="AC252"/>
      <x:c r="AD252"/>
      <x:c r="AE252"/>
      <x:c r="AF252"/>
      <x:c r="AG252"/>
      <x:c r="AH252"/>
      <x:c r="AI252"/>
      <x:c r="AJ252"/>
      <x:c r="AK252"/>
      <x:c r="AL252"/>
      <x:c r="AM252"/>
      <x:c r="AN252"/>
      <x:c r="AO252"/>
      <x:c r="AP252"/>
      <x:c r="AQ252"/>
      <x:c r="AR252"/>
    </x:row>
    <x:row r="253" s="248" customFormat="1">
      <x:c r="A253" s="250"/>
      <x:c r="B253" s="250"/>
      <x:c r="C253" s="566" t="str">
        <x:f>IF(B253="","",IFERROR(VLOOKUP(B253,PERUMAHAN!$A:$B,2,FALSE),"ID tidak ditemukan"))</x:f>
      </x:c>
      <x:c r="D253" s="250"/>
      <x:c r="E253" s="250"/>
      <x:c r="F253" s="250"/>
      <x:c r="G253" s="252"/>
      <x:c r="H253" s="252"/>
      <x:c r="I253" s="250"/>
      <x:c r="J253" s="250"/>
      <x:c r="K253" s="250"/>
      <x:c r="L253" s="250"/>
      <x:c r="M253" s="252"/>
      <x:c r="N253" s="252"/>
      <x:c r="O253" s="251"/>
      <x:c r="P253" s="250"/>
      <x:c r="Q253" s="250"/>
      <x:c r="R253" s="250"/>
      <x:c r="S253" s="253"/>
      <x:c r="T253" s="250"/>
      <x:c r="U253"/>
      <x:c r="AA253"/>
      <x:c r="AB253"/>
      <x:c r="AC253"/>
      <x:c r="AD253"/>
      <x:c r="AE253"/>
      <x:c r="AF253"/>
      <x:c r="AG253"/>
      <x:c r="AH253"/>
      <x:c r="AI253"/>
      <x:c r="AJ253"/>
      <x:c r="AK253"/>
      <x:c r="AL253"/>
      <x:c r="AM253"/>
      <x:c r="AN253"/>
      <x:c r="AO253"/>
      <x:c r="AP253"/>
      <x:c r="AQ253"/>
      <x:c r="AR253"/>
    </x:row>
    <x:row r="254" s="248" customFormat="1">
      <x:c r="A254" s="250"/>
      <x:c r="B254" s="250"/>
      <x:c r="C254" s="566" t="str">
        <x:f>IF(B254="","",IFERROR(VLOOKUP(B254,PERUMAHAN!$A:$B,2,FALSE),"ID tidak ditemukan"))</x:f>
      </x:c>
      <x:c r="D254" s="250"/>
      <x:c r="E254" s="250"/>
      <x:c r="F254" s="250"/>
      <x:c r="G254" s="252"/>
      <x:c r="H254" s="252"/>
      <x:c r="I254" s="250"/>
      <x:c r="J254" s="250"/>
      <x:c r="K254" s="250"/>
      <x:c r="L254" s="250"/>
      <x:c r="M254" s="252"/>
      <x:c r="N254" s="252"/>
      <x:c r="O254" s="251"/>
      <x:c r="P254" s="250"/>
      <x:c r="Q254" s="250"/>
      <x:c r="R254" s="250"/>
      <x:c r="S254" s="253"/>
      <x:c r="T254" s="250"/>
      <x:c r="U254"/>
      <x:c r="AA254"/>
      <x:c r="AB254"/>
      <x:c r="AC254"/>
      <x:c r="AD254"/>
      <x:c r="AE254"/>
      <x:c r="AF254"/>
      <x:c r="AG254"/>
      <x:c r="AH254"/>
      <x:c r="AI254"/>
      <x:c r="AJ254"/>
      <x:c r="AK254"/>
      <x:c r="AL254"/>
      <x:c r="AM254"/>
      <x:c r="AN254"/>
      <x:c r="AO254"/>
      <x:c r="AP254"/>
      <x:c r="AQ254"/>
      <x:c r="AR254"/>
    </x:row>
    <x:row r="255" s="248" customFormat="1">
      <x:c r="A255" s="250"/>
      <x:c r="B255" s="250"/>
      <x:c r="C255" s="566" t="str">
        <x:f>IF(B255="","",IFERROR(VLOOKUP(B255,PERUMAHAN!$A:$B,2,FALSE),"ID tidak ditemukan"))</x:f>
      </x:c>
      <x:c r="D255" s="250"/>
      <x:c r="E255" s="250"/>
      <x:c r="F255" s="250"/>
      <x:c r="G255" s="252"/>
      <x:c r="H255" s="252"/>
      <x:c r="I255" s="250"/>
      <x:c r="J255" s="250"/>
      <x:c r="K255" s="250"/>
      <x:c r="L255" s="250"/>
      <x:c r="M255" s="252"/>
      <x:c r="N255" s="252"/>
      <x:c r="O255" s="251"/>
      <x:c r="P255" s="250"/>
      <x:c r="Q255" s="250"/>
      <x:c r="R255" s="250"/>
      <x:c r="S255" s="253"/>
      <x:c r="T255" s="250"/>
      <x:c r="U255"/>
      <x:c r="AA255"/>
      <x:c r="AB255"/>
      <x:c r="AC255"/>
      <x:c r="AD255"/>
      <x:c r="AE255"/>
      <x:c r="AF255"/>
      <x:c r="AG255"/>
      <x:c r="AH255"/>
      <x:c r="AI255"/>
      <x:c r="AJ255"/>
      <x:c r="AK255"/>
      <x:c r="AL255"/>
      <x:c r="AM255"/>
      <x:c r="AN255"/>
      <x:c r="AO255"/>
      <x:c r="AP255"/>
      <x:c r="AQ255"/>
      <x:c r="AR255"/>
    </x:row>
    <x:row r="256" s="248" customFormat="1">
      <x:c r="A256" s="250"/>
      <x:c r="B256" s="250"/>
      <x:c r="C256" s="566" t="str">
        <x:f>IF(B256="","",IFERROR(VLOOKUP(B256,PERUMAHAN!$A:$B,2,FALSE),"ID tidak ditemukan"))</x:f>
      </x:c>
      <x:c r="D256" s="250"/>
      <x:c r="E256" s="250"/>
      <x:c r="F256" s="250"/>
      <x:c r="G256" s="252"/>
      <x:c r="H256" s="252"/>
      <x:c r="I256" s="250"/>
      <x:c r="J256" s="250"/>
      <x:c r="K256" s="250"/>
      <x:c r="L256" s="250"/>
      <x:c r="M256" s="252"/>
      <x:c r="N256" s="252"/>
      <x:c r="O256" s="251"/>
      <x:c r="P256" s="250"/>
      <x:c r="Q256" s="250"/>
      <x:c r="R256" s="250"/>
      <x:c r="S256" s="253"/>
      <x:c r="T256" s="250"/>
      <x:c r="U256"/>
      <x:c r="AA256"/>
      <x:c r="AB256"/>
      <x:c r="AC256"/>
      <x:c r="AD256"/>
      <x:c r="AE256"/>
      <x:c r="AF256"/>
      <x:c r="AG256"/>
      <x:c r="AH256"/>
      <x:c r="AI256"/>
      <x:c r="AJ256"/>
      <x:c r="AK256"/>
      <x:c r="AL256"/>
      <x:c r="AM256"/>
      <x:c r="AN256"/>
      <x:c r="AO256"/>
      <x:c r="AP256"/>
      <x:c r="AQ256"/>
      <x:c r="AR256"/>
    </x:row>
    <x:row r="257" s="248" customFormat="1">
      <x:c r="A257" s="250"/>
      <x:c r="B257" s="250"/>
      <x:c r="C257" s="566" t="str">
        <x:f>IF(B257="","",IFERROR(VLOOKUP(B257,PERUMAHAN!$A:$B,2,FALSE),"ID tidak ditemukan"))</x:f>
      </x:c>
      <x:c r="D257" s="250"/>
      <x:c r="E257" s="250"/>
      <x:c r="F257" s="250"/>
      <x:c r="G257" s="252"/>
      <x:c r="H257" s="252"/>
      <x:c r="I257" s="250"/>
      <x:c r="J257" s="250"/>
      <x:c r="K257" s="250"/>
      <x:c r="L257" s="250"/>
      <x:c r="M257" s="252"/>
      <x:c r="N257" s="252"/>
      <x:c r="O257" s="251"/>
      <x:c r="P257" s="250"/>
      <x:c r="Q257" s="250"/>
      <x:c r="R257" s="250"/>
      <x:c r="S257" s="253"/>
      <x:c r="T257" s="250"/>
      <x:c r="U257"/>
      <x:c r="AA257"/>
      <x:c r="AB257"/>
      <x:c r="AC257"/>
      <x:c r="AD257"/>
      <x:c r="AE257"/>
      <x:c r="AF257"/>
      <x:c r="AG257"/>
      <x:c r="AH257"/>
      <x:c r="AI257"/>
      <x:c r="AJ257"/>
      <x:c r="AK257"/>
      <x:c r="AL257"/>
      <x:c r="AM257"/>
      <x:c r="AN257"/>
      <x:c r="AO257"/>
      <x:c r="AP257"/>
      <x:c r="AQ257"/>
      <x:c r="AR257"/>
    </x:row>
    <x:row r="258" s="248" customFormat="1">
      <x:c r="A258" s="250"/>
      <x:c r="B258" s="250"/>
      <x:c r="C258" s="566" t="str">
        <x:f>IF(B258="","",IFERROR(VLOOKUP(B258,PERUMAHAN!$A:$B,2,FALSE),"ID tidak ditemukan"))</x:f>
      </x:c>
      <x:c r="D258" s="250"/>
      <x:c r="E258" s="250"/>
      <x:c r="F258" s="250"/>
      <x:c r="G258" s="252"/>
      <x:c r="H258" s="252"/>
      <x:c r="I258" s="250"/>
      <x:c r="J258" s="250"/>
      <x:c r="K258" s="250"/>
      <x:c r="L258" s="250"/>
      <x:c r="M258" s="252"/>
      <x:c r="N258" s="252"/>
      <x:c r="O258" s="251"/>
      <x:c r="P258" s="250"/>
      <x:c r="Q258" s="250"/>
      <x:c r="R258" s="250"/>
      <x:c r="S258" s="253"/>
      <x:c r="T258" s="250"/>
      <x:c r="U258"/>
      <x:c r="AA258"/>
      <x:c r="AB258"/>
      <x:c r="AC258"/>
      <x:c r="AD258"/>
      <x:c r="AE258"/>
      <x:c r="AF258"/>
      <x:c r="AG258"/>
      <x:c r="AH258"/>
      <x:c r="AI258"/>
      <x:c r="AJ258"/>
      <x:c r="AK258"/>
      <x:c r="AL258"/>
      <x:c r="AM258"/>
      <x:c r="AN258"/>
      <x:c r="AO258"/>
      <x:c r="AP258"/>
      <x:c r="AQ258"/>
      <x:c r="AR258"/>
    </x:row>
    <x:row r="259" s="248" customFormat="1">
      <x:c r="A259" s="250"/>
      <x:c r="B259" s="250"/>
      <x:c r="C259" s="566" t="str">
        <x:f>IF(B259="","",IFERROR(VLOOKUP(B259,PERUMAHAN!$A:$B,2,FALSE),"ID tidak ditemukan"))</x:f>
      </x:c>
      <x:c r="D259" s="250"/>
      <x:c r="E259" s="250"/>
      <x:c r="F259" s="250"/>
      <x:c r="G259" s="252"/>
      <x:c r="H259" s="252"/>
      <x:c r="I259" s="250"/>
      <x:c r="J259" s="250"/>
      <x:c r="K259" s="250"/>
      <x:c r="L259" s="250"/>
      <x:c r="M259" s="252"/>
      <x:c r="N259" s="252"/>
      <x:c r="O259" s="251"/>
      <x:c r="P259" s="250"/>
      <x:c r="Q259" s="250"/>
      <x:c r="R259" s="250"/>
      <x:c r="S259" s="253"/>
      <x:c r="T259" s="250"/>
      <x:c r="U259"/>
      <x:c r="AA259"/>
      <x:c r="AB259"/>
      <x:c r="AC259"/>
      <x:c r="AD259"/>
      <x:c r="AE259"/>
      <x:c r="AF259"/>
      <x:c r="AG259"/>
      <x:c r="AH259"/>
      <x:c r="AI259"/>
      <x:c r="AJ259"/>
      <x:c r="AK259"/>
      <x:c r="AL259"/>
      <x:c r="AM259"/>
      <x:c r="AN259"/>
      <x:c r="AO259"/>
      <x:c r="AP259"/>
      <x:c r="AQ259"/>
      <x:c r="AR259"/>
    </x:row>
    <x:row r="260" s="248" customFormat="1">
      <x:c r="A260" s="250"/>
      <x:c r="B260" s="250"/>
      <x:c r="C260" s="566" t="str">
        <x:f>IF(B260="","",IFERROR(VLOOKUP(B260,PERUMAHAN!$A:$B,2,FALSE),"ID tidak ditemukan"))</x:f>
      </x:c>
      <x:c r="D260" s="250"/>
      <x:c r="E260" s="250"/>
      <x:c r="F260" s="250"/>
      <x:c r="G260" s="252"/>
      <x:c r="H260" s="252"/>
      <x:c r="I260" s="250"/>
      <x:c r="J260" s="250"/>
      <x:c r="K260" s="250"/>
      <x:c r="L260" s="250"/>
      <x:c r="M260" s="252"/>
      <x:c r="N260" s="252"/>
      <x:c r="O260" s="251"/>
      <x:c r="P260" s="250"/>
      <x:c r="Q260" s="250"/>
      <x:c r="R260" s="250"/>
      <x:c r="S260" s="253"/>
      <x:c r="T260" s="250"/>
      <x:c r="U260"/>
      <x:c r="AA260"/>
      <x:c r="AB260"/>
      <x:c r="AC260"/>
      <x:c r="AD260"/>
      <x:c r="AE260"/>
      <x:c r="AF260"/>
      <x:c r="AG260"/>
      <x:c r="AH260"/>
      <x:c r="AI260"/>
      <x:c r="AJ260"/>
      <x:c r="AK260"/>
      <x:c r="AL260"/>
      <x:c r="AM260"/>
      <x:c r="AN260"/>
      <x:c r="AO260"/>
      <x:c r="AP260"/>
      <x:c r="AQ260"/>
      <x:c r="AR260"/>
    </x:row>
    <x:row r="261" s="248" customFormat="1">
      <x:c r="A261" s="250"/>
      <x:c r="B261" s="250"/>
      <x:c r="C261" s="566" t="str">
        <x:f>IF(B261="","",IFERROR(VLOOKUP(B261,PERUMAHAN!$A:$B,2,FALSE),"ID tidak ditemukan"))</x:f>
      </x:c>
      <x:c r="D261" s="250"/>
      <x:c r="E261" s="250"/>
      <x:c r="F261" s="250"/>
      <x:c r="G261" s="252"/>
      <x:c r="H261" s="252"/>
      <x:c r="I261" s="250"/>
      <x:c r="J261" s="250"/>
      <x:c r="K261" s="250"/>
      <x:c r="L261" s="250"/>
      <x:c r="M261" s="252"/>
      <x:c r="N261" s="252"/>
      <x:c r="O261" s="251"/>
      <x:c r="P261" s="250"/>
      <x:c r="Q261" s="250"/>
      <x:c r="R261" s="250"/>
      <x:c r="S261" s="253"/>
      <x:c r="T261" s="250"/>
      <x:c r="U261"/>
      <x:c r="AA261"/>
      <x:c r="AB261"/>
      <x:c r="AC261"/>
      <x:c r="AD261"/>
      <x:c r="AE261"/>
      <x:c r="AF261"/>
      <x:c r="AG261"/>
      <x:c r="AH261"/>
      <x:c r="AI261"/>
      <x:c r="AJ261"/>
      <x:c r="AK261"/>
      <x:c r="AL261"/>
      <x:c r="AM261"/>
      <x:c r="AN261"/>
      <x:c r="AO261"/>
      <x:c r="AP261"/>
      <x:c r="AQ261"/>
      <x:c r="AR261"/>
    </x:row>
    <x:row r="262" s="248" customFormat="1">
      <x:c r="A262" s="250"/>
      <x:c r="B262" s="250"/>
      <x:c r="C262" s="566" t="str">
        <x:f>IF(B262="","",IFERROR(VLOOKUP(B262,PERUMAHAN!$A:$B,2,FALSE),"ID tidak ditemukan"))</x:f>
      </x:c>
      <x:c r="D262" s="250"/>
      <x:c r="E262" s="250"/>
      <x:c r="F262" s="250"/>
      <x:c r="G262" s="252"/>
      <x:c r="H262" s="252"/>
      <x:c r="I262" s="250"/>
      <x:c r="J262" s="250"/>
      <x:c r="K262" s="250"/>
      <x:c r="L262" s="250"/>
      <x:c r="M262" s="252"/>
      <x:c r="N262" s="252"/>
      <x:c r="O262" s="251"/>
      <x:c r="P262" s="250"/>
      <x:c r="Q262" s="250"/>
      <x:c r="R262" s="250"/>
      <x:c r="S262" s="253"/>
      <x:c r="T262" s="250"/>
      <x:c r="U262"/>
      <x:c r="AA262"/>
      <x:c r="AB262"/>
      <x:c r="AC262"/>
      <x:c r="AD262"/>
      <x:c r="AE262"/>
      <x:c r="AF262"/>
      <x:c r="AG262"/>
      <x:c r="AH262"/>
      <x:c r="AI262"/>
      <x:c r="AJ262"/>
      <x:c r="AK262"/>
      <x:c r="AL262"/>
      <x:c r="AM262"/>
      <x:c r="AN262"/>
      <x:c r="AO262"/>
      <x:c r="AP262"/>
      <x:c r="AQ262"/>
      <x:c r="AR262"/>
    </x:row>
    <x:row r="263" s="248" customFormat="1">
      <x:c r="A263" s="250"/>
      <x:c r="B263" s="250"/>
      <x:c r="C263" s="566" t="str">
        <x:f>IF(B263="","",IFERROR(VLOOKUP(B263,PERUMAHAN!$A:$B,2,FALSE),"ID tidak ditemukan"))</x:f>
      </x:c>
      <x:c r="D263" s="250"/>
      <x:c r="E263" s="250"/>
      <x:c r="F263" s="250"/>
      <x:c r="G263" s="252"/>
      <x:c r="H263" s="252"/>
      <x:c r="I263" s="250"/>
      <x:c r="J263" s="250"/>
      <x:c r="K263" s="250"/>
      <x:c r="L263" s="250"/>
      <x:c r="M263" s="252"/>
      <x:c r="N263" s="252"/>
      <x:c r="O263" s="251"/>
      <x:c r="P263" s="250"/>
      <x:c r="Q263" s="250"/>
      <x:c r="R263" s="250"/>
      <x:c r="S263" s="253"/>
      <x:c r="T263" s="250"/>
      <x:c r="U263"/>
      <x:c r="AA263"/>
      <x:c r="AB263"/>
      <x:c r="AC263"/>
      <x:c r="AD263"/>
      <x:c r="AE263"/>
      <x:c r="AF263"/>
      <x:c r="AG263"/>
      <x:c r="AH263"/>
      <x:c r="AI263"/>
      <x:c r="AJ263"/>
      <x:c r="AK263"/>
      <x:c r="AL263"/>
      <x:c r="AM263"/>
      <x:c r="AN263"/>
      <x:c r="AO263"/>
      <x:c r="AP263"/>
      <x:c r="AQ263"/>
      <x:c r="AR263"/>
    </x:row>
    <x:row r="264" s="248" customFormat="1">
      <x:c r="A264" s="250"/>
      <x:c r="B264" s="250"/>
      <x:c r="C264" s="566" t="str">
        <x:f>IF(B264="","",IFERROR(VLOOKUP(B264,PERUMAHAN!$A:$B,2,FALSE),"ID tidak ditemukan"))</x:f>
      </x:c>
      <x:c r="D264" s="250"/>
      <x:c r="E264" s="250"/>
      <x:c r="F264" s="250"/>
      <x:c r="G264" s="252"/>
      <x:c r="H264" s="252"/>
      <x:c r="I264" s="250"/>
      <x:c r="J264" s="250"/>
      <x:c r="K264" s="250"/>
      <x:c r="L264" s="250"/>
      <x:c r="M264" s="252"/>
      <x:c r="N264" s="252"/>
      <x:c r="O264" s="251"/>
      <x:c r="P264" s="250"/>
      <x:c r="Q264" s="250"/>
      <x:c r="R264" s="250"/>
      <x:c r="S264" s="253"/>
      <x:c r="T264" s="250"/>
      <x:c r="U264"/>
      <x:c r="AA264"/>
      <x:c r="AB264"/>
      <x:c r="AC264"/>
      <x:c r="AD264"/>
      <x:c r="AE264"/>
      <x:c r="AF264"/>
      <x:c r="AG264"/>
      <x:c r="AH264"/>
      <x:c r="AI264"/>
      <x:c r="AJ264"/>
      <x:c r="AK264"/>
      <x:c r="AL264"/>
      <x:c r="AM264"/>
      <x:c r="AN264"/>
      <x:c r="AO264"/>
      <x:c r="AP264"/>
      <x:c r="AQ264"/>
      <x:c r="AR264"/>
    </x:row>
    <x:row r="265" s="248" customFormat="1">
      <x:c r="A265" s="250"/>
      <x:c r="B265" s="250"/>
      <x:c r="C265" s="566" t="str">
        <x:f>IF(B265="","",IFERROR(VLOOKUP(B265,PERUMAHAN!$A:$B,2,FALSE),"ID tidak ditemukan"))</x:f>
      </x:c>
      <x:c r="D265" s="250"/>
      <x:c r="E265" s="250"/>
      <x:c r="F265" s="250"/>
      <x:c r="G265" s="252"/>
      <x:c r="H265" s="252"/>
      <x:c r="I265" s="250"/>
      <x:c r="J265" s="250"/>
      <x:c r="K265" s="250"/>
      <x:c r="L265" s="250"/>
      <x:c r="M265" s="252"/>
      <x:c r="N265" s="252"/>
      <x:c r="O265" s="251"/>
      <x:c r="P265" s="250"/>
      <x:c r="Q265" s="250"/>
      <x:c r="R265" s="250"/>
      <x:c r="S265" s="253"/>
      <x:c r="T265" s="250"/>
      <x:c r="U265"/>
      <x:c r="AA265"/>
      <x:c r="AB265"/>
      <x:c r="AC265"/>
      <x:c r="AD265"/>
      <x:c r="AE265"/>
      <x:c r="AF265"/>
      <x:c r="AG265"/>
      <x:c r="AH265"/>
      <x:c r="AI265"/>
      <x:c r="AJ265"/>
      <x:c r="AK265"/>
      <x:c r="AL265"/>
      <x:c r="AM265"/>
      <x:c r="AN265"/>
      <x:c r="AO265"/>
      <x:c r="AP265"/>
      <x:c r="AQ265"/>
      <x:c r="AR265"/>
    </x:row>
    <x:row r="266" s="248" customFormat="1">
      <x:c r="A266" s="250"/>
      <x:c r="B266" s="250"/>
      <x:c r="C266" s="566" t="str">
        <x:f>IF(B266="","",IFERROR(VLOOKUP(B266,PERUMAHAN!$A:$B,2,FALSE),"ID tidak ditemukan"))</x:f>
      </x:c>
      <x:c r="D266" s="250"/>
      <x:c r="E266" s="250"/>
      <x:c r="F266" s="250"/>
      <x:c r="G266" s="252"/>
      <x:c r="H266" s="252"/>
      <x:c r="I266" s="250"/>
      <x:c r="J266" s="250"/>
      <x:c r="K266" s="250"/>
      <x:c r="L266" s="250"/>
      <x:c r="M266" s="252"/>
      <x:c r="N266" s="252"/>
      <x:c r="O266" s="251"/>
      <x:c r="P266" s="250"/>
      <x:c r="Q266" s="250"/>
      <x:c r="R266" s="250"/>
      <x:c r="S266" s="253"/>
      <x:c r="T266" s="250"/>
      <x:c r="U266"/>
      <x:c r="AA266"/>
      <x:c r="AB266"/>
      <x:c r="AC266"/>
      <x:c r="AD266"/>
      <x:c r="AE266"/>
      <x:c r="AF266"/>
      <x:c r="AG266"/>
      <x:c r="AH266"/>
      <x:c r="AI266"/>
      <x:c r="AJ266"/>
      <x:c r="AK266"/>
      <x:c r="AL266"/>
      <x:c r="AM266"/>
      <x:c r="AN266"/>
      <x:c r="AO266"/>
      <x:c r="AP266"/>
      <x:c r="AQ266"/>
      <x:c r="AR266"/>
    </x:row>
    <x:row r="267" s="248" customFormat="1">
      <x:c r="A267" s="250"/>
      <x:c r="B267" s="250"/>
      <x:c r="C267" s="566" t="str">
        <x:f>IF(B267="","",IFERROR(VLOOKUP(B267,PERUMAHAN!$A:$B,2,FALSE),"ID tidak ditemukan"))</x:f>
      </x:c>
      <x:c r="D267" s="250"/>
      <x:c r="E267" s="250"/>
      <x:c r="F267" s="250"/>
      <x:c r="G267" s="252"/>
      <x:c r="H267" s="252"/>
      <x:c r="I267" s="250"/>
      <x:c r="J267" s="250"/>
      <x:c r="K267" s="250"/>
      <x:c r="L267" s="250"/>
      <x:c r="M267" s="252"/>
      <x:c r="N267" s="252"/>
      <x:c r="O267" s="251"/>
      <x:c r="P267" s="250"/>
      <x:c r="Q267" s="250"/>
      <x:c r="R267" s="250"/>
      <x:c r="S267" s="253"/>
      <x:c r="T267" s="250"/>
      <x:c r="U267"/>
      <x:c r="AA267"/>
      <x:c r="AB267"/>
      <x:c r="AC267"/>
      <x:c r="AD267"/>
      <x:c r="AE267"/>
      <x:c r="AF267"/>
      <x:c r="AG267"/>
      <x:c r="AH267"/>
      <x:c r="AI267"/>
      <x:c r="AJ267"/>
      <x:c r="AK267"/>
      <x:c r="AL267"/>
      <x:c r="AM267"/>
      <x:c r="AN267"/>
      <x:c r="AO267"/>
      <x:c r="AP267"/>
      <x:c r="AQ267"/>
      <x:c r="AR267"/>
    </x:row>
    <x:row r="268" s="248" customFormat="1">
      <x:c r="A268" s="250"/>
      <x:c r="B268" s="250"/>
      <x:c r="C268" s="566" t="str">
        <x:f>IF(B268="","",IFERROR(VLOOKUP(B268,PERUMAHAN!$A:$B,2,FALSE),"ID tidak ditemukan"))</x:f>
      </x:c>
      <x:c r="D268" s="250"/>
      <x:c r="E268" s="250"/>
      <x:c r="F268" s="250"/>
      <x:c r="G268" s="252"/>
      <x:c r="H268" s="252"/>
      <x:c r="I268" s="250"/>
      <x:c r="J268" s="250"/>
      <x:c r="K268" s="250"/>
      <x:c r="L268" s="250"/>
      <x:c r="M268" s="252"/>
      <x:c r="N268" s="252"/>
      <x:c r="O268" s="251"/>
      <x:c r="P268" s="250"/>
      <x:c r="Q268" s="250"/>
      <x:c r="R268" s="250"/>
      <x:c r="S268" s="253"/>
      <x:c r="T268" s="250"/>
      <x:c r="U268"/>
      <x:c r="AA268"/>
      <x:c r="AB268"/>
      <x:c r="AC268"/>
      <x:c r="AD268"/>
      <x:c r="AE268"/>
      <x:c r="AF268"/>
      <x:c r="AG268"/>
      <x:c r="AH268"/>
      <x:c r="AI268"/>
      <x:c r="AJ268"/>
      <x:c r="AK268"/>
      <x:c r="AL268"/>
      <x:c r="AM268"/>
      <x:c r="AN268"/>
      <x:c r="AO268"/>
      <x:c r="AP268"/>
      <x:c r="AQ268"/>
      <x:c r="AR268"/>
    </x:row>
    <x:row r="269" s="248" customFormat="1">
      <x:c r="A269" s="250"/>
      <x:c r="B269" s="250"/>
      <x:c r="C269" s="566" t="str">
        <x:f>IF(B269="","",IFERROR(VLOOKUP(B269,PERUMAHAN!$A:$B,2,FALSE),"ID tidak ditemukan"))</x:f>
      </x:c>
      <x:c r="D269" s="250"/>
      <x:c r="E269" s="250"/>
      <x:c r="F269" s="250"/>
      <x:c r="G269" s="252"/>
      <x:c r="H269" s="252"/>
      <x:c r="I269" s="250"/>
      <x:c r="J269" s="250"/>
      <x:c r="K269" s="250"/>
      <x:c r="L269" s="250"/>
      <x:c r="M269" s="252"/>
      <x:c r="N269" s="252"/>
      <x:c r="O269" s="251"/>
      <x:c r="P269" s="250"/>
      <x:c r="Q269" s="250"/>
      <x:c r="R269" s="250"/>
      <x:c r="S269" s="253"/>
      <x:c r="T269" s="250"/>
      <x:c r="U269"/>
      <x:c r="AA269"/>
      <x:c r="AB269"/>
      <x:c r="AC269"/>
      <x:c r="AD269"/>
      <x:c r="AE269"/>
      <x:c r="AF269"/>
      <x:c r="AG269"/>
      <x:c r="AH269"/>
      <x:c r="AI269"/>
      <x:c r="AJ269"/>
      <x:c r="AK269"/>
      <x:c r="AL269"/>
      <x:c r="AM269"/>
      <x:c r="AN269"/>
      <x:c r="AO269"/>
      <x:c r="AP269"/>
      <x:c r="AQ269"/>
      <x:c r="AR269"/>
    </x:row>
    <x:row r="270" s="248" customFormat="1">
      <x:c r="A270" s="250"/>
      <x:c r="B270" s="250"/>
      <x:c r="C270" s="566" t="str">
        <x:f>IF(B270="","",IFERROR(VLOOKUP(B270,PERUMAHAN!$A:$B,2,FALSE),"ID tidak ditemukan"))</x:f>
      </x:c>
      <x:c r="D270" s="250"/>
      <x:c r="E270" s="250"/>
      <x:c r="F270" s="250"/>
      <x:c r="G270" s="252"/>
      <x:c r="H270" s="252"/>
      <x:c r="I270" s="250"/>
      <x:c r="J270" s="250"/>
      <x:c r="K270" s="250"/>
      <x:c r="L270" s="250"/>
      <x:c r="M270" s="252"/>
      <x:c r="N270" s="252"/>
      <x:c r="O270" s="251"/>
      <x:c r="P270" s="250"/>
      <x:c r="Q270" s="250"/>
      <x:c r="R270" s="250"/>
      <x:c r="S270" s="253"/>
      <x:c r="T270" s="250"/>
      <x:c r="U270"/>
      <x:c r="AA270"/>
      <x:c r="AB270"/>
      <x:c r="AC270"/>
      <x:c r="AD270"/>
      <x:c r="AE270"/>
      <x:c r="AF270"/>
      <x:c r="AG270"/>
      <x:c r="AH270"/>
      <x:c r="AI270"/>
      <x:c r="AJ270"/>
      <x:c r="AK270"/>
      <x:c r="AL270"/>
      <x:c r="AM270"/>
      <x:c r="AN270"/>
      <x:c r="AO270"/>
      <x:c r="AP270"/>
      <x:c r="AQ270"/>
      <x:c r="AR270"/>
    </x:row>
    <x:row r="271" s="248" customFormat="1">
      <x:c r="A271" s="250"/>
      <x:c r="B271" s="250"/>
      <x:c r="C271" s="566" t="str">
        <x:f>IF(B271="","",IFERROR(VLOOKUP(B271,PERUMAHAN!$A:$B,2,FALSE),"ID tidak ditemukan"))</x:f>
      </x:c>
      <x:c r="D271" s="250"/>
      <x:c r="E271" s="250"/>
      <x:c r="F271" s="250"/>
      <x:c r="G271" s="252"/>
      <x:c r="H271" s="252"/>
      <x:c r="I271" s="250"/>
      <x:c r="J271" s="250"/>
      <x:c r="K271" s="250"/>
      <x:c r="L271" s="250"/>
      <x:c r="M271" s="252"/>
      <x:c r="N271" s="252"/>
      <x:c r="O271" s="251"/>
      <x:c r="P271" s="250"/>
      <x:c r="Q271" s="250"/>
      <x:c r="R271" s="250"/>
      <x:c r="S271" s="253"/>
      <x:c r="T271" s="250"/>
      <x:c r="U271"/>
      <x:c r="AA271"/>
      <x:c r="AB271"/>
      <x:c r="AC271"/>
      <x:c r="AD271"/>
      <x:c r="AE271"/>
      <x:c r="AF271"/>
      <x:c r="AG271"/>
      <x:c r="AH271"/>
      <x:c r="AI271"/>
      <x:c r="AJ271"/>
      <x:c r="AK271"/>
      <x:c r="AL271"/>
      <x:c r="AM271"/>
      <x:c r="AN271"/>
      <x:c r="AO271"/>
      <x:c r="AP271"/>
      <x:c r="AQ271"/>
      <x:c r="AR271"/>
    </x:row>
    <x:row r="272" s="248" customFormat="1">
      <x:c r="A272" s="250"/>
      <x:c r="B272" s="250"/>
      <x:c r="C272" s="566" t="str">
        <x:f>IF(B272="","",IFERROR(VLOOKUP(B272,PERUMAHAN!$A:$B,2,FALSE),"ID tidak ditemukan"))</x:f>
      </x:c>
      <x:c r="D272" s="250"/>
      <x:c r="E272" s="250"/>
      <x:c r="F272" s="250"/>
      <x:c r="G272" s="252"/>
      <x:c r="H272" s="252"/>
      <x:c r="I272" s="250"/>
      <x:c r="J272" s="250"/>
      <x:c r="K272" s="250"/>
      <x:c r="L272" s="250"/>
      <x:c r="M272" s="252"/>
      <x:c r="N272" s="252"/>
      <x:c r="O272" s="251"/>
      <x:c r="P272" s="250"/>
      <x:c r="Q272" s="250"/>
      <x:c r="R272" s="250"/>
      <x:c r="S272" s="253"/>
      <x:c r="T272" s="250"/>
      <x:c r="U272"/>
      <x:c r="AA272"/>
      <x:c r="AB272"/>
      <x:c r="AC272"/>
      <x:c r="AD272"/>
      <x:c r="AE272"/>
      <x:c r="AF272"/>
      <x:c r="AG272"/>
      <x:c r="AH272"/>
      <x:c r="AI272"/>
      <x:c r="AJ272"/>
      <x:c r="AK272"/>
      <x:c r="AL272"/>
      <x:c r="AM272"/>
      <x:c r="AN272"/>
      <x:c r="AO272"/>
      <x:c r="AP272"/>
      <x:c r="AQ272"/>
      <x:c r="AR272"/>
    </x:row>
    <x:row r="273" s="248" customFormat="1">
      <x:c r="A273" s="250"/>
      <x:c r="B273" s="250"/>
      <x:c r="C273" s="566" t="str">
        <x:f>IF(B273="","",IFERROR(VLOOKUP(B273,PERUMAHAN!$A:$B,2,FALSE),"ID tidak ditemukan"))</x:f>
      </x:c>
      <x:c r="D273" s="250"/>
      <x:c r="E273" s="250"/>
      <x:c r="F273" s="250"/>
      <x:c r="G273" s="252"/>
      <x:c r="H273" s="252"/>
      <x:c r="I273" s="250"/>
      <x:c r="J273" s="250"/>
      <x:c r="K273" s="250"/>
      <x:c r="L273" s="250"/>
      <x:c r="M273" s="252"/>
      <x:c r="N273" s="252"/>
      <x:c r="O273" s="251"/>
      <x:c r="P273" s="250"/>
      <x:c r="Q273" s="250"/>
      <x:c r="R273" s="250"/>
      <x:c r="S273" s="253"/>
      <x:c r="T273" s="250"/>
      <x:c r="U273"/>
      <x:c r="AA273"/>
      <x:c r="AB273"/>
      <x:c r="AC273"/>
      <x:c r="AD273"/>
      <x:c r="AE273"/>
      <x:c r="AF273"/>
      <x:c r="AG273"/>
      <x:c r="AH273"/>
      <x:c r="AI273"/>
      <x:c r="AJ273"/>
      <x:c r="AK273"/>
      <x:c r="AL273"/>
      <x:c r="AM273"/>
      <x:c r="AN273"/>
      <x:c r="AO273"/>
      <x:c r="AP273"/>
      <x:c r="AQ273"/>
      <x:c r="AR273"/>
    </x:row>
    <x:row r="274" s="248" customFormat="1">
      <x:c r="A274" s="250"/>
      <x:c r="B274" s="250"/>
      <x:c r="C274" s="566" t="str">
        <x:f>IF(B274="","",IFERROR(VLOOKUP(B274,PERUMAHAN!$A:$B,2,FALSE),"ID tidak ditemukan"))</x:f>
      </x:c>
      <x:c r="D274" s="250"/>
      <x:c r="E274" s="250"/>
      <x:c r="F274" s="250"/>
      <x:c r="G274" s="252"/>
      <x:c r="H274" s="252"/>
      <x:c r="I274" s="250"/>
      <x:c r="J274" s="250"/>
      <x:c r="K274" s="250"/>
      <x:c r="L274" s="250"/>
      <x:c r="M274" s="252"/>
      <x:c r="N274" s="252"/>
      <x:c r="O274" s="251"/>
      <x:c r="P274" s="250"/>
      <x:c r="Q274" s="250"/>
      <x:c r="R274" s="250"/>
      <x:c r="S274" s="253"/>
      <x:c r="T274" s="250"/>
      <x:c r="U274"/>
      <x:c r="AA274"/>
      <x:c r="AB274"/>
      <x:c r="AC274"/>
      <x:c r="AD274"/>
      <x:c r="AE274"/>
      <x:c r="AF274"/>
      <x:c r="AG274"/>
      <x:c r="AH274"/>
      <x:c r="AI274"/>
      <x:c r="AJ274"/>
      <x:c r="AK274"/>
      <x:c r="AL274"/>
      <x:c r="AM274"/>
      <x:c r="AN274"/>
      <x:c r="AO274"/>
      <x:c r="AP274"/>
      <x:c r="AQ274"/>
      <x:c r="AR274"/>
    </x:row>
    <x:row r="275" s="248" customFormat="1">
      <x:c r="A275" s="250"/>
      <x:c r="B275" s="250"/>
      <x:c r="C275" s="566" t="str">
        <x:f>IF(B275="","",IFERROR(VLOOKUP(B275,PERUMAHAN!$A:$B,2,FALSE),"ID tidak ditemukan"))</x:f>
      </x:c>
      <x:c r="D275" s="250"/>
      <x:c r="E275" s="250"/>
      <x:c r="F275" s="250"/>
      <x:c r="G275" s="252"/>
      <x:c r="H275" s="252"/>
      <x:c r="I275" s="250"/>
      <x:c r="J275" s="250"/>
      <x:c r="K275" s="250"/>
      <x:c r="L275" s="250"/>
      <x:c r="M275" s="252"/>
      <x:c r="N275" s="252"/>
      <x:c r="O275" s="251"/>
      <x:c r="P275" s="250"/>
      <x:c r="Q275" s="250"/>
      <x:c r="R275" s="250"/>
      <x:c r="S275" s="253"/>
      <x:c r="T275" s="250"/>
      <x:c r="U275"/>
      <x:c r="AA275"/>
      <x:c r="AB275"/>
      <x:c r="AC275"/>
      <x:c r="AD275"/>
      <x:c r="AE275"/>
      <x:c r="AF275"/>
      <x:c r="AG275"/>
      <x:c r="AH275"/>
      <x:c r="AI275"/>
      <x:c r="AJ275"/>
      <x:c r="AK275"/>
      <x:c r="AL275"/>
      <x:c r="AM275"/>
      <x:c r="AN275"/>
      <x:c r="AO275"/>
      <x:c r="AP275"/>
      <x:c r="AQ275"/>
      <x:c r="AR275"/>
    </x:row>
    <x:row r="276" s="248" customFormat="1">
      <x:c r="A276" s="250"/>
      <x:c r="B276" s="250"/>
      <x:c r="C276" s="566" t="str">
        <x:f>IF(B276="","",IFERROR(VLOOKUP(B276,PERUMAHAN!$A:$B,2,FALSE),"ID tidak ditemukan"))</x:f>
      </x:c>
      <x:c r="D276" s="250"/>
      <x:c r="E276" s="250"/>
      <x:c r="F276" s="250"/>
      <x:c r="G276" s="252"/>
      <x:c r="H276" s="252"/>
      <x:c r="I276" s="250"/>
      <x:c r="J276" s="250"/>
      <x:c r="K276" s="250"/>
      <x:c r="L276" s="250"/>
      <x:c r="M276" s="252"/>
      <x:c r="N276" s="252"/>
      <x:c r="O276" s="251"/>
      <x:c r="P276" s="250"/>
      <x:c r="Q276" s="250"/>
      <x:c r="R276" s="250"/>
      <x:c r="S276" s="253"/>
      <x:c r="T276" s="250"/>
      <x:c r="U276"/>
      <x:c r="AA276"/>
      <x:c r="AB276"/>
      <x:c r="AC276"/>
      <x:c r="AD276"/>
      <x:c r="AE276"/>
      <x:c r="AF276"/>
      <x:c r="AG276"/>
      <x:c r="AH276"/>
      <x:c r="AI276"/>
      <x:c r="AJ276"/>
      <x:c r="AK276"/>
      <x:c r="AL276"/>
      <x:c r="AM276"/>
      <x:c r="AN276"/>
      <x:c r="AO276"/>
      <x:c r="AP276"/>
      <x:c r="AQ276"/>
      <x:c r="AR276"/>
    </x:row>
    <x:row r="277" s="248" customFormat="1">
      <x:c r="A277" s="250"/>
      <x:c r="B277" s="250"/>
      <x:c r="C277" s="566" t="str">
        <x:f>IF(B277="","",IFERROR(VLOOKUP(B277,PERUMAHAN!$A:$B,2,FALSE),"ID tidak ditemukan"))</x:f>
      </x:c>
      <x:c r="D277" s="250"/>
      <x:c r="E277" s="250"/>
      <x:c r="F277" s="250"/>
      <x:c r="G277" s="252"/>
      <x:c r="H277" s="252"/>
      <x:c r="I277" s="250"/>
      <x:c r="J277" s="250"/>
      <x:c r="K277" s="250"/>
      <x:c r="L277" s="250"/>
      <x:c r="M277" s="252"/>
      <x:c r="N277" s="252"/>
      <x:c r="O277" s="251"/>
      <x:c r="P277" s="250"/>
      <x:c r="Q277" s="250"/>
      <x:c r="R277" s="250"/>
      <x:c r="S277" s="253"/>
      <x:c r="T277" s="250"/>
      <x:c r="U277"/>
      <x:c r="AA277"/>
      <x:c r="AB277"/>
      <x:c r="AC277"/>
      <x:c r="AD277"/>
      <x:c r="AE277"/>
      <x:c r="AF277"/>
      <x:c r="AG277"/>
      <x:c r="AH277"/>
      <x:c r="AI277"/>
      <x:c r="AJ277"/>
      <x:c r="AK277"/>
      <x:c r="AL277"/>
      <x:c r="AM277"/>
      <x:c r="AN277"/>
      <x:c r="AO277"/>
      <x:c r="AP277"/>
      <x:c r="AQ277"/>
      <x:c r="AR277"/>
    </x:row>
    <x:row r="278" s="248" customFormat="1">
      <x:c r="A278" s="250"/>
      <x:c r="B278" s="250"/>
      <x:c r="C278" s="566" t="str">
        <x:f>IF(B278="","",IFERROR(VLOOKUP(B278,PERUMAHAN!$A:$B,2,FALSE),"ID tidak ditemukan"))</x:f>
      </x:c>
      <x:c r="D278" s="250"/>
      <x:c r="E278" s="250"/>
      <x:c r="F278" s="250"/>
      <x:c r="G278" s="252"/>
      <x:c r="H278" s="252"/>
      <x:c r="I278" s="250"/>
      <x:c r="J278" s="250"/>
      <x:c r="K278" s="250"/>
      <x:c r="L278" s="250"/>
      <x:c r="M278" s="252"/>
      <x:c r="N278" s="252"/>
      <x:c r="O278" s="251"/>
      <x:c r="P278" s="250"/>
      <x:c r="Q278" s="250"/>
      <x:c r="R278" s="250"/>
      <x:c r="S278" s="253"/>
      <x:c r="T278" s="250"/>
      <x:c r="U278"/>
      <x:c r="AA278"/>
      <x:c r="AB278"/>
      <x:c r="AC278"/>
      <x:c r="AD278"/>
      <x:c r="AE278"/>
      <x:c r="AF278"/>
      <x:c r="AG278"/>
      <x:c r="AH278"/>
      <x:c r="AI278"/>
      <x:c r="AJ278"/>
      <x:c r="AK278"/>
      <x:c r="AL278"/>
      <x:c r="AM278"/>
      <x:c r="AN278"/>
      <x:c r="AO278"/>
      <x:c r="AP278"/>
      <x:c r="AQ278"/>
      <x:c r="AR278"/>
    </x:row>
    <x:row r="279" s="248" customFormat="1">
      <x:c r="A279" s="250"/>
      <x:c r="B279" s="250"/>
      <x:c r="C279" s="566" t="str">
        <x:f>IF(B279="","",IFERROR(VLOOKUP(B279,PERUMAHAN!$A:$B,2,FALSE),"ID tidak ditemukan"))</x:f>
      </x:c>
      <x:c r="D279" s="250"/>
      <x:c r="E279" s="250"/>
      <x:c r="F279" s="250"/>
      <x:c r="G279" s="252"/>
      <x:c r="H279" s="252"/>
      <x:c r="I279" s="250"/>
      <x:c r="J279" s="250"/>
      <x:c r="K279" s="250"/>
      <x:c r="L279" s="250"/>
      <x:c r="M279" s="252"/>
      <x:c r="N279" s="252"/>
      <x:c r="O279" s="251"/>
      <x:c r="P279" s="250"/>
      <x:c r="Q279" s="250"/>
      <x:c r="R279" s="250"/>
      <x:c r="S279" s="253"/>
      <x:c r="T279" s="250"/>
      <x:c r="U279"/>
      <x:c r="AA279"/>
      <x:c r="AB279"/>
      <x:c r="AC279"/>
      <x:c r="AD279"/>
      <x:c r="AE279"/>
      <x:c r="AF279"/>
      <x:c r="AG279"/>
      <x:c r="AH279"/>
      <x:c r="AI279"/>
      <x:c r="AJ279"/>
      <x:c r="AK279"/>
      <x:c r="AL279"/>
      <x:c r="AM279"/>
      <x:c r="AN279"/>
      <x:c r="AO279"/>
      <x:c r="AP279"/>
      <x:c r="AQ279"/>
      <x:c r="AR279"/>
    </x:row>
    <x:row r="280" s="248" customFormat="1">
      <x:c r="A280" s="250"/>
      <x:c r="B280" s="250"/>
      <x:c r="C280" s="566" t="str">
        <x:f>IF(B280="","",IFERROR(VLOOKUP(B280,PERUMAHAN!$A:$B,2,FALSE),"ID tidak ditemukan"))</x:f>
      </x:c>
      <x:c r="D280" s="250"/>
      <x:c r="E280" s="250"/>
      <x:c r="F280" s="250"/>
      <x:c r="G280" s="252"/>
      <x:c r="H280" s="252"/>
      <x:c r="I280" s="250"/>
      <x:c r="J280" s="250"/>
      <x:c r="K280" s="250"/>
      <x:c r="L280" s="250"/>
      <x:c r="M280" s="252"/>
      <x:c r="N280" s="252"/>
      <x:c r="O280" s="251"/>
      <x:c r="P280" s="250"/>
      <x:c r="Q280" s="250"/>
      <x:c r="R280" s="250"/>
      <x:c r="S280" s="253"/>
      <x:c r="T280" s="250"/>
      <x:c r="U280"/>
      <x:c r="AA280"/>
      <x:c r="AB280"/>
      <x:c r="AC280"/>
      <x:c r="AD280"/>
      <x:c r="AE280"/>
      <x:c r="AF280"/>
      <x:c r="AG280"/>
      <x:c r="AH280"/>
      <x:c r="AI280"/>
      <x:c r="AJ280"/>
      <x:c r="AK280"/>
      <x:c r="AL280"/>
      <x:c r="AM280"/>
      <x:c r="AN280"/>
      <x:c r="AO280"/>
      <x:c r="AP280"/>
      <x:c r="AQ280"/>
      <x:c r="AR280"/>
    </x:row>
    <x:row r="281" s="248" customFormat="1">
      <x:c r="A281" s="250"/>
      <x:c r="B281" s="250"/>
      <x:c r="C281" s="566" t="str">
        <x:f>IF(B281="","",IFERROR(VLOOKUP(B281,PERUMAHAN!$A:$B,2,FALSE),"ID tidak ditemukan"))</x:f>
      </x:c>
      <x:c r="D281" s="250"/>
      <x:c r="E281" s="250"/>
      <x:c r="F281" s="250"/>
      <x:c r="G281" s="252"/>
      <x:c r="H281" s="252"/>
      <x:c r="I281" s="250"/>
      <x:c r="J281" s="250"/>
      <x:c r="K281" s="250"/>
      <x:c r="L281" s="250"/>
      <x:c r="M281" s="252"/>
      <x:c r="N281" s="252"/>
      <x:c r="O281" s="251"/>
      <x:c r="P281" s="250"/>
      <x:c r="Q281" s="250"/>
      <x:c r="R281" s="250"/>
      <x:c r="S281" s="253"/>
      <x:c r="T281" s="250"/>
      <x:c r="U281"/>
      <x:c r="AA281"/>
      <x:c r="AB281"/>
      <x:c r="AC281"/>
      <x:c r="AD281"/>
      <x:c r="AE281"/>
      <x:c r="AF281"/>
      <x:c r="AG281"/>
      <x:c r="AH281"/>
      <x:c r="AI281"/>
      <x:c r="AJ281"/>
      <x:c r="AK281"/>
      <x:c r="AL281"/>
      <x:c r="AM281"/>
      <x:c r="AN281"/>
      <x:c r="AO281"/>
      <x:c r="AP281"/>
      <x:c r="AQ281"/>
      <x:c r="AR281"/>
    </x:row>
    <x:row r="282" s="248" customFormat="1">
      <x:c r="A282" s="250"/>
      <x:c r="B282" s="250"/>
      <x:c r="C282" s="566" t="str">
        <x:f>IF(B282="","",IFERROR(VLOOKUP(B282,PERUMAHAN!$A:$B,2,FALSE),"ID tidak ditemukan"))</x:f>
      </x:c>
      <x:c r="D282" s="250"/>
      <x:c r="E282" s="250"/>
      <x:c r="F282" s="250"/>
      <x:c r="G282" s="252"/>
      <x:c r="H282" s="252"/>
      <x:c r="I282" s="250"/>
      <x:c r="J282" s="250"/>
      <x:c r="K282" s="250"/>
      <x:c r="L282" s="250"/>
      <x:c r="M282" s="252"/>
      <x:c r="N282" s="252"/>
      <x:c r="O282" s="251"/>
      <x:c r="P282" s="250"/>
      <x:c r="Q282" s="250"/>
      <x:c r="R282" s="250"/>
      <x:c r="S282" s="253"/>
      <x:c r="T282" s="250"/>
      <x:c r="U282"/>
      <x:c r="AA282"/>
      <x:c r="AB282"/>
      <x:c r="AC282"/>
      <x:c r="AD282"/>
      <x:c r="AE282"/>
      <x:c r="AF282"/>
      <x:c r="AG282"/>
      <x:c r="AH282"/>
      <x:c r="AI282"/>
      <x:c r="AJ282"/>
      <x:c r="AK282"/>
      <x:c r="AL282"/>
      <x:c r="AM282"/>
      <x:c r="AN282"/>
      <x:c r="AO282"/>
      <x:c r="AP282"/>
      <x:c r="AQ282"/>
      <x:c r="AR282"/>
    </x:row>
    <x:row r="283" s="248" customFormat="1">
      <x:c r="A283" s="250"/>
      <x:c r="B283" s="250"/>
      <x:c r="C283" s="566" t="str">
        <x:f>IF(B283="","",IFERROR(VLOOKUP(B283,PERUMAHAN!$A:$B,2,FALSE),"ID tidak ditemukan"))</x:f>
      </x:c>
      <x:c r="D283" s="250"/>
      <x:c r="E283" s="250"/>
      <x:c r="F283" s="250"/>
      <x:c r="G283" s="252"/>
      <x:c r="H283" s="252"/>
      <x:c r="I283" s="250"/>
      <x:c r="J283" s="250"/>
      <x:c r="K283" s="250"/>
      <x:c r="L283" s="250"/>
      <x:c r="M283" s="252"/>
      <x:c r="N283" s="252"/>
      <x:c r="O283" s="251"/>
      <x:c r="P283" s="250"/>
      <x:c r="Q283" s="250"/>
      <x:c r="R283" s="250"/>
      <x:c r="S283" s="253"/>
      <x:c r="T283" s="250"/>
      <x:c r="U283"/>
      <x:c r="AA283"/>
      <x:c r="AB283"/>
      <x:c r="AC283"/>
      <x:c r="AD283"/>
      <x:c r="AE283"/>
      <x:c r="AF283"/>
      <x:c r="AG283"/>
      <x:c r="AH283"/>
      <x:c r="AI283"/>
      <x:c r="AJ283"/>
      <x:c r="AK283"/>
      <x:c r="AL283"/>
      <x:c r="AM283"/>
      <x:c r="AN283"/>
      <x:c r="AO283"/>
      <x:c r="AP283"/>
      <x:c r="AQ283"/>
      <x:c r="AR283"/>
    </x:row>
    <x:row r="284" s="248" customFormat="1">
      <x:c r="A284" s="250"/>
      <x:c r="B284" s="250"/>
      <x:c r="C284" s="566" t="str">
        <x:f>IF(B284="","",IFERROR(VLOOKUP(B284,PERUMAHAN!$A:$B,2,FALSE),"ID tidak ditemukan"))</x:f>
      </x:c>
      <x:c r="D284" s="250"/>
      <x:c r="E284" s="250"/>
      <x:c r="F284" s="250"/>
      <x:c r="G284" s="252"/>
      <x:c r="H284" s="252"/>
      <x:c r="I284" s="250"/>
      <x:c r="J284" s="250"/>
      <x:c r="K284" s="250"/>
      <x:c r="L284" s="250"/>
      <x:c r="M284" s="252"/>
      <x:c r="N284" s="252"/>
      <x:c r="O284" s="251"/>
      <x:c r="P284" s="250"/>
      <x:c r="Q284" s="250"/>
      <x:c r="R284" s="250"/>
      <x:c r="S284" s="253"/>
      <x:c r="T284" s="250"/>
      <x:c r="U284"/>
      <x:c r="AA284"/>
      <x:c r="AB284"/>
      <x:c r="AC284"/>
      <x:c r="AD284"/>
      <x:c r="AE284"/>
      <x:c r="AF284"/>
      <x:c r="AG284"/>
      <x:c r="AH284"/>
      <x:c r="AI284"/>
      <x:c r="AJ284"/>
      <x:c r="AK284"/>
      <x:c r="AL284"/>
      <x:c r="AM284"/>
      <x:c r="AN284"/>
      <x:c r="AO284"/>
      <x:c r="AP284"/>
      <x:c r="AQ284"/>
      <x:c r="AR284"/>
    </x:row>
    <x:row r="285" s="248" customFormat="1">
      <x:c r="A285" s="250"/>
      <x:c r="B285" s="250"/>
      <x:c r="C285" s="566" t="str">
        <x:f>IF(B285="","",IFERROR(VLOOKUP(B285,PERUMAHAN!$A:$B,2,FALSE),"ID tidak ditemukan"))</x:f>
      </x:c>
      <x:c r="D285" s="250"/>
      <x:c r="E285" s="250"/>
      <x:c r="F285" s="250"/>
      <x:c r="G285" s="252"/>
      <x:c r="H285" s="252"/>
      <x:c r="I285" s="250"/>
      <x:c r="J285" s="250"/>
      <x:c r="K285" s="250"/>
      <x:c r="L285" s="250"/>
      <x:c r="M285" s="252"/>
      <x:c r="N285" s="252"/>
      <x:c r="O285" s="251"/>
      <x:c r="P285" s="250"/>
      <x:c r="Q285" s="250"/>
      <x:c r="R285" s="250"/>
      <x:c r="S285" s="253"/>
      <x:c r="T285" s="250"/>
      <x:c r="U285"/>
      <x:c r="AA285"/>
      <x:c r="AB285"/>
      <x:c r="AC285"/>
      <x:c r="AD285"/>
      <x:c r="AE285"/>
      <x:c r="AF285"/>
      <x:c r="AG285"/>
      <x:c r="AH285"/>
      <x:c r="AI285"/>
      <x:c r="AJ285"/>
      <x:c r="AK285"/>
      <x:c r="AL285"/>
      <x:c r="AM285"/>
      <x:c r="AN285"/>
      <x:c r="AO285"/>
      <x:c r="AP285"/>
      <x:c r="AQ285"/>
      <x:c r="AR285"/>
    </x:row>
    <x:row r="286" s="248" customFormat="1">
      <x:c r="A286" s="250"/>
      <x:c r="B286" s="250"/>
      <x:c r="C286" s="566" t="str">
        <x:f>IF(B286="","",IFERROR(VLOOKUP(B286,PERUMAHAN!$A:$B,2,FALSE),"ID tidak ditemukan"))</x:f>
      </x:c>
      <x:c r="D286" s="250"/>
      <x:c r="E286" s="250"/>
      <x:c r="F286" s="250"/>
      <x:c r="G286" s="252"/>
      <x:c r="H286" s="252"/>
      <x:c r="I286" s="250"/>
      <x:c r="J286" s="250"/>
      <x:c r="K286" s="250"/>
      <x:c r="L286" s="250"/>
      <x:c r="M286" s="252"/>
      <x:c r="N286" s="252"/>
      <x:c r="O286" s="251"/>
      <x:c r="P286" s="250"/>
      <x:c r="Q286" s="250"/>
      <x:c r="R286" s="250"/>
      <x:c r="S286" s="253"/>
      <x:c r="T286" s="250"/>
      <x:c r="U286"/>
      <x:c r="AA286"/>
      <x:c r="AB286"/>
      <x:c r="AC286"/>
      <x:c r="AD286"/>
      <x:c r="AE286"/>
      <x:c r="AF286"/>
      <x:c r="AG286"/>
      <x:c r="AH286"/>
      <x:c r="AI286"/>
      <x:c r="AJ286"/>
      <x:c r="AK286"/>
      <x:c r="AL286"/>
      <x:c r="AM286"/>
      <x:c r="AN286"/>
      <x:c r="AO286"/>
      <x:c r="AP286"/>
      <x:c r="AQ286"/>
      <x:c r="AR286"/>
    </x:row>
    <x:row r="287" s="248" customFormat="1">
      <x:c r="A287" s="250"/>
      <x:c r="B287" s="250"/>
      <x:c r="C287" s="566" t="str">
        <x:f>IF(B287="","",IFERROR(VLOOKUP(B287,PERUMAHAN!$A:$B,2,FALSE),"ID tidak ditemukan"))</x:f>
      </x:c>
      <x:c r="D287" s="250"/>
      <x:c r="E287" s="250"/>
      <x:c r="F287" s="250"/>
      <x:c r="G287" s="252"/>
      <x:c r="H287" s="252"/>
      <x:c r="I287" s="250"/>
      <x:c r="J287" s="250"/>
      <x:c r="K287" s="250"/>
      <x:c r="L287" s="250"/>
      <x:c r="M287" s="252"/>
      <x:c r="N287" s="252"/>
      <x:c r="O287" s="251"/>
      <x:c r="P287" s="250"/>
      <x:c r="Q287" s="250"/>
      <x:c r="R287" s="250"/>
      <x:c r="S287" s="253"/>
      <x:c r="T287" s="250"/>
      <x:c r="U287"/>
      <x:c r="AA287"/>
      <x:c r="AB287"/>
      <x:c r="AC287"/>
      <x:c r="AD287"/>
      <x:c r="AE287"/>
      <x:c r="AF287"/>
      <x:c r="AG287"/>
      <x:c r="AH287"/>
      <x:c r="AI287"/>
      <x:c r="AJ287"/>
      <x:c r="AK287"/>
      <x:c r="AL287"/>
      <x:c r="AM287"/>
      <x:c r="AN287"/>
      <x:c r="AO287"/>
      <x:c r="AP287"/>
      <x:c r="AQ287"/>
      <x:c r="AR287"/>
    </x:row>
    <x:row r="288" s="248" customFormat="1">
      <x:c r="A288" s="250"/>
      <x:c r="B288" s="250"/>
      <x:c r="C288" s="566" t="str">
        <x:f>IF(B288="","",IFERROR(VLOOKUP(B288,PERUMAHAN!$A:$B,2,FALSE),"ID tidak ditemukan"))</x:f>
      </x:c>
      <x:c r="D288" s="250"/>
      <x:c r="E288" s="250"/>
      <x:c r="F288" s="250"/>
      <x:c r="G288" s="252"/>
      <x:c r="H288" s="252"/>
      <x:c r="I288" s="250"/>
      <x:c r="J288" s="250"/>
      <x:c r="K288" s="250"/>
      <x:c r="L288" s="250"/>
      <x:c r="M288" s="252"/>
      <x:c r="N288" s="252"/>
      <x:c r="O288" s="251"/>
      <x:c r="P288" s="250"/>
      <x:c r="Q288" s="250"/>
      <x:c r="R288" s="250"/>
      <x:c r="S288" s="253"/>
      <x:c r="T288" s="250"/>
      <x:c r="U288"/>
      <x:c r="AA288"/>
      <x:c r="AB288"/>
      <x:c r="AC288"/>
      <x:c r="AD288"/>
      <x:c r="AE288"/>
      <x:c r="AF288"/>
      <x:c r="AG288"/>
      <x:c r="AH288"/>
      <x:c r="AI288"/>
      <x:c r="AJ288"/>
      <x:c r="AK288"/>
      <x:c r="AL288"/>
      <x:c r="AM288"/>
      <x:c r="AN288"/>
      <x:c r="AO288"/>
      <x:c r="AP288"/>
      <x:c r="AQ288"/>
      <x:c r="AR288"/>
    </x:row>
    <x:row r="289" s="248" customFormat="1">
      <x:c r="A289" s="250"/>
      <x:c r="B289" s="250"/>
      <x:c r="C289" s="566" t="str">
        <x:f>IF(B289="","",IFERROR(VLOOKUP(B289,PERUMAHAN!$A:$B,2,FALSE),"ID tidak ditemukan"))</x:f>
      </x:c>
      <x:c r="D289" s="250"/>
      <x:c r="E289" s="250"/>
      <x:c r="F289" s="250"/>
      <x:c r="G289" s="252"/>
      <x:c r="H289" s="252"/>
      <x:c r="I289" s="250"/>
      <x:c r="J289" s="250"/>
      <x:c r="K289" s="250"/>
      <x:c r="L289" s="250"/>
      <x:c r="M289" s="252"/>
      <x:c r="N289" s="252"/>
      <x:c r="O289" s="251"/>
      <x:c r="P289" s="250"/>
      <x:c r="Q289" s="250"/>
      <x:c r="R289" s="250"/>
      <x:c r="S289" s="253"/>
      <x:c r="T289" s="250"/>
      <x:c r="U289"/>
      <x:c r="AA289"/>
      <x:c r="AB289"/>
      <x:c r="AC289"/>
      <x:c r="AD289"/>
      <x:c r="AE289"/>
      <x:c r="AF289"/>
      <x:c r="AG289"/>
      <x:c r="AH289"/>
      <x:c r="AI289"/>
      <x:c r="AJ289"/>
      <x:c r="AK289"/>
      <x:c r="AL289"/>
      <x:c r="AM289"/>
      <x:c r="AN289"/>
      <x:c r="AO289"/>
      <x:c r="AP289"/>
      <x:c r="AQ289"/>
      <x:c r="AR289"/>
    </x:row>
    <x:row r="290" s="248" customFormat="1">
      <x:c r="A290" s="250"/>
      <x:c r="B290" s="250"/>
      <x:c r="C290" s="566" t="str">
        <x:f>IF(B290="","",IFERROR(VLOOKUP(B290,PERUMAHAN!$A:$B,2,FALSE),"ID tidak ditemukan"))</x:f>
      </x:c>
      <x:c r="D290" s="250"/>
      <x:c r="E290" s="250"/>
      <x:c r="F290" s="250"/>
      <x:c r="G290" s="252"/>
      <x:c r="H290" s="252"/>
      <x:c r="I290" s="250"/>
      <x:c r="J290" s="250"/>
      <x:c r="K290" s="250"/>
      <x:c r="L290" s="250"/>
      <x:c r="M290" s="252"/>
      <x:c r="N290" s="252"/>
      <x:c r="O290" s="251"/>
      <x:c r="P290" s="250"/>
      <x:c r="Q290" s="250"/>
      <x:c r="R290" s="250"/>
      <x:c r="S290" s="253"/>
      <x:c r="T290" s="250"/>
      <x:c r="U290"/>
      <x:c r="AA290"/>
      <x:c r="AB290"/>
      <x:c r="AC290"/>
      <x:c r="AD290"/>
      <x:c r="AE290"/>
      <x:c r="AF290"/>
      <x:c r="AG290"/>
      <x:c r="AH290"/>
      <x:c r="AI290"/>
      <x:c r="AJ290"/>
      <x:c r="AK290"/>
      <x:c r="AL290"/>
      <x:c r="AM290"/>
      <x:c r="AN290"/>
      <x:c r="AO290"/>
      <x:c r="AP290"/>
      <x:c r="AQ290"/>
      <x:c r="AR290"/>
    </x:row>
    <x:row r="291" s="248" customFormat="1">
      <x:c r="A291" s="250"/>
      <x:c r="B291" s="250"/>
      <x:c r="C291" s="566" t="str">
        <x:f>IF(B291="","",IFERROR(VLOOKUP(B291,PERUMAHAN!$A:$B,2,FALSE),"ID tidak ditemukan"))</x:f>
      </x:c>
      <x:c r="D291" s="250"/>
      <x:c r="E291" s="250"/>
      <x:c r="F291" s="250"/>
      <x:c r="G291" s="252"/>
      <x:c r="H291" s="252"/>
      <x:c r="I291" s="250"/>
      <x:c r="J291" s="250"/>
      <x:c r="K291" s="250"/>
      <x:c r="L291" s="250"/>
      <x:c r="M291" s="252"/>
      <x:c r="N291" s="252"/>
      <x:c r="O291" s="251"/>
      <x:c r="P291" s="250"/>
      <x:c r="Q291" s="250"/>
      <x:c r="R291" s="250"/>
      <x:c r="S291" s="253"/>
      <x:c r="T291" s="250"/>
      <x:c r="U291"/>
      <x:c r="AA291"/>
      <x:c r="AB291"/>
      <x:c r="AC291"/>
      <x:c r="AD291"/>
      <x:c r="AE291"/>
      <x:c r="AF291"/>
      <x:c r="AG291"/>
      <x:c r="AH291"/>
      <x:c r="AI291"/>
      <x:c r="AJ291"/>
      <x:c r="AK291"/>
      <x:c r="AL291"/>
      <x:c r="AM291"/>
      <x:c r="AN291"/>
      <x:c r="AO291"/>
      <x:c r="AP291"/>
      <x:c r="AQ291"/>
      <x:c r="AR291"/>
    </x:row>
    <x:row r="292" s="248" customFormat="1">
      <x:c r="A292" s="250"/>
      <x:c r="B292" s="250"/>
      <x:c r="C292" s="566" t="str">
        <x:f>IF(B292="","",IFERROR(VLOOKUP(B292,PERUMAHAN!$A:$B,2,FALSE),"ID tidak ditemukan"))</x:f>
      </x:c>
      <x:c r="D292" s="250"/>
      <x:c r="E292" s="250"/>
      <x:c r="F292" s="250"/>
      <x:c r="G292" s="252"/>
      <x:c r="H292" s="252"/>
      <x:c r="I292" s="250"/>
      <x:c r="J292" s="250"/>
      <x:c r="K292" s="250"/>
      <x:c r="L292" s="250"/>
      <x:c r="M292" s="252"/>
      <x:c r="N292" s="252"/>
      <x:c r="O292" s="251"/>
      <x:c r="P292" s="250"/>
      <x:c r="Q292" s="250"/>
      <x:c r="R292" s="250"/>
      <x:c r="S292" s="253"/>
      <x:c r="T292" s="250"/>
      <x:c r="U292"/>
      <x:c r="AA292"/>
      <x:c r="AB292"/>
      <x:c r="AC292"/>
      <x:c r="AD292"/>
      <x:c r="AE292"/>
      <x:c r="AF292"/>
      <x:c r="AG292"/>
      <x:c r="AH292"/>
      <x:c r="AI292"/>
      <x:c r="AJ292"/>
      <x:c r="AK292"/>
      <x:c r="AL292"/>
      <x:c r="AM292"/>
      <x:c r="AN292"/>
      <x:c r="AO292"/>
      <x:c r="AP292"/>
      <x:c r="AQ292"/>
      <x:c r="AR292"/>
    </x:row>
    <x:row r="293" s="248" customFormat="1">
      <x:c r="A293" s="250"/>
      <x:c r="B293" s="250"/>
      <x:c r="C293" s="566" t="str">
        <x:f>IF(B293="","",IFERROR(VLOOKUP(B293,PERUMAHAN!$A:$B,2,FALSE),"ID tidak ditemukan"))</x:f>
      </x:c>
      <x:c r="D293" s="250"/>
      <x:c r="E293" s="250"/>
      <x:c r="F293" s="250"/>
      <x:c r="G293" s="252"/>
      <x:c r="H293" s="252"/>
      <x:c r="I293" s="250"/>
      <x:c r="J293" s="250"/>
      <x:c r="K293" s="250"/>
      <x:c r="L293" s="250"/>
      <x:c r="M293" s="252"/>
      <x:c r="N293" s="252"/>
      <x:c r="O293" s="251"/>
      <x:c r="P293" s="250"/>
      <x:c r="Q293" s="250"/>
      <x:c r="R293" s="250"/>
      <x:c r="S293" s="253"/>
      <x:c r="T293" s="250"/>
      <x:c r="U293"/>
      <x:c r="AA293"/>
      <x:c r="AB293"/>
      <x:c r="AC293"/>
      <x:c r="AD293"/>
      <x:c r="AE293"/>
      <x:c r="AF293"/>
      <x:c r="AG293"/>
      <x:c r="AH293"/>
      <x:c r="AI293"/>
      <x:c r="AJ293"/>
      <x:c r="AK293"/>
      <x:c r="AL293"/>
      <x:c r="AM293"/>
      <x:c r="AN293"/>
      <x:c r="AO293"/>
      <x:c r="AP293"/>
      <x:c r="AQ293"/>
      <x:c r="AR293"/>
    </x:row>
    <x:row r="294" s="248" customFormat="1">
      <x:c r="A294" s="250"/>
      <x:c r="B294" s="250"/>
      <x:c r="C294" s="566" t="str">
        <x:f>IF(B294="","",IFERROR(VLOOKUP(B294,PERUMAHAN!$A:$B,2,FALSE),"ID tidak ditemukan"))</x:f>
      </x:c>
      <x:c r="D294" s="250"/>
      <x:c r="E294" s="250"/>
      <x:c r="F294" s="250"/>
      <x:c r="G294" s="252"/>
      <x:c r="H294" s="252"/>
      <x:c r="I294" s="250"/>
      <x:c r="J294" s="250"/>
      <x:c r="K294" s="250"/>
      <x:c r="L294" s="250"/>
      <x:c r="M294" s="252"/>
      <x:c r="N294" s="252"/>
      <x:c r="O294" s="251"/>
      <x:c r="P294" s="250"/>
      <x:c r="Q294" s="250"/>
      <x:c r="R294" s="250"/>
      <x:c r="S294" s="253"/>
      <x:c r="T294" s="250"/>
      <x:c r="U294"/>
      <x:c r="AA294"/>
      <x:c r="AB294"/>
      <x:c r="AC294"/>
      <x:c r="AD294"/>
      <x:c r="AE294"/>
      <x:c r="AF294"/>
      <x:c r="AG294"/>
      <x:c r="AH294"/>
      <x:c r="AI294"/>
      <x:c r="AJ294"/>
      <x:c r="AK294"/>
      <x:c r="AL294"/>
      <x:c r="AM294"/>
      <x:c r="AN294"/>
      <x:c r="AO294"/>
      <x:c r="AP294"/>
      <x:c r="AQ294"/>
      <x:c r="AR294"/>
    </x:row>
    <x:row r="295" s="248" customFormat="1">
      <x:c r="A295" s="250"/>
      <x:c r="B295" s="250"/>
      <x:c r="C295" s="566" t="str">
        <x:f>IF(B295="","",IFERROR(VLOOKUP(B295,PERUMAHAN!$A:$B,2,FALSE),"ID tidak ditemukan"))</x:f>
      </x:c>
      <x:c r="D295" s="250"/>
      <x:c r="E295" s="250"/>
      <x:c r="F295" s="250"/>
      <x:c r="G295" s="252"/>
      <x:c r="H295" s="252"/>
      <x:c r="I295" s="250"/>
      <x:c r="J295" s="250"/>
      <x:c r="K295" s="250"/>
      <x:c r="L295" s="250"/>
      <x:c r="M295" s="252"/>
      <x:c r="N295" s="252"/>
      <x:c r="O295" s="251"/>
      <x:c r="P295" s="250"/>
      <x:c r="Q295" s="250"/>
      <x:c r="R295" s="250"/>
      <x:c r="S295" s="253"/>
      <x:c r="T295" s="250"/>
      <x:c r="U295"/>
      <x:c r="AA295"/>
      <x:c r="AB295"/>
      <x:c r="AC295"/>
      <x:c r="AD295"/>
      <x:c r="AE295"/>
      <x:c r="AF295"/>
      <x:c r="AG295"/>
      <x:c r="AH295"/>
      <x:c r="AI295"/>
      <x:c r="AJ295"/>
      <x:c r="AK295"/>
      <x:c r="AL295"/>
      <x:c r="AM295"/>
      <x:c r="AN295"/>
      <x:c r="AO295"/>
      <x:c r="AP295"/>
      <x:c r="AQ295"/>
      <x:c r="AR295"/>
    </x:row>
    <x:row r="296" s="248" customFormat="1">
      <x:c r="A296" s="250"/>
      <x:c r="B296" s="250"/>
      <x:c r="C296" s="566" t="str">
        <x:f>IF(B296="","",IFERROR(VLOOKUP(B296,PERUMAHAN!$A:$B,2,FALSE),"ID tidak ditemukan"))</x:f>
      </x:c>
      <x:c r="D296" s="250"/>
      <x:c r="E296" s="250"/>
      <x:c r="F296" s="250"/>
      <x:c r="G296" s="252"/>
      <x:c r="H296" s="252"/>
      <x:c r="I296" s="250"/>
      <x:c r="J296" s="250"/>
      <x:c r="K296" s="250"/>
      <x:c r="L296" s="250"/>
      <x:c r="M296" s="252"/>
      <x:c r="N296" s="252"/>
      <x:c r="O296" s="251"/>
      <x:c r="P296" s="250"/>
      <x:c r="Q296" s="250"/>
      <x:c r="R296" s="250"/>
      <x:c r="S296" s="253"/>
      <x:c r="T296" s="250"/>
      <x:c r="U296"/>
      <x:c r="AA296"/>
      <x:c r="AB296"/>
      <x:c r="AC296"/>
      <x:c r="AD296"/>
      <x:c r="AE296"/>
      <x:c r="AF296"/>
      <x:c r="AG296"/>
      <x:c r="AH296"/>
      <x:c r="AI296"/>
      <x:c r="AJ296"/>
      <x:c r="AK296"/>
      <x:c r="AL296"/>
      <x:c r="AM296"/>
      <x:c r="AN296"/>
      <x:c r="AO296"/>
      <x:c r="AP296"/>
      <x:c r="AQ296"/>
      <x:c r="AR296"/>
    </x:row>
    <x:row r="297" s="248" customFormat="1">
      <x:c r="A297" s="250"/>
      <x:c r="B297" s="250"/>
      <x:c r="C297" s="566" t="str">
        <x:f>IF(B297="","",IFERROR(VLOOKUP(B297,PERUMAHAN!$A:$B,2,FALSE),"ID tidak ditemukan"))</x:f>
      </x:c>
      <x:c r="D297" s="250"/>
      <x:c r="E297" s="250"/>
      <x:c r="F297" s="250"/>
      <x:c r="G297" s="252"/>
      <x:c r="H297" s="252"/>
      <x:c r="I297" s="250"/>
      <x:c r="J297" s="250"/>
      <x:c r="K297" s="250"/>
      <x:c r="L297" s="250"/>
      <x:c r="M297" s="252"/>
      <x:c r="N297" s="252"/>
      <x:c r="O297" s="251"/>
      <x:c r="P297" s="250"/>
      <x:c r="Q297" s="250"/>
      <x:c r="R297" s="250"/>
      <x:c r="S297" s="253"/>
      <x:c r="T297" s="250"/>
      <x:c r="U297"/>
      <x:c r="AA297"/>
      <x:c r="AB297"/>
      <x:c r="AC297"/>
      <x:c r="AD297"/>
      <x:c r="AE297"/>
      <x:c r="AF297"/>
      <x:c r="AG297"/>
      <x:c r="AH297"/>
      <x:c r="AI297"/>
      <x:c r="AJ297"/>
      <x:c r="AK297"/>
      <x:c r="AL297"/>
      <x:c r="AM297"/>
      <x:c r="AN297"/>
      <x:c r="AO297"/>
      <x:c r="AP297"/>
      <x:c r="AQ297"/>
      <x:c r="AR297"/>
    </x:row>
    <x:row r="298" s="248" customFormat="1">
      <x:c r="A298" s="250"/>
      <x:c r="B298" s="250"/>
      <x:c r="C298" s="566" t="str">
        <x:f>IF(B298="","",IFERROR(VLOOKUP(B298,PERUMAHAN!$A:$B,2,FALSE),"ID tidak ditemukan"))</x:f>
      </x:c>
      <x:c r="D298" s="250"/>
      <x:c r="E298" s="250"/>
      <x:c r="F298" s="250"/>
      <x:c r="G298" s="252"/>
      <x:c r="H298" s="252"/>
      <x:c r="I298" s="250"/>
      <x:c r="J298" s="250"/>
      <x:c r="K298" s="250"/>
      <x:c r="L298" s="250"/>
      <x:c r="M298" s="252"/>
      <x:c r="N298" s="252"/>
      <x:c r="O298" s="251"/>
      <x:c r="P298" s="250"/>
      <x:c r="Q298" s="250"/>
      <x:c r="R298" s="250"/>
      <x:c r="S298" s="253"/>
      <x:c r="T298" s="250"/>
      <x:c r="U298"/>
      <x:c r="AA298"/>
      <x:c r="AB298"/>
      <x:c r="AC298"/>
      <x:c r="AD298"/>
      <x:c r="AE298"/>
      <x:c r="AF298"/>
      <x:c r="AG298"/>
      <x:c r="AH298"/>
      <x:c r="AI298"/>
      <x:c r="AJ298"/>
      <x:c r="AK298"/>
      <x:c r="AL298"/>
      <x:c r="AM298"/>
      <x:c r="AN298"/>
      <x:c r="AO298"/>
      <x:c r="AP298"/>
      <x:c r="AQ298"/>
      <x:c r="AR298"/>
    </x:row>
    <x:row r="299" s="248" customFormat="1">
      <x:c r="A299" s="250"/>
      <x:c r="B299" s="250"/>
      <x:c r="C299" s="566" t="str">
        <x:f>IF(B299="","",IFERROR(VLOOKUP(B299,PERUMAHAN!$A:$B,2,FALSE),"ID tidak ditemukan"))</x:f>
      </x:c>
      <x:c r="D299" s="250"/>
      <x:c r="E299" s="250"/>
      <x:c r="F299" s="250"/>
      <x:c r="G299" s="252"/>
      <x:c r="H299" s="252"/>
      <x:c r="I299" s="250"/>
      <x:c r="J299" s="250"/>
      <x:c r="K299" s="250"/>
      <x:c r="L299" s="250"/>
      <x:c r="M299" s="252"/>
      <x:c r="N299" s="252"/>
      <x:c r="O299" s="251"/>
      <x:c r="P299" s="250"/>
      <x:c r="Q299" s="250"/>
      <x:c r="R299" s="250"/>
      <x:c r="S299" s="253"/>
      <x:c r="T299" s="250"/>
      <x:c r="U299"/>
      <x:c r="AA299"/>
      <x:c r="AB299"/>
      <x:c r="AC299"/>
      <x:c r="AD299"/>
      <x:c r="AE299"/>
      <x:c r="AF299"/>
      <x:c r="AG299"/>
      <x:c r="AH299"/>
      <x:c r="AI299"/>
      <x:c r="AJ299"/>
      <x:c r="AK299"/>
      <x:c r="AL299"/>
      <x:c r="AM299"/>
      <x:c r="AN299"/>
      <x:c r="AO299"/>
      <x:c r="AP299"/>
      <x:c r="AQ299"/>
      <x:c r="AR299"/>
    </x:row>
    <x:row r="300" s="248" customFormat="1">
      <x:c r="A300" s="250"/>
      <x:c r="B300" s="250"/>
      <x:c r="C300" s="566" t="str">
        <x:f>IF(B300="","",IFERROR(VLOOKUP(B300,PERUMAHAN!$A:$B,2,FALSE),"ID tidak ditemukan"))</x:f>
      </x:c>
      <x:c r="D300" s="250"/>
      <x:c r="E300" s="250"/>
      <x:c r="F300" s="250"/>
      <x:c r="G300" s="252"/>
      <x:c r="H300" s="252"/>
      <x:c r="I300" s="250"/>
      <x:c r="J300" s="250"/>
      <x:c r="K300" s="250"/>
      <x:c r="L300" s="250"/>
      <x:c r="M300" s="252"/>
      <x:c r="N300" s="252"/>
      <x:c r="O300" s="251"/>
      <x:c r="P300" s="250"/>
      <x:c r="Q300" s="250"/>
      <x:c r="R300" s="250"/>
      <x:c r="S300" s="253"/>
      <x:c r="T300" s="250"/>
      <x:c r="U300"/>
      <x:c r="AA300"/>
      <x:c r="AB300"/>
      <x:c r="AC300"/>
      <x:c r="AD300"/>
      <x:c r="AE300"/>
      <x:c r="AF300"/>
      <x:c r="AG300"/>
      <x:c r="AH300"/>
      <x:c r="AI300"/>
      <x:c r="AJ300"/>
      <x:c r="AK300"/>
      <x:c r="AL300"/>
      <x:c r="AM300"/>
      <x:c r="AN300"/>
      <x:c r="AO300"/>
      <x:c r="AP300"/>
      <x:c r="AQ300"/>
      <x:c r="AR300"/>
    </x:row>
    <x:row r="301" s="248" customFormat="1">
      <x:c r="A301" s="250"/>
      <x:c r="B301" s="250"/>
      <x:c r="C301" s="566" t="str">
        <x:f>IF(B301="","",IFERROR(VLOOKUP(B301,PERUMAHAN!$A:$B,2,FALSE),"ID tidak ditemukan"))</x:f>
      </x:c>
      <x:c r="D301" s="250"/>
      <x:c r="E301" s="250"/>
      <x:c r="F301" s="250"/>
      <x:c r="G301" s="252"/>
      <x:c r="H301" s="252"/>
      <x:c r="I301" s="250"/>
      <x:c r="J301" s="250"/>
      <x:c r="K301" s="250"/>
      <x:c r="L301" s="250"/>
      <x:c r="M301" s="252"/>
      <x:c r="N301" s="252"/>
      <x:c r="O301" s="251"/>
      <x:c r="P301" s="250"/>
      <x:c r="Q301" s="250"/>
      <x:c r="R301" s="250"/>
      <x:c r="S301" s="253"/>
      <x:c r="T301" s="250"/>
      <x:c r="U301"/>
      <x:c r="AA301"/>
      <x:c r="AB301"/>
      <x:c r="AC301"/>
      <x:c r="AD301"/>
      <x:c r="AE301"/>
      <x:c r="AF301"/>
      <x:c r="AG301"/>
      <x:c r="AH301"/>
      <x:c r="AI301"/>
      <x:c r="AJ301"/>
      <x:c r="AK301"/>
      <x:c r="AL301"/>
      <x:c r="AM301"/>
      <x:c r="AN301"/>
      <x:c r="AO301"/>
      <x:c r="AP301"/>
      <x:c r="AQ301"/>
      <x:c r="AR301"/>
    </x:row>
    <x:row r="302" s="248" customFormat="1">
      <x:c r="A302" s="250"/>
      <x:c r="B302" s="250"/>
      <x:c r="C302" s="566" t="str">
        <x:f>IF(B302="","",IFERROR(VLOOKUP(B302,PERUMAHAN!$A:$B,2,FALSE),"ID tidak ditemukan"))</x:f>
      </x:c>
      <x:c r="D302" s="250"/>
      <x:c r="E302" s="250"/>
      <x:c r="F302" s="250"/>
      <x:c r="G302" s="252"/>
      <x:c r="H302" s="252"/>
      <x:c r="I302" s="250"/>
      <x:c r="J302" s="250"/>
      <x:c r="K302" s="250"/>
      <x:c r="L302" s="250"/>
      <x:c r="M302" s="252"/>
      <x:c r="N302" s="252"/>
      <x:c r="O302" s="251"/>
      <x:c r="P302" s="250"/>
      <x:c r="Q302" s="250"/>
      <x:c r="R302" s="250"/>
      <x:c r="S302" s="253"/>
      <x:c r="T302" s="250"/>
      <x:c r="U302"/>
      <x:c r="AA302"/>
      <x:c r="AB302"/>
      <x:c r="AC302"/>
      <x:c r="AD302"/>
      <x:c r="AE302"/>
      <x:c r="AF302"/>
      <x:c r="AG302"/>
      <x:c r="AH302"/>
      <x:c r="AI302"/>
      <x:c r="AJ302"/>
      <x:c r="AK302"/>
      <x:c r="AL302"/>
      <x:c r="AM302"/>
      <x:c r="AN302"/>
      <x:c r="AO302"/>
      <x:c r="AP302"/>
      <x:c r="AQ302"/>
      <x:c r="AR302"/>
    </x:row>
    <x:row r="303" s="248" customFormat="1">
      <x:c r="A303" s="250"/>
      <x:c r="B303" s="250"/>
      <x:c r="C303" s="566" t="str">
        <x:f>IF(B303="","",IFERROR(VLOOKUP(B303,PERUMAHAN!$A:$B,2,FALSE),"ID tidak ditemukan"))</x:f>
      </x:c>
      <x:c r="D303" s="250"/>
      <x:c r="E303" s="250"/>
      <x:c r="F303" s="250"/>
      <x:c r="G303" s="252"/>
      <x:c r="H303" s="252"/>
      <x:c r="I303" s="250"/>
      <x:c r="J303" s="250"/>
      <x:c r="K303" s="250"/>
      <x:c r="L303" s="250"/>
      <x:c r="M303" s="252"/>
      <x:c r="N303" s="252"/>
      <x:c r="O303" s="251"/>
      <x:c r="P303" s="250"/>
      <x:c r="Q303" s="250"/>
      <x:c r="R303" s="250"/>
      <x:c r="S303" s="253"/>
      <x:c r="T303" s="250"/>
      <x:c r="U303"/>
      <x:c r="AA303"/>
      <x:c r="AB303"/>
      <x:c r="AC303"/>
      <x:c r="AD303"/>
      <x:c r="AE303"/>
      <x:c r="AF303"/>
      <x:c r="AG303"/>
      <x:c r="AH303"/>
      <x:c r="AI303"/>
      <x:c r="AJ303"/>
      <x:c r="AK303"/>
      <x:c r="AL303"/>
      <x:c r="AM303"/>
      <x:c r="AN303"/>
      <x:c r="AO303"/>
      <x:c r="AP303"/>
      <x:c r="AQ303"/>
      <x:c r="AR303"/>
    </x:row>
    <x:row r="304" s="248" customFormat="1">
      <x:c r="A304" s="250"/>
      <x:c r="B304" s="250"/>
      <x:c r="C304" s="566" t="str">
        <x:f>IF(B304="","",IFERROR(VLOOKUP(B304,PERUMAHAN!$A:$B,2,FALSE),"ID tidak ditemukan"))</x:f>
      </x:c>
      <x:c r="D304" s="250"/>
      <x:c r="E304" s="250"/>
      <x:c r="F304" s="250"/>
      <x:c r="G304" s="252"/>
      <x:c r="H304" s="252"/>
      <x:c r="I304" s="250"/>
      <x:c r="J304" s="250"/>
      <x:c r="K304" s="250"/>
      <x:c r="L304" s="250"/>
      <x:c r="M304" s="252"/>
      <x:c r="N304" s="252"/>
      <x:c r="O304" s="251"/>
      <x:c r="P304" s="250"/>
      <x:c r="Q304" s="250"/>
      <x:c r="R304" s="250"/>
      <x:c r="S304" s="253"/>
      <x:c r="T304" s="250"/>
      <x:c r="U304"/>
      <x:c r="AA304"/>
      <x:c r="AB304"/>
      <x:c r="AC304"/>
      <x:c r="AD304"/>
      <x:c r="AE304"/>
      <x:c r="AF304"/>
      <x:c r="AG304"/>
      <x:c r="AH304"/>
      <x:c r="AI304"/>
      <x:c r="AJ304"/>
      <x:c r="AK304"/>
      <x:c r="AL304"/>
      <x:c r="AM304"/>
      <x:c r="AN304"/>
      <x:c r="AO304"/>
      <x:c r="AP304"/>
      <x:c r="AQ304"/>
      <x:c r="AR304"/>
    </x:row>
    <x:row r="305" s="248" customFormat="1">
      <x:c r="A305" s="250"/>
      <x:c r="B305" s="250"/>
      <x:c r="C305" s="566" t="str">
        <x:f>IF(B305="","",IFERROR(VLOOKUP(B305,PERUMAHAN!$A:$B,2,FALSE),"ID tidak ditemukan"))</x:f>
      </x:c>
      <x:c r="D305" s="250"/>
      <x:c r="E305" s="250"/>
      <x:c r="F305" s="250"/>
      <x:c r="G305" s="252"/>
      <x:c r="H305" s="252"/>
      <x:c r="I305" s="250"/>
      <x:c r="J305" s="250"/>
      <x:c r="K305" s="250"/>
      <x:c r="L305" s="250"/>
      <x:c r="M305" s="252"/>
      <x:c r="N305" s="252"/>
      <x:c r="O305" s="251"/>
      <x:c r="P305" s="250"/>
      <x:c r="Q305" s="250"/>
      <x:c r="R305" s="250"/>
      <x:c r="S305" s="253"/>
      <x:c r="T305" s="250"/>
      <x:c r="U305"/>
      <x:c r="AA305"/>
      <x:c r="AB305"/>
      <x:c r="AC305"/>
      <x:c r="AD305"/>
      <x:c r="AE305"/>
      <x:c r="AF305"/>
      <x:c r="AG305"/>
      <x:c r="AH305"/>
      <x:c r="AI305"/>
      <x:c r="AJ305"/>
      <x:c r="AK305"/>
      <x:c r="AL305"/>
      <x:c r="AM305"/>
      <x:c r="AN305"/>
      <x:c r="AO305"/>
      <x:c r="AP305"/>
      <x:c r="AQ305"/>
      <x:c r="AR305"/>
    </x:row>
    <x:row r="306" s="248" customFormat="1">
      <x:c r="A306" s="250"/>
      <x:c r="B306" s="250"/>
      <x:c r="C306" s="566" t="str">
        <x:f>IF(B306="","",IFERROR(VLOOKUP(B306,PERUMAHAN!$A:$B,2,FALSE),"ID tidak ditemukan"))</x:f>
      </x:c>
      <x:c r="D306" s="250"/>
      <x:c r="E306" s="250"/>
      <x:c r="F306" s="250"/>
      <x:c r="G306" s="252"/>
      <x:c r="H306" s="252"/>
      <x:c r="I306" s="250"/>
      <x:c r="J306" s="250"/>
      <x:c r="K306" s="250"/>
      <x:c r="L306" s="250"/>
      <x:c r="M306" s="252"/>
      <x:c r="N306" s="252"/>
      <x:c r="O306" s="251"/>
      <x:c r="P306" s="250"/>
      <x:c r="Q306" s="250"/>
      <x:c r="R306" s="250"/>
      <x:c r="S306" s="253"/>
      <x:c r="T306" s="250"/>
      <x:c r="U306"/>
      <x:c r="AA306"/>
      <x:c r="AB306"/>
      <x:c r="AC306"/>
      <x:c r="AD306"/>
      <x:c r="AE306"/>
      <x:c r="AF306"/>
      <x:c r="AG306"/>
      <x:c r="AH306"/>
      <x:c r="AI306"/>
      <x:c r="AJ306"/>
      <x:c r="AK306"/>
      <x:c r="AL306"/>
      <x:c r="AM306"/>
      <x:c r="AN306"/>
      <x:c r="AO306"/>
      <x:c r="AP306"/>
      <x:c r="AQ306"/>
      <x:c r="AR306"/>
    </x:row>
    <x:row r="307" s="248" customFormat="1">
      <x:c r="A307" s="250"/>
      <x:c r="B307" s="250"/>
      <x:c r="C307" s="566" t="str">
        <x:f>IF(B307="","",IFERROR(VLOOKUP(B307,PERUMAHAN!$A:$B,2,FALSE),"ID tidak ditemukan"))</x:f>
      </x:c>
      <x:c r="D307" s="250"/>
      <x:c r="E307" s="250"/>
      <x:c r="F307" s="250"/>
      <x:c r="G307" s="252"/>
      <x:c r="H307" s="252"/>
      <x:c r="I307" s="250"/>
      <x:c r="J307" s="250"/>
      <x:c r="K307" s="250"/>
      <x:c r="L307" s="250"/>
      <x:c r="M307" s="252"/>
      <x:c r="N307" s="252"/>
      <x:c r="O307" s="251"/>
      <x:c r="P307" s="250"/>
      <x:c r="Q307" s="250"/>
      <x:c r="R307" s="250"/>
      <x:c r="S307" s="253"/>
      <x:c r="T307" s="250"/>
      <x:c r="U307"/>
      <x:c r="AA307"/>
      <x:c r="AB307"/>
      <x:c r="AC307"/>
      <x:c r="AD307"/>
      <x:c r="AE307"/>
      <x:c r="AF307"/>
      <x:c r="AG307"/>
      <x:c r="AH307"/>
      <x:c r="AI307"/>
      <x:c r="AJ307"/>
      <x:c r="AK307"/>
      <x:c r="AL307"/>
      <x:c r="AM307"/>
      <x:c r="AN307"/>
      <x:c r="AO307"/>
      <x:c r="AP307"/>
      <x:c r="AQ307"/>
      <x:c r="AR307"/>
    </x:row>
    <x:row r="308" s="248" customFormat="1">
      <x:c r="A308" s="250"/>
      <x:c r="B308" s="250"/>
      <x:c r="C308" s="566" t="str">
        <x:f>IF(B308="","",IFERROR(VLOOKUP(B308,PERUMAHAN!$A:$B,2,FALSE),"ID tidak ditemukan"))</x:f>
      </x:c>
      <x:c r="D308" s="250"/>
      <x:c r="E308" s="250"/>
      <x:c r="F308" s="250"/>
      <x:c r="G308" s="252"/>
      <x:c r="H308" s="252"/>
      <x:c r="I308" s="250"/>
      <x:c r="J308" s="250"/>
      <x:c r="K308" s="250"/>
      <x:c r="L308" s="250"/>
      <x:c r="M308" s="252"/>
      <x:c r="N308" s="252"/>
      <x:c r="O308" s="251"/>
      <x:c r="P308" s="250"/>
      <x:c r="Q308" s="250"/>
      <x:c r="R308" s="250"/>
      <x:c r="S308" s="253"/>
      <x:c r="T308" s="250"/>
      <x:c r="U308"/>
      <x:c r="AA308"/>
      <x:c r="AB308"/>
      <x:c r="AC308"/>
      <x:c r="AD308"/>
      <x:c r="AE308"/>
      <x:c r="AF308"/>
      <x:c r="AG308"/>
      <x:c r="AH308"/>
      <x:c r="AI308"/>
      <x:c r="AJ308"/>
      <x:c r="AK308"/>
      <x:c r="AL308"/>
      <x:c r="AM308"/>
      <x:c r="AN308"/>
      <x:c r="AO308"/>
      <x:c r="AP308"/>
      <x:c r="AQ308"/>
      <x:c r="AR308"/>
    </x:row>
    <x:row r="309" s="248" customFormat="1">
      <x:c r="A309" s="250"/>
      <x:c r="B309" s="250"/>
      <x:c r="C309" s="566" t="str">
        <x:f>IF(B309="","",IFERROR(VLOOKUP(B309,PERUMAHAN!$A:$B,2,FALSE),"ID tidak ditemukan"))</x:f>
      </x:c>
      <x:c r="D309" s="250"/>
      <x:c r="E309" s="250"/>
      <x:c r="F309" s="250"/>
      <x:c r="G309" s="252"/>
      <x:c r="H309" s="252"/>
      <x:c r="I309" s="250"/>
      <x:c r="J309" s="250"/>
      <x:c r="K309" s="250"/>
      <x:c r="L309" s="250"/>
      <x:c r="M309" s="252"/>
      <x:c r="N309" s="252"/>
      <x:c r="O309" s="251"/>
      <x:c r="P309" s="250"/>
      <x:c r="Q309" s="250"/>
      <x:c r="R309" s="250"/>
      <x:c r="S309" s="253"/>
      <x:c r="T309" s="250"/>
      <x:c r="U309"/>
      <x:c r="AA309"/>
      <x:c r="AB309"/>
      <x:c r="AC309"/>
      <x:c r="AD309"/>
      <x:c r="AE309"/>
      <x:c r="AF309"/>
      <x:c r="AG309"/>
      <x:c r="AH309"/>
      <x:c r="AI309"/>
      <x:c r="AJ309"/>
      <x:c r="AK309"/>
      <x:c r="AL309"/>
      <x:c r="AM309"/>
      <x:c r="AN309"/>
      <x:c r="AO309"/>
      <x:c r="AP309"/>
      <x:c r="AQ309"/>
      <x:c r="AR309"/>
    </x:row>
    <x:row r="310" s="248" customFormat="1">
      <x:c r="A310" s="250"/>
      <x:c r="B310" s="250"/>
      <x:c r="C310" s="566" t="str">
        <x:f>IF(B310="","",IFERROR(VLOOKUP(B310,PERUMAHAN!$A:$B,2,FALSE),"ID tidak ditemukan"))</x:f>
      </x:c>
      <x:c r="D310" s="250"/>
      <x:c r="E310" s="250"/>
      <x:c r="F310" s="250"/>
      <x:c r="G310" s="252"/>
      <x:c r="H310" s="252"/>
      <x:c r="I310" s="250"/>
      <x:c r="J310" s="250"/>
      <x:c r="K310" s="250"/>
      <x:c r="L310" s="250"/>
      <x:c r="M310" s="252"/>
      <x:c r="N310" s="252"/>
      <x:c r="O310" s="251"/>
      <x:c r="P310" s="250"/>
      <x:c r="Q310" s="250"/>
      <x:c r="R310" s="250"/>
      <x:c r="S310" s="253"/>
      <x:c r="T310" s="250"/>
      <x:c r="U310"/>
      <x:c r="AA310"/>
      <x:c r="AB310"/>
      <x:c r="AC310"/>
      <x:c r="AD310"/>
      <x:c r="AE310"/>
      <x:c r="AF310"/>
      <x:c r="AG310"/>
      <x:c r="AH310"/>
      <x:c r="AI310"/>
      <x:c r="AJ310"/>
      <x:c r="AK310"/>
      <x:c r="AL310"/>
      <x:c r="AM310"/>
      <x:c r="AN310"/>
      <x:c r="AO310"/>
      <x:c r="AP310"/>
      <x:c r="AQ310"/>
      <x:c r="AR310"/>
    </x:row>
    <x:row r="311" s="248" customFormat="1">
      <x:c r="A311" s="250"/>
      <x:c r="B311" s="250"/>
      <x:c r="C311" s="566" t="str">
        <x:f>IF(B311="","",IFERROR(VLOOKUP(B311,PERUMAHAN!$A:$B,2,FALSE),"ID tidak ditemukan"))</x:f>
      </x:c>
      <x:c r="D311" s="250"/>
      <x:c r="E311" s="250"/>
      <x:c r="F311" s="250"/>
      <x:c r="G311" s="252"/>
      <x:c r="H311" s="252"/>
      <x:c r="I311" s="250"/>
      <x:c r="J311" s="250"/>
      <x:c r="K311" s="250"/>
      <x:c r="L311" s="250"/>
      <x:c r="M311" s="252"/>
      <x:c r="N311" s="252"/>
      <x:c r="O311" s="251"/>
      <x:c r="P311" s="250"/>
      <x:c r="Q311" s="250"/>
      <x:c r="R311" s="250"/>
      <x:c r="S311" s="253"/>
      <x:c r="T311" s="250"/>
      <x:c r="U311"/>
      <x:c r="AA311"/>
      <x:c r="AB311"/>
      <x:c r="AC311"/>
      <x:c r="AD311"/>
      <x:c r="AE311"/>
      <x:c r="AF311"/>
      <x:c r="AG311"/>
      <x:c r="AH311"/>
      <x:c r="AI311"/>
      <x:c r="AJ311"/>
      <x:c r="AK311"/>
      <x:c r="AL311"/>
      <x:c r="AM311"/>
      <x:c r="AN311"/>
      <x:c r="AO311"/>
      <x:c r="AP311"/>
      <x:c r="AQ311"/>
      <x:c r="AR311"/>
    </x:row>
    <x:row r="312" s="248" customFormat="1">
      <x:c r="A312" s="250"/>
      <x:c r="B312" s="250"/>
      <x:c r="C312" s="566" t="str">
        <x:f>IF(B312="","",IFERROR(VLOOKUP(B312,PERUMAHAN!$A:$B,2,FALSE),"ID tidak ditemukan"))</x:f>
      </x:c>
      <x:c r="D312" s="250"/>
      <x:c r="E312" s="250"/>
      <x:c r="F312" s="250"/>
      <x:c r="G312" s="252"/>
      <x:c r="H312" s="252"/>
      <x:c r="I312" s="250"/>
      <x:c r="J312" s="250"/>
      <x:c r="K312" s="250"/>
      <x:c r="L312" s="250"/>
      <x:c r="M312" s="252"/>
      <x:c r="N312" s="252"/>
      <x:c r="O312" s="251"/>
      <x:c r="P312" s="250"/>
      <x:c r="Q312" s="250"/>
      <x:c r="R312" s="250"/>
      <x:c r="S312" s="253"/>
      <x:c r="T312" s="250"/>
      <x:c r="U312"/>
      <x:c r="AA312"/>
      <x:c r="AB312"/>
      <x:c r="AC312"/>
      <x:c r="AD312"/>
      <x:c r="AE312"/>
      <x:c r="AF312"/>
      <x:c r="AG312"/>
      <x:c r="AH312"/>
      <x:c r="AI312"/>
      <x:c r="AJ312"/>
      <x:c r="AK312"/>
      <x:c r="AL312"/>
      <x:c r="AM312"/>
      <x:c r="AN312"/>
      <x:c r="AO312"/>
      <x:c r="AP312"/>
      <x:c r="AQ312"/>
      <x:c r="AR312"/>
    </x:row>
    <x:row r="313" s="248" customFormat="1">
      <x:c r="A313" s="250"/>
      <x:c r="B313" s="250"/>
      <x:c r="C313" s="566" t="str">
        <x:f>IF(B313="","",IFERROR(VLOOKUP(B313,PERUMAHAN!$A:$B,2,FALSE),"ID tidak ditemukan"))</x:f>
      </x:c>
      <x:c r="D313" s="250"/>
      <x:c r="E313" s="250"/>
      <x:c r="F313" s="250"/>
      <x:c r="G313" s="252"/>
      <x:c r="H313" s="252"/>
      <x:c r="I313" s="250"/>
      <x:c r="J313" s="250"/>
      <x:c r="K313" s="250"/>
      <x:c r="L313" s="250"/>
      <x:c r="M313" s="252"/>
      <x:c r="N313" s="252"/>
      <x:c r="O313" s="251"/>
      <x:c r="P313" s="250"/>
      <x:c r="Q313" s="250"/>
      <x:c r="R313" s="250"/>
      <x:c r="S313" s="253"/>
      <x:c r="T313" s="250"/>
      <x:c r="U313"/>
      <x:c r="AA313"/>
      <x:c r="AB313"/>
      <x:c r="AC313"/>
      <x:c r="AD313"/>
      <x:c r="AE313"/>
      <x:c r="AF313"/>
      <x:c r="AG313"/>
      <x:c r="AH313"/>
      <x:c r="AI313"/>
      <x:c r="AJ313"/>
      <x:c r="AK313"/>
      <x:c r="AL313"/>
      <x:c r="AM313"/>
      <x:c r="AN313"/>
      <x:c r="AO313"/>
      <x:c r="AP313"/>
      <x:c r="AQ313"/>
      <x:c r="AR313"/>
    </x:row>
    <x:row r="314" s="248" customFormat="1">
      <x:c r="A314" s="250"/>
      <x:c r="B314" s="250"/>
      <x:c r="C314" s="566" t="str">
        <x:f>IF(B314="","",IFERROR(VLOOKUP(B314,PERUMAHAN!$A:$B,2,FALSE),"ID tidak ditemukan"))</x:f>
      </x:c>
      <x:c r="D314" s="250"/>
      <x:c r="E314" s="250"/>
      <x:c r="F314" s="250"/>
      <x:c r="G314" s="252"/>
      <x:c r="H314" s="252"/>
      <x:c r="I314" s="250"/>
      <x:c r="J314" s="250"/>
      <x:c r="K314" s="250"/>
      <x:c r="L314" s="250"/>
      <x:c r="M314" s="252"/>
      <x:c r="N314" s="252"/>
      <x:c r="O314" s="251"/>
      <x:c r="P314" s="250"/>
      <x:c r="Q314" s="250"/>
      <x:c r="R314" s="250"/>
      <x:c r="S314" s="253"/>
      <x:c r="T314" s="250"/>
      <x:c r="U314"/>
      <x:c r="AA314"/>
      <x:c r="AB314"/>
      <x:c r="AC314"/>
      <x:c r="AD314"/>
      <x:c r="AE314"/>
      <x:c r="AF314"/>
      <x:c r="AG314"/>
      <x:c r="AH314"/>
      <x:c r="AI314"/>
      <x:c r="AJ314"/>
      <x:c r="AK314"/>
      <x:c r="AL314"/>
      <x:c r="AM314"/>
      <x:c r="AN314"/>
      <x:c r="AO314"/>
      <x:c r="AP314"/>
      <x:c r="AQ314"/>
      <x:c r="AR314"/>
    </x:row>
    <x:row r="315" s="248" customFormat="1">
      <x:c r="A315" s="250"/>
      <x:c r="B315" s="250"/>
      <x:c r="C315" s="566" t="str">
        <x:f>IF(B315="","",IFERROR(VLOOKUP(B315,PERUMAHAN!$A:$B,2,FALSE),"ID tidak ditemukan"))</x:f>
      </x:c>
      <x:c r="D315" s="250"/>
      <x:c r="E315" s="250"/>
      <x:c r="F315" s="250"/>
      <x:c r="G315" s="252"/>
      <x:c r="H315" s="252"/>
      <x:c r="I315" s="250"/>
      <x:c r="J315" s="250"/>
      <x:c r="K315" s="250"/>
      <x:c r="L315" s="250"/>
      <x:c r="M315" s="252"/>
      <x:c r="N315" s="252"/>
      <x:c r="O315" s="251"/>
      <x:c r="P315" s="250"/>
      <x:c r="Q315" s="250"/>
      <x:c r="R315" s="250"/>
      <x:c r="S315" s="253"/>
      <x:c r="T315" s="250"/>
      <x:c r="U315"/>
      <x:c r="AA315"/>
      <x:c r="AB315"/>
      <x:c r="AC315"/>
      <x:c r="AD315"/>
      <x:c r="AE315"/>
      <x:c r="AF315"/>
      <x:c r="AG315"/>
      <x:c r="AH315"/>
      <x:c r="AI315"/>
      <x:c r="AJ315"/>
      <x:c r="AK315"/>
      <x:c r="AL315"/>
      <x:c r="AM315"/>
      <x:c r="AN315"/>
      <x:c r="AO315"/>
      <x:c r="AP315"/>
      <x:c r="AQ315"/>
      <x:c r="AR315"/>
    </x:row>
    <x:row r="316" s="248" customFormat="1">
      <x:c r="A316" s="250"/>
      <x:c r="B316" s="250"/>
      <x:c r="C316" s="566" t="str">
        <x:f>IF(B316="","",IFERROR(VLOOKUP(B316,PERUMAHAN!$A:$B,2,FALSE),"ID tidak ditemukan"))</x:f>
      </x:c>
      <x:c r="D316" s="250"/>
      <x:c r="E316" s="250"/>
      <x:c r="F316" s="250"/>
      <x:c r="G316" s="252"/>
      <x:c r="H316" s="252"/>
      <x:c r="I316" s="250"/>
      <x:c r="J316" s="250"/>
      <x:c r="K316" s="250"/>
      <x:c r="L316" s="250"/>
      <x:c r="M316" s="252"/>
      <x:c r="N316" s="252"/>
      <x:c r="O316" s="251"/>
      <x:c r="P316" s="250"/>
      <x:c r="Q316" s="250"/>
      <x:c r="R316" s="250"/>
      <x:c r="S316" s="253"/>
      <x:c r="T316" s="250"/>
      <x:c r="U316"/>
      <x:c r="AA316"/>
      <x:c r="AB316"/>
      <x:c r="AC316"/>
      <x:c r="AD316"/>
      <x:c r="AE316"/>
      <x:c r="AF316"/>
      <x:c r="AG316"/>
      <x:c r="AH316"/>
      <x:c r="AI316"/>
      <x:c r="AJ316"/>
      <x:c r="AK316"/>
      <x:c r="AL316"/>
      <x:c r="AM316"/>
      <x:c r="AN316"/>
      <x:c r="AO316"/>
      <x:c r="AP316"/>
      <x:c r="AQ316"/>
      <x:c r="AR316"/>
    </x:row>
    <x:row r="317" s="248" customFormat="1">
      <x:c r="A317" s="250"/>
      <x:c r="B317" s="250"/>
      <x:c r="C317" s="566" t="str">
        <x:f>IF(B317="","",IFERROR(VLOOKUP(B317,PERUMAHAN!$A:$B,2,FALSE),"ID tidak ditemukan"))</x:f>
      </x:c>
      <x:c r="D317" s="250"/>
      <x:c r="E317" s="250"/>
      <x:c r="F317" s="250"/>
      <x:c r="G317" s="252"/>
      <x:c r="H317" s="252"/>
      <x:c r="I317" s="250"/>
      <x:c r="J317" s="250"/>
      <x:c r="K317" s="250"/>
      <x:c r="L317" s="250"/>
      <x:c r="M317" s="252"/>
      <x:c r="N317" s="252"/>
      <x:c r="O317" s="251"/>
      <x:c r="P317" s="250"/>
      <x:c r="Q317" s="250"/>
      <x:c r="R317" s="250"/>
      <x:c r="S317" s="253"/>
      <x:c r="T317" s="250"/>
      <x:c r="U317"/>
      <x:c r="AA317"/>
      <x:c r="AB317"/>
      <x:c r="AC317"/>
      <x:c r="AD317"/>
      <x:c r="AE317"/>
      <x:c r="AF317"/>
      <x:c r="AG317"/>
      <x:c r="AH317"/>
      <x:c r="AI317"/>
      <x:c r="AJ317"/>
      <x:c r="AK317"/>
      <x:c r="AL317"/>
      <x:c r="AM317"/>
      <x:c r="AN317"/>
      <x:c r="AO317"/>
      <x:c r="AP317"/>
      <x:c r="AQ317"/>
      <x:c r="AR317"/>
    </x:row>
    <x:row r="318" s="248" customFormat="1">
      <x:c r="A318" s="250"/>
      <x:c r="B318" s="250"/>
      <x:c r="C318" s="566" t="str">
        <x:f>IF(B318="","",IFERROR(VLOOKUP(B318,PERUMAHAN!$A:$B,2,FALSE),"ID tidak ditemukan"))</x:f>
      </x:c>
      <x:c r="D318" s="250"/>
      <x:c r="E318" s="250"/>
      <x:c r="F318" s="250"/>
      <x:c r="G318" s="252"/>
      <x:c r="H318" s="252"/>
      <x:c r="I318" s="250"/>
      <x:c r="J318" s="250"/>
      <x:c r="K318" s="250"/>
      <x:c r="L318" s="250"/>
      <x:c r="M318" s="252"/>
      <x:c r="N318" s="252"/>
      <x:c r="O318" s="251"/>
      <x:c r="P318" s="250"/>
      <x:c r="Q318" s="250"/>
      <x:c r="R318" s="250"/>
      <x:c r="S318" s="253"/>
      <x:c r="T318" s="250"/>
      <x:c r="U318"/>
      <x:c r="AA318"/>
      <x:c r="AB318"/>
      <x:c r="AC318"/>
      <x:c r="AD318"/>
      <x:c r="AE318"/>
      <x:c r="AF318"/>
      <x:c r="AG318"/>
      <x:c r="AH318"/>
      <x:c r="AI318"/>
      <x:c r="AJ318"/>
      <x:c r="AK318"/>
      <x:c r="AL318"/>
      <x:c r="AM318"/>
      <x:c r="AN318"/>
      <x:c r="AO318"/>
      <x:c r="AP318"/>
      <x:c r="AQ318"/>
      <x:c r="AR318"/>
    </x:row>
    <x:row r="319" s="248" customFormat="1">
      <x:c r="A319" s="250"/>
      <x:c r="B319" s="250"/>
      <x:c r="C319" s="566" t="str">
        <x:f>IF(B319="","",IFERROR(VLOOKUP(B319,PERUMAHAN!$A:$B,2,FALSE),"ID tidak ditemukan"))</x:f>
      </x:c>
      <x:c r="D319" s="250"/>
      <x:c r="E319" s="250"/>
      <x:c r="F319" s="250"/>
      <x:c r="G319" s="252"/>
      <x:c r="H319" s="252"/>
      <x:c r="I319" s="250"/>
      <x:c r="J319" s="250"/>
      <x:c r="K319" s="250"/>
      <x:c r="L319" s="250"/>
      <x:c r="M319" s="252"/>
      <x:c r="N319" s="252"/>
      <x:c r="O319" s="251"/>
      <x:c r="P319" s="250"/>
      <x:c r="Q319" s="250"/>
      <x:c r="R319" s="250"/>
      <x:c r="S319" s="253"/>
      <x:c r="T319" s="250"/>
      <x:c r="U319"/>
      <x:c r="AA319"/>
      <x:c r="AB319"/>
      <x:c r="AC319"/>
      <x:c r="AD319"/>
      <x:c r="AE319"/>
      <x:c r="AF319"/>
      <x:c r="AG319"/>
      <x:c r="AH319"/>
      <x:c r="AI319"/>
      <x:c r="AJ319"/>
      <x:c r="AK319"/>
      <x:c r="AL319"/>
      <x:c r="AM319"/>
      <x:c r="AN319"/>
      <x:c r="AO319"/>
      <x:c r="AP319"/>
      <x:c r="AQ319"/>
      <x:c r="AR319"/>
    </x:row>
    <x:row r="320" s="248" customFormat="1">
      <x:c r="A320" s="250"/>
      <x:c r="B320" s="250"/>
      <x:c r="C320" s="566" t="str">
        <x:f>IF(B320="","",IFERROR(VLOOKUP(B320,PERUMAHAN!$A:$B,2,FALSE),"ID tidak ditemukan"))</x:f>
      </x:c>
      <x:c r="D320" s="250"/>
      <x:c r="E320" s="250"/>
      <x:c r="F320" s="250"/>
      <x:c r="G320" s="252"/>
      <x:c r="H320" s="252"/>
      <x:c r="I320" s="250"/>
      <x:c r="J320" s="250"/>
      <x:c r="K320" s="250"/>
      <x:c r="L320" s="250"/>
      <x:c r="M320" s="252"/>
      <x:c r="N320" s="252"/>
      <x:c r="O320" s="251"/>
      <x:c r="P320" s="250"/>
      <x:c r="Q320" s="250"/>
      <x:c r="R320" s="250"/>
      <x:c r="S320" s="253"/>
      <x:c r="T320" s="250"/>
      <x:c r="U320"/>
      <x:c r="AA320"/>
      <x:c r="AB320"/>
      <x:c r="AC320"/>
      <x:c r="AD320"/>
      <x:c r="AE320"/>
      <x:c r="AF320"/>
      <x:c r="AG320"/>
      <x:c r="AH320"/>
      <x:c r="AI320"/>
      <x:c r="AJ320"/>
      <x:c r="AK320"/>
      <x:c r="AL320"/>
      <x:c r="AM320"/>
      <x:c r="AN320"/>
      <x:c r="AO320"/>
      <x:c r="AP320"/>
      <x:c r="AQ320"/>
      <x:c r="AR320"/>
    </x:row>
    <x:row r="321" s="248" customFormat="1">
      <x:c r="A321" s="250"/>
      <x:c r="B321" s="250"/>
      <x:c r="C321" s="566" t="str">
        <x:f>IF(B321="","",IFERROR(VLOOKUP(B321,PERUMAHAN!$A:$B,2,FALSE),"ID tidak ditemukan"))</x:f>
      </x:c>
      <x:c r="D321" s="250"/>
      <x:c r="E321" s="250"/>
      <x:c r="F321" s="250"/>
      <x:c r="G321" s="252"/>
      <x:c r="H321" s="252"/>
      <x:c r="I321" s="250"/>
      <x:c r="J321" s="250"/>
      <x:c r="K321" s="250"/>
      <x:c r="L321" s="250"/>
      <x:c r="M321" s="252"/>
      <x:c r="N321" s="252"/>
      <x:c r="O321" s="251"/>
      <x:c r="P321" s="250"/>
      <x:c r="Q321" s="250"/>
      <x:c r="R321" s="250"/>
      <x:c r="S321" s="253"/>
      <x:c r="T321" s="250"/>
      <x:c r="U321"/>
      <x:c r="AA321"/>
      <x:c r="AB321"/>
      <x:c r="AC321"/>
      <x:c r="AD321"/>
      <x:c r="AE321"/>
      <x:c r="AF321"/>
      <x:c r="AG321"/>
      <x:c r="AH321"/>
      <x:c r="AI321"/>
      <x:c r="AJ321"/>
      <x:c r="AK321"/>
      <x:c r="AL321"/>
      <x:c r="AM321"/>
      <x:c r="AN321"/>
      <x:c r="AO321"/>
      <x:c r="AP321"/>
      <x:c r="AQ321"/>
      <x:c r="AR321"/>
    </x:row>
    <x:row r="322" s="248" customFormat="1">
      <x:c r="A322" s="250"/>
      <x:c r="B322" s="250"/>
      <x:c r="C322" s="566" t="str">
        <x:f>IF(B322="","",IFERROR(VLOOKUP(B322,PERUMAHAN!$A:$B,2,FALSE),"ID tidak ditemukan"))</x:f>
      </x:c>
      <x:c r="D322" s="250"/>
      <x:c r="E322" s="250"/>
      <x:c r="F322" s="250"/>
      <x:c r="G322" s="252"/>
      <x:c r="H322" s="252"/>
      <x:c r="I322" s="250"/>
      <x:c r="J322" s="250"/>
      <x:c r="K322" s="250"/>
      <x:c r="L322" s="250"/>
      <x:c r="M322" s="252"/>
      <x:c r="N322" s="252"/>
      <x:c r="O322" s="251"/>
      <x:c r="P322" s="250"/>
      <x:c r="Q322" s="250"/>
      <x:c r="R322" s="250"/>
      <x:c r="S322" s="253"/>
      <x:c r="T322" s="250"/>
      <x:c r="U322"/>
      <x:c r="AA322"/>
      <x:c r="AB322"/>
      <x:c r="AC322"/>
      <x:c r="AD322"/>
      <x:c r="AE322"/>
      <x:c r="AF322"/>
      <x:c r="AG322"/>
      <x:c r="AH322"/>
      <x:c r="AI322"/>
      <x:c r="AJ322"/>
      <x:c r="AK322"/>
      <x:c r="AL322"/>
      <x:c r="AM322"/>
      <x:c r="AN322"/>
      <x:c r="AO322"/>
      <x:c r="AP322"/>
      <x:c r="AQ322"/>
      <x:c r="AR322"/>
    </x:row>
    <x:row r="323" s="248" customFormat="1">
      <x:c r="A323" s="250"/>
      <x:c r="B323" s="250"/>
      <x:c r="C323" s="566" t="str">
        <x:f>IF(B323="","",IFERROR(VLOOKUP(B323,PERUMAHAN!$A:$B,2,FALSE),"ID tidak ditemukan"))</x:f>
      </x:c>
      <x:c r="D323" s="250"/>
      <x:c r="E323" s="250"/>
      <x:c r="F323" s="250"/>
      <x:c r="G323" s="252"/>
      <x:c r="H323" s="252"/>
      <x:c r="I323" s="250"/>
      <x:c r="J323" s="250"/>
      <x:c r="K323" s="250"/>
      <x:c r="L323" s="250"/>
      <x:c r="M323" s="252"/>
      <x:c r="N323" s="252"/>
      <x:c r="O323" s="251"/>
      <x:c r="P323" s="250"/>
      <x:c r="Q323" s="250"/>
      <x:c r="R323" s="250"/>
      <x:c r="S323" s="253"/>
      <x:c r="T323" s="250"/>
      <x:c r="U323"/>
      <x:c r="AA323"/>
      <x:c r="AB323"/>
      <x:c r="AC323"/>
      <x:c r="AD323"/>
      <x:c r="AE323"/>
      <x:c r="AF323"/>
      <x:c r="AG323"/>
      <x:c r="AH323"/>
      <x:c r="AI323"/>
      <x:c r="AJ323"/>
      <x:c r="AK323"/>
      <x:c r="AL323"/>
      <x:c r="AM323"/>
      <x:c r="AN323"/>
      <x:c r="AO323"/>
      <x:c r="AP323"/>
      <x:c r="AQ323"/>
      <x:c r="AR323"/>
    </x:row>
    <x:row r="324" s="248" customFormat="1">
      <x:c r="A324" s="250"/>
      <x:c r="B324" s="250"/>
      <x:c r="C324" s="566" t="str">
        <x:f>IF(B324="","",IFERROR(VLOOKUP(B324,PERUMAHAN!$A:$B,2,FALSE),"ID tidak ditemukan"))</x:f>
      </x:c>
      <x:c r="D324" s="250"/>
      <x:c r="E324" s="250"/>
      <x:c r="F324" s="250"/>
      <x:c r="G324" s="252"/>
      <x:c r="H324" s="252"/>
      <x:c r="I324" s="250"/>
      <x:c r="J324" s="250"/>
      <x:c r="K324" s="250"/>
      <x:c r="L324" s="250"/>
      <x:c r="M324" s="252"/>
      <x:c r="N324" s="252"/>
      <x:c r="O324" s="251"/>
      <x:c r="P324" s="250"/>
      <x:c r="Q324" s="250"/>
      <x:c r="R324" s="250"/>
      <x:c r="S324" s="253"/>
      <x:c r="T324" s="250"/>
      <x:c r="U324"/>
      <x:c r="AA324"/>
      <x:c r="AB324"/>
      <x:c r="AC324"/>
      <x:c r="AD324"/>
      <x:c r="AE324"/>
      <x:c r="AF324"/>
      <x:c r="AG324"/>
      <x:c r="AH324"/>
      <x:c r="AI324"/>
      <x:c r="AJ324"/>
      <x:c r="AK324"/>
      <x:c r="AL324"/>
      <x:c r="AM324"/>
      <x:c r="AN324"/>
      <x:c r="AO324"/>
      <x:c r="AP324"/>
      <x:c r="AQ324"/>
      <x:c r="AR324"/>
    </x:row>
    <x:row r="325" s="248" customFormat="1">
      <x:c r="A325" s="250"/>
      <x:c r="B325" s="250"/>
      <x:c r="C325" s="566" t="str">
        <x:f>IF(B325="","",IFERROR(VLOOKUP(B325,PERUMAHAN!$A:$B,2,FALSE),"ID tidak ditemukan"))</x:f>
      </x:c>
      <x:c r="D325" s="250"/>
      <x:c r="E325" s="250"/>
      <x:c r="F325" s="250"/>
      <x:c r="G325" s="252"/>
      <x:c r="H325" s="252"/>
      <x:c r="I325" s="250"/>
      <x:c r="J325" s="250"/>
      <x:c r="K325" s="250"/>
      <x:c r="L325" s="250"/>
      <x:c r="M325" s="252"/>
      <x:c r="N325" s="252"/>
      <x:c r="O325" s="251"/>
      <x:c r="P325" s="250"/>
      <x:c r="Q325" s="250"/>
      <x:c r="R325" s="250"/>
      <x:c r="S325" s="253"/>
      <x:c r="T325" s="250"/>
      <x:c r="U325"/>
      <x:c r="AA325"/>
      <x:c r="AB325"/>
      <x:c r="AC325"/>
      <x:c r="AD325"/>
      <x:c r="AE325"/>
      <x:c r="AF325"/>
      <x:c r="AG325"/>
      <x:c r="AH325"/>
      <x:c r="AI325"/>
      <x:c r="AJ325"/>
      <x:c r="AK325"/>
      <x:c r="AL325"/>
      <x:c r="AM325"/>
      <x:c r="AN325"/>
      <x:c r="AO325"/>
      <x:c r="AP325"/>
      <x:c r="AQ325"/>
      <x:c r="AR325"/>
    </x:row>
    <x:row r="326" s="248" customFormat="1">
      <x:c r="A326" s="250"/>
      <x:c r="B326" s="250"/>
      <x:c r="C326" s="566" t="str">
        <x:f>IF(B326="","",IFERROR(VLOOKUP(B326,PERUMAHAN!$A:$B,2,FALSE),"ID tidak ditemukan"))</x:f>
      </x:c>
      <x:c r="D326" s="250"/>
      <x:c r="E326" s="250"/>
      <x:c r="F326" s="250"/>
      <x:c r="G326" s="252"/>
      <x:c r="H326" s="252"/>
      <x:c r="I326" s="250"/>
      <x:c r="J326" s="250"/>
      <x:c r="K326" s="250"/>
      <x:c r="L326" s="250"/>
      <x:c r="M326" s="252"/>
      <x:c r="N326" s="252"/>
      <x:c r="O326" s="251"/>
      <x:c r="P326" s="250"/>
      <x:c r="Q326" s="250"/>
      <x:c r="R326" s="250"/>
      <x:c r="S326" s="253"/>
      <x:c r="T326" s="250"/>
      <x:c r="U326"/>
      <x:c r="AA326"/>
      <x:c r="AB326"/>
      <x:c r="AC326"/>
      <x:c r="AD326"/>
      <x:c r="AE326"/>
      <x:c r="AF326"/>
      <x:c r="AG326"/>
      <x:c r="AH326"/>
      <x:c r="AI326"/>
      <x:c r="AJ326"/>
      <x:c r="AK326"/>
      <x:c r="AL326"/>
      <x:c r="AM326"/>
      <x:c r="AN326"/>
      <x:c r="AO326"/>
      <x:c r="AP326"/>
      <x:c r="AQ326"/>
      <x:c r="AR326"/>
    </x:row>
    <x:row r="327" s="248" customFormat="1">
      <x:c r="A327" s="250"/>
      <x:c r="B327" s="250"/>
      <x:c r="C327" s="566" t="str">
        <x:f>IF(B327="","",IFERROR(VLOOKUP(B327,PERUMAHAN!$A:$B,2,FALSE),"ID tidak ditemukan"))</x:f>
      </x:c>
      <x:c r="D327" s="250"/>
      <x:c r="E327" s="250"/>
      <x:c r="F327" s="250"/>
      <x:c r="G327" s="252"/>
      <x:c r="H327" s="252"/>
      <x:c r="I327" s="250"/>
      <x:c r="J327" s="250"/>
      <x:c r="K327" s="250"/>
      <x:c r="L327" s="250"/>
      <x:c r="M327" s="252"/>
      <x:c r="N327" s="252"/>
      <x:c r="O327" s="251"/>
      <x:c r="P327" s="250"/>
      <x:c r="Q327" s="250"/>
      <x:c r="R327" s="250"/>
      <x:c r="S327" s="253"/>
      <x:c r="T327" s="250"/>
      <x:c r="U327"/>
      <x:c r="AA327"/>
      <x:c r="AB327"/>
      <x:c r="AC327"/>
      <x:c r="AD327"/>
      <x:c r="AE327"/>
      <x:c r="AF327"/>
      <x:c r="AG327"/>
      <x:c r="AH327"/>
      <x:c r="AI327"/>
      <x:c r="AJ327"/>
      <x:c r="AK327"/>
      <x:c r="AL327"/>
      <x:c r="AM327"/>
      <x:c r="AN327"/>
      <x:c r="AO327"/>
      <x:c r="AP327"/>
      <x:c r="AQ327"/>
      <x:c r="AR327"/>
    </x:row>
    <x:row r="328" s="248" customFormat="1">
      <x:c r="A328" s="250"/>
      <x:c r="B328" s="250"/>
      <x:c r="C328" s="566" t="str">
        <x:f>IF(B328="","",IFERROR(VLOOKUP(B328,PERUMAHAN!$A:$B,2,FALSE),"ID tidak ditemukan"))</x:f>
      </x:c>
      <x:c r="D328" s="250"/>
      <x:c r="E328" s="250"/>
      <x:c r="F328" s="250"/>
      <x:c r="G328" s="252"/>
      <x:c r="H328" s="252"/>
      <x:c r="I328" s="250"/>
      <x:c r="J328" s="250"/>
      <x:c r="K328" s="250"/>
      <x:c r="L328" s="250"/>
      <x:c r="M328" s="252"/>
      <x:c r="N328" s="252"/>
      <x:c r="O328" s="251"/>
      <x:c r="P328" s="250"/>
      <x:c r="Q328" s="250"/>
      <x:c r="R328" s="250"/>
      <x:c r="S328" s="253"/>
      <x:c r="T328" s="250"/>
      <x:c r="U328"/>
      <x:c r="AA328"/>
      <x:c r="AB328"/>
      <x:c r="AC328"/>
      <x:c r="AD328"/>
      <x:c r="AE328"/>
      <x:c r="AF328"/>
      <x:c r="AG328"/>
      <x:c r="AH328"/>
      <x:c r="AI328"/>
      <x:c r="AJ328"/>
      <x:c r="AK328"/>
      <x:c r="AL328"/>
      <x:c r="AM328"/>
      <x:c r="AN328"/>
      <x:c r="AO328"/>
      <x:c r="AP328"/>
      <x:c r="AQ328"/>
      <x:c r="AR328"/>
    </x:row>
    <x:row r="329" s="248" customFormat="1">
      <x:c r="A329" s="250"/>
      <x:c r="B329" s="250"/>
      <x:c r="C329" s="566" t="str">
        <x:f>IF(B329="","",IFERROR(VLOOKUP(B329,PERUMAHAN!$A:$B,2,FALSE),"ID tidak ditemukan"))</x:f>
      </x:c>
      <x:c r="D329" s="250"/>
      <x:c r="E329" s="250"/>
      <x:c r="F329" s="250"/>
      <x:c r="G329" s="252"/>
      <x:c r="H329" s="252"/>
      <x:c r="I329" s="250"/>
      <x:c r="J329" s="250"/>
      <x:c r="K329" s="250"/>
      <x:c r="L329" s="250"/>
      <x:c r="M329" s="252"/>
      <x:c r="N329" s="252"/>
      <x:c r="O329" s="251"/>
      <x:c r="P329" s="250"/>
      <x:c r="Q329" s="250"/>
      <x:c r="R329" s="250"/>
      <x:c r="S329" s="253"/>
      <x:c r="T329" s="250"/>
      <x:c r="U329"/>
      <x:c r="AA329"/>
      <x:c r="AB329"/>
      <x:c r="AC329"/>
      <x:c r="AD329"/>
      <x:c r="AE329"/>
      <x:c r="AF329"/>
      <x:c r="AG329"/>
      <x:c r="AH329"/>
      <x:c r="AI329"/>
      <x:c r="AJ329"/>
      <x:c r="AK329"/>
      <x:c r="AL329"/>
      <x:c r="AM329"/>
      <x:c r="AN329"/>
      <x:c r="AO329"/>
      <x:c r="AP329"/>
      <x:c r="AQ329"/>
      <x:c r="AR329"/>
    </x:row>
    <x:row r="330" s="248" customFormat="1">
      <x:c r="A330" s="250"/>
      <x:c r="B330" s="250"/>
      <x:c r="C330" s="566" t="str">
        <x:f>IF(B330="","",IFERROR(VLOOKUP(B330,PERUMAHAN!$A:$B,2,FALSE),"ID tidak ditemukan"))</x:f>
      </x:c>
      <x:c r="D330" s="250"/>
      <x:c r="E330" s="250"/>
      <x:c r="F330" s="250"/>
      <x:c r="G330" s="252"/>
      <x:c r="H330" s="252"/>
      <x:c r="I330" s="250"/>
      <x:c r="J330" s="250"/>
      <x:c r="K330" s="250"/>
      <x:c r="L330" s="250"/>
      <x:c r="M330" s="252"/>
      <x:c r="N330" s="252"/>
      <x:c r="O330" s="251"/>
      <x:c r="P330" s="250"/>
      <x:c r="Q330" s="250"/>
      <x:c r="R330" s="250"/>
      <x:c r="S330" s="253"/>
      <x:c r="T330" s="250"/>
      <x:c r="U330"/>
      <x:c r="AA330"/>
      <x:c r="AB330"/>
      <x:c r="AC330"/>
      <x:c r="AD330"/>
      <x:c r="AE330"/>
      <x:c r="AF330"/>
      <x:c r="AG330"/>
      <x:c r="AH330"/>
      <x:c r="AI330"/>
      <x:c r="AJ330"/>
      <x:c r="AK330"/>
      <x:c r="AL330"/>
      <x:c r="AM330"/>
      <x:c r="AN330"/>
      <x:c r="AO330"/>
      <x:c r="AP330"/>
      <x:c r="AQ330"/>
      <x:c r="AR330"/>
    </x:row>
    <x:row r="331" s="248" customFormat="1">
      <x:c r="A331" s="250"/>
      <x:c r="B331" s="250"/>
      <x:c r="C331" s="566" t="str">
        <x:f>IF(B331="","",IFERROR(VLOOKUP(B331,PERUMAHAN!$A:$B,2,FALSE),"ID tidak ditemukan"))</x:f>
      </x:c>
      <x:c r="D331" s="250"/>
      <x:c r="E331" s="250"/>
      <x:c r="F331" s="250"/>
      <x:c r="G331" s="252"/>
      <x:c r="H331" s="252"/>
      <x:c r="I331" s="250"/>
      <x:c r="J331" s="250"/>
      <x:c r="K331" s="250"/>
      <x:c r="L331" s="250"/>
      <x:c r="M331" s="252"/>
      <x:c r="N331" s="252"/>
      <x:c r="O331" s="251"/>
      <x:c r="P331" s="250"/>
      <x:c r="Q331" s="250"/>
      <x:c r="R331" s="250"/>
      <x:c r="S331" s="253"/>
      <x:c r="T331" s="250"/>
      <x:c r="U331"/>
      <x:c r="AA331"/>
      <x:c r="AB331"/>
      <x:c r="AC331"/>
      <x:c r="AD331"/>
      <x:c r="AE331"/>
      <x:c r="AF331"/>
      <x:c r="AG331"/>
      <x:c r="AH331"/>
      <x:c r="AI331"/>
      <x:c r="AJ331"/>
      <x:c r="AK331"/>
      <x:c r="AL331"/>
      <x:c r="AM331"/>
      <x:c r="AN331"/>
      <x:c r="AO331"/>
      <x:c r="AP331"/>
      <x:c r="AQ331"/>
      <x:c r="AR331"/>
    </x:row>
    <x:row r="332" s="248" customFormat="1">
      <x:c r="A332" s="250"/>
      <x:c r="B332" s="250"/>
      <x:c r="C332" s="566" t="str">
        <x:f>IF(B332="","",IFERROR(VLOOKUP(B332,PERUMAHAN!$A:$B,2,FALSE),"ID tidak ditemukan"))</x:f>
      </x:c>
      <x:c r="D332" s="250"/>
      <x:c r="E332" s="250"/>
      <x:c r="F332" s="250"/>
      <x:c r="G332" s="252"/>
      <x:c r="H332" s="252"/>
      <x:c r="I332" s="250"/>
      <x:c r="J332" s="250"/>
      <x:c r="K332" s="250"/>
      <x:c r="L332" s="250"/>
      <x:c r="M332" s="252"/>
      <x:c r="N332" s="252"/>
      <x:c r="O332" s="251"/>
      <x:c r="P332" s="250"/>
      <x:c r="Q332" s="250"/>
      <x:c r="R332" s="250"/>
      <x:c r="S332" s="253"/>
      <x:c r="T332" s="250"/>
      <x:c r="U332"/>
      <x:c r="AA332"/>
      <x:c r="AB332"/>
      <x:c r="AC332"/>
      <x:c r="AD332"/>
      <x:c r="AE332"/>
      <x:c r="AF332"/>
      <x:c r="AG332"/>
      <x:c r="AH332"/>
      <x:c r="AI332"/>
      <x:c r="AJ332"/>
      <x:c r="AK332"/>
      <x:c r="AL332"/>
      <x:c r="AM332"/>
      <x:c r="AN332"/>
      <x:c r="AO332"/>
      <x:c r="AP332"/>
      <x:c r="AQ332"/>
      <x:c r="AR332"/>
    </x:row>
    <x:row r="333" s="248" customFormat="1">
      <x:c r="A333" s="250"/>
      <x:c r="B333" s="250"/>
      <x:c r="C333" s="566" t="str">
        <x:f>IF(B333="","",IFERROR(VLOOKUP(B333,PERUMAHAN!$A:$B,2,FALSE),"ID tidak ditemukan"))</x:f>
      </x:c>
      <x:c r="D333" s="250"/>
      <x:c r="E333" s="250"/>
      <x:c r="F333" s="250"/>
      <x:c r="G333" s="252"/>
      <x:c r="H333" s="252"/>
      <x:c r="I333" s="250"/>
      <x:c r="J333" s="250"/>
      <x:c r="K333" s="250"/>
      <x:c r="L333" s="250"/>
      <x:c r="M333" s="252"/>
      <x:c r="N333" s="252"/>
      <x:c r="O333" s="251"/>
      <x:c r="P333" s="250"/>
      <x:c r="Q333" s="250"/>
      <x:c r="R333" s="250"/>
      <x:c r="S333" s="253"/>
      <x:c r="T333" s="250"/>
      <x:c r="U333"/>
      <x:c r="AA333"/>
      <x:c r="AB333"/>
      <x:c r="AC333"/>
      <x:c r="AD333"/>
      <x:c r="AE333"/>
      <x:c r="AF333"/>
      <x:c r="AG333"/>
      <x:c r="AH333"/>
      <x:c r="AI333"/>
      <x:c r="AJ333"/>
      <x:c r="AK333"/>
      <x:c r="AL333"/>
      <x:c r="AM333"/>
      <x:c r="AN333"/>
      <x:c r="AO333"/>
      <x:c r="AP333"/>
      <x:c r="AQ333"/>
      <x:c r="AR333"/>
    </x:row>
    <x:row r="334" s="248" customFormat="1">
      <x:c r="A334" s="250"/>
      <x:c r="B334" s="250"/>
      <x:c r="C334" s="566" t="str">
        <x:f>IF(B334="","",IFERROR(VLOOKUP(B334,PERUMAHAN!$A:$B,2,FALSE),"ID tidak ditemukan"))</x:f>
      </x:c>
      <x:c r="D334" s="250"/>
      <x:c r="E334" s="250"/>
      <x:c r="F334" s="250"/>
      <x:c r="G334" s="252"/>
      <x:c r="H334" s="252"/>
      <x:c r="I334" s="250"/>
      <x:c r="J334" s="250"/>
      <x:c r="K334" s="250"/>
      <x:c r="L334" s="250"/>
      <x:c r="M334" s="252"/>
      <x:c r="N334" s="252"/>
      <x:c r="O334" s="251"/>
      <x:c r="P334" s="250"/>
      <x:c r="Q334" s="250"/>
      <x:c r="R334" s="250"/>
      <x:c r="S334" s="253"/>
      <x:c r="T334" s="250"/>
      <x:c r="U334"/>
      <x:c r="AA334"/>
      <x:c r="AB334"/>
      <x:c r="AC334"/>
      <x:c r="AD334"/>
      <x:c r="AE334"/>
      <x:c r="AF334"/>
      <x:c r="AG334"/>
      <x:c r="AH334"/>
      <x:c r="AI334"/>
      <x:c r="AJ334"/>
      <x:c r="AK334"/>
      <x:c r="AL334"/>
      <x:c r="AM334"/>
      <x:c r="AN334"/>
      <x:c r="AO334"/>
      <x:c r="AP334"/>
      <x:c r="AQ334"/>
      <x:c r="AR334"/>
    </x:row>
    <x:row r="335" s="248" customFormat="1">
      <x:c r="A335" s="250"/>
      <x:c r="B335" s="250"/>
      <x:c r="C335" s="566" t="str">
        <x:f>IF(B335="","",IFERROR(VLOOKUP(B335,PERUMAHAN!$A:$B,2,FALSE),"ID tidak ditemukan"))</x:f>
      </x:c>
      <x:c r="D335" s="250"/>
      <x:c r="E335" s="250"/>
      <x:c r="F335" s="250"/>
      <x:c r="G335" s="252"/>
      <x:c r="H335" s="252"/>
      <x:c r="I335" s="250"/>
      <x:c r="J335" s="250"/>
      <x:c r="K335" s="250"/>
      <x:c r="L335" s="250"/>
      <x:c r="M335" s="252"/>
      <x:c r="N335" s="252"/>
      <x:c r="O335" s="251"/>
      <x:c r="P335" s="250"/>
      <x:c r="Q335" s="250"/>
      <x:c r="R335" s="250"/>
      <x:c r="S335" s="253"/>
      <x:c r="T335" s="250"/>
      <x:c r="U335"/>
      <x:c r="AA335"/>
      <x:c r="AB335"/>
      <x:c r="AC335"/>
      <x:c r="AD335"/>
      <x:c r="AE335"/>
      <x:c r="AF335"/>
      <x:c r="AG335"/>
      <x:c r="AH335"/>
      <x:c r="AI335"/>
      <x:c r="AJ335"/>
      <x:c r="AK335"/>
      <x:c r="AL335"/>
      <x:c r="AM335"/>
      <x:c r="AN335"/>
      <x:c r="AO335"/>
      <x:c r="AP335"/>
      <x:c r="AQ335"/>
      <x:c r="AR335"/>
    </x:row>
    <x:row r="336" s="248" customFormat="1">
      <x:c r="A336" s="250"/>
      <x:c r="B336" s="250"/>
      <x:c r="C336" s="566" t="str">
        <x:f>IF(B336="","",IFERROR(VLOOKUP(B336,PERUMAHAN!$A:$B,2,FALSE),"ID tidak ditemukan"))</x:f>
      </x:c>
      <x:c r="D336" s="250"/>
      <x:c r="E336" s="250"/>
      <x:c r="F336" s="250"/>
      <x:c r="G336" s="252"/>
      <x:c r="H336" s="252"/>
      <x:c r="I336" s="250"/>
      <x:c r="J336" s="250"/>
      <x:c r="K336" s="250"/>
      <x:c r="L336" s="250"/>
      <x:c r="M336" s="252"/>
      <x:c r="N336" s="252"/>
      <x:c r="O336" s="251"/>
      <x:c r="P336" s="250"/>
      <x:c r="Q336" s="250"/>
      <x:c r="R336" s="250"/>
      <x:c r="S336" s="253"/>
      <x:c r="T336" s="250"/>
      <x:c r="U336"/>
      <x:c r="AA336"/>
      <x:c r="AB336"/>
      <x:c r="AC336"/>
      <x:c r="AD336"/>
      <x:c r="AE336"/>
      <x:c r="AF336"/>
      <x:c r="AG336"/>
      <x:c r="AH336"/>
      <x:c r="AI336"/>
      <x:c r="AJ336"/>
      <x:c r="AK336"/>
      <x:c r="AL336"/>
      <x:c r="AM336"/>
      <x:c r="AN336"/>
      <x:c r="AO336"/>
      <x:c r="AP336"/>
      <x:c r="AQ336"/>
      <x:c r="AR336"/>
    </x:row>
    <x:row r="337" s="248" customFormat="1">
      <x:c r="A337" s="250"/>
      <x:c r="B337" s="250"/>
      <x:c r="C337" s="566" t="str">
        <x:f>IF(B337="","",IFERROR(VLOOKUP(B337,PERUMAHAN!$A:$B,2,FALSE),"ID tidak ditemukan"))</x:f>
      </x:c>
      <x:c r="D337" s="250"/>
      <x:c r="E337" s="250"/>
      <x:c r="F337" s="250"/>
      <x:c r="G337" s="252"/>
      <x:c r="H337" s="252"/>
      <x:c r="I337" s="250"/>
      <x:c r="J337" s="250"/>
      <x:c r="K337" s="250"/>
      <x:c r="L337" s="250"/>
      <x:c r="M337" s="252"/>
      <x:c r="N337" s="252"/>
      <x:c r="O337" s="251"/>
      <x:c r="P337" s="250"/>
      <x:c r="Q337" s="250"/>
      <x:c r="R337" s="250"/>
      <x:c r="S337" s="253"/>
      <x:c r="T337" s="250"/>
      <x:c r="U337"/>
      <x:c r="AA337"/>
      <x:c r="AB337"/>
      <x:c r="AC337"/>
      <x:c r="AD337"/>
      <x:c r="AE337"/>
      <x:c r="AF337"/>
      <x:c r="AG337"/>
      <x:c r="AH337"/>
      <x:c r="AI337"/>
      <x:c r="AJ337"/>
      <x:c r="AK337"/>
      <x:c r="AL337"/>
      <x:c r="AM337"/>
      <x:c r="AN337"/>
      <x:c r="AO337"/>
      <x:c r="AP337"/>
      <x:c r="AQ337"/>
      <x:c r="AR337"/>
    </x:row>
    <x:row r="338" s="248" customFormat="1">
      <x:c r="A338" s="250"/>
      <x:c r="B338" s="250"/>
      <x:c r="C338" s="566" t="str">
        <x:f>IF(B338="","",IFERROR(VLOOKUP(B338,PERUMAHAN!$A:$B,2,FALSE),"ID tidak ditemukan"))</x:f>
      </x:c>
      <x:c r="D338" s="250"/>
      <x:c r="E338" s="250"/>
      <x:c r="F338" s="250"/>
      <x:c r="G338" s="252"/>
      <x:c r="H338" s="252"/>
      <x:c r="I338" s="250"/>
      <x:c r="J338" s="250"/>
      <x:c r="K338" s="250"/>
      <x:c r="L338" s="250"/>
      <x:c r="M338" s="252"/>
      <x:c r="N338" s="252"/>
      <x:c r="O338" s="251"/>
      <x:c r="P338" s="250"/>
      <x:c r="Q338" s="250"/>
      <x:c r="R338" s="250"/>
      <x:c r="S338" s="253"/>
      <x:c r="T338" s="250"/>
      <x:c r="U338"/>
      <x:c r="AA338"/>
      <x:c r="AB338"/>
      <x:c r="AC338"/>
      <x:c r="AD338"/>
      <x:c r="AE338"/>
      <x:c r="AF338"/>
      <x:c r="AG338"/>
      <x:c r="AH338"/>
      <x:c r="AI338"/>
      <x:c r="AJ338"/>
      <x:c r="AK338"/>
      <x:c r="AL338"/>
      <x:c r="AM338"/>
      <x:c r="AN338"/>
      <x:c r="AO338"/>
      <x:c r="AP338"/>
      <x:c r="AQ338"/>
      <x:c r="AR338"/>
    </x:row>
    <x:row r="339" s="248" customFormat="1">
      <x:c r="A339" s="250"/>
      <x:c r="B339" s="250"/>
      <x:c r="C339" s="566" t="str">
        <x:f>IF(B339="","",IFERROR(VLOOKUP(B339,PERUMAHAN!$A:$B,2,FALSE),"ID tidak ditemukan"))</x:f>
      </x:c>
      <x:c r="D339" s="250"/>
      <x:c r="E339" s="250"/>
      <x:c r="F339" s="250"/>
      <x:c r="G339" s="252"/>
      <x:c r="H339" s="252"/>
      <x:c r="I339" s="250"/>
      <x:c r="J339" s="250"/>
      <x:c r="K339" s="250"/>
      <x:c r="L339" s="250"/>
      <x:c r="M339" s="252"/>
      <x:c r="N339" s="252"/>
      <x:c r="O339" s="251"/>
      <x:c r="P339" s="250"/>
      <x:c r="Q339" s="250"/>
      <x:c r="R339" s="250"/>
      <x:c r="S339" s="253"/>
      <x:c r="T339" s="250"/>
      <x:c r="U339"/>
      <x:c r="AA339"/>
      <x:c r="AB339"/>
      <x:c r="AC339"/>
      <x:c r="AD339"/>
      <x:c r="AE339"/>
      <x:c r="AF339"/>
      <x:c r="AG339"/>
      <x:c r="AH339"/>
      <x:c r="AI339"/>
      <x:c r="AJ339"/>
      <x:c r="AK339"/>
      <x:c r="AL339"/>
      <x:c r="AM339"/>
      <x:c r="AN339"/>
      <x:c r="AO339"/>
      <x:c r="AP339"/>
      <x:c r="AQ339"/>
      <x:c r="AR339"/>
    </x:row>
    <x:row r="340" s="248" customFormat="1">
      <x:c r="A340" s="250"/>
      <x:c r="B340" s="250"/>
      <x:c r="C340" s="566" t="str">
        <x:f>IF(B340="","",IFERROR(VLOOKUP(B340,PERUMAHAN!$A:$B,2,FALSE),"ID tidak ditemukan"))</x:f>
      </x:c>
      <x:c r="D340" s="250"/>
      <x:c r="E340" s="250"/>
      <x:c r="F340" s="250"/>
      <x:c r="G340" s="252"/>
      <x:c r="H340" s="252"/>
      <x:c r="I340" s="250"/>
      <x:c r="J340" s="250"/>
      <x:c r="K340" s="250"/>
      <x:c r="L340" s="250"/>
      <x:c r="M340" s="252"/>
      <x:c r="N340" s="252"/>
      <x:c r="O340" s="251"/>
      <x:c r="P340" s="250"/>
      <x:c r="Q340" s="250"/>
      <x:c r="R340" s="250"/>
      <x:c r="S340" s="253"/>
      <x:c r="T340" s="250"/>
      <x:c r="U340"/>
      <x:c r="AA340"/>
      <x:c r="AB340"/>
      <x:c r="AC340"/>
      <x:c r="AD340"/>
      <x:c r="AE340"/>
      <x:c r="AF340"/>
      <x:c r="AG340"/>
      <x:c r="AH340"/>
      <x:c r="AI340"/>
      <x:c r="AJ340"/>
      <x:c r="AK340"/>
      <x:c r="AL340"/>
      <x:c r="AM340"/>
      <x:c r="AN340"/>
      <x:c r="AO340"/>
      <x:c r="AP340"/>
      <x:c r="AQ340"/>
      <x:c r="AR340"/>
    </x:row>
    <x:row r="341" s="248" customFormat="1">
      <x:c r="A341" s="250"/>
      <x:c r="B341" s="250"/>
      <x:c r="C341" s="566" t="str">
        <x:f>IF(B341="","",IFERROR(VLOOKUP(B341,PERUMAHAN!$A:$B,2,FALSE),"ID tidak ditemukan"))</x:f>
      </x:c>
      <x:c r="D341" s="250"/>
      <x:c r="E341" s="250"/>
      <x:c r="F341" s="250"/>
      <x:c r="G341" s="252"/>
      <x:c r="H341" s="252"/>
      <x:c r="I341" s="250"/>
      <x:c r="J341" s="250"/>
      <x:c r="K341" s="250"/>
      <x:c r="L341" s="250"/>
      <x:c r="M341" s="252"/>
      <x:c r="N341" s="252"/>
      <x:c r="O341" s="251"/>
      <x:c r="P341" s="250"/>
      <x:c r="Q341" s="250"/>
      <x:c r="R341" s="250"/>
      <x:c r="S341" s="253"/>
      <x:c r="T341" s="250"/>
      <x:c r="U341"/>
      <x:c r="AA341"/>
      <x:c r="AB341"/>
      <x:c r="AC341"/>
      <x:c r="AD341"/>
      <x:c r="AE341"/>
      <x:c r="AF341"/>
      <x:c r="AG341"/>
      <x:c r="AH341"/>
      <x:c r="AI341"/>
      <x:c r="AJ341"/>
      <x:c r="AK341"/>
      <x:c r="AL341"/>
      <x:c r="AM341"/>
      <x:c r="AN341"/>
      <x:c r="AO341"/>
      <x:c r="AP341"/>
      <x:c r="AQ341"/>
      <x:c r="AR341"/>
    </x:row>
    <x:row r="342" s="248" customFormat="1">
      <x:c r="A342" s="250"/>
      <x:c r="B342" s="250"/>
      <x:c r="C342" s="566" t="str">
        <x:f>IF(B342="","",IFERROR(VLOOKUP(B342,PERUMAHAN!$A:$B,2,FALSE),"ID tidak ditemukan"))</x:f>
      </x:c>
      <x:c r="D342" s="250"/>
      <x:c r="E342" s="250"/>
      <x:c r="F342" s="250"/>
      <x:c r="G342" s="252"/>
      <x:c r="H342" s="252"/>
      <x:c r="I342" s="250"/>
      <x:c r="J342" s="250"/>
      <x:c r="K342" s="250"/>
      <x:c r="L342" s="250"/>
      <x:c r="M342" s="252"/>
      <x:c r="N342" s="252"/>
      <x:c r="O342" s="251"/>
      <x:c r="P342" s="250"/>
      <x:c r="Q342" s="250"/>
      <x:c r="R342" s="250"/>
      <x:c r="S342" s="253"/>
      <x:c r="T342" s="250"/>
      <x:c r="U342"/>
      <x:c r="AA342"/>
      <x:c r="AB342"/>
      <x:c r="AC342"/>
      <x:c r="AD342"/>
      <x:c r="AE342"/>
      <x:c r="AF342"/>
      <x:c r="AG342"/>
      <x:c r="AH342"/>
      <x:c r="AI342"/>
      <x:c r="AJ342"/>
      <x:c r="AK342"/>
      <x:c r="AL342"/>
      <x:c r="AM342"/>
      <x:c r="AN342"/>
      <x:c r="AO342"/>
      <x:c r="AP342"/>
      <x:c r="AQ342"/>
      <x:c r="AR342"/>
    </x:row>
    <x:row r="343" s="248" customFormat="1">
      <x:c r="A343" s="250"/>
      <x:c r="B343" s="250"/>
      <x:c r="C343" s="566" t="str">
        <x:f>IF(B343="","",IFERROR(VLOOKUP(B343,PERUMAHAN!$A:$B,2,FALSE),"ID tidak ditemukan"))</x:f>
      </x:c>
      <x:c r="D343" s="250"/>
      <x:c r="E343" s="250"/>
      <x:c r="F343" s="250"/>
      <x:c r="G343" s="252"/>
      <x:c r="H343" s="252"/>
      <x:c r="I343" s="250"/>
      <x:c r="J343" s="250"/>
      <x:c r="K343" s="250"/>
      <x:c r="L343" s="250"/>
      <x:c r="M343" s="252"/>
      <x:c r="N343" s="252"/>
      <x:c r="O343" s="251"/>
      <x:c r="P343" s="250"/>
      <x:c r="Q343" s="250"/>
      <x:c r="R343" s="250"/>
      <x:c r="S343" s="253"/>
      <x:c r="T343" s="250"/>
      <x:c r="U343"/>
      <x:c r="AA343"/>
      <x:c r="AB343"/>
      <x:c r="AC343"/>
      <x:c r="AD343"/>
      <x:c r="AE343"/>
      <x:c r="AF343"/>
      <x:c r="AG343"/>
      <x:c r="AH343"/>
      <x:c r="AI343"/>
      <x:c r="AJ343"/>
      <x:c r="AK343"/>
      <x:c r="AL343"/>
      <x:c r="AM343"/>
      <x:c r="AN343"/>
      <x:c r="AO343"/>
      <x:c r="AP343"/>
      <x:c r="AQ343"/>
      <x:c r="AR343"/>
    </x:row>
    <x:row r="344" s="248" customFormat="1">
      <x:c r="A344" s="250"/>
      <x:c r="B344" s="250"/>
      <x:c r="C344" s="566" t="str">
        <x:f>IF(B344="","",IFERROR(VLOOKUP(B344,PERUMAHAN!$A:$B,2,FALSE),"ID tidak ditemukan"))</x:f>
      </x:c>
      <x:c r="D344" s="250"/>
      <x:c r="E344" s="250"/>
      <x:c r="F344" s="250"/>
      <x:c r="G344" s="252"/>
      <x:c r="H344" s="252"/>
      <x:c r="I344" s="250"/>
      <x:c r="J344" s="250"/>
      <x:c r="K344" s="250"/>
      <x:c r="L344" s="250"/>
      <x:c r="M344" s="252"/>
      <x:c r="N344" s="252"/>
      <x:c r="O344" s="251"/>
      <x:c r="P344" s="250"/>
      <x:c r="Q344" s="250"/>
      <x:c r="R344" s="250"/>
      <x:c r="S344" s="253"/>
      <x:c r="T344" s="250"/>
      <x:c r="U344"/>
      <x:c r="AA344"/>
      <x:c r="AB344"/>
      <x:c r="AC344"/>
      <x:c r="AD344"/>
      <x:c r="AE344"/>
      <x:c r="AF344"/>
      <x:c r="AG344"/>
      <x:c r="AH344"/>
      <x:c r="AI344"/>
      <x:c r="AJ344"/>
      <x:c r="AK344"/>
      <x:c r="AL344"/>
      <x:c r="AM344"/>
      <x:c r="AN344"/>
      <x:c r="AO344"/>
      <x:c r="AP344"/>
      <x:c r="AQ344"/>
      <x:c r="AR344"/>
    </x:row>
    <x:row r="345" s="248" customFormat="1">
      <x:c r="A345" s="250"/>
      <x:c r="B345" s="250"/>
      <x:c r="C345" s="566" t="str">
        <x:f>IF(B345="","",IFERROR(VLOOKUP(B345,PERUMAHAN!$A:$B,2,FALSE),"ID tidak ditemukan"))</x:f>
      </x:c>
      <x:c r="D345" s="250"/>
      <x:c r="E345" s="250"/>
      <x:c r="F345" s="250"/>
      <x:c r="G345" s="252"/>
      <x:c r="H345" s="252"/>
      <x:c r="I345" s="250"/>
      <x:c r="J345" s="250"/>
      <x:c r="K345" s="250"/>
      <x:c r="L345" s="250"/>
      <x:c r="M345" s="252"/>
      <x:c r="N345" s="252"/>
      <x:c r="O345" s="251"/>
      <x:c r="P345" s="250"/>
      <x:c r="Q345" s="250"/>
      <x:c r="R345" s="250"/>
      <x:c r="S345" s="253"/>
      <x:c r="T345" s="250"/>
      <x:c r="U345"/>
      <x:c r="AA345"/>
      <x:c r="AB345"/>
      <x:c r="AC345"/>
      <x:c r="AD345"/>
      <x:c r="AE345"/>
      <x:c r="AF345"/>
      <x:c r="AG345"/>
      <x:c r="AH345"/>
      <x:c r="AI345"/>
      <x:c r="AJ345"/>
      <x:c r="AK345"/>
      <x:c r="AL345"/>
      <x:c r="AM345"/>
      <x:c r="AN345"/>
      <x:c r="AO345"/>
      <x:c r="AP345"/>
      <x:c r="AQ345"/>
      <x:c r="AR345"/>
    </x:row>
    <x:row r="346" s="248" customFormat="1">
      <x:c r="A346" s="250"/>
      <x:c r="B346" s="250"/>
      <x:c r="C346" s="566" t="str">
        <x:f>IF(B346="","",IFERROR(VLOOKUP(B346,PERUMAHAN!$A:$B,2,FALSE),"ID tidak ditemukan"))</x:f>
      </x:c>
      <x:c r="D346" s="250"/>
      <x:c r="E346" s="250"/>
      <x:c r="F346" s="250"/>
      <x:c r="G346" s="252"/>
      <x:c r="H346" s="252"/>
      <x:c r="I346" s="250"/>
      <x:c r="J346" s="250"/>
      <x:c r="K346" s="250"/>
      <x:c r="L346" s="250"/>
      <x:c r="M346" s="252"/>
      <x:c r="N346" s="252"/>
      <x:c r="O346" s="251"/>
      <x:c r="P346" s="250"/>
      <x:c r="Q346" s="250"/>
      <x:c r="R346" s="250"/>
      <x:c r="S346" s="253"/>
      <x:c r="T346" s="250"/>
      <x:c r="U346"/>
      <x:c r="AA346"/>
      <x:c r="AB346"/>
      <x:c r="AC346"/>
      <x:c r="AD346"/>
      <x:c r="AE346"/>
      <x:c r="AF346"/>
      <x:c r="AG346"/>
      <x:c r="AH346"/>
      <x:c r="AI346"/>
      <x:c r="AJ346"/>
      <x:c r="AK346"/>
      <x:c r="AL346"/>
      <x:c r="AM346"/>
      <x:c r="AN346"/>
      <x:c r="AO346"/>
      <x:c r="AP346"/>
      <x:c r="AQ346"/>
      <x:c r="AR346"/>
    </x:row>
    <x:row r="347" s="248" customFormat="1">
      <x:c r="A347" s="250"/>
      <x:c r="B347" s="250"/>
      <x:c r="C347" s="566" t="str">
        <x:f>IF(B347="","",IFERROR(VLOOKUP(B347,PERUMAHAN!$A:$B,2,FALSE),"ID tidak ditemukan"))</x:f>
      </x:c>
      <x:c r="D347" s="250"/>
      <x:c r="E347" s="250"/>
      <x:c r="F347" s="250"/>
      <x:c r="G347" s="252"/>
      <x:c r="H347" s="252"/>
      <x:c r="I347" s="250"/>
      <x:c r="J347" s="250"/>
      <x:c r="K347" s="250"/>
      <x:c r="L347" s="250"/>
      <x:c r="M347" s="252"/>
      <x:c r="N347" s="252"/>
      <x:c r="O347" s="251"/>
      <x:c r="P347" s="250"/>
      <x:c r="Q347" s="250"/>
      <x:c r="R347" s="250"/>
      <x:c r="S347" s="253"/>
      <x:c r="T347" s="250"/>
      <x:c r="U347"/>
      <x:c r="AA347"/>
      <x:c r="AB347"/>
      <x:c r="AC347"/>
      <x:c r="AD347"/>
      <x:c r="AE347"/>
      <x:c r="AF347"/>
      <x:c r="AG347"/>
      <x:c r="AH347"/>
      <x:c r="AI347"/>
      <x:c r="AJ347"/>
      <x:c r="AK347"/>
      <x:c r="AL347"/>
      <x:c r="AM347"/>
      <x:c r="AN347"/>
      <x:c r="AO347"/>
      <x:c r="AP347"/>
      <x:c r="AQ347"/>
      <x:c r="AR347"/>
    </x:row>
    <x:row r="348" s="248" customFormat="1">
      <x:c r="A348" s="250"/>
      <x:c r="B348" s="250"/>
      <x:c r="C348" s="566" t="str">
        <x:f>IF(B348="","",IFERROR(VLOOKUP(B348,PERUMAHAN!$A:$B,2,FALSE),"ID tidak ditemukan"))</x:f>
      </x:c>
      <x:c r="D348" s="250"/>
      <x:c r="E348" s="250"/>
      <x:c r="F348" s="250"/>
      <x:c r="G348" s="252"/>
      <x:c r="H348" s="252"/>
      <x:c r="I348" s="250"/>
      <x:c r="J348" s="250"/>
      <x:c r="K348" s="250"/>
      <x:c r="L348" s="250"/>
      <x:c r="M348" s="252"/>
      <x:c r="N348" s="252"/>
      <x:c r="O348" s="251"/>
      <x:c r="P348" s="250"/>
      <x:c r="Q348" s="250"/>
      <x:c r="R348" s="250"/>
      <x:c r="S348" s="253"/>
      <x:c r="T348" s="250"/>
      <x:c r="U348"/>
      <x:c r="AA348"/>
      <x:c r="AB348"/>
      <x:c r="AC348"/>
      <x:c r="AD348"/>
      <x:c r="AE348"/>
      <x:c r="AF348"/>
      <x:c r="AG348"/>
      <x:c r="AH348"/>
      <x:c r="AI348"/>
      <x:c r="AJ348"/>
      <x:c r="AK348"/>
      <x:c r="AL348"/>
      <x:c r="AM348"/>
      <x:c r="AN348"/>
      <x:c r="AO348"/>
      <x:c r="AP348"/>
      <x:c r="AQ348"/>
      <x:c r="AR348"/>
    </x:row>
    <x:row r="349" s="248" customFormat="1">
      <x:c r="A349" s="250"/>
      <x:c r="B349" s="250"/>
      <x:c r="C349" s="566" t="str">
        <x:f>IF(B349="","",IFERROR(VLOOKUP(B349,PERUMAHAN!$A:$B,2,FALSE),"ID tidak ditemukan"))</x:f>
      </x:c>
      <x:c r="D349" s="250"/>
      <x:c r="E349" s="250"/>
      <x:c r="F349" s="250"/>
      <x:c r="G349" s="252"/>
      <x:c r="H349" s="252"/>
      <x:c r="I349" s="250"/>
      <x:c r="J349" s="250"/>
      <x:c r="K349" s="250"/>
      <x:c r="L349" s="250"/>
      <x:c r="M349" s="252"/>
      <x:c r="N349" s="252"/>
      <x:c r="O349" s="251"/>
      <x:c r="P349" s="250"/>
      <x:c r="Q349" s="250"/>
      <x:c r="R349" s="250"/>
      <x:c r="S349" s="253"/>
      <x:c r="T349" s="250"/>
      <x:c r="U349"/>
      <x:c r="AA349"/>
      <x:c r="AB349"/>
      <x:c r="AC349"/>
      <x:c r="AD349"/>
      <x:c r="AE349"/>
      <x:c r="AF349"/>
      <x:c r="AG349"/>
      <x:c r="AH349"/>
      <x:c r="AI349"/>
      <x:c r="AJ349"/>
      <x:c r="AK349"/>
      <x:c r="AL349"/>
      <x:c r="AM349"/>
      <x:c r="AN349"/>
      <x:c r="AO349"/>
      <x:c r="AP349"/>
      <x:c r="AQ349"/>
      <x:c r="AR349"/>
    </x:row>
    <x:row r="350" s="248" customFormat="1">
      <x:c r="A350" s="250"/>
      <x:c r="B350" s="250"/>
      <x:c r="C350" s="566" t="str">
        <x:f>IF(B350="","",IFERROR(VLOOKUP(B350,PERUMAHAN!$A:$B,2,FALSE),"ID tidak ditemukan"))</x:f>
      </x:c>
      <x:c r="D350" s="250"/>
      <x:c r="E350" s="250"/>
      <x:c r="F350" s="250"/>
      <x:c r="G350" s="252"/>
      <x:c r="H350" s="252"/>
      <x:c r="I350" s="250"/>
      <x:c r="J350" s="250"/>
      <x:c r="K350" s="250"/>
      <x:c r="L350" s="250"/>
      <x:c r="M350" s="252"/>
      <x:c r="N350" s="252"/>
      <x:c r="O350" s="251"/>
      <x:c r="P350" s="250"/>
      <x:c r="Q350" s="250"/>
      <x:c r="R350" s="250"/>
      <x:c r="S350" s="253"/>
      <x:c r="T350" s="250"/>
      <x:c r="U350"/>
      <x:c r="AA350"/>
      <x:c r="AB350"/>
      <x:c r="AC350"/>
      <x:c r="AD350"/>
      <x:c r="AE350"/>
      <x:c r="AF350"/>
      <x:c r="AG350"/>
      <x:c r="AH350"/>
      <x:c r="AI350"/>
      <x:c r="AJ350"/>
      <x:c r="AK350"/>
      <x:c r="AL350"/>
      <x:c r="AM350"/>
      <x:c r="AN350"/>
      <x:c r="AO350"/>
      <x:c r="AP350"/>
      <x:c r="AQ350"/>
      <x:c r="AR350"/>
    </x:row>
    <x:row r="351" s="248" customFormat="1">
      <x:c r="A351" s="250"/>
      <x:c r="B351" s="250"/>
      <x:c r="C351" s="566" t="str">
        <x:f>IF(B351="","",IFERROR(VLOOKUP(B351,PERUMAHAN!$A:$B,2,FALSE),"ID tidak ditemukan"))</x:f>
      </x:c>
      <x:c r="D351" s="250"/>
      <x:c r="E351" s="250"/>
      <x:c r="F351" s="250"/>
      <x:c r="G351" s="252"/>
      <x:c r="H351" s="252"/>
      <x:c r="I351" s="250"/>
      <x:c r="J351" s="250"/>
      <x:c r="K351" s="250"/>
      <x:c r="L351" s="250"/>
      <x:c r="M351" s="252"/>
      <x:c r="N351" s="252"/>
      <x:c r="O351" s="251"/>
      <x:c r="P351" s="250"/>
      <x:c r="Q351" s="250"/>
      <x:c r="R351" s="250"/>
      <x:c r="S351" s="253"/>
      <x:c r="T351" s="250"/>
      <x:c r="U351"/>
      <x:c r="AA351"/>
      <x:c r="AB351"/>
      <x:c r="AC351"/>
      <x:c r="AD351"/>
      <x:c r="AE351"/>
      <x:c r="AF351"/>
      <x:c r="AG351"/>
      <x:c r="AH351"/>
      <x:c r="AI351"/>
      <x:c r="AJ351"/>
      <x:c r="AK351"/>
      <x:c r="AL351"/>
      <x:c r="AM351"/>
      <x:c r="AN351"/>
      <x:c r="AO351"/>
      <x:c r="AP351"/>
      <x:c r="AQ351"/>
      <x:c r="AR351"/>
    </x:row>
    <x:row r="352" s="248" customFormat="1">
      <x:c r="A352" s="250"/>
      <x:c r="B352" s="250"/>
      <x:c r="C352" s="566" t="str">
        <x:f>IF(B352="","",IFERROR(VLOOKUP(B352,PERUMAHAN!$A:$B,2,FALSE),"ID tidak ditemukan"))</x:f>
      </x:c>
      <x:c r="D352" s="250"/>
      <x:c r="E352" s="250"/>
      <x:c r="F352" s="250"/>
      <x:c r="G352" s="252"/>
      <x:c r="H352" s="252"/>
      <x:c r="I352" s="250"/>
      <x:c r="J352" s="250"/>
      <x:c r="K352" s="250"/>
      <x:c r="L352" s="250"/>
      <x:c r="M352" s="252"/>
      <x:c r="N352" s="252"/>
      <x:c r="O352" s="251"/>
      <x:c r="P352" s="250"/>
      <x:c r="Q352" s="250"/>
      <x:c r="R352" s="250"/>
      <x:c r="S352" s="253"/>
      <x:c r="T352" s="250"/>
      <x:c r="U352"/>
      <x:c r="AA352"/>
      <x:c r="AB352"/>
      <x:c r="AC352"/>
      <x:c r="AD352"/>
      <x:c r="AE352"/>
      <x:c r="AF352"/>
      <x:c r="AG352"/>
      <x:c r="AH352"/>
      <x:c r="AI352"/>
      <x:c r="AJ352"/>
      <x:c r="AK352"/>
      <x:c r="AL352"/>
      <x:c r="AM352"/>
      <x:c r="AN352"/>
      <x:c r="AO352"/>
      <x:c r="AP352"/>
      <x:c r="AQ352"/>
      <x:c r="AR352"/>
    </x:row>
    <x:row r="353" s="248" customFormat="1">
      <x:c r="A353" s="250"/>
      <x:c r="B353" s="250"/>
      <x:c r="C353" s="566" t="str">
        <x:f>IF(B353="","",IFERROR(VLOOKUP(B353,PERUMAHAN!$A:$B,2,FALSE),"ID tidak ditemukan"))</x:f>
      </x:c>
      <x:c r="D353" s="250"/>
      <x:c r="E353" s="250"/>
      <x:c r="F353" s="250"/>
      <x:c r="G353" s="252"/>
      <x:c r="H353" s="252"/>
      <x:c r="I353" s="250"/>
      <x:c r="J353" s="250"/>
      <x:c r="K353" s="250"/>
      <x:c r="L353" s="250"/>
      <x:c r="M353" s="252"/>
      <x:c r="N353" s="252"/>
      <x:c r="O353" s="251"/>
      <x:c r="P353" s="250"/>
      <x:c r="Q353" s="250"/>
      <x:c r="R353" s="250"/>
      <x:c r="S353" s="253"/>
      <x:c r="T353" s="250"/>
      <x:c r="U353"/>
      <x:c r="AA353"/>
      <x:c r="AB353"/>
      <x:c r="AC353"/>
      <x:c r="AD353"/>
      <x:c r="AE353"/>
      <x:c r="AF353"/>
      <x:c r="AG353"/>
      <x:c r="AH353"/>
      <x:c r="AI353"/>
      <x:c r="AJ353"/>
      <x:c r="AK353"/>
      <x:c r="AL353"/>
      <x:c r="AM353"/>
      <x:c r="AN353"/>
      <x:c r="AO353"/>
      <x:c r="AP353"/>
      <x:c r="AQ353"/>
      <x:c r="AR353"/>
    </x:row>
    <x:row r="354" s="248" customFormat="1">
      <x:c r="A354" s="250"/>
      <x:c r="B354" s="250"/>
      <x:c r="C354" s="566" t="str">
        <x:f>IF(B354="","",IFERROR(VLOOKUP(B354,PERUMAHAN!$A:$B,2,FALSE),"ID tidak ditemukan"))</x:f>
      </x:c>
      <x:c r="D354" s="250"/>
      <x:c r="E354" s="250"/>
      <x:c r="F354" s="250"/>
      <x:c r="G354" s="252"/>
      <x:c r="H354" s="252"/>
      <x:c r="I354" s="250"/>
      <x:c r="J354" s="250"/>
      <x:c r="K354" s="250"/>
      <x:c r="L354" s="250"/>
      <x:c r="M354" s="252"/>
      <x:c r="N354" s="252"/>
      <x:c r="O354" s="251"/>
      <x:c r="P354" s="250"/>
      <x:c r="Q354" s="250"/>
      <x:c r="R354" s="250"/>
      <x:c r="S354" s="253"/>
      <x:c r="T354" s="250"/>
      <x:c r="U354"/>
      <x:c r="AA354"/>
      <x:c r="AB354"/>
      <x:c r="AC354"/>
      <x:c r="AD354"/>
      <x:c r="AE354"/>
      <x:c r="AF354"/>
      <x:c r="AG354"/>
      <x:c r="AH354"/>
      <x:c r="AI354"/>
      <x:c r="AJ354"/>
      <x:c r="AK354"/>
      <x:c r="AL354"/>
      <x:c r="AM354"/>
      <x:c r="AN354"/>
      <x:c r="AO354"/>
      <x:c r="AP354"/>
      <x:c r="AQ354"/>
      <x:c r="AR354"/>
    </x:row>
    <x:row r="355" s="248" customFormat="1">
      <x:c r="A355" s="250"/>
      <x:c r="B355" s="250"/>
      <x:c r="C355" s="566" t="str">
        <x:f>IF(B355="","",IFERROR(VLOOKUP(B355,PERUMAHAN!$A:$B,2,FALSE),"ID tidak ditemukan"))</x:f>
      </x:c>
      <x:c r="D355" s="250"/>
      <x:c r="E355" s="250"/>
      <x:c r="F355" s="250"/>
      <x:c r="G355" s="252"/>
      <x:c r="H355" s="252"/>
      <x:c r="I355" s="250"/>
      <x:c r="J355" s="250"/>
      <x:c r="K355" s="250"/>
      <x:c r="L355" s="250"/>
      <x:c r="M355" s="252"/>
      <x:c r="N355" s="252"/>
      <x:c r="O355" s="251"/>
      <x:c r="P355" s="250"/>
      <x:c r="Q355" s="250"/>
      <x:c r="R355" s="250"/>
      <x:c r="S355" s="253"/>
      <x:c r="T355" s="250"/>
      <x:c r="U355"/>
      <x:c r="AA355"/>
      <x:c r="AB355"/>
      <x:c r="AC355"/>
      <x:c r="AD355"/>
      <x:c r="AE355"/>
      <x:c r="AF355"/>
      <x:c r="AG355"/>
      <x:c r="AH355"/>
      <x:c r="AI355"/>
      <x:c r="AJ355"/>
      <x:c r="AK355"/>
      <x:c r="AL355"/>
      <x:c r="AM355"/>
      <x:c r="AN355"/>
      <x:c r="AO355"/>
      <x:c r="AP355"/>
      <x:c r="AQ355"/>
      <x:c r="AR355"/>
    </x:row>
    <x:row r="356" s="248" customFormat="1">
      <x:c r="A356" s="250"/>
      <x:c r="B356" s="250"/>
      <x:c r="C356" s="566" t="str">
        <x:f>IF(B356="","",IFERROR(VLOOKUP(B356,PERUMAHAN!$A:$B,2,FALSE),"ID tidak ditemukan"))</x:f>
      </x:c>
      <x:c r="D356" s="250"/>
      <x:c r="E356" s="250"/>
      <x:c r="F356" s="250"/>
      <x:c r="G356" s="252"/>
      <x:c r="H356" s="252"/>
      <x:c r="I356" s="250"/>
      <x:c r="J356" s="250"/>
      <x:c r="K356" s="250"/>
      <x:c r="L356" s="250"/>
      <x:c r="M356" s="252"/>
      <x:c r="N356" s="252"/>
      <x:c r="O356" s="251"/>
      <x:c r="P356" s="250"/>
      <x:c r="Q356" s="250"/>
      <x:c r="R356" s="250"/>
      <x:c r="S356" s="253"/>
      <x:c r="T356" s="250"/>
      <x:c r="U356"/>
      <x:c r="AA356"/>
      <x:c r="AB356"/>
      <x:c r="AC356"/>
      <x:c r="AD356"/>
      <x:c r="AE356"/>
      <x:c r="AF356"/>
      <x:c r="AG356"/>
      <x:c r="AH356"/>
      <x:c r="AI356"/>
      <x:c r="AJ356"/>
      <x:c r="AK356"/>
      <x:c r="AL356"/>
      <x:c r="AM356"/>
      <x:c r="AN356"/>
      <x:c r="AO356"/>
      <x:c r="AP356"/>
      <x:c r="AQ356"/>
      <x:c r="AR356"/>
    </x:row>
    <x:row r="357" s="248" customFormat="1">
      <x:c r="A357" s="250"/>
      <x:c r="B357" s="250"/>
      <x:c r="C357" s="566" t="str">
        <x:f>IF(B357="","",IFERROR(VLOOKUP(B357,PERUMAHAN!$A:$B,2,FALSE),"ID tidak ditemukan"))</x:f>
      </x:c>
      <x:c r="D357" s="250"/>
      <x:c r="E357" s="250"/>
      <x:c r="F357" s="250"/>
      <x:c r="G357" s="252"/>
      <x:c r="H357" s="252"/>
      <x:c r="I357" s="250"/>
      <x:c r="J357" s="250"/>
      <x:c r="K357" s="250"/>
      <x:c r="L357" s="250"/>
      <x:c r="M357" s="252"/>
      <x:c r="N357" s="252"/>
      <x:c r="O357" s="251"/>
      <x:c r="P357" s="250"/>
      <x:c r="Q357" s="250"/>
      <x:c r="R357" s="250"/>
      <x:c r="S357" s="253"/>
      <x:c r="T357" s="250"/>
      <x:c r="U357"/>
      <x:c r="AA357"/>
      <x:c r="AB357"/>
      <x:c r="AC357"/>
      <x:c r="AD357"/>
      <x:c r="AE357"/>
      <x:c r="AF357"/>
      <x:c r="AG357"/>
      <x:c r="AH357"/>
      <x:c r="AI357"/>
      <x:c r="AJ357"/>
      <x:c r="AK357"/>
      <x:c r="AL357"/>
      <x:c r="AM357"/>
      <x:c r="AN357"/>
      <x:c r="AO357"/>
      <x:c r="AP357"/>
      <x:c r="AQ357"/>
      <x:c r="AR357"/>
    </x:row>
    <x:row r="358" s="248" customFormat="1">
      <x:c r="A358" s="250"/>
      <x:c r="B358" s="250"/>
      <x:c r="C358" s="566" t="str">
        <x:f>IF(B358="","",IFERROR(VLOOKUP(B358,PERUMAHAN!$A:$B,2,FALSE),"ID tidak ditemukan"))</x:f>
      </x:c>
      <x:c r="D358" s="250"/>
      <x:c r="E358" s="250"/>
      <x:c r="F358" s="250"/>
      <x:c r="G358" s="252"/>
      <x:c r="H358" s="252"/>
      <x:c r="I358" s="250"/>
      <x:c r="J358" s="250"/>
      <x:c r="K358" s="250"/>
      <x:c r="L358" s="250"/>
      <x:c r="M358" s="252"/>
      <x:c r="N358" s="252"/>
      <x:c r="O358" s="251"/>
      <x:c r="P358" s="250"/>
      <x:c r="Q358" s="250"/>
      <x:c r="R358" s="250"/>
      <x:c r="S358" s="253"/>
      <x:c r="T358" s="250"/>
      <x:c r="U358"/>
      <x:c r="AA358"/>
      <x:c r="AB358"/>
      <x:c r="AC358"/>
      <x:c r="AD358"/>
      <x:c r="AE358"/>
      <x:c r="AF358"/>
      <x:c r="AG358"/>
      <x:c r="AH358"/>
      <x:c r="AI358"/>
      <x:c r="AJ358"/>
      <x:c r="AK358"/>
      <x:c r="AL358"/>
      <x:c r="AM358"/>
      <x:c r="AN358"/>
      <x:c r="AO358"/>
      <x:c r="AP358"/>
      <x:c r="AQ358"/>
      <x:c r="AR358"/>
    </x:row>
    <x:row r="359" s="248" customFormat="1">
      <x:c r="A359" s="250"/>
      <x:c r="B359" s="250"/>
      <x:c r="C359" s="566" t="str">
        <x:f>IF(B359="","",IFERROR(VLOOKUP(B359,PERUMAHAN!$A:$B,2,FALSE),"ID tidak ditemukan"))</x:f>
      </x:c>
      <x:c r="D359" s="250"/>
      <x:c r="E359" s="250"/>
      <x:c r="F359" s="250"/>
      <x:c r="G359" s="252"/>
      <x:c r="H359" s="252"/>
      <x:c r="I359" s="250"/>
      <x:c r="J359" s="250"/>
      <x:c r="K359" s="250"/>
      <x:c r="L359" s="250"/>
      <x:c r="M359" s="252"/>
      <x:c r="N359" s="252"/>
      <x:c r="O359" s="251"/>
      <x:c r="P359" s="250"/>
      <x:c r="Q359" s="250"/>
      <x:c r="R359" s="250"/>
      <x:c r="S359" s="253"/>
      <x:c r="T359" s="250"/>
      <x:c r="U359"/>
      <x:c r="AA359"/>
      <x:c r="AB359"/>
      <x:c r="AC359"/>
      <x:c r="AD359"/>
      <x:c r="AE359"/>
      <x:c r="AF359"/>
      <x:c r="AG359"/>
      <x:c r="AH359"/>
      <x:c r="AI359"/>
      <x:c r="AJ359"/>
      <x:c r="AK359"/>
      <x:c r="AL359"/>
      <x:c r="AM359"/>
      <x:c r="AN359"/>
      <x:c r="AO359"/>
      <x:c r="AP359"/>
      <x:c r="AQ359"/>
      <x:c r="AR359"/>
    </x:row>
    <x:row r="360" s="248" customFormat="1">
      <x:c r="A360" s="250"/>
      <x:c r="B360" s="250"/>
      <x:c r="C360" s="566" t="str">
        <x:f>IF(B360="","",IFERROR(VLOOKUP(B360,PERUMAHAN!$A:$B,2,FALSE),"ID tidak ditemukan"))</x:f>
      </x:c>
      <x:c r="D360" s="250"/>
      <x:c r="E360" s="250"/>
      <x:c r="F360" s="250"/>
      <x:c r="G360" s="252"/>
      <x:c r="H360" s="252"/>
      <x:c r="I360" s="250"/>
      <x:c r="J360" s="250"/>
      <x:c r="K360" s="250"/>
      <x:c r="L360" s="250"/>
      <x:c r="M360" s="252"/>
      <x:c r="N360" s="252"/>
      <x:c r="O360" s="251"/>
      <x:c r="P360" s="250"/>
      <x:c r="Q360" s="250"/>
      <x:c r="R360" s="250"/>
      <x:c r="S360" s="253"/>
      <x:c r="T360" s="250"/>
      <x:c r="U360"/>
      <x:c r="AA360"/>
      <x:c r="AB360"/>
      <x:c r="AC360"/>
      <x:c r="AD360"/>
      <x:c r="AE360"/>
      <x:c r="AF360"/>
      <x:c r="AG360"/>
      <x:c r="AH360"/>
      <x:c r="AI360"/>
      <x:c r="AJ360"/>
      <x:c r="AK360"/>
      <x:c r="AL360"/>
      <x:c r="AM360"/>
      <x:c r="AN360"/>
      <x:c r="AO360"/>
      <x:c r="AP360"/>
      <x:c r="AQ360"/>
      <x:c r="AR360"/>
    </x:row>
    <x:row r="361" s="248" customFormat="1">
      <x:c r="A361" s="250"/>
      <x:c r="B361" s="250"/>
      <x:c r="C361" s="566" t="str">
        <x:f>IF(B361="","",IFERROR(VLOOKUP(B361,PERUMAHAN!$A:$B,2,FALSE),"ID tidak ditemukan"))</x:f>
      </x:c>
      <x:c r="D361" s="250"/>
      <x:c r="E361" s="250"/>
      <x:c r="F361" s="250"/>
      <x:c r="G361" s="252"/>
      <x:c r="H361" s="252"/>
      <x:c r="I361" s="250"/>
      <x:c r="J361" s="250"/>
      <x:c r="K361" s="250"/>
      <x:c r="L361" s="250"/>
      <x:c r="M361" s="252"/>
      <x:c r="N361" s="252"/>
      <x:c r="O361" s="251"/>
      <x:c r="P361" s="250"/>
      <x:c r="Q361" s="250"/>
      <x:c r="R361" s="250"/>
      <x:c r="S361" s="253"/>
      <x:c r="T361" s="250"/>
      <x:c r="U361"/>
      <x:c r="AA361"/>
      <x:c r="AB361"/>
      <x:c r="AC361"/>
      <x:c r="AD361"/>
      <x:c r="AE361"/>
      <x:c r="AF361"/>
      <x:c r="AG361"/>
      <x:c r="AH361"/>
      <x:c r="AI361"/>
      <x:c r="AJ361"/>
      <x:c r="AK361"/>
      <x:c r="AL361"/>
      <x:c r="AM361"/>
      <x:c r="AN361"/>
      <x:c r="AO361"/>
      <x:c r="AP361"/>
      <x:c r="AQ361"/>
      <x:c r="AR361"/>
    </x:row>
    <x:row r="362" s="248" customFormat="1">
      <x:c r="A362" s="250"/>
      <x:c r="B362" s="250"/>
      <x:c r="C362" s="566" t="str">
        <x:f>IF(B362="","",IFERROR(VLOOKUP(B362,PERUMAHAN!$A:$B,2,FALSE),"ID tidak ditemukan"))</x:f>
      </x:c>
      <x:c r="D362" s="250"/>
      <x:c r="E362" s="250"/>
      <x:c r="F362" s="250"/>
      <x:c r="G362" s="252"/>
      <x:c r="H362" s="252"/>
      <x:c r="I362" s="250"/>
      <x:c r="J362" s="250"/>
      <x:c r="K362" s="250"/>
      <x:c r="L362" s="250"/>
      <x:c r="M362" s="252"/>
      <x:c r="N362" s="252"/>
      <x:c r="O362" s="251"/>
      <x:c r="P362" s="250"/>
      <x:c r="Q362" s="250"/>
      <x:c r="R362" s="250"/>
      <x:c r="S362" s="253"/>
      <x:c r="T362" s="250"/>
      <x:c r="U362"/>
      <x:c r="AA362"/>
      <x:c r="AB362"/>
      <x:c r="AC362"/>
      <x:c r="AD362"/>
      <x:c r="AE362"/>
      <x:c r="AF362"/>
      <x:c r="AG362"/>
      <x:c r="AH362"/>
      <x:c r="AI362"/>
      <x:c r="AJ362"/>
      <x:c r="AK362"/>
      <x:c r="AL362"/>
      <x:c r="AM362"/>
      <x:c r="AN362"/>
      <x:c r="AO362"/>
      <x:c r="AP362"/>
      <x:c r="AQ362"/>
      <x:c r="AR362"/>
    </x:row>
    <x:row r="363" s="248" customFormat="1">
      <x:c r="A363" s="250"/>
      <x:c r="B363" s="250"/>
      <x:c r="C363" s="566" t="str">
        <x:f>IF(B363="","",IFERROR(VLOOKUP(B363,PERUMAHAN!$A:$B,2,FALSE),"ID tidak ditemukan"))</x:f>
      </x:c>
      <x:c r="D363" s="250"/>
      <x:c r="E363" s="250"/>
      <x:c r="F363" s="250"/>
      <x:c r="G363" s="252"/>
      <x:c r="H363" s="252"/>
      <x:c r="I363" s="250"/>
      <x:c r="J363" s="250"/>
      <x:c r="K363" s="250"/>
      <x:c r="L363" s="250"/>
      <x:c r="M363" s="252"/>
      <x:c r="N363" s="252"/>
      <x:c r="O363" s="251"/>
      <x:c r="P363" s="250"/>
      <x:c r="Q363" s="250"/>
      <x:c r="R363" s="250"/>
      <x:c r="S363" s="253"/>
      <x:c r="T363" s="250"/>
      <x:c r="U363"/>
      <x:c r="AA363"/>
      <x:c r="AB363"/>
      <x:c r="AC363"/>
      <x:c r="AD363"/>
      <x:c r="AE363"/>
      <x:c r="AF363"/>
      <x:c r="AG363"/>
      <x:c r="AH363"/>
      <x:c r="AI363"/>
      <x:c r="AJ363"/>
      <x:c r="AK363"/>
      <x:c r="AL363"/>
      <x:c r="AM363"/>
      <x:c r="AN363"/>
      <x:c r="AO363"/>
      <x:c r="AP363"/>
      <x:c r="AQ363"/>
      <x:c r="AR363"/>
    </x:row>
    <x:row r="364" s="248" customFormat="1">
      <x:c r="A364" s="250"/>
      <x:c r="B364" s="250"/>
      <x:c r="C364" s="566" t="str">
        <x:f>IF(B364="","",IFERROR(VLOOKUP(B364,PERUMAHAN!$A:$B,2,FALSE),"ID tidak ditemukan"))</x:f>
      </x:c>
      <x:c r="D364" s="250"/>
      <x:c r="E364" s="250"/>
      <x:c r="F364" s="250"/>
      <x:c r="G364" s="252"/>
      <x:c r="H364" s="252"/>
      <x:c r="I364" s="250"/>
      <x:c r="J364" s="250"/>
      <x:c r="K364" s="250"/>
      <x:c r="L364" s="250"/>
      <x:c r="M364" s="252"/>
      <x:c r="N364" s="252"/>
      <x:c r="O364" s="251"/>
      <x:c r="P364" s="250"/>
      <x:c r="Q364" s="250"/>
      <x:c r="R364" s="250"/>
      <x:c r="S364" s="253"/>
      <x:c r="T364" s="250"/>
      <x:c r="U364"/>
      <x:c r="AA364"/>
      <x:c r="AB364"/>
      <x:c r="AC364"/>
      <x:c r="AD364"/>
      <x:c r="AE364"/>
      <x:c r="AF364"/>
      <x:c r="AG364"/>
      <x:c r="AH364"/>
      <x:c r="AI364"/>
      <x:c r="AJ364"/>
      <x:c r="AK364"/>
      <x:c r="AL364"/>
      <x:c r="AM364"/>
      <x:c r="AN364"/>
      <x:c r="AO364"/>
      <x:c r="AP364"/>
      <x:c r="AQ364"/>
      <x:c r="AR364"/>
    </x:row>
    <x:row r="365" s="248" customFormat="1">
      <x:c r="A365" s="250"/>
      <x:c r="B365" s="250"/>
      <x:c r="C365" s="566" t="str">
        <x:f>IF(B365="","",IFERROR(VLOOKUP(B365,PERUMAHAN!$A:$B,2,FALSE),"ID tidak ditemukan"))</x:f>
      </x:c>
      <x:c r="D365" s="250"/>
      <x:c r="E365" s="250"/>
      <x:c r="F365" s="250"/>
      <x:c r="G365" s="252"/>
      <x:c r="H365" s="252"/>
      <x:c r="I365" s="250"/>
      <x:c r="J365" s="250"/>
      <x:c r="K365" s="250"/>
      <x:c r="L365" s="250"/>
      <x:c r="M365" s="252"/>
      <x:c r="N365" s="252"/>
      <x:c r="O365" s="251"/>
      <x:c r="P365" s="250"/>
      <x:c r="Q365" s="250"/>
      <x:c r="R365" s="250"/>
      <x:c r="S365" s="253"/>
      <x:c r="T365" s="250"/>
      <x:c r="U365"/>
      <x:c r="AA365"/>
      <x:c r="AB365"/>
      <x:c r="AC365"/>
      <x:c r="AD365"/>
      <x:c r="AE365"/>
      <x:c r="AF365"/>
      <x:c r="AG365"/>
      <x:c r="AH365"/>
      <x:c r="AI365"/>
      <x:c r="AJ365"/>
      <x:c r="AK365"/>
      <x:c r="AL365"/>
      <x:c r="AM365"/>
      <x:c r="AN365"/>
      <x:c r="AO365"/>
      <x:c r="AP365"/>
      <x:c r="AQ365"/>
      <x:c r="AR365"/>
    </x:row>
    <x:row r="366" s="248" customFormat="1">
      <x:c r="A366" s="250"/>
      <x:c r="B366" s="250"/>
      <x:c r="C366" s="566" t="str">
        <x:f>IF(B366="","",IFERROR(VLOOKUP(B366,PERUMAHAN!$A:$B,2,FALSE),"ID tidak ditemukan"))</x:f>
      </x:c>
      <x:c r="D366" s="250"/>
      <x:c r="E366" s="250"/>
      <x:c r="F366" s="250"/>
      <x:c r="G366" s="252"/>
      <x:c r="H366" s="252"/>
      <x:c r="I366" s="250"/>
      <x:c r="J366" s="250"/>
      <x:c r="K366" s="250"/>
      <x:c r="L366" s="250"/>
      <x:c r="M366" s="252"/>
      <x:c r="N366" s="252"/>
      <x:c r="O366" s="251"/>
      <x:c r="P366" s="250"/>
      <x:c r="Q366" s="250"/>
      <x:c r="R366" s="250"/>
      <x:c r="S366" s="253"/>
      <x:c r="T366" s="250"/>
      <x:c r="U366"/>
      <x:c r="AA366"/>
      <x:c r="AB366"/>
      <x:c r="AC366"/>
      <x:c r="AD366"/>
      <x:c r="AE366"/>
      <x:c r="AF366"/>
      <x:c r="AG366"/>
      <x:c r="AH366"/>
      <x:c r="AI366"/>
      <x:c r="AJ366"/>
      <x:c r="AK366"/>
      <x:c r="AL366"/>
      <x:c r="AM366"/>
      <x:c r="AN366"/>
      <x:c r="AO366"/>
      <x:c r="AP366"/>
      <x:c r="AQ366"/>
      <x:c r="AR366"/>
    </x:row>
    <x:row r="367" s="248" customFormat="1">
      <x:c r="A367" s="250"/>
      <x:c r="B367" s="250"/>
      <x:c r="C367" s="566" t="str">
        <x:f>IF(B367="","",IFERROR(VLOOKUP(B367,PERUMAHAN!$A:$B,2,FALSE),"ID tidak ditemukan"))</x:f>
      </x:c>
      <x:c r="D367" s="250"/>
      <x:c r="E367" s="250"/>
      <x:c r="F367" s="250"/>
      <x:c r="G367" s="252"/>
      <x:c r="H367" s="252"/>
      <x:c r="I367" s="250"/>
      <x:c r="J367" s="250"/>
      <x:c r="K367" s="250"/>
      <x:c r="L367" s="250"/>
      <x:c r="M367" s="252"/>
      <x:c r="N367" s="252"/>
      <x:c r="O367" s="251"/>
      <x:c r="P367" s="250"/>
      <x:c r="Q367" s="250"/>
      <x:c r="R367" s="250"/>
      <x:c r="S367" s="253"/>
      <x:c r="T367" s="250"/>
      <x:c r="U367"/>
      <x:c r="AA367"/>
      <x:c r="AB367"/>
      <x:c r="AC367"/>
      <x:c r="AD367"/>
      <x:c r="AE367"/>
      <x:c r="AF367"/>
      <x:c r="AG367"/>
      <x:c r="AH367"/>
      <x:c r="AI367"/>
      <x:c r="AJ367"/>
      <x:c r="AK367"/>
      <x:c r="AL367"/>
      <x:c r="AM367"/>
      <x:c r="AN367"/>
      <x:c r="AO367"/>
      <x:c r="AP367"/>
      <x:c r="AQ367"/>
      <x:c r="AR367"/>
    </x:row>
    <x:row r="368" s="248" customFormat="1">
      <x:c r="A368" s="250"/>
      <x:c r="B368" s="250"/>
      <x:c r="C368" s="566" t="str">
        <x:f>IF(B368="","",IFERROR(VLOOKUP(B368,PERUMAHAN!$A:$B,2,FALSE),"ID tidak ditemukan"))</x:f>
      </x:c>
      <x:c r="D368" s="250"/>
      <x:c r="E368" s="250"/>
      <x:c r="F368" s="250"/>
      <x:c r="G368" s="252"/>
      <x:c r="H368" s="252"/>
      <x:c r="I368" s="250"/>
      <x:c r="J368" s="250"/>
      <x:c r="K368" s="250"/>
      <x:c r="L368" s="250"/>
      <x:c r="M368" s="252"/>
      <x:c r="N368" s="252"/>
      <x:c r="O368" s="251"/>
      <x:c r="P368" s="250"/>
      <x:c r="Q368" s="250"/>
      <x:c r="R368" s="250"/>
      <x:c r="S368" s="253"/>
      <x:c r="T368" s="250"/>
      <x:c r="U368"/>
      <x:c r="AA368"/>
      <x:c r="AB368"/>
      <x:c r="AC368"/>
      <x:c r="AD368"/>
      <x:c r="AE368"/>
      <x:c r="AF368"/>
      <x:c r="AG368"/>
      <x:c r="AH368"/>
      <x:c r="AI368"/>
      <x:c r="AJ368"/>
      <x:c r="AK368"/>
      <x:c r="AL368"/>
      <x:c r="AM368"/>
      <x:c r="AN368"/>
      <x:c r="AO368"/>
      <x:c r="AP368"/>
      <x:c r="AQ368"/>
      <x:c r="AR368"/>
    </x:row>
    <x:row r="369" s="248" customFormat="1">
      <x:c r="A369" s="250"/>
      <x:c r="B369" s="250"/>
      <x:c r="C369" s="566" t="str">
        <x:f>IF(B369="","",IFERROR(VLOOKUP(B369,PERUMAHAN!$A:$B,2,FALSE),"ID tidak ditemukan"))</x:f>
      </x:c>
      <x:c r="D369" s="250"/>
      <x:c r="E369" s="250"/>
      <x:c r="F369" s="250"/>
      <x:c r="G369" s="252"/>
      <x:c r="H369" s="252"/>
      <x:c r="I369" s="250"/>
      <x:c r="J369" s="250"/>
      <x:c r="K369" s="250"/>
      <x:c r="L369" s="250"/>
      <x:c r="M369" s="252"/>
      <x:c r="N369" s="252"/>
      <x:c r="O369" s="251"/>
      <x:c r="P369" s="250"/>
      <x:c r="Q369" s="250"/>
      <x:c r="R369" s="250"/>
      <x:c r="S369" s="253"/>
      <x:c r="T369" s="250"/>
      <x:c r="U369"/>
      <x:c r="AA369"/>
      <x:c r="AB369"/>
      <x:c r="AC369"/>
      <x:c r="AD369"/>
      <x:c r="AE369"/>
      <x:c r="AF369"/>
      <x:c r="AG369"/>
      <x:c r="AH369"/>
      <x:c r="AI369"/>
      <x:c r="AJ369"/>
      <x:c r="AK369"/>
      <x:c r="AL369"/>
      <x:c r="AM369"/>
      <x:c r="AN369"/>
      <x:c r="AO369"/>
      <x:c r="AP369"/>
      <x:c r="AQ369"/>
      <x:c r="AR369"/>
    </x:row>
    <x:row r="370" s="248" customFormat="1">
      <x:c r="A370" s="250"/>
      <x:c r="B370" s="250"/>
      <x:c r="C370" s="566" t="str">
        <x:f>IF(B370="","",IFERROR(VLOOKUP(B370,PERUMAHAN!$A:$B,2,FALSE),"ID tidak ditemukan"))</x:f>
      </x:c>
      <x:c r="D370" s="250"/>
      <x:c r="E370" s="250"/>
      <x:c r="F370" s="250"/>
      <x:c r="G370" s="252"/>
      <x:c r="H370" s="252"/>
      <x:c r="I370" s="250"/>
      <x:c r="J370" s="250"/>
      <x:c r="K370" s="250"/>
      <x:c r="L370" s="250"/>
      <x:c r="M370" s="252"/>
      <x:c r="N370" s="252"/>
      <x:c r="O370" s="251"/>
      <x:c r="P370" s="250"/>
      <x:c r="Q370" s="250"/>
      <x:c r="R370" s="250"/>
      <x:c r="S370" s="253"/>
      <x:c r="T370" s="250"/>
      <x:c r="U370"/>
      <x:c r="AA370"/>
      <x:c r="AB370"/>
      <x:c r="AC370"/>
      <x:c r="AD370"/>
      <x:c r="AE370"/>
      <x:c r="AF370"/>
      <x:c r="AG370"/>
      <x:c r="AH370"/>
      <x:c r="AI370"/>
      <x:c r="AJ370"/>
      <x:c r="AK370"/>
      <x:c r="AL370"/>
      <x:c r="AM370"/>
      <x:c r="AN370"/>
      <x:c r="AO370"/>
      <x:c r="AP370"/>
      <x:c r="AQ370"/>
      <x:c r="AR370"/>
    </x:row>
    <x:row r="371" s="248" customFormat="1">
      <x:c r="A371" s="250"/>
      <x:c r="B371" s="250"/>
      <x:c r="C371" s="566" t="str">
        <x:f>IF(B371="","",IFERROR(VLOOKUP(B371,PERUMAHAN!$A:$B,2,FALSE),"ID tidak ditemukan"))</x:f>
      </x:c>
      <x:c r="D371" s="250"/>
      <x:c r="E371" s="250"/>
      <x:c r="F371" s="250"/>
      <x:c r="G371" s="252"/>
      <x:c r="H371" s="252"/>
      <x:c r="I371" s="250"/>
      <x:c r="J371" s="250"/>
      <x:c r="K371" s="250"/>
      <x:c r="L371" s="250"/>
      <x:c r="M371" s="252"/>
      <x:c r="N371" s="252"/>
      <x:c r="O371" s="251"/>
      <x:c r="P371" s="250"/>
      <x:c r="Q371" s="250"/>
      <x:c r="R371" s="250"/>
      <x:c r="S371" s="253"/>
      <x:c r="T371" s="250"/>
      <x:c r="U371"/>
      <x:c r="AA371"/>
      <x:c r="AB371"/>
      <x:c r="AC371"/>
      <x:c r="AD371"/>
      <x:c r="AE371"/>
      <x:c r="AF371"/>
      <x:c r="AG371"/>
      <x:c r="AH371"/>
      <x:c r="AI371"/>
      <x:c r="AJ371"/>
      <x:c r="AK371"/>
      <x:c r="AL371"/>
      <x:c r="AM371"/>
      <x:c r="AN371"/>
      <x:c r="AO371"/>
      <x:c r="AP371"/>
      <x:c r="AQ371"/>
      <x:c r="AR371"/>
    </x:row>
    <x:row r="372" s="248" customFormat="1">
      <x:c r="A372" s="250"/>
      <x:c r="B372" s="250"/>
      <x:c r="C372" s="566" t="str">
        <x:f>IF(B372="","",IFERROR(VLOOKUP(B372,PERUMAHAN!$A:$B,2,FALSE),"ID tidak ditemukan"))</x:f>
      </x:c>
      <x:c r="D372" s="250"/>
      <x:c r="E372" s="250"/>
      <x:c r="F372" s="250"/>
      <x:c r="G372" s="252"/>
      <x:c r="H372" s="252"/>
      <x:c r="I372" s="250"/>
      <x:c r="J372" s="250"/>
      <x:c r="K372" s="250"/>
      <x:c r="L372" s="250"/>
      <x:c r="M372" s="252"/>
      <x:c r="N372" s="252"/>
      <x:c r="O372" s="251"/>
      <x:c r="P372" s="250"/>
      <x:c r="Q372" s="250"/>
      <x:c r="R372" s="250"/>
      <x:c r="S372" s="253"/>
      <x:c r="T372" s="250"/>
      <x:c r="U372"/>
      <x:c r="AA372"/>
      <x:c r="AB372"/>
      <x:c r="AC372"/>
      <x:c r="AD372"/>
      <x:c r="AE372"/>
      <x:c r="AF372"/>
      <x:c r="AG372"/>
      <x:c r="AH372"/>
      <x:c r="AI372"/>
      <x:c r="AJ372"/>
      <x:c r="AK372"/>
      <x:c r="AL372"/>
      <x:c r="AM372"/>
      <x:c r="AN372"/>
      <x:c r="AO372"/>
      <x:c r="AP372"/>
      <x:c r="AQ372"/>
      <x:c r="AR372"/>
    </x:row>
    <x:row r="373" s="248" customFormat="1">
      <x:c r="A373" s="250"/>
      <x:c r="B373" s="250"/>
      <x:c r="C373" s="566" t="str">
        <x:f>IF(B373="","",IFERROR(VLOOKUP(B373,PERUMAHAN!$A:$B,2,FALSE),"ID tidak ditemukan"))</x:f>
      </x:c>
      <x:c r="D373" s="250"/>
      <x:c r="E373" s="250"/>
      <x:c r="F373" s="250"/>
      <x:c r="G373" s="252"/>
      <x:c r="H373" s="252"/>
      <x:c r="I373" s="250"/>
      <x:c r="J373" s="250"/>
      <x:c r="K373" s="250"/>
      <x:c r="L373" s="250"/>
      <x:c r="M373" s="252"/>
      <x:c r="N373" s="252"/>
      <x:c r="O373" s="251"/>
      <x:c r="P373" s="250"/>
      <x:c r="Q373" s="250"/>
      <x:c r="R373" s="250"/>
      <x:c r="S373" s="253"/>
      <x:c r="T373" s="250"/>
      <x:c r="U373"/>
      <x:c r="AA373"/>
      <x:c r="AB373"/>
      <x:c r="AC373"/>
      <x:c r="AD373"/>
      <x:c r="AE373"/>
      <x:c r="AF373"/>
      <x:c r="AG373"/>
      <x:c r="AH373"/>
      <x:c r="AI373"/>
      <x:c r="AJ373"/>
      <x:c r="AK373"/>
      <x:c r="AL373"/>
      <x:c r="AM373"/>
      <x:c r="AN373"/>
      <x:c r="AO373"/>
      <x:c r="AP373"/>
      <x:c r="AQ373"/>
      <x:c r="AR373"/>
    </x:row>
    <x:row r="374" s="248" customFormat="1">
      <x:c r="A374" s="250"/>
      <x:c r="B374" s="250"/>
      <x:c r="C374" s="566" t="str">
        <x:f>IF(B374="","",IFERROR(VLOOKUP(B374,PERUMAHAN!$A:$B,2,FALSE),"ID tidak ditemukan"))</x:f>
      </x:c>
      <x:c r="D374" s="250"/>
      <x:c r="E374" s="250"/>
      <x:c r="F374" s="250"/>
      <x:c r="G374" s="252"/>
      <x:c r="H374" s="252"/>
      <x:c r="I374" s="250"/>
      <x:c r="J374" s="250"/>
      <x:c r="K374" s="250"/>
      <x:c r="L374" s="250"/>
      <x:c r="M374" s="252"/>
      <x:c r="N374" s="252"/>
      <x:c r="O374" s="251"/>
      <x:c r="P374" s="250"/>
      <x:c r="Q374" s="250"/>
      <x:c r="R374" s="250"/>
      <x:c r="S374" s="253"/>
      <x:c r="T374" s="250"/>
      <x:c r="U374"/>
      <x:c r="AA374"/>
      <x:c r="AB374"/>
      <x:c r="AC374"/>
      <x:c r="AD374"/>
      <x:c r="AE374"/>
      <x:c r="AF374"/>
      <x:c r="AG374"/>
      <x:c r="AH374"/>
      <x:c r="AI374"/>
      <x:c r="AJ374"/>
      <x:c r="AK374"/>
      <x:c r="AL374"/>
      <x:c r="AM374"/>
      <x:c r="AN374"/>
      <x:c r="AO374"/>
      <x:c r="AP374"/>
      <x:c r="AQ374"/>
      <x:c r="AR374"/>
    </x:row>
    <x:row r="375" s="248" customFormat="1">
      <x:c r="A375" s="250"/>
      <x:c r="B375" s="250"/>
      <x:c r="C375" s="566" t="str">
        <x:f>IF(B375="","",IFERROR(VLOOKUP(B375,PERUMAHAN!$A:$B,2,FALSE),"ID tidak ditemukan"))</x:f>
      </x:c>
      <x:c r="D375" s="250"/>
      <x:c r="E375" s="250"/>
      <x:c r="F375" s="250"/>
      <x:c r="G375" s="252"/>
      <x:c r="H375" s="252"/>
      <x:c r="I375" s="250"/>
      <x:c r="J375" s="250"/>
      <x:c r="K375" s="250"/>
      <x:c r="L375" s="250"/>
      <x:c r="M375" s="252"/>
      <x:c r="N375" s="252"/>
      <x:c r="O375" s="251"/>
      <x:c r="P375" s="250"/>
      <x:c r="Q375" s="250"/>
      <x:c r="R375" s="250"/>
      <x:c r="S375" s="253"/>
      <x:c r="T375" s="250"/>
      <x:c r="U375"/>
      <x:c r="AA375"/>
      <x:c r="AB375"/>
      <x:c r="AC375"/>
      <x:c r="AD375"/>
      <x:c r="AE375"/>
      <x:c r="AF375"/>
      <x:c r="AG375"/>
      <x:c r="AH375"/>
      <x:c r="AI375"/>
      <x:c r="AJ375"/>
      <x:c r="AK375"/>
      <x:c r="AL375"/>
      <x:c r="AM375"/>
      <x:c r="AN375"/>
      <x:c r="AO375"/>
      <x:c r="AP375"/>
      <x:c r="AQ375"/>
      <x:c r="AR375"/>
    </x:row>
    <x:row r="376" s="248" customFormat="1">
      <x:c r="A376" s="250"/>
      <x:c r="B376" s="250"/>
      <x:c r="C376" s="566" t="str">
        <x:f>IF(B376="","",IFERROR(VLOOKUP(B376,PERUMAHAN!$A:$B,2,FALSE),"ID tidak ditemukan"))</x:f>
      </x:c>
      <x:c r="D376" s="250"/>
      <x:c r="E376" s="250"/>
      <x:c r="F376" s="250"/>
      <x:c r="G376" s="252"/>
      <x:c r="H376" s="252"/>
      <x:c r="I376" s="250"/>
      <x:c r="J376" s="250"/>
      <x:c r="K376" s="250"/>
      <x:c r="L376" s="250"/>
      <x:c r="M376" s="252"/>
      <x:c r="N376" s="252"/>
      <x:c r="O376" s="251"/>
      <x:c r="P376" s="250"/>
      <x:c r="Q376" s="250"/>
      <x:c r="R376" s="250"/>
      <x:c r="S376" s="253"/>
      <x:c r="T376" s="250"/>
      <x:c r="U376"/>
      <x:c r="AA376"/>
      <x:c r="AB376"/>
      <x:c r="AC376"/>
      <x:c r="AD376"/>
      <x:c r="AE376"/>
      <x:c r="AF376"/>
      <x:c r="AG376"/>
      <x:c r="AH376"/>
      <x:c r="AI376"/>
      <x:c r="AJ376"/>
      <x:c r="AK376"/>
      <x:c r="AL376"/>
      <x:c r="AM376"/>
      <x:c r="AN376"/>
      <x:c r="AO376"/>
      <x:c r="AP376"/>
      <x:c r="AQ376"/>
      <x:c r="AR376"/>
    </x:row>
    <x:row r="377" s="248" customFormat="1">
      <x:c r="A377" s="250"/>
      <x:c r="B377" s="250"/>
      <x:c r="C377" s="566" t="str">
        <x:f>IF(B377="","",IFERROR(VLOOKUP(B377,PERUMAHAN!$A:$B,2,FALSE),"ID tidak ditemukan"))</x:f>
      </x:c>
      <x:c r="D377" s="250"/>
      <x:c r="E377" s="250"/>
      <x:c r="F377" s="250"/>
      <x:c r="G377" s="252"/>
      <x:c r="H377" s="252"/>
      <x:c r="I377" s="250"/>
      <x:c r="J377" s="250"/>
      <x:c r="K377" s="250"/>
      <x:c r="L377" s="250"/>
      <x:c r="M377" s="252"/>
      <x:c r="N377" s="252"/>
      <x:c r="O377" s="251"/>
      <x:c r="P377" s="250"/>
      <x:c r="Q377" s="250"/>
      <x:c r="R377" s="250"/>
      <x:c r="S377" s="253"/>
      <x:c r="T377" s="250"/>
      <x:c r="U377"/>
      <x:c r="AA377"/>
      <x:c r="AB377"/>
      <x:c r="AC377"/>
      <x:c r="AD377"/>
      <x:c r="AE377"/>
      <x:c r="AF377"/>
      <x:c r="AG377"/>
      <x:c r="AH377"/>
      <x:c r="AI377"/>
      <x:c r="AJ377"/>
      <x:c r="AK377"/>
      <x:c r="AL377"/>
      <x:c r="AM377"/>
      <x:c r="AN377"/>
      <x:c r="AO377"/>
      <x:c r="AP377"/>
      <x:c r="AQ377"/>
      <x:c r="AR377"/>
    </x:row>
    <x:row r="378" s="248" customFormat="1">
      <x:c r="A378" s="250"/>
      <x:c r="B378" s="250"/>
      <x:c r="C378" s="566" t="str">
        <x:f>IF(B378="","",IFERROR(VLOOKUP(B378,PERUMAHAN!$A:$B,2,FALSE),"ID tidak ditemukan"))</x:f>
      </x:c>
      <x:c r="D378" s="250"/>
      <x:c r="E378" s="250"/>
      <x:c r="F378" s="250"/>
      <x:c r="G378" s="252"/>
      <x:c r="H378" s="252"/>
      <x:c r="I378" s="250"/>
      <x:c r="J378" s="250"/>
      <x:c r="K378" s="250"/>
      <x:c r="L378" s="250"/>
      <x:c r="M378" s="252"/>
      <x:c r="N378" s="252"/>
      <x:c r="O378" s="251"/>
      <x:c r="P378" s="250"/>
      <x:c r="Q378" s="250"/>
      <x:c r="R378" s="250"/>
      <x:c r="S378" s="253"/>
      <x:c r="T378" s="250"/>
      <x:c r="U378"/>
      <x:c r="AA378"/>
      <x:c r="AB378"/>
      <x:c r="AC378"/>
      <x:c r="AD378"/>
      <x:c r="AE378"/>
      <x:c r="AF378"/>
      <x:c r="AG378"/>
      <x:c r="AH378"/>
      <x:c r="AI378"/>
      <x:c r="AJ378"/>
      <x:c r="AK378"/>
      <x:c r="AL378"/>
      <x:c r="AM378"/>
      <x:c r="AN378"/>
      <x:c r="AO378"/>
      <x:c r="AP378"/>
      <x:c r="AQ378"/>
      <x:c r="AR378"/>
    </x:row>
    <x:row r="379" s="248" customFormat="1">
      <x:c r="A379" s="250"/>
      <x:c r="B379" s="250"/>
      <x:c r="C379" s="566" t="str">
        <x:f>IF(B379="","",IFERROR(VLOOKUP(B379,PERUMAHAN!$A:$B,2,FALSE),"ID tidak ditemukan"))</x:f>
      </x:c>
      <x:c r="D379" s="250"/>
      <x:c r="E379" s="250"/>
      <x:c r="F379" s="250"/>
      <x:c r="G379" s="252"/>
      <x:c r="H379" s="252"/>
      <x:c r="I379" s="250"/>
      <x:c r="J379" s="250"/>
      <x:c r="K379" s="250"/>
      <x:c r="L379" s="250"/>
      <x:c r="M379" s="252"/>
      <x:c r="N379" s="252"/>
      <x:c r="O379" s="251"/>
      <x:c r="P379" s="250"/>
      <x:c r="Q379" s="250"/>
      <x:c r="R379" s="250"/>
      <x:c r="S379" s="253"/>
      <x:c r="T379" s="250"/>
      <x:c r="U379"/>
      <x:c r="AA379"/>
      <x:c r="AB379"/>
      <x:c r="AC379"/>
      <x:c r="AD379"/>
      <x:c r="AE379"/>
      <x:c r="AF379"/>
      <x:c r="AG379"/>
      <x:c r="AH379"/>
      <x:c r="AI379"/>
      <x:c r="AJ379"/>
      <x:c r="AK379"/>
      <x:c r="AL379"/>
      <x:c r="AM379"/>
      <x:c r="AN379"/>
      <x:c r="AO379"/>
      <x:c r="AP379"/>
      <x:c r="AQ379"/>
      <x:c r="AR379"/>
    </x:row>
    <x:row r="380" s="248" customFormat="1">
      <x:c r="A380" s="250"/>
      <x:c r="B380" s="250"/>
      <x:c r="C380" s="566" t="str">
        <x:f>IF(B380="","",IFERROR(VLOOKUP(B380,PERUMAHAN!$A:$B,2,FALSE),"ID tidak ditemukan"))</x:f>
      </x:c>
      <x:c r="D380" s="250"/>
      <x:c r="E380" s="250"/>
      <x:c r="F380" s="250"/>
      <x:c r="G380" s="252"/>
      <x:c r="H380" s="252"/>
      <x:c r="I380" s="250"/>
      <x:c r="J380" s="250"/>
      <x:c r="K380" s="250"/>
      <x:c r="L380" s="250"/>
      <x:c r="M380" s="252"/>
      <x:c r="N380" s="252"/>
      <x:c r="O380" s="251"/>
      <x:c r="P380" s="250"/>
      <x:c r="Q380" s="250"/>
      <x:c r="R380" s="250"/>
      <x:c r="S380" s="253"/>
      <x:c r="T380" s="250"/>
      <x:c r="U380"/>
      <x:c r="AA380"/>
      <x:c r="AB380"/>
      <x:c r="AC380"/>
      <x:c r="AD380"/>
      <x:c r="AE380"/>
      <x:c r="AF380"/>
      <x:c r="AG380"/>
      <x:c r="AH380"/>
      <x:c r="AI380"/>
      <x:c r="AJ380"/>
      <x:c r="AK380"/>
      <x:c r="AL380"/>
      <x:c r="AM380"/>
      <x:c r="AN380"/>
      <x:c r="AO380"/>
      <x:c r="AP380"/>
      <x:c r="AQ380"/>
      <x:c r="AR380"/>
    </x:row>
    <x:row r="381" s="248" customFormat="1">
      <x:c r="A381" s="250"/>
      <x:c r="B381" s="250"/>
      <x:c r="C381" s="566" t="str">
        <x:f>IF(B381="","",IFERROR(VLOOKUP(B381,PERUMAHAN!$A:$B,2,FALSE),"ID tidak ditemukan"))</x:f>
      </x:c>
      <x:c r="D381" s="250"/>
      <x:c r="E381" s="250"/>
      <x:c r="F381" s="250"/>
      <x:c r="G381" s="252"/>
      <x:c r="H381" s="252"/>
      <x:c r="I381" s="250"/>
      <x:c r="J381" s="250"/>
      <x:c r="K381" s="250"/>
      <x:c r="L381" s="250"/>
      <x:c r="M381" s="252"/>
      <x:c r="N381" s="252"/>
      <x:c r="O381" s="251"/>
      <x:c r="P381" s="250"/>
      <x:c r="Q381" s="250"/>
      <x:c r="R381" s="250"/>
      <x:c r="S381" s="253"/>
      <x:c r="T381" s="250"/>
      <x:c r="U381"/>
      <x:c r="AA381"/>
      <x:c r="AB381"/>
      <x:c r="AC381"/>
      <x:c r="AD381"/>
      <x:c r="AE381"/>
      <x:c r="AF381"/>
      <x:c r="AG381"/>
      <x:c r="AH381"/>
      <x:c r="AI381"/>
      <x:c r="AJ381"/>
      <x:c r="AK381"/>
      <x:c r="AL381"/>
      <x:c r="AM381"/>
      <x:c r="AN381"/>
      <x:c r="AO381"/>
      <x:c r="AP381"/>
      <x:c r="AQ381"/>
      <x:c r="AR381"/>
    </x:row>
    <x:row r="382" s="248" customFormat="1">
      <x:c r="A382" s="250"/>
      <x:c r="B382" s="250"/>
      <x:c r="C382" s="566" t="str">
        <x:f>IF(B382="","",IFERROR(VLOOKUP(B382,PERUMAHAN!$A:$B,2,FALSE),"ID tidak ditemukan"))</x:f>
      </x:c>
      <x:c r="D382" s="250"/>
      <x:c r="E382" s="250"/>
      <x:c r="F382" s="250"/>
      <x:c r="G382" s="252"/>
      <x:c r="H382" s="252"/>
      <x:c r="I382" s="250"/>
      <x:c r="J382" s="250"/>
      <x:c r="K382" s="250"/>
      <x:c r="L382" s="250"/>
      <x:c r="M382" s="252"/>
      <x:c r="N382" s="252"/>
      <x:c r="O382" s="251"/>
      <x:c r="P382" s="250"/>
      <x:c r="Q382" s="250"/>
      <x:c r="R382" s="250"/>
      <x:c r="S382" s="253"/>
      <x:c r="T382" s="250"/>
      <x:c r="U382"/>
      <x:c r="AA382"/>
      <x:c r="AB382"/>
      <x:c r="AC382"/>
      <x:c r="AD382"/>
      <x:c r="AE382"/>
      <x:c r="AF382"/>
      <x:c r="AG382"/>
      <x:c r="AH382"/>
      <x:c r="AI382"/>
      <x:c r="AJ382"/>
      <x:c r="AK382"/>
      <x:c r="AL382"/>
      <x:c r="AM382"/>
      <x:c r="AN382"/>
      <x:c r="AO382"/>
      <x:c r="AP382"/>
      <x:c r="AQ382"/>
      <x:c r="AR382"/>
    </x:row>
    <x:row r="383" s="248" customFormat="1">
      <x:c r="A383" s="250"/>
      <x:c r="B383" s="250"/>
      <x:c r="C383" s="566" t="str">
        <x:f>IF(B383="","",IFERROR(VLOOKUP(B383,PERUMAHAN!$A:$B,2,FALSE),"ID tidak ditemukan"))</x:f>
      </x:c>
      <x:c r="D383" s="250"/>
      <x:c r="E383" s="250"/>
      <x:c r="F383" s="250"/>
      <x:c r="G383" s="252"/>
      <x:c r="H383" s="252"/>
      <x:c r="I383" s="250"/>
      <x:c r="J383" s="250"/>
      <x:c r="K383" s="250"/>
      <x:c r="L383" s="250"/>
      <x:c r="M383" s="252"/>
      <x:c r="N383" s="252"/>
      <x:c r="O383" s="251"/>
      <x:c r="P383" s="250"/>
      <x:c r="Q383" s="250"/>
      <x:c r="R383" s="250"/>
      <x:c r="S383" s="253"/>
      <x:c r="T383" s="250"/>
      <x:c r="U383"/>
      <x:c r="AA383"/>
      <x:c r="AB383"/>
      <x:c r="AC383"/>
      <x:c r="AD383"/>
      <x:c r="AE383"/>
      <x:c r="AF383"/>
      <x:c r="AG383"/>
      <x:c r="AH383"/>
      <x:c r="AI383"/>
      <x:c r="AJ383"/>
      <x:c r="AK383"/>
      <x:c r="AL383"/>
      <x:c r="AM383"/>
      <x:c r="AN383"/>
      <x:c r="AO383"/>
      <x:c r="AP383"/>
      <x:c r="AQ383"/>
      <x:c r="AR383"/>
    </x:row>
    <x:row r="384" s="248" customFormat="1">
      <x:c r="A384" s="250"/>
      <x:c r="B384" s="250"/>
      <x:c r="C384" s="566" t="str">
        <x:f>IF(B384="","",IFERROR(VLOOKUP(B384,PERUMAHAN!$A:$B,2,FALSE),"ID tidak ditemukan"))</x:f>
      </x:c>
      <x:c r="D384" s="250"/>
      <x:c r="E384" s="250"/>
      <x:c r="F384" s="250"/>
      <x:c r="G384" s="252"/>
      <x:c r="H384" s="252"/>
      <x:c r="I384" s="250"/>
      <x:c r="J384" s="250"/>
      <x:c r="K384" s="250"/>
      <x:c r="L384" s="250"/>
      <x:c r="M384" s="252"/>
      <x:c r="N384" s="252"/>
      <x:c r="O384" s="251"/>
      <x:c r="P384" s="250"/>
      <x:c r="Q384" s="250"/>
      <x:c r="R384" s="250"/>
      <x:c r="S384" s="253"/>
      <x:c r="T384" s="250"/>
      <x:c r="U384"/>
      <x:c r="AA384"/>
      <x:c r="AB384"/>
      <x:c r="AC384"/>
      <x:c r="AD384"/>
      <x:c r="AE384"/>
      <x:c r="AF384"/>
      <x:c r="AG384"/>
      <x:c r="AH384"/>
      <x:c r="AI384"/>
      <x:c r="AJ384"/>
      <x:c r="AK384"/>
      <x:c r="AL384"/>
      <x:c r="AM384"/>
      <x:c r="AN384"/>
      <x:c r="AO384"/>
      <x:c r="AP384"/>
      <x:c r="AQ384"/>
      <x:c r="AR384"/>
    </x:row>
    <x:row r="385" s="248" customFormat="1">
      <x:c r="A385" s="250"/>
      <x:c r="B385" s="250"/>
      <x:c r="C385" s="566" t="str">
        <x:f>IF(B385="","",IFERROR(VLOOKUP(B385,PERUMAHAN!$A:$B,2,FALSE),"ID tidak ditemukan"))</x:f>
      </x:c>
      <x:c r="D385" s="250"/>
      <x:c r="E385" s="250"/>
      <x:c r="F385" s="250"/>
      <x:c r="G385" s="252"/>
      <x:c r="H385" s="252"/>
      <x:c r="I385" s="250"/>
      <x:c r="J385" s="250"/>
      <x:c r="K385" s="250"/>
      <x:c r="L385" s="250"/>
      <x:c r="M385" s="252"/>
      <x:c r="N385" s="252"/>
      <x:c r="O385" s="251"/>
      <x:c r="P385" s="250"/>
      <x:c r="Q385" s="250"/>
      <x:c r="R385" s="250"/>
      <x:c r="S385" s="253"/>
      <x:c r="T385" s="250"/>
      <x:c r="U385"/>
      <x:c r="AA385"/>
      <x:c r="AB385"/>
      <x:c r="AC385"/>
      <x:c r="AD385"/>
      <x:c r="AE385"/>
      <x:c r="AF385"/>
      <x:c r="AG385"/>
      <x:c r="AH385"/>
      <x:c r="AI385"/>
      <x:c r="AJ385"/>
      <x:c r="AK385"/>
      <x:c r="AL385"/>
      <x:c r="AM385"/>
      <x:c r="AN385"/>
      <x:c r="AO385"/>
      <x:c r="AP385"/>
      <x:c r="AQ385"/>
      <x:c r="AR385"/>
    </x:row>
    <x:row r="386" s="248" customFormat="1">
      <x:c r="A386" s="250"/>
      <x:c r="B386" s="250"/>
      <x:c r="C386" s="566" t="str">
        <x:f>IF(B386="","",IFERROR(VLOOKUP(B386,PERUMAHAN!$A:$B,2,FALSE),"ID tidak ditemukan"))</x:f>
      </x:c>
      <x:c r="D386" s="250"/>
      <x:c r="E386" s="250"/>
      <x:c r="F386" s="250"/>
      <x:c r="G386" s="252"/>
      <x:c r="H386" s="252"/>
      <x:c r="I386" s="250"/>
      <x:c r="J386" s="250"/>
      <x:c r="K386" s="250"/>
      <x:c r="L386" s="250"/>
      <x:c r="M386" s="252"/>
      <x:c r="N386" s="252"/>
      <x:c r="O386" s="251"/>
      <x:c r="P386" s="250"/>
      <x:c r="Q386" s="250"/>
      <x:c r="R386" s="250"/>
      <x:c r="S386" s="253"/>
      <x:c r="T386" s="250"/>
      <x:c r="U386"/>
      <x:c r="AA386"/>
      <x:c r="AB386"/>
      <x:c r="AC386"/>
      <x:c r="AD386"/>
      <x:c r="AE386"/>
      <x:c r="AF386"/>
      <x:c r="AG386"/>
      <x:c r="AH386"/>
      <x:c r="AI386"/>
      <x:c r="AJ386"/>
      <x:c r="AK386"/>
      <x:c r="AL386"/>
      <x:c r="AM386"/>
      <x:c r="AN386"/>
      <x:c r="AO386"/>
      <x:c r="AP386"/>
      <x:c r="AQ386"/>
      <x:c r="AR386"/>
    </x:row>
    <x:row r="387" s="248" customFormat="1">
      <x:c r="A387" s="250"/>
      <x:c r="B387" s="250"/>
      <x:c r="C387" s="566" t="str">
        <x:f>IF(B387="","",IFERROR(VLOOKUP(B387,PERUMAHAN!$A:$B,2,FALSE),"ID tidak ditemukan"))</x:f>
      </x:c>
      <x:c r="D387" s="250"/>
      <x:c r="E387" s="250"/>
      <x:c r="F387" s="250"/>
      <x:c r="G387" s="252"/>
      <x:c r="H387" s="252"/>
      <x:c r="I387" s="250"/>
      <x:c r="J387" s="250"/>
      <x:c r="K387" s="250"/>
      <x:c r="L387" s="250"/>
      <x:c r="M387" s="252"/>
      <x:c r="N387" s="252"/>
      <x:c r="O387" s="251"/>
      <x:c r="P387" s="250"/>
      <x:c r="Q387" s="250"/>
      <x:c r="R387" s="250"/>
      <x:c r="S387" s="253"/>
      <x:c r="T387" s="250"/>
      <x:c r="U387"/>
      <x:c r="AA387"/>
      <x:c r="AB387"/>
      <x:c r="AC387"/>
      <x:c r="AD387"/>
      <x:c r="AE387"/>
      <x:c r="AF387"/>
      <x:c r="AG387"/>
      <x:c r="AH387"/>
      <x:c r="AI387"/>
      <x:c r="AJ387"/>
      <x:c r="AK387"/>
      <x:c r="AL387"/>
      <x:c r="AM387"/>
      <x:c r="AN387"/>
      <x:c r="AO387"/>
      <x:c r="AP387"/>
      <x:c r="AQ387"/>
      <x:c r="AR387"/>
    </x:row>
    <x:row r="388" s="248" customFormat="1">
      <x:c r="A388" s="250"/>
      <x:c r="B388" s="250"/>
      <x:c r="C388" s="566" t="str">
        <x:f>IF(B388="","",IFERROR(VLOOKUP(B388,PERUMAHAN!$A:$B,2,FALSE),"ID tidak ditemukan"))</x:f>
      </x:c>
      <x:c r="D388" s="250"/>
      <x:c r="E388" s="250"/>
      <x:c r="F388" s="250"/>
      <x:c r="G388" s="252"/>
      <x:c r="H388" s="252"/>
      <x:c r="I388" s="250"/>
      <x:c r="J388" s="250"/>
      <x:c r="K388" s="250"/>
      <x:c r="L388" s="250"/>
      <x:c r="M388" s="252"/>
      <x:c r="N388" s="252"/>
      <x:c r="O388" s="251"/>
      <x:c r="P388" s="250"/>
      <x:c r="Q388" s="250"/>
      <x:c r="R388" s="250"/>
      <x:c r="S388" s="253"/>
      <x:c r="T388" s="250"/>
      <x:c r="U388"/>
      <x:c r="AA388"/>
      <x:c r="AB388"/>
      <x:c r="AC388"/>
      <x:c r="AD388"/>
      <x:c r="AE388"/>
      <x:c r="AF388"/>
      <x:c r="AG388"/>
      <x:c r="AH388"/>
      <x:c r="AI388"/>
      <x:c r="AJ388"/>
      <x:c r="AK388"/>
      <x:c r="AL388"/>
      <x:c r="AM388"/>
      <x:c r="AN388"/>
      <x:c r="AO388"/>
      <x:c r="AP388"/>
      <x:c r="AQ388"/>
      <x:c r="AR388"/>
    </x:row>
    <x:row r="389" s="248" customFormat="1">
      <x:c r="A389" s="250"/>
      <x:c r="B389" s="250"/>
      <x:c r="C389" s="566" t="str">
        <x:f>IF(B389="","",IFERROR(VLOOKUP(B389,PERUMAHAN!$A:$B,2,FALSE),"ID tidak ditemukan"))</x:f>
      </x:c>
      <x:c r="D389" s="250"/>
      <x:c r="E389" s="250"/>
      <x:c r="F389" s="250"/>
      <x:c r="G389" s="252"/>
      <x:c r="H389" s="252"/>
      <x:c r="I389" s="250"/>
      <x:c r="J389" s="250"/>
      <x:c r="K389" s="250"/>
      <x:c r="L389" s="250"/>
      <x:c r="M389" s="252"/>
      <x:c r="N389" s="252"/>
      <x:c r="O389" s="251"/>
      <x:c r="P389" s="250"/>
      <x:c r="Q389" s="250"/>
      <x:c r="R389" s="250"/>
      <x:c r="S389" s="253"/>
      <x:c r="T389" s="250"/>
      <x:c r="U389"/>
      <x:c r="AA389"/>
      <x:c r="AB389"/>
      <x:c r="AC389"/>
      <x:c r="AD389"/>
      <x:c r="AE389"/>
      <x:c r="AF389"/>
      <x:c r="AG389"/>
      <x:c r="AH389"/>
      <x:c r="AI389"/>
      <x:c r="AJ389"/>
      <x:c r="AK389"/>
      <x:c r="AL389"/>
      <x:c r="AM389"/>
      <x:c r="AN389"/>
      <x:c r="AO389"/>
      <x:c r="AP389"/>
      <x:c r="AQ389"/>
      <x:c r="AR389"/>
    </x:row>
    <x:row r="390" s="248" customFormat="1">
      <x:c r="A390" s="250"/>
      <x:c r="B390" s="250"/>
      <x:c r="C390" s="566" t="str">
        <x:f>IF(B390="","",IFERROR(VLOOKUP(B390,PERUMAHAN!$A:$B,2,FALSE),"ID tidak ditemukan"))</x:f>
      </x:c>
      <x:c r="D390" s="250"/>
      <x:c r="E390" s="250"/>
      <x:c r="F390" s="250"/>
      <x:c r="G390" s="252"/>
      <x:c r="H390" s="252"/>
      <x:c r="I390" s="250"/>
      <x:c r="J390" s="250"/>
      <x:c r="K390" s="250"/>
      <x:c r="L390" s="250"/>
      <x:c r="M390" s="252"/>
      <x:c r="N390" s="252"/>
      <x:c r="O390" s="251"/>
      <x:c r="P390" s="250"/>
      <x:c r="Q390" s="250"/>
      <x:c r="R390" s="250"/>
      <x:c r="S390" s="253"/>
      <x:c r="T390" s="250"/>
      <x:c r="U390"/>
      <x:c r="AA390"/>
      <x:c r="AB390"/>
      <x:c r="AC390"/>
      <x:c r="AD390"/>
      <x:c r="AE390"/>
      <x:c r="AF390"/>
      <x:c r="AG390"/>
      <x:c r="AH390"/>
      <x:c r="AI390"/>
      <x:c r="AJ390"/>
      <x:c r="AK390"/>
      <x:c r="AL390"/>
      <x:c r="AM390"/>
      <x:c r="AN390"/>
      <x:c r="AO390"/>
      <x:c r="AP390"/>
      <x:c r="AQ390"/>
      <x:c r="AR390"/>
    </x:row>
    <x:row r="391" s="248" customFormat="1">
      <x:c r="A391" s="250"/>
      <x:c r="B391" s="250"/>
      <x:c r="C391" s="566" t="str">
        <x:f>IF(B391="","",IFERROR(VLOOKUP(B391,PERUMAHAN!$A:$B,2,FALSE),"ID tidak ditemukan"))</x:f>
      </x:c>
      <x:c r="D391" s="250"/>
      <x:c r="E391" s="250"/>
      <x:c r="F391" s="250"/>
      <x:c r="G391" s="252"/>
      <x:c r="H391" s="252"/>
      <x:c r="I391" s="250"/>
      <x:c r="J391" s="250"/>
      <x:c r="K391" s="250"/>
      <x:c r="L391" s="250"/>
      <x:c r="M391" s="252"/>
      <x:c r="N391" s="252"/>
      <x:c r="O391" s="251"/>
      <x:c r="P391" s="250"/>
      <x:c r="Q391" s="250"/>
      <x:c r="R391" s="250"/>
      <x:c r="S391" s="253"/>
      <x:c r="T391" s="250"/>
      <x:c r="U391"/>
      <x:c r="AA391"/>
      <x:c r="AB391"/>
      <x:c r="AC391"/>
      <x:c r="AD391"/>
      <x:c r="AE391"/>
      <x:c r="AF391"/>
      <x:c r="AG391"/>
      <x:c r="AH391"/>
      <x:c r="AI391"/>
      <x:c r="AJ391"/>
      <x:c r="AK391"/>
      <x:c r="AL391"/>
      <x:c r="AM391"/>
      <x:c r="AN391"/>
      <x:c r="AO391"/>
      <x:c r="AP391"/>
      <x:c r="AQ391"/>
      <x:c r="AR391"/>
    </x:row>
    <x:row r="392" s="248" customFormat="1">
      <x:c r="A392" s="250"/>
      <x:c r="B392" s="250"/>
      <x:c r="C392" s="566" t="str">
        <x:f>IF(B392="","",IFERROR(VLOOKUP(B392,PERUMAHAN!$A:$B,2,FALSE),"ID tidak ditemukan"))</x:f>
      </x:c>
      <x:c r="D392" s="250"/>
      <x:c r="E392" s="250"/>
      <x:c r="F392" s="250"/>
      <x:c r="G392" s="252"/>
      <x:c r="H392" s="252"/>
      <x:c r="I392" s="250"/>
      <x:c r="J392" s="250"/>
      <x:c r="K392" s="250"/>
      <x:c r="L392" s="250"/>
      <x:c r="M392" s="252"/>
      <x:c r="N392" s="252"/>
      <x:c r="O392" s="251"/>
      <x:c r="P392" s="250"/>
      <x:c r="Q392" s="250"/>
      <x:c r="R392" s="250"/>
      <x:c r="S392" s="253"/>
      <x:c r="T392" s="250"/>
      <x:c r="U392"/>
      <x:c r="AA392"/>
      <x:c r="AB392"/>
      <x:c r="AC392"/>
      <x:c r="AD392"/>
      <x:c r="AE392"/>
      <x:c r="AF392"/>
      <x:c r="AG392"/>
      <x:c r="AH392"/>
      <x:c r="AI392"/>
      <x:c r="AJ392"/>
      <x:c r="AK392"/>
      <x:c r="AL392"/>
      <x:c r="AM392"/>
      <x:c r="AN392"/>
      <x:c r="AO392"/>
      <x:c r="AP392"/>
      <x:c r="AQ392"/>
      <x:c r="AR392"/>
    </x:row>
    <x:row r="393" s="248" customFormat="1">
      <x:c r="A393" s="250"/>
      <x:c r="B393" s="250"/>
      <x:c r="C393" s="566" t="str">
        <x:f>IF(B393="","",IFERROR(VLOOKUP(B393,PERUMAHAN!$A:$B,2,FALSE),"ID tidak ditemukan"))</x:f>
      </x:c>
      <x:c r="D393" s="250"/>
      <x:c r="E393" s="250"/>
      <x:c r="F393" s="250"/>
      <x:c r="G393" s="252"/>
      <x:c r="H393" s="252"/>
      <x:c r="I393" s="250"/>
      <x:c r="J393" s="250"/>
      <x:c r="K393" s="250"/>
      <x:c r="L393" s="250"/>
      <x:c r="M393" s="252"/>
      <x:c r="N393" s="252"/>
      <x:c r="O393" s="251"/>
      <x:c r="P393" s="250"/>
      <x:c r="Q393" s="250"/>
      <x:c r="R393" s="250"/>
      <x:c r="S393" s="253"/>
      <x:c r="T393" s="250"/>
      <x:c r="U393"/>
      <x:c r="AA393"/>
      <x:c r="AB393"/>
      <x:c r="AC393"/>
      <x:c r="AD393"/>
      <x:c r="AE393"/>
      <x:c r="AF393"/>
      <x:c r="AG393"/>
      <x:c r="AH393"/>
      <x:c r="AI393"/>
      <x:c r="AJ393"/>
      <x:c r="AK393"/>
      <x:c r="AL393"/>
      <x:c r="AM393"/>
      <x:c r="AN393"/>
      <x:c r="AO393"/>
      <x:c r="AP393"/>
      <x:c r="AQ393"/>
      <x:c r="AR393"/>
    </x:row>
    <x:row r="394" s="248" customFormat="1">
      <x:c r="A394" s="250"/>
      <x:c r="B394" s="250"/>
      <x:c r="C394" s="566" t="str">
        <x:f>IF(B394="","",IFERROR(VLOOKUP(B394,PERUMAHAN!$A:$B,2,FALSE),"ID tidak ditemukan"))</x:f>
      </x:c>
      <x:c r="D394" s="250"/>
      <x:c r="E394" s="250"/>
      <x:c r="F394" s="250"/>
      <x:c r="G394" s="252"/>
      <x:c r="H394" s="252"/>
      <x:c r="I394" s="250"/>
      <x:c r="J394" s="250"/>
      <x:c r="K394" s="250"/>
      <x:c r="L394" s="250"/>
      <x:c r="M394" s="252"/>
      <x:c r="N394" s="252"/>
      <x:c r="O394" s="251"/>
      <x:c r="P394" s="250"/>
      <x:c r="Q394" s="250"/>
      <x:c r="R394" s="250"/>
      <x:c r="S394" s="253"/>
      <x:c r="T394" s="250"/>
      <x:c r="U394"/>
      <x:c r="AA394"/>
      <x:c r="AB394"/>
      <x:c r="AC394"/>
      <x:c r="AD394"/>
      <x:c r="AE394"/>
      <x:c r="AF394"/>
      <x:c r="AG394"/>
      <x:c r="AH394"/>
      <x:c r="AI394"/>
      <x:c r="AJ394"/>
      <x:c r="AK394"/>
      <x:c r="AL394"/>
      <x:c r="AM394"/>
      <x:c r="AN394"/>
      <x:c r="AO394"/>
      <x:c r="AP394"/>
      <x:c r="AQ394"/>
      <x:c r="AR394"/>
    </x:row>
    <x:row r="395" s="248" customFormat="1">
      <x:c r="A395" s="250"/>
      <x:c r="B395" s="250"/>
      <x:c r="C395" s="566" t="str">
        <x:f>IF(B395="","",IFERROR(VLOOKUP(B395,PERUMAHAN!$A:$B,2,FALSE),"ID tidak ditemukan"))</x:f>
      </x:c>
      <x:c r="D395" s="250"/>
      <x:c r="E395" s="250"/>
      <x:c r="F395" s="250"/>
      <x:c r="G395" s="252"/>
      <x:c r="H395" s="252"/>
      <x:c r="I395" s="250"/>
      <x:c r="J395" s="250"/>
      <x:c r="K395" s="250"/>
      <x:c r="L395" s="250"/>
      <x:c r="M395" s="252"/>
      <x:c r="N395" s="252"/>
      <x:c r="O395" s="251"/>
      <x:c r="P395" s="250"/>
      <x:c r="Q395" s="250"/>
      <x:c r="R395" s="250"/>
      <x:c r="S395" s="253"/>
      <x:c r="T395" s="250"/>
      <x:c r="U395"/>
      <x:c r="AA395"/>
      <x:c r="AB395"/>
      <x:c r="AC395"/>
      <x:c r="AD395"/>
      <x:c r="AE395"/>
      <x:c r="AF395"/>
      <x:c r="AG395"/>
      <x:c r="AH395"/>
      <x:c r="AI395"/>
      <x:c r="AJ395"/>
      <x:c r="AK395"/>
      <x:c r="AL395"/>
      <x:c r="AM395"/>
      <x:c r="AN395"/>
      <x:c r="AO395"/>
      <x:c r="AP395"/>
      <x:c r="AQ395"/>
      <x:c r="AR395"/>
    </x:row>
    <x:row r="396" s="248" customFormat="1">
      <x:c r="A396" s="250"/>
      <x:c r="B396" s="250"/>
      <x:c r="C396" s="566" t="str">
        <x:f>IF(B396="","",IFERROR(VLOOKUP(B396,PERUMAHAN!$A:$B,2,FALSE),"ID tidak ditemukan"))</x:f>
      </x:c>
      <x:c r="D396" s="250"/>
      <x:c r="E396" s="250"/>
      <x:c r="F396" s="250"/>
      <x:c r="G396" s="252"/>
      <x:c r="H396" s="252"/>
      <x:c r="I396" s="250"/>
      <x:c r="J396" s="250"/>
      <x:c r="K396" s="250"/>
      <x:c r="L396" s="250"/>
      <x:c r="M396" s="252"/>
      <x:c r="N396" s="252"/>
      <x:c r="O396" s="251"/>
      <x:c r="P396" s="250"/>
      <x:c r="Q396" s="250"/>
      <x:c r="R396" s="250"/>
      <x:c r="S396" s="253"/>
      <x:c r="T396" s="250"/>
      <x:c r="U396"/>
      <x:c r="AA396"/>
      <x:c r="AB396"/>
      <x:c r="AC396"/>
      <x:c r="AD396"/>
      <x:c r="AE396"/>
      <x:c r="AF396"/>
      <x:c r="AG396"/>
      <x:c r="AH396"/>
      <x:c r="AI396"/>
      <x:c r="AJ396"/>
      <x:c r="AK396"/>
      <x:c r="AL396"/>
      <x:c r="AM396"/>
      <x:c r="AN396"/>
      <x:c r="AO396"/>
      <x:c r="AP396"/>
      <x:c r="AQ396"/>
      <x:c r="AR396"/>
    </x:row>
    <x:row r="397" s="248" customFormat="1">
      <x:c r="A397" s="250"/>
      <x:c r="B397" s="250"/>
      <x:c r="C397" s="566" t="str">
        <x:f>IF(B397="","",IFERROR(VLOOKUP(B397,PERUMAHAN!$A:$B,2,FALSE),"ID tidak ditemukan"))</x:f>
      </x:c>
      <x:c r="D397" s="250"/>
      <x:c r="E397" s="250"/>
      <x:c r="F397" s="250"/>
      <x:c r="G397" s="252"/>
      <x:c r="H397" s="252"/>
      <x:c r="I397" s="250"/>
      <x:c r="J397" s="250"/>
      <x:c r="K397" s="250"/>
      <x:c r="L397" s="250"/>
      <x:c r="M397" s="252"/>
      <x:c r="N397" s="252"/>
      <x:c r="O397" s="251"/>
      <x:c r="P397" s="250"/>
      <x:c r="Q397" s="250"/>
      <x:c r="R397" s="250"/>
      <x:c r="S397" s="253"/>
      <x:c r="T397" s="250"/>
      <x:c r="U397"/>
      <x:c r="AA397"/>
      <x:c r="AB397"/>
      <x:c r="AC397"/>
      <x:c r="AD397"/>
      <x:c r="AE397"/>
      <x:c r="AF397"/>
      <x:c r="AG397"/>
      <x:c r="AH397"/>
      <x:c r="AI397"/>
      <x:c r="AJ397"/>
      <x:c r="AK397"/>
      <x:c r="AL397"/>
      <x:c r="AM397"/>
      <x:c r="AN397"/>
      <x:c r="AO397"/>
      <x:c r="AP397"/>
      <x:c r="AQ397"/>
      <x:c r="AR397"/>
    </x:row>
    <x:row r="398" s="248" customFormat="1">
      <x:c r="A398" s="250"/>
      <x:c r="B398" s="250"/>
      <x:c r="C398" s="566" t="str">
        <x:f>IF(B398="","",IFERROR(VLOOKUP(B398,PERUMAHAN!$A:$B,2,FALSE),"ID tidak ditemukan"))</x:f>
      </x:c>
      <x:c r="D398" s="250"/>
      <x:c r="E398" s="250"/>
      <x:c r="F398" s="250"/>
      <x:c r="G398" s="252"/>
      <x:c r="H398" s="252"/>
      <x:c r="I398" s="250"/>
      <x:c r="J398" s="250"/>
      <x:c r="K398" s="250"/>
      <x:c r="L398" s="250"/>
      <x:c r="M398" s="252"/>
      <x:c r="N398" s="252"/>
      <x:c r="O398" s="251"/>
      <x:c r="P398" s="250"/>
      <x:c r="Q398" s="250"/>
      <x:c r="R398" s="250"/>
      <x:c r="S398" s="253"/>
      <x:c r="T398" s="250"/>
      <x:c r="U398"/>
      <x:c r="AA398"/>
      <x:c r="AB398"/>
      <x:c r="AC398"/>
      <x:c r="AD398"/>
      <x:c r="AE398"/>
      <x:c r="AF398"/>
      <x:c r="AG398"/>
      <x:c r="AH398"/>
      <x:c r="AI398"/>
      <x:c r="AJ398"/>
      <x:c r="AK398"/>
      <x:c r="AL398"/>
      <x:c r="AM398"/>
      <x:c r="AN398"/>
      <x:c r="AO398"/>
      <x:c r="AP398"/>
      <x:c r="AQ398"/>
      <x:c r="AR398"/>
    </x:row>
    <x:row r="399" s="248" customFormat="1">
      <x:c r="A399" s="250"/>
      <x:c r="B399" s="250"/>
      <x:c r="C399" s="566" t="str">
        <x:f>IF(B399="","",IFERROR(VLOOKUP(B399,PERUMAHAN!$A:$B,2,FALSE),"ID tidak ditemukan"))</x:f>
      </x:c>
      <x:c r="D399" s="250"/>
      <x:c r="E399" s="250"/>
      <x:c r="F399" s="250"/>
      <x:c r="G399" s="252"/>
      <x:c r="H399" s="252"/>
      <x:c r="I399" s="250"/>
      <x:c r="J399" s="250"/>
      <x:c r="K399" s="250"/>
      <x:c r="L399" s="250"/>
      <x:c r="M399" s="252"/>
      <x:c r="N399" s="252"/>
      <x:c r="O399" s="251"/>
      <x:c r="P399" s="250"/>
      <x:c r="Q399" s="250"/>
      <x:c r="R399" s="250"/>
      <x:c r="S399" s="253"/>
      <x:c r="T399" s="250"/>
      <x:c r="U399"/>
      <x:c r="AA399"/>
      <x:c r="AB399"/>
      <x:c r="AC399"/>
      <x:c r="AD399"/>
      <x:c r="AE399"/>
      <x:c r="AF399"/>
      <x:c r="AG399"/>
      <x:c r="AH399"/>
      <x:c r="AI399"/>
      <x:c r="AJ399"/>
      <x:c r="AK399"/>
      <x:c r="AL399"/>
      <x:c r="AM399"/>
      <x:c r="AN399"/>
      <x:c r="AO399"/>
      <x:c r="AP399"/>
      <x:c r="AQ399"/>
      <x:c r="AR399"/>
    </x:row>
    <x:row r="400" s="248" customFormat="1">
      <x:c r="A400" s="250"/>
      <x:c r="B400" s="250"/>
      <x:c r="C400" s="566" t="str">
        <x:f>IF(B400="","",IFERROR(VLOOKUP(B400,PERUMAHAN!$A:$B,2,FALSE),"ID tidak ditemukan"))</x:f>
      </x:c>
      <x:c r="D400" s="250"/>
      <x:c r="E400" s="250"/>
      <x:c r="F400" s="250"/>
      <x:c r="G400" s="252"/>
      <x:c r="H400" s="252"/>
      <x:c r="I400" s="250"/>
      <x:c r="J400" s="250"/>
      <x:c r="K400" s="250"/>
      <x:c r="L400" s="250"/>
      <x:c r="M400" s="252"/>
      <x:c r="N400" s="252"/>
      <x:c r="O400" s="251"/>
      <x:c r="P400" s="250"/>
      <x:c r="Q400" s="250"/>
      <x:c r="R400" s="250"/>
      <x:c r="S400" s="253"/>
      <x:c r="T400" s="250"/>
      <x:c r="U400"/>
      <x:c r="AA400"/>
      <x:c r="AB400"/>
      <x:c r="AC400"/>
      <x:c r="AD400"/>
      <x:c r="AE400"/>
      <x:c r="AF400"/>
      <x:c r="AG400"/>
      <x:c r="AH400"/>
      <x:c r="AI400"/>
      <x:c r="AJ400"/>
      <x:c r="AK400"/>
      <x:c r="AL400"/>
      <x:c r="AM400"/>
      <x:c r="AN400"/>
      <x:c r="AO400"/>
      <x:c r="AP400"/>
      <x:c r="AQ400"/>
      <x:c r="AR400"/>
    </x:row>
    <x:row r="401" s="248" customFormat="1">
      <x:c r="A401" s="250"/>
      <x:c r="B401" s="250"/>
      <x:c r="C401" s="566" t="str">
        <x:f>IF(B401="","",IFERROR(VLOOKUP(B401,PERUMAHAN!$A:$B,2,FALSE),"ID tidak ditemukan"))</x:f>
      </x:c>
      <x:c r="D401" s="250"/>
      <x:c r="E401" s="250"/>
      <x:c r="F401" s="250"/>
      <x:c r="G401" s="252"/>
      <x:c r="H401" s="252"/>
      <x:c r="I401" s="250"/>
      <x:c r="J401" s="250"/>
      <x:c r="K401" s="250"/>
      <x:c r="L401" s="250"/>
      <x:c r="M401" s="252"/>
      <x:c r="N401" s="252"/>
      <x:c r="O401" s="251"/>
      <x:c r="P401" s="250"/>
      <x:c r="Q401" s="250"/>
      <x:c r="R401" s="250"/>
      <x:c r="S401" s="253"/>
      <x:c r="T401" s="250"/>
      <x:c r="U401"/>
      <x:c r="AA401"/>
      <x:c r="AB401"/>
      <x:c r="AC401"/>
      <x:c r="AD401"/>
      <x:c r="AE401"/>
      <x:c r="AF401"/>
      <x:c r="AG401"/>
      <x:c r="AH401"/>
      <x:c r="AI401"/>
      <x:c r="AJ401"/>
      <x:c r="AK401"/>
      <x:c r="AL401"/>
      <x:c r="AM401"/>
      <x:c r="AN401"/>
      <x:c r="AO401"/>
      <x:c r="AP401"/>
      <x:c r="AQ401"/>
      <x:c r="AR401"/>
    </x:row>
    <x:row r="402" s="248" customFormat="1">
      <x:c r="A402" s="250"/>
      <x:c r="B402" s="250"/>
      <x:c r="C402" s="566" t="str">
        <x:f>IF(B402="","",IFERROR(VLOOKUP(B402,PERUMAHAN!$A:$B,2,FALSE),"ID tidak ditemukan"))</x:f>
      </x:c>
      <x:c r="D402" s="250"/>
      <x:c r="E402" s="250"/>
      <x:c r="F402" s="250"/>
      <x:c r="G402" s="252"/>
      <x:c r="H402" s="252"/>
      <x:c r="I402" s="250"/>
      <x:c r="J402" s="250"/>
      <x:c r="K402" s="250"/>
      <x:c r="L402" s="250"/>
      <x:c r="M402" s="252"/>
      <x:c r="N402" s="252"/>
      <x:c r="O402" s="251"/>
      <x:c r="P402" s="250"/>
      <x:c r="Q402" s="250"/>
      <x:c r="R402" s="250"/>
      <x:c r="S402" s="253"/>
      <x:c r="T402" s="250"/>
      <x:c r="U402"/>
      <x:c r="AA402"/>
      <x:c r="AB402"/>
      <x:c r="AC402"/>
      <x:c r="AD402"/>
      <x:c r="AE402"/>
      <x:c r="AF402"/>
      <x:c r="AG402"/>
      <x:c r="AH402"/>
      <x:c r="AI402"/>
      <x:c r="AJ402"/>
      <x:c r="AK402"/>
      <x:c r="AL402"/>
      <x:c r="AM402"/>
      <x:c r="AN402"/>
      <x:c r="AO402"/>
      <x:c r="AP402"/>
      <x:c r="AQ402"/>
      <x:c r="AR402"/>
    </x:row>
    <x:row r="403" s="248" customFormat="1">
      <x:c r="A403" s="250"/>
      <x:c r="B403" s="250"/>
      <x:c r="C403" s="566" t="str">
        <x:f>IF(B403="","",IFERROR(VLOOKUP(B403,PERUMAHAN!$A:$B,2,FALSE),"ID tidak ditemukan"))</x:f>
      </x:c>
      <x:c r="D403" s="250"/>
      <x:c r="E403" s="250"/>
      <x:c r="F403" s="250"/>
      <x:c r="G403" s="252"/>
      <x:c r="H403" s="252"/>
      <x:c r="I403" s="250"/>
      <x:c r="J403" s="250"/>
      <x:c r="K403" s="250"/>
      <x:c r="L403" s="250"/>
      <x:c r="M403" s="252"/>
      <x:c r="N403" s="252"/>
      <x:c r="O403" s="251"/>
      <x:c r="P403" s="250"/>
      <x:c r="Q403" s="250"/>
      <x:c r="R403" s="250"/>
      <x:c r="S403" s="253"/>
      <x:c r="T403" s="250"/>
      <x:c r="U403"/>
      <x:c r="AA403"/>
      <x:c r="AB403"/>
      <x:c r="AC403"/>
      <x:c r="AD403"/>
      <x:c r="AE403"/>
      <x:c r="AF403"/>
      <x:c r="AG403"/>
      <x:c r="AH403"/>
      <x:c r="AI403"/>
      <x:c r="AJ403"/>
      <x:c r="AK403"/>
      <x:c r="AL403"/>
      <x:c r="AM403"/>
      <x:c r="AN403"/>
      <x:c r="AO403"/>
      <x:c r="AP403"/>
      <x:c r="AQ403"/>
      <x:c r="AR403"/>
    </x:row>
    <x:row r="404" s="248" customFormat="1">
      <x:c r="A404" s="250"/>
      <x:c r="B404" s="250"/>
      <x:c r="C404" s="566" t="str">
        <x:f>IF(B404="","",IFERROR(VLOOKUP(B404,PERUMAHAN!$A:$B,2,FALSE),"ID tidak ditemukan"))</x:f>
      </x:c>
      <x:c r="D404" s="250"/>
      <x:c r="E404" s="250"/>
      <x:c r="F404" s="250"/>
      <x:c r="G404" s="252"/>
      <x:c r="H404" s="252"/>
      <x:c r="I404" s="250"/>
      <x:c r="J404" s="250"/>
      <x:c r="K404" s="250"/>
      <x:c r="L404" s="250"/>
      <x:c r="M404" s="252"/>
      <x:c r="N404" s="252"/>
      <x:c r="O404" s="251"/>
      <x:c r="P404" s="250"/>
      <x:c r="Q404" s="250"/>
      <x:c r="R404" s="250"/>
      <x:c r="S404" s="253"/>
      <x:c r="T404" s="250"/>
      <x:c r="U404"/>
      <x:c r="AA404"/>
      <x:c r="AB404"/>
      <x:c r="AC404"/>
      <x:c r="AD404"/>
      <x:c r="AE404"/>
      <x:c r="AF404"/>
      <x:c r="AG404"/>
      <x:c r="AH404"/>
      <x:c r="AI404"/>
      <x:c r="AJ404"/>
      <x:c r="AK404"/>
      <x:c r="AL404"/>
      <x:c r="AM404"/>
      <x:c r="AN404"/>
      <x:c r="AO404"/>
      <x:c r="AP404"/>
      <x:c r="AQ404"/>
      <x:c r="AR404"/>
    </x:row>
    <x:row r="405" s="248" customFormat="1">
      <x:c r="A405" s="250"/>
      <x:c r="B405" s="250"/>
      <x:c r="C405" s="566" t="str">
        <x:f>IF(B405="","",IFERROR(VLOOKUP(B405,PERUMAHAN!$A:$B,2,FALSE),"ID tidak ditemukan"))</x:f>
      </x:c>
      <x:c r="D405" s="250"/>
      <x:c r="E405" s="250"/>
      <x:c r="F405" s="250"/>
      <x:c r="G405" s="252"/>
      <x:c r="H405" s="252"/>
      <x:c r="I405" s="250"/>
      <x:c r="J405" s="250"/>
      <x:c r="K405" s="250"/>
      <x:c r="L405" s="250"/>
      <x:c r="M405" s="252"/>
      <x:c r="N405" s="252"/>
      <x:c r="O405" s="251"/>
      <x:c r="P405" s="250"/>
      <x:c r="Q405" s="250"/>
      <x:c r="R405" s="250"/>
      <x:c r="S405" s="253"/>
      <x:c r="T405" s="250"/>
      <x:c r="U405"/>
      <x:c r="AA405"/>
      <x:c r="AB405"/>
      <x:c r="AC405"/>
      <x:c r="AD405"/>
      <x:c r="AE405"/>
      <x:c r="AF405"/>
      <x:c r="AG405"/>
      <x:c r="AH405"/>
      <x:c r="AI405"/>
      <x:c r="AJ405"/>
      <x:c r="AK405"/>
      <x:c r="AL405"/>
      <x:c r="AM405"/>
      <x:c r="AN405"/>
      <x:c r="AO405"/>
      <x:c r="AP405"/>
      <x:c r="AQ405"/>
      <x:c r="AR405"/>
    </x:row>
    <x:row r="406" s="248" customFormat="1">
      <x:c r="A406" s="250"/>
      <x:c r="B406" s="250"/>
      <x:c r="C406" s="566" t="str">
        <x:f>IF(B406="","",IFERROR(VLOOKUP(B406,PERUMAHAN!$A:$B,2,FALSE),"ID tidak ditemukan"))</x:f>
      </x:c>
      <x:c r="D406" s="250"/>
      <x:c r="E406" s="250"/>
      <x:c r="F406" s="250"/>
      <x:c r="G406" s="252"/>
      <x:c r="H406" s="252"/>
      <x:c r="I406" s="250"/>
      <x:c r="J406" s="250"/>
      <x:c r="K406" s="250"/>
      <x:c r="L406" s="250"/>
      <x:c r="M406" s="252"/>
      <x:c r="N406" s="252"/>
      <x:c r="O406" s="251"/>
      <x:c r="P406" s="250"/>
      <x:c r="Q406" s="250"/>
      <x:c r="R406" s="250"/>
      <x:c r="S406" s="253"/>
      <x:c r="T406" s="250"/>
      <x:c r="U406"/>
      <x:c r="AA406"/>
      <x:c r="AB406"/>
      <x:c r="AC406"/>
      <x:c r="AD406"/>
      <x:c r="AE406"/>
      <x:c r="AF406"/>
      <x:c r="AG406"/>
      <x:c r="AH406"/>
      <x:c r="AI406"/>
      <x:c r="AJ406"/>
      <x:c r="AK406"/>
      <x:c r="AL406"/>
      <x:c r="AM406"/>
      <x:c r="AN406"/>
      <x:c r="AO406"/>
      <x:c r="AP406"/>
      <x:c r="AQ406"/>
      <x:c r="AR406"/>
    </x:row>
    <x:row r="407" s="248" customFormat="1">
      <x:c r="A407" s="250"/>
      <x:c r="B407" s="250"/>
      <x:c r="C407" s="566" t="str">
        <x:f>IF(B407="","",IFERROR(VLOOKUP(B407,PERUMAHAN!$A:$B,2,FALSE),"ID tidak ditemukan"))</x:f>
      </x:c>
      <x:c r="D407" s="250"/>
      <x:c r="E407" s="250"/>
      <x:c r="F407" s="250"/>
      <x:c r="G407" s="252"/>
      <x:c r="H407" s="252"/>
      <x:c r="I407" s="250"/>
      <x:c r="J407" s="250"/>
      <x:c r="K407" s="250"/>
      <x:c r="L407" s="250"/>
      <x:c r="M407" s="252"/>
      <x:c r="N407" s="252"/>
      <x:c r="O407" s="251"/>
      <x:c r="P407" s="250"/>
      <x:c r="Q407" s="250"/>
      <x:c r="R407" s="250"/>
      <x:c r="S407" s="253"/>
      <x:c r="T407" s="250"/>
      <x:c r="U407"/>
      <x:c r="AA407"/>
      <x:c r="AB407"/>
      <x:c r="AC407"/>
      <x:c r="AD407"/>
      <x:c r="AE407"/>
      <x:c r="AF407"/>
      <x:c r="AG407"/>
      <x:c r="AH407"/>
      <x:c r="AI407"/>
      <x:c r="AJ407"/>
      <x:c r="AK407"/>
      <x:c r="AL407"/>
      <x:c r="AM407"/>
      <x:c r="AN407"/>
      <x:c r="AO407"/>
      <x:c r="AP407"/>
      <x:c r="AQ407"/>
      <x:c r="AR407"/>
    </x:row>
    <x:row r="408" s="248" customFormat="1">
      <x:c r="A408" s="250"/>
      <x:c r="B408" s="250"/>
      <x:c r="C408" s="566" t="str">
        <x:f>IF(B408="","",IFERROR(VLOOKUP(B408,PERUMAHAN!$A:$B,2,FALSE),"ID tidak ditemukan"))</x:f>
      </x:c>
      <x:c r="D408" s="250"/>
      <x:c r="E408" s="250"/>
      <x:c r="F408" s="250"/>
      <x:c r="G408" s="252"/>
      <x:c r="H408" s="252"/>
      <x:c r="I408" s="250"/>
      <x:c r="J408" s="250"/>
      <x:c r="K408" s="250"/>
      <x:c r="L408" s="250"/>
      <x:c r="M408" s="252"/>
      <x:c r="N408" s="252"/>
      <x:c r="O408" s="251"/>
      <x:c r="P408" s="250"/>
      <x:c r="Q408" s="250"/>
      <x:c r="R408" s="250"/>
      <x:c r="S408" s="253"/>
      <x:c r="T408" s="250"/>
      <x:c r="U408"/>
      <x:c r="AA408"/>
      <x:c r="AB408"/>
      <x:c r="AC408"/>
      <x:c r="AD408"/>
      <x:c r="AE408"/>
      <x:c r="AF408"/>
      <x:c r="AG408"/>
      <x:c r="AH408"/>
      <x:c r="AI408"/>
      <x:c r="AJ408"/>
      <x:c r="AK408"/>
      <x:c r="AL408"/>
      <x:c r="AM408"/>
      <x:c r="AN408"/>
      <x:c r="AO408"/>
      <x:c r="AP408"/>
      <x:c r="AQ408"/>
      <x:c r="AR408"/>
    </x:row>
    <x:row r="409" s="248" customFormat="1">
      <x:c r="A409" s="250"/>
      <x:c r="B409" s="250"/>
      <x:c r="C409" s="566" t="str">
        <x:f>IF(B409="","",IFERROR(VLOOKUP(B409,PERUMAHAN!$A:$B,2,FALSE),"ID tidak ditemukan"))</x:f>
      </x:c>
      <x:c r="D409" s="250"/>
      <x:c r="E409" s="250"/>
      <x:c r="F409" s="250"/>
      <x:c r="G409" s="252"/>
      <x:c r="H409" s="252"/>
      <x:c r="I409" s="250"/>
      <x:c r="J409" s="250"/>
      <x:c r="K409" s="250"/>
      <x:c r="L409" s="250"/>
      <x:c r="M409" s="252"/>
      <x:c r="N409" s="252"/>
      <x:c r="O409" s="251"/>
      <x:c r="P409" s="250"/>
      <x:c r="Q409" s="250"/>
      <x:c r="R409" s="250"/>
      <x:c r="S409" s="253"/>
      <x:c r="T409" s="250"/>
      <x:c r="U409"/>
      <x:c r="AA409"/>
      <x:c r="AB409"/>
      <x:c r="AC409"/>
      <x:c r="AD409"/>
      <x:c r="AE409"/>
      <x:c r="AF409"/>
      <x:c r="AG409"/>
      <x:c r="AH409"/>
      <x:c r="AI409"/>
      <x:c r="AJ409"/>
      <x:c r="AK409"/>
      <x:c r="AL409"/>
      <x:c r="AM409"/>
      <x:c r="AN409"/>
      <x:c r="AO409"/>
      <x:c r="AP409"/>
      <x:c r="AQ409"/>
      <x:c r="AR409"/>
    </x:row>
    <x:row r="410" s="248" customFormat="1">
      <x:c r="A410" s="250"/>
      <x:c r="B410" s="250"/>
      <x:c r="C410" s="566" t="str">
        <x:f>IF(B410="","",IFERROR(VLOOKUP(B410,PERUMAHAN!$A:$B,2,FALSE),"ID tidak ditemukan"))</x:f>
      </x:c>
      <x:c r="D410" s="250"/>
      <x:c r="E410" s="250"/>
      <x:c r="F410" s="250"/>
      <x:c r="G410" s="252"/>
      <x:c r="H410" s="252"/>
      <x:c r="I410" s="250"/>
      <x:c r="J410" s="250"/>
      <x:c r="K410" s="250"/>
      <x:c r="L410" s="250"/>
      <x:c r="M410" s="252"/>
      <x:c r="N410" s="252"/>
      <x:c r="O410" s="251"/>
      <x:c r="P410" s="250"/>
      <x:c r="Q410" s="250"/>
      <x:c r="R410" s="250"/>
      <x:c r="S410" s="253"/>
      <x:c r="T410" s="250"/>
      <x:c r="U410"/>
      <x:c r="AA410"/>
      <x:c r="AB410"/>
      <x:c r="AC410"/>
      <x:c r="AD410"/>
      <x:c r="AE410"/>
      <x:c r="AF410"/>
      <x:c r="AG410"/>
      <x:c r="AH410"/>
      <x:c r="AI410"/>
      <x:c r="AJ410"/>
      <x:c r="AK410"/>
      <x:c r="AL410"/>
      <x:c r="AM410"/>
      <x:c r="AN410"/>
      <x:c r="AO410"/>
      <x:c r="AP410"/>
      <x:c r="AQ410"/>
      <x:c r="AR410"/>
    </x:row>
    <x:row r="411" s="248" customFormat="1">
      <x:c r="A411" s="250"/>
      <x:c r="B411" s="250"/>
      <x:c r="C411" s="566" t="str">
        <x:f>IF(B411="","",IFERROR(VLOOKUP(B411,PERUMAHAN!$A:$B,2,FALSE),"ID tidak ditemukan"))</x:f>
      </x:c>
      <x:c r="D411" s="250"/>
      <x:c r="E411" s="250"/>
      <x:c r="F411" s="250"/>
      <x:c r="G411" s="252"/>
      <x:c r="H411" s="252"/>
      <x:c r="I411" s="250"/>
      <x:c r="J411" s="250"/>
      <x:c r="K411" s="250"/>
      <x:c r="L411" s="250"/>
      <x:c r="M411" s="252"/>
      <x:c r="N411" s="252"/>
      <x:c r="O411" s="251"/>
      <x:c r="P411" s="250"/>
      <x:c r="Q411" s="250"/>
      <x:c r="R411" s="250"/>
      <x:c r="S411" s="253"/>
      <x:c r="T411" s="250"/>
      <x:c r="U411"/>
      <x:c r="AA411"/>
      <x:c r="AB411"/>
      <x:c r="AC411"/>
      <x:c r="AD411"/>
      <x:c r="AE411"/>
      <x:c r="AF411"/>
      <x:c r="AG411"/>
      <x:c r="AH411"/>
      <x:c r="AI411"/>
      <x:c r="AJ411"/>
      <x:c r="AK411"/>
      <x:c r="AL411"/>
      <x:c r="AM411"/>
      <x:c r="AN411"/>
      <x:c r="AO411"/>
      <x:c r="AP411"/>
      <x:c r="AQ411"/>
      <x:c r="AR411"/>
    </x:row>
    <x:row r="412" s="248" customFormat="1">
      <x:c r="A412" s="250"/>
      <x:c r="B412" s="250"/>
      <x:c r="C412" s="566" t="str">
        <x:f>IF(B412="","",IFERROR(VLOOKUP(B412,PERUMAHAN!$A:$B,2,FALSE),"ID tidak ditemukan"))</x:f>
      </x:c>
      <x:c r="D412" s="250"/>
      <x:c r="E412" s="250"/>
      <x:c r="F412" s="250"/>
      <x:c r="G412" s="252"/>
      <x:c r="H412" s="252"/>
      <x:c r="I412" s="250"/>
      <x:c r="J412" s="250"/>
      <x:c r="K412" s="250"/>
      <x:c r="L412" s="250"/>
      <x:c r="M412" s="252"/>
      <x:c r="N412" s="252"/>
      <x:c r="O412" s="251"/>
      <x:c r="P412" s="250"/>
      <x:c r="Q412" s="250"/>
      <x:c r="R412" s="250"/>
      <x:c r="S412" s="253"/>
      <x:c r="T412" s="250"/>
      <x:c r="U412"/>
      <x:c r="AA412"/>
      <x:c r="AB412"/>
      <x:c r="AC412"/>
      <x:c r="AD412"/>
      <x:c r="AE412"/>
      <x:c r="AF412"/>
      <x:c r="AG412"/>
      <x:c r="AH412"/>
      <x:c r="AI412"/>
      <x:c r="AJ412"/>
      <x:c r="AK412"/>
      <x:c r="AL412"/>
      <x:c r="AM412"/>
      <x:c r="AN412"/>
      <x:c r="AO412"/>
      <x:c r="AP412"/>
      <x:c r="AQ412"/>
      <x:c r="AR412"/>
    </x:row>
    <x:row r="413" s="248" customFormat="1">
      <x:c r="A413" s="250"/>
      <x:c r="B413" s="250"/>
      <x:c r="C413" s="566" t="str">
        <x:f>IF(B413="","",IFERROR(VLOOKUP(B413,PERUMAHAN!$A:$B,2,FALSE),"ID tidak ditemukan"))</x:f>
      </x:c>
      <x:c r="D413" s="250"/>
      <x:c r="E413" s="250"/>
      <x:c r="F413" s="250"/>
      <x:c r="G413" s="252"/>
      <x:c r="H413" s="252"/>
      <x:c r="I413" s="250"/>
      <x:c r="J413" s="250"/>
      <x:c r="K413" s="250"/>
      <x:c r="L413" s="250"/>
      <x:c r="M413" s="252"/>
      <x:c r="N413" s="252"/>
      <x:c r="O413" s="251"/>
      <x:c r="P413" s="250"/>
      <x:c r="Q413" s="250"/>
      <x:c r="R413" s="250"/>
      <x:c r="S413" s="253"/>
      <x:c r="T413" s="250"/>
      <x:c r="U413"/>
      <x:c r="AA413"/>
      <x:c r="AB413"/>
      <x:c r="AC413"/>
      <x:c r="AD413"/>
      <x:c r="AE413"/>
      <x:c r="AF413"/>
      <x:c r="AG413"/>
      <x:c r="AH413"/>
      <x:c r="AI413"/>
      <x:c r="AJ413"/>
      <x:c r="AK413"/>
      <x:c r="AL413"/>
      <x:c r="AM413"/>
      <x:c r="AN413"/>
      <x:c r="AO413"/>
      <x:c r="AP413"/>
      <x:c r="AQ413"/>
      <x:c r="AR413"/>
    </x:row>
    <x:row r="414" s="248" customFormat="1">
      <x:c r="A414" s="250"/>
      <x:c r="B414" s="250"/>
      <x:c r="C414" s="566" t="str">
        <x:f>IF(B414="","",IFERROR(VLOOKUP(B414,PERUMAHAN!$A:$B,2,FALSE),"ID tidak ditemukan"))</x:f>
      </x:c>
      <x:c r="D414" s="250"/>
      <x:c r="E414" s="250"/>
      <x:c r="F414" s="250"/>
      <x:c r="G414" s="252"/>
      <x:c r="H414" s="252"/>
      <x:c r="I414" s="250"/>
      <x:c r="J414" s="250"/>
      <x:c r="K414" s="250"/>
      <x:c r="L414" s="250"/>
      <x:c r="M414" s="252"/>
      <x:c r="N414" s="252"/>
      <x:c r="O414" s="251"/>
      <x:c r="P414" s="250"/>
      <x:c r="Q414" s="250"/>
      <x:c r="R414" s="250"/>
      <x:c r="S414" s="253"/>
      <x:c r="T414" s="250"/>
      <x:c r="U414"/>
      <x:c r="AA414"/>
      <x:c r="AB414"/>
      <x:c r="AC414"/>
      <x:c r="AD414"/>
      <x:c r="AE414"/>
      <x:c r="AF414"/>
      <x:c r="AG414"/>
      <x:c r="AH414"/>
      <x:c r="AI414"/>
      <x:c r="AJ414"/>
      <x:c r="AK414"/>
      <x:c r="AL414"/>
      <x:c r="AM414"/>
      <x:c r="AN414"/>
      <x:c r="AO414"/>
      <x:c r="AP414"/>
      <x:c r="AQ414"/>
      <x:c r="AR414"/>
    </x:row>
    <x:row r="415" s="248" customFormat="1">
      <x:c r="A415" s="250"/>
      <x:c r="B415" s="250"/>
      <x:c r="C415" s="566" t="str">
        <x:f>IF(B415="","",IFERROR(VLOOKUP(B415,PERUMAHAN!$A:$B,2,FALSE),"ID tidak ditemukan"))</x:f>
      </x:c>
      <x:c r="D415" s="250"/>
      <x:c r="E415" s="250"/>
      <x:c r="F415" s="250"/>
      <x:c r="G415" s="252"/>
      <x:c r="H415" s="252"/>
      <x:c r="I415" s="250"/>
      <x:c r="J415" s="250"/>
      <x:c r="K415" s="250"/>
      <x:c r="L415" s="250"/>
      <x:c r="M415" s="252"/>
      <x:c r="N415" s="252"/>
      <x:c r="O415" s="251"/>
      <x:c r="P415" s="250"/>
      <x:c r="Q415" s="250"/>
      <x:c r="R415" s="250"/>
      <x:c r="S415" s="253"/>
      <x:c r="T415" s="250"/>
      <x:c r="U415"/>
      <x:c r="AA415"/>
      <x:c r="AB415"/>
      <x:c r="AC415"/>
      <x:c r="AD415"/>
      <x:c r="AE415"/>
      <x:c r="AF415"/>
      <x:c r="AG415"/>
      <x:c r="AH415"/>
      <x:c r="AI415"/>
      <x:c r="AJ415"/>
      <x:c r="AK415"/>
      <x:c r="AL415"/>
      <x:c r="AM415"/>
      <x:c r="AN415"/>
      <x:c r="AO415"/>
      <x:c r="AP415"/>
      <x:c r="AQ415"/>
      <x:c r="AR415"/>
    </x:row>
    <x:row r="416" s="248" customFormat="1">
      <x:c r="A416" s="250"/>
      <x:c r="B416" s="250"/>
      <x:c r="C416" s="566" t="str">
        <x:f>IF(B416="","",IFERROR(VLOOKUP(B416,PERUMAHAN!$A:$B,2,FALSE),"ID tidak ditemukan"))</x:f>
      </x:c>
      <x:c r="D416" s="250"/>
      <x:c r="E416" s="250"/>
      <x:c r="F416" s="250"/>
      <x:c r="G416" s="252"/>
      <x:c r="H416" s="252"/>
      <x:c r="I416" s="250"/>
      <x:c r="J416" s="250"/>
      <x:c r="K416" s="250"/>
      <x:c r="L416" s="250"/>
      <x:c r="M416" s="252"/>
      <x:c r="N416" s="252"/>
      <x:c r="O416" s="251"/>
      <x:c r="P416" s="250"/>
      <x:c r="Q416" s="250"/>
      <x:c r="R416" s="250"/>
      <x:c r="S416" s="253"/>
      <x:c r="T416" s="250"/>
      <x:c r="U416"/>
      <x:c r="AA416"/>
      <x:c r="AB416"/>
      <x:c r="AC416"/>
      <x:c r="AD416"/>
      <x:c r="AE416"/>
      <x:c r="AF416"/>
      <x:c r="AG416"/>
      <x:c r="AH416"/>
      <x:c r="AI416"/>
      <x:c r="AJ416"/>
      <x:c r="AK416"/>
      <x:c r="AL416"/>
      <x:c r="AM416"/>
      <x:c r="AN416"/>
      <x:c r="AO416"/>
      <x:c r="AP416"/>
      <x:c r="AQ416"/>
      <x:c r="AR416"/>
    </x:row>
    <x:row r="417" s="248" customFormat="1">
      <x:c r="A417" s="250"/>
      <x:c r="B417" s="250"/>
      <x:c r="C417" s="566" t="str">
        <x:f>IF(B417="","",IFERROR(VLOOKUP(B417,PERUMAHAN!$A:$B,2,FALSE),"ID tidak ditemukan"))</x:f>
      </x:c>
      <x:c r="D417" s="250"/>
      <x:c r="E417" s="250"/>
      <x:c r="F417" s="250"/>
      <x:c r="G417" s="252"/>
      <x:c r="H417" s="252"/>
      <x:c r="I417" s="250"/>
      <x:c r="J417" s="250"/>
      <x:c r="K417" s="250"/>
      <x:c r="L417" s="250"/>
      <x:c r="M417" s="252"/>
      <x:c r="N417" s="252"/>
      <x:c r="O417" s="251"/>
      <x:c r="P417" s="250"/>
      <x:c r="Q417" s="250"/>
      <x:c r="R417" s="250"/>
      <x:c r="S417" s="253"/>
      <x:c r="T417" s="250"/>
      <x:c r="U417"/>
      <x:c r="AA417"/>
      <x:c r="AB417"/>
      <x:c r="AC417"/>
      <x:c r="AD417"/>
      <x:c r="AE417"/>
      <x:c r="AF417"/>
      <x:c r="AG417"/>
      <x:c r="AH417"/>
      <x:c r="AI417"/>
      <x:c r="AJ417"/>
      <x:c r="AK417"/>
      <x:c r="AL417"/>
      <x:c r="AM417"/>
      <x:c r="AN417"/>
      <x:c r="AO417"/>
      <x:c r="AP417"/>
      <x:c r="AQ417"/>
      <x:c r="AR417"/>
    </x:row>
    <x:row r="418" s="248" customFormat="1">
      <x:c r="A418" s="250"/>
      <x:c r="B418" s="250"/>
      <x:c r="C418" s="566" t="str">
        <x:f>IF(B418="","",IFERROR(VLOOKUP(B418,PERUMAHAN!$A:$B,2,FALSE),"ID tidak ditemukan"))</x:f>
      </x:c>
      <x:c r="D418" s="250"/>
      <x:c r="E418" s="250"/>
      <x:c r="F418" s="250"/>
      <x:c r="G418" s="252"/>
      <x:c r="H418" s="252"/>
      <x:c r="I418" s="250"/>
      <x:c r="J418" s="250"/>
      <x:c r="K418" s="250"/>
      <x:c r="L418" s="250"/>
      <x:c r="M418" s="252"/>
      <x:c r="N418" s="252"/>
      <x:c r="O418" s="251"/>
      <x:c r="P418" s="250"/>
      <x:c r="Q418" s="250"/>
      <x:c r="R418" s="250"/>
      <x:c r="S418" s="253"/>
      <x:c r="T418" s="250"/>
      <x:c r="U418"/>
      <x:c r="AA418"/>
      <x:c r="AB418"/>
      <x:c r="AC418"/>
      <x:c r="AD418"/>
      <x:c r="AE418"/>
      <x:c r="AF418"/>
      <x:c r="AG418"/>
      <x:c r="AH418"/>
      <x:c r="AI418"/>
      <x:c r="AJ418"/>
      <x:c r="AK418"/>
      <x:c r="AL418"/>
      <x:c r="AM418"/>
      <x:c r="AN418"/>
      <x:c r="AO418"/>
      <x:c r="AP418"/>
      <x:c r="AQ418"/>
      <x:c r="AR418"/>
    </x:row>
    <x:row r="419" s="248" customFormat="1">
      <x:c r="A419" s="250"/>
      <x:c r="B419" s="250"/>
      <x:c r="C419" s="566" t="str">
        <x:f>IF(B419="","",IFERROR(VLOOKUP(B419,PERUMAHAN!$A:$B,2,FALSE),"ID tidak ditemukan"))</x:f>
      </x:c>
      <x:c r="D419" s="250"/>
      <x:c r="E419" s="250"/>
      <x:c r="F419" s="250"/>
      <x:c r="G419" s="252"/>
      <x:c r="H419" s="252"/>
      <x:c r="I419" s="250"/>
      <x:c r="J419" s="250"/>
      <x:c r="K419" s="250"/>
      <x:c r="L419" s="250"/>
      <x:c r="M419" s="252"/>
      <x:c r="N419" s="252"/>
      <x:c r="O419" s="251"/>
      <x:c r="P419" s="250"/>
      <x:c r="Q419" s="250"/>
      <x:c r="R419" s="250"/>
      <x:c r="S419" s="253"/>
      <x:c r="T419" s="250"/>
      <x:c r="U419"/>
      <x:c r="AA419"/>
      <x:c r="AB419"/>
      <x:c r="AC419"/>
      <x:c r="AD419"/>
      <x:c r="AE419"/>
      <x:c r="AF419"/>
      <x:c r="AG419"/>
      <x:c r="AH419"/>
      <x:c r="AI419"/>
      <x:c r="AJ419"/>
      <x:c r="AK419"/>
      <x:c r="AL419"/>
      <x:c r="AM419"/>
      <x:c r="AN419"/>
      <x:c r="AO419"/>
      <x:c r="AP419"/>
      <x:c r="AQ419"/>
      <x:c r="AR419"/>
    </x:row>
    <x:row r="420" s="248" customFormat="1">
      <x:c r="A420" s="250"/>
      <x:c r="B420" s="250"/>
      <x:c r="C420" s="566" t="str">
        <x:f>IF(B420="","",IFERROR(VLOOKUP(B420,PERUMAHAN!$A:$B,2,FALSE),"ID tidak ditemukan"))</x:f>
      </x:c>
      <x:c r="D420" s="250"/>
      <x:c r="E420" s="250"/>
      <x:c r="F420" s="250"/>
      <x:c r="G420" s="252"/>
      <x:c r="H420" s="252"/>
      <x:c r="I420" s="250"/>
      <x:c r="J420" s="250"/>
      <x:c r="K420" s="250"/>
      <x:c r="L420" s="250"/>
      <x:c r="M420" s="252"/>
      <x:c r="N420" s="252"/>
      <x:c r="O420" s="251"/>
      <x:c r="P420" s="250"/>
      <x:c r="Q420" s="250"/>
      <x:c r="R420" s="250"/>
      <x:c r="S420" s="253"/>
      <x:c r="T420" s="250"/>
      <x:c r="U420"/>
      <x:c r="AA420"/>
      <x:c r="AB420"/>
      <x:c r="AC420"/>
      <x:c r="AD420"/>
      <x:c r="AE420"/>
      <x:c r="AF420"/>
      <x:c r="AG420"/>
      <x:c r="AH420"/>
      <x:c r="AI420"/>
      <x:c r="AJ420"/>
      <x:c r="AK420"/>
      <x:c r="AL420"/>
      <x:c r="AM420"/>
      <x:c r="AN420"/>
      <x:c r="AO420"/>
      <x:c r="AP420"/>
      <x:c r="AQ420"/>
      <x:c r="AR420"/>
    </x:row>
    <x:row r="421" s="248" customFormat="1">
      <x:c r="A421" s="250"/>
      <x:c r="B421" s="250"/>
      <x:c r="C421" s="566" t="str">
        <x:f>IF(B421="","",IFERROR(VLOOKUP(B421,PERUMAHAN!$A:$B,2,FALSE),"ID tidak ditemukan"))</x:f>
      </x:c>
      <x:c r="D421" s="250"/>
      <x:c r="E421" s="250"/>
      <x:c r="F421" s="250"/>
      <x:c r="G421" s="252"/>
      <x:c r="H421" s="252"/>
      <x:c r="I421" s="250"/>
      <x:c r="J421" s="250"/>
      <x:c r="K421" s="250"/>
      <x:c r="L421" s="250"/>
      <x:c r="M421" s="252"/>
      <x:c r="N421" s="252"/>
      <x:c r="O421" s="251"/>
      <x:c r="P421" s="250"/>
      <x:c r="Q421" s="250"/>
      <x:c r="R421" s="250"/>
      <x:c r="S421" s="253"/>
      <x:c r="T421" s="250"/>
      <x:c r="U421"/>
      <x:c r="AA421"/>
      <x:c r="AB421"/>
      <x:c r="AC421"/>
      <x:c r="AD421"/>
      <x:c r="AE421"/>
      <x:c r="AF421"/>
      <x:c r="AG421"/>
      <x:c r="AH421"/>
      <x:c r="AI421"/>
      <x:c r="AJ421"/>
      <x:c r="AK421"/>
      <x:c r="AL421"/>
      <x:c r="AM421"/>
      <x:c r="AN421"/>
      <x:c r="AO421"/>
      <x:c r="AP421"/>
      <x:c r="AQ421"/>
      <x:c r="AR421"/>
    </x:row>
    <x:row r="422" s="248" customFormat="1">
      <x:c r="A422" s="250"/>
      <x:c r="B422" s="250"/>
      <x:c r="C422" s="566" t="str">
        <x:f>IF(B422="","",IFERROR(VLOOKUP(B422,PERUMAHAN!$A:$B,2,FALSE),"ID tidak ditemukan"))</x:f>
      </x:c>
      <x:c r="D422" s="250"/>
      <x:c r="E422" s="250"/>
      <x:c r="F422" s="250"/>
      <x:c r="G422" s="252"/>
      <x:c r="H422" s="252"/>
      <x:c r="I422" s="250"/>
      <x:c r="J422" s="250"/>
      <x:c r="K422" s="250"/>
      <x:c r="L422" s="250"/>
      <x:c r="M422" s="252"/>
      <x:c r="N422" s="252"/>
      <x:c r="O422" s="251"/>
      <x:c r="P422" s="250"/>
      <x:c r="Q422" s="250"/>
      <x:c r="R422" s="250"/>
      <x:c r="S422" s="253"/>
      <x:c r="T422" s="250"/>
      <x:c r="U422"/>
      <x:c r="AA422"/>
      <x:c r="AB422"/>
      <x:c r="AC422"/>
      <x:c r="AD422"/>
      <x:c r="AE422"/>
      <x:c r="AF422"/>
      <x:c r="AG422"/>
      <x:c r="AH422"/>
      <x:c r="AI422"/>
      <x:c r="AJ422"/>
      <x:c r="AK422"/>
      <x:c r="AL422"/>
      <x:c r="AM422"/>
      <x:c r="AN422"/>
      <x:c r="AO422"/>
      <x:c r="AP422"/>
      <x:c r="AQ422"/>
      <x:c r="AR422"/>
    </x:row>
    <x:row r="423" s="248" customFormat="1">
      <x:c r="A423" s="250"/>
      <x:c r="B423" s="250"/>
      <x:c r="C423" s="566" t="str">
        <x:f>IF(B423="","",IFERROR(VLOOKUP(B423,PERUMAHAN!$A:$B,2,FALSE),"ID tidak ditemukan"))</x:f>
      </x:c>
      <x:c r="D423" s="250"/>
      <x:c r="E423" s="250"/>
      <x:c r="F423" s="250"/>
      <x:c r="G423" s="252"/>
      <x:c r="H423" s="252"/>
      <x:c r="I423" s="250"/>
      <x:c r="J423" s="250"/>
      <x:c r="K423" s="250"/>
      <x:c r="L423" s="250"/>
      <x:c r="M423" s="252"/>
      <x:c r="N423" s="252"/>
      <x:c r="O423" s="251"/>
      <x:c r="P423" s="250"/>
      <x:c r="Q423" s="250"/>
      <x:c r="R423" s="250"/>
      <x:c r="S423" s="253"/>
      <x:c r="T423" s="250"/>
      <x:c r="U423"/>
      <x:c r="AA423"/>
      <x:c r="AB423"/>
      <x:c r="AC423"/>
      <x:c r="AD423"/>
      <x:c r="AE423"/>
      <x:c r="AF423"/>
      <x:c r="AG423"/>
      <x:c r="AH423"/>
      <x:c r="AI423"/>
      <x:c r="AJ423"/>
      <x:c r="AK423"/>
      <x:c r="AL423"/>
      <x:c r="AM423"/>
      <x:c r="AN423"/>
      <x:c r="AO423"/>
      <x:c r="AP423"/>
      <x:c r="AQ423"/>
      <x:c r="AR423"/>
    </x:row>
    <x:row r="424" s="248" customFormat="1">
      <x:c r="A424" s="250"/>
      <x:c r="B424" s="250"/>
      <x:c r="C424" s="566" t="str">
        <x:f>IF(B424="","",IFERROR(VLOOKUP(B424,PERUMAHAN!$A:$B,2,FALSE),"ID tidak ditemukan"))</x:f>
      </x:c>
      <x:c r="D424" s="250"/>
      <x:c r="E424" s="250"/>
      <x:c r="F424" s="250"/>
      <x:c r="G424" s="252"/>
      <x:c r="H424" s="252"/>
      <x:c r="I424" s="250"/>
      <x:c r="J424" s="250"/>
      <x:c r="K424" s="250"/>
      <x:c r="L424" s="250"/>
      <x:c r="M424" s="252"/>
      <x:c r="N424" s="252"/>
      <x:c r="O424" s="251"/>
      <x:c r="P424" s="250"/>
      <x:c r="Q424" s="250"/>
      <x:c r="R424" s="250"/>
      <x:c r="S424" s="253"/>
      <x:c r="T424" s="250"/>
      <x:c r="U424"/>
      <x:c r="AA424"/>
      <x:c r="AB424"/>
      <x:c r="AC424"/>
      <x:c r="AD424"/>
      <x:c r="AE424"/>
      <x:c r="AF424"/>
      <x:c r="AG424"/>
      <x:c r="AH424"/>
      <x:c r="AI424"/>
      <x:c r="AJ424"/>
      <x:c r="AK424"/>
      <x:c r="AL424"/>
      <x:c r="AM424"/>
      <x:c r="AN424"/>
      <x:c r="AO424"/>
      <x:c r="AP424"/>
      <x:c r="AQ424"/>
      <x:c r="AR424"/>
    </x:row>
    <x:row r="425" s="248" customFormat="1">
      <x:c r="A425" s="250"/>
      <x:c r="B425" s="250"/>
      <x:c r="C425" s="566" t="str">
        <x:f>IF(B425="","",IFERROR(VLOOKUP(B425,PERUMAHAN!$A:$B,2,FALSE),"ID tidak ditemukan"))</x:f>
      </x:c>
      <x:c r="D425" s="250"/>
      <x:c r="E425" s="250"/>
      <x:c r="F425" s="250"/>
      <x:c r="G425" s="252"/>
      <x:c r="H425" s="252"/>
      <x:c r="I425" s="250"/>
      <x:c r="J425" s="250"/>
      <x:c r="K425" s="250"/>
      <x:c r="L425" s="250"/>
      <x:c r="M425" s="252"/>
      <x:c r="N425" s="252"/>
      <x:c r="O425" s="251"/>
      <x:c r="P425" s="250"/>
      <x:c r="Q425" s="250"/>
      <x:c r="R425" s="250"/>
      <x:c r="S425" s="253"/>
      <x:c r="T425" s="250"/>
      <x:c r="U425"/>
      <x:c r="AA425"/>
      <x:c r="AB425"/>
      <x:c r="AC425"/>
      <x:c r="AD425"/>
      <x:c r="AE425"/>
      <x:c r="AF425"/>
      <x:c r="AG425"/>
      <x:c r="AH425"/>
      <x:c r="AI425"/>
      <x:c r="AJ425"/>
      <x:c r="AK425"/>
      <x:c r="AL425"/>
      <x:c r="AM425"/>
      <x:c r="AN425"/>
      <x:c r="AO425"/>
      <x:c r="AP425"/>
      <x:c r="AQ425"/>
      <x:c r="AR425"/>
    </x:row>
    <x:row r="426" s="248" customFormat="1">
      <x:c r="A426" s="250"/>
      <x:c r="B426" s="250"/>
      <x:c r="C426" s="566" t="str">
        <x:f>IF(B426="","",IFERROR(VLOOKUP(B426,PERUMAHAN!$A:$B,2,FALSE),"ID tidak ditemukan"))</x:f>
      </x:c>
      <x:c r="D426" s="250"/>
      <x:c r="E426" s="250"/>
      <x:c r="F426" s="250"/>
      <x:c r="G426" s="252"/>
      <x:c r="H426" s="252"/>
      <x:c r="I426" s="250"/>
      <x:c r="J426" s="250"/>
      <x:c r="K426" s="250"/>
      <x:c r="L426" s="250"/>
      <x:c r="M426" s="252"/>
      <x:c r="N426" s="252"/>
      <x:c r="O426" s="251"/>
      <x:c r="P426" s="250"/>
      <x:c r="Q426" s="250"/>
      <x:c r="R426" s="250"/>
      <x:c r="S426" s="253"/>
      <x:c r="T426" s="250"/>
      <x:c r="U426"/>
      <x:c r="AA426"/>
      <x:c r="AB426"/>
      <x:c r="AC426"/>
      <x:c r="AD426"/>
      <x:c r="AE426"/>
      <x:c r="AF426"/>
      <x:c r="AG426"/>
      <x:c r="AH426"/>
      <x:c r="AI426"/>
      <x:c r="AJ426"/>
      <x:c r="AK426"/>
      <x:c r="AL426"/>
      <x:c r="AM426"/>
      <x:c r="AN426"/>
      <x:c r="AO426"/>
      <x:c r="AP426"/>
      <x:c r="AQ426"/>
      <x:c r="AR426"/>
    </x:row>
    <x:row r="427" s="248" customFormat="1">
      <x:c r="A427" s="250"/>
      <x:c r="B427" s="250"/>
      <x:c r="C427" s="566" t="str">
        <x:f>IF(B427="","",IFERROR(VLOOKUP(B427,PERUMAHAN!$A:$B,2,FALSE),"ID tidak ditemukan"))</x:f>
      </x:c>
      <x:c r="D427" s="250"/>
      <x:c r="E427" s="250"/>
      <x:c r="F427" s="250"/>
      <x:c r="G427" s="252"/>
      <x:c r="H427" s="252"/>
      <x:c r="I427" s="250"/>
      <x:c r="J427" s="250"/>
      <x:c r="K427" s="250"/>
      <x:c r="L427" s="250"/>
      <x:c r="M427" s="252"/>
      <x:c r="N427" s="252"/>
      <x:c r="O427" s="251"/>
      <x:c r="P427" s="250"/>
      <x:c r="Q427" s="250"/>
      <x:c r="R427" s="250"/>
      <x:c r="S427" s="253"/>
      <x:c r="T427" s="250"/>
      <x:c r="U427"/>
      <x:c r="AA427"/>
      <x:c r="AB427"/>
      <x:c r="AC427"/>
      <x:c r="AD427"/>
      <x:c r="AE427"/>
      <x:c r="AF427"/>
      <x:c r="AG427"/>
      <x:c r="AH427"/>
      <x:c r="AI427"/>
      <x:c r="AJ427"/>
      <x:c r="AK427"/>
      <x:c r="AL427"/>
      <x:c r="AM427"/>
      <x:c r="AN427"/>
      <x:c r="AO427"/>
      <x:c r="AP427"/>
      <x:c r="AQ427"/>
      <x:c r="AR427"/>
    </x:row>
    <x:row r="428" s="248" customFormat="1">
      <x:c r="A428" s="250"/>
      <x:c r="B428" s="250"/>
      <x:c r="C428" s="566" t="str">
        <x:f>IF(B428="","",IFERROR(VLOOKUP(B428,PERUMAHAN!$A:$B,2,FALSE),"ID tidak ditemukan"))</x:f>
      </x:c>
      <x:c r="D428" s="250"/>
      <x:c r="E428" s="250"/>
      <x:c r="F428" s="250"/>
      <x:c r="G428" s="252"/>
      <x:c r="H428" s="252"/>
      <x:c r="I428" s="250"/>
      <x:c r="J428" s="250"/>
      <x:c r="K428" s="250"/>
      <x:c r="L428" s="250"/>
      <x:c r="M428" s="252"/>
      <x:c r="N428" s="252"/>
      <x:c r="O428" s="251"/>
      <x:c r="P428" s="250"/>
      <x:c r="Q428" s="250"/>
      <x:c r="R428" s="250"/>
      <x:c r="S428" s="253"/>
      <x:c r="T428" s="250"/>
      <x:c r="U428"/>
      <x:c r="AA428"/>
      <x:c r="AB428"/>
      <x:c r="AC428"/>
      <x:c r="AD428"/>
      <x:c r="AE428"/>
      <x:c r="AF428"/>
      <x:c r="AG428"/>
      <x:c r="AH428"/>
      <x:c r="AI428"/>
      <x:c r="AJ428"/>
      <x:c r="AK428"/>
      <x:c r="AL428"/>
      <x:c r="AM428"/>
      <x:c r="AN428"/>
      <x:c r="AO428"/>
      <x:c r="AP428"/>
      <x:c r="AQ428"/>
      <x:c r="AR428"/>
    </x:row>
    <x:row r="429" s="248" customFormat="1">
      <x:c r="A429" s="250"/>
      <x:c r="B429" s="250"/>
      <x:c r="C429" s="566" t="str">
        <x:f>IF(B429="","",IFERROR(VLOOKUP(B429,PERUMAHAN!$A:$B,2,FALSE),"ID tidak ditemukan"))</x:f>
      </x:c>
      <x:c r="D429" s="250"/>
      <x:c r="E429" s="250"/>
      <x:c r="F429" s="250"/>
      <x:c r="G429" s="252"/>
      <x:c r="H429" s="252"/>
      <x:c r="I429" s="250"/>
      <x:c r="J429" s="250"/>
      <x:c r="K429" s="250"/>
      <x:c r="L429" s="250"/>
      <x:c r="M429" s="252"/>
      <x:c r="N429" s="252"/>
      <x:c r="O429" s="251"/>
      <x:c r="P429" s="250"/>
      <x:c r="Q429" s="250"/>
      <x:c r="R429" s="250"/>
      <x:c r="S429" s="253"/>
      <x:c r="T429" s="250"/>
      <x:c r="U429"/>
      <x:c r="AA429"/>
      <x:c r="AB429"/>
      <x:c r="AC429"/>
      <x:c r="AD429"/>
      <x:c r="AE429"/>
      <x:c r="AF429"/>
      <x:c r="AG429"/>
      <x:c r="AH429"/>
      <x:c r="AI429"/>
      <x:c r="AJ429"/>
      <x:c r="AK429"/>
      <x:c r="AL429"/>
      <x:c r="AM429"/>
      <x:c r="AN429"/>
      <x:c r="AO429"/>
      <x:c r="AP429"/>
      <x:c r="AQ429"/>
      <x:c r="AR429"/>
    </x:row>
    <x:row r="430" s="248" customFormat="1">
      <x:c r="A430" s="250"/>
      <x:c r="B430" s="250"/>
      <x:c r="C430" s="566" t="str">
        <x:f>IF(B430="","",IFERROR(VLOOKUP(B430,PERUMAHAN!$A:$B,2,FALSE),"ID tidak ditemukan"))</x:f>
      </x:c>
      <x:c r="D430" s="250"/>
      <x:c r="E430" s="250"/>
      <x:c r="F430" s="250"/>
      <x:c r="G430" s="252"/>
      <x:c r="H430" s="252"/>
      <x:c r="I430" s="250"/>
      <x:c r="J430" s="250"/>
      <x:c r="K430" s="250"/>
      <x:c r="L430" s="250"/>
      <x:c r="M430" s="252"/>
      <x:c r="N430" s="252"/>
      <x:c r="O430" s="251"/>
      <x:c r="P430" s="250"/>
      <x:c r="Q430" s="250"/>
      <x:c r="R430" s="250"/>
      <x:c r="S430" s="253"/>
      <x:c r="T430" s="250"/>
      <x:c r="U430"/>
      <x:c r="AA430"/>
      <x:c r="AB430"/>
      <x:c r="AC430"/>
      <x:c r="AD430"/>
      <x:c r="AE430"/>
      <x:c r="AF430"/>
      <x:c r="AG430"/>
      <x:c r="AH430"/>
      <x:c r="AI430"/>
      <x:c r="AJ430"/>
      <x:c r="AK430"/>
      <x:c r="AL430"/>
      <x:c r="AM430"/>
      <x:c r="AN430"/>
      <x:c r="AO430"/>
      <x:c r="AP430"/>
      <x:c r="AQ430"/>
      <x:c r="AR430"/>
    </x:row>
    <x:row r="431" s="248" customFormat="1">
      <x:c r="A431" s="250"/>
      <x:c r="B431" s="250"/>
      <x:c r="C431" s="566" t="str">
        <x:f>IF(B431="","",IFERROR(VLOOKUP(B431,PERUMAHAN!$A:$B,2,FALSE),"ID tidak ditemukan"))</x:f>
      </x:c>
      <x:c r="D431" s="250"/>
      <x:c r="E431" s="250"/>
      <x:c r="F431" s="250"/>
      <x:c r="G431" s="252"/>
      <x:c r="H431" s="252"/>
      <x:c r="I431" s="250"/>
      <x:c r="J431" s="250"/>
      <x:c r="K431" s="250"/>
      <x:c r="L431" s="250"/>
      <x:c r="M431" s="252"/>
      <x:c r="N431" s="252"/>
      <x:c r="O431" s="251"/>
      <x:c r="P431" s="250"/>
      <x:c r="Q431" s="250"/>
      <x:c r="R431" s="250"/>
      <x:c r="S431" s="253"/>
      <x:c r="T431" s="250"/>
      <x:c r="U431"/>
      <x:c r="AA431"/>
      <x:c r="AB431"/>
      <x:c r="AC431"/>
      <x:c r="AD431"/>
      <x:c r="AE431"/>
      <x:c r="AF431"/>
      <x:c r="AG431"/>
      <x:c r="AH431"/>
      <x:c r="AI431"/>
      <x:c r="AJ431"/>
      <x:c r="AK431"/>
      <x:c r="AL431"/>
      <x:c r="AM431"/>
      <x:c r="AN431"/>
      <x:c r="AO431"/>
      <x:c r="AP431"/>
      <x:c r="AQ431"/>
      <x:c r="AR431"/>
    </x:row>
    <x:row r="432" s="248" customFormat="1">
      <x:c r="A432" s="250"/>
      <x:c r="B432" s="250"/>
      <x:c r="C432" s="566" t="str">
        <x:f>IF(B432="","",IFERROR(VLOOKUP(B432,PERUMAHAN!$A:$B,2,FALSE),"ID tidak ditemukan"))</x:f>
      </x:c>
      <x:c r="D432" s="250"/>
      <x:c r="E432" s="250"/>
      <x:c r="F432" s="250"/>
      <x:c r="G432" s="252"/>
      <x:c r="H432" s="252"/>
      <x:c r="I432" s="250"/>
      <x:c r="J432" s="250"/>
      <x:c r="K432" s="250"/>
      <x:c r="L432" s="250"/>
      <x:c r="M432" s="252"/>
      <x:c r="N432" s="252"/>
      <x:c r="O432" s="251"/>
      <x:c r="P432" s="250"/>
      <x:c r="Q432" s="250"/>
      <x:c r="R432" s="250"/>
      <x:c r="S432" s="253"/>
      <x:c r="T432" s="250"/>
      <x:c r="U432"/>
      <x:c r="AA432"/>
      <x:c r="AB432"/>
      <x:c r="AC432"/>
      <x:c r="AD432"/>
      <x:c r="AE432"/>
      <x:c r="AF432"/>
      <x:c r="AG432"/>
      <x:c r="AH432"/>
      <x:c r="AI432"/>
      <x:c r="AJ432"/>
      <x:c r="AK432"/>
      <x:c r="AL432"/>
      <x:c r="AM432"/>
      <x:c r="AN432"/>
      <x:c r="AO432"/>
      <x:c r="AP432"/>
      <x:c r="AQ432"/>
      <x:c r="AR432"/>
    </x:row>
    <x:row r="433" s="248" customFormat="1">
      <x:c r="A433" s="250"/>
      <x:c r="B433" s="250"/>
      <x:c r="C433" s="566" t="str">
        <x:f>IF(B433="","",IFERROR(VLOOKUP(B433,PERUMAHAN!$A:$B,2,FALSE),"ID tidak ditemukan"))</x:f>
      </x:c>
      <x:c r="D433" s="250"/>
      <x:c r="E433" s="250"/>
      <x:c r="F433" s="250"/>
      <x:c r="G433" s="252"/>
      <x:c r="H433" s="252"/>
      <x:c r="I433" s="250"/>
      <x:c r="J433" s="250"/>
      <x:c r="K433" s="250"/>
      <x:c r="L433" s="250"/>
      <x:c r="M433" s="252"/>
      <x:c r="N433" s="252"/>
      <x:c r="O433" s="251"/>
      <x:c r="P433" s="250"/>
      <x:c r="Q433" s="250"/>
      <x:c r="R433" s="250"/>
      <x:c r="S433" s="253"/>
      <x:c r="T433" s="250"/>
      <x:c r="U433"/>
      <x:c r="AA433"/>
      <x:c r="AB433"/>
      <x:c r="AC433"/>
      <x:c r="AD433"/>
      <x:c r="AE433"/>
      <x:c r="AF433"/>
      <x:c r="AG433"/>
      <x:c r="AH433"/>
      <x:c r="AI433"/>
      <x:c r="AJ433"/>
      <x:c r="AK433"/>
      <x:c r="AL433"/>
      <x:c r="AM433"/>
      <x:c r="AN433"/>
      <x:c r="AO433"/>
      <x:c r="AP433"/>
      <x:c r="AQ433"/>
      <x:c r="AR433"/>
    </x:row>
    <x:row r="434" s="248" customFormat="1">
      <x:c r="A434" s="250"/>
      <x:c r="B434" s="250"/>
      <x:c r="C434" s="566" t="str">
        <x:f>IF(B434="","",IFERROR(VLOOKUP(B434,PERUMAHAN!$A:$B,2,FALSE),"ID tidak ditemukan"))</x:f>
      </x:c>
      <x:c r="D434" s="250"/>
      <x:c r="E434" s="250"/>
      <x:c r="F434" s="250"/>
      <x:c r="G434" s="252"/>
      <x:c r="H434" s="252"/>
      <x:c r="I434" s="250"/>
      <x:c r="J434" s="250"/>
      <x:c r="K434" s="250"/>
      <x:c r="L434" s="250"/>
      <x:c r="M434" s="252"/>
      <x:c r="N434" s="252"/>
      <x:c r="O434" s="251"/>
      <x:c r="P434" s="250"/>
      <x:c r="Q434" s="250"/>
      <x:c r="R434" s="250"/>
      <x:c r="S434" s="253"/>
      <x:c r="T434" s="250"/>
      <x:c r="U434"/>
      <x:c r="AA434"/>
      <x:c r="AB434"/>
      <x:c r="AC434"/>
      <x:c r="AD434"/>
      <x:c r="AE434"/>
      <x:c r="AF434"/>
      <x:c r="AG434"/>
      <x:c r="AH434"/>
      <x:c r="AI434"/>
      <x:c r="AJ434"/>
      <x:c r="AK434"/>
      <x:c r="AL434"/>
      <x:c r="AM434"/>
      <x:c r="AN434"/>
      <x:c r="AO434"/>
      <x:c r="AP434"/>
      <x:c r="AQ434"/>
      <x:c r="AR434"/>
    </x:row>
    <x:row r="435" s="248" customFormat="1">
      <x:c r="A435" s="250"/>
      <x:c r="B435" s="250"/>
      <x:c r="C435" s="566" t="str">
        <x:f>IF(B435="","",IFERROR(VLOOKUP(B435,PERUMAHAN!$A:$B,2,FALSE),"ID tidak ditemukan"))</x:f>
      </x:c>
      <x:c r="D435" s="250"/>
      <x:c r="E435" s="250"/>
      <x:c r="F435" s="250"/>
      <x:c r="G435" s="252"/>
      <x:c r="H435" s="252"/>
      <x:c r="I435" s="250"/>
      <x:c r="J435" s="250"/>
      <x:c r="K435" s="250"/>
      <x:c r="L435" s="250"/>
      <x:c r="M435" s="252"/>
      <x:c r="N435" s="252"/>
      <x:c r="O435" s="251"/>
      <x:c r="P435" s="250"/>
      <x:c r="Q435" s="250"/>
      <x:c r="R435" s="250"/>
      <x:c r="S435" s="253"/>
      <x:c r="T435" s="250"/>
      <x:c r="U435"/>
      <x:c r="AA435"/>
      <x:c r="AB435"/>
      <x:c r="AC435"/>
      <x:c r="AD435"/>
      <x:c r="AE435"/>
      <x:c r="AF435"/>
      <x:c r="AG435"/>
      <x:c r="AH435"/>
      <x:c r="AI435"/>
      <x:c r="AJ435"/>
      <x:c r="AK435"/>
      <x:c r="AL435"/>
      <x:c r="AM435"/>
      <x:c r="AN435"/>
      <x:c r="AO435"/>
      <x:c r="AP435"/>
      <x:c r="AQ435"/>
      <x:c r="AR435"/>
    </x:row>
    <x:row r="436" s="248" customFormat="1">
      <x:c r="A436" s="250"/>
      <x:c r="B436" s="250"/>
      <x:c r="C436" s="566" t="str">
        <x:f>IF(B436="","",IFERROR(VLOOKUP(B436,PERUMAHAN!$A:$B,2,FALSE),"ID tidak ditemukan"))</x:f>
      </x:c>
      <x:c r="D436" s="250"/>
      <x:c r="E436" s="250"/>
      <x:c r="F436" s="250"/>
      <x:c r="G436" s="252"/>
      <x:c r="H436" s="252"/>
      <x:c r="I436" s="250"/>
      <x:c r="J436" s="250"/>
      <x:c r="K436" s="250"/>
      <x:c r="L436" s="250"/>
      <x:c r="M436" s="252"/>
      <x:c r="N436" s="252"/>
      <x:c r="O436" s="251"/>
      <x:c r="P436" s="250"/>
      <x:c r="Q436" s="250"/>
      <x:c r="R436" s="250"/>
      <x:c r="S436" s="253"/>
      <x:c r="T436" s="250"/>
      <x:c r="U436"/>
      <x:c r="AA436"/>
      <x:c r="AB436"/>
      <x:c r="AC436"/>
      <x:c r="AD436"/>
      <x:c r="AE436"/>
      <x:c r="AF436"/>
      <x:c r="AG436"/>
      <x:c r="AH436"/>
      <x:c r="AI436"/>
      <x:c r="AJ436"/>
      <x:c r="AK436"/>
      <x:c r="AL436"/>
      <x:c r="AM436"/>
      <x:c r="AN436"/>
      <x:c r="AO436"/>
      <x:c r="AP436"/>
      <x:c r="AQ436"/>
      <x:c r="AR436"/>
    </x:row>
    <x:row r="437" s="248" customFormat="1">
      <x:c r="A437" s="250"/>
      <x:c r="B437" s="250"/>
      <x:c r="C437" s="566" t="str">
        <x:f>IF(B437="","",IFERROR(VLOOKUP(B437,PERUMAHAN!$A:$B,2,FALSE),"ID tidak ditemukan"))</x:f>
      </x:c>
      <x:c r="D437" s="250"/>
      <x:c r="E437" s="250"/>
      <x:c r="F437" s="250"/>
      <x:c r="G437" s="252"/>
      <x:c r="H437" s="252"/>
      <x:c r="I437" s="250"/>
      <x:c r="J437" s="250"/>
      <x:c r="K437" s="250"/>
      <x:c r="L437" s="250"/>
      <x:c r="M437" s="252"/>
      <x:c r="N437" s="252"/>
      <x:c r="O437" s="251"/>
      <x:c r="P437" s="250"/>
      <x:c r="Q437" s="250"/>
      <x:c r="R437" s="250"/>
      <x:c r="S437" s="253"/>
      <x:c r="T437" s="250"/>
      <x:c r="U437"/>
      <x:c r="AA437"/>
      <x:c r="AB437"/>
      <x:c r="AC437"/>
      <x:c r="AD437"/>
      <x:c r="AE437"/>
      <x:c r="AF437"/>
      <x:c r="AG437"/>
      <x:c r="AH437"/>
      <x:c r="AI437"/>
      <x:c r="AJ437"/>
      <x:c r="AK437"/>
      <x:c r="AL437"/>
      <x:c r="AM437"/>
      <x:c r="AN437"/>
      <x:c r="AO437"/>
      <x:c r="AP437"/>
      <x:c r="AQ437"/>
      <x:c r="AR437"/>
    </x:row>
    <x:row r="438" s="248" customFormat="1">
      <x:c r="A438" s="250"/>
      <x:c r="B438" s="250"/>
      <x:c r="C438" s="566" t="str">
        <x:f>IF(B438="","",IFERROR(VLOOKUP(B438,PERUMAHAN!$A:$B,2,FALSE),"ID tidak ditemukan"))</x:f>
      </x:c>
      <x:c r="D438" s="250"/>
      <x:c r="E438" s="250"/>
      <x:c r="F438" s="250"/>
      <x:c r="G438" s="252"/>
      <x:c r="H438" s="252"/>
      <x:c r="I438" s="250"/>
      <x:c r="J438" s="250"/>
      <x:c r="K438" s="250"/>
      <x:c r="L438" s="250"/>
      <x:c r="M438" s="252"/>
      <x:c r="N438" s="252"/>
      <x:c r="O438" s="251"/>
      <x:c r="P438" s="250"/>
      <x:c r="Q438" s="250"/>
      <x:c r="R438" s="250"/>
      <x:c r="S438" s="253"/>
      <x:c r="T438" s="250"/>
      <x:c r="U438"/>
      <x:c r="AA438"/>
      <x:c r="AB438"/>
      <x:c r="AC438"/>
      <x:c r="AD438"/>
      <x:c r="AE438"/>
      <x:c r="AF438"/>
      <x:c r="AG438"/>
      <x:c r="AH438"/>
      <x:c r="AI438"/>
      <x:c r="AJ438"/>
      <x:c r="AK438"/>
      <x:c r="AL438"/>
      <x:c r="AM438"/>
      <x:c r="AN438"/>
      <x:c r="AO438"/>
      <x:c r="AP438"/>
      <x:c r="AQ438"/>
      <x:c r="AR438"/>
    </x:row>
    <x:row r="439" s="248" customFormat="1">
      <x:c r="A439" s="250"/>
      <x:c r="B439" s="250"/>
      <x:c r="C439" s="566" t="str">
        <x:f>IF(B439="","",IFERROR(VLOOKUP(B439,PERUMAHAN!$A:$B,2,FALSE),"ID tidak ditemukan"))</x:f>
      </x:c>
      <x:c r="D439" s="250"/>
      <x:c r="E439" s="250"/>
      <x:c r="F439" s="250"/>
      <x:c r="G439" s="252"/>
      <x:c r="H439" s="252"/>
      <x:c r="I439" s="250"/>
      <x:c r="J439" s="250"/>
      <x:c r="K439" s="250"/>
      <x:c r="L439" s="250"/>
      <x:c r="M439" s="252"/>
      <x:c r="N439" s="252"/>
      <x:c r="O439" s="251"/>
      <x:c r="P439" s="250"/>
      <x:c r="Q439" s="250"/>
      <x:c r="R439" s="250"/>
      <x:c r="S439" s="253"/>
      <x:c r="T439" s="250"/>
      <x:c r="U439"/>
      <x:c r="AA439"/>
      <x:c r="AB439"/>
      <x:c r="AC439"/>
      <x:c r="AD439"/>
      <x:c r="AE439"/>
      <x:c r="AF439"/>
      <x:c r="AG439"/>
      <x:c r="AH439"/>
      <x:c r="AI439"/>
      <x:c r="AJ439"/>
      <x:c r="AK439"/>
      <x:c r="AL439"/>
      <x:c r="AM439"/>
      <x:c r="AN439"/>
      <x:c r="AO439"/>
      <x:c r="AP439"/>
      <x:c r="AQ439"/>
      <x:c r="AR439"/>
    </x:row>
    <x:row r="440" s="248" customFormat="1">
      <x:c r="A440" s="250"/>
      <x:c r="B440" s="250"/>
      <x:c r="C440" s="566" t="str">
        <x:f>IF(B440="","",IFERROR(VLOOKUP(B440,PERUMAHAN!$A:$B,2,FALSE),"ID tidak ditemukan"))</x:f>
      </x:c>
      <x:c r="D440" s="250"/>
      <x:c r="E440" s="250"/>
      <x:c r="F440" s="250"/>
      <x:c r="G440" s="252"/>
      <x:c r="H440" s="252"/>
      <x:c r="I440" s="250"/>
      <x:c r="J440" s="250"/>
      <x:c r="K440" s="250"/>
      <x:c r="L440" s="250"/>
      <x:c r="M440" s="252"/>
      <x:c r="N440" s="252"/>
      <x:c r="O440" s="251"/>
      <x:c r="P440" s="250"/>
      <x:c r="Q440" s="250"/>
      <x:c r="R440" s="250"/>
      <x:c r="S440" s="253"/>
      <x:c r="T440" s="250"/>
      <x:c r="U440"/>
      <x:c r="AA440"/>
      <x:c r="AB440"/>
      <x:c r="AC440"/>
      <x:c r="AD440"/>
      <x:c r="AE440"/>
      <x:c r="AF440"/>
      <x:c r="AG440"/>
      <x:c r="AH440"/>
      <x:c r="AI440"/>
      <x:c r="AJ440"/>
      <x:c r="AK440"/>
      <x:c r="AL440"/>
      <x:c r="AM440"/>
      <x:c r="AN440"/>
      <x:c r="AO440"/>
      <x:c r="AP440"/>
      <x:c r="AQ440"/>
      <x:c r="AR440"/>
    </x:row>
    <x:row r="441" s="248" customFormat="1">
      <x:c r="A441" s="250"/>
      <x:c r="B441" s="250"/>
      <x:c r="C441" s="566" t="str">
        <x:f>IF(B441="","",IFERROR(VLOOKUP(B441,PERUMAHAN!$A:$B,2,FALSE),"ID tidak ditemukan"))</x:f>
      </x:c>
      <x:c r="D441" s="250"/>
      <x:c r="E441" s="250"/>
      <x:c r="F441" s="250"/>
      <x:c r="G441" s="252"/>
      <x:c r="H441" s="252"/>
      <x:c r="I441" s="250"/>
      <x:c r="J441" s="250"/>
      <x:c r="K441" s="250"/>
      <x:c r="L441" s="250"/>
      <x:c r="M441" s="252"/>
      <x:c r="N441" s="252"/>
      <x:c r="O441" s="251"/>
      <x:c r="P441" s="250"/>
      <x:c r="Q441" s="250"/>
      <x:c r="R441" s="250"/>
      <x:c r="S441" s="253"/>
      <x:c r="T441" s="250"/>
      <x:c r="U441"/>
      <x:c r="AA441"/>
      <x:c r="AB441"/>
      <x:c r="AC441"/>
      <x:c r="AD441"/>
      <x:c r="AE441"/>
      <x:c r="AF441"/>
      <x:c r="AG441"/>
      <x:c r="AH441"/>
      <x:c r="AI441"/>
      <x:c r="AJ441"/>
      <x:c r="AK441"/>
      <x:c r="AL441"/>
      <x:c r="AM441"/>
      <x:c r="AN441"/>
      <x:c r="AO441"/>
      <x:c r="AP441"/>
      <x:c r="AQ441"/>
      <x:c r="AR441"/>
    </x:row>
    <x:row r="442" s="248" customFormat="1">
      <x:c r="A442" s="250"/>
      <x:c r="B442" s="250"/>
      <x:c r="C442" s="566" t="str">
        <x:f>IF(B442="","",IFERROR(VLOOKUP(B442,PERUMAHAN!$A:$B,2,FALSE),"ID tidak ditemukan"))</x:f>
      </x:c>
      <x:c r="D442" s="250"/>
      <x:c r="E442" s="250"/>
      <x:c r="F442" s="250"/>
      <x:c r="G442" s="252"/>
      <x:c r="H442" s="252"/>
      <x:c r="I442" s="250"/>
      <x:c r="J442" s="250"/>
      <x:c r="K442" s="250"/>
      <x:c r="L442" s="250"/>
      <x:c r="M442" s="252"/>
      <x:c r="N442" s="252"/>
      <x:c r="O442" s="251"/>
      <x:c r="P442" s="250"/>
      <x:c r="Q442" s="250"/>
      <x:c r="R442" s="250"/>
      <x:c r="S442" s="253"/>
      <x:c r="T442" s="250"/>
      <x:c r="U442"/>
      <x:c r="AA442"/>
      <x:c r="AB442"/>
      <x:c r="AC442"/>
      <x:c r="AD442"/>
      <x:c r="AE442"/>
      <x:c r="AF442"/>
      <x:c r="AG442"/>
      <x:c r="AH442"/>
      <x:c r="AI442"/>
      <x:c r="AJ442"/>
      <x:c r="AK442"/>
      <x:c r="AL442"/>
      <x:c r="AM442"/>
      <x:c r="AN442"/>
      <x:c r="AO442"/>
      <x:c r="AP442"/>
      <x:c r="AQ442"/>
      <x:c r="AR442"/>
    </x:row>
    <x:row r="443" s="248" customFormat="1">
      <x:c r="A443" s="250"/>
      <x:c r="B443" s="250"/>
      <x:c r="C443" s="566" t="str">
        <x:f>IF(B443="","",IFERROR(VLOOKUP(B443,PERUMAHAN!$A:$B,2,FALSE),"ID tidak ditemukan"))</x:f>
      </x:c>
      <x:c r="D443" s="250"/>
      <x:c r="E443" s="250"/>
      <x:c r="F443" s="250"/>
      <x:c r="G443" s="252"/>
      <x:c r="H443" s="252"/>
      <x:c r="I443" s="250"/>
      <x:c r="J443" s="250"/>
      <x:c r="K443" s="250"/>
      <x:c r="L443" s="250"/>
      <x:c r="M443" s="252"/>
      <x:c r="N443" s="252"/>
      <x:c r="O443" s="251"/>
      <x:c r="P443" s="250"/>
      <x:c r="Q443" s="250"/>
      <x:c r="R443" s="250"/>
      <x:c r="S443" s="253"/>
      <x:c r="T443" s="250"/>
      <x:c r="U443"/>
      <x:c r="AA443"/>
      <x:c r="AB443"/>
      <x:c r="AC443"/>
      <x:c r="AD443"/>
      <x:c r="AE443"/>
      <x:c r="AF443"/>
      <x:c r="AG443"/>
      <x:c r="AH443"/>
      <x:c r="AI443"/>
      <x:c r="AJ443"/>
      <x:c r="AK443"/>
      <x:c r="AL443"/>
      <x:c r="AM443"/>
      <x:c r="AN443"/>
      <x:c r="AO443"/>
      <x:c r="AP443"/>
      <x:c r="AQ443"/>
      <x:c r="AR443"/>
    </x:row>
    <x:row r="444" s="248" customFormat="1">
      <x:c r="A444" s="250"/>
      <x:c r="B444" s="250"/>
      <x:c r="C444" s="566" t="str">
        <x:f>IF(B444="","",IFERROR(VLOOKUP(B444,PERUMAHAN!$A:$B,2,FALSE),"ID tidak ditemukan"))</x:f>
      </x:c>
      <x:c r="D444" s="250"/>
      <x:c r="E444" s="250"/>
      <x:c r="F444" s="250"/>
      <x:c r="G444" s="252"/>
      <x:c r="H444" s="252"/>
      <x:c r="I444" s="250"/>
      <x:c r="J444" s="250"/>
      <x:c r="K444" s="250"/>
      <x:c r="L444" s="250"/>
      <x:c r="M444" s="252"/>
      <x:c r="N444" s="252"/>
      <x:c r="O444" s="251"/>
      <x:c r="P444" s="250"/>
      <x:c r="Q444" s="250"/>
      <x:c r="R444" s="250"/>
      <x:c r="S444" s="253"/>
      <x:c r="T444" s="250"/>
      <x:c r="U444"/>
      <x:c r="AA444"/>
      <x:c r="AB444"/>
      <x:c r="AC444"/>
      <x:c r="AD444"/>
      <x:c r="AE444"/>
      <x:c r="AF444"/>
      <x:c r="AG444"/>
      <x:c r="AH444"/>
      <x:c r="AI444"/>
      <x:c r="AJ444"/>
      <x:c r="AK444"/>
      <x:c r="AL444"/>
      <x:c r="AM444"/>
      <x:c r="AN444"/>
      <x:c r="AO444"/>
      <x:c r="AP444"/>
      <x:c r="AQ444"/>
      <x:c r="AR444"/>
    </x:row>
    <x:row r="445" s="248" customFormat="1">
      <x:c r="A445" s="250"/>
      <x:c r="B445" s="250"/>
      <x:c r="C445" s="566" t="str">
        <x:f>IF(B445="","",IFERROR(VLOOKUP(B445,PERUMAHAN!$A:$B,2,FALSE),"ID tidak ditemukan"))</x:f>
      </x:c>
      <x:c r="D445" s="250"/>
      <x:c r="E445" s="250"/>
      <x:c r="F445" s="250"/>
      <x:c r="G445" s="252"/>
      <x:c r="H445" s="252"/>
      <x:c r="I445" s="250"/>
      <x:c r="J445" s="250"/>
      <x:c r="K445" s="250"/>
      <x:c r="L445" s="250"/>
      <x:c r="M445" s="252"/>
      <x:c r="N445" s="252"/>
      <x:c r="O445" s="251"/>
      <x:c r="P445" s="250"/>
      <x:c r="Q445" s="250"/>
      <x:c r="R445" s="250"/>
      <x:c r="S445" s="253"/>
      <x:c r="T445" s="250"/>
      <x:c r="U445"/>
      <x:c r="AA445"/>
      <x:c r="AB445"/>
      <x:c r="AC445"/>
      <x:c r="AD445"/>
      <x:c r="AE445"/>
      <x:c r="AF445"/>
      <x:c r="AG445"/>
      <x:c r="AH445"/>
      <x:c r="AI445"/>
      <x:c r="AJ445"/>
      <x:c r="AK445"/>
      <x:c r="AL445"/>
      <x:c r="AM445"/>
      <x:c r="AN445"/>
      <x:c r="AO445"/>
      <x:c r="AP445"/>
      <x:c r="AQ445"/>
      <x:c r="AR445"/>
    </x:row>
    <x:row r="446" s="248" customFormat="1">
      <x:c r="A446" s="250"/>
      <x:c r="B446" s="250"/>
      <x:c r="C446" s="566" t="str">
        <x:f>IF(B446="","",IFERROR(VLOOKUP(B446,PERUMAHAN!$A:$B,2,FALSE),"ID tidak ditemukan"))</x:f>
      </x:c>
      <x:c r="D446" s="250"/>
      <x:c r="E446" s="250"/>
      <x:c r="F446" s="250"/>
      <x:c r="G446" s="252"/>
      <x:c r="H446" s="252"/>
      <x:c r="I446" s="250"/>
      <x:c r="J446" s="250"/>
      <x:c r="K446" s="250"/>
      <x:c r="L446" s="250"/>
      <x:c r="M446" s="252"/>
      <x:c r="N446" s="252"/>
      <x:c r="O446" s="251"/>
      <x:c r="P446" s="250"/>
      <x:c r="Q446" s="250"/>
      <x:c r="R446" s="250"/>
      <x:c r="S446" s="253"/>
      <x:c r="T446" s="250"/>
      <x:c r="U446"/>
      <x:c r="AA446"/>
      <x:c r="AB446"/>
      <x:c r="AC446"/>
      <x:c r="AD446"/>
      <x:c r="AE446"/>
      <x:c r="AF446"/>
      <x:c r="AG446"/>
      <x:c r="AH446"/>
      <x:c r="AI446"/>
      <x:c r="AJ446"/>
      <x:c r="AK446"/>
      <x:c r="AL446"/>
      <x:c r="AM446"/>
      <x:c r="AN446"/>
      <x:c r="AO446"/>
      <x:c r="AP446"/>
      <x:c r="AQ446"/>
      <x:c r="AR446"/>
    </x:row>
    <x:row r="447" s="248" customFormat="1">
      <x:c r="A447" s="250"/>
      <x:c r="B447" s="250"/>
      <x:c r="C447" s="566" t="str">
        <x:f>IF(B447="","",IFERROR(VLOOKUP(B447,PERUMAHAN!$A:$B,2,FALSE),"ID tidak ditemukan"))</x:f>
      </x:c>
      <x:c r="D447" s="250"/>
      <x:c r="E447" s="250"/>
      <x:c r="F447" s="250"/>
      <x:c r="G447" s="252"/>
      <x:c r="H447" s="252"/>
      <x:c r="I447" s="250"/>
      <x:c r="J447" s="250"/>
      <x:c r="K447" s="250"/>
      <x:c r="L447" s="250"/>
      <x:c r="M447" s="252"/>
      <x:c r="N447" s="252"/>
      <x:c r="O447" s="251"/>
      <x:c r="P447" s="250"/>
      <x:c r="Q447" s="250"/>
      <x:c r="R447" s="250"/>
      <x:c r="S447" s="253"/>
      <x:c r="T447" s="250"/>
      <x:c r="U447"/>
      <x:c r="AA447"/>
      <x:c r="AB447"/>
      <x:c r="AC447"/>
      <x:c r="AD447"/>
      <x:c r="AE447"/>
      <x:c r="AF447"/>
      <x:c r="AG447"/>
      <x:c r="AH447"/>
      <x:c r="AI447"/>
      <x:c r="AJ447"/>
      <x:c r="AK447"/>
      <x:c r="AL447"/>
      <x:c r="AM447"/>
      <x:c r="AN447"/>
      <x:c r="AO447"/>
      <x:c r="AP447"/>
      <x:c r="AQ447"/>
      <x:c r="AR447"/>
    </x:row>
    <x:row r="448" s="248" customFormat="1">
      <x:c r="A448" s="250"/>
      <x:c r="B448" s="250"/>
      <x:c r="C448" s="566" t="str">
        <x:f>IF(B448="","",IFERROR(VLOOKUP(B448,PERUMAHAN!$A:$B,2,FALSE),"ID tidak ditemukan"))</x:f>
      </x:c>
      <x:c r="D448" s="250"/>
      <x:c r="E448" s="250"/>
      <x:c r="F448" s="250"/>
      <x:c r="G448" s="252"/>
      <x:c r="H448" s="252"/>
      <x:c r="I448" s="250"/>
      <x:c r="J448" s="250"/>
      <x:c r="K448" s="250"/>
      <x:c r="L448" s="250"/>
      <x:c r="M448" s="252"/>
      <x:c r="N448" s="252"/>
      <x:c r="O448" s="251"/>
      <x:c r="P448" s="250"/>
      <x:c r="Q448" s="250"/>
      <x:c r="R448" s="250"/>
      <x:c r="S448" s="253"/>
      <x:c r="T448" s="250"/>
      <x:c r="U448"/>
      <x:c r="AA448"/>
      <x:c r="AB448"/>
      <x:c r="AC448"/>
      <x:c r="AD448"/>
      <x:c r="AE448"/>
      <x:c r="AF448"/>
      <x:c r="AG448"/>
      <x:c r="AH448"/>
      <x:c r="AI448"/>
      <x:c r="AJ448"/>
      <x:c r="AK448"/>
      <x:c r="AL448"/>
      <x:c r="AM448"/>
      <x:c r="AN448"/>
      <x:c r="AO448"/>
      <x:c r="AP448"/>
      <x:c r="AQ448"/>
      <x:c r="AR448"/>
    </x:row>
    <x:row r="449" s="248" customFormat="1">
      <x:c r="A449" s="250"/>
      <x:c r="B449" s="250"/>
      <x:c r="C449" s="566" t="str">
        <x:f>IF(B449="","",IFERROR(VLOOKUP(B449,PERUMAHAN!$A:$B,2,FALSE),"ID tidak ditemukan"))</x:f>
      </x:c>
      <x:c r="D449" s="250"/>
      <x:c r="E449" s="250"/>
      <x:c r="F449" s="250"/>
      <x:c r="G449" s="252"/>
      <x:c r="H449" s="252"/>
      <x:c r="I449" s="250"/>
      <x:c r="J449" s="250"/>
      <x:c r="K449" s="250"/>
      <x:c r="L449" s="250"/>
      <x:c r="M449" s="252"/>
      <x:c r="N449" s="252"/>
      <x:c r="O449" s="251"/>
      <x:c r="P449" s="250"/>
      <x:c r="Q449" s="250"/>
      <x:c r="R449" s="250"/>
      <x:c r="S449" s="253"/>
      <x:c r="T449" s="250"/>
      <x:c r="U449"/>
      <x:c r="AA449"/>
      <x:c r="AB449"/>
      <x:c r="AC449"/>
      <x:c r="AD449"/>
      <x:c r="AE449"/>
      <x:c r="AF449"/>
      <x:c r="AG449"/>
      <x:c r="AH449"/>
      <x:c r="AI449"/>
      <x:c r="AJ449"/>
      <x:c r="AK449"/>
      <x:c r="AL449"/>
      <x:c r="AM449"/>
      <x:c r="AN449"/>
      <x:c r="AO449"/>
      <x:c r="AP449"/>
      <x:c r="AQ449"/>
      <x:c r="AR449"/>
    </x:row>
    <x:row r="450" s="248" customFormat="1">
      <x:c r="A450" s="250"/>
      <x:c r="B450" s="250"/>
      <x:c r="C450" s="566" t="str">
        <x:f>IF(B450="","",IFERROR(VLOOKUP(B450,PERUMAHAN!$A:$B,2,FALSE),"ID tidak ditemukan"))</x:f>
      </x:c>
      <x:c r="D450" s="250"/>
      <x:c r="E450" s="250"/>
      <x:c r="F450" s="250"/>
      <x:c r="G450" s="252"/>
      <x:c r="H450" s="252"/>
      <x:c r="I450" s="250"/>
      <x:c r="J450" s="250"/>
      <x:c r="K450" s="250"/>
      <x:c r="L450" s="250"/>
      <x:c r="M450" s="252"/>
      <x:c r="N450" s="252"/>
      <x:c r="O450" s="251"/>
      <x:c r="P450" s="250"/>
      <x:c r="Q450" s="250"/>
      <x:c r="R450" s="250"/>
      <x:c r="S450" s="253"/>
      <x:c r="T450" s="250"/>
      <x:c r="U450"/>
      <x:c r="AA450"/>
      <x:c r="AB450"/>
      <x:c r="AC450"/>
      <x:c r="AD450"/>
      <x:c r="AE450"/>
      <x:c r="AF450"/>
      <x:c r="AG450"/>
      <x:c r="AH450"/>
      <x:c r="AI450"/>
      <x:c r="AJ450"/>
      <x:c r="AK450"/>
      <x:c r="AL450"/>
      <x:c r="AM450"/>
      <x:c r="AN450"/>
      <x:c r="AO450"/>
      <x:c r="AP450"/>
      <x:c r="AQ450"/>
      <x:c r="AR450"/>
    </x:row>
    <x:row r="451" s="248" customFormat="1">
      <x:c r="A451" s="250"/>
      <x:c r="B451" s="250"/>
      <x:c r="C451" s="566" t="str">
        <x:f>IF(B451="","",IFERROR(VLOOKUP(B451,PERUMAHAN!$A:$B,2,FALSE),"ID tidak ditemukan"))</x:f>
      </x:c>
      <x:c r="D451" s="250"/>
      <x:c r="E451" s="250"/>
      <x:c r="F451" s="250"/>
      <x:c r="G451" s="252"/>
      <x:c r="H451" s="252"/>
      <x:c r="I451" s="250"/>
      <x:c r="J451" s="250"/>
      <x:c r="K451" s="250"/>
      <x:c r="L451" s="250"/>
      <x:c r="M451" s="252"/>
      <x:c r="N451" s="252"/>
      <x:c r="O451" s="251"/>
      <x:c r="P451" s="250"/>
      <x:c r="Q451" s="250"/>
      <x:c r="R451" s="250"/>
      <x:c r="S451" s="253"/>
      <x:c r="T451" s="250"/>
      <x:c r="U451"/>
      <x:c r="AA451"/>
      <x:c r="AB451"/>
      <x:c r="AC451"/>
      <x:c r="AD451"/>
      <x:c r="AE451"/>
      <x:c r="AF451"/>
      <x:c r="AG451"/>
      <x:c r="AH451"/>
      <x:c r="AI451"/>
      <x:c r="AJ451"/>
      <x:c r="AK451"/>
      <x:c r="AL451"/>
      <x:c r="AM451"/>
      <x:c r="AN451"/>
      <x:c r="AO451"/>
      <x:c r="AP451"/>
      <x:c r="AQ451"/>
      <x:c r="AR451"/>
    </x:row>
    <x:row r="452" s="248" customFormat="1">
      <x:c r="A452" s="250"/>
      <x:c r="B452" s="250"/>
      <x:c r="C452" s="566" t="str">
        <x:f>IF(B452="","",IFERROR(VLOOKUP(B452,PERUMAHAN!$A:$B,2,FALSE),"ID tidak ditemukan"))</x:f>
      </x:c>
      <x:c r="D452" s="250"/>
      <x:c r="E452" s="250"/>
      <x:c r="F452" s="250"/>
      <x:c r="G452" s="252"/>
      <x:c r="H452" s="252"/>
      <x:c r="I452" s="250"/>
      <x:c r="J452" s="250"/>
      <x:c r="K452" s="250"/>
      <x:c r="L452" s="250"/>
      <x:c r="M452" s="252"/>
      <x:c r="N452" s="252"/>
      <x:c r="O452" s="251"/>
      <x:c r="P452" s="250"/>
      <x:c r="Q452" s="250"/>
      <x:c r="R452" s="250"/>
      <x:c r="S452" s="253"/>
      <x:c r="T452" s="250"/>
      <x:c r="U452"/>
      <x:c r="AA452"/>
      <x:c r="AB452"/>
      <x:c r="AC452"/>
      <x:c r="AD452"/>
      <x:c r="AE452"/>
      <x:c r="AF452"/>
      <x:c r="AG452"/>
      <x:c r="AH452"/>
      <x:c r="AI452"/>
      <x:c r="AJ452"/>
      <x:c r="AK452"/>
      <x:c r="AL452"/>
      <x:c r="AM452"/>
      <x:c r="AN452"/>
      <x:c r="AO452"/>
      <x:c r="AP452"/>
      <x:c r="AQ452"/>
      <x:c r="AR452"/>
    </x:row>
    <x:row r="453" s="248" customFormat="1">
      <x:c r="A453" s="250"/>
      <x:c r="B453" s="250"/>
      <x:c r="C453" s="566" t="str">
        <x:f>IF(B453="","",IFERROR(VLOOKUP(B453,PERUMAHAN!$A:$B,2,FALSE),"ID tidak ditemukan"))</x:f>
      </x:c>
      <x:c r="D453" s="250"/>
      <x:c r="E453" s="250"/>
      <x:c r="F453" s="250"/>
      <x:c r="G453" s="252"/>
      <x:c r="H453" s="252"/>
      <x:c r="I453" s="250"/>
      <x:c r="J453" s="250"/>
      <x:c r="K453" s="250"/>
      <x:c r="L453" s="250"/>
      <x:c r="M453" s="252"/>
      <x:c r="N453" s="252"/>
      <x:c r="O453" s="251"/>
      <x:c r="P453" s="250"/>
      <x:c r="Q453" s="250"/>
      <x:c r="R453" s="250"/>
      <x:c r="S453" s="253"/>
      <x:c r="T453" s="250"/>
      <x:c r="U453"/>
      <x:c r="AA453"/>
      <x:c r="AB453"/>
      <x:c r="AC453"/>
      <x:c r="AD453"/>
      <x:c r="AE453"/>
      <x:c r="AF453"/>
      <x:c r="AG453"/>
      <x:c r="AH453"/>
      <x:c r="AI453"/>
      <x:c r="AJ453"/>
      <x:c r="AK453"/>
      <x:c r="AL453"/>
      <x:c r="AM453"/>
      <x:c r="AN453"/>
      <x:c r="AO453"/>
      <x:c r="AP453"/>
      <x:c r="AQ453"/>
      <x:c r="AR453"/>
    </x:row>
    <x:row r="454" s="248" customFormat="1">
      <x:c r="A454" s="250"/>
      <x:c r="B454" s="250"/>
      <x:c r="C454" s="566" t="str">
        <x:f>IF(B454="","",IFERROR(VLOOKUP(B454,PERUMAHAN!$A:$B,2,FALSE),"ID tidak ditemukan"))</x:f>
      </x:c>
      <x:c r="D454" s="250"/>
      <x:c r="E454" s="250"/>
      <x:c r="F454" s="250"/>
      <x:c r="G454" s="252"/>
      <x:c r="H454" s="252"/>
      <x:c r="I454" s="250"/>
      <x:c r="J454" s="250"/>
      <x:c r="K454" s="250"/>
      <x:c r="L454" s="250"/>
      <x:c r="M454" s="252"/>
      <x:c r="N454" s="252"/>
      <x:c r="O454" s="251"/>
      <x:c r="P454" s="250"/>
      <x:c r="Q454" s="250"/>
      <x:c r="R454" s="250"/>
      <x:c r="S454" s="253"/>
      <x:c r="T454" s="250"/>
      <x:c r="U454"/>
      <x:c r="AA454"/>
      <x:c r="AB454"/>
      <x:c r="AC454"/>
      <x:c r="AD454"/>
      <x:c r="AE454"/>
      <x:c r="AF454"/>
      <x:c r="AG454"/>
      <x:c r="AH454"/>
      <x:c r="AI454"/>
      <x:c r="AJ454"/>
      <x:c r="AK454"/>
      <x:c r="AL454"/>
      <x:c r="AM454"/>
      <x:c r="AN454"/>
      <x:c r="AO454"/>
      <x:c r="AP454"/>
      <x:c r="AQ454"/>
      <x:c r="AR454"/>
    </x:row>
    <x:row r="455" s="248" customFormat="1">
      <x:c r="A455" s="250"/>
      <x:c r="B455" s="250"/>
      <x:c r="C455" s="566" t="str">
        <x:f>IF(B455="","",IFERROR(VLOOKUP(B455,PERUMAHAN!$A:$B,2,FALSE),"ID tidak ditemukan"))</x:f>
      </x:c>
      <x:c r="D455" s="250"/>
      <x:c r="E455" s="250"/>
      <x:c r="F455" s="250"/>
      <x:c r="G455" s="252"/>
      <x:c r="H455" s="252"/>
      <x:c r="I455" s="250"/>
      <x:c r="J455" s="250"/>
      <x:c r="K455" s="250"/>
      <x:c r="L455" s="250"/>
      <x:c r="M455" s="252"/>
      <x:c r="N455" s="252"/>
      <x:c r="O455" s="251"/>
      <x:c r="P455" s="250"/>
      <x:c r="Q455" s="250"/>
      <x:c r="R455" s="250"/>
      <x:c r="S455" s="253"/>
      <x:c r="T455" s="250"/>
      <x:c r="U455"/>
      <x:c r="AA455"/>
      <x:c r="AB455"/>
      <x:c r="AC455"/>
      <x:c r="AD455"/>
      <x:c r="AE455"/>
      <x:c r="AF455"/>
      <x:c r="AG455"/>
      <x:c r="AH455"/>
      <x:c r="AI455"/>
      <x:c r="AJ455"/>
      <x:c r="AK455"/>
      <x:c r="AL455"/>
      <x:c r="AM455"/>
      <x:c r="AN455"/>
      <x:c r="AO455"/>
      <x:c r="AP455"/>
      <x:c r="AQ455"/>
      <x:c r="AR455"/>
    </x:row>
    <x:row r="456" s="248" customFormat="1">
      <x:c r="A456" s="250"/>
      <x:c r="B456" s="250"/>
      <x:c r="C456" s="566" t="str">
        <x:f>IF(B456="","",IFERROR(VLOOKUP(B456,PERUMAHAN!$A:$B,2,FALSE),"ID tidak ditemukan"))</x:f>
      </x:c>
      <x:c r="D456" s="250"/>
      <x:c r="E456" s="250"/>
      <x:c r="F456" s="250"/>
      <x:c r="G456" s="252"/>
      <x:c r="H456" s="252"/>
      <x:c r="I456" s="250"/>
      <x:c r="J456" s="250"/>
      <x:c r="K456" s="250"/>
      <x:c r="L456" s="250"/>
      <x:c r="M456" s="252"/>
      <x:c r="N456" s="252"/>
      <x:c r="O456" s="251"/>
      <x:c r="P456" s="250"/>
      <x:c r="Q456" s="250"/>
      <x:c r="R456" s="250"/>
      <x:c r="S456" s="253"/>
      <x:c r="T456" s="250"/>
      <x:c r="U456"/>
      <x:c r="AA456"/>
      <x:c r="AB456"/>
      <x:c r="AC456"/>
      <x:c r="AD456"/>
      <x:c r="AE456"/>
      <x:c r="AF456"/>
      <x:c r="AG456"/>
      <x:c r="AH456"/>
      <x:c r="AI456"/>
      <x:c r="AJ456"/>
      <x:c r="AK456"/>
      <x:c r="AL456"/>
      <x:c r="AM456"/>
      <x:c r="AN456"/>
      <x:c r="AO456"/>
      <x:c r="AP456"/>
      <x:c r="AQ456"/>
      <x:c r="AR456"/>
    </x:row>
    <x:row r="457" s="248" customFormat="1">
      <x:c r="A457" s="250"/>
      <x:c r="B457" s="250"/>
      <x:c r="C457" s="566" t="str">
        <x:f>IF(B457="","",IFERROR(VLOOKUP(B457,PERUMAHAN!$A:$B,2,FALSE),"ID tidak ditemukan"))</x:f>
      </x:c>
      <x:c r="D457" s="250"/>
      <x:c r="E457" s="250"/>
      <x:c r="F457" s="250"/>
      <x:c r="G457" s="252"/>
      <x:c r="H457" s="252"/>
      <x:c r="I457" s="250"/>
      <x:c r="J457" s="250"/>
      <x:c r="K457" s="250"/>
      <x:c r="L457" s="250"/>
      <x:c r="M457" s="252"/>
      <x:c r="N457" s="252"/>
      <x:c r="O457" s="251"/>
      <x:c r="P457" s="250"/>
      <x:c r="Q457" s="250"/>
      <x:c r="R457" s="250"/>
      <x:c r="S457" s="253"/>
      <x:c r="T457" s="250"/>
      <x:c r="U457"/>
      <x:c r="AA457"/>
      <x:c r="AB457"/>
      <x:c r="AC457"/>
      <x:c r="AD457"/>
      <x:c r="AE457"/>
      <x:c r="AF457"/>
      <x:c r="AG457"/>
      <x:c r="AH457"/>
      <x:c r="AI457"/>
      <x:c r="AJ457"/>
      <x:c r="AK457"/>
      <x:c r="AL457"/>
      <x:c r="AM457"/>
      <x:c r="AN457"/>
      <x:c r="AO457"/>
      <x:c r="AP457"/>
      <x:c r="AQ457"/>
      <x:c r="AR457"/>
    </x:row>
    <x:row r="458" s="248" customFormat="1">
      <x:c r="A458" s="250"/>
      <x:c r="B458" s="250"/>
      <x:c r="C458" s="566" t="str">
        <x:f>IF(B458="","",IFERROR(VLOOKUP(B458,PERUMAHAN!$A:$B,2,FALSE),"ID tidak ditemukan"))</x:f>
      </x:c>
      <x:c r="D458" s="250"/>
      <x:c r="E458" s="250"/>
      <x:c r="F458" s="250"/>
      <x:c r="G458" s="252"/>
      <x:c r="H458" s="252"/>
      <x:c r="I458" s="250"/>
      <x:c r="J458" s="250"/>
      <x:c r="K458" s="250"/>
      <x:c r="L458" s="250"/>
      <x:c r="M458" s="252"/>
      <x:c r="N458" s="252"/>
      <x:c r="O458" s="251"/>
      <x:c r="P458" s="250"/>
      <x:c r="Q458" s="250"/>
      <x:c r="R458" s="250"/>
      <x:c r="S458" s="253"/>
      <x:c r="T458" s="250"/>
      <x:c r="U458"/>
      <x:c r="AA458"/>
      <x:c r="AB458"/>
      <x:c r="AC458"/>
      <x:c r="AD458"/>
      <x:c r="AE458"/>
      <x:c r="AF458"/>
      <x:c r="AG458"/>
      <x:c r="AH458"/>
      <x:c r="AI458"/>
      <x:c r="AJ458"/>
      <x:c r="AK458"/>
      <x:c r="AL458"/>
      <x:c r="AM458"/>
      <x:c r="AN458"/>
      <x:c r="AO458"/>
      <x:c r="AP458"/>
      <x:c r="AQ458"/>
      <x:c r="AR458"/>
    </x:row>
    <x:row r="459" s="248" customFormat="1">
      <x:c r="A459" s="250"/>
      <x:c r="B459" s="250"/>
      <x:c r="C459" s="566" t="str">
        <x:f>IF(B459="","",IFERROR(VLOOKUP(B459,PERUMAHAN!$A:$B,2,FALSE),"ID tidak ditemukan"))</x:f>
      </x:c>
      <x:c r="D459" s="250"/>
      <x:c r="E459" s="250"/>
      <x:c r="F459" s="250"/>
      <x:c r="G459" s="252"/>
      <x:c r="H459" s="252"/>
      <x:c r="I459" s="250"/>
      <x:c r="J459" s="250"/>
      <x:c r="K459" s="250"/>
      <x:c r="L459" s="250"/>
      <x:c r="M459" s="252"/>
      <x:c r="N459" s="252"/>
      <x:c r="O459" s="251"/>
      <x:c r="P459" s="250"/>
      <x:c r="Q459" s="250"/>
      <x:c r="R459" s="250"/>
      <x:c r="S459" s="253"/>
      <x:c r="T459" s="250"/>
      <x:c r="U459"/>
      <x:c r="AA459"/>
      <x:c r="AB459"/>
      <x:c r="AC459"/>
      <x:c r="AD459"/>
      <x:c r="AE459"/>
      <x:c r="AF459"/>
      <x:c r="AG459"/>
      <x:c r="AH459"/>
      <x:c r="AI459"/>
      <x:c r="AJ459"/>
      <x:c r="AK459"/>
      <x:c r="AL459"/>
      <x:c r="AM459"/>
      <x:c r="AN459"/>
      <x:c r="AO459"/>
      <x:c r="AP459"/>
      <x:c r="AQ459"/>
      <x:c r="AR459"/>
    </x:row>
    <x:row r="460" s="248" customFormat="1">
      <x:c r="A460" s="250"/>
      <x:c r="B460" s="250"/>
      <x:c r="C460" s="566" t="str">
        <x:f>IF(B460="","",IFERROR(VLOOKUP(B460,PERUMAHAN!$A:$B,2,FALSE),"ID tidak ditemukan"))</x:f>
      </x:c>
      <x:c r="D460" s="250"/>
      <x:c r="E460" s="250"/>
      <x:c r="F460" s="250"/>
      <x:c r="G460" s="252"/>
      <x:c r="H460" s="252"/>
      <x:c r="I460" s="250"/>
      <x:c r="J460" s="250"/>
      <x:c r="K460" s="250"/>
      <x:c r="L460" s="250"/>
      <x:c r="M460" s="252"/>
      <x:c r="N460" s="252"/>
      <x:c r="O460" s="251"/>
      <x:c r="P460" s="250"/>
      <x:c r="Q460" s="250"/>
      <x:c r="R460" s="250"/>
      <x:c r="S460" s="253"/>
      <x:c r="T460" s="250"/>
      <x:c r="U460"/>
      <x:c r="AA460"/>
      <x:c r="AB460"/>
      <x:c r="AC460"/>
      <x:c r="AD460"/>
      <x:c r="AE460"/>
      <x:c r="AF460"/>
      <x:c r="AG460"/>
      <x:c r="AH460"/>
      <x:c r="AI460"/>
      <x:c r="AJ460"/>
      <x:c r="AK460"/>
      <x:c r="AL460"/>
      <x:c r="AM460"/>
      <x:c r="AN460"/>
      <x:c r="AO460"/>
      <x:c r="AP460"/>
      <x:c r="AQ460"/>
      <x:c r="AR460"/>
    </x:row>
    <x:row r="461" s="248" customFormat="1">
      <x:c r="A461" s="250"/>
      <x:c r="B461" s="250"/>
      <x:c r="C461" s="566" t="str">
        <x:f>IF(B461="","",IFERROR(VLOOKUP(B461,PERUMAHAN!$A:$B,2,FALSE),"ID tidak ditemukan"))</x:f>
      </x:c>
      <x:c r="D461" s="250"/>
      <x:c r="E461" s="250"/>
      <x:c r="F461" s="250"/>
      <x:c r="G461" s="252"/>
      <x:c r="H461" s="252"/>
      <x:c r="I461" s="250"/>
      <x:c r="J461" s="250"/>
      <x:c r="K461" s="250"/>
      <x:c r="L461" s="250"/>
      <x:c r="M461" s="252"/>
      <x:c r="N461" s="252"/>
      <x:c r="O461" s="251"/>
      <x:c r="P461" s="250"/>
      <x:c r="Q461" s="250"/>
      <x:c r="R461" s="250"/>
      <x:c r="S461" s="253"/>
      <x:c r="T461" s="250"/>
      <x:c r="U461"/>
      <x:c r="AA461"/>
      <x:c r="AB461"/>
      <x:c r="AC461"/>
      <x:c r="AD461"/>
      <x:c r="AE461"/>
      <x:c r="AF461"/>
      <x:c r="AG461"/>
      <x:c r="AH461"/>
      <x:c r="AI461"/>
      <x:c r="AJ461"/>
      <x:c r="AK461"/>
      <x:c r="AL461"/>
      <x:c r="AM461"/>
      <x:c r="AN461"/>
      <x:c r="AO461"/>
      <x:c r="AP461"/>
      <x:c r="AQ461"/>
      <x:c r="AR461"/>
    </x:row>
    <x:row r="462" s="248" customFormat="1">
      <x:c r="A462" s="250"/>
      <x:c r="B462" s="250"/>
      <x:c r="C462" s="566" t="str">
        <x:f>IF(B462="","",IFERROR(VLOOKUP(B462,PERUMAHAN!$A:$B,2,FALSE),"ID tidak ditemukan"))</x:f>
      </x:c>
      <x:c r="D462" s="250"/>
      <x:c r="E462" s="250"/>
      <x:c r="F462" s="250"/>
      <x:c r="G462" s="252"/>
      <x:c r="H462" s="252"/>
      <x:c r="I462" s="250"/>
      <x:c r="J462" s="250"/>
      <x:c r="K462" s="250"/>
      <x:c r="L462" s="250"/>
      <x:c r="M462" s="252"/>
      <x:c r="N462" s="252"/>
      <x:c r="O462" s="251"/>
      <x:c r="P462" s="250"/>
      <x:c r="Q462" s="250"/>
      <x:c r="R462" s="250"/>
      <x:c r="S462" s="253"/>
      <x:c r="T462" s="250"/>
      <x:c r="U462"/>
      <x:c r="AA462"/>
      <x:c r="AB462"/>
      <x:c r="AC462"/>
      <x:c r="AD462"/>
      <x:c r="AE462"/>
      <x:c r="AF462"/>
      <x:c r="AG462"/>
      <x:c r="AH462"/>
      <x:c r="AI462"/>
      <x:c r="AJ462"/>
      <x:c r="AK462"/>
      <x:c r="AL462"/>
      <x:c r="AM462"/>
      <x:c r="AN462"/>
      <x:c r="AO462"/>
      <x:c r="AP462"/>
      <x:c r="AQ462"/>
      <x:c r="AR462"/>
    </x:row>
    <x:row r="463" s="248" customFormat="1">
      <x:c r="A463" s="250"/>
      <x:c r="B463" s="250"/>
      <x:c r="C463" s="566" t="str">
        <x:f>IF(B463="","",IFERROR(VLOOKUP(B463,PERUMAHAN!$A:$B,2,FALSE),"ID tidak ditemukan"))</x:f>
      </x:c>
      <x:c r="D463" s="250"/>
      <x:c r="E463" s="250"/>
      <x:c r="F463" s="250"/>
      <x:c r="G463" s="252"/>
      <x:c r="H463" s="252"/>
      <x:c r="I463" s="250"/>
      <x:c r="J463" s="250"/>
      <x:c r="K463" s="250"/>
      <x:c r="L463" s="250"/>
      <x:c r="M463" s="252"/>
      <x:c r="N463" s="252"/>
      <x:c r="O463" s="251"/>
      <x:c r="P463" s="250"/>
      <x:c r="Q463" s="250"/>
      <x:c r="R463" s="250"/>
      <x:c r="S463" s="253"/>
      <x:c r="T463" s="250"/>
      <x:c r="U463"/>
      <x:c r="AA463"/>
      <x:c r="AB463"/>
      <x:c r="AC463"/>
      <x:c r="AD463"/>
      <x:c r="AE463"/>
      <x:c r="AF463"/>
      <x:c r="AG463"/>
      <x:c r="AH463"/>
      <x:c r="AI463"/>
      <x:c r="AJ463"/>
      <x:c r="AK463"/>
      <x:c r="AL463"/>
      <x:c r="AM463"/>
      <x:c r="AN463"/>
      <x:c r="AO463"/>
      <x:c r="AP463"/>
      <x:c r="AQ463"/>
      <x:c r="AR463"/>
    </x:row>
    <x:row r="464" s="248" customFormat="1">
      <x:c r="A464" s="250"/>
      <x:c r="B464" s="250"/>
      <x:c r="C464" s="566" t="str">
        <x:f>IF(B464="","",IFERROR(VLOOKUP(B464,PERUMAHAN!$A:$B,2,FALSE),"ID tidak ditemukan"))</x:f>
      </x:c>
      <x:c r="D464" s="250"/>
      <x:c r="E464" s="250"/>
      <x:c r="F464" s="250"/>
      <x:c r="G464" s="252"/>
      <x:c r="H464" s="252"/>
      <x:c r="I464" s="250"/>
      <x:c r="J464" s="250"/>
      <x:c r="K464" s="250"/>
      <x:c r="L464" s="250"/>
      <x:c r="M464" s="252"/>
      <x:c r="N464" s="252"/>
      <x:c r="O464" s="251"/>
      <x:c r="P464" s="250"/>
      <x:c r="Q464" s="250"/>
      <x:c r="R464" s="250"/>
      <x:c r="S464" s="253"/>
      <x:c r="T464" s="250"/>
      <x:c r="U464"/>
      <x:c r="AA464"/>
      <x:c r="AB464"/>
      <x:c r="AC464"/>
      <x:c r="AD464"/>
      <x:c r="AE464"/>
      <x:c r="AF464"/>
      <x:c r="AG464"/>
      <x:c r="AH464"/>
      <x:c r="AI464"/>
      <x:c r="AJ464"/>
      <x:c r="AK464"/>
      <x:c r="AL464"/>
      <x:c r="AM464"/>
      <x:c r="AN464"/>
      <x:c r="AO464"/>
      <x:c r="AP464"/>
      <x:c r="AQ464"/>
      <x:c r="AR464"/>
    </x:row>
    <x:row r="465" s="248" customFormat="1">
      <x:c r="A465" s="250"/>
      <x:c r="B465" s="250"/>
      <x:c r="C465" s="566" t="str">
        <x:f>IF(B465="","",IFERROR(VLOOKUP(B465,PERUMAHAN!$A:$B,2,FALSE),"ID tidak ditemukan"))</x:f>
      </x:c>
      <x:c r="D465" s="250"/>
      <x:c r="E465" s="250"/>
      <x:c r="F465" s="250"/>
      <x:c r="G465" s="252"/>
      <x:c r="H465" s="252"/>
      <x:c r="I465" s="250"/>
      <x:c r="J465" s="250"/>
      <x:c r="K465" s="250"/>
      <x:c r="L465" s="250"/>
      <x:c r="M465" s="252"/>
      <x:c r="N465" s="252"/>
      <x:c r="O465" s="251"/>
      <x:c r="P465" s="250"/>
      <x:c r="Q465" s="250"/>
      <x:c r="R465" s="250"/>
      <x:c r="S465" s="253"/>
      <x:c r="T465" s="250"/>
      <x:c r="U465"/>
      <x:c r="AA465"/>
      <x:c r="AB465"/>
      <x:c r="AC465"/>
      <x:c r="AD465"/>
      <x:c r="AE465"/>
      <x:c r="AF465"/>
      <x:c r="AG465"/>
      <x:c r="AH465"/>
      <x:c r="AI465"/>
      <x:c r="AJ465"/>
      <x:c r="AK465"/>
      <x:c r="AL465"/>
      <x:c r="AM465"/>
      <x:c r="AN465"/>
      <x:c r="AO465"/>
      <x:c r="AP465"/>
      <x:c r="AQ465"/>
      <x:c r="AR465"/>
    </x:row>
    <x:row r="466" s="248" customFormat="1">
      <x:c r="A466" s="250"/>
      <x:c r="B466" s="250"/>
      <x:c r="C466" s="566" t="str">
        <x:f>IF(B466="","",IFERROR(VLOOKUP(B466,PERUMAHAN!$A:$B,2,FALSE),"ID tidak ditemukan"))</x:f>
      </x:c>
      <x:c r="D466" s="250"/>
      <x:c r="E466" s="250"/>
      <x:c r="F466" s="250"/>
      <x:c r="G466" s="252"/>
      <x:c r="H466" s="252"/>
      <x:c r="I466" s="250"/>
      <x:c r="J466" s="250"/>
      <x:c r="K466" s="250"/>
      <x:c r="L466" s="250"/>
      <x:c r="M466" s="252"/>
      <x:c r="N466" s="252"/>
      <x:c r="O466" s="251"/>
      <x:c r="P466" s="250"/>
      <x:c r="Q466" s="250"/>
      <x:c r="R466" s="250"/>
      <x:c r="S466" s="253"/>
      <x:c r="T466" s="250"/>
      <x:c r="U466"/>
      <x:c r="AA466"/>
      <x:c r="AB466"/>
      <x:c r="AC466"/>
      <x:c r="AD466"/>
      <x:c r="AE466"/>
      <x:c r="AF466"/>
      <x:c r="AG466"/>
      <x:c r="AH466"/>
      <x:c r="AI466"/>
      <x:c r="AJ466"/>
      <x:c r="AK466"/>
      <x:c r="AL466"/>
      <x:c r="AM466"/>
      <x:c r="AN466"/>
      <x:c r="AO466"/>
      <x:c r="AP466"/>
      <x:c r="AQ466"/>
      <x:c r="AR466"/>
    </x:row>
    <x:row r="467" s="248" customFormat="1">
      <x:c r="A467" s="250"/>
      <x:c r="B467" s="250"/>
      <x:c r="C467" s="566" t="str">
        <x:f>IF(B467="","",IFERROR(VLOOKUP(B467,PERUMAHAN!$A:$B,2,FALSE),"ID tidak ditemukan"))</x:f>
      </x:c>
      <x:c r="D467" s="250"/>
      <x:c r="E467" s="250"/>
      <x:c r="F467" s="250"/>
      <x:c r="G467" s="252"/>
      <x:c r="H467" s="252"/>
      <x:c r="I467" s="250"/>
      <x:c r="J467" s="250"/>
      <x:c r="K467" s="250"/>
      <x:c r="L467" s="250"/>
      <x:c r="M467" s="252"/>
      <x:c r="N467" s="252"/>
      <x:c r="O467" s="251"/>
      <x:c r="P467" s="250"/>
      <x:c r="Q467" s="250"/>
      <x:c r="R467" s="250"/>
      <x:c r="S467" s="253"/>
      <x:c r="T467" s="250"/>
      <x:c r="U467"/>
      <x:c r="AA467"/>
      <x:c r="AB467"/>
      <x:c r="AC467"/>
      <x:c r="AD467"/>
      <x:c r="AE467"/>
      <x:c r="AF467"/>
      <x:c r="AG467"/>
      <x:c r="AH467"/>
      <x:c r="AI467"/>
      <x:c r="AJ467"/>
      <x:c r="AK467"/>
      <x:c r="AL467"/>
      <x:c r="AM467"/>
      <x:c r="AN467"/>
      <x:c r="AO467"/>
      <x:c r="AP467"/>
      <x:c r="AQ467"/>
      <x:c r="AR467"/>
    </x:row>
    <x:row r="468" s="248" customFormat="1">
      <x:c r="A468" s="250"/>
      <x:c r="B468" s="250"/>
      <x:c r="C468" s="566" t="str">
        <x:f>IF(B468="","",IFERROR(VLOOKUP(B468,PERUMAHAN!$A:$B,2,FALSE),"ID tidak ditemukan"))</x:f>
      </x:c>
      <x:c r="D468" s="250"/>
      <x:c r="E468" s="250"/>
      <x:c r="F468" s="250"/>
      <x:c r="G468" s="252"/>
      <x:c r="H468" s="252"/>
      <x:c r="I468" s="250"/>
      <x:c r="J468" s="250"/>
      <x:c r="K468" s="250"/>
      <x:c r="L468" s="250"/>
      <x:c r="M468" s="252"/>
      <x:c r="N468" s="252"/>
      <x:c r="O468" s="251"/>
      <x:c r="P468" s="250"/>
      <x:c r="Q468" s="250"/>
      <x:c r="R468" s="250"/>
      <x:c r="S468" s="253"/>
      <x:c r="T468" s="250"/>
      <x:c r="U468"/>
      <x:c r="AA468"/>
      <x:c r="AB468"/>
      <x:c r="AC468"/>
      <x:c r="AD468"/>
      <x:c r="AE468"/>
      <x:c r="AF468"/>
      <x:c r="AG468"/>
      <x:c r="AH468"/>
      <x:c r="AI468"/>
      <x:c r="AJ468"/>
      <x:c r="AK468"/>
      <x:c r="AL468"/>
      <x:c r="AM468"/>
      <x:c r="AN468"/>
      <x:c r="AO468"/>
      <x:c r="AP468"/>
      <x:c r="AQ468"/>
      <x:c r="AR468"/>
    </x:row>
    <x:row r="469" s="248" customFormat="1">
      <x:c r="A469" s="250"/>
      <x:c r="B469" s="250"/>
      <x:c r="C469" s="566" t="str">
        <x:f>IF(B469="","",IFERROR(VLOOKUP(B469,PERUMAHAN!$A:$B,2,FALSE),"ID tidak ditemukan"))</x:f>
      </x:c>
      <x:c r="D469" s="250"/>
      <x:c r="E469" s="250"/>
      <x:c r="F469" s="250"/>
      <x:c r="G469" s="252"/>
      <x:c r="H469" s="252"/>
      <x:c r="I469" s="250"/>
      <x:c r="J469" s="250"/>
      <x:c r="K469" s="250"/>
      <x:c r="L469" s="250"/>
      <x:c r="M469" s="252"/>
      <x:c r="N469" s="252"/>
      <x:c r="O469" s="251"/>
      <x:c r="P469" s="250"/>
      <x:c r="Q469" s="250"/>
      <x:c r="R469" s="250"/>
      <x:c r="S469" s="253"/>
      <x:c r="T469" s="250"/>
      <x:c r="U469"/>
      <x:c r="AA469"/>
      <x:c r="AB469"/>
      <x:c r="AC469"/>
      <x:c r="AD469"/>
      <x:c r="AE469"/>
      <x:c r="AF469"/>
      <x:c r="AG469"/>
      <x:c r="AH469"/>
      <x:c r="AI469"/>
      <x:c r="AJ469"/>
      <x:c r="AK469"/>
      <x:c r="AL469"/>
      <x:c r="AM469"/>
      <x:c r="AN469"/>
      <x:c r="AO469"/>
      <x:c r="AP469"/>
      <x:c r="AQ469"/>
      <x:c r="AR469"/>
    </x:row>
    <x:row r="470" s="248" customFormat="1">
      <x:c r="A470" s="250"/>
      <x:c r="B470" s="250"/>
      <x:c r="C470" s="566" t="str">
        <x:f>IF(B470="","",IFERROR(VLOOKUP(B470,PERUMAHAN!$A:$B,2,FALSE),"ID tidak ditemukan"))</x:f>
      </x:c>
      <x:c r="D470" s="250"/>
      <x:c r="E470" s="250"/>
      <x:c r="F470" s="250"/>
      <x:c r="G470" s="252"/>
      <x:c r="H470" s="252"/>
      <x:c r="I470" s="250"/>
      <x:c r="J470" s="250"/>
      <x:c r="K470" s="250"/>
      <x:c r="L470" s="250"/>
      <x:c r="M470" s="252"/>
      <x:c r="N470" s="252"/>
      <x:c r="O470" s="251"/>
      <x:c r="P470" s="250"/>
      <x:c r="Q470" s="250"/>
      <x:c r="R470" s="250"/>
      <x:c r="S470" s="253"/>
      <x:c r="T470" s="250"/>
      <x:c r="U470"/>
      <x:c r="AA470"/>
      <x:c r="AB470"/>
      <x:c r="AC470"/>
      <x:c r="AD470"/>
      <x:c r="AE470"/>
      <x:c r="AF470"/>
      <x:c r="AG470"/>
      <x:c r="AH470"/>
      <x:c r="AI470"/>
      <x:c r="AJ470"/>
      <x:c r="AK470"/>
      <x:c r="AL470"/>
      <x:c r="AM470"/>
      <x:c r="AN470"/>
      <x:c r="AO470"/>
      <x:c r="AP470"/>
      <x:c r="AQ470"/>
      <x:c r="AR470"/>
    </x:row>
    <x:row r="471" s="248" customFormat="1">
      <x:c r="A471" s="250"/>
      <x:c r="B471" s="250"/>
      <x:c r="C471" s="566" t="str">
        <x:f>IF(B471="","",IFERROR(VLOOKUP(B471,PERUMAHAN!$A:$B,2,FALSE),"ID tidak ditemukan"))</x:f>
      </x:c>
      <x:c r="D471" s="250"/>
      <x:c r="E471" s="250"/>
      <x:c r="F471" s="250"/>
      <x:c r="G471" s="252"/>
      <x:c r="H471" s="252"/>
      <x:c r="I471" s="250"/>
      <x:c r="J471" s="250"/>
      <x:c r="K471" s="250"/>
      <x:c r="L471" s="250"/>
      <x:c r="M471" s="252"/>
      <x:c r="N471" s="252"/>
      <x:c r="O471" s="251"/>
      <x:c r="P471" s="250"/>
      <x:c r="Q471" s="250"/>
      <x:c r="R471" s="250"/>
      <x:c r="S471" s="253"/>
      <x:c r="T471" s="250"/>
      <x:c r="U471"/>
      <x:c r="AA471"/>
      <x:c r="AB471"/>
      <x:c r="AC471"/>
      <x:c r="AD471"/>
      <x:c r="AE471"/>
      <x:c r="AF471"/>
      <x:c r="AG471"/>
      <x:c r="AH471"/>
      <x:c r="AI471"/>
      <x:c r="AJ471"/>
      <x:c r="AK471"/>
      <x:c r="AL471"/>
      <x:c r="AM471"/>
      <x:c r="AN471"/>
      <x:c r="AO471"/>
      <x:c r="AP471"/>
      <x:c r="AQ471"/>
      <x:c r="AR471"/>
    </x:row>
    <x:row r="472" s="248" customFormat="1">
      <x:c r="A472" s="250"/>
      <x:c r="B472" s="250"/>
      <x:c r="C472" s="566" t="str">
        <x:f>IF(B472="","",IFERROR(VLOOKUP(B472,PERUMAHAN!$A:$B,2,FALSE),"ID tidak ditemukan"))</x:f>
      </x:c>
      <x:c r="D472" s="250"/>
      <x:c r="E472" s="250"/>
      <x:c r="F472" s="250"/>
      <x:c r="G472" s="252"/>
      <x:c r="H472" s="252"/>
      <x:c r="I472" s="250"/>
      <x:c r="J472" s="250"/>
      <x:c r="K472" s="250"/>
      <x:c r="L472" s="250"/>
      <x:c r="M472" s="252"/>
      <x:c r="N472" s="252"/>
      <x:c r="O472" s="251"/>
      <x:c r="P472" s="250"/>
      <x:c r="Q472" s="250"/>
      <x:c r="R472" s="250"/>
      <x:c r="S472" s="253"/>
      <x:c r="T472" s="250"/>
      <x:c r="U472"/>
      <x:c r="AA472"/>
      <x:c r="AB472"/>
      <x:c r="AC472"/>
      <x:c r="AD472"/>
      <x:c r="AE472"/>
      <x:c r="AF472"/>
      <x:c r="AG472"/>
      <x:c r="AH472"/>
      <x:c r="AI472"/>
      <x:c r="AJ472"/>
      <x:c r="AK472"/>
      <x:c r="AL472"/>
      <x:c r="AM472"/>
      <x:c r="AN472"/>
      <x:c r="AO472"/>
      <x:c r="AP472"/>
      <x:c r="AQ472"/>
      <x:c r="AR472"/>
    </x:row>
    <x:row r="473" s="248" customFormat="1">
      <x:c r="A473" s="250"/>
      <x:c r="B473" s="250"/>
      <x:c r="C473" s="566" t="str">
        <x:f>IF(B473="","",IFERROR(VLOOKUP(B473,PERUMAHAN!$A:$B,2,FALSE),"ID tidak ditemukan"))</x:f>
      </x:c>
      <x:c r="D473" s="250"/>
      <x:c r="E473" s="250"/>
      <x:c r="F473" s="250"/>
      <x:c r="G473" s="252"/>
      <x:c r="H473" s="252"/>
      <x:c r="I473" s="250"/>
      <x:c r="J473" s="250"/>
      <x:c r="K473" s="250"/>
      <x:c r="L473" s="250"/>
      <x:c r="M473" s="252"/>
      <x:c r="N473" s="252"/>
      <x:c r="O473" s="251"/>
      <x:c r="P473" s="250"/>
      <x:c r="Q473" s="250"/>
      <x:c r="R473" s="250"/>
      <x:c r="S473" s="253"/>
      <x:c r="T473" s="250"/>
      <x:c r="U473"/>
      <x:c r="AA473"/>
      <x:c r="AB473"/>
      <x:c r="AC473"/>
      <x:c r="AD473"/>
      <x:c r="AE473"/>
      <x:c r="AF473"/>
      <x:c r="AG473"/>
      <x:c r="AH473"/>
      <x:c r="AI473"/>
      <x:c r="AJ473"/>
      <x:c r="AK473"/>
      <x:c r="AL473"/>
      <x:c r="AM473"/>
      <x:c r="AN473"/>
      <x:c r="AO473"/>
      <x:c r="AP473"/>
      <x:c r="AQ473"/>
      <x:c r="AR473"/>
    </x:row>
    <x:row r="474" s="248" customFormat="1">
      <x:c r="A474" s="250"/>
      <x:c r="B474" s="250"/>
      <x:c r="C474" s="566" t="str">
        <x:f>IF(B474="","",IFERROR(VLOOKUP(B474,PERUMAHAN!$A:$B,2,FALSE),"ID tidak ditemukan"))</x:f>
      </x:c>
      <x:c r="D474" s="250"/>
      <x:c r="E474" s="250"/>
      <x:c r="F474" s="250"/>
      <x:c r="G474" s="252"/>
      <x:c r="H474" s="252"/>
      <x:c r="I474" s="250"/>
      <x:c r="J474" s="250"/>
      <x:c r="K474" s="250"/>
      <x:c r="L474" s="250"/>
      <x:c r="M474" s="252"/>
      <x:c r="N474" s="252"/>
      <x:c r="O474" s="251"/>
      <x:c r="P474" s="250"/>
      <x:c r="Q474" s="250"/>
      <x:c r="R474" s="250"/>
      <x:c r="S474" s="253"/>
      <x:c r="T474" s="250"/>
      <x:c r="U474"/>
      <x:c r="AA474"/>
      <x:c r="AB474"/>
      <x:c r="AC474"/>
      <x:c r="AD474"/>
      <x:c r="AE474"/>
      <x:c r="AF474"/>
      <x:c r="AG474"/>
      <x:c r="AH474"/>
      <x:c r="AI474"/>
      <x:c r="AJ474"/>
      <x:c r="AK474"/>
      <x:c r="AL474"/>
      <x:c r="AM474"/>
      <x:c r="AN474"/>
      <x:c r="AO474"/>
      <x:c r="AP474"/>
      <x:c r="AQ474"/>
      <x:c r="AR474"/>
    </x:row>
    <x:row r="475" s="248" customFormat="1">
      <x:c r="A475" s="250"/>
      <x:c r="B475" s="250"/>
      <x:c r="C475" s="566" t="str">
        <x:f>IF(B475="","",IFERROR(VLOOKUP(B475,PERUMAHAN!$A:$B,2,FALSE),"ID tidak ditemukan"))</x:f>
      </x:c>
      <x:c r="D475" s="250"/>
      <x:c r="E475" s="250"/>
      <x:c r="F475" s="250"/>
      <x:c r="G475" s="252"/>
      <x:c r="H475" s="252"/>
      <x:c r="I475" s="250"/>
      <x:c r="J475" s="250"/>
      <x:c r="K475" s="250"/>
      <x:c r="L475" s="250"/>
      <x:c r="M475" s="252"/>
      <x:c r="N475" s="252"/>
      <x:c r="O475" s="251"/>
      <x:c r="P475" s="250"/>
      <x:c r="Q475" s="250"/>
      <x:c r="R475" s="250"/>
      <x:c r="S475" s="253"/>
      <x:c r="T475" s="250"/>
      <x:c r="U475"/>
      <x:c r="AA475"/>
      <x:c r="AB475"/>
      <x:c r="AC475"/>
      <x:c r="AD475"/>
      <x:c r="AE475"/>
      <x:c r="AF475"/>
      <x:c r="AG475"/>
      <x:c r="AH475"/>
      <x:c r="AI475"/>
      <x:c r="AJ475"/>
      <x:c r="AK475"/>
      <x:c r="AL475"/>
      <x:c r="AM475"/>
      <x:c r="AN475"/>
      <x:c r="AO475"/>
      <x:c r="AP475"/>
      <x:c r="AQ475"/>
      <x:c r="AR475"/>
    </x:row>
    <x:row r="476" s="248" customFormat="1">
      <x:c r="A476" s="250"/>
      <x:c r="B476" s="250"/>
      <x:c r="C476" s="566" t="str">
        <x:f>IF(B476="","",IFERROR(VLOOKUP(B476,PERUMAHAN!$A:$B,2,FALSE),"ID tidak ditemukan"))</x:f>
      </x:c>
      <x:c r="D476" s="250"/>
      <x:c r="E476" s="250"/>
      <x:c r="F476" s="250"/>
      <x:c r="G476" s="252"/>
      <x:c r="H476" s="252"/>
      <x:c r="I476" s="250"/>
      <x:c r="J476" s="250"/>
      <x:c r="K476" s="250"/>
      <x:c r="L476" s="250"/>
      <x:c r="M476" s="252"/>
      <x:c r="N476" s="252"/>
      <x:c r="O476" s="251"/>
      <x:c r="P476" s="250"/>
      <x:c r="Q476" s="250"/>
      <x:c r="R476" s="250"/>
      <x:c r="S476" s="253"/>
      <x:c r="T476" s="250"/>
      <x:c r="U476"/>
      <x:c r="AA476"/>
      <x:c r="AB476"/>
      <x:c r="AC476"/>
      <x:c r="AD476"/>
      <x:c r="AE476"/>
      <x:c r="AF476"/>
      <x:c r="AG476"/>
      <x:c r="AH476"/>
      <x:c r="AI476"/>
      <x:c r="AJ476"/>
      <x:c r="AK476"/>
      <x:c r="AL476"/>
      <x:c r="AM476"/>
      <x:c r="AN476"/>
      <x:c r="AO476"/>
      <x:c r="AP476"/>
      <x:c r="AQ476"/>
      <x:c r="AR476"/>
    </x:row>
    <x:row r="477" s="248" customFormat="1">
      <x:c r="A477" s="250"/>
      <x:c r="B477" s="250"/>
      <x:c r="C477" s="566" t="str">
        <x:f>IF(B477="","",IFERROR(VLOOKUP(B477,PERUMAHAN!$A:$B,2,FALSE),"ID tidak ditemukan"))</x:f>
      </x:c>
      <x:c r="D477" s="250"/>
      <x:c r="E477" s="250"/>
      <x:c r="F477" s="250"/>
      <x:c r="G477" s="252"/>
      <x:c r="H477" s="252"/>
      <x:c r="I477" s="250"/>
      <x:c r="J477" s="250"/>
      <x:c r="K477" s="250"/>
      <x:c r="L477" s="250"/>
      <x:c r="M477" s="252"/>
      <x:c r="N477" s="252"/>
      <x:c r="O477" s="251"/>
      <x:c r="P477" s="250"/>
      <x:c r="Q477" s="250"/>
      <x:c r="R477" s="250"/>
      <x:c r="S477" s="253"/>
      <x:c r="T477" s="250"/>
      <x:c r="U477"/>
      <x:c r="AA477"/>
      <x:c r="AB477"/>
      <x:c r="AC477"/>
      <x:c r="AD477"/>
      <x:c r="AE477"/>
      <x:c r="AF477"/>
      <x:c r="AG477"/>
      <x:c r="AH477"/>
      <x:c r="AI477"/>
      <x:c r="AJ477"/>
      <x:c r="AK477"/>
      <x:c r="AL477"/>
      <x:c r="AM477"/>
      <x:c r="AN477"/>
      <x:c r="AO477"/>
      <x:c r="AP477"/>
      <x:c r="AQ477"/>
      <x:c r="AR477"/>
    </x:row>
    <x:row r="478" s="248" customFormat="1">
      <x:c r="A478" s="250"/>
      <x:c r="B478" s="250"/>
      <x:c r="C478" s="566" t="str">
        <x:f>IF(B478="","",IFERROR(VLOOKUP(B478,PERUMAHAN!$A:$B,2,FALSE),"ID tidak ditemukan"))</x:f>
      </x:c>
      <x:c r="D478" s="250"/>
      <x:c r="E478" s="250"/>
      <x:c r="F478" s="250"/>
      <x:c r="G478" s="252"/>
      <x:c r="H478" s="252"/>
      <x:c r="I478" s="250"/>
      <x:c r="J478" s="250"/>
      <x:c r="K478" s="250"/>
      <x:c r="L478" s="250"/>
      <x:c r="M478" s="252"/>
      <x:c r="N478" s="252"/>
      <x:c r="O478" s="251"/>
      <x:c r="P478" s="250"/>
      <x:c r="Q478" s="250"/>
      <x:c r="R478" s="250"/>
      <x:c r="S478" s="253"/>
      <x:c r="T478" s="250"/>
      <x:c r="U478"/>
      <x:c r="AA478"/>
      <x:c r="AB478"/>
      <x:c r="AC478"/>
      <x:c r="AD478"/>
      <x:c r="AE478"/>
      <x:c r="AF478"/>
      <x:c r="AG478"/>
      <x:c r="AH478"/>
      <x:c r="AI478"/>
      <x:c r="AJ478"/>
      <x:c r="AK478"/>
      <x:c r="AL478"/>
      <x:c r="AM478"/>
      <x:c r="AN478"/>
      <x:c r="AO478"/>
      <x:c r="AP478"/>
      <x:c r="AQ478"/>
      <x:c r="AR478"/>
    </x:row>
    <x:row r="479" s="248" customFormat="1">
      <x:c r="A479" s="250"/>
      <x:c r="B479" s="250"/>
      <x:c r="C479" s="566" t="str">
        <x:f>IF(B479="","",IFERROR(VLOOKUP(B479,PERUMAHAN!$A:$B,2,FALSE),"ID tidak ditemukan"))</x:f>
      </x:c>
      <x:c r="D479" s="250"/>
      <x:c r="E479" s="250"/>
      <x:c r="F479" s="250"/>
      <x:c r="G479" s="252"/>
      <x:c r="H479" s="252"/>
      <x:c r="I479" s="250"/>
      <x:c r="J479" s="250"/>
      <x:c r="K479" s="250"/>
      <x:c r="L479" s="250"/>
      <x:c r="M479" s="252"/>
      <x:c r="N479" s="252"/>
      <x:c r="O479" s="251"/>
      <x:c r="P479" s="250"/>
      <x:c r="Q479" s="250"/>
      <x:c r="R479" s="250"/>
      <x:c r="S479" s="253"/>
      <x:c r="T479" s="250"/>
      <x:c r="U479"/>
      <x:c r="AA479"/>
      <x:c r="AB479"/>
      <x:c r="AC479"/>
      <x:c r="AD479"/>
      <x:c r="AE479"/>
      <x:c r="AF479"/>
      <x:c r="AG479"/>
      <x:c r="AH479"/>
      <x:c r="AI479"/>
      <x:c r="AJ479"/>
      <x:c r="AK479"/>
      <x:c r="AL479"/>
      <x:c r="AM479"/>
      <x:c r="AN479"/>
      <x:c r="AO479"/>
      <x:c r="AP479"/>
      <x:c r="AQ479"/>
      <x:c r="AR479"/>
    </x:row>
    <x:row r="480" s="248" customFormat="1">
      <x:c r="A480" s="250"/>
      <x:c r="B480" s="250"/>
      <x:c r="C480" s="566" t="str">
        <x:f>IF(B480="","",IFERROR(VLOOKUP(B480,PERUMAHAN!$A:$B,2,FALSE),"ID tidak ditemukan"))</x:f>
      </x:c>
      <x:c r="D480" s="250"/>
      <x:c r="E480" s="250"/>
      <x:c r="F480" s="250"/>
      <x:c r="G480" s="252"/>
      <x:c r="H480" s="252"/>
      <x:c r="I480" s="250"/>
      <x:c r="J480" s="250"/>
      <x:c r="K480" s="250"/>
      <x:c r="L480" s="250"/>
      <x:c r="M480" s="252"/>
      <x:c r="N480" s="252"/>
      <x:c r="O480" s="251"/>
      <x:c r="P480" s="250"/>
      <x:c r="Q480" s="250"/>
      <x:c r="R480" s="250"/>
      <x:c r="S480" s="253"/>
      <x:c r="T480" s="250"/>
      <x:c r="U480"/>
      <x:c r="AA480"/>
      <x:c r="AB480"/>
      <x:c r="AC480"/>
      <x:c r="AD480"/>
      <x:c r="AE480"/>
      <x:c r="AF480"/>
      <x:c r="AG480"/>
      <x:c r="AH480"/>
      <x:c r="AI480"/>
      <x:c r="AJ480"/>
      <x:c r="AK480"/>
      <x:c r="AL480"/>
      <x:c r="AM480"/>
      <x:c r="AN480"/>
      <x:c r="AO480"/>
      <x:c r="AP480"/>
      <x:c r="AQ480"/>
      <x:c r="AR480"/>
    </x:row>
    <x:row r="481" s="248" customFormat="1">
      <x:c r="A481" s="250"/>
      <x:c r="B481" s="250"/>
      <x:c r="C481" s="566" t="str">
        <x:f>IF(B481="","",IFERROR(VLOOKUP(B481,PERUMAHAN!$A:$B,2,FALSE),"ID tidak ditemukan"))</x:f>
      </x:c>
      <x:c r="D481" s="250"/>
      <x:c r="E481" s="250"/>
      <x:c r="F481" s="250"/>
      <x:c r="G481" s="252"/>
      <x:c r="H481" s="252"/>
      <x:c r="I481" s="250"/>
      <x:c r="J481" s="250"/>
      <x:c r="K481" s="250"/>
      <x:c r="L481" s="250"/>
      <x:c r="M481" s="252"/>
      <x:c r="N481" s="252"/>
      <x:c r="O481" s="251"/>
      <x:c r="P481" s="250"/>
      <x:c r="Q481" s="250"/>
      <x:c r="R481" s="250"/>
      <x:c r="S481" s="253"/>
      <x:c r="T481" s="250"/>
      <x:c r="U481"/>
      <x:c r="AA481"/>
      <x:c r="AB481"/>
      <x:c r="AC481"/>
      <x:c r="AD481"/>
      <x:c r="AE481"/>
      <x:c r="AF481"/>
      <x:c r="AG481"/>
      <x:c r="AH481"/>
      <x:c r="AI481"/>
      <x:c r="AJ481"/>
      <x:c r="AK481"/>
      <x:c r="AL481"/>
      <x:c r="AM481"/>
      <x:c r="AN481"/>
      <x:c r="AO481"/>
      <x:c r="AP481"/>
      <x:c r="AQ481"/>
      <x:c r="AR481"/>
    </x:row>
    <x:row r="482" s="248" customFormat="1">
      <x:c r="A482" s="250"/>
      <x:c r="B482" s="250"/>
      <x:c r="C482" s="566" t="str">
        <x:f>IF(B482="","",IFERROR(VLOOKUP(B482,PERUMAHAN!$A:$B,2,FALSE),"ID tidak ditemukan"))</x:f>
      </x:c>
      <x:c r="D482" s="250"/>
      <x:c r="E482" s="250"/>
      <x:c r="F482" s="250"/>
      <x:c r="G482" s="252"/>
      <x:c r="H482" s="252"/>
      <x:c r="I482" s="250"/>
      <x:c r="J482" s="250"/>
      <x:c r="K482" s="250"/>
      <x:c r="L482" s="250"/>
      <x:c r="M482" s="252"/>
      <x:c r="N482" s="252"/>
      <x:c r="O482" s="251"/>
      <x:c r="P482" s="250"/>
      <x:c r="Q482" s="250"/>
      <x:c r="R482" s="250"/>
      <x:c r="S482" s="253"/>
      <x:c r="T482" s="250"/>
      <x:c r="U482"/>
      <x:c r="AA482"/>
      <x:c r="AB482"/>
      <x:c r="AC482"/>
      <x:c r="AD482"/>
      <x:c r="AE482"/>
      <x:c r="AF482"/>
      <x:c r="AG482"/>
      <x:c r="AH482"/>
      <x:c r="AI482"/>
      <x:c r="AJ482"/>
      <x:c r="AK482"/>
      <x:c r="AL482"/>
      <x:c r="AM482"/>
      <x:c r="AN482"/>
      <x:c r="AO482"/>
      <x:c r="AP482"/>
      <x:c r="AQ482"/>
      <x:c r="AR482"/>
    </x:row>
    <x:row r="483" s="248" customFormat="1">
      <x:c r="A483" s="250"/>
      <x:c r="B483" s="250"/>
      <x:c r="C483" s="566" t="str">
        <x:f>IF(B483="","",IFERROR(VLOOKUP(B483,PERUMAHAN!$A:$B,2,FALSE),"ID tidak ditemukan"))</x:f>
      </x:c>
      <x:c r="D483" s="250"/>
      <x:c r="E483" s="250"/>
      <x:c r="F483" s="250"/>
      <x:c r="G483" s="252"/>
      <x:c r="H483" s="252"/>
      <x:c r="I483" s="250"/>
      <x:c r="J483" s="250"/>
      <x:c r="K483" s="250"/>
      <x:c r="L483" s="250"/>
      <x:c r="M483" s="252"/>
      <x:c r="N483" s="252"/>
      <x:c r="O483" s="251"/>
      <x:c r="P483" s="250"/>
      <x:c r="Q483" s="250"/>
      <x:c r="R483" s="250"/>
      <x:c r="S483" s="253"/>
      <x:c r="T483" s="250"/>
      <x:c r="U483"/>
      <x:c r="AA483"/>
      <x:c r="AB483"/>
      <x:c r="AC483"/>
      <x:c r="AD483"/>
      <x:c r="AE483"/>
      <x:c r="AF483"/>
      <x:c r="AG483"/>
      <x:c r="AH483"/>
      <x:c r="AI483"/>
      <x:c r="AJ483"/>
      <x:c r="AK483"/>
      <x:c r="AL483"/>
      <x:c r="AM483"/>
      <x:c r="AN483"/>
      <x:c r="AO483"/>
      <x:c r="AP483"/>
      <x:c r="AQ483"/>
      <x:c r="AR483"/>
    </x:row>
    <x:row r="484" s="248" customFormat="1">
      <x:c r="A484" s="250"/>
      <x:c r="B484" s="250"/>
      <x:c r="C484" s="566" t="str">
        <x:f>IF(B484="","",IFERROR(VLOOKUP(B484,PERUMAHAN!$A:$B,2,FALSE),"ID tidak ditemukan"))</x:f>
      </x:c>
      <x:c r="D484" s="250"/>
      <x:c r="E484" s="250"/>
      <x:c r="F484" s="250"/>
      <x:c r="G484" s="252"/>
      <x:c r="H484" s="252"/>
      <x:c r="I484" s="250"/>
      <x:c r="J484" s="250"/>
      <x:c r="K484" s="250"/>
      <x:c r="L484" s="250"/>
      <x:c r="M484" s="252"/>
      <x:c r="N484" s="252"/>
      <x:c r="O484" s="251"/>
      <x:c r="P484" s="250"/>
      <x:c r="Q484" s="250"/>
      <x:c r="R484" s="250"/>
      <x:c r="S484" s="253"/>
      <x:c r="T484" s="250"/>
      <x:c r="U484"/>
      <x:c r="AA484"/>
      <x:c r="AB484"/>
      <x:c r="AC484"/>
      <x:c r="AD484"/>
      <x:c r="AE484"/>
      <x:c r="AF484"/>
      <x:c r="AG484"/>
      <x:c r="AH484"/>
      <x:c r="AI484"/>
      <x:c r="AJ484"/>
      <x:c r="AK484"/>
      <x:c r="AL484"/>
      <x:c r="AM484"/>
      <x:c r="AN484"/>
      <x:c r="AO484"/>
      <x:c r="AP484"/>
      <x:c r="AQ484"/>
      <x:c r="AR484"/>
    </x:row>
    <x:row r="485" s="248" customFormat="1">
      <x:c r="A485" s="250"/>
      <x:c r="B485" s="250"/>
      <x:c r="C485" s="566" t="str">
        <x:f>IF(B485="","",IFERROR(VLOOKUP(B485,PERUMAHAN!$A:$B,2,FALSE),"ID tidak ditemukan"))</x:f>
      </x:c>
      <x:c r="D485" s="250"/>
      <x:c r="E485" s="250"/>
      <x:c r="F485" s="250"/>
      <x:c r="G485" s="252"/>
      <x:c r="H485" s="252"/>
      <x:c r="I485" s="250"/>
      <x:c r="J485" s="250"/>
      <x:c r="K485" s="250"/>
      <x:c r="L485" s="250"/>
      <x:c r="M485" s="252"/>
      <x:c r="N485" s="252"/>
      <x:c r="O485" s="251"/>
      <x:c r="P485" s="250"/>
      <x:c r="Q485" s="250"/>
      <x:c r="R485" s="250"/>
      <x:c r="S485" s="253"/>
      <x:c r="T485" s="250"/>
      <x:c r="U485"/>
      <x:c r="AA485"/>
      <x:c r="AB485"/>
      <x:c r="AC485"/>
      <x:c r="AD485"/>
      <x:c r="AE485"/>
      <x:c r="AF485"/>
      <x:c r="AG485"/>
      <x:c r="AH485"/>
      <x:c r="AI485"/>
      <x:c r="AJ485"/>
      <x:c r="AK485"/>
      <x:c r="AL485"/>
      <x:c r="AM485"/>
      <x:c r="AN485"/>
      <x:c r="AO485"/>
      <x:c r="AP485"/>
      <x:c r="AQ485"/>
      <x:c r="AR485"/>
    </x:row>
    <x:row r="486" s="248" customFormat="1">
      <x:c r="A486" s="250"/>
      <x:c r="B486" s="250"/>
      <x:c r="C486" s="566" t="str">
        <x:f>IF(B486="","",IFERROR(VLOOKUP(B486,PERUMAHAN!$A:$B,2,FALSE),"ID tidak ditemukan"))</x:f>
      </x:c>
      <x:c r="D486" s="250"/>
      <x:c r="E486" s="250"/>
      <x:c r="F486" s="250"/>
      <x:c r="G486" s="252"/>
      <x:c r="H486" s="252"/>
      <x:c r="I486" s="250"/>
      <x:c r="J486" s="250"/>
      <x:c r="K486" s="250"/>
      <x:c r="L486" s="250"/>
      <x:c r="M486" s="252"/>
      <x:c r="N486" s="252"/>
      <x:c r="O486" s="251"/>
      <x:c r="P486" s="250"/>
      <x:c r="Q486" s="250"/>
      <x:c r="R486" s="250"/>
      <x:c r="S486" s="253"/>
      <x:c r="T486" s="250"/>
      <x:c r="U486"/>
      <x:c r="AA486"/>
      <x:c r="AB486"/>
      <x:c r="AC486"/>
      <x:c r="AD486"/>
      <x:c r="AE486"/>
      <x:c r="AF486"/>
      <x:c r="AG486"/>
      <x:c r="AH486"/>
      <x:c r="AI486"/>
      <x:c r="AJ486"/>
      <x:c r="AK486"/>
      <x:c r="AL486"/>
      <x:c r="AM486"/>
      <x:c r="AN486"/>
      <x:c r="AO486"/>
      <x:c r="AP486"/>
      <x:c r="AQ486"/>
      <x:c r="AR486"/>
    </x:row>
    <x:row r="487" s="248" customFormat="1">
      <x:c r="A487" s="250"/>
      <x:c r="B487" s="250"/>
      <x:c r="C487" s="566" t="str">
        <x:f>IF(B487="","",IFERROR(VLOOKUP(B487,PERUMAHAN!$A:$B,2,FALSE),"ID tidak ditemukan"))</x:f>
      </x:c>
      <x:c r="D487" s="250"/>
      <x:c r="E487" s="250"/>
      <x:c r="F487" s="250"/>
      <x:c r="G487" s="252"/>
      <x:c r="H487" s="252"/>
      <x:c r="I487" s="250"/>
      <x:c r="J487" s="250"/>
      <x:c r="K487" s="250"/>
      <x:c r="L487" s="250"/>
      <x:c r="M487" s="252"/>
      <x:c r="N487" s="252"/>
      <x:c r="O487" s="251"/>
      <x:c r="P487" s="250"/>
      <x:c r="Q487" s="250"/>
      <x:c r="R487" s="250"/>
      <x:c r="S487" s="253"/>
      <x:c r="T487" s="250"/>
      <x:c r="U487"/>
      <x:c r="AA487"/>
      <x:c r="AB487"/>
      <x:c r="AC487"/>
      <x:c r="AD487"/>
      <x:c r="AE487"/>
      <x:c r="AF487"/>
      <x:c r="AG487"/>
      <x:c r="AH487"/>
      <x:c r="AI487"/>
      <x:c r="AJ487"/>
      <x:c r="AK487"/>
      <x:c r="AL487"/>
      <x:c r="AM487"/>
      <x:c r="AN487"/>
      <x:c r="AO487"/>
      <x:c r="AP487"/>
      <x:c r="AQ487"/>
      <x:c r="AR487"/>
    </x:row>
    <x:row r="488" s="248" customFormat="1">
      <x:c r="A488" s="250"/>
      <x:c r="B488" s="250"/>
      <x:c r="C488" s="566" t="str">
        <x:f>IF(B488="","",IFERROR(VLOOKUP(B488,PERUMAHAN!$A:$B,2,FALSE),"ID tidak ditemukan"))</x:f>
      </x:c>
      <x:c r="D488" s="250"/>
      <x:c r="E488" s="250"/>
      <x:c r="F488" s="250"/>
      <x:c r="G488" s="252"/>
      <x:c r="H488" s="252"/>
      <x:c r="I488" s="250"/>
      <x:c r="J488" s="250"/>
      <x:c r="K488" s="250"/>
      <x:c r="L488" s="250"/>
      <x:c r="M488" s="252"/>
      <x:c r="N488" s="252"/>
      <x:c r="O488" s="251"/>
      <x:c r="P488" s="250"/>
      <x:c r="Q488" s="250"/>
      <x:c r="R488" s="250"/>
      <x:c r="S488" s="253"/>
      <x:c r="T488" s="250"/>
      <x:c r="U488"/>
      <x:c r="AA488"/>
      <x:c r="AB488"/>
      <x:c r="AC488"/>
      <x:c r="AD488"/>
      <x:c r="AE488"/>
      <x:c r="AF488"/>
      <x:c r="AG488"/>
      <x:c r="AH488"/>
      <x:c r="AI488"/>
      <x:c r="AJ488"/>
      <x:c r="AK488"/>
      <x:c r="AL488"/>
      <x:c r="AM488"/>
      <x:c r="AN488"/>
      <x:c r="AO488"/>
      <x:c r="AP488"/>
      <x:c r="AQ488"/>
      <x:c r="AR488"/>
    </x:row>
    <x:row r="489" s="248" customFormat="1">
      <x:c r="A489" s="250"/>
      <x:c r="B489" s="250"/>
      <x:c r="C489" s="566" t="str">
        <x:f>IF(B489="","",IFERROR(VLOOKUP(B489,PERUMAHAN!$A:$B,2,FALSE),"ID tidak ditemukan"))</x:f>
      </x:c>
      <x:c r="D489" s="250"/>
      <x:c r="E489" s="250"/>
      <x:c r="F489" s="250"/>
      <x:c r="G489" s="252"/>
      <x:c r="H489" s="252"/>
      <x:c r="I489" s="250"/>
      <x:c r="J489" s="250"/>
      <x:c r="K489" s="250"/>
      <x:c r="L489" s="250"/>
      <x:c r="M489" s="252"/>
      <x:c r="N489" s="252"/>
      <x:c r="O489" s="251"/>
      <x:c r="P489" s="250"/>
      <x:c r="Q489" s="250"/>
      <x:c r="R489" s="250"/>
      <x:c r="S489" s="253"/>
      <x:c r="T489" s="250"/>
      <x:c r="U489"/>
      <x:c r="AA489"/>
      <x:c r="AB489"/>
      <x:c r="AC489"/>
      <x:c r="AD489"/>
      <x:c r="AE489"/>
      <x:c r="AF489"/>
      <x:c r="AG489"/>
      <x:c r="AH489"/>
      <x:c r="AI489"/>
      <x:c r="AJ489"/>
      <x:c r="AK489"/>
      <x:c r="AL489"/>
      <x:c r="AM489"/>
      <x:c r="AN489"/>
      <x:c r="AO489"/>
      <x:c r="AP489"/>
      <x:c r="AQ489"/>
      <x:c r="AR489"/>
    </x:row>
    <x:row r="490" s="248" customFormat="1">
      <x:c r="A490" s="250"/>
      <x:c r="B490" s="250"/>
      <x:c r="C490" s="566" t="str">
        <x:f>IF(B490="","",IFERROR(VLOOKUP(B490,PERUMAHAN!$A:$B,2,FALSE),"ID tidak ditemukan"))</x:f>
      </x:c>
      <x:c r="D490" s="250"/>
      <x:c r="E490" s="250"/>
      <x:c r="F490" s="250"/>
      <x:c r="G490" s="252"/>
      <x:c r="H490" s="252"/>
      <x:c r="I490" s="250"/>
      <x:c r="J490" s="250"/>
      <x:c r="K490" s="250"/>
      <x:c r="L490" s="250"/>
      <x:c r="M490" s="252"/>
      <x:c r="N490" s="252"/>
      <x:c r="O490" s="251"/>
      <x:c r="P490" s="250"/>
      <x:c r="Q490" s="250"/>
      <x:c r="R490" s="250"/>
      <x:c r="S490" s="253"/>
      <x:c r="T490" s="250"/>
      <x:c r="U490"/>
      <x:c r="AA490"/>
      <x:c r="AB490"/>
      <x:c r="AC490"/>
      <x:c r="AD490"/>
      <x:c r="AE490"/>
      <x:c r="AF490"/>
      <x:c r="AG490"/>
      <x:c r="AH490"/>
      <x:c r="AI490"/>
      <x:c r="AJ490"/>
      <x:c r="AK490"/>
      <x:c r="AL490"/>
      <x:c r="AM490"/>
      <x:c r="AN490"/>
      <x:c r="AO490"/>
      <x:c r="AP490"/>
      <x:c r="AQ490"/>
      <x:c r="AR490"/>
    </x:row>
    <x:row r="491" s="248" customFormat="1">
      <x:c r="A491" s="250"/>
      <x:c r="B491" s="250"/>
      <x:c r="C491" s="566" t="str">
        <x:f>IF(B491="","",IFERROR(VLOOKUP(B491,PERUMAHAN!$A:$B,2,FALSE),"ID tidak ditemukan"))</x:f>
      </x:c>
      <x:c r="D491" s="250"/>
      <x:c r="E491" s="250"/>
      <x:c r="F491" s="250"/>
      <x:c r="G491" s="252"/>
      <x:c r="H491" s="252"/>
      <x:c r="I491" s="250"/>
      <x:c r="J491" s="250"/>
      <x:c r="K491" s="250"/>
      <x:c r="L491" s="250"/>
      <x:c r="M491" s="252"/>
      <x:c r="N491" s="252"/>
      <x:c r="O491" s="251"/>
      <x:c r="P491" s="250"/>
      <x:c r="Q491" s="250"/>
      <x:c r="R491" s="250"/>
      <x:c r="S491" s="253"/>
      <x:c r="T491" s="250"/>
      <x:c r="U491"/>
      <x:c r="AA491"/>
      <x:c r="AB491"/>
      <x:c r="AC491"/>
      <x:c r="AD491"/>
      <x:c r="AE491"/>
      <x:c r="AF491"/>
      <x:c r="AG491"/>
      <x:c r="AH491"/>
      <x:c r="AI491"/>
      <x:c r="AJ491"/>
      <x:c r="AK491"/>
      <x:c r="AL491"/>
      <x:c r="AM491"/>
      <x:c r="AN491"/>
      <x:c r="AO491"/>
      <x:c r="AP491"/>
      <x:c r="AQ491"/>
      <x:c r="AR491"/>
    </x:row>
    <x:row r="492" s="248" customFormat="1">
      <x:c r="A492" s="250"/>
      <x:c r="B492" s="250"/>
      <x:c r="C492" s="566" t="str">
        <x:f>IF(B492="","",IFERROR(VLOOKUP(B492,PERUMAHAN!$A:$B,2,FALSE),"ID tidak ditemukan"))</x:f>
      </x:c>
      <x:c r="D492" s="250"/>
      <x:c r="E492" s="250"/>
      <x:c r="F492" s="250"/>
      <x:c r="G492" s="252"/>
      <x:c r="H492" s="252"/>
      <x:c r="I492" s="250"/>
      <x:c r="J492" s="250"/>
      <x:c r="K492" s="250"/>
      <x:c r="L492" s="250"/>
      <x:c r="M492" s="252"/>
      <x:c r="N492" s="252"/>
      <x:c r="O492" s="251"/>
      <x:c r="P492" s="250"/>
      <x:c r="Q492" s="250"/>
      <x:c r="R492" s="250"/>
      <x:c r="S492" s="253"/>
      <x:c r="T492" s="250"/>
      <x:c r="U492"/>
      <x:c r="AA492"/>
      <x:c r="AB492"/>
      <x:c r="AC492"/>
      <x:c r="AD492"/>
      <x:c r="AE492"/>
      <x:c r="AF492"/>
      <x:c r="AG492"/>
      <x:c r="AH492"/>
      <x:c r="AI492"/>
      <x:c r="AJ492"/>
      <x:c r="AK492"/>
      <x:c r="AL492"/>
      <x:c r="AM492"/>
      <x:c r="AN492"/>
      <x:c r="AO492"/>
      <x:c r="AP492"/>
      <x:c r="AQ492"/>
      <x:c r="AR492"/>
    </x:row>
    <x:row r="493" s="248" customFormat="1">
      <x:c r="A493" s="250"/>
      <x:c r="B493" s="250"/>
      <x:c r="C493" s="566" t="str">
        <x:f>IF(B493="","",IFERROR(VLOOKUP(B493,PERUMAHAN!$A:$B,2,FALSE),"ID tidak ditemukan"))</x:f>
      </x:c>
      <x:c r="D493" s="250"/>
      <x:c r="E493" s="250"/>
      <x:c r="F493" s="250"/>
      <x:c r="G493" s="252"/>
      <x:c r="H493" s="252"/>
      <x:c r="I493" s="250"/>
      <x:c r="J493" s="250"/>
      <x:c r="K493" s="250"/>
      <x:c r="L493" s="250"/>
      <x:c r="M493" s="252"/>
      <x:c r="N493" s="252"/>
      <x:c r="O493" s="251"/>
      <x:c r="P493" s="250"/>
      <x:c r="Q493" s="250"/>
      <x:c r="R493" s="250"/>
      <x:c r="S493" s="253"/>
      <x:c r="T493" s="250"/>
      <x:c r="U493"/>
      <x:c r="AA493"/>
      <x:c r="AB493"/>
      <x:c r="AC493"/>
      <x:c r="AD493"/>
      <x:c r="AE493"/>
      <x:c r="AF493"/>
      <x:c r="AG493"/>
      <x:c r="AH493"/>
      <x:c r="AI493"/>
      <x:c r="AJ493"/>
      <x:c r="AK493"/>
      <x:c r="AL493"/>
      <x:c r="AM493"/>
      <x:c r="AN493"/>
      <x:c r="AO493"/>
      <x:c r="AP493"/>
      <x:c r="AQ493"/>
      <x:c r="AR493"/>
    </x:row>
    <x:row r="494" s="248" customFormat="1">
      <x:c r="A494" s="250"/>
      <x:c r="B494" s="250"/>
      <x:c r="C494" s="566" t="str">
        <x:f>IF(B494="","",IFERROR(VLOOKUP(B494,PERUMAHAN!$A:$B,2,FALSE),"ID tidak ditemukan"))</x:f>
      </x:c>
      <x:c r="D494" s="250"/>
      <x:c r="E494" s="250"/>
      <x:c r="F494" s="250"/>
      <x:c r="G494" s="252"/>
      <x:c r="H494" s="252"/>
      <x:c r="I494" s="250"/>
      <x:c r="J494" s="250"/>
      <x:c r="K494" s="250"/>
      <x:c r="L494" s="250"/>
      <x:c r="M494" s="252"/>
      <x:c r="N494" s="252"/>
      <x:c r="O494" s="251"/>
      <x:c r="P494" s="250"/>
      <x:c r="Q494" s="250"/>
      <x:c r="R494" s="250"/>
      <x:c r="S494" s="253"/>
      <x:c r="T494" s="250"/>
      <x:c r="U494"/>
      <x:c r="AA494"/>
      <x:c r="AB494"/>
      <x:c r="AC494"/>
      <x:c r="AD494"/>
      <x:c r="AE494"/>
      <x:c r="AF494"/>
      <x:c r="AG494"/>
      <x:c r="AH494"/>
      <x:c r="AI494"/>
      <x:c r="AJ494"/>
      <x:c r="AK494"/>
      <x:c r="AL494"/>
      <x:c r="AM494"/>
      <x:c r="AN494"/>
      <x:c r="AO494"/>
      <x:c r="AP494"/>
      <x:c r="AQ494"/>
      <x:c r="AR494"/>
    </x:row>
    <x:row r="495" s="248" customFormat="1">
      <x:c r="A495" s="250"/>
      <x:c r="B495" s="250"/>
      <x:c r="C495" s="566" t="str">
        <x:f>IF(B495="","",IFERROR(VLOOKUP(B495,PERUMAHAN!$A:$B,2,FALSE),"ID tidak ditemukan"))</x:f>
      </x:c>
      <x:c r="D495" s="250"/>
      <x:c r="E495" s="250"/>
      <x:c r="F495" s="250"/>
      <x:c r="G495" s="252"/>
      <x:c r="H495" s="252"/>
      <x:c r="I495" s="250"/>
      <x:c r="J495" s="250"/>
      <x:c r="K495" s="250"/>
      <x:c r="L495" s="250"/>
      <x:c r="M495" s="252"/>
      <x:c r="N495" s="252"/>
      <x:c r="O495" s="251"/>
      <x:c r="P495" s="250"/>
      <x:c r="Q495" s="250"/>
      <x:c r="R495" s="250"/>
      <x:c r="S495" s="253"/>
      <x:c r="T495" s="250"/>
      <x:c r="U495"/>
      <x:c r="AA495"/>
      <x:c r="AB495"/>
      <x:c r="AC495"/>
      <x:c r="AD495"/>
      <x:c r="AE495"/>
      <x:c r="AF495"/>
      <x:c r="AG495"/>
      <x:c r="AH495"/>
      <x:c r="AI495"/>
      <x:c r="AJ495"/>
      <x:c r="AK495"/>
      <x:c r="AL495"/>
      <x:c r="AM495"/>
      <x:c r="AN495"/>
      <x:c r="AO495"/>
      <x:c r="AP495"/>
      <x:c r="AQ495"/>
      <x:c r="AR495"/>
    </x:row>
    <x:row r="496" s="248" customFormat="1">
      <x:c r="A496" s="250"/>
      <x:c r="B496" s="250"/>
      <x:c r="C496" s="566" t="str">
        <x:f>IF(B496="","",IFERROR(VLOOKUP(B496,PERUMAHAN!$A:$B,2,FALSE),"ID tidak ditemukan"))</x:f>
      </x:c>
      <x:c r="D496" s="250"/>
      <x:c r="E496" s="250"/>
      <x:c r="F496" s="250"/>
      <x:c r="G496" s="252"/>
      <x:c r="H496" s="252"/>
      <x:c r="I496" s="250"/>
      <x:c r="J496" s="250"/>
      <x:c r="K496" s="250"/>
      <x:c r="L496" s="250"/>
      <x:c r="M496" s="252"/>
      <x:c r="N496" s="252"/>
      <x:c r="O496" s="251"/>
      <x:c r="P496" s="250"/>
      <x:c r="Q496" s="250"/>
      <x:c r="R496" s="250"/>
      <x:c r="S496" s="253"/>
      <x:c r="T496" s="250"/>
      <x:c r="U496"/>
      <x:c r="AA496"/>
      <x:c r="AB496"/>
      <x:c r="AC496"/>
      <x:c r="AD496"/>
      <x:c r="AE496"/>
      <x:c r="AF496"/>
      <x:c r="AG496"/>
      <x:c r="AH496"/>
      <x:c r="AI496"/>
      <x:c r="AJ496"/>
      <x:c r="AK496"/>
      <x:c r="AL496"/>
      <x:c r="AM496"/>
      <x:c r="AN496"/>
      <x:c r="AO496"/>
      <x:c r="AP496"/>
      <x:c r="AQ496"/>
      <x:c r="AR496"/>
    </x:row>
    <x:row r="497" s="248" customFormat="1">
      <x:c r="A497" s="250"/>
      <x:c r="B497" s="250"/>
      <x:c r="C497" s="566" t="str">
        <x:f>IF(B497="","",IFERROR(VLOOKUP(B497,PERUMAHAN!$A:$B,2,FALSE),"ID tidak ditemukan"))</x:f>
      </x:c>
      <x:c r="D497" s="250"/>
      <x:c r="E497" s="250"/>
      <x:c r="F497" s="250"/>
      <x:c r="G497" s="252"/>
      <x:c r="H497" s="252"/>
      <x:c r="I497" s="250"/>
      <x:c r="J497" s="250"/>
      <x:c r="K497" s="250"/>
      <x:c r="L497" s="250"/>
      <x:c r="M497" s="252"/>
      <x:c r="N497" s="252"/>
      <x:c r="O497" s="251"/>
      <x:c r="P497" s="250"/>
      <x:c r="Q497" s="250"/>
      <x:c r="R497" s="250"/>
      <x:c r="S497" s="253"/>
      <x:c r="T497" s="250"/>
      <x:c r="U497"/>
      <x:c r="AA497"/>
      <x:c r="AB497"/>
      <x:c r="AC497"/>
      <x:c r="AD497"/>
      <x:c r="AE497"/>
      <x:c r="AF497"/>
      <x:c r="AG497"/>
      <x:c r="AH497"/>
      <x:c r="AI497"/>
      <x:c r="AJ497"/>
      <x:c r="AK497"/>
      <x:c r="AL497"/>
      <x:c r="AM497"/>
      <x:c r="AN497"/>
      <x:c r="AO497"/>
      <x:c r="AP497"/>
      <x:c r="AQ497"/>
      <x:c r="AR497"/>
    </x:row>
    <x:row r="498" s="248" customFormat="1">
      <x:c r="A498" s="250"/>
      <x:c r="B498" s="250"/>
      <x:c r="C498" s="566" t="str">
        <x:f>IF(B498="","",IFERROR(VLOOKUP(B498,PERUMAHAN!$A:$B,2,FALSE),"ID tidak ditemukan"))</x:f>
      </x:c>
      <x:c r="D498" s="250"/>
      <x:c r="E498" s="250"/>
      <x:c r="F498" s="250"/>
      <x:c r="G498" s="252"/>
      <x:c r="H498" s="252"/>
      <x:c r="I498" s="250"/>
      <x:c r="J498" s="250"/>
      <x:c r="K498" s="250"/>
      <x:c r="L498" s="250"/>
      <x:c r="M498" s="252"/>
      <x:c r="N498" s="252"/>
      <x:c r="O498" s="251"/>
      <x:c r="P498" s="250"/>
      <x:c r="Q498" s="250"/>
      <x:c r="R498" s="250"/>
      <x:c r="S498" s="253"/>
      <x:c r="T498" s="250"/>
      <x:c r="U498"/>
      <x:c r="AA498"/>
      <x:c r="AB498"/>
      <x:c r="AC498"/>
      <x:c r="AD498"/>
      <x:c r="AE498"/>
      <x:c r="AF498"/>
      <x:c r="AG498"/>
      <x:c r="AH498"/>
      <x:c r="AI498"/>
      <x:c r="AJ498"/>
      <x:c r="AK498"/>
      <x:c r="AL498"/>
      <x:c r="AM498"/>
      <x:c r="AN498"/>
      <x:c r="AO498"/>
      <x:c r="AP498"/>
      <x:c r="AQ498"/>
      <x:c r="AR498"/>
    </x:row>
    <x:row r="499" s="248" customFormat="1">
      <x:c r="A499" s="250"/>
      <x:c r="B499" s="250"/>
      <x:c r="C499" s="566" t="str">
        <x:f>IF(B499="","",IFERROR(VLOOKUP(B499,PERUMAHAN!$A:$B,2,FALSE),"ID tidak ditemukan"))</x:f>
      </x:c>
      <x:c r="D499" s="250"/>
      <x:c r="E499" s="250"/>
      <x:c r="F499" s="250"/>
      <x:c r="G499" s="252"/>
      <x:c r="H499" s="252"/>
      <x:c r="I499" s="250"/>
      <x:c r="J499" s="250"/>
      <x:c r="K499" s="250"/>
      <x:c r="L499" s="250"/>
      <x:c r="M499" s="252"/>
      <x:c r="N499" s="252"/>
      <x:c r="O499" s="251"/>
      <x:c r="P499" s="250"/>
      <x:c r="Q499" s="250"/>
      <x:c r="R499" s="250"/>
      <x:c r="S499" s="253"/>
      <x:c r="T499" s="250"/>
      <x:c r="U499"/>
      <x:c r="AA499"/>
      <x:c r="AB499"/>
      <x:c r="AC499"/>
      <x:c r="AD499"/>
      <x:c r="AE499"/>
      <x:c r="AF499"/>
      <x:c r="AG499"/>
      <x:c r="AH499"/>
      <x:c r="AI499"/>
      <x:c r="AJ499"/>
      <x:c r="AK499"/>
      <x:c r="AL499"/>
      <x:c r="AM499"/>
      <x:c r="AN499"/>
      <x:c r="AO499"/>
      <x:c r="AP499"/>
      <x:c r="AQ499"/>
      <x:c r="AR499"/>
    </x:row>
    <x:row r="500" s="248" customFormat="1">
      <x:c r="A500" s="250"/>
      <x:c r="B500" s="250"/>
      <x:c r="C500" s="566" t="str">
        <x:f>IF(B500="","",IFERROR(VLOOKUP(B500,PERUMAHAN!$A:$B,2,FALSE),"ID tidak ditemukan"))</x:f>
      </x:c>
      <x:c r="D500" s="250"/>
      <x:c r="E500" s="250"/>
      <x:c r="F500" s="250"/>
      <x:c r="G500" s="252"/>
      <x:c r="H500" s="252"/>
      <x:c r="I500" s="250"/>
      <x:c r="J500" s="250"/>
      <x:c r="K500" s="250"/>
      <x:c r="L500" s="250"/>
      <x:c r="M500" s="252"/>
      <x:c r="N500" s="252"/>
      <x:c r="O500" s="251"/>
      <x:c r="P500" s="250"/>
      <x:c r="Q500" s="250"/>
      <x:c r="R500" s="250"/>
      <x:c r="S500" s="253"/>
      <x:c r="T500" s="250"/>
      <x:c r="U500"/>
      <x:c r="AA500"/>
      <x:c r="AB500"/>
      <x:c r="AC500"/>
      <x:c r="AD500"/>
      <x:c r="AE500"/>
      <x:c r="AF500"/>
      <x:c r="AG500"/>
      <x:c r="AH500"/>
      <x:c r="AI500"/>
      <x:c r="AJ500"/>
      <x:c r="AK500"/>
      <x:c r="AL500"/>
      <x:c r="AM500"/>
      <x:c r="AN500"/>
      <x:c r="AO500"/>
      <x:c r="AP500"/>
      <x:c r="AQ500"/>
      <x:c r="AR500"/>
    </x:row>
    <x:row r="501" s="248" customFormat="1">
      <x:c r="A501" s="250"/>
      <x:c r="B501" s="250"/>
      <x:c r="C501" s="251"/>
      <x:c r="D501" s="250"/>
      <x:c r="E501" s="250"/>
      <x:c r="F501" s="250"/>
      <x:c r="G501" s="252"/>
      <x:c r="H501" s="252"/>
      <x:c r="I501" s="250"/>
      <x:c r="J501" s="250"/>
      <x:c r="K501" s="250"/>
      <x:c r="L501" s="250"/>
      <x:c r="M501" s="252"/>
      <x:c r="N501" s="252"/>
      <x:c r="O501" s="251"/>
      <x:c r="P501" s="250"/>
      <x:c r="Q501" s="250"/>
      <x:c r="R501" s="250"/>
      <x:c r="S501" s="253"/>
      <x:c r="T501" s="250"/>
    </x:row>
    <x:row r="502" s="248" customFormat="1">
      <x:c r="A502" s="250"/>
      <x:c r="B502" s="250"/>
      <x:c r="C502" s="251"/>
      <x:c r="D502" s="250"/>
      <x:c r="E502" s="250"/>
      <x:c r="F502" s="250"/>
      <x:c r="G502" s="252"/>
      <x:c r="H502" s="252"/>
      <x:c r="I502" s="250"/>
      <x:c r="J502" s="250"/>
      <x:c r="K502" s="250"/>
      <x:c r="L502" s="250"/>
      <x:c r="M502" s="252"/>
      <x:c r="N502" s="252"/>
      <x:c r="O502" s="251"/>
      <x:c r="P502" s="250"/>
      <x:c r="Q502" s="250"/>
      <x:c r="R502" s="250"/>
      <x:c r="S502" s="253"/>
      <x:c r="T502" s="250"/>
    </x:row>
    <x:row r="503" s="248" customFormat="1">
      <x:c r="A503" s="250"/>
      <x:c r="B503" s="250"/>
      <x:c r="C503" s="251"/>
      <x:c r="D503" s="250"/>
      <x:c r="E503" s="250"/>
      <x:c r="F503" s="250"/>
      <x:c r="G503" s="252"/>
      <x:c r="H503" s="252"/>
      <x:c r="I503" s="250"/>
      <x:c r="J503" s="250"/>
      <x:c r="K503" s="250"/>
      <x:c r="L503" s="250"/>
      <x:c r="M503" s="252"/>
      <x:c r="N503" s="252"/>
      <x:c r="O503" s="251"/>
      <x:c r="P503" s="250"/>
      <x:c r="Q503" s="250"/>
      <x:c r="R503" s="250"/>
      <x:c r="S503" s="253"/>
      <x:c r="T503" s="250"/>
    </x:row>
    <x:row r="504" s="248" customFormat="1">
      <x:c r="A504" s="250"/>
      <x:c r="B504" s="250"/>
      <x:c r="C504" s="251"/>
      <x:c r="D504" s="250"/>
      <x:c r="E504" s="250"/>
      <x:c r="F504" s="250"/>
      <x:c r="G504" s="252"/>
      <x:c r="H504" s="252"/>
      <x:c r="I504" s="250"/>
      <x:c r="J504" s="250"/>
      <x:c r="K504" s="250"/>
      <x:c r="L504" s="250"/>
      <x:c r="M504" s="252"/>
      <x:c r="N504" s="252"/>
      <x:c r="O504" s="251"/>
      <x:c r="P504" s="250"/>
      <x:c r="Q504" s="250"/>
      <x:c r="R504" s="250"/>
      <x:c r="S504" s="253"/>
      <x:c r="T504" s="250"/>
    </x:row>
    <x:row r="505" s="248" customFormat="1">
      <x:c r="A505" s="250"/>
      <x:c r="B505" s="250"/>
      <x:c r="C505" s="251"/>
      <x:c r="D505" s="250"/>
      <x:c r="E505" s="250"/>
      <x:c r="F505" s="250"/>
      <x:c r="G505" s="252"/>
      <x:c r="H505" s="252"/>
      <x:c r="I505" s="250"/>
      <x:c r="J505" s="250"/>
      <x:c r="K505" s="250"/>
      <x:c r="L505" s="250"/>
      <x:c r="M505" s="252"/>
      <x:c r="N505" s="252"/>
      <x:c r="O505" s="251"/>
      <x:c r="P505" s="250"/>
      <x:c r="Q505" s="250"/>
      <x:c r="R505" s="250"/>
      <x:c r="S505" s="253"/>
      <x:c r="T505" s="250"/>
    </x:row>
    <x:row r="506" s="248" customFormat="1">
      <x:c r="A506" s="250"/>
      <x:c r="B506" s="250"/>
      <x:c r="C506" s="251"/>
      <x:c r="D506" s="250"/>
      <x:c r="E506" s="250"/>
      <x:c r="F506" s="250"/>
      <x:c r="G506" s="252"/>
      <x:c r="H506" s="252"/>
      <x:c r="I506" s="250"/>
      <x:c r="J506" s="250"/>
      <x:c r="K506" s="250"/>
      <x:c r="L506" s="250"/>
      <x:c r="M506" s="252"/>
      <x:c r="N506" s="252"/>
      <x:c r="O506" s="251"/>
      <x:c r="P506" s="250"/>
      <x:c r="Q506" s="250"/>
      <x:c r="R506" s="250"/>
      <x:c r="S506" s="253"/>
      <x:c r="T506" s="250"/>
    </x:row>
    <x:row r="507" s="248" customFormat="1">
      <x:c r="A507" s="250"/>
      <x:c r="B507" s="250"/>
      <x:c r="C507" s="251"/>
      <x:c r="D507" s="250"/>
      <x:c r="E507" s="250"/>
      <x:c r="F507" s="250"/>
      <x:c r="G507" s="252"/>
      <x:c r="H507" s="252"/>
      <x:c r="I507" s="250"/>
      <x:c r="J507" s="250"/>
      <x:c r="K507" s="250"/>
      <x:c r="L507" s="250"/>
      <x:c r="M507" s="252"/>
      <x:c r="N507" s="252"/>
      <x:c r="O507" s="251"/>
      <x:c r="P507" s="250"/>
      <x:c r="Q507" s="250"/>
      <x:c r="R507" s="250"/>
      <x:c r="S507" s="253"/>
      <x:c r="T507" s="250"/>
    </x:row>
    <x:row r="508" s="248" customFormat="1">
      <x:c r="A508" s="250"/>
      <x:c r="B508" s="250"/>
      <x:c r="C508" s="251"/>
      <x:c r="D508" s="250"/>
      <x:c r="E508" s="250"/>
      <x:c r="F508" s="250"/>
      <x:c r="G508" s="252"/>
      <x:c r="H508" s="252"/>
      <x:c r="I508" s="250"/>
      <x:c r="J508" s="250"/>
      <x:c r="K508" s="250"/>
      <x:c r="L508" s="250"/>
      <x:c r="M508" s="252"/>
      <x:c r="N508" s="252"/>
      <x:c r="O508" s="251"/>
      <x:c r="P508" s="250"/>
      <x:c r="Q508" s="250"/>
      <x:c r="R508" s="250"/>
      <x:c r="S508" s="253"/>
      <x:c r="T508" s="250"/>
    </x:row>
    <x:row r="509" s="248" customFormat="1">
      <x:c r="A509" s="250"/>
      <x:c r="B509" s="250"/>
      <x:c r="C509" s="251"/>
      <x:c r="D509" s="250"/>
      <x:c r="E509" s="250"/>
      <x:c r="F509" s="250"/>
      <x:c r="G509" s="252"/>
      <x:c r="H509" s="252"/>
      <x:c r="I509" s="250"/>
      <x:c r="J509" s="250"/>
      <x:c r="K509" s="250"/>
      <x:c r="L509" s="250"/>
      <x:c r="M509" s="252"/>
      <x:c r="N509" s="252"/>
      <x:c r="O509" s="251"/>
      <x:c r="P509" s="250"/>
      <x:c r="Q509" s="250"/>
      <x:c r="R509" s="250"/>
      <x:c r="S509" s="253"/>
      <x:c r="T509" s="250"/>
    </x:row>
    <x:row r="510" s="248" customFormat="1">
      <x:c r="A510" s="250"/>
      <x:c r="B510" s="250"/>
      <x:c r="C510" s="251"/>
      <x:c r="D510" s="250"/>
      <x:c r="E510" s="250"/>
      <x:c r="F510" s="250"/>
      <x:c r="G510" s="252"/>
      <x:c r="H510" s="252"/>
      <x:c r="I510" s="250"/>
      <x:c r="J510" s="250"/>
      <x:c r="K510" s="250"/>
      <x:c r="L510" s="250"/>
      <x:c r="M510" s="252"/>
      <x:c r="N510" s="252"/>
      <x:c r="O510" s="251"/>
      <x:c r="P510" s="250"/>
      <x:c r="Q510" s="250"/>
      <x:c r="R510" s="250"/>
      <x:c r="S510" s="253"/>
      <x:c r="T510" s="250"/>
    </x:row>
    <x:row r="511" s="248" customFormat="1">
      <x:c r="A511" s="250"/>
      <x:c r="B511" s="250"/>
      <x:c r="C511" s="251"/>
      <x:c r="D511" s="250"/>
      <x:c r="E511" s="250"/>
      <x:c r="F511" s="250"/>
      <x:c r="G511" s="252"/>
      <x:c r="H511" s="252"/>
      <x:c r="I511" s="250"/>
      <x:c r="J511" s="250"/>
      <x:c r="K511" s="250"/>
      <x:c r="L511" s="250"/>
      <x:c r="M511" s="252"/>
      <x:c r="N511" s="252"/>
      <x:c r="O511" s="251"/>
      <x:c r="P511" s="250"/>
      <x:c r="Q511" s="250"/>
      <x:c r="R511" s="250"/>
      <x:c r="S511" s="253"/>
      <x:c r="T511" s="250"/>
    </x:row>
    <x:row r="512" s="248" customFormat="1">
      <x:c r="A512" s="250"/>
      <x:c r="B512" s="250"/>
      <x:c r="C512" s="251"/>
      <x:c r="D512" s="250"/>
      <x:c r="E512" s="250"/>
      <x:c r="F512" s="250"/>
      <x:c r="G512" s="252"/>
      <x:c r="H512" s="252"/>
      <x:c r="I512" s="250"/>
      <x:c r="J512" s="250"/>
      <x:c r="K512" s="250"/>
      <x:c r="L512" s="250"/>
      <x:c r="M512" s="252"/>
      <x:c r="N512" s="252"/>
      <x:c r="O512" s="251"/>
      <x:c r="P512" s="250"/>
      <x:c r="Q512" s="250"/>
      <x:c r="R512" s="250"/>
      <x:c r="S512" s="253"/>
      <x:c r="T512" s="250"/>
    </x:row>
    <x:row r="513" s="248" customFormat="1">
      <x:c r="A513" s="250"/>
      <x:c r="B513" s="250"/>
      <x:c r="C513" s="251"/>
      <x:c r="D513" s="250"/>
      <x:c r="E513" s="250"/>
      <x:c r="F513" s="250"/>
      <x:c r="G513" s="252"/>
      <x:c r="H513" s="252"/>
      <x:c r="I513" s="250"/>
      <x:c r="J513" s="250"/>
      <x:c r="K513" s="250"/>
      <x:c r="L513" s="250"/>
      <x:c r="M513" s="252"/>
      <x:c r="N513" s="252"/>
      <x:c r="O513" s="251"/>
      <x:c r="P513" s="250"/>
      <x:c r="Q513" s="250"/>
      <x:c r="R513" s="250"/>
      <x:c r="S513" s="253"/>
      <x:c r="T513" s="250"/>
    </x:row>
    <x:row r="514" s="248" customFormat="1">
      <x:c r="A514" s="250"/>
      <x:c r="B514" s="250"/>
      <x:c r="C514" s="251"/>
      <x:c r="D514" s="250"/>
      <x:c r="E514" s="250"/>
      <x:c r="F514" s="250"/>
      <x:c r="G514" s="252"/>
      <x:c r="H514" s="252"/>
      <x:c r="I514" s="250"/>
      <x:c r="J514" s="250"/>
      <x:c r="K514" s="250"/>
      <x:c r="L514" s="250"/>
      <x:c r="M514" s="252"/>
      <x:c r="N514" s="252"/>
      <x:c r="O514" s="251"/>
      <x:c r="P514" s="250"/>
      <x:c r="Q514" s="250"/>
      <x:c r="R514" s="250"/>
      <x:c r="S514" s="253"/>
      <x:c r="T514" s="250"/>
    </x:row>
    <x:row r="515" s="248" customFormat="1">
      <x:c r="A515" s="250"/>
      <x:c r="B515" s="250"/>
      <x:c r="C515" s="251"/>
      <x:c r="D515" s="250"/>
      <x:c r="E515" s="250"/>
      <x:c r="F515" s="250"/>
      <x:c r="G515" s="252"/>
      <x:c r="H515" s="252"/>
      <x:c r="I515" s="250"/>
      <x:c r="J515" s="250"/>
      <x:c r="K515" s="250"/>
      <x:c r="L515" s="250"/>
      <x:c r="M515" s="252"/>
      <x:c r="N515" s="252"/>
      <x:c r="O515" s="251"/>
      <x:c r="P515" s="250"/>
      <x:c r="Q515" s="250"/>
      <x:c r="R515" s="250"/>
      <x:c r="S515" s="253"/>
      <x:c r="T515" s="250"/>
    </x:row>
    <x:row r="516" s="248" customFormat="1">
      <x:c r="A516" s="250"/>
      <x:c r="B516" s="250"/>
      <x:c r="C516" s="251"/>
      <x:c r="D516" s="250"/>
      <x:c r="E516" s="250"/>
      <x:c r="F516" s="250"/>
      <x:c r="G516" s="252"/>
      <x:c r="H516" s="252"/>
      <x:c r="I516" s="250"/>
      <x:c r="J516" s="250"/>
      <x:c r="K516" s="250"/>
      <x:c r="L516" s="250"/>
      <x:c r="M516" s="252"/>
      <x:c r="N516" s="252"/>
      <x:c r="O516" s="251"/>
      <x:c r="P516" s="250"/>
      <x:c r="Q516" s="250"/>
      <x:c r="R516" s="250"/>
      <x:c r="S516" s="253"/>
      <x:c r="T516" s="250"/>
    </x:row>
    <x:row r="517" s="248" customFormat="1">
      <x:c r="A517" s="250"/>
      <x:c r="B517" s="250"/>
      <x:c r="C517" s="251"/>
      <x:c r="D517" s="250"/>
      <x:c r="E517" s="250"/>
      <x:c r="F517" s="250"/>
      <x:c r="G517" s="252"/>
      <x:c r="H517" s="252"/>
      <x:c r="I517" s="250"/>
      <x:c r="J517" s="250"/>
      <x:c r="K517" s="250"/>
      <x:c r="L517" s="250"/>
      <x:c r="M517" s="252"/>
      <x:c r="N517" s="252"/>
      <x:c r="O517" s="251"/>
      <x:c r="P517" s="250"/>
      <x:c r="Q517" s="250"/>
      <x:c r="R517" s="250"/>
      <x:c r="S517" s="253"/>
      <x:c r="T517" s="250"/>
    </x:row>
    <x:row r="518" s="248" customFormat="1">
      <x:c r="A518" s="250"/>
      <x:c r="B518" s="250"/>
      <x:c r="C518" s="251"/>
      <x:c r="D518" s="250"/>
      <x:c r="E518" s="250"/>
      <x:c r="F518" s="250"/>
      <x:c r="G518" s="252"/>
      <x:c r="H518" s="252"/>
      <x:c r="I518" s="250"/>
      <x:c r="J518" s="250"/>
      <x:c r="K518" s="250"/>
      <x:c r="L518" s="250"/>
      <x:c r="M518" s="252"/>
      <x:c r="N518" s="252"/>
      <x:c r="O518" s="251"/>
      <x:c r="P518" s="250"/>
      <x:c r="Q518" s="250"/>
      <x:c r="R518" s="250"/>
      <x:c r="S518" s="253"/>
      <x:c r="T518" s="250"/>
    </x:row>
    <x:row r="519" s="248" customFormat="1">
      <x:c r="A519" s="250"/>
      <x:c r="B519" s="250"/>
      <x:c r="C519" s="251"/>
      <x:c r="D519" s="250"/>
      <x:c r="E519" s="250"/>
      <x:c r="F519" s="250"/>
      <x:c r="G519" s="252"/>
      <x:c r="H519" s="252"/>
      <x:c r="I519" s="250"/>
      <x:c r="J519" s="250"/>
      <x:c r="K519" s="250"/>
      <x:c r="L519" s="250"/>
      <x:c r="M519" s="252"/>
      <x:c r="N519" s="252"/>
      <x:c r="O519" s="251"/>
      <x:c r="P519" s="250"/>
      <x:c r="Q519" s="250"/>
      <x:c r="R519" s="250"/>
      <x:c r="S519" s="253"/>
      <x:c r="T519" s="250"/>
    </x:row>
    <x:row r="520" s="248" customFormat="1">
      <x:c r="A520" s="250"/>
      <x:c r="B520" s="250"/>
      <x:c r="C520" s="251"/>
      <x:c r="D520" s="250"/>
      <x:c r="E520" s="250"/>
      <x:c r="F520" s="250"/>
      <x:c r="G520" s="252"/>
      <x:c r="H520" s="252"/>
      <x:c r="I520" s="250"/>
      <x:c r="J520" s="250"/>
      <x:c r="K520" s="250"/>
      <x:c r="L520" s="250"/>
      <x:c r="M520" s="252"/>
      <x:c r="N520" s="252"/>
      <x:c r="O520" s="251"/>
      <x:c r="P520" s="250"/>
      <x:c r="Q520" s="250"/>
      <x:c r="R520" s="250"/>
      <x:c r="S520" s="253"/>
      <x:c r="T520" s="250"/>
    </x:row>
    <x:row r="521" s="248" customFormat="1">
      <x:c r="A521" s="250"/>
      <x:c r="B521" s="250"/>
      <x:c r="C521" s="251"/>
      <x:c r="D521" s="250"/>
      <x:c r="E521" s="250"/>
      <x:c r="F521" s="250"/>
      <x:c r="G521" s="252"/>
      <x:c r="H521" s="252"/>
      <x:c r="I521" s="250"/>
      <x:c r="J521" s="250"/>
      <x:c r="K521" s="250"/>
      <x:c r="L521" s="250"/>
      <x:c r="M521" s="252"/>
      <x:c r="N521" s="252"/>
      <x:c r="O521" s="251"/>
      <x:c r="P521" s="250"/>
      <x:c r="Q521" s="250"/>
      <x:c r="R521" s="250"/>
      <x:c r="S521" s="253"/>
      <x:c r="T521" s="250"/>
    </x:row>
    <x:row r="522" s="248" customFormat="1">
      <x:c r="A522" s="250"/>
      <x:c r="B522" s="250"/>
      <x:c r="C522" s="251"/>
      <x:c r="D522" s="250"/>
      <x:c r="E522" s="250"/>
      <x:c r="F522" s="250"/>
      <x:c r="G522" s="252"/>
      <x:c r="H522" s="252"/>
      <x:c r="I522" s="250"/>
      <x:c r="J522" s="250"/>
      <x:c r="K522" s="250"/>
      <x:c r="L522" s="250"/>
      <x:c r="M522" s="252"/>
      <x:c r="N522" s="252"/>
      <x:c r="O522" s="251"/>
      <x:c r="P522" s="250"/>
      <x:c r="Q522" s="250"/>
      <x:c r="R522" s="250"/>
      <x:c r="S522" s="253"/>
      <x:c r="T522" s="250"/>
    </x:row>
    <x:row r="523" s="248" customFormat="1">
      <x:c r="A523" s="250"/>
      <x:c r="B523" s="250"/>
      <x:c r="C523" s="251"/>
      <x:c r="D523" s="250"/>
      <x:c r="E523" s="250"/>
      <x:c r="F523" s="250"/>
      <x:c r="G523" s="252"/>
      <x:c r="H523" s="252"/>
      <x:c r="I523" s="250"/>
      <x:c r="J523" s="250"/>
      <x:c r="K523" s="250"/>
      <x:c r="L523" s="250"/>
      <x:c r="M523" s="252"/>
      <x:c r="N523" s="252"/>
      <x:c r="O523" s="251"/>
      <x:c r="P523" s="250"/>
      <x:c r="Q523" s="250"/>
      <x:c r="R523" s="250"/>
      <x:c r="S523" s="253"/>
      <x:c r="T523" s="250"/>
    </x:row>
    <x:row r="524" s="248" customFormat="1">
      <x:c r="A524" s="250"/>
      <x:c r="B524" s="250"/>
      <x:c r="C524" s="251"/>
      <x:c r="D524" s="250"/>
      <x:c r="E524" s="250"/>
      <x:c r="F524" s="250"/>
      <x:c r="G524" s="252"/>
      <x:c r="H524" s="252"/>
      <x:c r="I524" s="250"/>
      <x:c r="J524" s="250"/>
      <x:c r="K524" s="250"/>
      <x:c r="L524" s="250"/>
      <x:c r="M524" s="252"/>
      <x:c r="N524" s="252"/>
      <x:c r="O524" s="251"/>
      <x:c r="P524" s="250"/>
      <x:c r="Q524" s="250"/>
      <x:c r="R524" s="250"/>
      <x:c r="S524" s="253"/>
      <x:c r="T524" s="250"/>
    </x:row>
    <x:row r="525" s="248" customFormat="1">
      <x:c r="A525" s="250"/>
      <x:c r="B525" s="250"/>
      <x:c r="C525" s="251"/>
      <x:c r="D525" s="250"/>
      <x:c r="E525" s="250"/>
      <x:c r="F525" s="250"/>
      <x:c r="G525" s="252"/>
      <x:c r="H525" s="252"/>
      <x:c r="I525" s="250"/>
      <x:c r="J525" s="250"/>
      <x:c r="K525" s="250"/>
      <x:c r="L525" s="250"/>
      <x:c r="M525" s="252"/>
      <x:c r="N525" s="252"/>
      <x:c r="O525" s="251"/>
      <x:c r="P525" s="250"/>
      <x:c r="Q525" s="250"/>
      <x:c r="R525" s="250"/>
      <x:c r="S525" s="253"/>
      <x:c r="T525" s="250"/>
    </x:row>
    <x:row r="526" s="248" customFormat="1">
      <x:c r="A526" s="250"/>
      <x:c r="B526" s="250"/>
      <x:c r="C526" s="251"/>
      <x:c r="D526" s="250"/>
      <x:c r="E526" s="250"/>
      <x:c r="F526" s="250"/>
      <x:c r="G526" s="252"/>
      <x:c r="H526" s="252"/>
      <x:c r="I526" s="250"/>
      <x:c r="J526" s="250"/>
      <x:c r="K526" s="250"/>
      <x:c r="L526" s="250"/>
      <x:c r="M526" s="252"/>
      <x:c r="N526" s="252"/>
      <x:c r="O526" s="251"/>
      <x:c r="P526" s="250"/>
      <x:c r="Q526" s="250"/>
      <x:c r="R526" s="250"/>
      <x:c r="S526" s="253"/>
      <x:c r="T526" s="250"/>
    </x:row>
    <x:row r="527" s="248" customFormat="1">
      <x:c r="A527" s="250"/>
      <x:c r="B527" s="250"/>
      <x:c r="C527" s="251"/>
      <x:c r="D527" s="250"/>
      <x:c r="E527" s="250"/>
      <x:c r="F527" s="250"/>
      <x:c r="G527" s="252"/>
      <x:c r="H527" s="252"/>
      <x:c r="I527" s="250"/>
      <x:c r="J527" s="250"/>
      <x:c r="K527" s="250"/>
      <x:c r="L527" s="250"/>
      <x:c r="M527" s="252"/>
      <x:c r="N527" s="252"/>
      <x:c r="O527" s="251"/>
      <x:c r="P527" s="250"/>
      <x:c r="Q527" s="250"/>
      <x:c r="R527" s="250"/>
      <x:c r="S527" s="253"/>
      <x:c r="T527" s="250"/>
    </x:row>
    <x:row r="528" s="248" customFormat="1">
      <x:c r="A528" s="250"/>
      <x:c r="B528" s="250"/>
      <x:c r="C528" s="251"/>
      <x:c r="D528" s="250"/>
      <x:c r="E528" s="250"/>
      <x:c r="F528" s="250"/>
      <x:c r="G528" s="252"/>
      <x:c r="H528" s="252"/>
      <x:c r="I528" s="250"/>
      <x:c r="J528" s="250"/>
      <x:c r="K528" s="250"/>
      <x:c r="L528" s="250"/>
      <x:c r="M528" s="252"/>
      <x:c r="N528" s="252"/>
      <x:c r="O528" s="251"/>
      <x:c r="P528" s="250"/>
      <x:c r="Q528" s="250"/>
      <x:c r="R528" s="250"/>
      <x:c r="S528" s="253"/>
      <x:c r="T528" s="250"/>
    </x:row>
    <x:row r="529" s="248" customFormat="1">
      <x:c r="A529" s="250"/>
      <x:c r="B529" s="250"/>
      <x:c r="C529" s="251"/>
      <x:c r="D529" s="250"/>
      <x:c r="E529" s="250"/>
      <x:c r="F529" s="250"/>
      <x:c r="G529" s="252"/>
      <x:c r="H529" s="252"/>
      <x:c r="I529" s="250"/>
      <x:c r="J529" s="250"/>
      <x:c r="K529" s="250"/>
      <x:c r="L529" s="250"/>
      <x:c r="M529" s="252"/>
      <x:c r="N529" s="252"/>
      <x:c r="O529" s="251"/>
      <x:c r="P529" s="250"/>
      <x:c r="Q529" s="250"/>
      <x:c r="R529" s="250"/>
      <x:c r="S529" s="253"/>
      <x:c r="T529" s="250"/>
    </x:row>
    <x:row r="530" s="248" customFormat="1">
      <x:c r="A530" s="250"/>
      <x:c r="B530" s="250"/>
      <x:c r="C530" s="251"/>
      <x:c r="D530" s="250"/>
      <x:c r="E530" s="250"/>
      <x:c r="F530" s="250"/>
      <x:c r="G530" s="252"/>
      <x:c r="H530" s="252"/>
      <x:c r="I530" s="250"/>
      <x:c r="J530" s="250"/>
      <x:c r="K530" s="250"/>
      <x:c r="L530" s="250"/>
      <x:c r="M530" s="252"/>
      <x:c r="N530" s="252"/>
      <x:c r="O530" s="251"/>
      <x:c r="P530" s="250"/>
      <x:c r="Q530" s="250"/>
      <x:c r="R530" s="250"/>
      <x:c r="S530" s="253"/>
      <x:c r="T530" s="250"/>
    </x:row>
    <x:row r="531" s="248" customFormat="1">
      <x:c r="A531" s="250"/>
      <x:c r="B531" s="250"/>
      <x:c r="C531" s="251"/>
      <x:c r="D531" s="250"/>
      <x:c r="E531" s="250"/>
      <x:c r="F531" s="250"/>
      <x:c r="G531" s="252"/>
      <x:c r="H531" s="252"/>
      <x:c r="I531" s="250"/>
      <x:c r="J531" s="250"/>
      <x:c r="K531" s="250"/>
      <x:c r="L531" s="250"/>
      <x:c r="M531" s="252"/>
      <x:c r="N531" s="252"/>
      <x:c r="O531" s="251"/>
      <x:c r="P531" s="250"/>
      <x:c r="Q531" s="250"/>
      <x:c r="R531" s="250"/>
      <x:c r="S531" s="253"/>
      <x:c r="T531" s="250"/>
    </x:row>
    <x:row r="532" s="248" customFormat="1">
      <x:c r="A532" s="250"/>
      <x:c r="B532" s="250"/>
      <x:c r="C532" s="251"/>
      <x:c r="D532" s="250"/>
      <x:c r="E532" s="250"/>
      <x:c r="F532" s="250"/>
      <x:c r="G532" s="252"/>
      <x:c r="H532" s="252"/>
      <x:c r="I532" s="250"/>
      <x:c r="J532" s="250"/>
      <x:c r="K532" s="250"/>
      <x:c r="L532" s="250"/>
      <x:c r="M532" s="252"/>
      <x:c r="N532" s="252"/>
      <x:c r="O532" s="251"/>
      <x:c r="P532" s="250"/>
      <x:c r="Q532" s="250"/>
      <x:c r="R532" s="250"/>
      <x:c r="S532" s="253"/>
      <x:c r="T532" s="250"/>
    </x:row>
    <x:row r="533" s="248" customFormat="1">
      <x:c r="A533" s="250"/>
      <x:c r="B533" s="250"/>
      <x:c r="C533" s="251"/>
      <x:c r="D533" s="250"/>
      <x:c r="E533" s="250"/>
      <x:c r="F533" s="250"/>
      <x:c r="G533" s="252"/>
      <x:c r="H533" s="252"/>
      <x:c r="I533" s="250"/>
      <x:c r="J533" s="250"/>
      <x:c r="K533" s="250"/>
      <x:c r="L533" s="250"/>
      <x:c r="M533" s="252"/>
      <x:c r="N533" s="252"/>
      <x:c r="O533" s="251"/>
      <x:c r="P533" s="250"/>
      <x:c r="Q533" s="250"/>
      <x:c r="R533" s="250"/>
      <x:c r="S533" s="253"/>
      <x:c r="T533" s="250"/>
    </x:row>
    <x:row r="534" s="248" customFormat="1">
      <x:c r="A534" s="250"/>
      <x:c r="B534" s="250"/>
      <x:c r="C534" s="251"/>
      <x:c r="D534" s="250"/>
      <x:c r="E534" s="250"/>
      <x:c r="F534" s="250"/>
      <x:c r="G534" s="252"/>
      <x:c r="H534" s="252"/>
      <x:c r="I534" s="250"/>
      <x:c r="J534" s="250"/>
      <x:c r="K534" s="250"/>
      <x:c r="L534" s="250"/>
      <x:c r="M534" s="252"/>
      <x:c r="N534" s="252"/>
      <x:c r="O534" s="251"/>
      <x:c r="P534" s="250"/>
      <x:c r="Q534" s="250"/>
      <x:c r="R534" s="250"/>
      <x:c r="S534" s="253"/>
      <x:c r="T534" s="250"/>
    </x:row>
    <x:row r="535" s="248" customFormat="1">
      <x:c r="A535" s="250"/>
      <x:c r="B535" s="250"/>
      <x:c r="C535" s="251"/>
      <x:c r="D535" s="250"/>
      <x:c r="E535" s="250"/>
      <x:c r="F535" s="250"/>
      <x:c r="G535" s="252"/>
      <x:c r="H535" s="252"/>
      <x:c r="I535" s="250"/>
      <x:c r="J535" s="250"/>
      <x:c r="K535" s="250"/>
      <x:c r="L535" s="250"/>
      <x:c r="M535" s="252"/>
      <x:c r="N535" s="252"/>
      <x:c r="O535" s="251"/>
      <x:c r="P535" s="250"/>
      <x:c r="Q535" s="250"/>
      <x:c r="R535" s="250"/>
      <x:c r="S535" s="253"/>
      <x:c r="T535" s="250"/>
    </x:row>
    <x:row r="536" s="248" customFormat="1">
      <x:c r="A536" s="250"/>
      <x:c r="B536" s="250"/>
      <x:c r="C536" s="251"/>
      <x:c r="D536" s="250"/>
      <x:c r="E536" s="250"/>
      <x:c r="F536" s="250"/>
      <x:c r="G536" s="252"/>
      <x:c r="H536" s="252"/>
      <x:c r="I536" s="250"/>
      <x:c r="J536" s="250"/>
      <x:c r="K536" s="250"/>
      <x:c r="L536" s="250"/>
      <x:c r="M536" s="252"/>
      <x:c r="N536" s="252"/>
      <x:c r="O536" s="251"/>
      <x:c r="P536" s="250"/>
      <x:c r="Q536" s="250"/>
      <x:c r="R536" s="250"/>
      <x:c r="S536" s="253"/>
      <x:c r="T536" s="250"/>
    </x:row>
    <x:row r="537" s="248" customFormat="1">
      <x:c r="A537" s="250"/>
      <x:c r="B537" s="250"/>
      <x:c r="C537" s="251"/>
      <x:c r="D537" s="250"/>
      <x:c r="E537" s="250"/>
      <x:c r="F537" s="250"/>
      <x:c r="G537" s="252"/>
      <x:c r="H537" s="252"/>
      <x:c r="I537" s="250"/>
      <x:c r="J537" s="250"/>
      <x:c r="K537" s="250"/>
      <x:c r="L537" s="250"/>
      <x:c r="M537" s="252"/>
      <x:c r="N537" s="252"/>
      <x:c r="O537" s="251"/>
      <x:c r="P537" s="250"/>
      <x:c r="Q537" s="250"/>
      <x:c r="R537" s="250"/>
      <x:c r="S537" s="253"/>
      <x:c r="T537" s="250"/>
    </x:row>
    <x:row r="538" s="248" customFormat="1">
      <x:c r="A538" s="250"/>
      <x:c r="B538" s="250"/>
      <x:c r="C538" s="251"/>
      <x:c r="D538" s="250"/>
      <x:c r="E538" s="250"/>
      <x:c r="F538" s="250"/>
      <x:c r="G538" s="252"/>
      <x:c r="H538" s="252"/>
      <x:c r="I538" s="250"/>
      <x:c r="J538" s="250"/>
      <x:c r="K538" s="250"/>
      <x:c r="L538" s="250"/>
      <x:c r="M538" s="252"/>
      <x:c r="N538" s="252"/>
      <x:c r="O538" s="251"/>
      <x:c r="P538" s="250"/>
      <x:c r="Q538" s="250"/>
      <x:c r="R538" s="250"/>
      <x:c r="S538" s="253"/>
      <x:c r="T538" s="250"/>
    </x:row>
    <x:row r="539" s="248" customFormat="1">
      <x:c r="A539" s="250"/>
      <x:c r="B539" s="250"/>
      <x:c r="C539" s="251"/>
      <x:c r="D539" s="250"/>
      <x:c r="E539" s="250"/>
      <x:c r="F539" s="250"/>
      <x:c r="G539" s="252"/>
      <x:c r="H539" s="252"/>
      <x:c r="I539" s="250"/>
      <x:c r="J539" s="250"/>
      <x:c r="K539" s="250"/>
      <x:c r="L539" s="250"/>
      <x:c r="M539" s="252"/>
      <x:c r="N539" s="252"/>
      <x:c r="O539" s="251"/>
      <x:c r="P539" s="250"/>
      <x:c r="Q539" s="250"/>
      <x:c r="R539" s="250"/>
      <x:c r="S539" s="253"/>
      <x:c r="T539" s="250"/>
    </x:row>
    <x:row r="540" s="248" customFormat="1">
      <x:c r="A540" s="250"/>
      <x:c r="B540" s="250"/>
      <x:c r="C540" s="251"/>
      <x:c r="D540" s="250"/>
      <x:c r="E540" s="250"/>
      <x:c r="F540" s="250"/>
      <x:c r="G540" s="252"/>
      <x:c r="H540" s="252"/>
      <x:c r="I540" s="250"/>
      <x:c r="J540" s="250"/>
      <x:c r="K540" s="250"/>
      <x:c r="L540" s="250"/>
      <x:c r="M540" s="252"/>
      <x:c r="N540" s="252"/>
      <x:c r="O540" s="251"/>
      <x:c r="P540" s="250"/>
      <x:c r="Q540" s="250"/>
      <x:c r="R540" s="250"/>
      <x:c r="S540" s="253"/>
      <x:c r="T540" s="250"/>
    </x:row>
    <x:row r="541" s="248" customFormat="1">
      <x:c r="A541" s="250"/>
      <x:c r="B541" s="250"/>
      <x:c r="C541" s="251"/>
      <x:c r="D541" s="250"/>
      <x:c r="E541" s="250"/>
      <x:c r="F541" s="250"/>
      <x:c r="G541" s="252"/>
      <x:c r="H541" s="252"/>
      <x:c r="I541" s="250"/>
      <x:c r="J541" s="250"/>
      <x:c r="K541" s="250"/>
      <x:c r="L541" s="250"/>
      <x:c r="M541" s="252"/>
      <x:c r="N541" s="252"/>
      <x:c r="O541" s="251"/>
      <x:c r="P541" s="250"/>
      <x:c r="Q541" s="250"/>
      <x:c r="R541" s="250"/>
      <x:c r="S541" s="253"/>
      <x:c r="T541" s="250"/>
    </x:row>
    <x:row r="542" s="248" customFormat="1">
      <x:c r="A542" s="250"/>
      <x:c r="B542" s="250"/>
      <x:c r="C542" s="251"/>
      <x:c r="D542" s="250"/>
      <x:c r="E542" s="250"/>
      <x:c r="F542" s="250"/>
      <x:c r="G542" s="252"/>
      <x:c r="H542" s="252"/>
      <x:c r="I542" s="250"/>
      <x:c r="J542" s="250"/>
      <x:c r="K542" s="250"/>
      <x:c r="L542" s="250"/>
      <x:c r="M542" s="252"/>
      <x:c r="N542" s="252"/>
      <x:c r="O542" s="251"/>
      <x:c r="P542" s="250"/>
      <x:c r="Q542" s="250"/>
      <x:c r="R542" s="250"/>
      <x:c r="S542" s="253"/>
      <x:c r="T542" s="250"/>
    </x:row>
    <x:row r="543" s="248" customFormat="1">
      <x:c r="A543" s="250"/>
      <x:c r="B543" s="250"/>
      <x:c r="C543" s="251"/>
      <x:c r="D543" s="250"/>
      <x:c r="E543" s="250"/>
      <x:c r="F543" s="250"/>
      <x:c r="G543" s="252"/>
      <x:c r="H543" s="252"/>
      <x:c r="I543" s="250"/>
      <x:c r="J543" s="250"/>
      <x:c r="K543" s="250"/>
      <x:c r="L543" s="250"/>
      <x:c r="M543" s="252"/>
      <x:c r="N543" s="252"/>
      <x:c r="O543" s="251"/>
      <x:c r="P543" s="250"/>
      <x:c r="Q543" s="250"/>
      <x:c r="R543" s="250"/>
      <x:c r="S543" s="253"/>
      <x:c r="T543" s="250"/>
    </x:row>
    <x:row r="544" s="248" customFormat="1">
      <x:c r="A544" s="250"/>
      <x:c r="B544" s="250"/>
      <x:c r="C544" s="251"/>
      <x:c r="D544" s="250"/>
      <x:c r="E544" s="250"/>
      <x:c r="F544" s="250"/>
      <x:c r="G544" s="252"/>
      <x:c r="H544" s="252"/>
      <x:c r="I544" s="250"/>
      <x:c r="J544" s="250"/>
      <x:c r="K544" s="250"/>
      <x:c r="L544" s="250"/>
      <x:c r="M544" s="252"/>
      <x:c r="N544" s="252"/>
      <x:c r="O544" s="251"/>
      <x:c r="P544" s="250"/>
      <x:c r="Q544" s="250"/>
      <x:c r="R544" s="250"/>
      <x:c r="S544" s="253"/>
      <x:c r="T544" s="250"/>
    </x:row>
    <x:row r="545" s="248" customFormat="1">
      <x:c r="A545" s="250"/>
      <x:c r="B545" s="250"/>
      <x:c r="C545" s="251"/>
      <x:c r="D545" s="250"/>
      <x:c r="E545" s="250"/>
      <x:c r="F545" s="250"/>
      <x:c r="G545" s="252"/>
      <x:c r="H545" s="252"/>
      <x:c r="I545" s="250"/>
      <x:c r="J545" s="250"/>
      <x:c r="K545" s="250"/>
      <x:c r="L545" s="250"/>
      <x:c r="M545" s="252"/>
      <x:c r="N545" s="252"/>
      <x:c r="O545" s="251"/>
      <x:c r="P545" s="250"/>
      <x:c r="Q545" s="250"/>
      <x:c r="R545" s="250"/>
      <x:c r="S545" s="253"/>
      <x:c r="T545" s="250"/>
    </x:row>
    <x:row r="546" s="248" customFormat="1">
      <x:c r="A546" s="250"/>
      <x:c r="B546" s="250"/>
      <x:c r="C546" s="251"/>
      <x:c r="D546" s="250"/>
      <x:c r="E546" s="250"/>
      <x:c r="F546" s="250"/>
      <x:c r="G546" s="252"/>
      <x:c r="H546" s="252"/>
      <x:c r="I546" s="250"/>
      <x:c r="J546" s="250"/>
      <x:c r="K546" s="250"/>
      <x:c r="L546" s="250"/>
      <x:c r="M546" s="252"/>
      <x:c r="N546" s="252"/>
      <x:c r="O546" s="251"/>
      <x:c r="P546" s="250"/>
      <x:c r="Q546" s="250"/>
      <x:c r="R546" s="250"/>
      <x:c r="S546" s="253"/>
      <x:c r="T546" s="250"/>
    </x:row>
    <x:row r="547" s="248" customFormat="1">
      <x:c r="A547" s="250"/>
      <x:c r="B547" s="250"/>
      <x:c r="C547" s="251"/>
      <x:c r="D547" s="250"/>
      <x:c r="E547" s="250"/>
      <x:c r="F547" s="250"/>
      <x:c r="G547" s="252"/>
      <x:c r="H547" s="252"/>
      <x:c r="I547" s="250"/>
      <x:c r="J547" s="250"/>
      <x:c r="K547" s="250"/>
      <x:c r="L547" s="250"/>
      <x:c r="M547" s="252"/>
      <x:c r="N547" s="252"/>
      <x:c r="O547" s="251"/>
      <x:c r="P547" s="250"/>
      <x:c r="Q547" s="250"/>
      <x:c r="R547" s="250"/>
      <x:c r="S547" s="253"/>
      <x:c r="T547" s="250"/>
    </x:row>
    <x:row r="548" s="248" customFormat="1">
      <x:c r="A548" s="250"/>
      <x:c r="B548" s="250"/>
      <x:c r="C548" s="251"/>
      <x:c r="D548" s="250"/>
      <x:c r="E548" s="250"/>
      <x:c r="F548" s="250"/>
      <x:c r="G548" s="252"/>
      <x:c r="H548" s="252"/>
      <x:c r="I548" s="250"/>
      <x:c r="J548" s="250"/>
      <x:c r="K548" s="250"/>
      <x:c r="L548" s="250"/>
      <x:c r="M548" s="252"/>
      <x:c r="N548" s="252"/>
      <x:c r="O548" s="251"/>
      <x:c r="P548" s="250"/>
      <x:c r="Q548" s="250"/>
      <x:c r="R548" s="250"/>
      <x:c r="S548" s="253"/>
      <x:c r="T548" s="250"/>
    </x:row>
    <x:row r="549" s="248" customFormat="1">
      <x:c r="A549" s="250"/>
      <x:c r="B549" s="250"/>
      <x:c r="C549" s="251"/>
      <x:c r="D549" s="250"/>
      <x:c r="E549" s="250"/>
      <x:c r="F549" s="250"/>
      <x:c r="G549" s="252"/>
      <x:c r="H549" s="252"/>
      <x:c r="I549" s="250"/>
      <x:c r="J549" s="250"/>
      <x:c r="K549" s="250"/>
      <x:c r="L549" s="250"/>
      <x:c r="M549" s="252"/>
      <x:c r="N549" s="252"/>
      <x:c r="O549" s="251"/>
      <x:c r="P549" s="250"/>
      <x:c r="Q549" s="250"/>
      <x:c r="R549" s="250"/>
      <x:c r="S549" s="253"/>
      <x:c r="T549" s="250"/>
    </x:row>
    <x:row r="550" s="248" customFormat="1">
      <x:c r="A550" s="250"/>
      <x:c r="B550" s="250"/>
      <x:c r="C550" s="251"/>
      <x:c r="D550" s="250"/>
      <x:c r="E550" s="250"/>
      <x:c r="F550" s="250"/>
      <x:c r="G550" s="252"/>
      <x:c r="H550" s="252"/>
      <x:c r="I550" s="250"/>
      <x:c r="J550" s="250"/>
      <x:c r="K550" s="250"/>
      <x:c r="L550" s="250"/>
      <x:c r="M550" s="252"/>
      <x:c r="N550" s="252"/>
      <x:c r="O550" s="251"/>
      <x:c r="P550" s="250"/>
      <x:c r="Q550" s="250"/>
      <x:c r="R550" s="250"/>
      <x:c r="S550" s="253"/>
      <x:c r="T550" s="250"/>
    </x:row>
    <x:row r="551" s="248" customFormat="1">
      <x:c r="A551" s="250"/>
      <x:c r="B551" s="250"/>
      <x:c r="C551" s="251"/>
      <x:c r="D551" s="250"/>
      <x:c r="E551" s="250"/>
      <x:c r="F551" s="250"/>
      <x:c r="G551" s="252"/>
      <x:c r="H551" s="252"/>
      <x:c r="I551" s="250"/>
      <x:c r="J551" s="250"/>
      <x:c r="K551" s="250"/>
      <x:c r="L551" s="250"/>
      <x:c r="M551" s="252"/>
      <x:c r="N551" s="252"/>
      <x:c r="O551" s="251"/>
      <x:c r="P551" s="250"/>
      <x:c r="Q551" s="250"/>
      <x:c r="R551" s="250"/>
      <x:c r="S551" s="253"/>
      <x:c r="T551" s="250"/>
    </x:row>
    <x:row r="552" s="248" customFormat="1">
      <x:c r="A552" s="250"/>
      <x:c r="B552" s="250"/>
      <x:c r="C552" s="251"/>
      <x:c r="D552" s="250"/>
      <x:c r="E552" s="250"/>
      <x:c r="F552" s="250"/>
      <x:c r="G552" s="252"/>
      <x:c r="H552" s="252"/>
      <x:c r="I552" s="250"/>
      <x:c r="J552" s="250"/>
      <x:c r="K552" s="250"/>
      <x:c r="L552" s="250"/>
      <x:c r="M552" s="252"/>
      <x:c r="N552" s="252"/>
      <x:c r="O552" s="251"/>
      <x:c r="P552" s="250"/>
      <x:c r="Q552" s="250"/>
      <x:c r="R552" s="250"/>
      <x:c r="S552" s="253"/>
      <x:c r="T552" s="250"/>
    </x:row>
    <x:row r="553" s="248" customFormat="1">
      <x:c r="A553" s="250"/>
      <x:c r="B553" s="250"/>
      <x:c r="C553" s="251"/>
      <x:c r="D553" s="250"/>
      <x:c r="E553" s="250"/>
      <x:c r="F553" s="250"/>
      <x:c r="G553" s="252"/>
      <x:c r="H553" s="252"/>
      <x:c r="I553" s="250"/>
      <x:c r="J553" s="250"/>
      <x:c r="K553" s="250"/>
      <x:c r="L553" s="250"/>
      <x:c r="M553" s="252"/>
      <x:c r="N553" s="252"/>
      <x:c r="O553" s="251"/>
      <x:c r="P553" s="250"/>
      <x:c r="Q553" s="250"/>
      <x:c r="R553" s="250"/>
      <x:c r="S553" s="253"/>
      <x:c r="T553" s="250"/>
    </x:row>
    <x:row r="554" s="248" customFormat="1">
      <x:c r="A554" s="250"/>
      <x:c r="B554" s="250"/>
      <x:c r="C554" s="251"/>
      <x:c r="D554" s="250"/>
      <x:c r="E554" s="250"/>
      <x:c r="F554" s="250"/>
      <x:c r="G554" s="252"/>
      <x:c r="H554" s="252"/>
      <x:c r="I554" s="250"/>
      <x:c r="J554" s="250"/>
      <x:c r="K554" s="250"/>
      <x:c r="L554" s="250"/>
      <x:c r="M554" s="252"/>
      <x:c r="N554" s="252"/>
      <x:c r="O554" s="251"/>
      <x:c r="P554" s="250"/>
      <x:c r="Q554" s="250"/>
      <x:c r="R554" s="250"/>
      <x:c r="S554" s="253"/>
      <x:c r="T554" s="250"/>
    </x:row>
    <x:row r="555" s="248" customFormat="1">
      <x:c r="A555" s="250"/>
      <x:c r="B555" s="250"/>
      <x:c r="C555" s="251"/>
      <x:c r="D555" s="250"/>
      <x:c r="E555" s="250"/>
      <x:c r="F555" s="250"/>
      <x:c r="G555" s="252"/>
      <x:c r="H555" s="252"/>
      <x:c r="I555" s="250"/>
      <x:c r="J555" s="250"/>
      <x:c r="K555" s="250"/>
      <x:c r="L555" s="250"/>
      <x:c r="M555" s="252"/>
      <x:c r="N555" s="252"/>
      <x:c r="O555" s="251"/>
      <x:c r="P555" s="250"/>
      <x:c r="Q555" s="250"/>
      <x:c r="R555" s="250"/>
      <x:c r="S555" s="253"/>
      <x:c r="T555" s="250"/>
    </x:row>
    <x:row r="556" s="248" customFormat="1">
      <x:c r="A556" s="250"/>
      <x:c r="B556" s="250"/>
      <x:c r="C556" s="251"/>
      <x:c r="D556" s="250"/>
      <x:c r="E556" s="250"/>
      <x:c r="F556" s="250"/>
      <x:c r="G556" s="252"/>
      <x:c r="H556" s="252"/>
      <x:c r="I556" s="250"/>
      <x:c r="J556" s="250"/>
      <x:c r="K556" s="250"/>
      <x:c r="L556" s="250"/>
      <x:c r="M556" s="252"/>
      <x:c r="N556" s="252"/>
      <x:c r="O556" s="251"/>
      <x:c r="P556" s="250"/>
      <x:c r="Q556" s="250"/>
      <x:c r="R556" s="250"/>
      <x:c r="S556" s="253"/>
      <x:c r="T556" s="250"/>
    </x:row>
    <x:row r="557" s="248" customFormat="1">
      <x:c r="A557" s="250"/>
      <x:c r="B557" s="250"/>
      <x:c r="C557" s="251"/>
      <x:c r="D557" s="250"/>
      <x:c r="E557" s="250"/>
      <x:c r="F557" s="250"/>
      <x:c r="G557" s="252"/>
      <x:c r="H557" s="252"/>
      <x:c r="I557" s="250"/>
      <x:c r="J557" s="250"/>
      <x:c r="K557" s="250"/>
      <x:c r="L557" s="250"/>
      <x:c r="M557" s="252"/>
      <x:c r="N557" s="252"/>
      <x:c r="O557" s="251"/>
      <x:c r="P557" s="250"/>
      <x:c r="Q557" s="250"/>
      <x:c r="R557" s="250"/>
      <x:c r="S557" s="253"/>
      <x:c r="T557" s="250"/>
    </x:row>
    <x:row r="558" s="248" customFormat="1">
      <x:c r="A558" s="250"/>
      <x:c r="B558" s="250"/>
      <x:c r="C558" s="251"/>
      <x:c r="D558" s="250"/>
      <x:c r="E558" s="250"/>
      <x:c r="F558" s="250"/>
      <x:c r="G558" s="252"/>
      <x:c r="H558" s="252"/>
      <x:c r="I558" s="250"/>
      <x:c r="J558" s="250"/>
      <x:c r="K558" s="250"/>
      <x:c r="L558" s="250"/>
      <x:c r="M558" s="252"/>
      <x:c r="N558" s="252"/>
      <x:c r="O558" s="251"/>
      <x:c r="P558" s="250"/>
      <x:c r="Q558" s="250"/>
      <x:c r="R558" s="250"/>
      <x:c r="S558" s="253"/>
      <x:c r="T558" s="250"/>
    </x:row>
    <x:row r="559" s="248" customFormat="1">
      <x:c r="A559" s="250"/>
      <x:c r="B559" s="250"/>
      <x:c r="C559" s="251"/>
      <x:c r="D559" s="250"/>
      <x:c r="E559" s="250"/>
      <x:c r="F559" s="250"/>
      <x:c r="G559" s="252"/>
      <x:c r="H559" s="252"/>
      <x:c r="I559" s="250"/>
      <x:c r="J559" s="250"/>
      <x:c r="K559" s="250"/>
      <x:c r="L559" s="250"/>
      <x:c r="M559" s="252"/>
      <x:c r="N559" s="252"/>
      <x:c r="O559" s="251"/>
      <x:c r="P559" s="250"/>
      <x:c r="Q559" s="250"/>
      <x:c r="R559" s="250"/>
      <x:c r="S559" s="253"/>
      <x:c r="T559" s="250"/>
    </x:row>
    <x:row r="560" s="248" customFormat="1">
      <x:c r="A560" s="250"/>
      <x:c r="B560" s="250"/>
      <x:c r="C560" s="251"/>
      <x:c r="D560" s="250"/>
      <x:c r="E560" s="250"/>
      <x:c r="F560" s="250"/>
      <x:c r="G560" s="252"/>
      <x:c r="H560" s="252"/>
      <x:c r="I560" s="250"/>
      <x:c r="J560" s="250"/>
      <x:c r="K560" s="250"/>
      <x:c r="L560" s="250"/>
      <x:c r="M560" s="252"/>
      <x:c r="N560" s="252"/>
      <x:c r="O560" s="251"/>
      <x:c r="P560" s="250"/>
      <x:c r="Q560" s="250"/>
      <x:c r="R560" s="250"/>
      <x:c r="S560" s="253"/>
      <x:c r="T560" s="250"/>
    </x:row>
    <x:row r="561" s="248" customFormat="1">
      <x:c r="A561" s="250"/>
      <x:c r="B561" s="250"/>
      <x:c r="C561" s="251"/>
      <x:c r="D561" s="250"/>
      <x:c r="E561" s="250"/>
      <x:c r="F561" s="250"/>
      <x:c r="G561" s="252"/>
      <x:c r="H561" s="252"/>
      <x:c r="I561" s="250"/>
      <x:c r="J561" s="250"/>
      <x:c r="K561" s="250"/>
      <x:c r="L561" s="250"/>
      <x:c r="M561" s="252"/>
      <x:c r="N561" s="252"/>
      <x:c r="O561" s="251"/>
      <x:c r="P561" s="250"/>
      <x:c r="Q561" s="250"/>
      <x:c r="R561" s="250"/>
      <x:c r="S561" s="253"/>
      <x:c r="T561" s="250"/>
    </x:row>
    <x:row r="562" s="248" customFormat="1">
      <x:c r="A562" s="250"/>
      <x:c r="B562" s="250"/>
      <x:c r="C562" s="251"/>
      <x:c r="D562" s="250"/>
      <x:c r="E562" s="250"/>
      <x:c r="F562" s="250"/>
      <x:c r="G562" s="252"/>
      <x:c r="H562" s="252"/>
      <x:c r="I562" s="250"/>
      <x:c r="J562" s="250"/>
      <x:c r="K562" s="250"/>
      <x:c r="L562" s="250"/>
      <x:c r="M562" s="252"/>
      <x:c r="N562" s="252"/>
      <x:c r="O562" s="251"/>
      <x:c r="P562" s="250"/>
      <x:c r="Q562" s="250"/>
      <x:c r="R562" s="250"/>
      <x:c r="S562" s="253"/>
      <x:c r="T562" s="250"/>
    </x:row>
    <x:row r="563" s="248" customFormat="1">
      <x:c r="A563" s="250"/>
      <x:c r="B563" s="250"/>
      <x:c r="C563" s="251"/>
      <x:c r="D563" s="250"/>
      <x:c r="E563" s="250"/>
      <x:c r="F563" s="250"/>
      <x:c r="G563" s="252"/>
      <x:c r="H563" s="252"/>
      <x:c r="I563" s="250"/>
      <x:c r="J563" s="250"/>
      <x:c r="K563" s="250"/>
      <x:c r="L563" s="250"/>
      <x:c r="M563" s="252"/>
      <x:c r="N563" s="252"/>
      <x:c r="O563" s="251"/>
      <x:c r="P563" s="250"/>
      <x:c r="Q563" s="250"/>
      <x:c r="R563" s="250"/>
      <x:c r="S563" s="253"/>
      <x:c r="T563" s="250"/>
    </x:row>
    <x:row r="564" s="248" customFormat="1">
      <x:c r="A564" s="250"/>
      <x:c r="B564" s="250"/>
      <x:c r="C564" s="251"/>
      <x:c r="D564" s="250"/>
      <x:c r="E564" s="250"/>
      <x:c r="F564" s="250"/>
      <x:c r="G564" s="252"/>
      <x:c r="H564" s="252"/>
      <x:c r="I564" s="250"/>
      <x:c r="J564" s="250"/>
      <x:c r="K564" s="250"/>
      <x:c r="L564" s="250"/>
      <x:c r="M564" s="252"/>
      <x:c r="N564" s="252"/>
      <x:c r="O564" s="251"/>
      <x:c r="P564" s="250"/>
      <x:c r="Q564" s="250"/>
      <x:c r="R564" s="250"/>
      <x:c r="S564" s="253"/>
      <x:c r="T564" s="250"/>
    </x:row>
    <x:row r="565" s="248" customFormat="1">
      <x:c r="A565" s="250"/>
      <x:c r="B565" s="250"/>
      <x:c r="C565" s="251"/>
      <x:c r="D565" s="250"/>
      <x:c r="E565" s="250"/>
      <x:c r="F565" s="250"/>
      <x:c r="G565" s="252"/>
      <x:c r="H565" s="252"/>
      <x:c r="I565" s="250"/>
      <x:c r="J565" s="250"/>
      <x:c r="K565" s="250"/>
      <x:c r="L565" s="250"/>
      <x:c r="M565" s="252"/>
      <x:c r="N565" s="252"/>
      <x:c r="O565" s="251"/>
      <x:c r="P565" s="250"/>
      <x:c r="Q565" s="250"/>
      <x:c r="R565" s="250"/>
      <x:c r="S565" s="253"/>
      <x:c r="T565" s="250"/>
    </x:row>
    <x:row r="566" s="248" customFormat="1">
      <x:c r="A566" s="250"/>
      <x:c r="B566" s="250"/>
      <x:c r="C566" s="251"/>
      <x:c r="D566" s="250"/>
      <x:c r="E566" s="250"/>
      <x:c r="F566" s="250"/>
      <x:c r="G566" s="252"/>
      <x:c r="H566" s="252"/>
      <x:c r="I566" s="250"/>
      <x:c r="J566" s="250"/>
      <x:c r="K566" s="250"/>
      <x:c r="L566" s="250"/>
      <x:c r="M566" s="252"/>
      <x:c r="N566" s="252"/>
      <x:c r="O566" s="251"/>
      <x:c r="P566" s="250"/>
      <x:c r="Q566" s="250"/>
      <x:c r="R566" s="250"/>
      <x:c r="S566" s="253"/>
      <x:c r="T566" s="250"/>
    </x:row>
    <x:row r="567" s="248" customFormat="1">
      <x:c r="A567" s="250"/>
      <x:c r="B567" s="250"/>
      <x:c r="C567" s="251"/>
      <x:c r="D567" s="250"/>
      <x:c r="E567" s="250"/>
      <x:c r="F567" s="250"/>
      <x:c r="G567" s="252"/>
      <x:c r="H567" s="252"/>
      <x:c r="I567" s="250"/>
      <x:c r="J567" s="250"/>
      <x:c r="K567" s="250"/>
      <x:c r="L567" s="250"/>
      <x:c r="M567" s="252"/>
      <x:c r="N567" s="252"/>
      <x:c r="O567" s="251"/>
      <x:c r="P567" s="250"/>
      <x:c r="Q567" s="250"/>
      <x:c r="R567" s="250"/>
      <x:c r="S567" s="253"/>
      <x:c r="T567" s="250"/>
    </x:row>
    <x:row r="568" s="248" customFormat="1">
      <x:c r="A568" s="250"/>
      <x:c r="B568" s="250"/>
      <x:c r="C568" s="251"/>
      <x:c r="D568" s="250"/>
      <x:c r="E568" s="250"/>
      <x:c r="F568" s="250"/>
      <x:c r="G568" s="252"/>
      <x:c r="H568" s="252"/>
      <x:c r="I568" s="250"/>
      <x:c r="J568" s="250"/>
      <x:c r="K568" s="250"/>
      <x:c r="L568" s="250"/>
      <x:c r="M568" s="252"/>
      <x:c r="N568" s="252"/>
      <x:c r="O568" s="251"/>
      <x:c r="P568" s="250"/>
      <x:c r="Q568" s="250"/>
      <x:c r="R568" s="250"/>
      <x:c r="S568" s="253"/>
      <x:c r="T568" s="250"/>
    </x:row>
    <x:row r="569" s="248" customFormat="1">
      <x:c r="A569" s="250"/>
      <x:c r="B569" s="250"/>
      <x:c r="C569" s="251"/>
      <x:c r="D569" s="250"/>
      <x:c r="E569" s="250"/>
      <x:c r="F569" s="250"/>
      <x:c r="G569" s="252"/>
      <x:c r="H569" s="252"/>
      <x:c r="I569" s="250"/>
      <x:c r="J569" s="250"/>
      <x:c r="K569" s="250"/>
      <x:c r="L569" s="250"/>
      <x:c r="M569" s="252"/>
      <x:c r="N569" s="252"/>
      <x:c r="O569" s="251"/>
      <x:c r="P569" s="250"/>
      <x:c r="Q569" s="250"/>
      <x:c r="R569" s="250"/>
      <x:c r="S569" s="253"/>
      <x:c r="T569" s="250"/>
    </x:row>
    <x:row r="570" s="248" customFormat="1">
      <x:c r="A570" s="250"/>
      <x:c r="B570" s="250"/>
      <x:c r="C570" s="251"/>
      <x:c r="D570" s="250"/>
      <x:c r="E570" s="250"/>
      <x:c r="F570" s="250"/>
      <x:c r="G570" s="252"/>
      <x:c r="H570" s="252"/>
      <x:c r="I570" s="250"/>
      <x:c r="J570" s="250"/>
      <x:c r="K570" s="250"/>
      <x:c r="L570" s="250"/>
      <x:c r="M570" s="252"/>
      <x:c r="N570" s="252"/>
      <x:c r="O570" s="251"/>
      <x:c r="P570" s="250"/>
      <x:c r="Q570" s="250"/>
      <x:c r="R570" s="250"/>
      <x:c r="S570" s="253"/>
      <x:c r="T570" s="250"/>
    </x:row>
    <x:row r="571" s="248" customFormat="1">
      <x:c r="A571" s="250"/>
      <x:c r="B571" s="250"/>
      <x:c r="C571" s="251"/>
      <x:c r="D571" s="250"/>
      <x:c r="E571" s="250"/>
      <x:c r="F571" s="250"/>
      <x:c r="G571" s="252"/>
      <x:c r="H571" s="252"/>
      <x:c r="I571" s="250"/>
      <x:c r="J571" s="250"/>
      <x:c r="K571" s="250"/>
      <x:c r="L571" s="250"/>
      <x:c r="M571" s="252"/>
      <x:c r="N571" s="252"/>
      <x:c r="O571" s="251"/>
      <x:c r="P571" s="250"/>
      <x:c r="Q571" s="250"/>
      <x:c r="R571" s="250"/>
      <x:c r="S571" s="253"/>
      <x:c r="T571" s="250"/>
    </x:row>
    <x:row r="572" s="248" customFormat="1">
      <x:c r="A572" s="250"/>
      <x:c r="B572" s="250"/>
      <x:c r="C572" s="251"/>
      <x:c r="D572" s="250"/>
      <x:c r="E572" s="250"/>
      <x:c r="F572" s="250"/>
      <x:c r="G572" s="252"/>
      <x:c r="H572" s="252"/>
      <x:c r="I572" s="250"/>
      <x:c r="J572" s="250"/>
      <x:c r="K572" s="250"/>
      <x:c r="L572" s="250"/>
      <x:c r="M572" s="252"/>
      <x:c r="N572" s="252"/>
      <x:c r="O572" s="251"/>
      <x:c r="P572" s="250"/>
      <x:c r="Q572" s="250"/>
      <x:c r="R572" s="250"/>
      <x:c r="S572" s="253"/>
      <x:c r="T572" s="250"/>
    </x:row>
    <x:row r="573" s="248" customFormat="1">
      <x:c r="A573" s="250"/>
      <x:c r="B573" s="250"/>
      <x:c r="C573" s="251"/>
      <x:c r="D573" s="250"/>
      <x:c r="E573" s="250"/>
      <x:c r="F573" s="250"/>
      <x:c r="G573" s="252"/>
      <x:c r="H573" s="252"/>
      <x:c r="I573" s="250"/>
      <x:c r="J573" s="250"/>
      <x:c r="K573" s="250"/>
      <x:c r="L573" s="250"/>
      <x:c r="M573" s="252"/>
      <x:c r="N573" s="252"/>
      <x:c r="O573" s="251"/>
      <x:c r="P573" s="250"/>
      <x:c r="Q573" s="250"/>
      <x:c r="R573" s="250"/>
      <x:c r="S573" s="253"/>
      <x:c r="T573" s="250"/>
    </x:row>
    <x:row r="574" s="248" customFormat="1">
      <x:c r="A574" s="250"/>
      <x:c r="B574" s="250"/>
      <x:c r="C574" s="251"/>
      <x:c r="D574" s="250"/>
      <x:c r="E574" s="250"/>
      <x:c r="F574" s="250"/>
      <x:c r="G574" s="252"/>
      <x:c r="H574" s="252"/>
      <x:c r="I574" s="250"/>
      <x:c r="J574" s="250"/>
      <x:c r="K574" s="250"/>
      <x:c r="L574" s="250"/>
      <x:c r="M574" s="252"/>
      <x:c r="N574" s="252"/>
      <x:c r="O574" s="251"/>
      <x:c r="P574" s="250"/>
      <x:c r="Q574" s="250"/>
      <x:c r="R574" s="250"/>
      <x:c r="S574" s="253"/>
      <x:c r="T574" s="250"/>
    </x:row>
    <x:row r="575">
      <x:c r="A575" s="235"/>
      <x:c r="B575" s="236"/>
      <x:c r="C575" s="237"/>
      <x:c r="D575" s="236"/>
      <x:c r="E575" s="236"/>
      <x:c r="F575" s="236"/>
      <x:c r="G575" s="233"/>
      <x:c r="H575" s="233"/>
      <x:c r="I575" s="236"/>
      <x:c r="J575" s="236"/>
      <x:c r="K575" s="236"/>
      <x:c r="L575" s="236"/>
      <x:c r="M575" s="233"/>
      <x:c r="N575" s="233"/>
      <x:c r="O575" s="237"/>
      <x:c r="P575" s="236"/>
      <x:c r="Q575" s="236"/>
      <x:c r="R575" s="236"/>
      <x:c r="S575" s="241"/>
      <x:c r="T575" s="242"/>
    </x:row>
    <x:row r="576">
      <x:c r="A576" s="235"/>
      <x:c r="B576" s="236"/>
      <x:c r="C576" s="237"/>
      <x:c r="D576" s="236"/>
      <x:c r="E576" s="236"/>
      <x:c r="F576" s="236"/>
      <x:c r="G576" s="233"/>
      <x:c r="H576" s="233"/>
      <x:c r="I576" s="236"/>
      <x:c r="J576" s="236"/>
      <x:c r="K576" s="236"/>
      <x:c r="L576" s="236"/>
      <x:c r="M576" s="233"/>
      <x:c r="N576" s="233"/>
      <x:c r="O576" s="237"/>
      <x:c r="P576" s="236"/>
      <x:c r="Q576" s="236"/>
      <x:c r="R576" s="236"/>
      <x:c r="S576" s="241"/>
      <x:c r="T576" s="242"/>
    </x:row>
    <x:row r="577">
      <x:c r="A577" s="235"/>
      <x:c r="B577" s="236"/>
      <x:c r="C577" s="237"/>
      <x:c r="D577" s="236"/>
      <x:c r="E577" s="236"/>
      <x:c r="F577" s="236"/>
      <x:c r="G577" s="233"/>
      <x:c r="H577" s="233"/>
      <x:c r="I577" s="236"/>
      <x:c r="J577" s="236"/>
      <x:c r="K577" s="236"/>
      <x:c r="L577" s="236"/>
      <x:c r="M577" s="233"/>
      <x:c r="N577" s="233"/>
      <x:c r="O577" s="237"/>
      <x:c r="P577" s="236"/>
      <x:c r="Q577" s="236"/>
      <x:c r="R577" s="236"/>
      <x:c r="S577" s="241"/>
      <x:c r="T577" s="242"/>
    </x:row>
    <x:row r="578">
      <x:c r="A578" s="235"/>
      <x:c r="B578" s="236"/>
      <x:c r="C578" s="237"/>
      <x:c r="D578" s="236"/>
      <x:c r="E578" s="236"/>
      <x:c r="F578" s="236"/>
      <x:c r="G578" s="233"/>
      <x:c r="H578" s="233"/>
      <x:c r="I578" s="236"/>
      <x:c r="J578" s="236"/>
      <x:c r="K578" s="236"/>
      <x:c r="L578" s="236"/>
      <x:c r="M578" s="233"/>
      <x:c r="N578" s="233"/>
      <x:c r="O578" s="237"/>
      <x:c r="P578" s="236"/>
      <x:c r="Q578" s="236"/>
      <x:c r="R578" s="236"/>
      <x:c r="S578" s="241"/>
      <x:c r="T578" s="242"/>
    </x:row>
    <x:row r="579">
      <x:c r="A579" s="235"/>
      <x:c r="B579" s="236"/>
      <x:c r="C579" s="237"/>
      <x:c r="D579" s="236"/>
      <x:c r="E579" s="236"/>
      <x:c r="F579" s="236"/>
      <x:c r="G579" s="233"/>
      <x:c r="H579" s="233"/>
      <x:c r="I579" s="236"/>
      <x:c r="J579" s="236"/>
      <x:c r="K579" s="236"/>
      <x:c r="L579" s="236"/>
      <x:c r="M579" s="233"/>
      <x:c r="N579" s="233"/>
      <x:c r="O579" s="237"/>
      <x:c r="P579" s="236"/>
      <x:c r="Q579" s="236"/>
      <x:c r="R579" s="236"/>
      <x:c r="S579" s="241"/>
      <x:c r="T579" s="242"/>
    </x:row>
    <x:row r="580">
      <x:c r="A580" s="235"/>
      <x:c r="B580" s="236"/>
      <x:c r="C580" s="237"/>
      <x:c r="D580" s="236"/>
      <x:c r="E580" s="236"/>
      <x:c r="F580" s="236"/>
      <x:c r="G580" s="233"/>
      <x:c r="H580" s="233"/>
      <x:c r="I580" s="236"/>
      <x:c r="J580" s="236"/>
      <x:c r="K580" s="236"/>
      <x:c r="L580" s="236"/>
      <x:c r="M580" s="233"/>
      <x:c r="N580" s="233"/>
      <x:c r="O580" s="237"/>
      <x:c r="P580" s="236"/>
      <x:c r="Q580" s="236"/>
      <x:c r="R580" s="236"/>
      <x:c r="S580" s="241"/>
      <x:c r="T580" s="242"/>
    </x:row>
    <x:row r="581">
      <x:c r="A581" s="235"/>
      <x:c r="B581" s="236"/>
      <x:c r="C581" s="237"/>
      <x:c r="D581" s="236"/>
      <x:c r="E581" s="236"/>
      <x:c r="F581" s="236"/>
      <x:c r="G581" s="233"/>
      <x:c r="H581" s="233"/>
      <x:c r="I581" s="236"/>
      <x:c r="J581" s="236"/>
      <x:c r="K581" s="236"/>
      <x:c r="L581" s="236"/>
      <x:c r="M581" s="233"/>
      <x:c r="N581" s="233"/>
      <x:c r="O581" s="237"/>
      <x:c r="P581" s="236"/>
      <x:c r="Q581" s="236"/>
      <x:c r="R581" s="236"/>
      <x:c r="S581" s="241"/>
      <x:c r="T581" s="242"/>
    </x:row>
    <x:row r="582">
      <x:c r="A582" s="235"/>
      <x:c r="B582" s="236"/>
      <x:c r="C582" s="237"/>
      <x:c r="D582" s="236"/>
      <x:c r="E582" s="236"/>
      <x:c r="F582" s="236"/>
      <x:c r="G582" s="233"/>
      <x:c r="H582" s="233"/>
      <x:c r="I582" s="236"/>
      <x:c r="J582" s="236"/>
      <x:c r="K582" s="236"/>
      <x:c r="L582" s="236"/>
      <x:c r="M582" s="233"/>
      <x:c r="N582" s="233"/>
      <x:c r="O582" s="237"/>
      <x:c r="P582" s="236"/>
      <x:c r="Q582" s="236"/>
      <x:c r="R582" s="236"/>
      <x:c r="S582" s="241"/>
      <x:c r="T582" s="242"/>
    </x:row>
    <x:row r="583">
      <x:c r="A583" s="235"/>
      <x:c r="B583" s="236"/>
      <x:c r="C583" s="237"/>
      <x:c r="D583" s="236"/>
      <x:c r="E583" s="236"/>
      <x:c r="F583" s="236"/>
      <x:c r="G583" s="233"/>
      <x:c r="H583" s="233"/>
      <x:c r="I583" s="236"/>
      <x:c r="J583" s="236"/>
      <x:c r="K583" s="236"/>
      <x:c r="L583" s="236"/>
      <x:c r="M583" s="233"/>
      <x:c r="N583" s="233"/>
      <x:c r="O583" s="237"/>
      <x:c r="P583" s="236"/>
      <x:c r="Q583" s="236"/>
      <x:c r="R583" s="236"/>
      <x:c r="S583" s="241"/>
      <x:c r="T583" s="242"/>
    </x:row>
    <x:row r="584">
      <x:c r="A584" s="235"/>
      <x:c r="B584" s="236"/>
      <x:c r="C584" s="237"/>
      <x:c r="D584" s="236"/>
      <x:c r="E584" s="236"/>
      <x:c r="F584" s="236"/>
      <x:c r="G584" s="233"/>
      <x:c r="H584" s="233"/>
      <x:c r="I584" s="236"/>
      <x:c r="J584" s="236"/>
      <x:c r="K584" s="236"/>
      <x:c r="L584" s="236"/>
      <x:c r="M584" s="233"/>
      <x:c r="N584" s="233"/>
      <x:c r="O584" s="237"/>
      <x:c r="P584" s="236"/>
      <x:c r="Q584" s="236"/>
      <x:c r="R584" s="236"/>
      <x:c r="S584" s="241"/>
      <x:c r="T584" s="242"/>
    </x:row>
    <x:row r="585">
      <x:c r="A585" s="235"/>
      <x:c r="B585" s="236"/>
      <x:c r="C585" s="237"/>
      <x:c r="D585" s="236"/>
      <x:c r="E585" s="236"/>
      <x:c r="F585" s="236"/>
      <x:c r="G585" s="233"/>
      <x:c r="H585" s="233"/>
      <x:c r="I585" s="236"/>
      <x:c r="J585" s="236"/>
      <x:c r="K585" s="236"/>
      <x:c r="L585" s="236"/>
      <x:c r="M585" s="233"/>
      <x:c r="N585" s="233"/>
      <x:c r="O585" s="237"/>
      <x:c r="P585" s="236"/>
      <x:c r="Q585" s="236"/>
      <x:c r="R585" s="236"/>
      <x:c r="S585" s="241"/>
      <x:c r="T585" s="242"/>
    </x:row>
    <x:row r="586">
      <x:c r="A586" s="235"/>
      <x:c r="B586" s="236"/>
      <x:c r="C586" s="237"/>
      <x:c r="D586" s="236"/>
      <x:c r="E586" s="236"/>
      <x:c r="F586" s="236"/>
      <x:c r="G586" s="233"/>
      <x:c r="H586" s="233"/>
      <x:c r="I586" s="236"/>
      <x:c r="J586" s="236"/>
      <x:c r="K586" s="236"/>
      <x:c r="L586" s="236"/>
      <x:c r="M586" s="233"/>
      <x:c r="N586" s="233"/>
      <x:c r="O586" s="237"/>
      <x:c r="P586" s="236"/>
      <x:c r="Q586" s="236"/>
      <x:c r="R586" s="236"/>
      <x:c r="S586" s="241"/>
      <x:c r="T586" s="242"/>
    </x:row>
    <x:row r="587">
      <x:c r="A587" s="235"/>
      <x:c r="B587" s="236"/>
      <x:c r="C587" s="237"/>
      <x:c r="D587" s="236"/>
      <x:c r="E587" s="236"/>
      <x:c r="F587" s="236"/>
      <x:c r="G587" s="233"/>
      <x:c r="H587" s="233"/>
      <x:c r="I587" s="236"/>
      <x:c r="J587" s="236"/>
      <x:c r="K587" s="236"/>
      <x:c r="L587" s="236"/>
      <x:c r="M587" s="233"/>
      <x:c r="N587" s="233"/>
      <x:c r="O587" s="237"/>
      <x:c r="P587" s="236"/>
      <x:c r="Q587" s="236"/>
      <x:c r="R587" s="236"/>
      <x:c r="S587" s="241"/>
      <x:c r="T587" s="242"/>
    </x:row>
    <x:row r="588">
      <x:c r="A588" s="235"/>
      <x:c r="B588" s="236"/>
      <x:c r="C588" s="237"/>
      <x:c r="D588" s="236"/>
      <x:c r="E588" s="236"/>
      <x:c r="F588" s="236"/>
      <x:c r="G588" s="233"/>
      <x:c r="H588" s="233"/>
      <x:c r="I588" s="236"/>
      <x:c r="J588" s="236"/>
      <x:c r="K588" s="236"/>
      <x:c r="L588" s="236"/>
      <x:c r="M588" s="233"/>
      <x:c r="N588" s="233"/>
      <x:c r="O588" s="237"/>
      <x:c r="P588" s="236"/>
      <x:c r="Q588" s="236"/>
      <x:c r="R588" s="236"/>
      <x:c r="S588" s="241"/>
      <x:c r="T588" s="242"/>
    </x:row>
    <x:row r="589">
      <x:c r="A589" s="235"/>
      <x:c r="B589" s="236"/>
      <x:c r="C589" s="237"/>
      <x:c r="D589" s="236"/>
      <x:c r="E589" s="236"/>
      <x:c r="F589" s="236"/>
      <x:c r="G589" s="233"/>
      <x:c r="H589" s="233"/>
      <x:c r="I589" s="236"/>
      <x:c r="J589" s="236"/>
      <x:c r="K589" s="236"/>
      <x:c r="L589" s="236"/>
      <x:c r="M589" s="233"/>
      <x:c r="N589" s="233"/>
      <x:c r="O589" s="237"/>
      <x:c r="P589" s="236"/>
      <x:c r="Q589" s="236"/>
      <x:c r="R589" s="236"/>
      <x:c r="S589" s="241"/>
      <x:c r="T589" s="242"/>
    </x:row>
    <x:row r="590">
      <x:c r="A590" s="235"/>
      <x:c r="B590" s="236"/>
      <x:c r="C590" s="237"/>
      <x:c r="D590" s="236"/>
      <x:c r="E590" s="236"/>
      <x:c r="F590" s="236"/>
      <x:c r="G590" s="233"/>
      <x:c r="H590" s="233"/>
      <x:c r="I590" s="236"/>
      <x:c r="J590" s="236"/>
      <x:c r="K590" s="236"/>
      <x:c r="L590" s="236"/>
      <x:c r="M590" s="233"/>
      <x:c r="N590" s="233"/>
      <x:c r="O590" s="237"/>
      <x:c r="P590" s="236"/>
      <x:c r="Q590" s="236"/>
      <x:c r="R590" s="236"/>
      <x:c r="S590" s="241"/>
      <x:c r="T590" s="242"/>
    </x:row>
    <x:row r="591">
      <x:c r="A591" s="235"/>
      <x:c r="B591" s="236"/>
      <x:c r="C591" s="237"/>
      <x:c r="D591" s="236"/>
      <x:c r="E591" s="236"/>
      <x:c r="F591" s="236"/>
      <x:c r="G591" s="233"/>
      <x:c r="H591" s="233"/>
      <x:c r="I591" s="236"/>
      <x:c r="J591" s="236"/>
      <x:c r="K591" s="236"/>
      <x:c r="L591" s="236"/>
      <x:c r="M591" s="233"/>
      <x:c r="N591" s="233"/>
      <x:c r="O591" s="237"/>
      <x:c r="P591" s="236"/>
      <x:c r="Q591" s="236"/>
      <x:c r="R591" s="236"/>
      <x:c r="S591" s="241"/>
      <x:c r="T591" s="242"/>
    </x:row>
    <x:row r="592">
      <x:c r="A592" s="235"/>
      <x:c r="B592" s="236"/>
      <x:c r="C592" s="237"/>
      <x:c r="D592" s="236"/>
      <x:c r="E592" s="236"/>
      <x:c r="F592" s="236"/>
      <x:c r="G592" s="233"/>
      <x:c r="H592" s="233"/>
      <x:c r="I592" s="236"/>
      <x:c r="J592" s="236"/>
      <x:c r="K592" s="236"/>
      <x:c r="L592" s="236"/>
      <x:c r="M592" s="233"/>
      <x:c r="N592" s="233"/>
      <x:c r="O592" s="237"/>
      <x:c r="P592" s="236"/>
      <x:c r="Q592" s="236"/>
      <x:c r="R592" s="236"/>
      <x:c r="S592" s="241"/>
      <x:c r="T592" s="242"/>
    </x:row>
    <x:row r="593">
      <x:c r="A593" s="235"/>
      <x:c r="B593" s="236"/>
      <x:c r="C593" s="237"/>
      <x:c r="D593" s="236"/>
      <x:c r="E593" s="236"/>
      <x:c r="F593" s="236"/>
      <x:c r="G593" s="233"/>
      <x:c r="H593" s="233"/>
      <x:c r="I593" s="236"/>
      <x:c r="J593" s="236"/>
      <x:c r="K593" s="236"/>
      <x:c r="L593" s="236"/>
      <x:c r="M593" s="233"/>
      <x:c r="N593" s="233"/>
      <x:c r="O593" s="237"/>
      <x:c r="P593" s="236"/>
      <x:c r="Q593" s="236"/>
      <x:c r="R593" s="236"/>
      <x:c r="S593" s="241"/>
      <x:c r="T593" s="242"/>
    </x:row>
    <x:row r="594">
      <x:c r="A594" s="235"/>
      <x:c r="B594" s="236"/>
      <x:c r="C594" s="237"/>
      <x:c r="D594" s="236"/>
      <x:c r="E594" s="236"/>
      <x:c r="F594" s="236"/>
      <x:c r="G594" s="233"/>
      <x:c r="H594" s="233"/>
      <x:c r="I594" s="236"/>
      <x:c r="J594" s="236"/>
      <x:c r="K594" s="236"/>
      <x:c r="L594" s="236"/>
      <x:c r="M594" s="233"/>
      <x:c r="N594" s="233"/>
      <x:c r="O594" s="237"/>
      <x:c r="P594" s="236"/>
      <x:c r="Q594" s="236"/>
      <x:c r="R594" s="236"/>
      <x:c r="S594" s="241"/>
      <x:c r="T594" s="242"/>
    </x:row>
    <x:row r="595">
      <x:c r="A595" s="235"/>
      <x:c r="B595" s="236"/>
      <x:c r="C595" s="237"/>
      <x:c r="D595" s="236"/>
      <x:c r="E595" s="236"/>
      <x:c r="F595" s="236"/>
      <x:c r="G595" s="233"/>
      <x:c r="H595" s="233"/>
      <x:c r="I595" s="236"/>
      <x:c r="J595" s="236"/>
      <x:c r="K595" s="236"/>
      <x:c r="L595" s="236"/>
      <x:c r="M595" s="233"/>
      <x:c r="N595" s="233"/>
      <x:c r="O595" s="237"/>
      <x:c r="P595" s="236"/>
      <x:c r="Q595" s="236"/>
      <x:c r="R595" s="236"/>
      <x:c r="S595" s="241"/>
      <x:c r="T595" s="242"/>
    </x:row>
    <x:row r="596">
      <x:c r="A596" s="235"/>
      <x:c r="B596" s="236"/>
      <x:c r="C596" s="237"/>
      <x:c r="D596" s="236"/>
      <x:c r="E596" s="236"/>
      <x:c r="F596" s="236"/>
      <x:c r="G596" s="233"/>
      <x:c r="H596" s="233"/>
      <x:c r="I596" s="236"/>
      <x:c r="J596" s="236"/>
      <x:c r="K596" s="236"/>
      <x:c r="L596" s="236"/>
      <x:c r="M596" s="233"/>
      <x:c r="N596" s="233"/>
      <x:c r="O596" s="237"/>
      <x:c r="P596" s="236"/>
      <x:c r="Q596" s="236"/>
      <x:c r="R596" s="236"/>
      <x:c r="S596" s="241"/>
      <x:c r="T596" s="242"/>
    </x:row>
    <x:row r="597">
      <x:c r="A597" s="235"/>
      <x:c r="B597" s="236"/>
      <x:c r="C597" s="237"/>
      <x:c r="D597" s="236"/>
      <x:c r="E597" s="236"/>
      <x:c r="F597" s="236"/>
      <x:c r="G597" s="233"/>
      <x:c r="H597" s="233"/>
      <x:c r="I597" s="236"/>
      <x:c r="J597" s="236"/>
      <x:c r="K597" s="236"/>
      <x:c r="L597" s="236"/>
      <x:c r="M597" s="233"/>
      <x:c r="N597" s="233"/>
      <x:c r="O597" s="237"/>
      <x:c r="P597" s="236"/>
      <x:c r="Q597" s="236"/>
      <x:c r="R597" s="236"/>
      <x:c r="S597" s="241"/>
      <x:c r="T597" s="242"/>
    </x:row>
    <x:row r="598">
      <x:c r="A598" s="235"/>
      <x:c r="B598" s="236"/>
      <x:c r="C598" s="237"/>
      <x:c r="D598" s="236"/>
      <x:c r="E598" s="236"/>
      <x:c r="F598" s="236"/>
      <x:c r="G598" s="233"/>
      <x:c r="H598" s="233"/>
      <x:c r="I598" s="236"/>
      <x:c r="J598" s="236"/>
      <x:c r="K598" s="236"/>
      <x:c r="L598" s="236"/>
      <x:c r="M598" s="233"/>
      <x:c r="N598" s="233"/>
      <x:c r="O598" s="237"/>
      <x:c r="P598" s="236"/>
      <x:c r="Q598" s="236"/>
      <x:c r="R598" s="236"/>
      <x:c r="S598" s="241"/>
      <x:c r="T598" s="242"/>
    </x:row>
    <x:row r="599">
      <x:c r="A599" s="235"/>
      <x:c r="B599" s="236"/>
      <x:c r="C599" s="237"/>
      <x:c r="D599" s="236"/>
      <x:c r="E599" s="236"/>
      <x:c r="F599" s="236"/>
      <x:c r="G599" s="233"/>
      <x:c r="H599" s="233"/>
      <x:c r="I599" s="236"/>
      <x:c r="J599" s="236"/>
      <x:c r="K599" s="236"/>
      <x:c r="L599" s="236"/>
      <x:c r="M599" s="233"/>
      <x:c r="N599" s="233"/>
      <x:c r="O599" s="237"/>
      <x:c r="P599" s="236"/>
      <x:c r="Q599" s="236"/>
      <x:c r="R599" s="236"/>
      <x:c r="S599" s="241"/>
      <x:c r="T599" s="242"/>
    </x:row>
    <x:row r="600">
      <x:c r="A600" s="235"/>
      <x:c r="B600" s="236"/>
      <x:c r="C600" s="237"/>
      <x:c r="D600" s="236"/>
      <x:c r="E600" s="236"/>
      <x:c r="F600" s="236"/>
      <x:c r="G600" s="233"/>
      <x:c r="H600" s="233"/>
      <x:c r="I600" s="236"/>
      <x:c r="J600" s="236"/>
      <x:c r="K600" s="236"/>
      <x:c r="L600" s="236"/>
      <x:c r="M600" s="233"/>
      <x:c r="N600" s="233"/>
      <x:c r="O600" s="237"/>
      <x:c r="P600" s="236"/>
      <x:c r="Q600" s="236"/>
      <x:c r="R600" s="236"/>
      <x:c r="S600" s="241"/>
      <x:c r="T600" s="242"/>
    </x:row>
    <x:row r="601">
      <x:c r="A601" s="235"/>
      <x:c r="B601" s="236"/>
      <x:c r="C601" s="237"/>
      <x:c r="D601" s="236"/>
      <x:c r="E601" s="236"/>
      <x:c r="F601" s="236"/>
      <x:c r="G601" s="233"/>
      <x:c r="H601" s="233"/>
      <x:c r="I601" s="236"/>
      <x:c r="J601" s="236"/>
      <x:c r="K601" s="236"/>
      <x:c r="L601" s="236"/>
      <x:c r="M601" s="233"/>
      <x:c r="N601" s="233"/>
      <x:c r="O601" s="237"/>
      <x:c r="P601" s="236"/>
      <x:c r="Q601" s="236"/>
      <x:c r="R601" s="236"/>
      <x:c r="S601" s="241"/>
      <x:c r="T601" s="242"/>
    </x:row>
    <x:row r="602">
      <x:c r="A602" s="235"/>
      <x:c r="B602" s="236"/>
      <x:c r="C602" s="237"/>
      <x:c r="D602" s="236"/>
      <x:c r="E602" s="236"/>
      <x:c r="F602" s="236"/>
      <x:c r="G602" s="233"/>
      <x:c r="H602" s="233"/>
      <x:c r="I602" s="236"/>
      <x:c r="J602" s="236"/>
      <x:c r="K602" s="236"/>
      <x:c r="L602" s="236"/>
      <x:c r="M602" s="233"/>
      <x:c r="N602" s="233"/>
      <x:c r="O602" s="237"/>
      <x:c r="P602" s="236"/>
      <x:c r="Q602" s="236"/>
      <x:c r="R602" s="236"/>
      <x:c r="S602" s="241"/>
      <x:c r="T602" s="242"/>
    </x:row>
    <x:row r="603">
      <x:c r="A603" s="235"/>
      <x:c r="B603" s="236"/>
      <x:c r="C603" s="237"/>
      <x:c r="D603" s="236"/>
      <x:c r="E603" s="236"/>
      <x:c r="F603" s="236"/>
      <x:c r="G603" s="233"/>
      <x:c r="H603" s="233"/>
      <x:c r="I603" s="236"/>
      <x:c r="J603" s="236"/>
      <x:c r="K603" s="236"/>
      <x:c r="L603" s="236"/>
      <x:c r="M603" s="233"/>
      <x:c r="N603" s="233"/>
      <x:c r="O603" s="237"/>
      <x:c r="P603" s="236"/>
      <x:c r="Q603" s="236"/>
      <x:c r="R603" s="236"/>
      <x:c r="S603" s="241"/>
      <x:c r="T603" s="242"/>
    </x:row>
    <x:row r="604">
      <x:c r="A604" s="235"/>
      <x:c r="B604" s="236"/>
      <x:c r="C604" s="237"/>
      <x:c r="D604" s="236"/>
      <x:c r="E604" s="236"/>
      <x:c r="F604" s="236"/>
      <x:c r="G604" s="233"/>
      <x:c r="H604" s="233"/>
      <x:c r="I604" s="236"/>
      <x:c r="J604" s="236"/>
      <x:c r="K604" s="236"/>
      <x:c r="L604" s="236"/>
      <x:c r="M604" s="233"/>
      <x:c r="N604" s="233"/>
      <x:c r="O604" s="237"/>
      <x:c r="P604" s="236"/>
      <x:c r="Q604" s="236"/>
      <x:c r="R604" s="236"/>
      <x:c r="S604" s="241"/>
      <x:c r="T604" s="242"/>
    </x:row>
    <x:row r="605">
      <x:c r="A605" s="235"/>
      <x:c r="B605" s="236"/>
      <x:c r="C605" s="237"/>
      <x:c r="D605" s="236"/>
      <x:c r="E605" s="236"/>
      <x:c r="F605" s="236"/>
      <x:c r="G605" s="233"/>
      <x:c r="H605" s="233"/>
      <x:c r="I605" s="236"/>
      <x:c r="J605" s="236"/>
      <x:c r="K605" s="236"/>
      <x:c r="L605" s="236"/>
      <x:c r="M605" s="233"/>
      <x:c r="N605" s="233"/>
      <x:c r="O605" s="237"/>
      <x:c r="P605" s="236"/>
      <x:c r="Q605" s="236"/>
      <x:c r="R605" s="236"/>
      <x:c r="S605" s="241"/>
      <x:c r="T605" s="242"/>
    </x:row>
    <x:row r="606">
      <x:c r="A606" s="235"/>
      <x:c r="B606" s="236"/>
      <x:c r="C606" s="237"/>
      <x:c r="D606" s="236"/>
      <x:c r="E606" s="236"/>
      <x:c r="F606" s="236"/>
      <x:c r="G606" s="233"/>
      <x:c r="H606" s="233"/>
      <x:c r="I606" s="236"/>
      <x:c r="J606" s="236"/>
      <x:c r="K606" s="236"/>
      <x:c r="L606" s="236"/>
      <x:c r="M606" s="233"/>
      <x:c r="N606" s="233"/>
      <x:c r="O606" s="237"/>
      <x:c r="P606" s="236"/>
      <x:c r="Q606" s="236"/>
      <x:c r="R606" s="236"/>
      <x:c r="S606" s="241"/>
      <x:c r="T606" s="242"/>
    </x:row>
    <x:row r="607">
      <x:c r="A607" s="235"/>
      <x:c r="B607" s="236"/>
      <x:c r="C607" s="237"/>
      <x:c r="D607" s="236"/>
      <x:c r="E607" s="236"/>
      <x:c r="F607" s="236"/>
      <x:c r="G607" s="233"/>
      <x:c r="H607" s="233"/>
      <x:c r="I607" s="236"/>
      <x:c r="J607" s="236"/>
      <x:c r="K607" s="236"/>
      <x:c r="L607" s="236"/>
      <x:c r="M607" s="233"/>
      <x:c r="N607" s="233"/>
      <x:c r="O607" s="237"/>
      <x:c r="P607" s="236"/>
      <x:c r="Q607" s="236"/>
      <x:c r="R607" s="236"/>
      <x:c r="S607" s="241"/>
      <x:c r="T607" s="242"/>
    </x:row>
    <x:row r="608">
      <x:c r="A608" s="235"/>
      <x:c r="B608" s="236"/>
      <x:c r="C608" s="237"/>
      <x:c r="D608" s="236"/>
      <x:c r="E608" s="236"/>
      <x:c r="F608" s="236"/>
      <x:c r="G608" s="233"/>
      <x:c r="H608" s="233"/>
      <x:c r="I608" s="236"/>
      <x:c r="J608" s="236"/>
      <x:c r="K608" s="236"/>
      <x:c r="L608" s="236"/>
      <x:c r="M608" s="233"/>
      <x:c r="N608" s="233"/>
      <x:c r="O608" s="237"/>
      <x:c r="P608" s="236"/>
      <x:c r="Q608" s="236"/>
      <x:c r="R608" s="236"/>
      <x:c r="S608" s="241"/>
      <x:c r="T608" s="242"/>
    </x:row>
    <x:row r="609">
      <x:c r="A609" s="235"/>
      <x:c r="B609" s="236"/>
      <x:c r="C609" s="237"/>
      <x:c r="D609" s="236"/>
      <x:c r="E609" s="236"/>
      <x:c r="F609" s="236"/>
      <x:c r="G609" s="233"/>
      <x:c r="H609" s="233"/>
      <x:c r="I609" s="236"/>
      <x:c r="J609" s="236"/>
      <x:c r="K609" s="236"/>
      <x:c r="L609" s="236"/>
      <x:c r="M609" s="233"/>
      <x:c r="N609" s="233"/>
      <x:c r="O609" s="237"/>
      <x:c r="P609" s="236"/>
      <x:c r="Q609" s="236"/>
      <x:c r="R609" s="236"/>
      <x:c r="S609" s="241"/>
      <x:c r="T609" s="242"/>
    </x:row>
    <x:row r="610">
      <x:c r="A610" s="235"/>
      <x:c r="B610" s="236"/>
      <x:c r="C610" s="237"/>
      <x:c r="D610" s="236"/>
      <x:c r="E610" s="236"/>
      <x:c r="F610" s="236"/>
      <x:c r="G610" s="233"/>
      <x:c r="H610" s="233"/>
      <x:c r="I610" s="236"/>
      <x:c r="J610" s="236"/>
      <x:c r="K610" s="236"/>
      <x:c r="L610" s="236"/>
      <x:c r="M610" s="233"/>
      <x:c r="N610" s="233"/>
      <x:c r="O610" s="237"/>
      <x:c r="P610" s="236"/>
      <x:c r="Q610" s="236"/>
      <x:c r="R610" s="236"/>
      <x:c r="S610" s="241"/>
      <x:c r="T610" s="242"/>
    </x:row>
    <x:row r="611">
      <x:c r="A611" s="235"/>
      <x:c r="B611" s="236"/>
      <x:c r="C611" s="237"/>
      <x:c r="D611" s="236"/>
      <x:c r="E611" s="236"/>
      <x:c r="F611" s="236"/>
      <x:c r="G611" s="233"/>
      <x:c r="H611" s="233"/>
      <x:c r="I611" s="236"/>
      <x:c r="J611" s="236"/>
      <x:c r="K611" s="236"/>
      <x:c r="L611" s="236"/>
      <x:c r="M611" s="233"/>
      <x:c r="N611" s="233"/>
      <x:c r="O611" s="237"/>
      <x:c r="P611" s="236"/>
      <x:c r="Q611" s="236"/>
      <x:c r="R611" s="236"/>
      <x:c r="S611" s="241"/>
      <x:c r="T611" s="242"/>
    </x:row>
    <x:row r="612">
      <x:c r="A612" s="235"/>
      <x:c r="B612" s="236"/>
      <x:c r="C612" s="237"/>
      <x:c r="D612" s="236"/>
      <x:c r="E612" s="236"/>
      <x:c r="F612" s="236"/>
      <x:c r="G612" s="233"/>
      <x:c r="H612" s="233"/>
      <x:c r="I612" s="236"/>
      <x:c r="J612" s="236"/>
      <x:c r="K612" s="236"/>
      <x:c r="L612" s="236"/>
      <x:c r="M612" s="233"/>
      <x:c r="N612" s="233"/>
      <x:c r="O612" s="237"/>
      <x:c r="P612" s="236"/>
      <x:c r="Q612" s="236"/>
      <x:c r="R612" s="236"/>
      <x:c r="S612" s="241"/>
      <x:c r="T612" s="242"/>
    </x:row>
    <x:row r="613">
      <x:c r="A613" s="235"/>
      <x:c r="B613" s="236"/>
      <x:c r="C613" s="237"/>
      <x:c r="D613" s="236"/>
      <x:c r="E613" s="236"/>
      <x:c r="F613" s="236"/>
      <x:c r="G613" s="233"/>
      <x:c r="H613" s="233"/>
      <x:c r="I613" s="236"/>
      <x:c r="J613" s="236"/>
      <x:c r="K613" s="236"/>
      <x:c r="L613" s="236"/>
      <x:c r="M613" s="233"/>
      <x:c r="N613" s="233"/>
      <x:c r="O613" s="237"/>
      <x:c r="P613" s="236"/>
      <x:c r="Q613" s="236"/>
      <x:c r="R613" s="236"/>
      <x:c r="S613" s="241"/>
      <x:c r="T613" s="242"/>
    </x:row>
    <x:row r="614">
      <x:c r="A614" s="235"/>
      <x:c r="B614" s="236"/>
      <x:c r="C614" s="237"/>
      <x:c r="D614" s="236"/>
      <x:c r="E614" s="236"/>
      <x:c r="F614" s="236"/>
      <x:c r="G614" s="233"/>
      <x:c r="H614" s="233"/>
      <x:c r="I614" s="236"/>
      <x:c r="J614" s="236"/>
      <x:c r="K614" s="236"/>
      <x:c r="L614" s="236"/>
      <x:c r="M614" s="233"/>
      <x:c r="N614" s="233"/>
      <x:c r="O614" s="237"/>
      <x:c r="P614" s="236"/>
      <x:c r="Q614" s="236"/>
      <x:c r="R614" s="236"/>
      <x:c r="S614" s="241"/>
      <x:c r="T614" s="242"/>
    </x:row>
    <x:row r="615">
      <x:c r="A615" s="235"/>
      <x:c r="B615" s="236"/>
      <x:c r="C615" s="237"/>
      <x:c r="D615" s="236"/>
      <x:c r="E615" s="236"/>
      <x:c r="F615" s="236"/>
      <x:c r="G615" s="233"/>
      <x:c r="H615" s="233"/>
      <x:c r="I615" s="236"/>
      <x:c r="J615" s="236"/>
      <x:c r="K615" s="236"/>
      <x:c r="L615" s="236"/>
      <x:c r="M615" s="233"/>
      <x:c r="N615" s="233"/>
      <x:c r="O615" s="237"/>
      <x:c r="P615" s="236"/>
      <x:c r="Q615" s="236"/>
      <x:c r="R615" s="236"/>
      <x:c r="S615" s="241"/>
      <x:c r="T615" s="242"/>
    </x:row>
    <x:row r="616">
      <x:c r="A616" s="235"/>
      <x:c r="B616" s="236"/>
      <x:c r="C616" s="237"/>
      <x:c r="D616" s="236"/>
      <x:c r="E616" s="236"/>
      <x:c r="F616" s="236"/>
      <x:c r="G616" s="233"/>
      <x:c r="H616" s="233"/>
      <x:c r="I616" s="236"/>
      <x:c r="J616" s="236"/>
      <x:c r="K616" s="236"/>
      <x:c r="L616" s="236"/>
      <x:c r="M616" s="233"/>
      <x:c r="N616" s="233"/>
      <x:c r="O616" s="237"/>
      <x:c r="P616" s="236"/>
      <x:c r="Q616" s="236"/>
      <x:c r="R616" s="236"/>
      <x:c r="S616" s="241"/>
      <x:c r="T616" s="242"/>
    </x:row>
    <x:row r="617">
      <x:c r="A617" s="235"/>
      <x:c r="B617" s="236"/>
      <x:c r="C617" s="237"/>
      <x:c r="D617" s="236"/>
      <x:c r="E617" s="236"/>
      <x:c r="F617" s="236"/>
      <x:c r="G617" s="233"/>
      <x:c r="H617" s="233"/>
      <x:c r="I617" s="236"/>
      <x:c r="J617" s="236"/>
      <x:c r="K617" s="236"/>
      <x:c r="L617" s="236"/>
      <x:c r="M617" s="233"/>
      <x:c r="N617" s="233"/>
      <x:c r="O617" s="237"/>
      <x:c r="P617" s="236"/>
      <x:c r="Q617" s="236"/>
      <x:c r="R617" s="236"/>
      <x:c r="S617" s="241"/>
      <x:c r="T617" s="242"/>
    </x:row>
    <x:row r="618">
      <x:c r="A618" s="235"/>
      <x:c r="B618" s="236"/>
      <x:c r="C618" s="237"/>
      <x:c r="D618" s="236"/>
      <x:c r="E618" s="236"/>
      <x:c r="F618" s="236"/>
      <x:c r="G618" s="233"/>
      <x:c r="H618" s="233"/>
      <x:c r="I618" s="236"/>
      <x:c r="J618" s="236"/>
      <x:c r="K618" s="236"/>
      <x:c r="L618" s="236"/>
      <x:c r="M618" s="233"/>
      <x:c r="N618" s="233"/>
      <x:c r="O618" s="237"/>
      <x:c r="P618" s="236"/>
      <x:c r="Q618" s="236"/>
      <x:c r="R618" s="236"/>
      <x:c r="S618" s="241"/>
      <x:c r="T618" s="242"/>
    </x:row>
    <x:row r="619">
      <x:c r="A619" s="235"/>
      <x:c r="B619" s="236"/>
      <x:c r="C619" s="237"/>
      <x:c r="D619" s="236"/>
      <x:c r="E619" s="236"/>
      <x:c r="F619" s="236"/>
      <x:c r="G619" s="233"/>
      <x:c r="H619" s="233"/>
      <x:c r="I619" s="236"/>
      <x:c r="J619" s="236"/>
      <x:c r="K619" s="236"/>
      <x:c r="L619" s="236"/>
      <x:c r="M619" s="233"/>
      <x:c r="N619" s="233"/>
      <x:c r="O619" s="237"/>
      <x:c r="P619" s="236"/>
      <x:c r="Q619" s="236"/>
      <x:c r="R619" s="236"/>
      <x:c r="S619" s="241"/>
      <x:c r="T619" s="242"/>
    </x:row>
    <x:row r="620">
      <x:c r="A620" s="235"/>
      <x:c r="B620" s="236"/>
      <x:c r="C620" s="237"/>
      <x:c r="D620" s="236"/>
      <x:c r="E620" s="236"/>
      <x:c r="F620" s="236"/>
      <x:c r="G620" s="233"/>
      <x:c r="H620" s="233"/>
      <x:c r="I620" s="236"/>
      <x:c r="J620" s="236"/>
      <x:c r="K620" s="236"/>
      <x:c r="L620" s="236"/>
      <x:c r="M620" s="233"/>
      <x:c r="N620" s="233"/>
      <x:c r="O620" s="237"/>
      <x:c r="P620" s="236"/>
      <x:c r="Q620" s="236"/>
      <x:c r="R620" s="236"/>
      <x:c r="S620" s="241"/>
      <x:c r="T620" s="242"/>
    </x:row>
    <x:row r="621">
      <x:c r="A621" s="235"/>
      <x:c r="B621" s="236"/>
      <x:c r="C621" s="237"/>
      <x:c r="D621" s="236"/>
      <x:c r="E621" s="236"/>
      <x:c r="F621" s="236"/>
      <x:c r="G621" s="233"/>
      <x:c r="H621" s="233"/>
      <x:c r="I621" s="236"/>
      <x:c r="J621" s="236"/>
      <x:c r="K621" s="236"/>
      <x:c r="L621" s="236"/>
      <x:c r="M621" s="233"/>
      <x:c r="N621" s="233"/>
      <x:c r="O621" s="237"/>
      <x:c r="P621" s="236"/>
      <x:c r="Q621" s="236"/>
      <x:c r="R621" s="236"/>
      <x:c r="S621" s="241"/>
      <x:c r="T621" s="242"/>
    </x:row>
    <x:row r="622">
      <x:c r="A622" s="235"/>
      <x:c r="B622" s="236"/>
      <x:c r="C622" s="237"/>
      <x:c r="D622" s="236"/>
      <x:c r="E622" s="236"/>
      <x:c r="F622" s="236"/>
      <x:c r="G622" s="233"/>
      <x:c r="H622" s="233"/>
      <x:c r="I622" s="236"/>
      <x:c r="J622" s="236"/>
      <x:c r="K622" s="236"/>
      <x:c r="L622" s="236"/>
      <x:c r="M622" s="233"/>
      <x:c r="N622" s="233"/>
      <x:c r="O622" s="237"/>
      <x:c r="P622" s="236"/>
      <x:c r="Q622" s="236"/>
      <x:c r="R622" s="236"/>
      <x:c r="S622" s="241"/>
      <x:c r="T622" s="242"/>
    </x:row>
    <x:row r="623">
      <x:c r="A623" s="235"/>
      <x:c r="B623" s="236"/>
      <x:c r="C623" s="237"/>
      <x:c r="D623" s="236"/>
      <x:c r="E623" s="236"/>
      <x:c r="F623" s="236"/>
      <x:c r="G623" s="233"/>
      <x:c r="H623" s="233"/>
      <x:c r="I623" s="236"/>
      <x:c r="J623" s="236"/>
      <x:c r="K623" s="236"/>
      <x:c r="L623" s="236"/>
      <x:c r="M623" s="233"/>
      <x:c r="N623" s="233"/>
      <x:c r="O623" s="237"/>
      <x:c r="P623" s="236"/>
      <x:c r="Q623" s="236"/>
      <x:c r="R623" s="236"/>
      <x:c r="S623" s="241"/>
      <x:c r="T623" s="242"/>
    </x:row>
    <x:row r="624">
      <x:c r="A624" s="235"/>
      <x:c r="B624" s="236"/>
      <x:c r="C624" s="237"/>
      <x:c r="D624" s="236"/>
      <x:c r="E624" s="236"/>
      <x:c r="F624" s="236"/>
      <x:c r="G624" s="233"/>
      <x:c r="H624" s="233"/>
      <x:c r="I624" s="236"/>
      <x:c r="J624" s="236"/>
      <x:c r="K624" s="236"/>
      <x:c r="L624" s="236"/>
      <x:c r="M624" s="233"/>
      <x:c r="N624" s="233"/>
      <x:c r="O624" s="237"/>
      <x:c r="P624" s="236"/>
      <x:c r="Q624" s="236"/>
      <x:c r="R624" s="236"/>
      <x:c r="S624" s="241"/>
      <x:c r="T624" s="242"/>
    </x:row>
    <x:row r="625">
      <x:c r="A625" s="235"/>
      <x:c r="B625" s="236"/>
      <x:c r="C625" s="237"/>
      <x:c r="D625" s="236"/>
      <x:c r="E625" s="236"/>
      <x:c r="F625" s="236"/>
      <x:c r="G625" s="233"/>
      <x:c r="H625" s="233"/>
      <x:c r="I625" s="236"/>
      <x:c r="J625" s="236"/>
      <x:c r="K625" s="236"/>
      <x:c r="L625" s="236"/>
      <x:c r="M625" s="233"/>
      <x:c r="N625" s="233"/>
      <x:c r="O625" s="237"/>
      <x:c r="P625" s="236"/>
      <x:c r="Q625" s="236"/>
      <x:c r="R625" s="236"/>
      <x:c r="S625" s="241"/>
      <x:c r="T625" s="242"/>
    </x:row>
    <x:row r="626">
      <x:c r="A626" s="235"/>
      <x:c r="B626" s="236"/>
      <x:c r="C626" s="237"/>
      <x:c r="D626" s="236"/>
      <x:c r="E626" s="236"/>
      <x:c r="F626" s="236"/>
      <x:c r="G626" s="233"/>
      <x:c r="H626" s="233"/>
      <x:c r="I626" s="236"/>
      <x:c r="J626" s="236"/>
      <x:c r="K626" s="236"/>
      <x:c r="L626" s="236"/>
      <x:c r="M626" s="233"/>
      <x:c r="N626" s="233"/>
      <x:c r="O626" s="237"/>
      <x:c r="P626" s="236"/>
      <x:c r="Q626" s="236"/>
      <x:c r="R626" s="236"/>
      <x:c r="S626" s="241"/>
      <x:c r="T626" s="242"/>
    </x:row>
    <x:row r="627">
      <x:c r="A627" s="235"/>
      <x:c r="B627" s="236"/>
      <x:c r="C627" s="237"/>
      <x:c r="D627" s="236"/>
      <x:c r="E627" s="236"/>
      <x:c r="F627" s="236"/>
      <x:c r="G627" s="233"/>
      <x:c r="H627" s="233"/>
      <x:c r="I627" s="236"/>
      <x:c r="J627" s="236"/>
      <x:c r="K627" s="236"/>
      <x:c r="L627" s="236"/>
      <x:c r="M627" s="233"/>
      <x:c r="N627" s="233"/>
      <x:c r="O627" s="237"/>
      <x:c r="P627" s="236"/>
      <x:c r="Q627" s="236"/>
      <x:c r="R627" s="236"/>
      <x:c r="S627" s="241"/>
      <x:c r="T627" s="242"/>
    </x:row>
    <x:row r="628">
      <x:c r="A628" s="235"/>
      <x:c r="B628" s="236"/>
      <x:c r="C628" s="237"/>
      <x:c r="D628" s="236"/>
      <x:c r="E628" s="236"/>
      <x:c r="F628" s="236"/>
      <x:c r="G628" s="233"/>
      <x:c r="H628" s="233"/>
      <x:c r="I628" s="236"/>
      <x:c r="J628" s="236"/>
      <x:c r="K628" s="236"/>
      <x:c r="L628" s="236"/>
      <x:c r="M628" s="233"/>
      <x:c r="N628" s="233"/>
      <x:c r="O628" s="237"/>
      <x:c r="P628" s="236"/>
      <x:c r="Q628" s="236"/>
      <x:c r="R628" s="236"/>
      <x:c r="S628" s="241"/>
      <x:c r="T628" s="242"/>
    </x:row>
    <x:row r="629">
      <x:c r="A629" s="235"/>
      <x:c r="B629" s="236"/>
      <x:c r="C629" s="237"/>
      <x:c r="D629" s="236"/>
      <x:c r="E629" s="236"/>
      <x:c r="F629" s="236"/>
      <x:c r="G629" s="233"/>
      <x:c r="H629" s="233"/>
      <x:c r="I629" s="236"/>
      <x:c r="J629" s="236"/>
      <x:c r="K629" s="236"/>
      <x:c r="L629" s="236"/>
      <x:c r="M629" s="233"/>
      <x:c r="N629" s="233"/>
      <x:c r="O629" s="237"/>
      <x:c r="P629" s="236"/>
      <x:c r="Q629" s="236"/>
      <x:c r="R629" s="236"/>
      <x:c r="S629" s="241"/>
      <x:c r="T629" s="242"/>
    </x:row>
    <x:row r="630">
      <x:c r="A630" s="235"/>
      <x:c r="B630" s="236"/>
      <x:c r="C630" s="237"/>
      <x:c r="D630" s="236"/>
      <x:c r="E630" s="236"/>
      <x:c r="F630" s="236"/>
      <x:c r="G630" s="233"/>
      <x:c r="H630" s="233"/>
      <x:c r="I630" s="236"/>
      <x:c r="J630" s="236"/>
      <x:c r="K630" s="236"/>
      <x:c r="L630" s="236"/>
      <x:c r="M630" s="233"/>
      <x:c r="N630" s="233"/>
      <x:c r="O630" s="237"/>
      <x:c r="P630" s="236"/>
      <x:c r="Q630" s="236"/>
      <x:c r="R630" s="236"/>
      <x:c r="S630" s="241"/>
      <x:c r="T630" s="242"/>
    </x:row>
    <x:row r="631">
      <x:c r="A631" s="235"/>
      <x:c r="B631" s="236"/>
      <x:c r="C631" s="237"/>
      <x:c r="D631" s="236"/>
      <x:c r="E631" s="236"/>
      <x:c r="F631" s="236"/>
      <x:c r="G631" s="233"/>
      <x:c r="H631" s="233"/>
      <x:c r="I631" s="236"/>
      <x:c r="J631" s="236"/>
      <x:c r="K631" s="236"/>
      <x:c r="L631" s="236"/>
      <x:c r="M631" s="233"/>
      <x:c r="N631" s="233"/>
      <x:c r="O631" s="237"/>
      <x:c r="P631" s="236"/>
      <x:c r="Q631" s="236"/>
      <x:c r="R631" s="236"/>
      <x:c r="S631" s="241"/>
      <x:c r="T631" s="242"/>
    </x:row>
    <x:row r="632">
      <x:c r="A632" s="235"/>
      <x:c r="B632" s="236"/>
      <x:c r="C632" s="237"/>
      <x:c r="D632" s="236"/>
      <x:c r="E632" s="236"/>
      <x:c r="F632" s="236"/>
      <x:c r="G632" s="233"/>
      <x:c r="H632" s="233"/>
      <x:c r="I632" s="236"/>
      <x:c r="J632" s="236"/>
      <x:c r="K632" s="236"/>
      <x:c r="L632" s="236"/>
      <x:c r="M632" s="233"/>
      <x:c r="N632" s="233"/>
      <x:c r="O632" s="237"/>
      <x:c r="P632" s="236"/>
      <x:c r="Q632" s="236"/>
      <x:c r="R632" s="236"/>
      <x:c r="S632" s="241"/>
      <x:c r="T632" s="242"/>
    </x:row>
    <x:row r="633">
      <x:c r="A633" s="235"/>
      <x:c r="B633" s="236"/>
      <x:c r="C633" s="237"/>
      <x:c r="D633" s="236"/>
      <x:c r="E633" s="236"/>
      <x:c r="F633" s="236"/>
      <x:c r="G633" s="233"/>
      <x:c r="H633" s="233"/>
      <x:c r="I633" s="236"/>
      <x:c r="J633" s="236"/>
      <x:c r="K633" s="236"/>
      <x:c r="L633" s="236"/>
      <x:c r="M633" s="233"/>
      <x:c r="N633" s="233"/>
      <x:c r="O633" s="237"/>
      <x:c r="P633" s="236"/>
      <x:c r="Q633" s="236"/>
      <x:c r="R633" s="236"/>
      <x:c r="S633" s="241"/>
      <x:c r="T633" s="242"/>
    </x:row>
    <x:row r="634">
      <x:c r="A634" s="235"/>
      <x:c r="B634" s="236"/>
      <x:c r="C634" s="237"/>
      <x:c r="D634" s="236"/>
      <x:c r="E634" s="236"/>
      <x:c r="F634" s="236"/>
      <x:c r="G634" s="233"/>
      <x:c r="H634" s="233"/>
      <x:c r="I634" s="236"/>
      <x:c r="J634" s="236"/>
      <x:c r="K634" s="236"/>
      <x:c r="L634" s="236"/>
      <x:c r="M634" s="233"/>
      <x:c r="N634" s="233"/>
      <x:c r="O634" s="237"/>
      <x:c r="P634" s="236"/>
      <x:c r="Q634" s="236"/>
      <x:c r="R634" s="236"/>
      <x:c r="S634" s="241"/>
      <x:c r="T634" s="242"/>
    </x:row>
    <x:row r="635">
      <x:c r="A635" s="235"/>
      <x:c r="B635" s="236"/>
      <x:c r="C635" s="237"/>
      <x:c r="D635" s="236"/>
      <x:c r="E635" s="236"/>
      <x:c r="F635" s="236"/>
      <x:c r="G635" s="233"/>
      <x:c r="H635" s="233"/>
      <x:c r="I635" s="236"/>
      <x:c r="J635" s="236"/>
      <x:c r="K635" s="236"/>
      <x:c r="L635" s="236"/>
      <x:c r="M635" s="233"/>
      <x:c r="N635" s="233"/>
      <x:c r="O635" s="237"/>
      <x:c r="P635" s="236"/>
      <x:c r="Q635" s="236"/>
      <x:c r="R635" s="236"/>
      <x:c r="S635" s="241"/>
      <x:c r="T635" s="242"/>
    </x:row>
    <x:row r="636">
      <x:c r="A636" s="235"/>
      <x:c r="B636" s="236"/>
      <x:c r="C636" s="237"/>
      <x:c r="D636" s="236"/>
      <x:c r="E636" s="236"/>
      <x:c r="F636" s="236"/>
      <x:c r="G636" s="233"/>
      <x:c r="H636" s="233"/>
      <x:c r="I636" s="236"/>
      <x:c r="J636" s="236"/>
      <x:c r="K636" s="236"/>
      <x:c r="L636" s="236"/>
      <x:c r="M636" s="233"/>
      <x:c r="N636" s="233"/>
      <x:c r="O636" s="237"/>
      <x:c r="P636" s="236"/>
      <x:c r="Q636" s="236"/>
      <x:c r="R636" s="236"/>
      <x:c r="S636" s="241"/>
      <x:c r="T636" s="242"/>
    </x:row>
    <x:row r="637">
      <x:c r="A637" s="235"/>
      <x:c r="B637" s="236"/>
      <x:c r="C637" s="237"/>
      <x:c r="D637" s="236"/>
      <x:c r="E637" s="236"/>
      <x:c r="F637" s="236"/>
      <x:c r="G637" s="233"/>
      <x:c r="H637" s="233"/>
      <x:c r="I637" s="236"/>
      <x:c r="J637" s="236"/>
      <x:c r="K637" s="236"/>
      <x:c r="L637" s="236"/>
      <x:c r="M637" s="233"/>
      <x:c r="N637" s="233"/>
      <x:c r="O637" s="237"/>
      <x:c r="P637" s="236"/>
      <x:c r="Q637" s="236"/>
      <x:c r="R637" s="236"/>
      <x:c r="S637" s="241"/>
      <x:c r="T637" s="242"/>
    </x:row>
    <x:row r="638">
      <x:c r="A638" s="235"/>
      <x:c r="B638" s="236"/>
      <x:c r="C638" s="237"/>
      <x:c r="D638" s="236"/>
      <x:c r="E638" s="236"/>
      <x:c r="F638" s="236"/>
      <x:c r="G638" s="233"/>
      <x:c r="H638" s="233"/>
      <x:c r="I638" s="236"/>
      <x:c r="J638" s="236"/>
      <x:c r="K638" s="236"/>
      <x:c r="L638" s="236"/>
      <x:c r="M638" s="233"/>
      <x:c r="N638" s="233"/>
      <x:c r="O638" s="237"/>
      <x:c r="P638" s="236"/>
      <x:c r="Q638" s="236"/>
      <x:c r="R638" s="236"/>
      <x:c r="S638" s="241"/>
      <x:c r="T638" s="242"/>
    </x:row>
    <x:row r="639">
      <x:c r="A639" s="235"/>
      <x:c r="B639" s="236"/>
      <x:c r="C639" s="237"/>
      <x:c r="D639" s="236"/>
      <x:c r="E639" s="236"/>
      <x:c r="F639" s="236"/>
      <x:c r="G639" s="233"/>
      <x:c r="H639" s="233"/>
      <x:c r="I639" s="236"/>
      <x:c r="J639" s="236"/>
      <x:c r="K639" s="236"/>
      <x:c r="L639" s="236"/>
      <x:c r="M639" s="233"/>
      <x:c r="N639" s="233"/>
      <x:c r="O639" s="237"/>
      <x:c r="P639" s="236"/>
      <x:c r="Q639" s="236"/>
      <x:c r="R639" s="236"/>
      <x:c r="S639" s="241"/>
      <x:c r="T639" s="242"/>
    </x:row>
    <x:row r="640">
      <x:c r="A640" s="235"/>
      <x:c r="B640" s="236"/>
      <x:c r="C640" s="237"/>
      <x:c r="D640" s="236"/>
      <x:c r="E640" s="236"/>
      <x:c r="F640" s="236"/>
      <x:c r="G640" s="233"/>
      <x:c r="H640" s="233"/>
      <x:c r="I640" s="236"/>
      <x:c r="J640" s="236"/>
      <x:c r="K640" s="236"/>
      <x:c r="L640" s="236"/>
      <x:c r="M640" s="233"/>
      <x:c r="N640" s="233"/>
      <x:c r="O640" s="237"/>
      <x:c r="P640" s="236"/>
      <x:c r="Q640" s="236"/>
      <x:c r="R640" s="236"/>
      <x:c r="S640" s="241"/>
      <x:c r="T640" s="242"/>
    </x:row>
    <x:row r="641">
      <x:c r="A641" s="235"/>
      <x:c r="B641" s="236"/>
      <x:c r="C641" s="237"/>
      <x:c r="D641" s="236"/>
      <x:c r="E641" s="236"/>
      <x:c r="F641" s="236"/>
      <x:c r="G641" s="233"/>
      <x:c r="H641" s="233"/>
      <x:c r="I641" s="236"/>
      <x:c r="J641" s="236"/>
      <x:c r="K641" s="236"/>
      <x:c r="L641" s="236"/>
      <x:c r="M641" s="233"/>
      <x:c r="N641" s="233"/>
      <x:c r="O641" s="237"/>
      <x:c r="P641" s="236"/>
      <x:c r="Q641" s="236"/>
      <x:c r="R641" s="236"/>
      <x:c r="S641" s="241"/>
      <x:c r="T641" s="242"/>
    </x:row>
    <x:row r="642">
      <x:c r="A642" s="235"/>
      <x:c r="B642" s="236"/>
      <x:c r="C642" s="237"/>
      <x:c r="D642" s="236"/>
      <x:c r="E642" s="236"/>
      <x:c r="F642" s="236"/>
      <x:c r="G642" s="233"/>
      <x:c r="H642" s="233"/>
      <x:c r="I642" s="236"/>
      <x:c r="J642" s="236"/>
      <x:c r="K642" s="236"/>
      <x:c r="L642" s="236"/>
      <x:c r="M642" s="233"/>
      <x:c r="N642" s="233"/>
      <x:c r="O642" s="237"/>
      <x:c r="P642" s="236"/>
      <x:c r="Q642" s="236"/>
      <x:c r="R642" s="236"/>
      <x:c r="S642" s="241"/>
      <x:c r="T642" s="242"/>
    </x:row>
    <x:row r="643">
      <x:c r="A643" s="235"/>
      <x:c r="B643" s="236"/>
      <x:c r="C643" s="237"/>
      <x:c r="D643" s="236"/>
      <x:c r="E643" s="236"/>
      <x:c r="F643" s="236"/>
      <x:c r="G643" s="233"/>
      <x:c r="H643" s="233"/>
      <x:c r="I643" s="236"/>
      <x:c r="J643" s="236"/>
      <x:c r="K643" s="236"/>
      <x:c r="L643" s="236"/>
      <x:c r="M643" s="233"/>
      <x:c r="N643" s="233"/>
      <x:c r="O643" s="237"/>
      <x:c r="P643" s="236"/>
      <x:c r="Q643" s="236"/>
      <x:c r="R643" s="236"/>
      <x:c r="S643" s="241"/>
      <x:c r="T643" s="242"/>
    </x:row>
    <x:row r="644">
      <x:c r="A644" s="235"/>
      <x:c r="B644" s="236"/>
      <x:c r="C644" s="237"/>
      <x:c r="D644" s="236"/>
      <x:c r="E644" s="236"/>
      <x:c r="F644" s="236"/>
      <x:c r="G644" s="233"/>
      <x:c r="H644" s="233"/>
      <x:c r="I644" s="236"/>
      <x:c r="J644" s="236"/>
      <x:c r="K644" s="236"/>
      <x:c r="L644" s="236"/>
      <x:c r="M644" s="233"/>
      <x:c r="N644" s="233"/>
      <x:c r="O644" s="237"/>
      <x:c r="P644" s="236"/>
      <x:c r="Q644" s="236"/>
      <x:c r="R644" s="236"/>
      <x:c r="S644" s="241"/>
      <x:c r="T644" s="242"/>
    </x:row>
    <x:row r="645">
      <x:c r="A645" s="235"/>
      <x:c r="B645" s="236"/>
      <x:c r="C645" s="237"/>
      <x:c r="D645" s="236"/>
      <x:c r="E645" s="236"/>
      <x:c r="F645" s="236"/>
      <x:c r="G645" s="233"/>
      <x:c r="H645" s="233"/>
      <x:c r="I645" s="236"/>
      <x:c r="J645" s="236"/>
      <x:c r="K645" s="236"/>
      <x:c r="L645" s="236"/>
      <x:c r="M645" s="233"/>
      <x:c r="N645" s="233"/>
      <x:c r="O645" s="237"/>
      <x:c r="P645" s="236"/>
      <x:c r="Q645" s="236"/>
      <x:c r="R645" s="236"/>
      <x:c r="S645" s="241"/>
      <x:c r="T645" s="242"/>
    </x:row>
    <x:row r="646">
      <x:c r="A646" s="235"/>
      <x:c r="B646" s="236"/>
      <x:c r="C646" s="237"/>
      <x:c r="D646" s="236"/>
      <x:c r="E646" s="236"/>
      <x:c r="F646" s="236"/>
      <x:c r="G646" s="233"/>
      <x:c r="H646" s="233"/>
      <x:c r="I646" s="236"/>
      <x:c r="J646" s="236"/>
      <x:c r="K646" s="236"/>
      <x:c r="L646" s="236"/>
      <x:c r="M646" s="233"/>
      <x:c r="N646" s="233"/>
      <x:c r="O646" s="237"/>
      <x:c r="P646" s="236"/>
      <x:c r="Q646" s="236"/>
      <x:c r="R646" s="236"/>
      <x:c r="S646" s="241"/>
      <x:c r="T646" s="242"/>
    </x:row>
    <x:row r="647">
      <x:c r="A647" s="235"/>
      <x:c r="B647" s="236"/>
      <x:c r="C647" s="237"/>
      <x:c r="D647" s="236"/>
      <x:c r="E647" s="236"/>
      <x:c r="F647" s="236"/>
      <x:c r="G647" s="233"/>
      <x:c r="H647" s="233"/>
      <x:c r="I647" s="236"/>
      <x:c r="J647" s="236"/>
      <x:c r="K647" s="236"/>
      <x:c r="L647" s="236"/>
      <x:c r="M647" s="233"/>
      <x:c r="N647" s="233"/>
      <x:c r="O647" s="237"/>
      <x:c r="P647" s="236"/>
      <x:c r="Q647" s="236"/>
      <x:c r="R647" s="236"/>
      <x:c r="S647" s="241"/>
      <x:c r="T647" s="242"/>
    </x:row>
    <x:row r="648">
      <x:c r="A648" s="235"/>
      <x:c r="B648" s="236"/>
      <x:c r="C648" s="237"/>
      <x:c r="D648" s="236"/>
      <x:c r="E648" s="236"/>
      <x:c r="F648" s="236"/>
      <x:c r="G648" s="233"/>
      <x:c r="H648" s="233"/>
      <x:c r="I648" s="236"/>
      <x:c r="J648" s="236"/>
      <x:c r="K648" s="236"/>
      <x:c r="L648" s="236"/>
      <x:c r="M648" s="233"/>
      <x:c r="N648" s="233"/>
      <x:c r="O648" s="237"/>
      <x:c r="P648" s="236"/>
      <x:c r="Q648" s="236"/>
      <x:c r="R648" s="236"/>
      <x:c r="S648" s="241"/>
      <x:c r="T648" s="242"/>
    </x:row>
    <x:row r="649">
      <x:c r="A649" s="235"/>
      <x:c r="B649" s="236"/>
      <x:c r="C649" s="237"/>
      <x:c r="D649" s="236"/>
      <x:c r="E649" s="236"/>
      <x:c r="F649" s="236"/>
      <x:c r="G649" s="233"/>
      <x:c r="H649" s="233"/>
      <x:c r="I649" s="236"/>
      <x:c r="J649" s="236"/>
      <x:c r="K649" s="236"/>
      <x:c r="L649" s="236"/>
      <x:c r="M649" s="233"/>
      <x:c r="N649" s="233"/>
      <x:c r="O649" s="237"/>
      <x:c r="P649" s="236"/>
      <x:c r="Q649" s="236"/>
      <x:c r="R649" s="236"/>
      <x:c r="S649" s="241"/>
      <x:c r="T649" s="242"/>
    </x:row>
    <x:row r="650">
      <x:c r="A650" s="235"/>
      <x:c r="B650" s="236"/>
      <x:c r="C650" s="237"/>
      <x:c r="D650" s="236"/>
      <x:c r="E650" s="236"/>
      <x:c r="F650" s="236"/>
      <x:c r="G650" s="233"/>
      <x:c r="H650" s="233"/>
      <x:c r="I650" s="236"/>
      <x:c r="J650" s="236"/>
      <x:c r="K650" s="236"/>
      <x:c r="L650" s="236"/>
      <x:c r="M650" s="233"/>
      <x:c r="N650" s="233"/>
      <x:c r="O650" s="237"/>
      <x:c r="P650" s="236"/>
      <x:c r="Q650" s="236"/>
      <x:c r="R650" s="236"/>
      <x:c r="S650" s="241"/>
      <x:c r="T650" s="242"/>
    </x:row>
    <x:row r="651">
      <x:c r="A651" s="235"/>
      <x:c r="B651" s="236"/>
      <x:c r="C651" s="237"/>
      <x:c r="D651" s="236"/>
      <x:c r="E651" s="236"/>
      <x:c r="F651" s="236"/>
      <x:c r="G651" s="233"/>
      <x:c r="H651" s="233"/>
      <x:c r="I651" s="236"/>
      <x:c r="J651" s="236"/>
      <x:c r="K651" s="236"/>
      <x:c r="L651" s="236"/>
      <x:c r="M651" s="233"/>
      <x:c r="N651" s="233"/>
      <x:c r="O651" s="237"/>
      <x:c r="P651" s="236"/>
      <x:c r="Q651" s="236"/>
      <x:c r="R651" s="236"/>
      <x:c r="S651" s="241"/>
      <x:c r="T651" s="242"/>
    </x:row>
    <x:row r="652">
      <x:c r="A652" s="235"/>
      <x:c r="B652" s="236"/>
      <x:c r="C652" s="237"/>
      <x:c r="D652" s="236"/>
      <x:c r="E652" s="236"/>
      <x:c r="F652" s="236"/>
      <x:c r="G652" s="233"/>
      <x:c r="H652" s="233"/>
      <x:c r="I652" s="236"/>
      <x:c r="J652" s="236"/>
      <x:c r="K652" s="236"/>
      <x:c r="L652" s="236"/>
      <x:c r="M652" s="233"/>
      <x:c r="N652" s="233"/>
      <x:c r="O652" s="237"/>
      <x:c r="P652" s="236"/>
      <x:c r="Q652" s="236"/>
      <x:c r="R652" s="236"/>
      <x:c r="S652" s="241"/>
      <x:c r="T652" s="242"/>
    </x:row>
    <x:row r="653">
      <x:c r="A653" s="235"/>
      <x:c r="B653" s="236"/>
      <x:c r="C653" s="237"/>
      <x:c r="D653" s="236"/>
      <x:c r="E653" s="236"/>
      <x:c r="F653" s="236"/>
      <x:c r="G653" s="233"/>
      <x:c r="H653" s="233"/>
      <x:c r="I653" s="236"/>
      <x:c r="J653" s="236"/>
      <x:c r="K653" s="236"/>
      <x:c r="L653" s="236"/>
      <x:c r="M653" s="233"/>
      <x:c r="N653" s="233"/>
      <x:c r="O653" s="237"/>
      <x:c r="P653" s="236"/>
      <x:c r="Q653" s="236"/>
      <x:c r="R653" s="236"/>
      <x:c r="S653" s="241"/>
      <x:c r="T653" s="242"/>
    </x:row>
    <x:row r="654">
      <x:c r="A654" s="235"/>
      <x:c r="B654" s="236"/>
      <x:c r="C654" s="237"/>
      <x:c r="D654" s="236"/>
      <x:c r="E654" s="236"/>
      <x:c r="F654" s="236"/>
      <x:c r="G654" s="233"/>
      <x:c r="H654" s="233"/>
      <x:c r="I654" s="236"/>
      <x:c r="J654" s="236"/>
      <x:c r="K654" s="236"/>
      <x:c r="L654" s="236"/>
      <x:c r="M654" s="233"/>
      <x:c r="N654" s="233"/>
      <x:c r="O654" s="237"/>
      <x:c r="P654" s="236"/>
      <x:c r="Q654" s="236"/>
      <x:c r="R654" s="236"/>
      <x:c r="S654" s="241"/>
      <x:c r="T654" s="242"/>
    </x:row>
    <x:row r="655">
      <x:c r="A655" s="235"/>
      <x:c r="B655" s="236"/>
      <x:c r="C655" s="237"/>
      <x:c r="D655" s="236"/>
      <x:c r="E655" s="236"/>
      <x:c r="F655" s="236"/>
      <x:c r="G655" s="233"/>
      <x:c r="H655" s="233"/>
      <x:c r="I655" s="236"/>
      <x:c r="J655" s="236"/>
      <x:c r="K655" s="236"/>
      <x:c r="L655" s="236"/>
      <x:c r="M655" s="233"/>
      <x:c r="N655" s="233"/>
      <x:c r="O655" s="237"/>
      <x:c r="P655" s="236"/>
      <x:c r="Q655" s="236"/>
      <x:c r="R655" s="236"/>
      <x:c r="S655" s="241"/>
      <x:c r="T655" s="242"/>
    </x:row>
    <x:row r="656">
      <x:c r="A656" s="235"/>
      <x:c r="B656" s="236"/>
      <x:c r="C656" s="237"/>
      <x:c r="D656" s="236"/>
      <x:c r="E656" s="236"/>
      <x:c r="F656" s="236"/>
      <x:c r="G656" s="233"/>
      <x:c r="H656" s="233"/>
      <x:c r="I656" s="236"/>
      <x:c r="J656" s="236"/>
      <x:c r="K656" s="236"/>
      <x:c r="L656" s="236"/>
      <x:c r="M656" s="233"/>
      <x:c r="N656" s="233"/>
      <x:c r="O656" s="237"/>
      <x:c r="P656" s="236"/>
      <x:c r="Q656" s="236"/>
      <x:c r="R656" s="236"/>
      <x:c r="S656" s="241"/>
      <x:c r="T656" s="242"/>
    </x:row>
    <x:row r="657">
      <x:c r="A657" s="235"/>
      <x:c r="B657" s="236"/>
      <x:c r="C657" s="237"/>
      <x:c r="D657" s="236"/>
      <x:c r="E657" s="236"/>
      <x:c r="F657" s="236"/>
      <x:c r="G657" s="233"/>
      <x:c r="H657" s="233"/>
      <x:c r="I657" s="236"/>
      <x:c r="J657" s="236"/>
      <x:c r="K657" s="236"/>
      <x:c r="L657" s="236"/>
      <x:c r="M657" s="233"/>
      <x:c r="N657" s="233"/>
      <x:c r="O657" s="237"/>
      <x:c r="P657" s="236"/>
      <x:c r="Q657" s="236"/>
      <x:c r="R657" s="236"/>
      <x:c r="S657" s="241"/>
      <x:c r="T657" s="242"/>
    </x:row>
    <x:row r="658">
      <x:c r="A658" s="235"/>
      <x:c r="B658" s="236"/>
      <x:c r="C658" s="237"/>
      <x:c r="D658" s="236"/>
      <x:c r="E658" s="236"/>
      <x:c r="F658" s="236"/>
      <x:c r="G658" s="233"/>
      <x:c r="H658" s="233"/>
      <x:c r="I658" s="236"/>
      <x:c r="J658" s="236"/>
      <x:c r="K658" s="236"/>
      <x:c r="L658" s="236"/>
      <x:c r="M658" s="233"/>
      <x:c r="N658" s="233"/>
      <x:c r="O658" s="237"/>
      <x:c r="P658" s="236"/>
      <x:c r="Q658" s="236"/>
      <x:c r="R658" s="236"/>
      <x:c r="S658" s="241"/>
      <x:c r="T658" s="242"/>
    </x:row>
    <x:row r="659">
      <x:c r="A659" s="235"/>
      <x:c r="B659" s="236"/>
      <x:c r="C659" s="237"/>
      <x:c r="D659" s="236"/>
      <x:c r="E659" s="236"/>
      <x:c r="F659" s="236"/>
      <x:c r="G659" s="233"/>
      <x:c r="H659" s="233"/>
      <x:c r="I659" s="236"/>
      <x:c r="J659" s="236"/>
      <x:c r="K659" s="236"/>
      <x:c r="L659" s="236"/>
      <x:c r="M659" s="233"/>
      <x:c r="N659" s="233"/>
      <x:c r="O659" s="237"/>
      <x:c r="P659" s="236"/>
      <x:c r="Q659" s="236"/>
      <x:c r="R659" s="236"/>
      <x:c r="S659" s="241"/>
      <x:c r="T659" s="242"/>
    </x:row>
    <x:row r="660">
      <x:c r="A660" s="235"/>
      <x:c r="B660" s="236"/>
      <x:c r="C660" s="237"/>
      <x:c r="D660" s="236"/>
      <x:c r="E660" s="236"/>
      <x:c r="F660" s="236"/>
      <x:c r="G660" s="233"/>
      <x:c r="H660" s="233"/>
      <x:c r="I660" s="236"/>
      <x:c r="J660" s="236"/>
      <x:c r="K660" s="236"/>
      <x:c r="L660" s="236"/>
      <x:c r="M660" s="233"/>
      <x:c r="N660" s="233"/>
      <x:c r="O660" s="237"/>
      <x:c r="P660" s="236"/>
      <x:c r="Q660" s="236"/>
      <x:c r="R660" s="236"/>
      <x:c r="S660" s="241"/>
      <x:c r="T660" s="242"/>
    </x:row>
    <x:row r="661">
      <x:c r="A661" s="235"/>
      <x:c r="B661" s="236"/>
      <x:c r="C661" s="237"/>
      <x:c r="D661" s="236"/>
      <x:c r="E661" s="236"/>
      <x:c r="F661" s="236"/>
      <x:c r="G661" s="233"/>
      <x:c r="H661" s="233"/>
      <x:c r="I661" s="236"/>
      <x:c r="J661" s="236"/>
      <x:c r="K661" s="236"/>
      <x:c r="L661" s="236"/>
      <x:c r="M661" s="233"/>
      <x:c r="N661" s="233"/>
      <x:c r="O661" s="237"/>
      <x:c r="P661" s="236"/>
      <x:c r="Q661" s="236"/>
      <x:c r="R661" s="236"/>
      <x:c r="S661" s="241"/>
      <x:c r="T661" s="242"/>
    </x:row>
    <x:row r="662">
      <x:c r="A662" s="235"/>
      <x:c r="B662" s="236"/>
      <x:c r="C662" s="237"/>
      <x:c r="D662" s="236"/>
      <x:c r="E662" s="236"/>
      <x:c r="F662" s="236"/>
      <x:c r="G662" s="233"/>
      <x:c r="H662" s="233"/>
      <x:c r="I662" s="236"/>
      <x:c r="J662" s="236"/>
      <x:c r="K662" s="236"/>
      <x:c r="L662" s="236"/>
      <x:c r="M662" s="233"/>
      <x:c r="N662" s="233"/>
      <x:c r="O662" s="237"/>
      <x:c r="P662" s="236"/>
      <x:c r="Q662" s="236"/>
      <x:c r="R662" s="236"/>
      <x:c r="S662" s="241"/>
      <x:c r="T662" s="242"/>
    </x:row>
    <x:row r="663">
      <x:c r="A663" s="235"/>
      <x:c r="B663" s="236"/>
      <x:c r="C663" s="237"/>
      <x:c r="D663" s="236"/>
      <x:c r="E663" s="236"/>
      <x:c r="F663" s="236"/>
      <x:c r="G663" s="233"/>
      <x:c r="H663" s="233"/>
      <x:c r="I663" s="236"/>
      <x:c r="J663" s="236"/>
      <x:c r="K663" s="236"/>
      <x:c r="L663" s="236"/>
      <x:c r="M663" s="233"/>
      <x:c r="N663" s="233"/>
      <x:c r="O663" s="237"/>
      <x:c r="P663" s="236"/>
      <x:c r="Q663" s="236"/>
      <x:c r="R663" s="236"/>
      <x:c r="S663" s="241"/>
      <x:c r="T663" s="242"/>
    </x:row>
    <x:row r="664">
      <x:c r="A664" s="235"/>
      <x:c r="B664" s="236"/>
      <x:c r="C664" s="237"/>
      <x:c r="D664" s="236"/>
      <x:c r="E664" s="236"/>
      <x:c r="F664" s="236"/>
      <x:c r="G664" s="233"/>
      <x:c r="H664" s="233"/>
      <x:c r="I664" s="236"/>
      <x:c r="J664" s="236"/>
      <x:c r="K664" s="236"/>
      <x:c r="L664" s="236"/>
      <x:c r="M664" s="233"/>
      <x:c r="N664" s="233"/>
      <x:c r="O664" s="237"/>
      <x:c r="P664" s="236"/>
      <x:c r="Q664" s="236"/>
      <x:c r="R664" s="236"/>
      <x:c r="S664" s="241"/>
      <x:c r="T664" s="242"/>
    </x:row>
    <x:row r="665">
      <x:c r="A665" s="235"/>
      <x:c r="B665" s="236"/>
      <x:c r="C665" s="237"/>
      <x:c r="D665" s="236"/>
      <x:c r="E665" s="236"/>
      <x:c r="F665" s="236"/>
      <x:c r="G665" s="233"/>
      <x:c r="H665" s="233"/>
      <x:c r="I665" s="236"/>
      <x:c r="J665" s="236"/>
      <x:c r="K665" s="236"/>
      <x:c r="L665" s="236"/>
      <x:c r="M665" s="233"/>
      <x:c r="N665" s="233"/>
      <x:c r="O665" s="237"/>
      <x:c r="P665" s="236"/>
      <x:c r="Q665" s="236"/>
      <x:c r="R665" s="236"/>
      <x:c r="S665" s="241"/>
      <x:c r="T665" s="242"/>
    </x:row>
    <x:row r="666">
      <x:c r="A666" s="235"/>
      <x:c r="B666" s="236"/>
      <x:c r="C666" s="237"/>
      <x:c r="D666" s="236"/>
      <x:c r="E666" s="236"/>
      <x:c r="F666" s="236"/>
      <x:c r="G666" s="233"/>
      <x:c r="H666" s="233"/>
      <x:c r="I666" s="236"/>
      <x:c r="J666" s="236"/>
      <x:c r="K666" s="236"/>
      <x:c r="L666" s="236"/>
      <x:c r="M666" s="233"/>
      <x:c r="N666" s="233"/>
      <x:c r="O666" s="237"/>
      <x:c r="P666" s="236"/>
      <x:c r="Q666" s="236"/>
      <x:c r="R666" s="236"/>
      <x:c r="S666" s="241"/>
      <x:c r="T666" s="242"/>
    </x:row>
    <x:row r="667">
      <x:c r="A667" s="235"/>
      <x:c r="B667" s="236"/>
      <x:c r="C667" s="237"/>
      <x:c r="D667" s="236"/>
      <x:c r="E667" s="236"/>
      <x:c r="F667" s="236"/>
      <x:c r="G667" s="233"/>
      <x:c r="H667" s="233"/>
      <x:c r="I667" s="236"/>
      <x:c r="J667" s="236"/>
      <x:c r="K667" s="236"/>
      <x:c r="L667" s="236"/>
      <x:c r="M667" s="233"/>
      <x:c r="N667" s="233"/>
      <x:c r="O667" s="237"/>
      <x:c r="P667" s="236"/>
      <x:c r="Q667" s="236"/>
      <x:c r="R667" s="236"/>
      <x:c r="S667" s="241"/>
      <x:c r="T667" s="242"/>
    </x:row>
    <x:row r="668">
      <x:c r="A668" s="235"/>
      <x:c r="B668" s="236"/>
      <x:c r="C668" s="237"/>
      <x:c r="D668" s="236"/>
      <x:c r="E668" s="236"/>
      <x:c r="F668" s="236"/>
      <x:c r="G668" s="233"/>
      <x:c r="H668" s="233"/>
      <x:c r="I668" s="236"/>
      <x:c r="J668" s="236"/>
      <x:c r="K668" s="236"/>
      <x:c r="L668" s="236"/>
      <x:c r="M668" s="233"/>
      <x:c r="N668" s="233"/>
      <x:c r="O668" s="237"/>
      <x:c r="P668" s="236"/>
      <x:c r="Q668" s="236"/>
      <x:c r="R668" s="236"/>
      <x:c r="S668" s="241"/>
      <x:c r="T668" s="242"/>
    </x:row>
    <x:row r="669">
      <x:c r="A669" s="235"/>
      <x:c r="B669" s="236"/>
      <x:c r="C669" s="237"/>
      <x:c r="D669" s="236"/>
      <x:c r="E669" s="236"/>
      <x:c r="F669" s="236"/>
      <x:c r="G669" s="233"/>
      <x:c r="H669" s="233"/>
      <x:c r="I669" s="236"/>
      <x:c r="J669" s="236"/>
      <x:c r="K669" s="236"/>
      <x:c r="L669" s="236"/>
      <x:c r="M669" s="233"/>
      <x:c r="N669" s="233"/>
      <x:c r="O669" s="237"/>
      <x:c r="P669" s="236"/>
      <x:c r="Q669" s="236"/>
      <x:c r="R669" s="236"/>
      <x:c r="S669" s="241"/>
      <x:c r="T669" s="242"/>
    </x:row>
    <x:row r="670">
      <x:c r="A670" s="235"/>
      <x:c r="B670" s="236"/>
      <x:c r="C670" s="237"/>
      <x:c r="D670" s="236"/>
      <x:c r="E670" s="236"/>
      <x:c r="F670" s="236"/>
      <x:c r="G670" s="233"/>
      <x:c r="H670" s="233"/>
      <x:c r="I670" s="236"/>
      <x:c r="J670" s="236"/>
      <x:c r="K670" s="236"/>
      <x:c r="L670" s="236"/>
      <x:c r="M670" s="233"/>
      <x:c r="N670" s="233"/>
      <x:c r="O670" s="237"/>
      <x:c r="P670" s="236"/>
      <x:c r="Q670" s="236"/>
      <x:c r="R670" s="236"/>
      <x:c r="S670" s="241"/>
      <x:c r="T670" s="242"/>
    </x:row>
    <x:row r="671">
      <x:c r="A671" s="235"/>
      <x:c r="B671" s="236"/>
      <x:c r="C671" s="237"/>
      <x:c r="D671" s="236"/>
      <x:c r="E671" s="236"/>
      <x:c r="F671" s="236"/>
      <x:c r="G671" s="233"/>
      <x:c r="H671" s="233"/>
      <x:c r="I671" s="236"/>
      <x:c r="J671" s="236"/>
      <x:c r="K671" s="236"/>
      <x:c r="L671" s="236"/>
      <x:c r="M671" s="233"/>
      <x:c r="N671" s="233"/>
      <x:c r="O671" s="237"/>
      <x:c r="P671" s="236"/>
      <x:c r="Q671" s="236"/>
      <x:c r="R671" s="236"/>
      <x:c r="S671" s="241"/>
      <x:c r="T671" s="242"/>
    </x:row>
    <x:row r="672">
      <x:c r="A672" s="235"/>
      <x:c r="B672" s="236"/>
      <x:c r="C672" s="237"/>
      <x:c r="D672" s="236"/>
      <x:c r="E672" s="236"/>
      <x:c r="F672" s="236"/>
      <x:c r="G672" s="233"/>
      <x:c r="H672" s="233"/>
      <x:c r="I672" s="236"/>
      <x:c r="J672" s="236"/>
      <x:c r="K672" s="236"/>
      <x:c r="L672" s="236"/>
      <x:c r="M672" s="233"/>
      <x:c r="N672" s="233"/>
      <x:c r="O672" s="237"/>
      <x:c r="P672" s="236"/>
      <x:c r="Q672" s="236"/>
      <x:c r="R672" s="236"/>
      <x:c r="S672" s="241"/>
      <x:c r="T672" s="242"/>
    </x:row>
    <x:row r="673">
      <x:c r="A673" s="235"/>
      <x:c r="B673" s="236"/>
      <x:c r="C673" s="237"/>
      <x:c r="D673" s="236"/>
      <x:c r="E673" s="236"/>
      <x:c r="F673" s="236"/>
      <x:c r="G673" s="233"/>
      <x:c r="H673" s="233"/>
      <x:c r="I673" s="236"/>
      <x:c r="J673" s="236"/>
      <x:c r="K673" s="236"/>
      <x:c r="L673" s="236"/>
      <x:c r="M673" s="233"/>
      <x:c r="N673" s="233"/>
      <x:c r="O673" s="237"/>
      <x:c r="P673" s="236"/>
      <x:c r="Q673" s="236"/>
      <x:c r="R673" s="236"/>
      <x:c r="S673" s="241"/>
      <x:c r="T673" s="242"/>
    </x:row>
    <x:row r="674">
      <x:c r="A674" s="235"/>
      <x:c r="B674" s="236"/>
      <x:c r="C674" s="237"/>
      <x:c r="D674" s="236"/>
      <x:c r="E674" s="236"/>
      <x:c r="F674" s="236"/>
      <x:c r="G674" s="233"/>
      <x:c r="H674" s="233"/>
      <x:c r="I674" s="236"/>
      <x:c r="J674" s="236"/>
      <x:c r="K674" s="236"/>
      <x:c r="L674" s="236"/>
      <x:c r="M674" s="233"/>
      <x:c r="N674" s="233"/>
      <x:c r="O674" s="237"/>
      <x:c r="P674" s="236"/>
      <x:c r="Q674" s="236"/>
      <x:c r="R674" s="236"/>
      <x:c r="S674" s="241"/>
      <x:c r="T674" s="242"/>
    </x:row>
    <x:row r="675">
      <x:c r="A675" s="235"/>
      <x:c r="B675" s="236"/>
      <x:c r="C675" s="237"/>
      <x:c r="D675" s="236"/>
      <x:c r="E675" s="236"/>
      <x:c r="F675" s="236"/>
      <x:c r="G675" s="233"/>
      <x:c r="H675" s="233"/>
      <x:c r="I675" s="236"/>
      <x:c r="J675" s="236"/>
      <x:c r="K675" s="236"/>
      <x:c r="L675" s="236"/>
      <x:c r="M675" s="233"/>
      <x:c r="N675" s="233"/>
      <x:c r="O675" s="237"/>
      <x:c r="P675" s="236"/>
      <x:c r="Q675" s="236"/>
      <x:c r="R675" s="236"/>
      <x:c r="S675" s="241"/>
      <x:c r="T675" s="242"/>
    </x:row>
    <x:row r="676">
      <x:c r="A676" s="235"/>
      <x:c r="B676" s="236"/>
      <x:c r="C676" s="237"/>
      <x:c r="D676" s="236"/>
      <x:c r="E676" s="236"/>
      <x:c r="F676" s="236"/>
      <x:c r="G676" s="233"/>
      <x:c r="H676" s="233"/>
      <x:c r="I676" s="236"/>
      <x:c r="J676" s="236"/>
      <x:c r="K676" s="236"/>
      <x:c r="L676" s="236"/>
      <x:c r="M676" s="233"/>
      <x:c r="N676" s="233"/>
      <x:c r="O676" s="237"/>
      <x:c r="P676" s="236"/>
      <x:c r="Q676" s="236"/>
      <x:c r="R676" s="236"/>
      <x:c r="S676" s="241"/>
      <x:c r="T676" s="242"/>
    </x:row>
    <x:row r="677">
      <x:c r="A677" s="235"/>
      <x:c r="B677" s="236"/>
      <x:c r="C677" s="237"/>
      <x:c r="D677" s="236"/>
      <x:c r="E677" s="236"/>
      <x:c r="F677" s="236"/>
      <x:c r="G677" s="233"/>
      <x:c r="H677" s="233"/>
      <x:c r="I677" s="236"/>
      <x:c r="J677" s="236"/>
      <x:c r="K677" s="236"/>
      <x:c r="L677" s="236"/>
      <x:c r="M677" s="233"/>
      <x:c r="N677" s="233"/>
      <x:c r="O677" s="237"/>
      <x:c r="P677" s="236"/>
      <x:c r="Q677" s="236"/>
      <x:c r="R677" s="236"/>
      <x:c r="S677" s="241"/>
      <x:c r="T677" s="242"/>
    </x:row>
    <x:row r="678">
      <x:c r="A678" s="235"/>
      <x:c r="B678" s="236"/>
      <x:c r="C678" s="237"/>
      <x:c r="D678" s="236"/>
      <x:c r="E678" s="236"/>
      <x:c r="F678" s="236"/>
      <x:c r="G678" s="233"/>
      <x:c r="H678" s="233"/>
      <x:c r="I678" s="236"/>
      <x:c r="J678" s="236"/>
      <x:c r="K678" s="236"/>
      <x:c r="L678" s="236"/>
      <x:c r="M678" s="233"/>
      <x:c r="N678" s="233"/>
      <x:c r="O678" s="237"/>
      <x:c r="P678" s="236"/>
      <x:c r="Q678" s="236"/>
      <x:c r="R678" s="236"/>
      <x:c r="S678" s="241"/>
      <x:c r="T678" s="242"/>
    </x:row>
    <x:row r="679">
      <x:c r="A679" s="235"/>
      <x:c r="B679" s="236"/>
      <x:c r="C679" s="237"/>
      <x:c r="D679" s="236"/>
      <x:c r="E679" s="236"/>
      <x:c r="F679" s="236"/>
      <x:c r="G679" s="233"/>
      <x:c r="H679" s="233"/>
      <x:c r="I679" s="236"/>
      <x:c r="J679" s="236"/>
      <x:c r="K679" s="236"/>
      <x:c r="L679" s="236"/>
      <x:c r="M679" s="233"/>
      <x:c r="N679" s="233"/>
      <x:c r="O679" s="237"/>
      <x:c r="P679" s="236"/>
      <x:c r="Q679" s="236"/>
      <x:c r="R679" s="236"/>
      <x:c r="S679" s="241"/>
      <x:c r="T679" s="242"/>
    </x:row>
    <x:row r="680">
      <x:c r="A680" s="235"/>
      <x:c r="B680" s="236"/>
      <x:c r="C680" s="237"/>
      <x:c r="D680" s="236"/>
      <x:c r="E680" s="236"/>
      <x:c r="F680" s="236"/>
      <x:c r="G680" s="233"/>
      <x:c r="H680" s="233"/>
      <x:c r="I680" s="236"/>
      <x:c r="J680" s="236"/>
      <x:c r="K680" s="236"/>
      <x:c r="L680" s="236"/>
      <x:c r="M680" s="233"/>
      <x:c r="N680" s="233"/>
      <x:c r="O680" s="237"/>
      <x:c r="P680" s="236"/>
      <x:c r="Q680" s="236"/>
      <x:c r="R680" s="236"/>
      <x:c r="S680" s="241"/>
      <x:c r="T680" s="242"/>
    </x:row>
    <x:row r="681">
      <x:c r="A681" s="235"/>
      <x:c r="B681" s="236"/>
      <x:c r="C681" s="237"/>
      <x:c r="D681" s="236"/>
      <x:c r="E681" s="236"/>
      <x:c r="F681" s="236"/>
      <x:c r="G681" s="233"/>
      <x:c r="H681" s="233"/>
      <x:c r="I681" s="236"/>
      <x:c r="J681" s="236"/>
      <x:c r="K681" s="236"/>
      <x:c r="L681" s="236"/>
      <x:c r="M681" s="233"/>
      <x:c r="N681" s="233"/>
      <x:c r="O681" s="237"/>
      <x:c r="P681" s="236"/>
      <x:c r="Q681" s="236"/>
      <x:c r="R681" s="236"/>
      <x:c r="S681" s="241"/>
      <x:c r="T681" s="242"/>
    </x:row>
    <x:row r="682">
      <x:c r="A682" s="235"/>
      <x:c r="B682" s="236"/>
      <x:c r="C682" s="237"/>
      <x:c r="D682" s="236"/>
      <x:c r="E682" s="236"/>
      <x:c r="F682" s="236"/>
      <x:c r="G682" s="233"/>
      <x:c r="H682" s="233"/>
      <x:c r="I682" s="236"/>
      <x:c r="J682" s="236"/>
      <x:c r="K682" s="236"/>
      <x:c r="L682" s="236"/>
      <x:c r="M682" s="233"/>
      <x:c r="N682" s="233"/>
      <x:c r="O682" s="237"/>
      <x:c r="P682" s="236"/>
      <x:c r="Q682" s="236"/>
      <x:c r="R682" s="236"/>
      <x:c r="S682" s="241"/>
      <x:c r="T682" s="242"/>
    </x:row>
    <x:row r="683">
      <x:c r="A683" s="235"/>
      <x:c r="B683" s="236"/>
      <x:c r="C683" s="237"/>
      <x:c r="D683" s="236"/>
      <x:c r="E683" s="236"/>
      <x:c r="F683" s="236"/>
      <x:c r="G683" s="233"/>
      <x:c r="H683" s="233"/>
      <x:c r="I683" s="236"/>
      <x:c r="J683" s="236"/>
      <x:c r="K683" s="236"/>
      <x:c r="L683" s="236"/>
      <x:c r="M683" s="233"/>
      <x:c r="N683" s="233"/>
      <x:c r="O683" s="237"/>
      <x:c r="P683" s="236"/>
      <x:c r="Q683" s="236"/>
      <x:c r="R683" s="236"/>
      <x:c r="S683" s="241"/>
      <x:c r="T683" s="242"/>
    </x:row>
    <x:row r="684">
      <x:c r="A684" s="235"/>
      <x:c r="B684" s="236"/>
      <x:c r="C684" s="237"/>
      <x:c r="D684" s="236"/>
      <x:c r="E684" s="236"/>
      <x:c r="F684" s="236"/>
      <x:c r="G684" s="233"/>
      <x:c r="H684" s="233"/>
      <x:c r="I684" s="236"/>
      <x:c r="J684" s="236"/>
      <x:c r="K684" s="236"/>
      <x:c r="L684" s="236"/>
      <x:c r="M684" s="233"/>
      <x:c r="N684" s="233"/>
      <x:c r="O684" s="237"/>
      <x:c r="P684" s="236"/>
      <x:c r="Q684" s="236"/>
      <x:c r="R684" s="236"/>
      <x:c r="S684" s="241"/>
      <x:c r="T684" s="242"/>
    </x:row>
    <x:row r="685">
      <x:c r="A685" s="235"/>
      <x:c r="B685" s="236"/>
      <x:c r="C685" s="237"/>
      <x:c r="D685" s="236"/>
      <x:c r="E685" s="236"/>
      <x:c r="F685" s="236"/>
      <x:c r="G685" s="233"/>
      <x:c r="H685" s="233"/>
      <x:c r="I685" s="236"/>
      <x:c r="J685" s="236"/>
      <x:c r="K685" s="236"/>
      <x:c r="L685" s="236"/>
      <x:c r="M685" s="233"/>
      <x:c r="N685" s="233"/>
      <x:c r="O685" s="237"/>
      <x:c r="P685" s="236"/>
      <x:c r="Q685" s="236"/>
      <x:c r="R685" s="236"/>
      <x:c r="S685" s="241"/>
      <x:c r="T685" s="242"/>
    </x:row>
    <x:row r="686">
      <x:c r="A686" s="235"/>
      <x:c r="B686" s="236"/>
      <x:c r="C686" s="237"/>
      <x:c r="D686" s="236"/>
      <x:c r="E686" s="236"/>
      <x:c r="F686" s="236"/>
      <x:c r="G686" s="233"/>
      <x:c r="H686" s="233"/>
      <x:c r="I686" s="236"/>
      <x:c r="J686" s="236"/>
      <x:c r="K686" s="236"/>
      <x:c r="L686" s="236"/>
      <x:c r="M686" s="233"/>
      <x:c r="N686" s="233"/>
      <x:c r="O686" s="237"/>
      <x:c r="P686" s="236"/>
      <x:c r="Q686" s="236"/>
      <x:c r="R686" s="236"/>
      <x:c r="S686" s="241"/>
      <x:c r="T686" s="242"/>
    </x:row>
    <x:row r="687">
      <x:c r="A687" s="235"/>
      <x:c r="B687" s="236"/>
      <x:c r="C687" s="237"/>
      <x:c r="D687" s="236"/>
      <x:c r="E687" s="236"/>
      <x:c r="F687" s="236"/>
      <x:c r="G687" s="233"/>
      <x:c r="H687" s="233"/>
      <x:c r="I687" s="236"/>
      <x:c r="J687" s="236"/>
      <x:c r="K687" s="236"/>
      <x:c r="L687" s="236"/>
      <x:c r="M687" s="233"/>
      <x:c r="N687" s="233"/>
      <x:c r="O687" s="237"/>
      <x:c r="P687" s="236"/>
      <x:c r="Q687" s="236"/>
      <x:c r="R687" s="236"/>
      <x:c r="S687" s="241"/>
      <x:c r="T687" s="242"/>
    </x:row>
    <x:row r="688">
      <x:c r="A688" s="235"/>
      <x:c r="B688" s="236"/>
      <x:c r="C688" s="237"/>
      <x:c r="D688" s="236"/>
      <x:c r="E688" s="236"/>
      <x:c r="F688" s="236"/>
      <x:c r="G688" s="233"/>
      <x:c r="H688" s="233"/>
      <x:c r="I688" s="236"/>
      <x:c r="J688" s="236"/>
      <x:c r="K688" s="236"/>
      <x:c r="L688" s="236"/>
      <x:c r="M688" s="233"/>
      <x:c r="N688" s="233"/>
      <x:c r="O688" s="237"/>
      <x:c r="P688" s="236"/>
      <x:c r="Q688" s="236"/>
      <x:c r="R688" s="236"/>
      <x:c r="S688" s="241"/>
      <x:c r="T688" s="242"/>
    </x:row>
    <x:row r="689">
      <x:c r="A689" s="235"/>
      <x:c r="B689" s="236"/>
      <x:c r="C689" s="237"/>
      <x:c r="D689" s="236"/>
      <x:c r="E689" s="236"/>
      <x:c r="F689" s="236"/>
      <x:c r="G689" s="233"/>
      <x:c r="H689" s="233"/>
      <x:c r="I689" s="236"/>
      <x:c r="J689" s="236"/>
      <x:c r="K689" s="236"/>
      <x:c r="L689" s="236"/>
      <x:c r="M689" s="233"/>
      <x:c r="N689" s="233"/>
      <x:c r="O689" s="237"/>
      <x:c r="P689" s="236"/>
      <x:c r="Q689" s="236"/>
      <x:c r="R689" s="236"/>
      <x:c r="S689" s="241"/>
      <x:c r="T689" s="242"/>
    </x:row>
    <x:row r="690">
      <x:c r="A690" s="235"/>
      <x:c r="B690" s="236"/>
      <x:c r="C690" s="237"/>
      <x:c r="D690" s="236"/>
      <x:c r="E690" s="236"/>
      <x:c r="F690" s="236"/>
      <x:c r="G690" s="233"/>
      <x:c r="H690" s="233"/>
      <x:c r="I690" s="236"/>
      <x:c r="J690" s="236"/>
      <x:c r="K690" s="236"/>
      <x:c r="L690" s="236"/>
      <x:c r="M690" s="233"/>
      <x:c r="N690" s="233"/>
      <x:c r="O690" s="237"/>
      <x:c r="P690" s="236"/>
      <x:c r="Q690" s="236"/>
      <x:c r="R690" s="236"/>
      <x:c r="S690" s="241"/>
      <x:c r="T690" s="242"/>
    </x:row>
    <x:row r="691">
      <x:c r="A691" s="235"/>
      <x:c r="B691" s="236"/>
      <x:c r="C691" s="237"/>
      <x:c r="D691" s="236"/>
      <x:c r="E691" s="236"/>
      <x:c r="F691" s="236"/>
      <x:c r="G691" s="233"/>
      <x:c r="H691" s="233"/>
      <x:c r="I691" s="236"/>
      <x:c r="J691" s="236"/>
      <x:c r="K691" s="236"/>
      <x:c r="L691" s="236"/>
      <x:c r="M691" s="233"/>
      <x:c r="N691" s="233"/>
      <x:c r="O691" s="237"/>
      <x:c r="P691" s="236"/>
      <x:c r="Q691" s="236"/>
      <x:c r="R691" s="236"/>
      <x:c r="S691" s="241"/>
      <x:c r="T691" s="242"/>
    </x:row>
    <x:row r="692">
      <x:c r="A692" s="235"/>
      <x:c r="B692" s="236"/>
      <x:c r="C692" s="237"/>
      <x:c r="D692" s="236"/>
      <x:c r="E692" s="236"/>
      <x:c r="F692" s="236"/>
      <x:c r="G692" s="233"/>
      <x:c r="H692" s="233"/>
      <x:c r="I692" s="236"/>
      <x:c r="J692" s="236"/>
      <x:c r="K692" s="236"/>
      <x:c r="L692" s="236"/>
      <x:c r="M692" s="233"/>
      <x:c r="N692" s="233"/>
      <x:c r="O692" s="237"/>
      <x:c r="P692" s="236"/>
      <x:c r="Q692" s="236"/>
      <x:c r="R692" s="236"/>
      <x:c r="S692" s="241"/>
      <x:c r="T692" s="242"/>
    </x:row>
    <x:row r="693">
      <x:c r="A693" s="235"/>
      <x:c r="B693" s="236"/>
      <x:c r="C693" s="237"/>
      <x:c r="D693" s="236"/>
      <x:c r="E693" s="236"/>
      <x:c r="F693" s="236"/>
      <x:c r="G693" s="233"/>
      <x:c r="H693" s="233"/>
      <x:c r="I693" s="236"/>
      <x:c r="J693" s="236"/>
      <x:c r="K693" s="236"/>
      <x:c r="L693" s="236"/>
      <x:c r="M693" s="233"/>
      <x:c r="N693" s="233"/>
      <x:c r="O693" s="237"/>
      <x:c r="P693" s="236"/>
      <x:c r="Q693" s="236"/>
      <x:c r="R693" s="236"/>
      <x:c r="S693" s="241"/>
      <x:c r="T693" s="242"/>
    </x:row>
    <x:row r="694">
      <x:c r="A694" s="235"/>
      <x:c r="B694" s="236"/>
      <x:c r="C694" s="237"/>
      <x:c r="D694" s="236"/>
      <x:c r="E694" s="236"/>
      <x:c r="F694" s="236"/>
      <x:c r="G694" s="233"/>
      <x:c r="H694" s="233"/>
      <x:c r="I694" s="236"/>
      <x:c r="J694" s="236"/>
      <x:c r="K694" s="236"/>
      <x:c r="L694" s="236"/>
      <x:c r="M694" s="233"/>
      <x:c r="N694" s="233"/>
      <x:c r="O694" s="237"/>
      <x:c r="P694" s="236"/>
      <x:c r="Q694" s="236"/>
      <x:c r="R694" s="236"/>
      <x:c r="S694" s="241"/>
      <x:c r="T694" s="242"/>
    </x:row>
    <x:row r="695">
      <x:c r="A695" s="235"/>
      <x:c r="B695" s="236"/>
      <x:c r="C695" s="237"/>
      <x:c r="D695" s="236"/>
      <x:c r="E695" s="236"/>
      <x:c r="F695" s="236"/>
      <x:c r="G695" s="233"/>
      <x:c r="H695" s="233"/>
      <x:c r="I695" s="236"/>
      <x:c r="J695" s="236"/>
      <x:c r="K695" s="236"/>
      <x:c r="L695" s="236"/>
      <x:c r="M695" s="233"/>
      <x:c r="N695" s="233"/>
      <x:c r="O695" s="237"/>
      <x:c r="P695" s="236"/>
      <x:c r="Q695" s="236"/>
      <x:c r="R695" s="236"/>
      <x:c r="S695" s="241"/>
      <x:c r="T695" s="242"/>
    </x:row>
    <x:row r="696">
      <x:c r="A696" s="235"/>
      <x:c r="B696" s="236"/>
      <x:c r="C696" s="237"/>
      <x:c r="D696" s="236"/>
      <x:c r="E696" s="236"/>
      <x:c r="F696" s="236"/>
      <x:c r="G696" s="233"/>
      <x:c r="H696" s="233"/>
      <x:c r="I696" s="236"/>
      <x:c r="J696" s="236"/>
      <x:c r="K696" s="236"/>
      <x:c r="L696" s="236"/>
      <x:c r="M696" s="233"/>
      <x:c r="N696" s="233"/>
      <x:c r="O696" s="237"/>
      <x:c r="P696" s="236"/>
      <x:c r="Q696" s="236"/>
      <x:c r="R696" s="236"/>
      <x:c r="S696" s="241"/>
      <x:c r="T696" s="242"/>
    </x:row>
    <x:row r="697">
      <x:c r="A697" s="235"/>
      <x:c r="B697" s="236"/>
      <x:c r="C697" s="237"/>
      <x:c r="D697" s="236"/>
      <x:c r="E697" s="236"/>
      <x:c r="F697" s="236"/>
      <x:c r="G697" s="233"/>
      <x:c r="H697" s="233"/>
      <x:c r="I697" s="236"/>
      <x:c r="J697" s="236"/>
      <x:c r="K697" s="236"/>
      <x:c r="L697" s="236"/>
      <x:c r="M697" s="233"/>
      <x:c r="N697" s="233"/>
      <x:c r="O697" s="237"/>
      <x:c r="P697" s="236"/>
      <x:c r="Q697" s="236"/>
      <x:c r="R697" s="236"/>
      <x:c r="S697" s="241"/>
      <x:c r="T697" s="242"/>
    </x:row>
    <x:row r="698">
      <x:c r="A698" s="235"/>
      <x:c r="B698" s="236"/>
      <x:c r="C698" s="237"/>
      <x:c r="D698" s="236"/>
      <x:c r="E698" s="236"/>
      <x:c r="F698" s="236"/>
      <x:c r="G698" s="233"/>
      <x:c r="H698" s="233"/>
      <x:c r="I698" s="236"/>
      <x:c r="J698" s="236"/>
      <x:c r="K698" s="236"/>
      <x:c r="L698" s="236"/>
      <x:c r="M698" s="233"/>
      <x:c r="N698" s="233"/>
      <x:c r="O698" s="237"/>
      <x:c r="P698" s="236"/>
      <x:c r="Q698" s="236"/>
      <x:c r="R698" s="236"/>
      <x:c r="S698" s="241"/>
      <x:c r="T698" s="242"/>
    </x:row>
    <x:row r="699">
      <x:c r="A699" s="235"/>
      <x:c r="B699" s="236"/>
      <x:c r="C699" s="237"/>
      <x:c r="D699" s="236"/>
      <x:c r="E699" s="236"/>
      <x:c r="F699" s="236"/>
      <x:c r="G699" s="233"/>
      <x:c r="H699" s="233"/>
      <x:c r="I699" s="236"/>
      <x:c r="J699" s="236"/>
      <x:c r="K699" s="236"/>
      <x:c r="L699" s="236"/>
      <x:c r="M699" s="233"/>
      <x:c r="N699" s="233"/>
      <x:c r="O699" s="237"/>
      <x:c r="P699" s="236"/>
      <x:c r="Q699" s="236"/>
      <x:c r="R699" s="236"/>
      <x:c r="S699" s="241"/>
      <x:c r="T699" s="242"/>
    </x:row>
    <x:row r="700">
      <x:c r="A700" s="235"/>
      <x:c r="B700" s="236"/>
      <x:c r="C700" s="237"/>
      <x:c r="D700" s="236"/>
      <x:c r="E700" s="236"/>
      <x:c r="F700" s="236"/>
      <x:c r="G700" s="233"/>
      <x:c r="H700" s="233"/>
      <x:c r="I700" s="236"/>
      <x:c r="J700" s="236"/>
      <x:c r="K700" s="236"/>
      <x:c r="L700" s="236"/>
      <x:c r="M700" s="233"/>
      <x:c r="N700" s="233"/>
      <x:c r="O700" s="237"/>
      <x:c r="P700" s="236"/>
      <x:c r="Q700" s="236"/>
      <x:c r="R700" s="236"/>
      <x:c r="S700" s="241"/>
      <x:c r="T700" s="242"/>
    </x:row>
    <x:row r="701">
      <x:c r="A701" s="235"/>
      <x:c r="B701" s="236"/>
      <x:c r="C701" s="237"/>
      <x:c r="D701" s="236"/>
      <x:c r="E701" s="236"/>
      <x:c r="F701" s="236"/>
      <x:c r="G701" s="233"/>
      <x:c r="H701" s="233"/>
      <x:c r="I701" s="236"/>
      <x:c r="J701" s="236"/>
      <x:c r="K701" s="236"/>
      <x:c r="L701" s="236"/>
      <x:c r="M701" s="233"/>
      <x:c r="N701" s="233"/>
      <x:c r="O701" s="237"/>
      <x:c r="P701" s="236"/>
      <x:c r="Q701" s="236"/>
      <x:c r="R701" s="236"/>
      <x:c r="S701" s="241"/>
      <x:c r="T701" s="242"/>
    </x:row>
    <x:row r="702">
      <x:c r="A702" s="235"/>
      <x:c r="B702" s="236"/>
      <x:c r="C702" s="237"/>
      <x:c r="D702" s="236"/>
      <x:c r="E702" s="236"/>
      <x:c r="F702" s="236"/>
      <x:c r="G702" s="233"/>
      <x:c r="H702" s="233"/>
      <x:c r="I702" s="236"/>
      <x:c r="J702" s="236"/>
      <x:c r="K702" s="236"/>
      <x:c r="L702" s="236"/>
      <x:c r="M702" s="233"/>
      <x:c r="N702" s="233"/>
      <x:c r="O702" s="237"/>
      <x:c r="P702" s="236"/>
      <x:c r="Q702" s="236"/>
      <x:c r="R702" s="236"/>
      <x:c r="S702" s="241"/>
      <x:c r="T702" s="242"/>
    </x:row>
    <x:row r="703">
      <x:c r="A703" s="235"/>
      <x:c r="B703" s="236"/>
      <x:c r="C703" s="237"/>
      <x:c r="D703" s="236"/>
      <x:c r="E703" s="236"/>
      <x:c r="F703" s="236"/>
      <x:c r="G703" s="233"/>
      <x:c r="H703" s="233"/>
      <x:c r="I703" s="236"/>
      <x:c r="J703" s="236"/>
      <x:c r="K703" s="236"/>
      <x:c r="L703" s="236"/>
      <x:c r="M703" s="233"/>
      <x:c r="N703" s="233"/>
      <x:c r="O703" s="237"/>
      <x:c r="P703" s="236"/>
      <x:c r="Q703" s="236"/>
      <x:c r="R703" s="236"/>
      <x:c r="S703" s="241"/>
      <x:c r="T703" s="242"/>
    </x:row>
    <x:row r="704">
      <x:c r="A704" s="235"/>
      <x:c r="B704" s="236"/>
      <x:c r="C704" s="237"/>
      <x:c r="D704" s="236"/>
      <x:c r="E704" s="236"/>
      <x:c r="F704" s="236"/>
      <x:c r="G704" s="233"/>
      <x:c r="H704" s="233"/>
      <x:c r="I704" s="236"/>
      <x:c r="J704" s="236"/>
      <x:c r="K704" s="236"/>
      <x:c r="L704" s="236"/>
      <x:c r="M704" s="233"/>
      <x:c r="N704" s="233"/>
      <x:c r="O704" s="237"/>
      <x:c r="P704" s="236"/>
      <x:c r="Q704" s="236"/>
      <x:c r="R704" s="236"/>
      <x:c r="S704" s="241"/>
      <x:c r="T704" s="242"/>
    </x:row>
    <x:row r="705">
      <x:c r="A705" s="235"/>
      <x:c r="B705" s="236"/>
      <x:c r="C705" s="237"/>
      <x:c r="D705" s="236"/>
      <x:c r="E705" s="236"/>
      <x:c r="F705" s="236"/>
      <x:c r="G705" s="233"/>
      <x:c r="H705" s="233"/>
      <x:c r="I705" s="236"/>
      <x:c r="J705" s="236"/>
      <x:c r="K705" s="236"/>
      <x:c r="L705" s="236"/>
      <x:c r="M705" s="233"/>
      <x:c r="N705" s="233"/>
      <x:c r="O705" s="237"/>
      <x:c r="P705" s="236"/>
      <x:c r="Q705" s="236"/>
      <x:c r="R705" s="236"/>
      <x:c r="S705" s="241"/>
      <x:c r="T705" s="242"/>
    </x:row>
    <x:row r="706">
      <x:c r="A706" s="235"/>
      <x:c r="B706" s="236"/>
      <x:c r="C706" s="237"/>
      <x:c r="D706" s="236"/>
      <x:c r="E706" s="236"/>
      <x:c r="F706" s="236"/>
      <x:c r="G706" s="233"/>
      <x:c r="H706" s="233"/>
      <x:c r="I706" s="236"/>
      <x:c r="J706" s="236"/>
      <x:c r="K706" s="236"/>
      <x:c r="L706" s="236"/>
      <x:c r="M706" s="233"/>
      <x:c r="N706" s="233"/>
      <x:c r="O706" s="237"/>
      <x:c r="P706" s="236"/>
      <x:c r="Q706" s="236"/>
      <x:c r="R706" s="236"/>
      <x:c r="S706" s="241"/>
      <x:c r="T706" s="242"/>
    </x:row>
    <x:row r="707">
      <x:c r="A707" s="235"/>
      <x:c r="B707" s="236"/>
      <x:c r="C707" s="237"/>
      <x:c r="D707" s="236"/>
      <x:c r="E707" s="236"/>
      <x:c r="F707" s="236"/>
      <x:c r="G707" s="233"/>
      <x:c r="H707" s="233"/>
      <x:c r="I707" s="236"/>
      <x:c r="J707" s="236"/>
      <x:c r="K707" s="236"/>
      <x:c r="L707" s="236"/>
      <x:c r="M707" s="233"/>
      <x:c r="N707" s="233"/>
      <x:c r="O707" s="237"/>
      <x:c r="P707" s="236"/>
      <x:c r="Q707" s="236"/>
      <x:c r="R707" s="236"/>
      <x:c r="S707" s="241"/>
      <x:c r="T707" s="242"/>
    </x:row>
    <x:row r="708">
      <x:c r="A708" s="235"/>
      <x:c r="B708" s="236"/>
      <x:c r="C708" s="237"/>
      <x:c r="D708" s="236"/>
      <x:c r="E708" s="236"/>
      <x:c r="F708" s="236"/>
      <x:c r="G708" s="233"/>
      <x:c r="H708" s="233"/>
      <x:c r="I708" s="236"/>
      <x:c r="J708" s="236"/>
      <x:c r="K708" s="236"/>
      <x:c r="L708" s="236"/>
      <x:c r="M708" s="233"/>
      <x:c r="N708" s="233"/>
      <x:c r="O708" s="237"/>
      <x:c r="P708" s="236"/>
      <x:c r="Q708" s="236"/>
      <x:c r="R708" s="236"/>
      <x:c r="S708" s="241"/>
      <x:c r="T708" s="242"/>
    </x:row>
    <x:row r="709">
      <x:c r="A709" s="235"/>
      <x:c r="B709" s="236"/>
      <x:c r="C709" s="237"/>
      <x:c r="D709" s="236"/>
      <x:c r="E709" s="236"/>
      <x:c r="F709" s="236"/>
      <x:c r="G709" s="233"/>
      <x:c r="H709" s="233"/>
      <x:c r="I709" s="236"/>
      <x:c r="J709" s="236"/>
      <x:c r="K709" s="236"/>
      <x:c r="L709" s="236"/>
      <x:c r="M709" s="233"/>
      <x:c r="N709" s="233"/>
      <x:c r="O709" s="237"/>
      <x:c r="P709" s="236"/>
      <x:c r="Q709" s="236"/>
      <x:c r="R709" s="236"/>
      <x:c r="S709" s="241"/>
      <x:c r="T709" s="242"/>
    </x:row>
    <x:row r="710">
      <x:c r="A710" s="235"/>
      <x:c r="B710" s="236"/>
      <x:c r="C710" s="237"/>
      <x:c r="D710" s="236"/>
      <x:c r="E710" s="236"/>
      <x:c r="F710" s="236"/>
      <x:c r="G710" s="233"/>
      <x:c r="H710" s="233"/>
      <x:c r="I710" s="236"/>
      <x:c r="J710" s="236"/>
      <x:c r="K710" s="236"/>
      <x:c r="L710" s="236"/>
      <x:c r="M710" s="233"/>
      <x:c r="N710" s="233"/>
      <x:c r="O710" s="237"/>
      <x:c r="P710" s="236"/>
      <x:c r="Q710" s="236"/>
      <x:c r="R710" s="236"/>
      <x:c r="S710" s="241"/>
      <x:c r="T710" s="242"/>
    </x:row>
    <x:row r="711">
      <x:c r="A711" s="235"/>
      <x:c r="B711" s="236"/>
      <x:c r="C711" s="237"/>
      <x:c r="D711" s="236"/>
      <x:c r="E711" s="236"/>
      <x:c r="F711" s="236"/>
      <x:c r="G711" s="233"/>
      <x:c r="H711" s="233"/>
      <x:c r="I711" s="236"/>
      <x:c r="J711" s="236"/>
      <x:c r="K711" s="236"/>
      <x:c r="L711" s="236"/>
      <x:c r="M711" s="233"/>
      <x:c r="N711" s="233"/>
      <x:c r="O711" s="237"/>
      <x:c r="P711" s="236"/>
      <x:c r="Q711" s="236"/>
      <x:c r="R711" s="236"/>
      <x:c r="S711" s="241"/>
      <x:c r="T711" s="242"/>
    </x:row>
    <x:row r="712">
      <x:c r="A712" s="235"/>
      <x:c r="B712" s="236"/>
      <x:c r="C712" s="237"/>
      <x:c r="D712" s="236"/>
      <x:c r="E712" s="236"/>
      <x:c r="F712" s="236"/>
      <x:c r="G712" s="233"/>
      <x:c r="H712" s="233"/>
      <x:c r="I712" s="236"/>
      <x:c r="J712" s="236"/>
      <x:c r="K712" s="236"/>
      <x:c r="L712" s="236"/>
      <x:c r="M712" s="233"/>
      <x:c r="N712" s="233"/>
      <x:c r="O712" s="237"/>
      <x:c r="P712" s="236"/>
      <x:c r="Q712" s="236"/>
      <x:c r="R712" s="236"/>
      <x:c r="S712" s="241"/>
      <x:c r="T712" s="242"/>
    </x:row>
    <x:row r="713">
      <x:c r="A713" s="235"/>
      <x:c r="B713" s="236"/>
      <x:c r="C713" s="237"/>
      <x:c r="D713" s="236"/>
      <x:c r="E713" s="236"/>
      <x:c r="F713" s="236"/>
      <x:c r="G713" s="233"/>
      <x:c r="H713" s="233"/>
      <x:c r="I713" s="236"/>
      <x:c r="J713" s="236"/>
      <x:c r="K713" s="236"/>
      <x:c r="L713" s="236"/>
      <x:c r="M713" s="233"/>
      <x:c r="N713" s="233"/>
      <x:c r="O713" s="237"/>
      <x:c r="P713" s="236"/>
      <x:c r="Q713" s="236"/>
      <x:c r="R713" s="236"/>
      <x:c r="S713" s="241"/>
      <x:c r="T713" s="242"/>
    </x:row>
    <x:row r="714">
      <x:c r="A714" s="235"/>
      <x:c r="B714" s="236"/>
      <x:c r="C714" s="237"/>
      <x:c r="D714" s="236"/>
      <x:c r="E714" s="236"/>
      <x:c r="F714" s="236"/>
      <x:c r="G714" s="233"/>
      <x:c r="H714" s="233"/>
      <x:c r="I714" s="236"/>
      <x:c r="J714" s="236"/>
      <x:c r="K714" s="236"/>
      <x:c r="L714" s="236"/>
      <x:c r="M714" s="233"/>
      <x:c r="N714" s="233"/>
      <x:c r="O714" s="237"/>
      <x:c r="P714" s="236"/>
      <x:c r="Q714" s="236"/>
      <x:c r="R714" s="236"/>
      <x:c r="S714" s="241"/>
      <x:c r="T714" s="242"/>
    </x:row>
    <x:row r="715">
      <x:c r="A715" s="235"/>
      <x:c r="B715" s="236"/>
      <x:c r="C715" s="237"/>
      <x:c r="D715" s="236"/>
      <x:c r="E715" s="236"/>
      <x:c r="F715" s="236"/>
      <x:c r="G715" s="233"/>
      <x:c r="H715" s="233"/>
      <x:c r="I715" s="236"/>
      <x:c r="J715" s="236"/>
      <x:c r="K715" s="236"/>
      <x:c r="L715" s="236"/>
      <x:c r="M715" s="233"/>
      <x:c r="N715" s="233"/>
      <x:c r="O715" s="237"/>
      <x:c r="P715" s="236"/>
      <x:c r="Q715" s="236"/>
      <x:c r="R715" s="236"/>
      <x:c r="S715" s="241"/>
      <x:c r="T715" s="242"/>
    </x:row>
    <x:row r="716">
      <x:c r="A716" s="235"/>
      <x:c r="B716" s="236"/>
      <x:c r="C716" s="237"/>
      <x:c r="D716" s="236"/>
      <x:c r="E716" s="236"/>
      <x:c r="F716" s="236"/>
      <x:c r="G716" s="233"/>
      <x:c r="H716" s="233"/>
      <x:c r="I716" s="236"/>
      <x:c r="J716" s="236"/>
      <x:c r="K716" s="236"/>
      <x:c r="L716" s="236"/>
      <x:c r="M716" s="233"/>
      <x:c r="N716" s="233"/>
      <x:c r="O716" s="237"/>
      <x:c r="P716" s="236"/>
      <x:c r="Q716" s="236"/>
      <x:c r="R716" s="236"/>
      <x:c r="S716" s="241"/>
      <x:c r="T716" s="242"/>
    </x:row>
    <x:row r="717">
      <x:c r="A717" s="235"/>
      <x:c r="B717" s="236"/>
      <x:c r="C717" s="237"/>
      <x:c r="D717" s="236"/>
      <x:c r="E717" s="236"/>
      <x:c r="F717" s="236"/>
      <x:c r="G717" s="233"/>
      <x:c r="H717" s="233"/>
      <x:c r="I717" s="236"/>
      <x:c r="J717" s="236"/>
      <x:c r="K717" s="236"/>
      <x:c r="L717" s="236"/>
      <x:c r="M717" s="233"/>
      <x:c r="N717" s="233"/>
      <x:c r="O717" s="237"/>
      <x:c r="P717" s="236"/>
      <x:c r="Q717" s="236"/>
      <x:c r="R717" s="236"/>
      <x:c r="S717" s="241"/>
      <x:c r="T717" s="242"/>
    </x:row>
    <x:row r="718">
      <x:c r="A718" s="235"/>
      <x:c r="B718" s="236"/>
      <x:c r="C718" s="237"/>
      <x:c r="D718" s="236"/>
      <x:c r="E718" s="236"/>
      <x:c r="F718" s="236"/>
      <x:c r="G718" s="233"/>
      <x:c r="H718" s="233"/>
      <x:c r="I718" s="236"/>
      <x:c r="J718" s="236"/>
      <x:c r="K718" s="236"/>
      <x:c r="L718" s="236"/>
      <x:c r="M718" s="233"/>
      <x:c r="N718" s="233"/>
      <x:c r="O718" s="237"/>
      <x:c r="P718" s="236"/>
      <x:c r="Q718" s="236"/>
      <x:c r="R718" s="236"/>
      <x:c r="S718" s="241"/>
      <x:c r="T718" s="242"/>
    </x:row>
    <x:row r="719">
      <x:c r="A719" s="235"/>
      <x:c r="B719" s="236"/>
      <x:c r="C719" s="237"/>
      <x:c r="D719" s="236"/>
      <x:c r="E719" s="236"/>
      <x:c r="F719" s="236"/>
      <x:c r="G719" s="233"/>
      <x:c r="H719" s="233"/>
      <x:c r="I719" s="236"/>
      <x:c r="J719" s="236"/>
      <x:c r="K719" s="236"/>
      <x:c r="L719" s="236"/>
      <x:c r="M719" s="233"/>
      <x:c r="N719" s="233"/>
      <x:c r="O719" s="237"/>
      <x:c r="P719" s="236"/>
      <x:c r="Q719" s="236"/>
      <x:c r="R719" s="236"/>
      <x:c r="S719" s="241"/>
      <x:c r="T719" s="242"/>
    </x:row>
    <x:row r="720">
      <x:c r="A720" s="235"/>
      <x:c r="B720" s="236"/>
      <x:c r="C720" s="237"/>
      <x:c r="D720" s="236"/>
      <x:c r="E720" s="236"/>
      <x:c r="F720" s="236"/>
      <x:c r="G720" s="233"/>
      <x:c r="H720" s="233"/>
      <x:c r="I720" s="236"/>
      <x:c r="J720" s="236"/>
      <x:c r="K720" s="236"/>
      <x:c r="L720" s="236"/>
      <x:c r="M720" s="233"/>
      <x:c r="N720" s="233"/>
      <x:c r="O720" s="237"/>
      <x:c r="P720" s="236"/>
      <x:c r="Q720" s="236"/>
      <x:c r="R720" s="236"/>
      <x:c r="S720" s="241"/>
      <x:c r="T720" s="242"/>
    </x:row>
    <x:row r="721">
      <x:c r="A721" s="235"/>
      <x:c r="B721" s="236"/>
      <x:c r="C721" s="237"/>
      <x:c r="D721" s="236"/>
      <x:c r="E721" s="236"/>
      <x:c r="F721" s="236"/>
      <x:c r="G721" s="233"/>
      <x:c r="H721" s="233"/>
      <x:c r="I721" s="236"/>
      <x:c r="J721" s="236"/>
      <x:c r="K721" s="236"/>
      <x:c r="L721" s="236"/>
      <x:c r="M721" s="233"/>
      <x:c r="N721" s="233"/>
      <x:c r="O721" s="237"/>
      <x:c r="P721" s="236"/>
      <x:c r="Q721" s="236"/>
      <x:c r="R721" s="236"/>
      <x:c r="S721" s="241"/>
      <x:c r="T721" s="242"/>
    </x:row>
    <x:row r="722">
      <x:c r="A722" s="235"/>
      <x:c r="B722" s="236"/>
      <x:c r="C722" s="237"/>
      <x:c r="D722" s="236"/>
      <x:c r="E722" s="236"/>
      <x:c r="F722" s="236"/>
      <x:c r="G722" s="233"/>
      <x:c r="H722" s="233"/>
      <x:c r="I722" s="236"/>
      <x:c r="J722" s="236"/>
      <x:c r="K722" s="236"/>
      <x:c r="L722" s="236"/>
      <x:c r="M722" s="233"/>
      <x:c r="N722" s="233"/>
      <x:c r="O722" s="237"/>
      <x:c r="P722" s="236"/>
      <x:c r="Q722" s="236"/>
      <x:c r="R722" s="236"/>
      <x:c r="S722" s="241"/>
      <x:c r="T722" s="242"/>
    </x:row>
    <x:row r="723">
      <x:c r="A723" s="235"/>
      <x:c r="B723" s="236"/>
      <x:c r="C723" s="237"/>
      <x:c r="D723" s="236"/>
      <x:c r="E723" s="236"/>
      <x:c r="F723" s="236"/>
      <x:c r="G723" s="233"/>
      <x:c r="H723" s="233"/>
      <x:c r="I723" s="236"/>
      <x:c r="J723" s="236"/>
      <x:c r="K723" s="236"/>
      <x:c r="L723" s="236"/>
      <x:c r="M723" s="233"/>
      <x:c r="N723" s="233"/>
      <x:c r="O723" s="237"/>
      <x:c r="P723" s="236"/>
      <x:c r="Q723" s="236"/>
      <x:c r="R723" s="236"/>
      <x:c r="S723" s="241"/>
      <x:c r="T723" s="242"/>
    </x:row>
    <x:row r="724">
      <x:c r="A724" s="235"/>
      <x:c r="B724" s="236"/>
      <x:c r="C724" s="237"/>
      <x:c r="D724" s="236"/>
      <x:c r="E724" s="236"/>
      <x:c r="F724" s="236"/>
      <x:c r="G724" s="233"/>
      <x:c r="H724" s="233"/>
      <x:c r="I724" s="236"/>
      <x:c r="J724" s="236"/>
      <x:c r="K724" s="236"/>
      <x:c r="L724" s="236"/>
      <x:c r="M724" s="233"/>
      <x:c r="N724" s="233"/>
      <x:c r="O724" s="237"/>
      <x:c r="P724" s="236"/>
      <x:c r="Q724" s="236"/>
      <x:c r="R724" s="236"/>
      <x:c r="S724" s="241"/>
      <x:c r="T724" s="242"/>
    </x:row>
    <x:row r="725">
      <x:c r="A725" s="235"/>
      <x:c r="B725" s="236"/>
      <x:c r="C725" s="237"/>
      <x:c r="D725" s="236"/>
      <x:c r="E725" s="236"/>
      <x:c r="F725" s="236"/>
      <x:c r="G725" s="233"/>
      <x:c r="H725" s="233"/>
      <x:c r="I725" s="236"/>
      <x:c r="J725" s="236"/>
      <x:c r="K725" s="236"/>
      <x:c r="L725" s="236"/>
      <x:c r="M725" s="233"/>
      <x:c r="N725" s="233"/>
      <x:c r="O725" s="237"/>
      <x:c r="P725" s="236"/>
      <x:c r="Q725" s="236"/>
      <x:c r="R725" s="236"/>
      <x:c r="S725" s="241"/>
      <x:c r="T725" s="242"/>
    </x:row>
    <x:row r="726">
      <x:c r="A726" s="235"/>
      <x:c r="B726" s="236"/>
      <x:c r="C726" s="237"/>
      <x:c r="D726" s="236"/>
      <x:c r="E726" s="236"/>
      <x:c r="F726" s="236"/>
      <x:c r="G726" s="233"/>
      <x:c r="H726" s="233"/>
      <x:c r="I726" s="236"/>
      <x:c r="J726" s="236"/>
      <x:c r="K726" s="236"/>
      <x:c r="L726" s="236"/>
      <x:c r="M726" s="233"/>
      <x:c r="N726" s="233"/>
      <x:c r="O726" s="237"/>
      <x:c r="P726" s="236"/>
      <x:c r="Q726" s="236"/>
      <x:c r="R726" s="236"/>
      <x:c r="S726" s="241"/>
      <x:c r="T726" s="242"/>
    </x:row>
    <x:row r="727">
      <x:c r="A727" s="235"/>
      <x:c r="B727" s="236"/>
      <x:c r="C727" s="237"/>
      <x:c r="D727" s="236"/>
      <x:c r="E727" s="236"/>
      <x:c r="F727" s="236"/>
      <x:c r="G727" s="233"/>
      <x:c r="H727" s="233"/>
      <x:c r="I727" s="236"/>
      <x:c r="J727" s="236"/>
      <x:c r="K727" s="236"/>
      <x:c r="L727" s="236"/>
      <x:c r="M727" s="233"/>
      <x:c r="N727" s="233"/>
      <x:c r="O727" s="237"/>
      <x:c r="P727" s="236"/>
      <x:c r="Q727" s="236"/>
      <x:c r="R727" s="236"/>
      <x:c r="S727" s="241"/>
      <x:c r="T727" s="242"/>
    </x:row>
    <x:row r="728">
      <x:c r="A728" s="235"/>
      <x:c r="B728" s="236"/>
      <x:c r="C728" s="237"/>
      <x:c r="D728" s="236"/>
      <x:c r="E728" s="236"/>
      <x:c r="F728" s="236"/>
      <x:c r="G728" s="233"/>
      <x:c r="H728" s="233"/>
      <x:c r="I728" s="236"/>
      <x:c r="J728" s="236"/>
      <x:c r="K728" s="236"/>
      <x:c r="L728" s="236"/>
      <x:c r="M728" s="233"/>
      <x:c r="N728" s="233"/>
      <x:c r="O728" s="237"/>
      <x:c r="P728" s="236"/>
      <x:c r="Q728" s="236"/>
      <x:c r="R728" s="236"/>
      <x:c r="S728" s="241"/>
      <x:c r="T728" s="242"/>
    </x:row>
    <x:row r="729">
      <x:c r="A729" s="235"/>
      <x:c r="B729" s="236"/>
      <x:c r="C729" s="237"/>
      <x:c r="D729" s="236"/>
      <x:c r="E729" s="236"/>
      <x:c r="F729" s="236"/>
      <x:c r="G729" s="233"/>
      <x:c r="H729" s="233"/>
      <x:c r="I729" s="236"/>
      <x:c r="J729" s="236"/>
      <x:c r="K729" s="236"/>
      <x:c r="L729" s="236"/>
      <x:c r="M729" s="233"/>
      <x:c r="N729" s="233"/>
      <x:c r="O729" s="237"/>
      <x:c r="P729" s="236"/>
      <x:c r="Q729" s="236"/>
      <x:c r="R729" s="236"/>
      <x:c r="S729" s="241"/>
      <x:c r="T729" s="242"/>
    </x:row>
    <x:row r="730">
      <x:c r="A730" s="235"/>
      <x:c r="B730" s="236"/>
      <x:c r="C730" s="237"/>
      <x:c r="D730" s="236"/>
      <x:c r="E730" s="236"/>
      <x:c r="F730" s="236"/>
      <x:c r="G730" s="233"/>
      <x:c r="H730" s="233"/>
      <x:c r="I730" s="236"/>
      <x:c r="J730" s="236"/>
      <x:c r="K730" s="236"/>
      <x:c r="L730" s="236"/>
      <x:c r="M730" s="233"/>
      <x:c r="N730" s="233"/>
      <x:c r="O730" s="237"/>
      <x:c r="P730" s="236"/>
      <x:c r="Q730" s="236"/>
      <x:c r="R730" s="236"/>
      <x:c r="S730" s="241"/>
      <x:c r="T730" s="242"/>
    </x:row>
    <x:row r="731">
      <x:c r="A731" s="235"/>
      <x:c r="B731" s="236"/>
      <x:c r="C731" s="237"/>
      <x:c r="D731" s="236"/>
      <x:c r="E731" s="236"/>
      <x:c r="F731" s="236"/>
      <x:c r="G731" s="233"/>
      <x:c r="H731" s="233"/>
      <x:c r="I731" s="236"/>
      <x:c r="J731" s="236"/>
      <x:c r="K731" s="236"/>
      <x:c r="L731" s="236"/>
      <x:c r="M731" s="233"/>
      <x:c r="N731" s="233"/>
      <x:c r="O731" s="237"/>
      <x:c r="P731" s="236"/>
      <x:c r="Q731" s="236"/>
      <x:c r="R731" s="236"/>
      <x:c r="S731" s="241"/>
      <x:c r="T731" s="242"/>
    </x:row>
    <x:row r="732">
      <x:c r="A732" s="235"/>
      <x:c r="B732" s="236"/>
      <x:c r="C732" s="237"/>
      <x:c r="D732" s="236"/>
      <x:c r="E732" s="236"/>
      <x:c r="F732" s="236"/>
      <x:c r="G732" s="233"/>
      <x:c r="H732" s="233"/>
      <x:c r="I732" s="236"/>
      <x:c r="J732" s="236"/>
      <x:c r="K732" s="236"/>
      <x:c r="L732" s="236"/>
      <x:c r="M732" s="233"/>
      <x:c r="N732" s="233"/>
      <x:c r="O732" s="237"/>
      <x:c r="P732" s="236"/>
      <x:c r="Q732" s="236"/>
      <x:c r="R732" s="236"/>
      <x:c r="S732" s="241"/>
      <x:c r="T732" s="242"/>
    </x:row>
    <x:row r="733">
      <x:c r="A733" s="235"/>
      <x:c r="B733" s="236"/>
      <x:c r="C733" s="237"/>
      <x:c r="D733" s="236"/>
      <x:c r="E733" s="236"/>
      <x:c r="F733" s="236"/>
      <x:c r="G733" s="233"/>
      <x:c r="H733" s="233"/>
      <x:c r="I733" s="236"/>
      <x:c r="J733" s="236"/>
      <x:c r="K733" s="236"/>
      <x:c r="L733" s="236"/>
      <x:c r="M733" s="233"/>
      <x:c r="N733" s="233"/>
      <x:c r="O733" s="237"/>
      <x:c r="P733" s="236"/>
      <x:c r="Q733" s="236"/>
      <x:c r="R733" s="236"/>
      <x:c r="S733" s="241"/>
      <x:c r="T733" s="242"/>
    </x:row>
    <x:row r="734">
      <x:c r="A734" s="235"/>
      <x:c r="B734" s="236"/>
      <x:c r="C734" s="237"/>
      <x:c r="D734" s="236"/>
      <x:c r="E734" s="236"/>
      <x:c r="F734" s="236"/>
      <x:c r="G734" s="233"/>
      <x:c r="H734" s="233"/>
      <x:c r="I734" s="236"/>
      <x:c r="J734" s="236"/>
      <x:c r="K734" s="236"/>
      <x:c r="L734" s="236"/>
      <x:c r="M734" s="233"/>
      <x:c r="N734" s="233"/>
      <x:c r="O734" s="237"/>
      <x:c r="P734" s="236"/>
      <x:c r="Q734" s="236"/>
      <x:c r="R734" s="236"/>
      <x:c r="S734" s="241"/>
      <x:c r="T734" s="242"/>
    </x:row>
    <x:row r="735">
      <x:c r="A735" s="235"/>
      <x:c r="B735" s="236"/>
      <x:c r="C735" s="237"/>
      <x:c r="D735" s="236"/>
      <x:c r="E735" s="236"/>
      <x:c r="F735" s="236"/>
      <x:c r="G735" s="233"/>
      <x:c r="H735" s="233"/>
      <x:c r="I735" s="236"/>
      <x:c r="J735" s="236"/>
      <x:c r="K735" s="236"/>
      <x:c r="L735" s="236"/>
      <x:c r="M735" s="233"/>
      <x:c r="N735" s="233"/>
      <x:c r="O735" s="237"/>
      <x:c r="P735" s="236"/>
      <x:c r="Q735" s="236"/>
      <x:c r="R735" s="236"/>
      <x:c r="S735" s="241"/>
      <x:c r="T735" s="242"/>
    </x:row>
    <x:row r="736">
      <x:c r="A736" s="235"/>
      <x:c r="B736" s="236"/>
      <x:c r="C736" s="237"/>
      <x:c r="D736" s="236"/>
      <x:c r="E736" s="236"/>
      <x:c r="F736" s="236"/>
      <x:c r="G736" s="233"/>
      <x:c r="H736" s="233"/>
      <x:c r="I736" s="236"/>
      <x:c r="J736" s="236"/>
      <x:c r="K736" s="236"/>
      <x:c r="L736" s="236"/>
      <x:c r="M736" s="233"/>
      <x:c r="N736" s="233"/>
      <x:c r="O736" s="237"/>
      <x:c r="P736" s="236"/>
      <x:c r="Q736" s="236"/>
      <x:c r="R736" s="236"/>
      <x:c r="S736" s="241"/>
      <x:c r="T736" s="242"/>
    </x:row>
    <x:row r="737">
      <x:c r="A737" s="235"/>
      <x:c r="B737" s="236"/>
      <x:c r="C737" s="237"/>
      <x:c r="D737" s="236"/>
      <x:c r="E737" s="236"/>
      <x:c r="F737" s="236"/>
      <x:c r="G737" s="233"/>
      <x:c r="H737" s="233"/>
      <x:c r="I737" s="236"/>
      <x:c r="J737" s="236"/>
      <x:c r="K737" s="236"/>
      <x:c r="L737" s="236"/>
      <x:c r="M737" s="233"/>
      <x:c r="N737" s="233"/>
      <x:c r="O737" s="237"/>
      <x:c r="P737" s="236"/>
      <x:c r="Q737" s="236"/>
      <x:c r="R737" s="236"/>
      <x:c r="S737" s="241"/>
      <x:c r="T737" s="242"/>
    </x:row>
    <x:row r="738">
      <x:c r="A738" s="235"/>
      <x:c r="B738" s="236"/>
      <x:c r="C738" s="237"/>
      <x:c r="D738" s="236"/>
      <x:c r="E738" s="236"/>
      <x:c r="F738" s="236"/>
      <x:c r="G738" s="233"/>
      <x:c r="H738" s="233"/>
      <x:c r="I738" s="236"/>
      <x:c r="J738" s="236"/>
      <x:c r="K738" s="236"/>
      <x:c r="L738" s="236"/>
      <x:c r="M738" s="233"/>
      <x:c r="N738" s="233"/>
      <x:c r="O738" s="237"/>
      <x:c r="P738" s="236"/>
      <x:c r="Q738" s="236"/>
      <x:c r="R738" s="236"/>
      <x:c r="S738" s="241"/>
      <x:c r="T738" s="242"/>
    </x:row>
    <x:row r="739">
      <x:c r="A739" s="235"/>
      <x:c r="B739" s="236"/>
      <x:c r="C739" s="237"/>
      <x:c r="D739" s="236"/>
      <x:c r="E739" s="236"/>
      <x:c r="F739" s="236"/>
      <x:c r="G739" s="233"/>
      <x:c r="H739" s="233"/>
      <x:c r="I739" s="236"/>
      <x:c r="J739" s="236"/>
      <x:c r="K739" s="236"/>
      <x:c r="L739" s="236"/>
      <x:c r="M739" s="233"/>
      <x:c r="N739" s="233"/>
      <x:c r="O739" s="237"/>
      <x:c r="P739" s="236"/>
      <x:c r="Q739" s="236"/>
      <x:c r="R739" s="236"/>
      <x:c r="S739" s="241"/>
      <x:c r="T739" s="242"/>
    </x:row>
    <x:row r="740">
      <x:c r="A740" s="235"/>
      <x:c r="B740" s="236"/>
      <x:c r="C740" s="237"/>
      <x:c r="D740" s="236"/>
      <x:c r="E740" s="236"/>
      <x:c r="F740" s="236"/>
      <x:c r="G740" s="233"/>
      <x:c r="H740" s="233"/>
      <x:c r="I740" s="236"/>
      <x:c r="J740" s="236"/>
      <x:c r="K740" s="236"/>
      <x:c r="L740" s="236"/>
      <x:c r="M740" s="233"/>
      <x:c r="N740" s="233"/>
      <x:c r="O740" s="237"/>
      <x:c r="P740" s="236"/>
      <x:c r="Q740" s="236"/>
      <x:c r="R740" s="236"/>
      <x:c r="S740" s="241"/>
      <x:c r="T740" s="242"/>
    </x:row>
    <x:row r="741">
      <x:c r="A741" s="235"/>
      <x:c r="B741" s="236"/>
      <x:c r="C741" s="237"/>
      <x:c r="D741" s="236"/>
      <x:c r="E741" s="236"/>
      <x:c r="F741" s="236"/>
      <x:c r="G741" s="233"/>
      <x:c r="H741" s="233"/>
      <x:c r="I741" s="236"/>
      <x:c r="J741" s="236"/>
      <x:c r="K741" s="236"/>
      <x:c r="L741" s="236"/>
      <x:c r="M741" s="233"/>
      <x:c r="N741" s="233"/>
      <x:c r="O741" s="237"/>
      <x:c r="P741" s="236"/>
      <x:c r="Q741" s="236"/>
      <x:c r="R741" s="236"/>
      <x:c r="S741" s="241"/>
      <x:c r="T741" s="242"/>
    </x:row>
    <x:row r="742">
      <x:c r="A742" s="235"/>
      <x:c r="B742" s="236"/>
      <x:c r="C742" s="237"/>
      <x:c r="D742" s="236"/>
      <x:c r="E742" s="236"/>
      <x:c r="F742" s="236"/>
      <x:c r="G742" s="233"/>
      <x:c r="H742" s="233"/>
      <x:c r="I742" s="236"/>
      <x:c r="J742" s="236"/>
      <x:c r="K742" s="236"/>
      <x:c r="L742" s="236"/>
      <x:c r="M742" s="233"/>
      <x:c r="N742" s="233"/>
      <x:c r="O742" s="237"/>
      <x:c r="P742" s="236"/>
      <x:c r="Q742" s="236"/>
      <x:c r="R742" s="236"/>
      <x:c r="S742" s="241"/>
      <x:c r="T742" s="242"/>
    </x:row>
    <x:row r="743">
      <x:c r="A743" s="235"/>
      <x:c r="B743" s="236"/>
      <x:c r="C743" s="237"/>
      <x:c r="D743" s="236"/>
      <x:c r="E743" s="236"/>
      <x:c r="F743" s="236"/>
      <x:c r="G743" s="233"/>
      <x:c r="H743" s="233"/>
      <x:c r="I743" s="236"/>
      <x:c r="J743" s="236"/>
      <x:c r="K743" s="236"/>
      <x:c r="L743" s="236"/>
      <x:c r="M743" s="233"/>
      <x:c r="N743" s="233"/>
      <x:c r="O743" s="237"/>
      <x:c r="P743" s="236"/>
      <x:c r="Q743" s="236"/>
      <x:c r="R743" s="236"/>
      <x:c r="S743" s="241"/>
      <x:c r="T743" s="242"/>
    </x:row>
    <x:row r="744">
      <x:c r="A744" s="235"/>
      <x:c r="B744" s="236"/>
      <x:c r="C744" s="237"/>
      <x:c r="D744" s="236"/>
      <x:c r="E744" s="236"/>
      <x:c r="F744" s="236"/>
      <x:c r="G744" s="233"/>
      <x:c r="H744" s="233"/>
      <x:c r="I744" s="236"/>
      <x:c r="J744" s="236"/>
      <x:c r="K744" s="236"/>
      <x:c r="L744" s="236"/>
      <x:c r="M744" s="233"/>
      <x:c r="N744" s="233"/>
      <x:c r="O744" s="237"/>
      <x:c r="P744" s="236"/>
      <x:c r="Q744" s="236"/>
      <x:c r="R744" s="236"/>
      <x:c r="S744" s="241"/>
      <x:c r="T744" s="242"/>
    </x:row>
    <x:row r="745">
      <x:c r="A745" s="235"/>
      <x:c r="B745" s="236"/>
      <x:c r="C745" s="237"/>
      <x:c r="D745" s="236"/>
      <x:c r="E745" s="236"/>
      <x:c r="F745" s="236"/>
      <x:c r="G745" s="233"/>
      <x:c r="H745" s="233"/>
      <x:c r="I745" s="236"/>
      <x:c r="J745" s="236"/>
      <x:c r="K745" s="236"/>
      <x:c r="L745" s="236"/>
      <x:c r="M745" s="233"/>
      <x:c r="N745" s="233"/>
      <x:c r="O745" s="237"/>
      <x:c r="P745" s="236"/>
      <x:c r="Q745" s="236"/>
      <x:c r="R745" s="236"/>
      <x:c r="S745" s="241"/>
      <x:c r="T745" s="242"/>
    </x:row>
    <x:row r="746">
      <x:c r="A746" s="235"/>
      <x:c r="B746" s="236"/>
      <x:c r="C746" s="237"/>
      <x:c r="D746" s="236"/>
      <x:c r="E746" s="236"/>
      <x:c r="F746" s="236"/>
      <x:c r="G746" s="233"/>
      <x:c r="H746" s="233"/>
      <x:c r="I746" s="236"/>
      <x:c r="J746" s="236"/>
      <x:c r="K746" s="236"/>
      <x:c r="L746" s="236"/>
      <x:c r="M746" s="233"/>
      <x:c r="N746" s="233"/>
      <x:c r="O746" s="237"/>
      <x:c r="P746" s="236"/>
      <x:c r="Q746" s="236"/>
      <x:c r="R746" s="236"/>
      <x:c r="S746" s="241"/>
      <x:c r="T746" s="242"/>
    </x:row>
    <x:row r="747">
      <x:c r="A747" s="235"/>
      <x:c r="B747" s="236"/>
      <x:c r="C747" s="237"/>
      <x:c r="D747" s="236"/>
      <x:c r="E747" s="236"/>
      <x:c r="F747" s="236"/>
      <x:c r="G747" s="233"/>
      <x:c r="H747" s="233"/>
      <x:c r="I747" s="236"/>
      <x:c r="J747" s="236"/>
      <x:c r="K747" s="236"/>
      <x:c r="L747" s="236"/>
      <x:c r="M747" s="233"/>
      <x:c r="N747" s="233"/>
      <x:c r="O747" s="237"/>
      <x:c r="P747" s="236"/>
      <x:c r="Q747" s="236"/>
      <x:c r="R747" s="236"/>
      <x:c r="S747" s="241"/>
      <x:c r="T747" s="242"/>
    </x:row>
    <x:row r="748">
      <x:c r="A748" s="235"/>
      <x:c r="B748" s="236"/>
      <x:c r="C748" s="237"/>
      <x:c r="D748" s="236"/>
      <x:c r="E748" s="236"/>
      <x:c r="F748" s="236"/>
      <x:c r="G748" s="233"/>
      <x:c r="H748" s="233"/>
      <x:c r="I748" s="236"/>
      <x:c r="J748" s="236"/>
      <x:c r="K748" s="236"/>
      <x:c r="L748" s="236"/>
      <x:c r="M748" s="233"/>
      <x:c r="N748" s="233"/>
      <x:c r="O748" s="237"/>
      <x:c r="P748" s="236"/>
      <x:c r="Q748" s="236"/>
      <x:c r="R748" s="236"/>
      <x:c r="S748" s="241"/>
      <x:c r="T748" s="242"/>
    </x:row>
    <x:row r="749">
      <x:c r="A749" s="235"/>
      <x:c r="B749" s="236"/>
      <x:c r="C749" s="237"/>
      <x:c r="D749" s="236"/>
      <x:c r="E749" s="236"/>
      <x:c r="F749" s="236"/>
      <x:c r="G749" s="233"/>
      <x:c r="H749" s="233"/>
      <x:c r="I749" s="236"/>
      <x:c r="J749" s="236"/>
      <x:c r="K749" s="236"/>
      <x:c r="L749" s="236"/>
      <x:c r="M749" s="233"/>
      <x:c r="N749" s="233"/>
      <x:c r="O749" s="237"/>
      <x:c r="P749" s="236"/>
      <x:c r="Q749" s="236"/>
      <x:c r="R749" s="236"/>
      <x:c r="S749" s="241"/>
      <x:c r="T749" s="242"/>
    </x:row>
    <x:row r="750">
      <x:c r="A750" s="235"/>
      <x:c r="B750" s="236"/>
      <x:c r="C750" s="237"/>
      <x:c r="D750" s="236"/>
      <x:c r="E750" s="236"/>
      <x:c r="F750" s="236"/>
      <x:c r="G750" s="233"/>
      <x:c r="H750" s="233"/>
      <x:c r="I750" s="236"/>
      <x:c r="J750" s="236"/>
      <x:c r="K750" s="236"/>
      <x:c r="L750" s="236"/>
      <x:c r="M750" s="233"/>
      <x:c r="N750" s="233"/>
      <x:c r="O750" s="237"/>
      <x:c r="P750" s="236"/>
      <x:c r="Q750" s="236"/>
      <x:c r="R750" s="236"/>
      <x:c r="S750" s="241"/>
      <x:c r="T750" s="242"/>
    </x:row>
    <x:row r="751">
      <x:c r="A751" s="235"/>
      <x:c r="B751" s="236"/>
      <x:c r="C751" s="237"/>
      <x:c r="D751" s="236"/>
      <x:c r="E751" s="236"/>
      <x:c r="F751" s="236"/>
      <x:c r="G751" s="233"/>
      <x:c r="H751" s="233"/>
      <x:c r="I751" s="236"/>
      <x:c r="J751" s="236"/>
      <x:c r="K751" s="236"/>
      <x:c r="L751" s="236"/>
      <x:c r="M751" s="233"/>
      <x:c r="N751" s="233"/>
      <x:c r="O751" s="237"/>
      <x:c r="P751" s="236"/>
      <x:c r="Q751" s="236"/>
      <x:c r="R751" s="236"/>
      <x:c r="S751" s="241"/>
      <x:c r="T751" s="242"/>
    </x:row>
    <x:row r="752">
      <x:c r="A752" s="235"/>
      <x:c r="B752" s="236"/>
      <x:c r="C752" s="237"/>
      <x:c r="D752" s="236"/>
      <x:c r="E752" s="236"/>
      <x:c r="F752" s="236"/>
      <x:c r="G752" s="233"/>
      <x:c r="H752" s="233"/>
      <x:c r="I752" s="236"/>
      <x:c r="J752" s="236"/>
      <x:c r="K752" s="236"/>
      <x:c r="L752" s="236"/>
      <x:c r="M752" s="233"/>
      <x:c r="N752" s="233"/>
      <x:c r="O752" s="237"/>
      <x:c r="P752" s="236"/>
      <x:c r="Q752" s="236"/>
      <x:c r="R752" s="236"/>
      <x:c r="S752" s="241"/>
      <x:c r="T752" s="242"/>
    </x:row>
    <x:row r="753">
      <x:c r="A753" s="235"/>
      <x:c r="B753" s="236"/>
      <x:c r="C753" s="237"/>
      <x:c r="D753" s="236"/>
      <x:c r="E753" s="236"/>
      <x:c r="F753" s="236"/>
      <x:c r="G753" s="233"/>
      <x:c r="H753" s="233"/>
      <x:c r="I753" s="236"/>
      <x:c r="J753" s="236"/>
      <x:c r="K753" s="236"/>
      <x:c r="L753" s="236"/>
      <x:c r="M753" s="233"/>
      <x:c r="N753" s="233"/>
      <x:c r="O753" s="237"/>
      <x:c r="P753" s="236"/>
      <x:c r="Q753" s="236"/>
      <x:c r="R753" s="236"/>
      <x:c r="S753" s="241"/>
      <x:c r="T753" s="242"/>
    </x:row>
    <x:row r="754">
      <x:c r="A754" s="235"/>
      <x:c r="B754" s="236"/>
      <x:c r="C754" s="237"/>
      <x:c r="D754" s="236"/>
      <x:c r="E754" s="236"/>
      <x:c r="F754" s="236"/>
      <x:c r="G754" s="233"/>
      <x:c r="H754" s="233"/>
      <x:c r="I754" s="236"/>
      <x:c r="J754" s="236"/>
      <x:c r="K754" s="236"/>
      <x:c r="L754" s="236"/>
      <x:c r="M754" s="233"/>
      <x:c r="N754" s="233"/>
      <x:c r="O754" s="237"/>
      <x:c r="P754" s="236"/>
      <x:c r="Q754" s="236"/>
      <x:c r="R754" s="236"/>
      <x:c r="S754" s="241"/>
      <x:c r="T754" s="242"/>
    </x:row>
    <x:row r="755">
      <x:c r="A755" s="235"/>
      <x:c r="B755" s="236"/>
      <x:c r="C755" s="237"/>
      <x:c r="D755" s="236"/>
      <x:c r="E755" s="236"/>
      <x:c r="F755" s="236"/>
      <x:c r="G755" s="233"/>
      <x:c r="H755" s="233"/>
      <x:c r="I755" s="236"/>
      <x:c r="J755" s="236"/>
      <x:c r="K755" s="236"/>
      <x:c r="L755" s="236"/>
      <x:c r="M755" s="233"/>
      <x:c r="N755" s="233"/>
      <x:c r="O755" s="237"/>
      <x:c r="P755" s="236"/>
      <x:c r="Q755" s="236"/>
      <x:c r="R755" s="236"/>
      <x:c r="S755" s="241"/>
      <x:c r="T755" s="242"/>
    </x:row>
    <x:row r="756">
      <x:c r="A756" s="235"/>
      <x:c r="B756" s="236"/>
      <x:c r="C756" s="237"/>
      <x:c r="D756" s="236"/>
      <x:c r="E756" s="236"/>
      <x:c r="F756" s="236"/>
      <x:c r="G756" s="233"/>
      <x:c r="H756" s="233"/>
      <x:c r="I756" s="236"/>
      <x:c r="J756" s="236"/>
      <x:c r="K756" s="236"/>
      <x:c r="L756" s="236"/>
      <x:c r="M756" s="233"/>
      <x:c r="N756" s="233"/>
      <x:c r="O756" s="237"/>
      <x:c r="P756" s="236"/>
      <x:c r="Q756" s="236"/>
      <x:c r="R756" s="236"/>
      <x:c r="S756" s="241"/>
      <x:c r="T756" s="242"/>
    </x:row>
    <x:row r="757">
      <x:c r="A757" s="235"/>
      <x:c r="B757" s="236"/>
      <x:c r="C757" s="237"/>
      <x:c r="D757" s="236"/>
      <x:c r="E757" s="236"/>
      <x:c r="F757" s="236"/>
      <x:c r="G757" s="233"/>
      <x:c r="H757" s="233"/>
      <x:c r="I757" s="236"/>
      <x:c r="J757" s="236"/>
      <x:c r="K757" s="236"/>
      <x:c r="L757" s="236"/>
      <x:c r="M757" s="233"/>
      <x:c r="N757" s="233"/>
      <x:c r="O757" s="237"/>
      <x:c r="P757" s="236"/>
      <x:c r="Q757" s="236"/>
      <x:c r="R757" s="236"/>
      <x:c r="S757" s="241"/>
      <x:c r="T757" s="242"/>
    </x:row>
    <x:row r="758">
      <x:c r="A758" s="235"/>
      <x:c r="B758" s="236"/>
      <x:c r="C758" s="237"/>
      <x:c r="D758" s="236"/>
      <x:c r="E758" s="236"/>
      <x:c r="F758" s="236"/>
      <x:c r="G758" s="233"/>
      <x:c r="H758" s="233"/>
      <x:c r="I758" s="236"/>
      <x:c r="J758" s="236"/>
      <x:c r="K758" s="236"/>
      <x:c r="L758" s="236"/>
      <x:c r="M758" s="233"/>
      <x:c r="N758" s="233"/>
      <x:c r="O758" s="237"/>
      <x:c r="P758" s="236"/>
      <x:c r="Q758" s="236"/>
      <x:c r="R758" s="236"/>
      <x:c r="S758" s="241"/>
      <x:c r="T758" s="242"/>
    </x:row>
    <x:row r="759">
      <x:c r="A759" s="235"/>
      <x:c r="B759" s="236"/>
      <x:c r="C759" s="237"/>
      <x:c r="D759" s="236"/>
      <x:c r="E759" s="236"/>
      <x:c r="F759" s="236"/>
      <x:c r="G759" s="233"/>
      <x:c r="H759" s="233"/>
      <x:c r="I759" s="236"/>
      <x:c r="J759" s="236"/>
      <x:c r="K759" s="236"/>
      <x:c r="L759" s="236"/>
      <x:c r="M759" s="233"/>
      <x:c r="N759" s="233"/>
      <x:c r="O759" s="237"/>
      <x:c r="P759" s="236"/>
      <x:c r="Q759" s="236"/>
      <x:c r="R759" s="236"/>
      <x:c r="S759" s="241"/>
      <x:c r="T759" s="242"/>
    </x:row>
    <x:row r="760">
      <x:c r="A760" s="235"/>
      <x:c r="B760" s="236"/>
      <x:c r="C760" s="237"/>
      <x:c r="D760" s="236"/>
      <x:c r="E760" s="236"/>
      <x:c r="F760" s="236"/>
      <x:c r="G760" s="233"/>
      <x:c r="H760" s="233"/>
      <x:c r="I760" s="236"/>
      <x:c r="J760" s="236"/>
      <x:c r="K760" s="236"/>
      <x:c r="L760" s="236"/>
      <x:c r="M760" s="233"/>
      <x:c r="N760" s="233"/>
      <x:c r="O760" s="237"/>
      <x:c r="P760" s="236"/>
      <x:c r="Q760" s="236"/>
      <x:c r="R760" s="236"/>
      <x:c r="S760" s="241"/>
      <x:c r="T760" s="242"/>
    </x:row>
    <x:row r="761">
      <x:c r="A761" s="235"/>
      <x:c r="B761" s="236"/>
      <x:c r="C761" s="237"/>
      <x:c r="D761" s="236"/>
      <x:c r="E761" s="236"/>
      <x:c r="F761" s="236"/>
      <x:c r="G761" s="233"/>
      <x:c r="H761" s="233"/>
      <x:c r="I761" s="236"/>
      <x:c r="J761" s="236"/>
      <x:c r="K761" s="236"/>
      <x:c r="L761" s="236"/>
      <x:c r="M761" s="233"/>
      <x:c r="N761" s="233"/>
      <x:c r="O761" s="237"/>
      <x:c r="P761" s="236"/>
      <x:c r="Q761" s="236"/>
      <x:c r="R761" s="236"/>
      <x:c r="S761" s="241"/>
      <x:c r="T761" s="242"/>
    </x:row>
    <x:row r="762">
      <x:c r="A762" s="235"/>
      <x:c r="B762" s="236"/>
      <x:c r="C762" s="237"/>
      <x:c r="D762" s="236"/>
      <x:c r="E762" s="236"/>
      <x:c r="F762" s="236"/>
      <x:c r="G762" s="233"/>
      <x:c r="H762" s="233"/>
      <x:c r="I762" s="236"/>
      <x:c r="J762" s="236"/>
      <x:c r="K762" s="236"/>
      <x:c r="L762" s="236"/>
      <x:c r="M762" s="233"/>
      <x:c r="N762" s="233"/>
      <x:c r="O762" s="237"/>
      <x:c r="P762" s="236"/>
      <x:c r="Q762" s="236"/>
      <x:c r="R762" s="236"/>
      <x:c r="S762" s="241"/>
      <x:c r="T762" s="242"/>
    </x:row>
    <x:row r="763">
      <x:c r="A763" s="235"/>
      <x:c r="B763" s="236"/>
      <x:c r="C763" s="237"/>
      <x:c r="D763" s="236"/>
      <x:c r="E763" s="236"/>
      <x:c r="F763" s="236"/>
      <x:c r="G763" s="233"/>
      <x:c r="H763" s="233"/>
      <x:c r="I763" s="236"/>
      <x:c r="J763" s="236"/>
      <x:c r="K763" s="236"/>
      <x:c r="L763" s="236"/>
      <x:c r="M763" s="233"/>
      <x:c r="N763" s="233"/>
      <x:c r="O763" s="237"/>
      <x:c r="P763" s="236"/>
      <x:c r="Q763" s="236"/>
      <x:c r="R763" s="236"/>
      <x:c r="S763" s="241"/>
      <x:c r="T763" s="242"/>
    </x:row>
    <x:row r="764">
      <x:c r="A764" s="235"/>
      <x:c r="B764" s="236"/>
      <x:c r="C764" s="237"/>
      <x:c r="D764" s="236"/>
      <x:c r="E764" s="236"/>
      <x:c r="F764" s="236"/>
      <x:c r="G764" s="233"/>
      <x:c r="H764" s="233"/>
      <x:c r="I764" s="236"/>
      <x:c r="J764" s="236"/>
      <x:c r="K764" s="236"/>
      <x:c r="L764" s="236"/>
      <x:c r="M764" s="233"/>
      <x:c r="N764" s="233"/>
      <x:c r="O764" s="237"/>
      <x:c r="P764" s="236"/>
      <x:c r="Q764" s="236"/>
      <x:c r="R764" s="236"/>
      <x:c r="S764" s="241"/>
      <x:c r="T764" s="242"/>
    </x:row>
    <x:row r="765">
      <x:c r="A765" s="235"/>
      <x:c r="B765" s="236"/>
      <x:c r="C765" s="237"/>
      <x:c r="D765" s="236"/>
      <x:c r="E765" s="236"/>
      <x:c r="F765" s="236"/>
      <x:c r="G765" s="233"/>
      <x:c r="H765" s="233"/>
      <x:c r="I765" s="236"/>
      <x:c r="J765" s="236"/>
      <x:c r="K765" s="236"/>
      <x:c r="L765" s="236"/>
      <x:c r="M765" s="233"/>
      <x:c r="N765" s="233"/>
      <x:c r="O765" s="237"/>
      <x:c r="P765" s="236"/>
      <x:c r="Q765" s="236"/>
      <x:c r="R765" s="236"/>
      <x:c r="S765" s="241"/>
      <x:c r="T765" s="242"/>
    </x:row>
    <x:row r="766">
      <x:c r="A766" s="235"/>
      <x:c r="B766" s="236"/>
      <x:c r="C766" s="237"/>
      <x:c r="D766" s="236"/>
      <x:c r="E766" s="236"/>
      <x:c r="F766" s="236"/>
      <x:c r="G766" s="233"/>
      <x:c r="H766" s="233"/>
      <x:c r="I766" s="236"/>
      <x:c r="J766" s="236"/>
      <x:c r="K766" s="236"/>
      <x:c r="L766" s="236"/>
      <x:c r="M766" s="233"/>
      <x:c r="N766" s="233"/>
      <x:c r="O766" s="237"/>
      <x:c r="P766" s="236"/>
      <x:c r="Q766" s="236"/>
      <x:c r="R766" s="236"/>
      <x:c r="S766" s="241"/>
      <x:c r="T766" s="242"/>
    </x:row>
    <x:row r="767">
      <x:c r="A767" s="235"/>
      <x:c r="B767" s="236"/>
      <x:c r="C767" s="237"/>
      <x:c r="D767" s="236"/>
      <x:c r="E767" s="236"/>
      <x:c r="F767" s="236"/>
      <x:c r="G767" s="233"/>
      <x:c r="H767" s="233"/>
      <x:c r="I767" s="236"/>
      <x:c r="J767" s="236"/>
      <x:c r="K767" s="236"/>
      <x:c r="L767" s="236"/>
      <x:c r="M767" s="233"/>
      <x:c r="N767" s="233"/>
      <x:c r="O767" s="237"/>
      <x:c r="P767" s="236"/>
      <x:c r="Q767" s="236"/>
      <x:c r="R767" s="236"/>
      <x:c r="S767" s="241"/>
      <x:c r="T767" s="242"/>
    </x:row>
    <x:row r="768">
      <x:c r="A768" s="235"/>
      <x:c r="B768" s="236"/>
      <x:c r="C768" s="237"/>
      <x:c r="D768" s="236"/>
      <x:c r="E768" s="236"/>
      <x:c r="F768" s="236"/>
      <x:c r="G768" s="233"/>
      <x:c r="H768" s="233"/>
      <x:c r="I768" s="236"/>
      <x:c r="J768" s="236"/>
      <x:c r="K768" s="236"/>
      <x:c r="L768" s="236"/>
      <x:c r="M768" s="233"/>
      <x:c r="N768" s="233"/>
      <x:c r="O768" s="237"/>
      <x:c r="P768" s="236"/>
      <x:c r="Q768" s="236"/>
      <x:c r="R768" s="236"/>
      <x:c r="S768" s="241"/>
      <x:c r="T768" s="242"/>
    </x:row>
    <x:row r="769">
      <x:c r="A769" s="235"/>
      <x:c r="B769" s="236"/>
      <x:c r="C769" s="237"/>
      <x:c r="D769" s="236"/>
      <x:c r="E769" s="236"/>
      <x:c r="F769" s="236"/>
      <x:c r="G769" s="233"/>
      <x:c r="H769" s="233"/>
      <x:c r="I769" s="236"/>
      <x:c r="J769" s="236"/>
      <x:c r="K769" s="236"/>
      <x:c r="L769" s="236"/>
      <x:c r="M769" s="233"/>
      <x:c r="N769" s="233"/>
      <x:c r="O769" s="237"/>
      <x:c r="P769" s="236"/>
      <x:c r="Q769" s="236"/>
      <x:c r="R769" s="236"/>
      <x:c r="S769" s="241"/>
      <x:c r="T769" s="242"/>
    </x:row>
    <x:row r="770">
      <x:c r="A770" s="235"/>
      <x:c r="B770" s="236"/>
      <x:c r="C770" s="237"/>
      <x:c r="D770" s="236"/>
      <x:c r="E770" s="236"/>
      <x:c r="F770" s="236"/>
      <x:c r="G770" s="233"/>
      <x:c r="H770" s="233"/>
      <x:c r="I770" s="236"/>
      <x:c r="J770" s="236"/>
      <x:c r="K770" s="236"/>
      <x:c r="L770" s="236"/>
      <x:c r="M770" s="233"/>
      <x:c r="N770" s="233"/>
      <x:c r="O770" s="237"/>
      <x:c r="P770" s="236"/>
      <x:c r="Q770" s="236"/>
      <x:c r="R770" s="236"/>
      <x:c r="S770" s="241"/>
      <x:c r="T770" s="242"/>
    </x:row>
    <x:row r="771">
      <x:c r="A771" s="235"/>
      <x:c r="B771" s="236"/>
      <x:c r="C771" s="237"/>
      <x:c r="D771" s="236"/>
      <x:c r="E771" s="236"/>
      <x:c r="F771" s="236"/>
      <x:c r="G771" s="233"/>
      <x:c r="H771" s="233"/>
      <x:c r="I771" s="236"/>
      <x:c r="J771" s="236"/>
      <x:c r="K771" s="236"/>
      <x:c r="L771" s="236"/>
      <x:c r="M771" s="233"/>
      <x:c r="N771" s="233"/>
      <x:c r="O771" s="237"/>
      <x:c r="P771" s="236"/>
      <x:c r="Q771" s="236"/>
      <x:c r="R771" s="236"/>
      <x:c r="S771" s="241"/>
      <x:c r="T771" s="242"/>
    </x:row>
    <x:row r="772">
      <x:c r="A772" s="235"/>
      <x:c r="B772" s="236"/>
      <x:c r="C772" s="237"/>
      <x:c r="D772" s="236"/>
      <x:c r="E772" s="236"/>
      <x:c r="F772" s="236"/>
      <x:c r="G772" s="233"/>
      <x:c r="H772" s="233"/>
      <x:c r="I772" s="236"/>
      <x:c r="J772" s="236"/>
      <x:c r="K772" s="236"/>
      <x:c r="L772" s="236"/>
      <x:c r="M772" s="233"/>
      <x:c r="N772" s="233"/>
      <x:c r="O772" s="237"/>
      <x:c r="P772" s="236"/>
      <x:c r="Q772" s="236"/>
      <x:c r="R772" s="236"/>
      <x:c r="S772" s="241"/>
      <x:c r="T772" s="242"/>
    </x:row>
    <x:row r="773">
      <x:c r="A773" s="235"/>
      <x:c r="B773" s="236"/>
      <x:c r="C773" s="237"/>
      <x:c r="D773" s="236"/>
      <x:c r="E773" s="236"/>
      <x:c r="F773" s="236"/>
      <x:c r="G773" s="233"/>
      <x:c r="H773" s="233"/>
      <x:c r="I773" s="236"/>
      <x:c r="J773" s="236"/>
      <x:c r="K773" s="236"/>
      <x:c r="L773" s="236"/>
      <x:c r="M773" s="233"/>
      <x:c r="N773" s="233"/>
      <x:c r="O773" s="237"/>
      <x:c r="P773" s="236"/>
      <x:c r="Q773" s="236"/>
      <x:c r="R773" s="236"/>
      <x:c r="S773" s="241"/>
      <x:c r="T773" s="242"/>
    </x:row>
    <x:row r="774">
      <x:c r="A774" s="235"/>
      <x:c r="B774" s="236"/>
      <x:c r="C774" s="237"/>
      <x:c r="D774" s="236"/>
      <x:c r="E774" s="236"/>
      <x:c r="F774" s="236"/>
      <x:c r="G774" s="233"/>
      <x:c r="H774" s="233"/>
      <x:c r="I774" s="236"/>
      <x:c r="J774" s="236"/>
      <x:c r="K774" s="236"/>
      <x:c r="L774" s="236"/>
      <x:c r="M774" s="233"/>
      <x:c r="N774" s="233"/>
      <x:c r="O774" s="237"/>
      <x:c r="P774" s="236"/>
      <x:c r="Q774" s="236"/>
      <x:c r="R774" s="236"/>
      <x:c r="S774" s="241"/>
      <x:c r="T774" s="242"/>
    </x:row>
    <x:row r="775">
      <x:c r="A775" s="235"/>
      <x:c r="B775" s="236"/>
      <x:c r="C775" s="237"/>
      <x:c r="D775" s="236"/>
      <x:c r="E775" s="236"/>
      <x:c r="F775" s="236"/>
      <x:c r="G775" s="233"/>
      <x:c r="H775" s="233"/>
      <x:c r="I775" s="236"/>
      <x:c r="J775" s="236"/>
      <x:c r="K775" s="236"/>
      <x:c r="L775" s="236"/>
      <x:c r="M775" s="233"/>
      <x:c r="N775" s="233"/>
      <x:c r="O775" s="237"/>
      <x:c r="P775" s="236"/>
      <x:c r="Q775" s="236"/>
      <x:c r="R775" s="236"/>
      <x:c r="S775" s="241"/>
      <x:c r="T775" s="242"/>
    </x:row>
    <x:row r="776">
      <x:c r="A776" s="235"/>
      <x:c r="B776" s="236"/>
      <x:c r="C776" s="237"/>
      <x:c r="D776" s="236"/>
      <x:c r="E776" s="236"/>
      <x:c r="F776" s="236"/>
      <x:c r="G776" s="233"/>
      <x:c r="H776" s="233"/>
      <x:c r="I776" s="236"/>
      <x:c r="J776" s="236"/>
      <x:c r="K776" s="236"/>
      <x:c r="L776" s="236"/>
      <x:c r="M776" s="233"/>
      <x:c r="N776" s="233"/>
      <x:c r="O776" s="237"/>
      <x:c r="P776" s="236"/>
      <x:c r="Q776" s="236"/>
      <x:c r="R776" s="236"/>
      <x:c r="S776" s="241"/>
      <x:c r="T776" s="242"/>
    </x:row>
    <x:row r="777">
      <x:c r="A777" s="235"/>
      <x:c r="B777" s="236"/>
      <x:c r="C777" s="237"/>
      <x:c r="D777" s="236"/>
      <x:c r="E777" s="236"/>
      <x:c r="F777" s="236"/>
      <x:c r="G777" s="233"/>
      <x:c r="H777" s="233"/>
      <x:c r="I777" s="236"/>
      <x:c r="J777" s="236"/>
      <x:c r="K777" s="236"/>
      <x:c r="L777" s="236"/>
      <x:c r="M777" s="233"/>
      <x:c r="N777" s="233"/>
      <x:c r="O777" s="237"/>
      <x:c r="P777" s="236"/>
      <x:c r="Q777" s="236"/>
      <x:c r="R777" s="236"/>
      <x:c r="S777" s="241"/>
      <x:c r="T777" s="242"/>
    </x:row>
    <x:row r="778">
      <x:c r="A778" s="235"/>
      <x:c r="B778" s="236"/>
      <x:c r="C778" s="237"/>
      <x:c r="D778" s="236"/>
      <x:c r="E778" s="236"/>
      <x:c r="F778" s="236"/>
      <x:c r="G778" s="233"/>
      <x:c r="H778" s="233"/>
      <x:c r="I778" s="236"/>
      <x:c r="J778" s="236"/>
      <x:c r="K778" s="236"/>
      <x:c r="L778" s="236"/>
      <x:c r="M778" s="233"/>
      <x:c r="N778" s="233"/>
      <x:c r="O778" s="237"/>
      <x:c r="P778" s="236"/>
      <x:c r="Q778" s="236"/>
      <x:c r="R778" s="236"/>
      <x:c r="S778" s="241"/>
      <x:c r="T778" s="242"/>
    </x:row>
    <x:row r="779">
      <x:c r="A779" s="235"/>
      <x:c r="B779" s="236"/>
      <x:c r="C779" s="237"/>
      <x:c r="D779" s="236"/>
      <x:c r="E779" s="236"/>
      <x:c r="F779" s="236"/>
      <x:c r="G779" s="233"/>
      <x:c r="H779" s="233"/>
      <x:c r="I779" s="236"/>
      <x:c r="J779" s="236"/>
      <x:c r="K779" s="236"/>
      <x:c r="L779" s="236"/>
      <x:c r="M779" s="233"/>
      <x:c r="N779" s="233"/>
      <x:c r="O779" s="237"/>
      <x:c r="P779" s="236"/>
      <x:c r="Q779" s="236"/>
      <x:c r="R779" s="236"/>
      <x:c r="S779" s="241"/>
      <x:c r="T779" s="242"/>
    </x:row>
    <x:row r="780">
      <x:c r="A780" s="235"/>
      <x:c r="B780" s="236"/>
      <x:c r="C780" s="237"/>
      <x:c r="D780" s="236"/>
      <x:c r="E780" s="236"/>
      <x:c r="F780" s="236"/>
      <x:c r="G780" s="233"/>
      <x:c r="H780" s="233"/>
      <x:c r="I780" s="236"/>
      <x:c r="J780" s="236"/>
      <x:c r="K780" s="236"/>
      <x:c r="L780" s="236"/>
      <x:c r="M780" s="233"/>
      <x:c r="N780" s="233"/>
      <x:c r="O780" s="237"/>
      <x:c r="P780" s="236"/>
      <x:c r="Q780" s="236"/>
      <x:c r="R780" s="236"/>
      <x:c r="S780" s="241"/>
      <x:c r="T780" s="242"/>
    </x:row>
    <x:row r="781">
      <x:c r="A781" s="235"/>
      <x:c r="B781" s="236"/>
      <x:c r="C781" s="237"/>
      <x:c r="D781" s="236"/>
      <x:c r="E781" s="236"/>
      <x:c r="F781" s="236"/>
      <x:c r="G781" s="233"/>
      <x:c r="H781" s="233"/>
      <x:c r="I781" s="236"/>
      <x:c r="J781" s="236"/>
      <x:c r="K781" s="236"/>
      <x:c r="L781" s="236"/>
      <x:c r="M781" s="233"/>
      <x:c r="N781" s="233"/>
      <x:c r="O781" s="237"/>
      <x:c r="P781" s="236"/>
      <x:c r="Q781" s="236"/>
      <x:c r="R781" s="236"/>
      <x:c r="S781" s="241"/>
      <x:c r="T781" s="242"/>
    </x:row>
    <x:row r="782">
      <x:c r="A782" s="235"/>
      <x:c r="B782" s="236"/>
      <x:c r="C782" s="237"/>
      <x:c r="D782" s="236"/>
      <x:c r="E782" s="236"/>
      <x:c r="F782" s="236"/>
      <x:c r="G782" s="233"/>
      <x:c r="H782" s="233"/>
      <x:c r="I782" s="236"/>
      <x:c r="J782" s="236"/>
      <x:c r="K782" s="236"/>
      <x:c r="L782" s="236"/>
      <x:c r="M782" s="233"/>
      <x:c r="N782" s="233"/>
      <x:c r="O782" s="237"/>
      <x:c r="P782" s="236"/>
      <x:c r="Q782" s="236"/>
      <x:c r="R782" s="236"/>
      <x:c r="S782" s="241"/>
      <x:c r="T782" s="242"/>
    </x:row>
    <x:row r="783">
      <x:c r="A783" s="235"/>
      <x:c r="B783" s="236"/>
      <x:c r="C783" s="237"/>
      <x:c r="D783" s="236"/>
      <x:c r="E783" s="236"/>
      <x:c r="F783" s="236"/>
      <x:c r="G783" s="233"/>
      <x:c r="H783" s="233"/>
      <x:c r="I783" s="236"/>
      <x:c r="J783" s="236"/>
      <x:c r="K783" s="236"/>
      <x:c r="L783" s="236"/>
      <x:c r="M783" s="233"/>
      <x:c r="N783" s="233"/>
      <x:c r="O783" s="237"/>
      <x:c r="P783" s="236"/>
      <x:c r="Q783" s="236"/>
      <x:c r="R783" s="236"/>
      <x:c r="S783" s="241"/>
      <x:c r="T783" s="242"/>
    </x:row>
    <x:row r="784">
      <x:c r="A784" s="235"/>
      <x:c r="B784" s="236"/>
      <x:c r="C784" s="237"/>
      <x:c r="D784" s="236"/>
      <x:c r="E784" s="236"/>
      <x:c r="F784" s="236"/>
      <x:c r="G784" s="233"/>
      <x:c r="H784" s="233"/>
      <x:c r="I784" s="236"/>
      <x:c r="J784" s="236"/>
      <x:c r="K784" s="236"/>
      <x:c r="L784" s="236"/>
      <x:c r="M784" s="233"/>
      <x:c r="N784" s="233"/>
      <x:c r="O784" s="237"/>
      <x:c r="P784" s="236"/>
      <x:c r="Q784" s="236"/>
      <x:c r="R784" s="236"/>
      <x:c r="S784" s="241"/>
      <x:c r="T784" s="242"/>
    </x:row>
    <x:row r="785">
      <x:c r="A785" s="235"/>
      <x:c r="B785" s="236"/>
      <x:c r="C785" s="237"/>
      <x:c r="D785" s="236"/>
      <x:c r="E785" s="236"/>
      <x:c r="F785" s="236"/>
      <x:c r="G785" s="233"/>
      <x:c r="H785" s="233"/>
      <x:c r="I785" s="236"/>
      <x:c r="J785" s="236"/>
      <x:c r="K785" s="236"/>
      <x:c r="L785" s="236"/>
      <x:c r="M785" s="233"/>
      <x:c r="N785" s="233"/>
      <x:c r="O785" s="237"/>
      <x:c r="P785" s="236"/>
      <x:c r="Q785" s="236"/>
      <x:c r="R785" s="236"/>
      <x:c r="S785" s="241"/>
      <x:c r="T785" s="242"/>
    </x:row>
    <x:row r="786">
      <x:c r="A786" s="235"/>
      <x:c r="B786" s="236"/>
      <x:c r="C786" s="237"/>
      <x:c r="D786" s="236"/>
      <x:c r="E786" s="236"/>
      <x:c r="F786" s="236"/>
      <x:c r="G786" s="233"/>
      <x:c r="H786" s="233"/>
      <x:c r="I786" s="236"/>
      <x:c r="J786" s="236"/>
      <x:c r="K786" s="236"/>
      <x:c r="L786" s="236"/>
      <x:c r="M786" s="233"/>
      <x:c r="N786" s="233"/>
      <x:c r="O786" s="237"/>
      <x:c r="P786" s="236"/>
      <x:c r="Q786" s="236"/>
      <x:c r="R786" s="236"/>
      <x:c r="S786" s="241"/>
      <x:c r="T786" s="242"/>
    </x:row>
    <x:row r="787">
      <x:c r="A787" s="235"/>
      <x:c r="B787" s="236"/>
      <x:c r="C787" s="237"/>
      <x:c r="D787" s="236"/>
      <x:c r="E787" s="236"/>
      <x:c r="F787" s="236"/>
      <x:c r="G787" s="233"/>
      <x:c r="H787" s="233"/>
      <x:c r="I787" s="236"/>
      <x:c r="J787" s="236"/>
      <x:c r="K787" s="236"/>
      <x:c r="L787" s="236"/>
      <x:c r="M787" s="233"/>
      <x:c r="N787" s="233"/>
      <x:c r="O787" s="237"/>
      <x:c r="P787" s="236"/>
      <x:c r="Q787" s="236"/>
      <x:c r="R787" s="236"/>
      <x:c r="S787" s="241"/>
      <x:c r="T787" s="242"/>
    </x:row>
    <x:row r="788">
      <x:c r="A788" s="235"/>
      <x:c r="B788" s="236"/>
      <x:c r="C788" s="237"/>
      <x:c r="D788" s="236"/>
      <x:c r="E788" s="236"/>
      <x:c r="F788" s="236"/>
      <x:c r="G788" s="233"/>
      <x:c r="H788" s="233"/>
      <x:c r="I788" s="236"/>
      <x:c r="J788" s="236"/>
      <x:c r="K788" s="236"/>
      <x:c r="L788" s="236"/>
      <x:c r="M788" s="233"/>
      <x:c r="N788" s="233"/>
      <x:c r="O788" s="237"/>
      <x:c r="P788" s="236"/>
      <x:c r="Q788" s="236"/>
      <x:c r="R788" s="236"/>
      <x:c r="S788" s="241"/>
      <x:c r="T788" s="242"/>
    </x:row>
    <x:row r="789">
      <x:c r="A789" s="235"/>
      <x:c r="B789" s="236"/>
      <x:c r="C789" s="237"/>
      <x:c r="D789" s="236"/>
      <x:c r="E789" s="236"/>
      <x:c r="F789" s="236"/>
      <x:c r="G789" s="233"/>
      <x:c r="H789" s="233"/>
      <x:c r="I789" s="236"/>
      <x:c r="J789" s="236"/>
      <x:c r="K789" s="236"/>
      <x:c r="L789" s="236"/>
      <x:c r="M789" s="233"/>
      <x:c r="N789" s="233"/>
      <x:c r="O789" s="237"/>
      <x:c r="P789" s="236"/>
      <x:c r="Q789" s="236"/>
      <x:c r="R789" s="236"/>
      <x:c r="S789" s="241"/>
      <x:c r="T789" s="242"/>
    </x:row>
    <x:row r="790">
      <x:c r="A790" s="235"/>
      <x:c r="B790" s="236"/>
      <x:c r="C790" s="237"/>
      <x:c r="D790" s="236"/>
      <x:c r="E790" s="236"/>
      <x:c r="F790" s="236"/>
      <x:c r="G790" s="233"/>
      <x:c r="H790" s="233"/>
      <x:c r="I790" s="236"/>
      <x:c r="J790" s="236"/>
      <x:c r="K790" s="236"/>
      <x:c r="L790" s="236"/>
      <x:c r="M790" s="233"/>
      <x:c r="N790" s="233"/>
      <x:c r="O790" s="237"/>
      <x:c r="P790" s="236"/>
      <x:c r="Q790" s="236"/>
      <x:c r="R790" s="236"/>
      <x:c r="S790" s="241"/>
      <x:c r="T790" s="242"/>
    </x:row>
    <x:row r="791">
      <x:c r="A791" s="235"/>
      <x:c r="B791" s="236"/>
      <x:c r="C791" s="237"/>
      <x:c r="D791" s="236"/>
      <x:c r="E791" s="236"/>
      <x:c r="F791" s="236"/>
      <x:c r="G791" s="233"/>
      <x:c r="H791" s="233"/>
      <x:c r="I791" s="236"/>
      <x:c r="J791" s="236"/>
      <x:c r="K791" s="236"/>
      <x:c r="L791" s="236"/>
      <x:c r="M791" s="233"/>
      <x:c r="N791" s="233"/>
      <x:c r="O791" s="237"/>
      <x:c r="P791" s="236"/>
      <x:c r="Q791" s="236"/>
      <x:c r="R791" s="236"/>
      <x:c r="S791" s="241"/>
      <x:c r="T791" s="242"/>
    </x:row>
    <x:row r="792">
      <x:c r="A792" s="235"/>
      <x:c r="B792" s="236"/>
      <x:c r="C792" s="237"/>
      <x:c r="D792" s="236"/>
      <x:c r="E792" s="236"/>
      <x:c r="F792" s="236"/>
      <x:c r="G792" s="233"/>
      <x:c r="H792" s="233"/>
      <x:c r="I792" s="236"/>
      <x:c r="J792" s="236"/>
      <x:c r="K792" s="236"/>
      <x:c r="L792" s="236"/>
      <x:c r="M792" s="233"/>
      <x:c r="N792" s="233"/>
      <x:c r="O792" s="237"/>
      <x:c r="P792" s="236"/>
      <x:c r="Q792" s="236"/>
      <x:c r="R792" s="236"/>
      <x:c r="S792" s="241"/>
      <x:c r="T792" s="242"/>
    </x:row>
    <x:row r="793">
      <x:c r="A793" s="235"/>
      <x:c r="B793" s="236"/>
      <x:c r="C793" s="237"/>
      <x:c r="D793" s="236"/>
      <x:c r="E793" s="236"/>
      <x:c r="F793" s="236"/>
      <x:c r="G793" s="233"/>
      <x:c r="H793" s="233"/>
      <x:c r="I793" s="236"/>
      <x:c r="J793" s="236"/>
      <x:c r="K793" s="236"/>
      <x:c r="L793" s="236"/>
      <x:c r="M793" s="233"/>
      <x:c r="N793" s="233"/>
      <x:c r="O793" s="237"/>
      <x:c r="P793" s="236"/>
      <x:c r="Q793" s="236"/>
      <x:c r="R793" s="236"/>
      <x:c r="S793" s="241"/>
      <x:c r="T793" s="242"/>
    </x:row>
    <x:row r="794">
      <x:c r="A794" s="235"/>
      <x:c r="B794" s="236"/>
      <x:c r="C794" s="237"/>
      <x:c r="D794" s="236"/>
      <x:c r="E794" s="236"/>
      <x:c r="F794" s="236"/>
      <x:c r="G794" s="233"/>
      <x:c r="H794" s="233"/>
      <x:c r="I794" s="236"/>
      <x:c r="J794" s="236"/>
      <x:c r="K794" s="236"/>
      <x:c r="L794" s="236"/>
      <x:c r="M794" s="233"/>
      <x:c r="N794" s="233"/>
      <x:c r="O794" s="237"/>
      <x:c r="P794" s="236"/>
      <x:c r="Q794" s="236"/>
      <x:c r="R794" s="236"/>
      <x:c r="S794" s="241"/>
      <x:c r="T794" s="242"/>
    </x:row>
    <x:row r="795">
      <x:c r="A795" s="235"/>
      <x:c r="B795" s="236"/>
      <x:c r="C795" s="237"/>
      <x:c r="D795" s="236"/>
      <x:c r="E795" s="236"/>
      <x:c r="F795" s="236"/>
      <x:c r="G795" s="233"/>
      <x:c r="H795" s="233"/>
      <x:c r="I795" s="236"/>
      <x:c r="J795" s="236"/>
      <x:c r="K795" s="236"/>
      <x:c r="L795" s="236"/>
      <x:c r="M795" s="233"/>
      <x:c r="N795" s="233"/>
      <x:c r="O795" s="237"/>
      <x:c r="P795" s="236"/>
      <x:c r="Q795" s="236"/>
      <x:c r="R795" s="236"/>
      <x:c r="S795" s="241"/>
      <x:c r="T795" s="242"/>
    </x:row>
    <x:row r="796">
      <x:c r="A796" s="235"/>
      <x:c r="B796" s="236"/>
      <x:c r="C796" s="237"/>
      <x:c r="D796" s="236"/>
      <x:c r="E796" s="236"/>
      <x:c r="F796" s="236"/>
      <x:c r="G796" s="233"/>
      <x:c r="H796" s="233"/>
      <x:c r="I796" s="236"/>
      <x:c r="J796" s="236"/>
      <x:c r="K796" s="236"/>
      <x:c r="L796" s="236"/>
      <x:c r="M796" s="233"/>
      <x:c r="N796" s="233"/>
      <x:c r="O796" s="237"/>
      <x:c r="P796" s="236"/>
      <x:c r="Q796" s="236"/>
      <x:c r="R796" s="236"/>
      <x:c r="S796" s="241"/>
      <x:c r="T796" s="242"/>
    </x:row>
    <x:row r="797">
      <x:c r="A797" s="235"/>
      <x:c r="B797" s="236"/>
      <x:c r="C797" s="237"/>
      <x:c r="D797" s="236"/>
      <x:c r="E797" s="236"/>
      <x:c r="F797" s="236"/>
      <x:c r="G797" s="233"/>
      <x:c r="H797" s="233"/>
      <x:c r="I797" s="236"/>
      <x:c r="J797" s="236"/>
      <x:c r="K797" s="236"/>
      <x:c r="L797" s="236"/>
      <x:c r="M797" s="233"/>
      <x:c r="N797" s="233"/>
      <x:c r="O797" s="237"/>
      <x:c r="P797" s="236"/>
      <x:c r="Q797" s="236"/>
      <x:c r="R797" s="236"/>
      <x:c r="S797" s="241"/>
      <x:c r="T797" s="242"/>
    </x:row>
    <x:row r="798">
      <x:c r="A798" s="235"/>
      <x:c r="B798" s="236"/>
      <x:c r="C798" s="237"/>
      <x:c r="D798" s="236"/>
      <x:c r="E798" s="236"/>
      <x:c r="F798" s="236"/>
      <x:c r="G798" s="233"/>
      <x:c r="H798" s="233"/>
      <x:c r="I798" s="236"/>
      <x:c r="J798" s="236"/>
      <x:c r="K798" s="236"/>
      <x:c r="L798" s="236"/>
      <x:c r="M798" s="233"/>
      <x:c r="N798" s="233"/>
      <x:c r="O798" s="237"/>
      <x:c r="P798" s="236"/>
      <x:c r="Q798" s="236"/>
      <x:c r="R798" s="236"/>
      <x:c r="S798" s="241"/>
      <x:c r="T798" s="242"/>
    </x:row>
    <x:row r="799">
      <x:c r="A799" s="235"/>
      <x:c r="B799" s="236"/>
      <x:c r="C799" s="237"/>
      <x:c r="D799" s="236"/>
      <x:c r="E799" s="236"/>
      <x:c r="F799" s="236"/>
      <x:c r="G799" s="233"/>
      <x:c r="H799" s="233"/>
      <x:c r="I799" s="236"/>
      <x:c r="J799" s="236"/>
      <x:c r="K799" s="236"/>
      <x:c r="L799" s="236"/>
      <x:c r="M799" s="233"/>
      <x:c r="N799" s="233"/>
      <x:c r="O799" s="237"/>
      <x:c r="P799" s="236"/>
      <x:c r="Q799" s="236"/>
      <x:c r="R799" s="236"/>
      <x:c r="S799" s="241"/>
      <x:c r="T799" s="242"/>
    </x:row>
    <x:row r="800">
      <x:c r="A800" s="235"/>
      <x:c r="B800" s="236"/>
      <x:c r="C800" s="237"/>
      <x:c r="D800" s="236"/>
      <x:c r="E800" s="236"/>
      <x:c r="F800" s="236"/>
      <x:c r="G800" s="233"/>
      <x:c r="H800" s="233"/>
      <x:c r="I800" s="236"/>
      <x:c r="J800" s="236"/>
      <x:c r="K800" s="236"/>
      <x:c r="L800" s="236"/>
      <x:c r="M800" s="233"/>
      <x:c r="N800" s="233"/>
      <x:c r="O800" s="237"/>
      <x:c r="P800" s="236"/>
      <x:c r="Q800" s="236"/>
      <x:c r="R800" s="236"/>
      <x:c r="S800" s="241"/>
      <x:c r="T800" s="242"/>
    </x:row>
    <x:row r="801">
      <x:c r="A801" s="235"/>
      <x:c r="B801" s="236"/>
      <x:c r="C801" s="237"/>
      <x:c r="D801" s="236"/>
      <x:c r="E801" s="236"/>
      <x:c r="F801" s="236"/>
      <x:c r="G801" s="233"/>
      <x:c r="H801" s="233"/>
      <x:c r="I801" s="236"/>
      <x:c r="J801" s="236"/>
      <x:c r="K801" s="236"/>
      <x:c r="L801" s="236"/>
      <x:c r="M801" s="233"/>
      <x:c r="N801" s="233"/>
      <x:c r="O801" s="237"/>
      <x:c r="P801" s="236"/>
      <x:c r="Q801" s="236"/>
      <x:c r="R801" s="236"/>
      <x:c r="S801" s="241"/>
      <x:c r="T801" s="242"/>
    </x:row>
    <x:row r="802">
      <x:c r="A802" s="235"/>
      <x:c r="B802" s="236"/>
      <x:c r="C802" s="237"/>
      <x:c r="D802" s="236"/>
      <x:c r="E802" s="236"/>
      <x:c r="F802" s="236"/>
      <x:c r="G802" s="233"/>
      <x:c r="H802" s="233"/>
      <x:c r="I802" s="236"/>
      <x:c r="J802" s="236"/>
      <x:c r="K802" s="236"/>
      <x:c r="L802" s="236"/>
      <x:c r="M802" s="233"/>
      <x:c r="N802" s="233"/>
      <x:c r="O802" s="237"/>
      <x:c r="P802" s="236"/>
      <x:c r="Q802" s="236"/>
      <x:c r="R802" s="236"/>
      <x:c r="S802" s="241"/>
      <x:c r="T802" s="242"/>
    </x:row>
    <x:row r="803">
      <x:c r="A803" s="235"/>
      <x:c r="B803" s="236"/>
      <x:c r="C803" s="237"/>
      <x:c r="D803" s="236"/>
      <x:c r="E803" s="236"/>
      <x:c r="F803" s="236"/>
      <x:c r="G803" s="233"/>
      <x:c r="H803" s="233"/>
      <x:c r="I803" s="236"/>
      <x:c r="J803" s="236"/>
      <x:c r="K803" s="236"/>
      <x:c r="L803" s="236"/>
      <x:c r="M803" s="233"/>
      <x:c r="N803" s="233"/>
      <x:c r="O803" s="237"/>
      <x:c r="P803" s="236"/>
      <x:c r="Q803" s="236"/>
      <x:c r="R803" s="236"/>
      <x:c r="S803" s="241"/>
      <x:c r="T803" s="242"/>
    </x:row>
    <x:row r="804">
      <x:c r="A804" s="235"/>
      <x:c r="B804" s="236"/>
      <x:c r="C804" s="237"/>
      <x:c r="D804" s="236"/>
      <x:c r="E804" s="236"/>
      <x:c r="F804" s="236"/>
      <x:c r="G804" s="233"/>
      <x:c r="H804" s="233"/>
      <x:c r="I804" s="236"/>
      <x:c r="J804" s="236"/>
      <x:c r="K804" s="236"/>
      <x:c r="L804" s="236"/>
      <x:c r="M804" s="233"/>
      <x:c r="N804" s="233"/>
      <x:c r="O804" s="237"/>
      <x:c r="P804" s="236"/>
      <x:c r="Q804" s="236"/>
      <x:c r="R804" s="236"/>
      <x:c r="S804" s="241"/>
      <x:c r="T804" s="242"/>
    </x:row>
    <x:row r="805">
      <x:c r="A805" s="235"/>
      <x:c r="B805" s="236"/>
      <x:c r="C805" s="237"/>
      <x:c r="D805" s="236"/>
      <x:c r="E805" s="236"/>
      <x:c r="F805" s="236"/>
      <x:c r="G805" s="233"/>
      <x:c r="H805" s="233"/>
      <x:c r="I805" s="236"/>
      <x:c r="J805" s="236"/>
      <x:c r="K805" s="236"/>
      <x:c r="L805" s="236"/>
      <x:c r="M805" s="233"/>
      <x:c r="N805" s="233"/>
      <x:c r="O805" s="237"/>
      <x:c r="P805" s="236"/>
      <x:c r="Q805" s="236"/>
      <x:c r="R805" s="236"/>
      <x:c r="S805" s="241"/>
      <x:c r="T805" s="242"/>
    </x:row>
    <x:row r="806">
      <x:c r="A806" s="235"/>
      <x:c r="B806" s="236"/>
      <x:c r="C806" s="237"/>
      <x:c r="D806" s="236"/>
      <x:c r="E806" s="236"/>
      <x:c r="F806" s="236"/>
      <x:c r="G806" s="233"/>
      <x:c r="H806" s="233"/>
      <x:c r="I806" s="236"/>
      <x:c r="J806" s="236"/>
      <x:c r="K806" s="236"/>
      <x:c r="L806" s="236"/>
      <x:c r="M806" s="233"/>
      <x:c r="N806" s="233"/>
      <x:c r="O806" s="237"/>
      <x:c r="P806" s="236"/>
      <x:c r="Q806" s="236"/>
      <x:c r="R806" s="236"/>
      <x:c r="S806" s="241"/>
      <x:c r="T806" s="242"/>
    </x:row>
    <x:row r="807">
      <x:c r="A807" s="235"/>
      <x:c r="B807" s="236"/>
      <x:c r="C807" s="237"/>
      <x:c r="D807" s="236"/>
      <x:c r="E807" s="236"/>
      <x:c r="F807" s="236"/>
      <x:c r="G807" s="233"/>
      <x:c r="H807" s="233"/>
      <x:c r="I807" s="236"/>
      <x:c r="J807" s="236"/>
      <x:c r="K807" s="236"/>
      <x:c r="L807" s="236"/>
      <x:c r="M807" s="233"/>
      <x:c r="N807" s="233"/>
      <x:c r="O807" s="237"/>
      <x:c r="P807" s="236"/>
      <x:c r="Q807" s="236"/>
      <x:c r="R807" s="236"/>
      <x:c r="S807" s="241"/>
      <x:c r="T807" s="242"/>
    </x:row>
    <x:row r="808">
      <x:c r="A808" s="235"/>
      <x:c r="B808" s="236"/>
      <x:c r="C808" s="237"/>
      <x:c r="D808" s="236"/>
      <x:c r="E808" s="236"/>
      <x:c r="F808" s="236"/>
      <x:c r="G808" s="233"/>
      <x:c r="H808" s="233"/>
      <x:c r="I808" s="236"/>
      <x:c r="J808" s="236"/>
      <x:c r="K808" s="236"/>
      <x:c r="L808" s="236"/>
      <x:c r="M808" s="233"/>
      <x:c r="N808" s="233"/>
      <x:c r="O808" s="237"/>
      <x:c r="P808" s="236"/>
      <x:c r="Q808" s="236"/>
      <x:c r="R808" s="236"/>
      <x:c r="S808" s="241"/>
      <x:c r="T808" s="242"/>
    </x:row>
    <x:row r="809">
      <x:c r="A809" s="235"/>
      <x:c r="B809" s="236"/>
      <x:c r="C809" s="237"/>
      <x:c r="D809" s="236"/>
      <x:c r="E809" s="236"/>
      <x:c r="F809" s="236"/>
      <x:c r="G809" s="233"/>
      <x:c r="H809" s="233"/>
      <x:c r="I809" s="236"/>
      <x:c r="J809" s="236"/>
      <x:c r="K809" s="236"/>
      <x:c r="L809" s="236"/>
      <x:c r="M809" s="233"/>
      <x:c r="N809" s="233"/>
      <x:c r="O809" s="237"/>
      <x:c r="P809" s="236"/>
      <x:c r="Q809" s="236"/>
      <x:c r="R809" s="236"/>
      <x:c r="S809" s="241"/>
      <x:c r="T809" s="242"/>
    </x:row>
    <x:row r="810">
      <x:c r="A810" s="235"/>
      <x:c r="B810" s="236"/>
      <x:c r="C810" s="237"/>
      <x:c r="D810" s="236"/>
      <x:c r="E810" s="236"/>
      <x:c r="F810" s="236"/>
      <x:c r="G810" s="233"/>
      <x:c r="H810" s="233"/>
      <x:c r="I810" s="236"/>
      <x:c r="J810" s="236"/>
      <x:c r="K810" s="236"/>
      <x:c r="L810" s="236"/>
      <x:c r="M810" s="233"/>
      <x:c r="N810" s="233"/>
      <x:c r="O810" s="237"/>
      <x:c r="P810" s="236"/>
      <x:c r="Q810" s="236"/>
      <x:c r="R810" s="236"/>
      <x:c r="S810" s="241"/>
      <x:c r="T810" s="242"/>
    </x:row>
    <x:row r="811">
      <x:c r="A811" s="235"/>
      <x:c r="B811" s="236"/>
      <x:c r="C811" s="237"/>
      <x:c r="D811" s="236"/>
      <x:c r="E811" s="236"/>
      <x:c r="F811" s="236"/>
      <x:c r="G811" s="233"/>
      <x:c r="H811" s="233"/>
      <x:c r="I811" s="236"/>
      <x:c r="J811" s="236"/>
      <x:c r="K811" s="236"/>
      <x:c r="L811" s="236"/>
      <x:c r="M811" s="233"/>
      <x:c r="N811" s="233"/>
      <x:c r="O811" s="237"/>
      <x:c r="P811" s="236"/>
      <x:c r="Q811" s="236"/>
      <x:c r="R811" s="236"/>
      <x:c r="S811" s="241"/>
      <x:c r="T811" s="242"/>
    </x:row>
    <x:row r="812">
      <x:c r="A812" s="235"/>
      <x:c r="B812" s="236"/>
      <x:c r="C812" s="237"/>
      <x:c r="D812" s="236"/>
      <x:c r="E812" s="236"/>
      <x:c r="F812" s="236"/>
      <x:c r="G812" s="233"/>
      <x:c r="H812" s="233"/>
      <x:c r="I812" s="236"/>
      <x:c r="J812" s="236"/>
      <x:c r="K812" s="236"/>
      <x:c r="L812" s="236"/>
      <x:c r="M812" s="233"/>
      <x:c r="N812" s="233"/>
      <x:c r="O812" s="237"/>
      <x:c r="P812" s="236"/>
      <x:c r="Q812" s="236"/>
      <x:c r="R812" s="236"/>
      <x:c r="S812" s="241"/>
      <x:c r="T812" s="242"/>
    </x:row>
    <x:row r="813">
      <x:c r="A813" s="235"/>
      <x:c r="B813" s="236"/>
      <x:c r="C813" s="237"/>
      <x:c r="D813" s="236"/>
      <x:c r="E813" s="236"/>
      <x:c r="F813" s="236"/>
      <x:c r="G813" s="233"/>
      <x:c r="H813" s="233"/>
      <x:c r="I813" s="236"/>
      <x:c r="J813" s="236"/>
      <x:c r="K813" s="236"/>
      <x:c r="L813" s="236"/>
      <x:c r="M813" s="233"/>
      <x:c r="N813" s="233"/>
      <x:c r="O813" s="237"/>
      <x:c r="P813" s="236"/>
      <x:c r="Q813" s="236"/>
      <x:c r="R813" s="236"/>
      <x:c r="S813" s="241"/>
      <x:c r="T813" s="242"/>
    </x:row>
    <x:row r="814">
      <x:c r="A814" s="235"/>
      <x:c r="B814" s="236"/>
      <x:c r="C814" s="237"/>
      <x:c r="D814" s="236"/>
      <x:c r="E814" s="236"/>
      <x:c r="F814" s="236"/>
      <x:c r="G814" s="233"/>
      <x:c r="H814" s="233"/>
      <x:c r="I814" s="236"/>
      <x:c r="J814" s="236"/>
      <x:c r="K814" s="236"/>
      <x:c r="L814" s="236"/>
      <x:c r="M814" s="233"/>
      <x:c r="N814" s="233"/>
      <x:c r="O814" s="237"/>
      <x:c r="P814" s="236"/>
      <x:c r="Q814" s="236"/>
      <x:c r="R814" s="236"/>
      <x:c r="S814" s="241"/>
      <x:c r="T814" s="242"/>
    </x:row>
    <x:row r="815">
      <x:c r="A815" s="235"/>
      <x:c r="B815" s="236"/>
      <x:c r="C815" s="237"/>
      <x:c r="D815" s="236"/>
      <x:c r="E815" s="236"/>
      <x:c r="F815" s="236"/>
      <x:c r="G815" s="233"/>
      <x:c r="H815" s="233"/>
      <x:c r="I815" s="236"/>
      <x:c r="J815" s="236"/>
      <x:c r="K815" s="236"/>
      <x:c r="L815" s="236"/>
      <x:c r="M815" s="233"/>
      <x:c r="N815" s="233"/>
      <x:c r="O815" s="237"/>
      <x:c r="P815" s="236"/>
      <x:c r="Q815" s="236"/>
      <x:c r="R815" s="236"/>
      <x:c r="S815" s="241"/>
      <x:c r="T815" s="242"/>
    </x:row>
    <x:row r="816">
      <x:c r="A816" s="235"/>
      <x:c r="B816" s="236"/>
      <x:c r="C816" s="237"/>
      <x:c r="D816" s="236"/>
      <x:c r="E816" s="236"/>
      <x:c r="F816" s="236"/>
      <x:c r="G816" s="233"/>
      <x:c r="H816" s="233"/>
      <x:c r="I816" s="236"/>
      <x:c r="J816" s="236"/>
      <x:c r="K816" s="236"/>
      <x:c r="L816" s="236"/>
      <x:c r="M816" s="233"/>
      <x:c r="N816" s="233"/>
      <x:c r="O816" s="237"/>
      <x:c r="P816" s="236"/>
      <x:c r="Q816" s="236"/>
      <x:c r="R816" s="236"/>
      <x:c r="S816" s="241"/>
      <x:c r="T816" s="242"/>
    </x:row>
    <x:row r="817">
      <x:c r="A817" s="235"/>
      <x:c r="B817" s="236"/>
      <x:c r="C817" s="237"/>
      <x:c r="D817" s="236"/>
      <x:c r="E817" s="236"/>
      <x:c r="F817" s="236"/>
      <x:c r="G817" s="233"/>
      <x:c r="H817" s="233"/>
      <x:c r="I817" s="236"/>
      <x:c r="J817" s="236"/>
      <x:c r="K817" s="236"/>
      <x:c r="L817" s="236"/>
      <x:c r="M817" s="233"/>
      <x:c r="N817" s="233"/>
      <x:c r="O817" s="237"/>
      <x:c r="P817" s="236"/>
      <x:c r="Q817" s="236"/>
      <x:c r="R817" s="236"/>
      <x:c r="S817" s="241"/>
      <x:c r="T817" s="242"/>
    </x:row>
    <x:row r="818">
      <x:c r="A818" s="235"/>
      <x:c r="B818" s="236"/>
      <x:c r="C818" s="237"/>
      <x:c r="D818" s="236"/>
      <x:c r="E818" s="236"/>
      <x:c r="F818" s="236"/>
      <x:c r="G818" s="233"/>
      <x:c r="H818" s="233"/>
      <x:c r="I818" s="236"/>
      <x:c r="J818" s="236"/>
      <x:c r="K818" s="236"/>
      <x:c r="L818" s="236"/>
      <x:c r="M818" s="233"/>
      <x:c r="N818" s="233"/>
      <x:c r="O818" s="237"/>
      <x:c r="P818" s="236"/>
      <x:c r="Q818" s="236"/>
      <x:c r="R818" s="236"/>
      <x:c r="S818" s="241"/>
      <x:c r="T818" s="242"/>
    </x:row>
    <x:row r="819">
      <x:c r="A819" s="235"/>
      <x:c r="B819" s="236"/>
      <x:c r="C819" s="237"/>
      <x:c r="D819" s="236"/>
      <x:c r="E819" s="236"/>
      <x:c r="F819" s="236"/>
      <x:c r="G819" s="233"/>
      <x:c r="H819" s="233"/>
      <x:c r="I819" s="236"/>
      <x:c r="J819" s="236"/>
      <x:c r="K819" s="236"/>
      <x:c r="L819" s="236"/>
      <x:c r="M819" s="233"/>
      <x:c r="N819" s="233"/>
      <x:c r="O819" s="237"/>
      <x:c r="P819" s="236"/>
      <x:c r="Q819" s="236"/>
      <x:c r="R819" s="236"/>
      <x:c r="S819" s="241"/>
      <x:c r="T819" s="242"/>
    </x:row>
    <x:row r="820">
      <x:c r="A820" s="235"/>
      <x:c r="B820" s="236"/>
      <x:c r="C820" s="237"/>
      <x:c r="D820" s="236"/>
      <x:c r="E820" s="236"/>
      <x:c r="F820" s="236"/>
      <x:c r="G820" s="233"/>
      <x:c r="H820" s="233"/>
      <x:c r="I820" s="236"/>
      <x:c r="J820" s="236"/>
      <x:c r="K820" s="236"/>
      <x:c r="L820" s="236"/>
      <x:c r="M820" s="233"/>
      <x:c r="N820" s="233"/>
      <x:c r="O820" s="237"/>
      <x:c r="P820" s="236"/>
      <x:c r="Q820" s="236"/>
      <x:c r="R820" s="236"/>
      <x:c r="S820" s="241"/>
      <x:c r="T820" s="242"/>
    </x:row>
    <x:row r="821">
      <x:c r="A821" s="235"/>
      <x:c r="B821" s="236"/>
      <x:c r="C821" s="237"/>
      <x:c r="D821" s="236"/>
      <x:c r="E821" s="236"/>
      <x:c r="F821" s="236"/>
      <x:c r="G821" s="233"/>
      <x:c r="H821" s="233"/>
      <x:c r="I821" s="236"/>
      <x:c r="J821" s="236"/>
      <x:c r="K821" s="236"/>
      <x:c r="L821" s="236"/>
      <x:c r="M821" s="233"/>
      <x:c r="N821" s="233"/>
      <x:c r="O821" s="237"/>
      <x:c r="P821" s="236"/>
      <x:c r="Q821" s="236"/>
      <x:c r="R821" s="236"/>
      <x:c r="S821" s="241"/>
      <x:c r="T821" s="242"/>
    </x:row>
    <x:row r="822">
      <x:c r="A822" s="235"/>
      <x:c r="B822" s="236"/>
      <x:c r="C822" s="237"/>
      <x:c r="D822" s="236"/>
      <x:c r="E822" s="236"/>
      <x:c r="F822" s="236"/>
      <x:c r="G822" s="233"/>
      <x:c r="H822" s="233"/>
      <x:c r="I822" s="236"/>
      <x:c r="J822" s="236"/>
      <x:c r="K822" s="236"/>
      <x:c r="L822" s="236"/>
      <x:c r="M822" s="233"/>
      <x:c r="N822" s="233"/>
      <x:c r="O822" s="237"/>
      <x:c r="P822" s="236"/>
      <x:c r="Q822" s="236"/>
      <x:c r="R822" s="236"/>
      <x:c r="S822" s="241"/>
      <x:c r="T822" s="242"/>
    </x:row>
    <x:row r="823">
      <x:c r="A823" s="235"/>
      <x:c r="B823" s="236"/>
      <x:c r="C823" s="237"/>
      <x:c r="D823" s="236"/>
      <x:c r="E823" s="236"/>
      <x:c r="F823" s="236"/>
      <x:c r="G823" s="233"/>
      <x:c r="H823" s="233"/>
      <x:c r="I823" s="236"/>
      <x:c r="J823" s="236"/>
      <x:c r="K823" s="236"/>
      <x:c r="L823" s="236"/>
      <x:c r="M823" s="233"/>
      <x:c r="N823" s="233"/>
      <x:c r="O823" s="237"/>
      <x:c r="P823" s="236"/>
      <x:c r="Q823" s="236"/>
      <x:c r="R823" s="236"/>
      <x:c r="S823" s="241"/>
      <x:c r="T823" s="242"/>
    </x:row>
    <x:row r="824">
      <x:c r="A824" s="235"/>
      <x:c r="B824" s="236"/>
      <x:c r="C824" s="237"/>
      <x:c r="D824" s="236"/>
      <x:c r="E824" s="236"/>
      <x:c r="F824" s="236"/>
      <x:c r="G824" s="233"/>
      <x:c r="H824" s="233"/>
      <x:c r="I824" s="236"/>
      <x:c r="J824" s="236"/>
      <x:c r="K824" s="236"/>
      <x:c r="L824" s="236"/>
      <x:c r="M824" s="233"/>
      <x:c r="N824" s="233"/>
      <x:c r="O824" s="237"/>
      <x:c r="P824" s="236"/>
      <x:c r="Q824" s="236"/>
      <x:c r="R824" s="236"/>
      <x:c r="S824" s="241"/>
      <x:c r="T824" s="242"/>
    </x:row>
    <x:row r="825">
      <x:c r="A825" s="235"/>
      <x:c r="B825" s="236"/>
      <x:c r="C825" s="237"/>
      <x:c r="D825" s="236"/>
      <x:c r="E825" s="236"/>
      <x:c r="F825" s="236"/>
      <x:c r="G825" s="233"/>
      <x:c r="H825" s="233"/>
      <x:c r="I825" s="236"/>
      <x:c r="J825" s="236"/>
      <x:c r="K825" s="236"/>
      <x:c r="L825" s="236"/>
      <x:c r="M825" s="233"/>
      <x:c r="N825" s="233"/>
      <x:c r="O825" s="237"/>
      <x:c r="P825" s="236"/>
      <x:c r="Q825" s="236"/>
      <x:c r="R825" s="236"/>
      <x:c r="S825" s="241"/>
      <x:c r="T825" s="242"/>
    </x:row>
    <x:row r="826">
      <x:c r="A826" s="235"/>
      <x:c r="B826" s="236"/>
      <x:c r="C826" s="237"/>
      <x:c r="D826" s="236"/>
      <x:c r="E826" s="236"/>
      <x:c r="F826" s="236"/>
      <x:c r="G826" s="233"/>
      <x:c r="H826" s="233"/>
      <x:c r="I826" s="236"/>
      <x:c r="J826" s="236"/>
      <x:c r="K826" s="236"/>
      <x:c r="L826" s="236"/>
      <x:c r="M826" s="233"/>
      <x:c r="N826" s="233"/>
      <x:c r="O826" s="237"/>
      <x:c r="P826" s="236"/>
      <x:c r="Q826" s="236"/>
      <x:c r="R826" s="236"/>
      <x:c r="S826" s="241"/>
      <x:c r="T826" s="242"/>
    </x:row>
    <x:row r="827">
      <x:c r="A827" s="235"/>
      <x:c r="B827" s="236"/>
      <x:c r="C827" s="237"/>
      <x:c r="D827" s="236"/>
      <x:c r="E827" s="236"/>
      <x:c r="F827" s="236"/>
      <x:c r="G827" s="233"/>
      <x:c r="H827" s="233"/>
      <x:c r="I827" s="236"/>
      <x:c r="J827" s="236"/>
      <x:c r="K827" s="236"/>
      <x:c r="L827" s="236"/>
      <x:c r="M827" s="233"/>
      <x:c r="N827" s="233"/>
      <x:c r="O827" s="237"/>
      <x:c r="P827" s="236"/>
      <x:c r="Q827" s="236"/>
      <x:c r="R827" s="236"/>
      <x:c r="S827" s="241"/>
      <x:c r="T827" s="242"/>
    </x:row>
    <x:row r="828">
      <x:c r="A828" s="235"/>
      <x:c r="B828" s="236"/>
      <x:c r="C828" s="237"/>
      <x:c r="D828" s="236"/>
      <x:c r="E828" s="236"/>
      <x:c r="F828" s="236"/>
      <x:c r="G828" s="233"/>
      <x:c r="H828" s="233"/>
      <x:c r="I828" s="236"/>
      <x:c r="J828" s="236"/>
      <x:c r="K828" s="236"/>
      <x:c r="L828" s="236"/>
      <x:c r="M828" s="233"/>
      <x:c r="N828" s="233"/>
      <x:c r="O828" s="237"/>
      <x:c r="P828" s="236"/>
      <x:c r="Q828" s="236"/>
      <x:c r="R828" s="236"/>
      <x:c r="S828" s="241"/>
      <x:c r="T828" s="242"/>
    </x:row>
    <x:row r="829">
      <x:c r="A829" s="235"/>
      <x:c r="B829" s="236"/>
      <x:c r="C829" s="237"/>
      <x:c r="D829" s="236"/>
      <x:c r="E829" s="236"/>
      <x:c r="F829" s="236"/>
      <x:c r="G829" s="233"/>
      <x:c r="H829" s="233"/>
      <x:c r="I829" s="236"/>
      <x:c r="J829" s="236"/>
      <x:c r="K829" s="236"/>
      <x:c r="L829" s="236"/>
      <x:c r="M829" s="233"/>
      <x:c r="N829" s="233"/>
      <x:c r="O829" s="237"/>
      <x:c r="P829" s="236"/>
      <x:c r="Q829" s="236"/>
      <x:c r="R829" s="236"/>
      <x:c r="S829" s="241"/>
      <x:c r="T829" s="242"/>
    </x:row>
    <x:row r="830">
      <x:c r="A830" s="235"/>
      <x:c r="B830" s="236"/>
      <x:c r="C830" s="237"/>
      <x:c r="D830" s="236"/>
      <x:c r="E830" s="236"/>
      <x:c r="F830" s="236"/>
      <x:c r="G830" s="233"/>
      <x:c r="H830" s="233"/>
      <x:c r="I830" s="236"/>
      <x:c r="J830" s="236"/>
      <x:c r="K830" s="236"/>
      <x:c r="L830" s="236"/>
      <x:c r="M830" s="233"/>
      <x:c r="N830" s="233"/>
      <x:c r="O830" s="237"/>
      <x:c r="P830" s="236"/>
      <x:c r="Q830" s="236"/>
      <x:c r="R830" s="236"/>
      <x:c r="S830" s="241"/>
      <x:c r="T830" s="242"/>
    </x:row>
    <x:row r="831">
      <x:c r="A831" s="235"/>
      <x:c r="B831" s="236"/>
      <x:c r="C831" s="237"/>
      <x:c r="D831" s="236"/>
      <x:c r="E831" s="236"/>
      <x:c r="F831" s="236"/>
      <x:c r="G831" s="233"/>
      <x:c r="H831" s="233"/>
      <x:c r="I831" s="236"/>
      <x:c r="J831" s="236"/>
      <x:c r="K831" s="236"/>
      <x:c r="L831" s="236"/>
      <x:c r="M831" s="233"/>
      <x:c r="N831" s="233"/>
      <x:c r="O831" s="237"/>
      <x:c r="P831" s="236"/>
      <x:c r="Q831" s="236"/>
      <x:c r="R831" s="236"/>
      <x:c r="S831" s="241"/>
      <x:c r="T831" s="242"/>
    </x:row>
    <x:row r="832">
      <x:c r="A832" s="235"/>
      <x:c r="B832" s="236"/>
      <x:c r="C832" s="237"/>
      <x:c r="D832" s="236"/>
      <x:c r="E832" s="236"/>
      <x:c r="F832" s="236"/>
      <x:c r="G832" s="233"/>
      <x:c r="H832" s="233"/>
      <x:c r="I832" s="236"/>
      <x:c r="J832" s="236"/>
      <x:c r="K832" s="236"/>
      <x:c r="L832" s="236"/>
      <x:c r="M832" s="233"/>
      <x:c r="N832" s="233"/>
      <x:c r="O832" s="237"/>
      <x:c r="P832" s="236"/>
      <x:c r="Q832" s="236"/>
      <x:c r="R832" s="236"/>
      <x:c r="S832" s="241"/>
      <x:c r="T832" s="242"/>
    </x:row>
    <x:row r="833">
      <x:c r="A833" s="235"/>
      <x:c r="B833" s="236"/>
      <x:c r="C833" s="237"/>
      <x:c r="D833" s="236"/>
      <x:c r="E833" s="236"/>
      <x:c r="F833" s="236"/>
      <x:c r="G833" s="233"/>
      <x:c r="H833" s="233"/>
      <x:c r="I833" s="236"/>
      <x:c r="J833" s="236"/>
      <x:c r="K833" s="236"/>
      <x:c r="L833" s="236"/>
      <x:c r="M833" s="233"/>
      <x:c r="N833" s="233"/>
      <x:c r="O833" s="237"/>
      <x:c r="P833" s="236"/>
      <x:c r="Q833" s="236"/>
      <x:c r="R833" s="236"/>
      <x:c r="S833" s="241"/>
      <x:c r="T833" s="242"/>
    </x:row>
    <x:row r="834">
      <x:c r="A834" s="235"/>
      <x:c r="B834" s="236"/>
      <x:c r="C834" s="237"/>
      <x:c r="D834" s="236"/>
      <x:c r="E834" s="236"/>
      <x:c r="F834" s="236"/>
      <x:c r="G834" s="233"/>
      <x:c r="H834" s="233"/>
      <x:c r="I834" s="236"/>
      <x:c r="J834" s="236"/>
      <x:c r="K834" s="236"/>
      <x:c r="L834" s="236"/>
      <x:c r="M834" s="233"/>
      <x:c r="N834" s="233"/>
      <x:c r="O834" s="237"/>
      <x:c r="P834" s="236"/>
      <x:c r="Q834" s="236"/>
      <x:c r="R834" s="236"/>
      <x:c r="S834" s="241"/>
      <x:c r="T834" s="242"/>
    </x:row>
    <x:row r="835">
      <x:c r="A835" s="235"/>
      <x:c r="B835" s="236"/>
      <x:c r="C835" s="237"/>
      <x:c r="D835" s="236"/>
      <x:c r="E835" s="236"/>
      <x:c r="F835" s="236"/>
      <x:c r="G835" s="233"/>
      <x:c r="H835" s="233"/>
      <x:c r="I835" s="236"/>
      <x:c r="J835" s="236"/>
      <x:c r="K835" s="236"/>
      <x:c r="L835" s="236"/>
      <x:c r="M835" s="233"/>
      <x:c r="N835" s="233"/>
      <x:c r="O835" s="237"/>
      <x:c r="P835" s="236"/>
      <x:c r="Q835" s="236"/>
      <x:c r="R835" s="236"/>
      <x:c r="S835" s="241"/>
      <x:c r="T835" s="242"/>
    </x:row>
    <x:row r="836">
      <x:c r="A836" s="235"/>
      <x:c r="B836" s="236"/>
      <x:c r="C836" s="237"/>
      <x:c r="D836" s="236"/>
      <x:c r="E836" s="236"/>
      <x:c r="F836" s="236"/>
      <x:c r="G836" s="233"/>
      <x:c r="H836" s="233"/>
      <x:c r="I836" s="236"/>
      <x:c r="J836" s="236"/>
      <x:c r="K836" s="236"/>
      <x:c r="L836" s="236"/>
      <x:c r="M836" s="233"/>
      <x:c r="N836" s="233"/>
      <x:c r="O836" s="237"/>
      <x:c r="P836" s="236"/>
      <x:c r="Q836" s="236"/>
      <x:c r="R836" s="236"/>
      <x:c r="S836" s="241"/>
      <x:c r="T836" s="242"/>
    </x:row>
    <x:row r="837">
      <x:c r="A837" s="235"/>
      <x:c r="B837" s="236"/>
      <x:c r="C837" s="237"/>
      <x:c r="D837" s="236"/>
      <x:c r="E837" s="236"/>
      <x:c r="F837" s="236"/>
      <x:c r="G837" s="233"/>
      <x:c r="H837" s="233"/>
      <x:c r="I837" s="236"/>
      <x:c r="J837" s="236"/>
      <x:c r="K837" s="236"/>
      <x:c r="L837" s="236"/>
      <x:c r="M837" s="233"/>
      <x:c r="N837" s="233"/>
      <x:c r="O837" s="237"/>
      <x:c r="P837" s="236"/>
      <x:c r="Q837" s="236"/>
      <x:c r="R837" s="236"/>
      <x:c r="S837" s="241"/>
      <x:c r="T837" s="242"/>
    </x:row>
    <x:row r="838">
      <x:c r="A838" s="235"/>
      <x:c r="B838" s="236"/>
      <x:c r="C838" s="237"/>
      <x:c r="D838" s="236"/>
      <x:c r="E838" s="236"/>
      <x:c r="F838" s="236"/>
      <x:c r="G838" s="233"/>
      <x:c r="H838" s="233"/>
      <x:c r="I838" s="236"/>
      <x:c r="J838" s="236"/>
      <x:c r="K838" s="236"/>
      <x:c r="L838" s="236"/>
      <x:c r="M838" s="233"/>
      <x:c r="N838" s="233"/>
      <x:c r="O838" s="237"/>
      <x:c r="P838" s="236"/>
      <x:c r="Q838" s="236"/>
      <x:c r="R838" s="236"/>
      <x:c r="S838" s="241"/>
      <x:c r="T838" s="242"/>
    </x:row>
    <x:row r="839">
      <x:c r="A839" s="235"/>
      <x:c r="B839" s="236"/>
      <x:c r="C839" s="237"/>
      <x:c r="D839" s="236"/>
      <x:c r="E839" s="236"/>
      <x:c r="F839" s="236"/>
      <x:c r="G839" s="233"/>
      <x:c r="H839" s="233"/>
      <x:c r="I839" s="236"/>
      <x:c r="J839" s="236"/>
      <x:c r="K839" s="236"/>
      <x:c r="L839" s="236"/>
      <x:c r="M839" s="233"/>
      <x:c r="N839" s="233"/>
      <x:c r="O839" s="237"/>
      <x:c r="P839" s="236"/>
      <x:c r="Q839" s="236"/>
      <x:c r="R839" s="236"/>
      <x:c r="S839" s="241"/>
      <x:c r="T839" s="242"/>
    </x:row>
    <x:row r="840">
      <x:c r="A840" s="235"/>
      <x:c r="B840" s="236"/>
      <x:c r="C840" s="237"/>
      <x:c r="D840" s="236"/>
      <x:c r="E840" s="236"/>
      <x:c r="F840" s="236"/>
      <x:c r="G840" s="233"/>
      <x:c r="H840" s="233"/>
      <x:c r="I840" s="236"/>
      <x:c r="J840" s="236"/>
      <x:c r="K840" s="236"/>
      <x:c r="L840" s="236"/>
      <x:c r="M840" s="233"/>
      <x:c r="N840" s="233"/>
      <x:c r="O840" s="237"/>
      <x:c r="P840" s="236"/>
      <x:c r="Q840" s="236"/>
      <x:c r="R840" s="236"/>
      <x:c r="S840" s="241"/>
      <x:c r="T840" s="242"/>
    </x:row>
    <x:row r="841">
      <x:c r="A841" s="235"/>
      <x:c r="B841" s="236"/>
      <x:c r="C841" s="237"/>
      <x:c r="D841" s="236"/>
      <x:c r="E841" s="236"/>
      <x:c r="F841" s="236"/>
      <x:c r="G841" s="233"/>
      <x:c r="H841" s="233"/>
      <x:c r="I841" s="236"/>
      <x:c r="J841" s="236"/>
      <x:c r="K841" s="236"/>
      <x:c r="L841" s="236"/>
      <x:c r="M841" s="233"/>
      <x:c r="N841" s="233"/>
      <x:c r="O841" s="237"/>
      <x:c r="P841" s="236"/>
      <x:c r="Q841" s="236"/>
      <x:c r="R841" s="236"/>
      <x:c r="S841" s="241"/>
      <x:c r="T841" s="242"/>
    </x:row>
    <x:row r="842">
      <x:c r="A842" s="235"/>
      <x:c r="B842" s="236"/>
      <x:c r="C842" s="237"/>
      <x:c r="D842" s="236"/>
      <x:c r="E842" s="236"/>
      <x:c r="F842" s="236"/>
      <x:c r="G842" s="233"/>
      <x:c r="H842" s="233"/>
      <x:c r="I842" s="236"/>
      <x:c r="J842" s="236"/>
      <x:c r="K842" s="236"/>
      <x:c r="L842" s="236"/>
      <x:c r="M842" s="233"/>
      <x:c r="N842" s="233"/>
      <x:c r="O842" s="237"/>
      <x:c r="P842" s="236"/>
      <x:c r="Q842" s="236"/>
      <x:c r="R842" s="236"/>
      <x:c r="S842" s="241"/>
      <x:c r="T842" s="242"/>
    </x:row>
    <x:row r="843">
      <x:c r="A843" s="235"/>
      <x:c r="B843" s="236"/>
      <x:c r="C843" s="237"/>
      <x:c r="D843" s="236"/>
      <x:c r="E843" s="236"/>
      <x:c r="F843" s="236"/>
      <x:c r="G843" s="233"/>
      <x:c r="H843" s="233"/>
      <x:c r="I843" s="236"/>
      <x:c r="J843" s="236"/>
      <x:c r="K843" s="236"/>
      <x:c r="L843" s="236"/>
      <x:c r="M843" s="233"/>
      <x:c r="N843" s="233"/>
      <x:c r="O843" s="237"/>
      <x:c r="P843" s="236"/>
      <x:c r="Q843" s="236"/>
      <x:c r="R843" s="236"/>
      <x:c r="S843" s="241"/>
      <x:c r="T843" s="242"/>
    </x:row>
    <x:row r="844">
      <x:c r="A844" s="235"/>
      <x:c r="B844" s="236"/>
      <x:c r="C844" s="237"/>
      <x:c r="D844" s="236"/>
      <x:c r="E844" s="236"/>
      <x:c r="F844" s="236"/>
      <x:c r="G844" s="233"/>
      <x:c r="H844" s="233"/>
      <x:c r="I844" s="236"/>
      <x:c r="J844" s="236"/>
      <x:c r="K844" s="236"/>
      <x:c r="L844" s="236"/>
      <x:c r="M844" s="233"/>
      <x:c r="N844" s="233"/>
      <x:c r="O844" s="237"/>
      <x:c r="P844" s="236"/>
      <x:c r="Q844" s="236"/>
      <x:c r="R844" s="236"/>
      <x:c r="S844" s="241"/>
      <x:c r="T844" s="242"/>
    </x:row>
    <x:row r="845">
      <x:c r="A845" s="235"/>
      <x:c r="B845" s="236"/>
      <x:c r="C845" s="237"/>
      <x:c r="D845" s="236"/>
      <x:c r="E845" s="236"/>
      <x:c r="F845" s="236"/>
      <x:c r="G845" s="233"/>
      <x:c r="H845" s="233"/>
      <x:c r="I845" s="236"/>
      <x:c r="J845" s="236"/>
      <x:c r="K845" s="236"/>
      <x:c r="L845" s="236"/>
      <x:c r="M845" s="233"/>
      <x:c r="N845" s="233"/>
      <x:c r="O845" s="237"/>
      <x:c r="P845" s="236"/>
      <x:c r="Q845" s="236"/>
      <x:c r="R845" s="236"/>
      <x:c r="S845" s="241"/>
      <x:c r="T845" s="242"/>
    </x:row>
    <x:row r="846">
      <x:c r="A846" s="235"/>
      <x:c r="B846" s="236"/>
      <x:c r="C846" s="237"/>
      <x:c r="D846" s="236"/>
      <x:c r="E846" s="236"/>
      <x:c r="F846" s="236"/>
      <x:c r="G846" s="233"/>
      <x:c r="H846" s="233"/>
      <x:c r="I846" s="236"/>
      <x:c r="J846" s="236"/>
      <x:c r="K846" s="236"/>
      <x:c r="L846" s="236"/>
      <x:c r="M846" s="233"/>
      <x:c r="N846" s="233"/>
      <x:c r="O846" s="237"/>
      <x:c r="P846" s="236"/>
      <x:c r="Q846" s="236"/>
      <x:c r="R846" s="236"/>
      <x:c r="S846" s="241"/>
      <x:c r="T846" s="242"/>
    </x:row>
    <x:row r="847">
      <x:c r="A847" s="235"/>
      <x:c r="B847" s="236"/>
      <x:c r="C847" s="237"/>
      <x:c r="D847" s="236"/>
      <x:c r="E847" s="236"/>
      <x:c r="F847" s="236"/>
      <x:c r="G847" s="233"/>
      <x:c r="H847" s="233"/>
      <x:c r="I847" s="236"/>
      <x:c r="J847" s="236"/>
      <x:c r="K847" s="236"/>
      <x:c r="L847" s="236"/>
      <x:c r="M847" s="233"/>
      <x:c r="N847" s="233"/>
      <x:c r="O847" s="237"/>
      <x:c r="P847" s="236"/>
      <x:c r="Q847" s="236"/>
      <x:c r="R847" s="236"/>
      <x:c r="S847" s="241"/>
      <x:c r="T847" s="242"/>
    </x:row>
    <x:row r="848">
      <x:c r="A848" s="235"/>
      <x:c r="B848" s="236"/>
      <x:c r="C848" s="237"/>
      <x:c r="D848" s="236"/>
      <x:c r="E848" s="236"/>
      <x:c r="F848" s="236"/>
      <x:c r="G848" s="233"/>
      <x:c r="H848" s="233"/>
      <x:c r="I848" s="236"/>
      <x:c r="J848" s="236"/>
      <x:c r="K848" s="236"/>
      <x:c r="L848" s="236"/>
      <x:c r="M848" s="233"/>
      <x:c r="N848" s="233"/>
      <x:c r="O848" s="237"/>
      <x:c r="P848" s="236"/>
      <x:c r="Q848" s="236"/>
      <x:c r="R848" s="236"/>
      <x:c r="S848" s="241"/>
      <x:c r="T848" s="242"/>
    </x:row>
    <x:row r="849">
      <x:c r="A849" s="235"/>
      <x:c r="B849" s="236"/>
      <x:c r="C849" s="237"/>
      <x:c r="D849" s="236"/>
      <x:c r="E849" s="236"/>
      <x:c r="F849" s="236"/>
      <x:c r="G849" s="233"/>
      <x:c r="H849" s="233"/>
      <x:c r="I849" s="236"/>
      <x:c r="J849" s="236"/>
      <x:c r="K849" s="236"/>
      <x:c r="L849" s="236"/>
      <x:c r="M849" s="233"/>
      <x:c r="N849" s="233"/>
      <x:c r="O849" s="237"/>
      <x:c r="P849" s="236"/>
      <x:c r="Q849" s="236"/>
      <x:c r="R849" s="236"/>
      <x:c r="S849" s="241"/>
      <x:c r="T849" s="242"/>
    </x:row>
    <x:row r="850">
      <x:c r="A850" s="235"/>
      <x:c r="B850" s="236"/>
      <x:c r="C850" s="237"/>
      <x:c r="D850" s="236"/>
      <x:c r="E850" s="236"/>
      <x:c r="F850" s="236"/>
      <x:c r="G850" s="233"/>
      <x:c r="H850" s="233"/>
      <x:c r="I850" s="236"/>
      <x:c r="J850" s="236"/>
      <x:c r="K850" s="236"/>
      <x:c r="L850" s="236"/>
      <x:c r="M850" s="233"/>
      <x:c r="N850" s="233"/>
      <x:c r="O850" s="237"/>
      <x:c r="P850" s="236"/>
      <x:c r="Q850" s="236"/>
      <x:c r="R850" s="236"/>
      <x:c r="S850" s="241"/>
      <x:c r="T850" s="242"/>
    </x:row>
    <x:row r="851">
      <x:c r="A851" s="235"/>
      <x:c r="B851" s="236"/>
      <x:c r="C851" s="237"/>
      <x:c r="D851" s="236"/>
      <x:c r="E851" s="236"/>
      <x:c r="F851" s="236"/>
      <x:c r="G851" s="233"/>
      <x:c r="H851" s="233"/>
      <x:c r="I851" s="236"/>
      <x:c r="J851" s="236"/>
      <x:c r="K851" s="236"/>
      <x:c r="L851" s="236"/>
      <x:c r="M851" s="233"/>
      <x:c r="N851" s="233"/>
      <x:c r="O851" s="237"/>
      <x:c r="P851" s="236"/>
      <x:c r="Q851" s="236"/>
      <x:c r="R851" s="236"/>
      <x:c r="S851" s="241"/>
      <x:c r="T851" s="242"/>
    </x:row>
    <x:row r="852">
      <x:c r="A852" s="235"/>
      <x:c r="B852" s="236"/>
      <x:c r="C852" s="237"/>
      <x:c r="D852" s="236"/>
      <x:c r="E852" s="236"/>
      <x:c r="F852" s="236"/>
      <x:c r="G852" s="233"/>
      <x:c r="H852" s="233"/>
      <x:c r="I852" s="236"/>
      <x:c r="J852" s="236"/>
      <x:c r="K852" s="236"/>
      <x:c r="L852" s="236"/>
      <x:c r="M852" s="233"/>
      <x:c r="N852" s="233"/>
      <x:c r="O852" s="237"/>
      <x:c r="P852" s="236"/>
      <x:c r="Q852" s="236"/>
      <x:c r="R852" s="236"/>
      <x:c r="S852" s="241"/>
      <x:c r="T852" s="242"/>
    </x:row>
    <x:row r="853">
      <x:c r="A853" s="235"/>
      <x:c r="B853" s="236"/>
      <x:c r="C853" s="237"/>
      <x:c r="D853" s="236"/>
      <x:c r="E853" s="236"/>
      <x:c r="F853" s="236"/>
      <x:c r="G853" s="233"/>
      <x:c r="H853" s="233"/>
      <x:c r="I853" s="236"/>
      <x:c r="J853" s="236"/>
      <x:c r="K853" s="236"/>
      <x:c r="L853" s="236"/>
      <x:c r="M853" s="233"/>
      <x:c r="N853" s="233"/>
      <x:c r="O853" s="237"/>
      <x:c r="P853" s="236"/>
      <x:c r="Q853" s="236"/>
      <x:c r="R853" s="236"/>
      <x:c r="S853" s="241"/>
      <x:c r="T853" s="242"/>
    </x:row>
    <x:row r="854">
      <x:c r="A854" s="235"/>
      <x:c r="B854" s="236"/>
      <x:c r="C854" s="237"/>
      <x:c r="D854" s="236"/>
      <x:c r="E854" s="236"/>
      <x:c r="F854" s="236"/>
      <x:c r="G854" s="233"/>
      <x:c r="H854" s="233"/>
      <x:c r="I854" s="236"/>
      <x:c r="J854" s="236"/>
      <x:c r="K854" s="236"/>
      <x:c r="L854" s="236"/>
      <x:c r="M854" s="233"/>
      <x:c r="N854" s="233"/>
      <x:c r="O854" s="237"/>
      <x:c r="P854" s="236"/>
      <x:c r="Q854" s="236"/>
      <x:c r="R854" s="236"/>
      <x:c r="S854" s="241"/>
      <x:c r="T854" s="242"/>
    </x:row>
    <x:row r="855">
      <x:c r="A855" s="235"/>
      <x:c r="B855" s="236"/>
      <x:c r="C855" s="237"/>
      <x:c r="D855" s="236"/>
      <x:c r="E855" s="236"/>
      <x:c r="F855" s="236"/>
      <x:c r="G855" s="233"/>
      <x:c r="H855" s="233"/>
      <x:c r="I855" s="236"/>
      <x:c r="J855" s="236"/>
      <x:c r="K855" s="236"/>
      <x:c r="L855" s="236"/>
      <x:c r="M855" s="233"/>
      <x:c r="N855" s="233"/>
      <x:c r="O855" s="237"/>
      <x:c r="P855" s="236"/>
      <x:c r="Q855" s="236"/>
      <x:c r="R855" s="236"/>
      <x:c r="S855" s="241"/>
      <x:c r="T855" s="242"/>
    </x:row>
    <x:row r="856">
      <x:c r="A856" s="235"/>
      <x:c r="B856" s="236"/>
      <x:c r="C856" s="237"/>
      <x:c r="D856" s="236"/>
      <x:c r="E856" s="236"/>
      <x:c r="F856" s="236"/>
      <x:c r="G856" s="233"/>
      <x:c r="H856" s="233"/>
      <x:c r="I856" s="236"/>
      <x:c r="J856" s="236"/>
      <x:c r="K856" s="236"/>
      <x:c r="L856" s="236"/>
      <x:c r="M856" s="233"/>
      <x:c r="N856" s="233"/>
      <x:c r="O856" s="237"/>
      <x:c r="P856" s="236"/>
      <x:c r="Q856" s="236"/>
      <x:c r="R856" s="236"/>
      <x:c r="S856" s="241"/>
      <x:c r="T856" s="242"/>
    </x:row>
    <x:row r="857">
      <x:c r="A857" s="235"/>
      <x:c r="B857" s="236"/>
      <x:c r="C857" s="237"/>
      <x:c r="D857" s="236"/>
      <x:c r="E857" s="236"/>
      <x:c r="F857" s="236"/>
      <x:c r="G857" s="233"/>
      <x:c r="H857" s="233"/>
      <x:c r="I857" s="236"/>
      <x:c r="J857" s="236"/>
      <x:c r="K857" s="236"/>
      <x:c r="L857" s="236"/>
      <x:c r="M857" s="233"/>
      <x:c r="N857" s="233"/>
      <x:c r="O857" s="237"/>
      <x:c r="P857" s="236"/>
      <x:c r="Q857" s="236"/>
      <x:c r="R857" s="236"/>
      <x:c r="S857" s="241"/>
      <x:c r="T857" s="242"/>
    </x:row>
    <x:row r="858">
      <x:c r="A858" s="235"/>
      <x:c r="B858" s="236"/>
      <x:c r="C858" s="237"/>
      <x:c r="D858" s="236"/>
      <x:c r="E858" s="236"/>
      <x:c r="F858" s="236"/>
      <x:c r="G858" s="233"/>
      <x:c r="H858" s="233"/>
      <x:c r="I858" s="236"/>
      <x:c r="J858" s="236"/>
      <x:c r="K858" s="236"/>
      <x:c r="L858" s="236"/>
      <x:c r="M858" s="233"/>
      <x:c r="N858" s="233"/>
      <x:c r="O858" s="237"/>
      <x:c r="P858" s="236"/>
      <x:c r="Q858" s="236"/>
      <x:c r="R858" s="236"/>
      <x:c r="S858" s="241"/>
      <x:c r="T858" s="242"/>
    </x:row>
    <x:row r="859">
      <x:c r="A859" s="235"/>
      <x:c r="B859" s="236"/>
      <x:c r="C859" s="237"/>
      <x:c r="D859" s="236"/>
      <x:c r="E859" s="236"/>
      <x:c r="F859" s="236"/>
      <x:c r="G859" s="233"/>
      <x:c r="H859" s="233"/>
      <x:c r="I859" s="236"/>
      <x:c r="J859" s="236"/>
      <x:c r="K859" s="236"/>
      <x:c r="L859" s="236"/>
      <x:c r="M859" s="233"/>
      <x:c r="N859" s="233"/>
      <x:c r="O859" s="237"/>
      <x:c r="P859" s="236"/>
      <x:c r="Q859" s="236"/>
      <x:c r="R859" s="236"/>
      <x:c r="S859" s="241"/>
      <x:c r="T859" s="242"/>
    </x:row>
    <x:row r="860">
      <x:c r="A860" s="235"/>
      <x:c r="B860" s="236"/>
      <x:c r="C860" s="237"/>
      <x:c r="D860" s="236"/>
      <x:c r="E860" s="236"/>
      <x:c r="F860" s="236"/>
      <x:c r="G860" s="233"/>
      <x:c r="H860" s="233"/>
      <x:c r="I860" s="236"/>
      <x:c r="J860" s="236"/>
      <x:c r="K860" s="236"/>
      <x:c r="L860" s="236"/>
      <x:c r="M860" s="233"/>
      <x:c r="N860" s="233"/>
      <x:c r="O860" s="237"/>
      <x:c r="P860" s="236"/>
      <x:c r="Q860" s="236"/>
      <x:c r="R860" s="236"/>
      <x:c r="S860" s="241"/>
      <x:c r="T860" s="242"/>
    </x:row>
    <x:row r="861">
      <x:c r="A861" s="235"/>
      <x:c r="B861" s="236"/>
      <x:c r="C861" s="237"/>
      <x:c r="D861" s="236"/>
      <x:c r="E861" s="236"/>
      <x:c r="F861" s="236"/>
      <x:c r="G861" s="233"/>
      <x:c r="H861" s="233"/>
      <x:c r="I861" s="236"/>
      <x:c r="J861" s="236"/>
      <x:c r="K861" s="236"/>
      <x:c r="L861" s="236"/>
      <x:c r="M861" s="233"/>
      <x:c r="N861" s="233"/>
      <x:c r="O861" s="237"/>
      <x:c r="P861" s="236"/>
      <x:c r="Q861" s="236"/>
      <x:c r="R861" s="236"/>
      <x:c r="S861" s="241"/>
      <x:c r="T861" s="242"/>
    </x:row>
    <x:row r="862">
      <x:c r="A862" s="235"/>
      <x:c r="B862" s="236"/>
      <x:c r="C862" s="237"/>
      <x:c r="D862" s="236"/>
      <x:c r="E862" s="236"/>
      <x:c r="F862" s="236"/>
      <x:c r="G862" s="233"/>
      <x:c r="H862" s="233"/>
      <x:c r="I862" s="236"/>
      <x:c r="J862" s="236"/>
      <x:c r="K862" s="236"/>
      <x:c r="L862" s="236"/>
      <x:c r="M862" s="233"/>
      <x:c r="N862" s="233"/>
      <x:c r="O862" s="237"/>
      <x:c r="P862" s="236"/>
      <x:c r="Q862" s="236"/>
      <x:c r="R862" s="236"/>
      <x:c r="S862" s="241"/>
      <x:c r="T862" s="242"/>
    </x:row>
    <x:row r="863">
      <x:c r="A863" s="235"/>
      <x:c r="B863" s="236"/>
      <x:c r="C863" s="237"/>
      <x:c r="D863" s="236"/>
      <x:c r="E863" s="236"/>
      <x:c r="F863" s="236"/>
      <x:c r="G863" s="233"/>
      <x:c r="H863" s="233"/>
      <x:c r="I863" s="236"/>
      <x:c r="J863" s="236"/>
      <x:c r="K863" s="236"/>
      <x:c r="L863" s="236"/>
      <x:c r="M863" s="233"/>
      <x:c r="N863" s="233"/>
      <x:c r="O863" s="237"/>
      <x:c r="P863" s="236"/>
      <x:c r="Q863" s="236"/>
      <x:c r="R863" s="236"/>
      <x:c r="S863" s="241"/>
      <x:c r="T863" s="242"/>
    </x:row>
    <x:row r="864">
      <x:c r="A864" s="235"/>
      <x:c r="B864" s="236"/>
      <x:c r="C864" s="237"/>
      <x:c r="D864" s="236"/>
      <x:c r="E864" s="236"/>
      <x:c r="F864" s="236"/>
      <x:c r="G864" s="233"/>
      <x:c r="H864" s="233"/>
      <x:c r="I864" s="236"/>
      <x:c r="J864" s="236"/>
      <x:c r="K864" s="236"/>
      <x:c r="L864" s="236"/>
      <x:c r="M864" s="233"/>
      <x:c r="N864" s="233"/>
      <x:c r="O864" s="237"/>
      <x:c r="P864" s="236"/>
      <x:c r="Q864" s="236"/>
      <x:c r="R864" s="236"/>
      <x:c r="S864" s="241"/>
      <x:c r="T864" s="242"/>
    </x:row>
    <x:row r="865">
      <x:c r="A865" s="235"/>
      <x:c r="B865" s="236"/>
      <x:c r="C865" s="237"/>
      <x:c r="D865" s="236"/>
      <x:c r="E865" s="236"/>
      <x:c r="F865" s="236"/>
      <x:c r="G865" s="233"/>
      <x:c r="H865" s="233"/>
      <x:c r="I865" s="236"/>
      <x:c r="J865" s="236"/>
      <x:c r="K865" s="236"/>
      <x:c r="L865" s="236"/>
      <x:c r="M865" s="233"/>
      <x:c r="N865" s="233"/>
      <x:c r="O865" s="237"/>
      <x:c r="P865" s="236"/>
      <x:c r="Q865" s="236"/>
      <x:c r="R865" s="236"/>
      <x:c r="S865" s="241"/>
      <x:c r="T865" s="242"/>
    </x:row>
    <x:row r="866">
      <x:c r="A866" s="235"/>
      <x:c r="B866" s="236"/>
      <x:c r="C866" s="237"/>
      <x:c r="D866" s="236"/>
      <x:c r="E866" s="236"/>
      <x:c r="F866" s="236"/>
      <x:c r="G866" s="233"/>
      <x:c r="H866" s="233"/>
      <x:c r="I866" s="236"/>
      <x:c r="J866" s="236"/>
      <x:c r="K866" s="236"/>
      <x:c r="L866" s="236"/>
      <x:c r="M866" s="233"/>
      <x:c r="N866" s="233"/>
      <x:c r="O866" s="237"/>
      <x:c r="P866" s="236"/>
      <x:c r="Q866" s="236"/>
      <x:c r="R866" s="236"/>
      <x:c r="S866" s="241"/>
      <x:c r="T866" s="242"/>
    </x:row>
    <x:row r="867">
      <x:c r="A867" s="235"/>
      <x:c r="B867" s="236"/>
      <x:c r="C867" s="237"/>
      <x:c r="D867" s="236"/>
      <x:c r="E867" s="236"/>
      <x:c r="F867" s="236"/>
      <x:c r="G867" s="233"/>
      <x:c r="H867" s="233"/>
      <x:c r="I867" s="236"/>
      <x:c r="J867" s="236"/>
      <x:c r="K867" s="236"/>
      <x:c r="L867" s="236"/>
      <x:c r="M867" s="233"/>
      <x:c r="N867" s="233"/>
      <x:c r="O867" s="237"/>
      <x:c r="P867" s="236"/>
      <x:c r="Q867" s="236"/>
      <x:c r="R867" s="236"/>
      <x:c r="S867" s="241"/>
      <x:c r="T867" s="242"/>
    </x:row>
    <x:row r="868">
      <x:c r="A868" s="235"/>
      <x:c r="B868" s="236"/>
      <x:c r="C868" s="237"/>
      <x:c r="D868" s="236"/>
      <x:c r="E868" s="236"/>
      <x:c r="F868" s="236"/>
      <x:c r="G868" s="233"/>
      <x:c r="H868" s="233"/>
      <x:c r="I868" s="236"/>
      <x:c r="J868" s="236"/>
      <x:c r="K868" s="236"/>
      <x:c r="L868" s="236"/>
      <x:c r="M868" s="233"/>
      <x:c r="N868" s="233"/>
      <x:c r="O868" s="237"/>
      <x:c r="P868" s="236"/>
      <x:c r="Q868" s="236"/>
      <x:c r="R868" s="236"/>
      <x:c r="S868" s="241"/>
      <x:c r="T868" s="242"/>
    </x:row>
    <x:row r="869">
      <x:c r="A869" s="235"/>
      <x:c r="B869" s="236"/>
      <x:c r="C869" s="237"/>
      <x:c r="D869" s="236"/>
      <x:c r="E869" s="236"/>
      <x:c r="F869" s="236"/>
      <x:c r="G869" s="233"/>
      <x:c r="H869" s="233"/>
      <x:c r="I869" s="236"/>
      <x:c r="J869" s="236"/>
      <x:c r="K869" s="236"/>
      <x:c r="L869" s="236"/>
      <x:c r="M869" s="233"/>
      <x:c r="N869" s="233"/>
      <x:c r="O869" s="237"/>
      <x:c r="P869" s="236"/>
      <x:c r="Q869" s="236"/>
      <x:c r="R869" s="236"/>
      <x:c r="S869" s="241"/>
      <x:c r="T869" s="242"/>
    </x:row>
    <x:row r="870">
      <x:c r="A870" s="235"/>
      <x:c r="B870" s="236"/>
      <x:c r="C870" s="237"/>
      <x:c r="D870" s="236"/>
      <x:c r="E870" s="236"/>
      <x:c r="F870" s="236"/>
      <x:c r="G870" s="233"/>
      <x:c r="H870" s="233"/>
      <x:c r="I870" s="236"/>
      <x:c r="J870" s="236"/>
      <x:c r="K870" s="236"/>
      <x:c r="L870" s="236"/>
      <x:c r="M870" s="233"/>
      <x:c r="N870" s="233"/>
      <x:c r="O870" s="237"/>
      <x:c r="P870" s="236"/>
      <x:c r="Q870" s="236"/>
      <x:c r="R870" s="236"/>
      <x:c r="S870" s="241"/>
      <x:c r="T870" s="242"/>
    </x:row>
    <x:row r="871">
      <x:c r="A871" s="235"/>
      <x:c r="B871" s="236"/>
      <x:c r="C871" s="237"/>
      <x:c r="D871" s="236"/>
      <x:c r="E871" s="236"/>
      <x:c r="F871" s="236"/>
      <x:c r="G871" s="233"/>
      <x:c r="H871" s="233"/>
      <x:c r="I871" s="236"/>
      <x:c r="J871" s="236"/>
      <x:c r="K871" s="236"/>
      <x:c r="L871" s="236"/>
      <x:c r="M871" s="233"/>
      <x:c r="N871" s="233"/>
      <x:c r="O871" s="237"/>
      <x:c r="P871" s="236"/>
      <x:c r="Q871" s="236"/>
      <x:c r="R871" s="236"/>
      <x:c r="S871" s="241"/>
      <x:c r="T871" s="242"/>
    </x:row>
    <x:row r="872">
      <x:c r="A872" s="235"/>
      <x:c r="B872" s="236"/>
      <x:c r="C872" s="237"/>
      <x:c r="D872" s="236"/>
      <x:c r="E872" s="236"/>
      <x:c r="F872" s="236"/>
      <x:c r="G872" s="233"/>
      <x:c r="H872" s="233"/>
      <x:c r="I872" s="236"/>
      <x:c r="J872" s="236"/>
      <x:c r="K872" s="236"/>
      <x:c r="L872" s="236"/>
      <x:c r="M872" s="233"/>
      <x:c r="N872" s="233"/>
      <x:c r="O872" s="237"/>
      <x:c r="P872" s="236"/>
      <x:c r="Q872" s="236"/>
      <x:c r="R872" s="236"/>
      <x:c r="S872" s="241"/>
      <x:c r="T872" s="242"/>
    </x:row>
    <x:row r="873">
      <x:c r="A873" s="235"/>
      <x:c r="B873" s="236"/>
      <x:c r="C873" s="237"/>
      <x:c r="D873" s="236"/>
      <x:c r="E873" s="236"/>
      <x:c r="F873" s="236"/>
      <x:c r="G873" s="233"/>
      <x:c r="H873" s="233"/>
      <x:c r="I873" s="236"/>
      <x:c r="J873" s="236"/>
      <x:c r="K873" s="236"/>
      <x:c r="L873" s="236"/>
      <x:c r="M873" s="233"/>
      <x:c r="N873" s="233"/>
      <x:c r="O873" s="237"/>
      <x:c r="P873" s="236"/>
      <x:c r="Q873" s="236"/>
      <x:c r="R873" s="236"/>
      <x:c r="S873" s="241"/>
      <x:c r="T873" s="242"/>
    </x:row>
    <x:row r="874">
      <x:c r="A874" s="235"/>
      <x:c r="B874" s="236"/>
      <x:c r="C874" s="237"/>
      <x:c r="D874" s="236"/>
      <x:c r="E874" s="236"/>
      <x:c r="F874" s="236"/>
      <x:c r="G874" s="233"/>
      <x:c r="H874" s="233"/>
      <x:c r="I874" s="236"/>
      <x:c r="J874" s="236"/>
      <x:c r="K874" s="236"/>
      <x:c r="L874" s="236"/>
      <x:c r="M874" s="233"/>
      <x:c r="N874" s="233"/>
      <x:c r="O874" s="237"/>
      <x:c r="P874" s="236"/>
      <x:c r="Q874" s="236"/>
      <x:c r="R874" s="236"/>
      <x:c r="S874" s="241"/>
      <x:c r="T874" s="242"/>
    </x:row>
    <x:row r="875">
      <x:c r="A875" s="235"/>
      <x:c r="B875" s="236"/>
      <x:c r="C875" s="237"/>
      <x:c r="D875" s="236"/>
      <x:c r="E875" s="236"/>
      <x:c r="F875" s="236"/>
      <x:c r="G875" s="233"/>
      <x:c r="H875" s="233"/>
      <x:c r="I875" s="236"/>
      <x:c r="J875" s="236"/>
      <x:c r="K875" s="236"/>
      <x:c r="L875" s="236"/>
      <x:c r="M875" s="233"/>
      <x:c r="N875" s="233"/>
      <x:c r="O875" s="237"/>
      <x:c r="P875" s="236"/>
      <x:c r="Q875" s="236"/>
      <x:c r="R875" s="236"/>
      <x:c r="S875" s="241"/>
      <x:c r="T875" s="242"/>
    </x:row>
    <x:row r="876">
      <x:c r="A876" s="235"/>
      <x:c r="B876" s="236"/>
      <x:c r="C876" s="237"/>
      <x:c r="D876" s="236"/>
      <x:c r="E876" s="236"/>
      <x:c r="F876" s="236"/>
      <x:c r="G876" s="233"/>
      <x:c r="H876" s="233"/>
      <x:c r="I876" s="236"/>
      <x:c r="J876" s="236"/>
      <x:c r="K876" s="236"/>
      <x:c r="L876" s="236"/>
      <x:c r="M876" s="233"/>
      <x:c r="N876" s="233"/>
      <x:c r="O876" s="237"/>
      <x:c r="P876" s="236"/>
      <x:c r="Q876" s="236"/>
      <x:c r="R876" s="236"/>
      <x:c r="S876" s="241"/>
      <x:c r="T876" s="242"/>
    </x:row>
    <x:row r="877">
      <x:c r="A877" s="235"/>
      <x:c r="B877" s="236"/>
      <x:c r="C877" s="237"/>
      <x:c r="D877" s="236"/>
      <x:c r="E877" s="236"/>
      <x:c r="F877" s="236"/>
      <x:c r="G877" s="233"/>
      <x:c r="H877" s="233"/>
      <x:c r="I877" s="236"/>
      <x:c r="J877" s="236"/>
      <x:c r="K877" s="236"/>
      <x:c r="L877" s="236"/>
      <x:c r="M877" s="233"/>
      <x:c r="N877" s="233"/>
      <x:c r="O877" s="237"/>
      <x:c r="P877" s="236"/>
      <x:c r="Q877" s="236"/>
      <x:c r="R877" s="236"/>
      <x:c r="S877" s="241"/>
      <x:c r="T877" s="242"/>
    </x:row>
    <x:row r="878">
      <x:c r="A878" s="235"/>
      <x:c r="B878" s="236"/>
      <x:c r="C878" s="237"/>
      <x:c r="D878" s="236"/>
      <x:c r="E878" s="236"/>
      <x:c r="F878" s="236"/>
      <x:c r="G878" s="233"/>
      <x:c r="H878" s="233"/>
      <x:c r="I878" s="236"/>
      <x:c r="J878" s="236"/>
      <x:c r="K878" s="236"/>
      <x:c r="L878" s="236"/>
      <x:c r="M878" s="233"/>
      <x:c r="N878" s="233"/>
      <x:c r="O878" s="237"/>
      <x:c r="P878" s="236"/>
      <x:c r="Q878" s="236"/>
      <x:c r="R878" s="236"/>
      <x:c r="S878" s="241"/>
      <x:c r="T878" s="242"/>
    </x:row>
    <x:row r="879">
      <x:c r="A879" s="235"/>
      <x:c r="B879" s="236"/>
      <x:c r="C879" s="237"/>
      <x:c r="D879" s="236"/>
      <x:c r="E879" s="236"/>
      <x:c r="F879" s="236"/>
      <x:c r="G879" s="233"/>
      <x:c r="H879" s="233"/>
      <x:c r="I879" s="236"/>
      <x:c r="J879" s="236"/>
      <x:c r="K879" s="236"/>
      <x:c r="L879" s="236"/>
      <x:c r="M879" s="233"/>
      <x:c r="N879" s="233"/>
      <x:c r="O879" s="237"/>
      <x:c r="P879" s="236"/>
      <x:c r="Q879" s="236"/>
      <x:c r="R879" s="236"/>
      <x:c r="S879" s="241"/>
      <x:c r="T879" s="242"/>
    </x:row>
    <x:row r="880">
      <x:c r="A880" s="235"/>
      <x:c r="B880" s="236"/>
      <x:c r="C880" s="237"/>
      <x:c r="D880" s="236"/>
      <x:c r="E880" s="236"/>
      <x:c r="F880" s="236"/>
      <x:c r="G880" s="233"/>
      <x:c r="H880" s="233"/>
      <x:c r="I880" s="236"/>
      <x:c r="J880" s="236"/>
      <x:c r="K880" s="236"/>
      <x:c r="L880" s="236"/>
      <x:c r="M880" s="233"/>
      <x:c r="N880" s="233"/>
      <x:c r="O880" s="237"/>
      <x:c r="P880" s="236"/>
      <x:c r="Q880" s="236"/>
      <x:c r="R880" s="236"/>
      <x:c r="S880" s="241"/>
      <x:c r="T880" s="242"/>
    </x:row>
    <x:row r="881">
      <x:c r="A881" s="235"/>
      <x:c r="B881" s="236"/>
      <x:c r="C881" s="237"/>
      <x:c r="D881" s="236"/>
      <x:c r="E881" s="236"/>
      <x:c r="F881" s="236"/>
      <x:c r="G881" s="233"/>
      <x:c r="H881" s="233"/>
      <x:c r="I881" s="236"/>
      <x:c r="J881" s="236"/>
      <x:c r="K881" s="236"/>
      <x:c r="L881" s="236"/>
      <x:c r="M881" s="233"/>
      <x:c r="N881" s="233"/>
      <x:c r="O881" s="237"/>
      <x:c r="P881" s="236"/>
      <x:c r="Q881" s="236"/>
      <x:c r="R881" s="236"/>
      <x:c r="S881" s="241"/>
      <x:c r="T881" s="242"/>
    </x:row>
    <x:row r="882">
      <x:c r="A882" s="235"/>
      <x:c r="B882" s="236"/>
      <x:c r="C882" s="237"/>
      <x:c r="D882" s="236"/>
      <x:c r="E882" s="236"/>
      <x:c r="F882" s="236"/>
      <x:c r="G882" s="233"/>
      <x:c r="H882" s="233"/>
      <x:c r="I882" s="236"/>
      <x:c r="J882" s="236"/>
      <x:c r="K882" s="236"/>
      <x:c r="L882" s="236"/>
      <x:c r="M882" s="233"/>
      <x:c r="N882" s="233"/>
      <x:c r="O882" s="237"/>
      <x:c r="P882" s="236"/>
      <x:c r="Q882" s="236"/>
      <x:c r="R882" s="236"/>
      <x:c r="S882" s="241"/>
      <x:c r="T882" s="242"/>
    </x:row>
    <x:row r="883">
      <x:c r="A883" s="235"/>
      <x:c r="B883" s="236"/>
      <x:c r="C883" s="237"/>
      <x:c r="D883" s="236"/>
      <x:c r="E883" s="236"/>
      <x:c r="F883" s="236"/>
      <x:c r="G883" s="233"/>
      <x:c r="H883" s="233"/>
      <x:c r="I883" s="236"/>
      <x:c r="J883" s="236"/>
      <x:c r="K883" s="236"/>
      <x:c r="L883" s="236"/>
      <x:c r="M883" s="233"/>
      <x:c r="N883" s="233"/>
      <x:c r="O883" s="237"/>
      <x:c r="P883" s="236"/>
      <x:c r="Q883" s="236"/>
      <x:c r="R883" s="236"/>
      <x:c r="S883" s="241"/>
      <x:c r="T883" s="242"/>
    </x:row>
    <x:row r="884">
      <x:c r="A884" s="235"/>
      <x:c r="B884" s="236"/>
      <x:c r="C884" s="237"/>
      <x:c r="D884" s="236"/>
      <x:c r="E884" s="236"/>
      <x:c r="F884" s="236"/>
      <x:c r="G884" s="233"/>
      <x:c r="H884" s="233"/>
      <x:c r="I884" s="236"/>
      <x:c r="J884" s="236"/>
      <x:c r="K884" s="236"/>
      <x:c r="L884" s="236"/>
      <x:c r="M884" s="233"/>
      <x:c r="N884" s="233"/>
      <x:c r="O884" s="237"/>
      <x:c r="P884" s="236"/>
      <x:c r="Q884" s="236"/>
      <x:c r="R884" s="236"/>
      <x:c r="S884" s="241"/>
      <x:c r="T884" s="242"/>
    </x:row>
    <x:row r="885">
      <x:c r="A885" s="235"/>
      <x:c r="B885" s="236"/>
      <x:c r="C885" s="237"/>
      <x:c r="D885" s="236"/>
      <x:c r="E885" s="236"/>
      <x:c r="F885" s="236"/>
      <x:c r="G885" s="233"/>
      <x:c r="H885" s="233"/>
      <x:c r="I885" s="236"/>
      <x:c r="J885" s="236"/>
      <x:c r="K885" s="236"/>
      <x:c r="L885" s="236"/>
      <x:c r="M885" s="233"/>
      <x:c r="N885" s="233"/>
      <x:c r="O885" s="237"/>
      <x:c r="P885" s="236"/>
      <x:c r="Q885" s="236"/>
      <x:c r="R885" s="236"/>
      <x:c r="S885" s="241"/>
      <x:c r="T885" s="242"/>
    </x:row>
    <x:row r="886">
      <x:c r="A886" s="235"/>
      <x:c r="B886" s="236"/>
      <x:c r="C886" s="237"/>
      <x:c r="D886" s="236"/>
      <x:c r="E886" s="236"/>
      <x:c r="F886" s="236"/>
      <x:c r="G886" s="233"/>
      <x:c r="H886" s="233"/>
      <x:c r="I886" s="236"/>
      <x:c r="J886" s="236"/>
      <x:c r="K886" s="236"/>
      <x:c r="L886" s="236"/>
      <x:c r="M886" s="233"/>
      <x:c r="N886" s="233"/>
      <x:c r="O886" s="237"/>
      <x:c r="P886" s="236"/>
      <x:c r="Q886" s="236"/>
      <x:c r="R886" s="236"/>
      <x:c r="S886" s="241"/>
      <x:c r="T886" s="242"/>
    </x:row>
    <x:row r="887">
      <x:c r="A887" s="235"/>
      <x:c r="B887" s="236"/>
      <x:c r="C887" s="237"/>
      <x:c r="D887" s="236"/>
      <x:c r="E887" s="236"/>
      <x:c r="F887" s="236"/>
      <x:c r="G887" s="233"/>
      <x:c r="H887" s="233"/>
      <x:c r="I887" s="236"/>
      <x:c r="J887" s="236"/>
      <x:c r="K887" s="236"/>
      <x:c r="L887" s="236"/>
      <x:c r="M887" s="233"/>
      <x:c r="N887" s="233"/>
      <x:c r="O887" s="237"/>
      <x:c r="P887" s="236"/>
      <x:c r="Q887" s="236"/>
      <x:c r="R887" s="236"/>
      <x:c r="S887" s="241"/>
      <x:c r="T887" s="242"/>
    </x:row>
    <x:row r="888">
      <x:c r="A888" s="235"/>
      <x:c r="B888" s="236"/>
      <x:c r="C888" s="237"/>
      <x:c r="D888" s="236"/>
      <x:c r="E888" s="236"/>
      <x:c r="F888" s="236"/>
      <x:c r="G888" s="233"/>
      <x:c r="H888" s="233"/>
      <x:c r="I888" s="236"/>
      <x:c r="J888" s="236"/>
      <x:c r="K888" s="236"/>
      <x:c r="L888" s="236"/>
      <x:c r="M888" s="233"/>
      <x:c r="N888" s="233"/>
      <x:c r="O888" s="237"/>
      <x:c r="P888" s="236"/>
      <x:c r="Q888" s="236"/>
      <x:c r="R888" s="236"/>
      <x:c r="S888" s="241"/>
      <x:c r="T888" s="242"/>
    </x:row>
    <x:row r="889">
      <x:c r="A889" s="235"/>
      <x:c r="B889" s="236"/>
      <x:c r="C889" s="237"/>
      <x:c r="D889" s="236"/>
      <x:c r="E889" s="236"/>
      <x:c r="F889" s="236"/>
      <x:c r="G889" s="233"/>
      <x:c r="H889" s="233"/>
      <x:c r="I889" s="236"/>
      <x:c r="J889" s="236"/>
      <x:c r="K889" s="236"/>
      <x:c r="L889" s="236"/>
      <x:c r="M889" s="233"/>
      <x:c r="N889" s="233"/>
      <x:c r="O889" s="237"/>
      <x:c r="P889" s="236"/>
      <x:c r="Q889" s="236"/>
      <x:c r="R889" s="236"/>
      <x:c r="S889" s="241"/>
      <x:c r="T889" s="242"/>
    </x:row>
    <x:row r="890">
      <x:c r="A890" s="235"/>
      <x:c r="B890" s="236"/>
      <x:c r="C890" s="237"/>
      <x:c r="D890" s="236"/>
      <x:c r="E890" s="236"/>
      <x:c r="F890" s="236"/>
      <x:c r="G890" s="233"/>
      <x:c r="H890" s="233"/>
      <x:c r="I890" s="236"/>
      <x:c r="J890" s="236"/>
      <x:c r="K890" s="236"/>
      <x:c r="L890" s="236"/>
      <x:c r="M890" s="233"/>
      <x:c r="N890" s="233"/>
      <x:c r="O890" s="237"/>
      <x:c r="P890" s="236"/>
      <x:c r="Q890" s="236"/>
      <x:c r="R890" s="236"/>
      <x:c r="S890" s="241"/>
      <x:c r="T890" s="242"/>
    </x:row>
    <x:row r="891">
      <x:c r="A891" s="235"/>
      <x:c r="B891" s="236"/>
      <x:c r="C891" s="237"/>
      <x:c r="D891" s="236"/>
      <x:c r="E891" s="236"/>
      <x:c r="F891" s="236"/>
      <x:c r="G891" s="233"/>
      <x:c r="H891" s="233"/>
      <x:c r="I891" s="236"/>
      <x:c r="J891" s="236"/>
      <x:c r="K891" s="236"/>
      <x:c r="L891" s="236"/>
      <x:c r="M891" s="233"/>
      <x:c r="N891" s="233"/>
      <x:c r="O891" s="237"/>
      <x:c r="P891" s="236"/>
      <x:c r="Q891" s="236"/>
      <x:c r="R891" s="236"/>
      <x:c r="S891" s="241"/>
      <x:c r="T891" s="242"/>
    </x:row>
    <x:row r="892">
      <x:c r="A892" s="235"/>
      <x:c r="B892" s="236"/>
      <x:c r="C892" s="237"/>
      <x:c r="D892" s="236"/>
      <x:c r="E892" s="236"/>
      <x:c r="F892" s="236"/>
      <x:c r="G892" s="233"/>
      <x:c r="H892" s="233"/>
      <x:c r="I892" s="236"/>
      <x:c r="J892" s="236"/>
      <x:c r="K892" s="236"/>
      <x:c r="L892" s="236"/>
      <x:c r="M892" s="233"/>
      <x:c r="N892" s="233"/>
      <x:c r="O892" s="237"/>
      <x:c r="P892" s="236"/>
      <x:c r="Q892" s="236"/>
      <x:c r="R892" s="236"/>
      <x:c r="S892" s="241"/>
      <x:c r="T892" s="242"/>
    </x:row>
    <x:row r="893">
      <x:c r="A893" s="235"/>
      <x:c r="B893" s="236"/>
      <x:c r="C893" s="237"/>
      <x:c r="D893" s="236"/>
      <x:c r="E893" s="236"/>
      <x:c r="F893" s="236"/>
      <x:c r="G893" s="233"/>
      <x:c r="H893" s="233"/>
      <x:c r="I893" s="236"/>
      <x:c r="J893" s="236"/>
      <x:c r="K893" s="236"/>
      <x:c r="L893" s="236"/>
      <x:c r="M893" s="233"/>
      <x:c r="N893" s="233"/>
      <x:c r="O893" s="237"/>
      <x:c r="P893" s="236"/>
      <x:c r="Q893" s="236"/>
      <x:c r="R893" s="236"/>
      <x:c r="S893" s="241"/>
      <x:c r="T893" s="242"/>
    </x:row>
    <x:row r="894">
      <x:c r="A894" s="235"/>
      <x:c r="B894" s="236"/>
      <x:c r="C894" s="237"/>
      <x:c r="D894" s="236"/>
      <x:c r="E894" s="236"/>
      <x:c r="F894" s="236"/>
      <x:c r="G894" s="233"/>
      <x:c r="H894" s="233"/>
      <x:c r="I894" s="236"/>
      <x:c r="J894" s="236"/>
      <x:c r="K894" s="236"/>
      <x:c r="L894" s="236"/>
      <x:c r="M894" s="233"/>
      <x:c r="N894" s="233"/>
      <x:c r="O894" s="237"/>
      <x:c r="P894" s="236"/>
      <x:c r="Q894" s="236"/>
      <x:c r="R894" s="236"/>
      <x:c r="S894" s="241"/>
      <x:c r="T894" s="242"/>
    </x:row>
    <x:row r="895">
      <x:c r="A895" s="235"/>
      <x:c r="B895" s="236"/>
      <x:c r="C895" s="237"/>
      <x:c r="D895" s="236"/>
      <x:c r="E895" s="236"/>
      <x:c r="F895" s="236"/>
      <x:c r="G895" s="233"/>
      <x:c r="H895" s="233"/>
      <x:c r="I895" s="236"/>
      <x:c r="J895" s="236"/>
      <x:c r="K895" s="236"/>
      <x:c r="L895" s="236"/>
      <x:c r="M895" s="233"/>
      <x:c r="N895" s="233"/>
      <x:c r="O895" s="237"/>
      <x:c r="P895" s="236"/>
      <x:c r="Q895" s="236"/>
      <x:c r="R895" s="236"/>
      <x:c r="S895" s="241"/>
      <x:c r="T895" s="242"/>
    </x:row>
    <x:row r="896">
      <x:c r="A896" s="235"/>
      <x:c r="B896" s="236"/>
      <x:c r="C896" s="237"/>
      <x:c r="D896" s="236"/>
      <x:c r="E896" s="236"/>
      <x:c r="F896" s="236"/>
      <x:c r="G896" s="233"/>
      <x:c r="H896" s="233"/>
      <x:c r="I896" s="236"/>
      <x:c r="J896" s="236"/>
      <x:c r="K896" s="236"/>
      <x:c r="L896" s="236"/>
      <x:c r="M896" s="233"/>
      <x:c r="N896" s="233"/>
      <x:c r="O896" s="237"/>
      <x:c r="P896" s="236"/>
      <x:c r="Q896" s="236"/>
      <x:c r="R896" s="236"/>
      <x:c r="S896" s="241"/>
      <x:c r="T896" s="242"/>
    </x:row>
    <x:row r="897">
      <x:c r="A897" s="235"/>
      <x:c r="B897" s="236"/>
      <x:c r="C897" s="237"/>
      <x:c r="D897" s="236"/>
      <x:c r="E897" s="236"/>
      <x:c r="F897" s="236"/>
      <x:c r="G897" s="233"/>
      <x:c r="H897" s="233"/>
      <x:c r="I897" s="236"/>
      <x:c r="J897" s="236"/>
      <x:c r="K897" s="236"/>
      <x:c r="L897" s="236"/>
      <x:c r="M897" s="233"/>
      <x:c r="N897" s="233"/>
      <x:c r="O897" s="237"/>
      <x:c r="P897" s="236"/>
      <x:c r="Q897" s="236"/>
      <x:c r="R897" s="236"/>
      <x:c r="S897" s="241"/>
      <x:c r="T897" s="242"/>
    </x:row>
    <x:row r="898">
      <x:c r="A898" s="235"/>
      <x:c r="B898" s="236"/>
      <x:c r="C898" s="237"/>
      <x:c r="D898" s="236"/>
      <x:c r="E898" s="236"/>
      <x:c r="F898" s="236"/>
      <x:c r="G898" s="233"/>
      <x:c r="H898" s="233"/>
      <x:c r="I898" s="236"/>
      <x:c r="J898" s="236"/>
      <x:c r="K898" s="236"/>
      <x:c r="L898" s="236"/>
      <x:c r="M898" s="233"/>
      <x:c r="N898" s="233"/>
      <x:c r="O898" s="237"/>
      <x:c r="P898" s="236"/>
      <x:c r="Q898" s="236"/>
      <x:c r="R898" s="236"/>
      <x:c r="S898" s="241"/>
      <x:c r="T898" s="242"/>
    </x:row>
    <x:row r="899">
      <x:c r="A899" s="235"/>
      <x:c r="B899" s="236"/>
      <x:c r="C899" s="237"/>
      <x:c r="D899" s="236"/>
      <x:c r="E899" s="236"/>
      <x:c r="F899" s="236"/>
      <x:c r="G899" s="233"/>
      <x:c r="H899" s="233"/>
      <x:c r="I899" s="236"/>
      <x:c r="J899" s="236"/>
      <x:c r="K899" s="236"/>
      <x:c r="L899" s="236"/>
      <x:c r="M899" s="233"/>
      <x:c r="N899" s="233"/>
      <x:c r="O899" s="237"/>
      <x:c r="P899" s="236"/>
      <x:c r="Q899" s="236"/>
      <x:c r="R899" s="236"/>
      <x:c r="S899" s="241"/>
      <x:c r="T899" s="242"/>
    </x:row>
    <x:row r="900">
      <x:c r="A900" s="235"/>
      <x:c r="B900" s="236"/>
      <x:c r="C900" s="237"/>
      <x:c r="D900" s="236"/>
      <x:c r="E900" s="236"/>
      <x:c r="F900" s="236"/>
      <x:c r="G900" s="233"/>
      <x:c r="H900" s="233"/>
      <x:c r="I900" s="236"/>
      <x:c r="J900" s="236"/>
      <x:c r="K900" s="236"/>
      <x:c r="L900" s="236"/>
      <x:c r="M900" s="233"/>
      <x:c r="N900" s="233"/>
      <x:c r="O900" s="237"/>
      <x:c r="P900" s="236"/>
      <x:c r="Q900" s="236"/>
      <x:c r="R900" s="236"/>
      <x:c r="S900" s="241"/>
      <x:c r="T900" s="242"/>
    </x:row>
    <x:row r="901">
      <x:c r="A901" s="235"/>
      <x:c r="B901" s="236"/>
      <x:c r="C901" s="237"/>
      <x:c r="D901" s="236"/>
      <x:c r="E901" s="236"/>
      <x:c r="F901" s="236"/>
      <x:c r="G901" s="233"/>
      <x:c r="H901" s="233"/>
      <x:c r="I901" s="236"/>
      <x:c r="J901" s="236"/>
      <x:c r="K901" s="236"/>
      <x:c r="L901" s="236"/>
      <x:c r="M901" s="233"/>
      <x:c r="N901" s="233"/>
      <x:c r="O901" s="237"/>
      <x:c r="P901" s="236"/>
      <x:c r="Q901" s="236"/>
      <x:c r="R901" s="236"/>
      <x:c r="S901" s="241"/>
      <x:c r="T901" s="242"/>
    </x:row>
    <x:row r="902">
      <x:c r="A902" s="235"/>
      <x:c r="B902" s="236"/>
      <x:c r="C902" s="237"/>
      <x:c r="D902" s="236"/>
      <x:c r="E902" s="236"/>
      <x:c r="F902" s="236"/>
      <x:c r="G902" s="233"/>
      <x:c r="H902" s="233"/>
      <x:c r="I902" s="236"/>
      <x:c r="J902" s="236"/>
      <x:c r="K902" s="236"/>
      <x:c r="L902" s="236"/>
      <x:c r="M902" s="233"/>
      <x:c r="N902" s="233"/>
      <x:c r="O902" s="237"/>
      <x:c r="P902" s="236"/>
      <x:c r="Q902" s="236"/>
      <x:c r="R902" s="236"/>
      <x:c r="S902" s="241"/>
      <x:c r="T902" s="242"/>
    </x:row>
    <x:row r="903">
      <x:c r="A903" s="235"/>
      <x:c r="B903" s="236"/>
      <x:c r="C903" s="237"/>
      <x:c r="D903" s="236"/>
      <x:c r="E903" s="236"/>
      <x:c r="F903" s="236"/>
      <x:c r="G903" s="233"/>
      <x:c r="H903" s="233"/>
      <x:c r="I903" s="236"/>
      <x:c r="J903" s="236"/>
      <x:c r="K903" s="236"/>
      <x:c r="L903" s="236"/>
      <x:c r="M903" s="233"/>
      <x:c r="N903" s="233"/>
      <x:c r="O903" s="237"/>
      <x:c r="P903" s="236"/>
      <x:c r="Q903" s="236"/>
      <x:c r="R903" s="236"/>
      <x:c r="S903" s="241"/>
      <x:c r="T903" s="242"/>
    </x:row>
    <x:row r="904">
      <x:c r="A904" s="235"/>
      <x:c r="B904" s="236"/>
      <x:c r="C904" s="237"/>
      <x:c r="D904" s="236"/>
      <x:c r="E904" s="236"/>
      <x:c r="F904" s="236"/>
      <x:c r="G904" s="233"/>
      <x:c r="H904" s="233"/>
      <x:c r="I904" s="236"/>
      <x:c r="J904" s="236"/>
      <x:c r="K904" s="236"/>
      <x:c r="L904" s="236"/>
      <x:c r="M904" s="233"/>
      <x:c r="N904" s="233"/>
      <x:c r="O904" s="237"/>
      <x:c r="P904" s="236"/>
      <x:c r="Q904" s="236"/>
      <x:c r="R904" s="236"/>
      <x:c r="S904" s="241"/>
      <x:c r="T904" s="242"/>
    </x:row>
    <x:row r="905">
      <x:c r="A905" s="235"/>
      <x:c r="B905" s="236"/>
      <x:c r="C905" s="237"/>
      <x:c r="D905" s="236"/>
      <x:c r="E905" s="236"/>
      <x:c r="F905" s="236"/>
      <x:c r="G905" s="233"/>
      <x:c r="H905" s="233"/>
      <x:c r="I905" s="236"/>
      <x:c r="J905" s="236"/>
      <x:c r="K905" s="236"/>
      <x:c r="L905" s="236"/>
      <x:c r="M905" s="233"/>
      <x:c r="N905" s="233"/>
      <x:c r="O905" s="237"/>
      <x:c r="P905" s="236"/>
      <x:c r="Q905" s="236"/>
      <x:c r="R905" s="236"/>
      <x:c r="S905" s="241"/>
      <x:c r="T905" s="242"/>
    </x:row>
    <x:row r="906">
      <x:c r="A906" s="235"/>
      <x:c r="B906" s="236"/>
      <x:c r="C906" s="237"/>
      <x:c r="D906" s="236"/>
      <x:c r="E906" s="236"/>
      <x:c r="F906" s="236"/>
      <x:c r="G906" s="233"/>
      <x:c r="H906" s="233"/>
      <x:c r="I906" s="236"/>
      <x:c r="J906" s="236"/>
      <x:c r="K906" s="236"/>
      <x:c r="L906" s="236"/>
      <x:c r="M906" s="233"/>
      <x:c r="N906" s="233"/>
      <x:c r="O906" s="237"/>
      <x:c r="P906" s="236"/>
      <x:c r="Q906" s="236"/>
      <x:c r="R906" s="236"/>
      <x:c r="S906" s="241"/>
      <x:c r="T906" s="242"/>
    </x:row>
    <x:row r="907">
      <x:c r="A907" s="235"/>
      <x:c r="B907" s="236"/>
      <x:c r="C907" s="237"/>
      <x:c r="D907" s="236"/>
      <x:c r="E907" s="236"/>
      <x:c r="F907" s="236"/>
      <x:c r="G907" s="233"/>
      <x:c r="H907" s="233"/>
      <x:c r="I907" s="236"/>
      <x:c r="J907" s="236"/>
      <x:c r="K907" s="236"/>
      <x:c r="L907" s="236"/>
      <x:c r="M907" s="233"/>
      <x:c r="N907" s="233"/>
      <x:c r="O907" s="237"/>
      <x:c r="P907" s="236"/>
      <x:c r="Q907" s="236"/>
      <x:c r="R907" s="236"/>
      <x:c r="S907" s="241"/>
      <x:c r="T907" s="242"/>
    </x:row>
    <x:row r="908">
      <x:c r="A908" s="235"/>
      <x:c r="B908" s="236"/>
      <x:c r="C908" s="237"/>
      <x:c r="D908" s="236"/>
      <x:c r="E908" s="236"/>
      <x:c r="F908" s="236"/>
      <x:c r="G908" s="233"/>
      <x:c r="H908" s="233"/>
      <x:c r="I908" s="236"/>
      <x:c r="J908" s="236"/>
      <x:c r="K908" s="236"/>
      <x:c r="L908" s="236"/>
      <x:c r="M908" s="233"/>
      <x:c r="N908" s="233"/>
      <x:c r="O908" s="237"/>
      <x:c r="P908" s="236"/>
      <x:c r="Q908" s="236"/>
      <x:c r="R908" s="236"/>
      <x:c r="S908" s="241"/>
      <x:c r="T908" s="242"/>
    </x:row>
    <x:row r="909">
      <x:c r="A909" s="235"/>
      <x:c r="B909" s="236"/>
      <x:c r="C909" s="237"/>
      <x:c r="D909" s="236"/>
      <x:c r="E909" s="236"/>
      <x:c r="F909" s="236"/>
      <x:c r="G909" s="233"/>
      <x:c r="H909" s="233"/>
      <x:c r="I909" s="236"/>
      <x:c r="J909" s="236"/>
      <x:c r="K909" s="236"/>
      <x:c r="L909" s="236"/>
      <x:c r="M909" s="233"/>
      <x:c r="N909" s="233"/>
      <x:c r="O909" s="237"/>
      <x:c r="P909" s="236"/>
      <x:c r="Q909" s="236"/>
      <x:c r="R909" s="236"/>
      <x:c r="S909" s="241"/>
      <x:c r="T909" s="242"/>
    </x:row>
    <x:row r="910">
      <x:c r="A910" s="235"/>
      <x:c r="B910" s="236"/>
      <x:c r="C910" s="237"/>
      <x:c r="D910" s="236"/>
      <x:c r="E910" s="236"/>
      <x:c r="F910" s="236"/>
      <x:c r="G910" s="233"/>
      <x:c r="H910" s="233"/>
      <x:c r="I910" s="236"/>
      <x:c r="J910" s="236"/>
      <x:c r="K910" s="236"/>
      <x:c r="L910" s="236"/>
      <x:c r="M910" s="233"/>
      <x:c r="N910" s="233"/>
      <x:c r="O910" s="237"/>
      <x:c r="P910" s="236"/>
      <x:c r="Q910" s="236"/>
      <x:c r="R910" s="236"/>
      <x:c r="S910" s="241"/>
      <x:c r="T910" s="242"/>
    </x:row>
    <x:row r="911">
      <x:c r="A911" s="235"/>
      <x:c r="B911" s="236"/>
      <x:c r="C911" s="237"/>
      <x:c r="D911" s="236"/>
      <x:c r="E911" s="236"/>
      <x:c r="F911" s="236"/>
      <x:c r="G911" s="233"/>
      <x:c r="H911" s="233"/>
      <x:c r="I911" s="236"/>
      <x:c r="J911" s="236"/>
      <x:c r="K911" s="236"/>
      <x:c r="L911" s="236"/>
      <x:c r="M911" s="233"/>
      <x:c r="N911" s="233"/>
      <x:c r="O911" s="237"/>
      <x:c r="P911" s="236"/>
      <x:c r="Q911" s="236"/>
      <x:c r="R911" s="236"/>
      <x:c r="S911" s="241"/>
      <x:c r="T911" s="242"/>
    </x:row>
    <x:row r="912">
      <x:c r="A912" s="235"/>
      <x:c r="B912" s="236"/>
      <x:c r="C912" s="237"/>
      <x:c r="D912" s="236"/>
      <x:c r="E912" s="236"/>
      <x:c r="F912" s="236"/>
      <x:c r="G912" s="233"/>
      <x:c r="H912" s="233"/>
      <x:c r="I912" s="236"/>
      <x:c r="J912" s="236"/>
      <x:c r="K912" s="236"/>
      <x:c r="L912" s="236"/>
      <x:c r="M912" s="233"/>
      <x:c r="N912" s="233"/>
      <x:c r="O912" s="237"/>
      <x:c r="P912" s="236"/>
      <x:c r="Q912" s="236"/>
      <x:c r="R912" s="236"/>
      <x:c r="S912" s="241"/>
      <x:c r="T912" s="242"/>
    </x:row>
    <x:row r="913">
      <x:c r="A913" s="235"/>
      <x:c r="B913" s="236"/>
      <x:c r="C913" s="237"/>
      <x:c r="D913" s="236"/>
      <x:c r="E913" s="236"/>
      <x:c r="F913" s="236"/>
      <x:c r="G913" s="233"/>
      <x:c r="H913" s="233"/>
      <x:c r="I913" s="236"/>
      <x:c r="J913" s="236"/>
      <x:c r="K913" s="236"/>
      <x:c r="L913" s="236"/>
      <x:c r="M913" s="233"/>
      <x:c r="N913" s="233"/>
      <x:c r="O913" s="237"/>
      <x:c r="P913" s="236"/>
      <x:c r="Q913" s="236"/>
      <x:c r="R913" s="236"/>
      <x:c r="S913" s="241"/>
      <x:c r="T913" s="242"/>
    </x:row>
    <x:row r="914">
      <x:c r="A914" s="235"/>
      <x:c r="B914" s="236"/>
      <x:c r="C914" s="237"/>
      <x:c r="D914" s="236"/>
      <x:c r="E914" s="236"/>
      <x:c r="F914" s="236"/>
      <x:c r="G914" s="233"/>
      <x:c r="H914" s="233"/>
      <x:c r="I914" s="236"/>
      <x:c r="J914" s="236"/>
      <x:c r="K914" s="236"/>
      <x:c r="L914" s="236"/>
      <x:c r="M914" s="233"/>
      <x:c r="N914" s="233"/>
      <x:c r="O914" s="237"/>
      <x:c r="P914" s="236"/>
      <x:c r="Q914" s="236"/>
      <x:c r="R914" s="236"/>
      <x:c r="S914" s="241"/>
      <x:c r="T914" s="242"/>
    </x:row>
    <x:row r="915">
      <x:c r="A915" s="235"/>
      <x:c r="B915" s="236"/>
      <x:c r="C915" s="237"/>
      <x:c r="D915" s="236"/>
      <x:c r="E915" s="236"/>
      <x:c r="F915" s="236"/>
      <x:c r="G915" s="233"/>
      <x:c r="H915" s="233"/>
      <x:c r="I915" s="236"/>
      <x:c r="J915" s="236"/>
      <x:c r="K915" s="236"/>
      <x:c r="L915" s="236"/>
      <x:c r="M915" s="233"/>
      <x:c r="N915" s="233"/>
      <x:c r="O915" s="237"/>
      <x:c r="P915" s="236"/>
      <x:c r="Q915" s="236"/>
      <x:c r="R915" s="236"/>
      <x:c r="S915" s="241"/>
      <x:c r="T915" s="242"/>
    </x:row>
    <x:row r="916">
      <x:c r="A916" s="235"/>
      <x:c r="B916" s="236"/>
      <x:c r="C916" s="237"/>
      <x:c r="D916" s="236"/>
      <x:c r="E916" s="236"/>
      <x:c r="F916" s="236"/>
      <x:c r="G916" s="233"/>
      <x:c r="H916" s="233"/>
      <x:c r="I916" s="236"/>
      <x:c r="J916" s="236"/>
      <x:c r="K916" s="236"/>
      <x:c r="L916" s="236"/>
      <x:c r="M916" s="233"/>
      <x:c r="N916" s="233"/>
      <x:c r="O916" s="237"/>
      <x:c r="P916" s="236"/>
      <x:c r="Q916" s="236"/>
      <x:c r="R916" s="236"/>
      <x:c r="S916" s="241"/>
      <x:c r="T916" s="242"/>
    </x:row>
    <x:row r="917">
      <x:c r="A917" s="235"/>
      <x:c r="B917" s="236"/>
      <x:c r="C917" s="237"/>
      <x:c r="D917" s="236"/>
      <x:c r="E917" s="236"/>
      <x:c r="F917" s="236"/>
      <x:c r="G917" s="233"/>
      <x:c r="H917" s="233"/>
      <x:c r="I917" s="236"/>
      <x:c r="J917" s="236"/>
      <x:c r="K917" s="236"/>
      <x:c r="L917" s="236"/>
      <x:c r="M917" s="233"/>
      <x:c r="N917" s="233"/>
      <x:c r="O917" s="237"/>
      <x:c r="P917" s="236"/>
      <x:c r="Q917" s="236"/>
      <x:c r="R917" s="236"/>
      <x:c r="S917" s="241"/>
      <x:c r="T917" s="242"/>
    </x:row>
    <x:row r="918">
      <x:c r="A918" s="235"/>
      <x:c r="B918" s="236"/>
      <x:c r="C918" s="237"/>
      <x:c r="D918" s="236"/>
      <x:c r="E918" s="236"/>
      <x:c r="F918" s="236"/>
      <x:c r="G918" s="233"/>
      <x:c r="H918" s="233"/>
      <x:c r="I918" s="236"/>
      <x:c r="J918" s="236"/>
      <x:c r="K918" s="236"/>
      <x:c r="L918" s="236"/>
      <x:c r="M918" s="233"/>
      <x:c r="N918" s="233"/>
      <x:c r="O918" s="237"/>
      <x:c r="P918" s="236"/>
      <x:c r="Q918" s="236"/>
      <x:c r="R918" s="236"/>
      <x:c r="S918" s="241"/>
      <x:c r="T918" s="242"/>
    </x:row>
    <x:row r="919">
      <x:c r="A919" s="235"/>
      <x:c r="B919" s="236"/>
      <x:c r="C919" s="237"/>
      <x:c r="D919" s="236"/>
      <x:c r="E919" s="236"/>
      <x:c r="F919" s="236"/>
      <x:c r="G919" s="233"/>
      <x:c r="H919" s="233"/>
      <x:c r="I919" s="236"/>
      <x:c r="J919" s="236"/>
      <x:c r="K919" s="236"/>
      <x:c r="L919" s="236"/>
      <x:c r="M919" s="233"/>
      <x:c r="N919" s="233"/>
      <x:c r="O919" s="237"/>
      <x:c r="P919" s="236"/>
      <x:c r="Q919" s="236"/>
      <x:c r="R919" s="236"/>
      <x:c r="S919" s="241"/>
      <x:c r="T919" s="242"/>
    </x:row>
    <x:row r="920">
      <x:c r="A920" s="235"/>
      <x:c r="B920" s="236"/>
      <x:c r="C920" s="237"/>
      <x:c r="D920" s="236"/>
      <x:c r="E920" s="236"/>
      <x:c r="F920" s="236"/>
      <x:c r="G920" s="233"/>
      <x:c r="H920" s="233"/>
      <x:c r="I920" s="236"/>
      <x:c r="J920" s="236"/>
      <x:c r="K920" s="236"/>
      <x:c r="L920" s="236"/>
      <x:c r="M920" s="233"/>
      <x:c r="N920" s="233"/>
      <x:c r="O920" s="237"/>
      <x:c r="P920" s="236"/>
      <x:c r="Q920" s="236"/>
      <x:c r="R920" s="236"/>
      <x:c r="S920" s="241"/>
      <x:c r="T920" s="242"/>
    </x:row>
    <x:row r="921">
      <x:c r="A921" s="235"/>
      <x:c r="B921" s="236"/>
      <x:c r="C921" s="237"/>
      <x:c r="D921" s="236"/>
      <x:c r="E921" s="236"/>
      <x:c r="F921" s="236"/>
      <x:c r="G921" s="233"/>
      <x:c r="H921" s="233"/>
      <x:c r="I921" s="236"/>
      <x:c r="J921" s="236"/>
      <x:c r="K921" s="236"/>
      <x:c r="L921" s="236"/>
      <x:c r="M921" s="233"/>
      <x:c r="N921" s="233"/>
      <x:c r="O921" s="237"/>
      <x:c r="P921" s="236"/>
      <x:c r="Q921" s="236"/>
      <x:c r="R921" s="236"/>
      <x:c r="S921" s="241"/>
      <x:c r="T921" s="242"/>
    </x:row>
    <x:row r="922">
      <x:c r="A922" s="235"/>
      <x:c r="B922" s="236"/>
      <x:c r="C922" s="237"/>
      <x:c r="D922" s="236"/>
      <x:c r="E922" s="236"/>
      <x:c r="F922" s="236"/>
      <x:c r="G922" s="233"/>
      <x:c r="H922" s="233"/>
      <x:c r="I922" s="236"/>
      <x:c r="J922" s="236"/>
      <x:c r="K922" s="236"/>
      <x:c r="L922" s="236"/>
      <x:c r="M922" s="233"/>
      <x:c r="N922" s="233"/>
      <x:c r="O922" s="237"/>
      <x:c r="P922" s="236"/>
      <x:c r="Q922" s="236"/>
      <x:c r="R922" s="236"/>
      <x:c r="S922" s="241"/>
      <x:c r="T922" s="242"/>
    </x:row>
    <x:row r="923">
      <x:c r="A923" s="235"/>
      <x:c r="B923" s="236"/>
      <x:c r="C923" s="237"/>
      <x:c r="D923" s="236"/>
      <x:c r="E923" s="236"/>
      <x:c r="F923" s="236"/>
      <x:c r="G923" s="233"/>
      <x:c r="H923" s="233"/>
      <x:c r="I923" s="236"/>
      <x:c r="J923" s="236"/>
      <x:c r="K923" s="236"/>
      <x:c r="L923" s="236"/>
      <x:c r="M923" s="233"/>
      <x:c r="N923" s="233"/>
      <x:c r="O923" s="237"/>
      <x:c r="P923" s="236"/>
      <x:c r="Q923" s="236"/>
      <x:c r="R923" s="236"/>
      <x:c r="S923" s="241"/>
      <x:c r="T923" s="242"/>
    </x:row>
    <x:row r="924">
      <x:c r="A924" s="235"/>
      <x:c r="B924" s="236"/>
      <x:c r="C924" s="237"/>
      <x:c r="D924" s="236"/>
      <x:c r="E924" s="236"/>
      <x:c r="F924" s="236"/>
      <x:c r="G924" s="233"/>
      <x:c r="H924" s="233"/>
      <x:c r="I924" s="236"/>
      <x:c r="J924" s="236"/>
      <x:c r="K924" s="236"/>
      <x:c r="L924" s="236"/>
      <x:c r="M924" s="233"/>
      <x:c r="N924" s="233"/>
      <x:c r="O924" s="237"/>
      <x:c r="P924" s="236"/>
      <x:c r="Q924" s="236"/>
      <x:c r="R924" s="236"/>
      <x:c r="S924" s="241"/>
      <x:c r="T924" s="242"/>
    </x:row>
    <x:row r="925">
      <x:c r="A925" s="235"/>
      <x:c r="B925" s="236"/>
      <x:c r="C925" s="237"/>
      <x:c r="D925" s="236"/>
      <x:c r="E925" s="236"/>
      <x:c r="F925" s="236"/>
      <x:c r="G925" s="233"/>
      <x:c r="H925" s="233"/>
      <x:c r="I925" s="236"/>
      <x:c r="J925" s="236"/>
      <x:c r="K925" s="236"/>
      <x:c r="L925" s="236"/>
      <x:c r="M925" s="233"/>
      <x:c r="N925" s="233"/>
      <x:c r="O925" s="237"/>
      <x:c r="P925" s="236"/>
      <x:c r="Q925" s="236"/>
      <x:c r="R925" s="236"/>
      <x:c r="S925" s="241"/>
      <x:c r="T925" s="242"/>
    </x:row>
    <x:row r="926">
      <x:c r="A926" s="235"/>
      <x:c r="B926" s="236"/>
      <x:c r="C926" s="237"/>
      <x:c r="D926" s="236"/>
      <x:c r="E926" s="236"/>
      <x:c r="F926" s="236"/>
      <x:c r="G926" s="233"/>
      <x:c r="H926" s="233"/>
      <x:c r="I926" s="236"/>
      <x:c r="J926" s="236"/>
      <x:c r="K926" s="236"/>
      <x:c r="L926" s="236"/>
      <x:c r="M926" s="233"/>
      <x:c r="N926" s="233"/>
      <x:c r="O926" s="237"/>
      <x:c r="P926" s="236"/>
      <x:c r="Q926" s="236"/>
      <x:c r="R926" s="236"/>
      <x:c r="S926" s="241"/>
      <x:c r="T926" s="242"/>
    </x:row>
    <x:row r="927">
      <x:c r="A927" s="235"/>
      <x:c r="B927" s="236"/>
      <x:c r="C927" s="237"/>
      <x:c r="D927" s="236"/>
      <x:c r="E927" s="236"/>
      <x:c r="F927" s="236"/>
      <x:c r="G927" s="233"/>
      <x:c r="H927" s="233"/>
      <x:c r="I927" s="236"/>
      <x:c r="J927" s="236"/>
      <x:c r="K927" s="236"/>
      <x:c r="L927" s="236"/>
      <x:c r="M927" s="233"/>
      <x:c r="N927" s="233"/>
      <x:c r="O927" s="237"/>
      <x:c r="P927" s="236"/>
      <x:c r="Q927" s="236"/>
      <x:c r="R927" s="236"/>
      <x:c r="S927" s="241"/>
      <x:c r="T927" s="242"/>
    </x:row>
    <x:row r="928">
      <x:c r="A928" s="235"/>
      <x:c r="B928" s="236"/>
      <x:c r="C928" s="237"/>
      <x:c r="D928" s="236"/>
      <x:c r="E928" s="236"/>
      <x:c r="F928" s="236"/>
      <x:c r="G928" s="233"/>
      <x:c r="H928" s="233"/>
      <x:c r="I928" s="236"/>
      <x:c r="J928" s="236"/>
      <x:c r="K928" s="236"/>
      <x:c r="L928" s="236"/>
      <x:c r="M928" s="233"/>
      <x:c r="N928" s="233"/>
      <x:c r="O928" s="237"/>
      <x:c r="P928" s="236"/>
      <x:c r="Q928" s="236"/>
      <x:c r="R928" s="236"/>
      <x:c r="S928" s="241"/>
      <x:c r="T928" s="242"/>
    </x:row>
    <x:row r="929">
      <x:c r="A929" s="235"/>
      <x:c r="B929" s="236"/>
      <x:c r="C929" s="237"/>
      <x:c r="D929" s="236"/>
      <x:c r="E929" s="236"/>
      <x:c r="F929" s="236"/>
      <x:c r="G929" s="233"/>
      <x:c r="H929" s="233"/>
      <x:c r="I929" s="236"/>
      <x:c r="J929" s="236"/>
      <x:c r="K929" s="236"/>
      <x:c r="L929" s="236"/>
      <x:c r="M929" s="233"/>
      <x:c r="N929" s="233"/>
      <x:c r="O929" s="237"/>
      <x:c r="P929" s="236"/>
      <x:c r="Q929" s="236"/>
      <x:c r="R929" s="236"/>
      <x:c r="S929" s="241"/>
      <x:c r="T929" s="242"/>
    </x:row>
    <x:row r="930">
      <x:c r="A930" s="235"/>
      <x:c r="B930" s="236"/>
      <x:c r="C930" s="237"/>
      <x:c r="D930" s="236"/>
      <x:c r="E930" s="236"/>
      <x:c r="F930" s="236"/>
      <x:c r="G930" s="233"/>
      <x:c r="H930" s="233"/>
      <x:c r="I930" s="236"/>
      <x:c r="J930" s="236"/>
      <x:c r="K930" s="236"/>
      <x:c r="L930" s="236"/>
      <x:c r="M930" s="233"/>
      <x:c r="N930" s="233"/>
      <x:c r="O930" s="237"/>
      <x:c r="P930" s="236"/>
      <x:c r="Q930" s="236"/>
      <x:c r="R930" s="236"/>
      <x:c r="S930" s="241"/>
      <x:c r="T930" s="242"/>
    </x:row>
    <x:row r="931">
      <x:c r="A931" s="235"/>
      <x:c r="B931" s="236"/>
      <x:c r="C931" s="237"/>
      <x:c r="D931" s="236"/>
      <x:c r="E931" s="236"/>
      <x:c r="F931" s="236"/>
      <x:c r="G931" s="233"/>
      <x:c r="H931" s="233"/>
      <x:c r="I931" s="236"/>
      <x:c r="J931" s="236"/>
      <x:c r="K931" s="236"/>
      <x:c r="L931" s="236"/>
      <x:c r="M931" s="233"/>
      <x:c r="N931" s="233"/>
      <x:c r="O931" s="237"/>
      <x:c r="P931" s="236"/>
      <x:c r="Q931" s="236"/>
      <x:c r="R931" s="236"/>
      <x:c r="S931" s="241"/>
      <x:c r="T931" s="242"/>
    </x:row>
    <x:row r="932">
      <x:c r="A932" s="235"/>
      <x:c r="B932" s="236"/>
      <x:c r="C932" s="237"/>
      <x:c r="D932" s="236"/>
      <x:c r="E932" s="236"/>
      <x:c r="F932" s="236"/>
      <x:c r="G932" s="233"/>
      <x:c r="H932" s="233"/>
      <x:c r="I932" s="236"/>
      <x:c r="J932" s="236"/>
      <x:c r="K932" s="236"/>
      <x:c r="L932" s="236"/>
      <x:c r="M932" s="233"/>
      <x:c r="N932" s="233"/>
      <x:c r="O932" s="237"/>
      <x:c r="P932" s="236"/>
      <x:c r="Q932" s="236"/>
      <x:c r="R932" s="236"/>
      <x:c r="S932" s="241"/>
      <x:c r="T932" s="242"/>
    </x:row>
    <x:row r="933">
      <x:c r="A933" s="235"/>
      <x:c r="B933" s="236"/>
      <x:c r="C933" s="237"/>
      <x:c r="D933" s="236"/>
      <x:c r="E933" s="236"/>
      <x:c r="F933" s="236"/>
      <x:c r="G933" s="233"/>
      <x:c r="H933" s="233"/>
      <x:c r="I933" s="236"/>
      <x:c r="J933" s="236"/>
      <x:c r="K933" s="236"/>
      <x:c r="L933" s="236"/>
      <x:c r="M933" s="233"/>
      <x:c r="N933" s="233"/>
      <x:c r="O933" s="237"/>
      <x:c r="P933" s="236"/>
      <x:c r="Q933" s="236"/>
      <x:c r="R933" s="236"/>
      <x:c r="S933" s="241"/>
      <x:c r="T933" s="242"/>
    </x:row>
    <x:row r="934">
      <x:c r="A934" s="235"/>
      <x:c r="B934" s="236"/>
      <x:c r="C934" s="237"/>
      <x:c r="D934" s="236"/>
      <x:c r="E934" s="236"/>
      <x:c r="F934" s="236"/>
      <x:c r="G934" s="233"/>
      <x:c r="H934" s="233"/>
      <x:c r="I934" s="236"/>
      <x:c r="J934" s="236"/>
      <x:c r="K934" s="236"/>
      <x:c r="L934" s="236"/>
      <x:c r="M934" s="233"/>
      <x:c r="N934" s="233"/>
      <x:c r="O934" s="237"/>
      <x:c r="P934" s="236"/>
      <x:c r="Q934" s="236"/>
      <x:c r="R934" s="236"/>
      <x:c r="S934" s="241"/>
      <x:c r="T934" s="242"/>
    </x:row>
    <x:row r="935">
      <x:c r="A935" s="235"/>
      <x:c r="B935" s="236"/>
      <x:c r="C935" s="237"/>
      <x:c r="D935" s="236"/>
      <x:c r="E935" s="236"/>
      <x:c r="F935" s="236"/>
      <x:c r="G935" s="233"/>
      <x:c r="H935" s="233"/>
      <x:c r="I935" s="236"/>
      <x:c r="J935" s="236"/>
      <x:c r="K935" s="236"/>
      <x:c r="L935" s="236"/>
      <x:c r="M935" s="233"/>
      <x:c r="N935" s="233"/>
      <x:c r="O935" s="237"/>
      <x:c r="P935" s="236"/>
      <x:c r="Q935" s="236"/>
      <x:c r="R935" s="236"/>
      <x:c r="S935" s="241"/>
      <x:c r="T935" s="242"/>
    </x:row>
    <x:row r="936">
      <x:c r="A936" s="235"/>
      <x:c r="B936" s="236"/>
      <x:c r="C936" s="237"/>
      <x:c r="D936" s="236"/>
      <x:c r="E936" s="236"/>
      <x:c r="F936" s="236"/>
      <x:c r="G936" s="233"/>
      <x:c r="H936" s="233"/>
      <x:c r="I936" s="236"/>
      <x:c r="J936" s="236"/>
      <x:c r="K936" s="236"/>
      <x:c r="L936" s="236"/>
      <x:c r="M936" s="233"/>
      <x:c r="N936" s="233"/>
      <x:c r="O936" s="237"/>
      <x:c r="P936" s="236"/>
      <x:c r="Q936" s="236"/>
      <x:c r="R936" s="236"/>
      <x:c r="S936" s="241"/>
      <x:c r="T936" s="242"/>
    </x:row>
    <x:row r="937">
      <x:c r="A937" s="235"/>
      <x:c r="B937" s="236"/>
      <x:c r="C937" s="237"/>
      <x:c r="D937" s="236"/>
      <x:c r="E937" s="236"/>
      <x:c r="F937" s="236"/>
      <x:c r="G937" s="233"/>
      <x:c r="H937" s="233"/>
      <x:c r="I937" s="236"/>
      <x:c r="J937" s="236"/>
      <x:c r="K937" s="236"/>
      <x:c r="L937" s="236"/>
      <x:c r="M937" s="233"/>
      <x:c r="N937" s="233"/>
      <x:c r="O937" s="237"/>
      <x:c r="P937" s="236"/>
      <x:c r="Q937" s="236"/>
      <x:c r="R937" s="236"/>
      <x:c r="S937" s="241"/>
      <x:c r="T937" s="242"/>
    </x:row>
    <x:row r="938">
      <x:c r="A938" s="235"/>
      <x:c r="B938" s="236"/>
      <x:c r="C938" s="237"/>
      <x:c r="D938" s="236"/>
      <x:c r="E938" s="236"/>
      <x:c r="F938" s="236"/>
      <x:c r="G938" s="233"/>
      <x:c r="H938" s="233"/>
      <x:c r="I938" s="236"/>
      <x:c r="J938" s="236"/>
      <x:c r="K938" s="236"/>
      <x:c r="L938" s="236"/>
      <x:c r="M938" s="233"/>
      <x:c r="N938" s="233"/>
      <x:c r="O938" s="237"/>
      <x:c r="P938" s="236"/>
      <x:c r="Q938" s="236"/>
      <x:c r="R938" s="236"/>
      <x:c r="S938" s="241"/>
      <x:c r="T938" s="242"/>
    </x:row>
    <x:row r="939">
      <x:c r="A939" s="235"/>
      <x:c r="B939" s="236"/>
      <x:c r="C939" s="237"/>
      <x:c r="D939" s="236"/>
      <x:c r="E939" s="236"/>
      <x:c r="F939" s="236"/>
      <x:c r="G939" s="233"/>
      <x:c r="H939" s="233"/>
      <x:c r="I939" s="236"/>
      <x:c r="J939" s="236"/>
      <x:c r="K939" s="236"/>
      <x:c r="L939" s="236"/>
      <x:c r="M939" s="233"/>
      <x:c r="N939" s="233"/>
      <x:c r="O939" s="237"/>
      <x:c r="P939" s="236"/>
      <x:c r="Q939" s="236"/>
      <x:c r="R939" s="236"/>
      <x:c r="S939" s="241"/>
      <x:c r="T939" s="242"/>
    </x:row>
    <x:row r="940">
      <x:c r="A940" s="235"/>
      <x:c r="B940" s="236"/>
      <x:c r="C940" s="237"/>
      <x:c r="D940" s="236"/>
      <x:c r="E940" s="236"/>
      <x:c r="F940" s="236"/>
      <x:c r="G940" s="233"/>
      <x:c r="H940" s="233"/>
      <x:c r="I940" s="236"/>
      <x:c r="J940" s="236"/>
      <x:c r="K940" s="236"/>
      <x:c r="L940" s="236"/>
      <x:c r="M940" s="233"/>
      <x:c r="N940" s="233"/>
      <x:c r="O940" s="237"/>
      <x:c r="P940" s="236"/>
      <x:c r="Q940" s="236"/>
      <x:c r="R940" s="236"/>
      <x:c r="S940" s="241"/>
      <x:c r="T940" s="242"/>
    </x:row>
    <x:row r="941">
      <x:c r="A941" s="235"/>
      <x:c r="B941" s="236"/>
      <x:c r="C941" s="237"/>
      <x:c r="D941" s="236"/>
      <x:c r="E941" s="236"/>
      <x:c r="F941" s="236"/>
      <x:c r="G941" s="233"/>
      <x:c r="H941" s="233"/>
      <x:c r="I941" s="236"/>
      <x:c r="J941" s="236"/>
      <x:c r="K941" s="236"/>
      <x:c r="L941" s="236"/>
      <x:c r="M941" s="233"/>
      <x:c r="N941" s="233"/>
      <x:c r="O941" s="237"/>
      <x:c r="P941" s="236"/>
      <x:c r="Q941" s="236"/>
      <x:c r="R941" s="236"/>
      <x:c r="S941" s="241"/>
      <x:c r="T941" s="242"/>
    </x:row>
    <x:row r="942">
      <x:c r="A942" s="235"/>
      <x:c r="B942" s="236"/>
      <x:c r="C942" s="237"/>
      <x:c r="D942" s="236"/>
      <x:c r="E942" s="236"/>
      <x:c r="F942" s="236"/>
      <x:c r="G942" s="233"/>
      <x:c r="H942" s="233"/>
      <x:c r="I942" s="236"/>
      <x:c r="J942" s="236"/>
      <x:c r="K942" s="236"/>
      <x:c r="L942" s="236"/>
      <x:c r="M942" s="233"/>
      <x:c r="N942" s="233"/>
      <x:c r="O942" s="237"/>
      <x:c r="P942" s="236"/>
      <x:c r="Q942" s="236"/>
      <x:c r="R942" s="236"/>
      <x:c r="S942" s="241"/>
      <x:c r="T942" s="242"/>
    </x:row>
    <x:row r="943">
      <x:c r="A943" s="235"/>
      <x:c r="B943" s="236"/>
      <x:c r="C943" s="237"/>
      <x:c r="D943" s="236"/>
      <x:c r="E943" s="236"/>
      <x:c r="F943" s="236"/>
      <x:c r="G943" s="233"/>
      <x:c r="H943" s="233"/>
      <x:c r="I943" s="236"/>
      <x:c r="J943" s="236"/>
      <x:c r="K943" s="236"/>
      <x:c r="L943" s="236"/>
      <x:c r="M943" s="233"/>
      <x:c r="N943" s="233"/>
      <x:c r="O943" s="237"/>
      <x:c r="P943" s="236"/>
      <x:c r="Q943" s="236"/>
      <x:c r="R943" s="236"/>
      <x:c r="S943" s="241"/>
      <x:c r="T943" s="242"/>
    </x:row>
    <x:row r="944">
      <x:c r="A944" s="235"/>
      <x:c r="B944" s="236"/>
      <x:c r="C944" s="237"/>
      <x:c r="D944" s="236"/>
      <x:c r="E944" s="236"/>
      <x:c r="F944" s="236"/>
      <x:c r="G944" s="233"/>
      <x:c r="H944" s="233"/>
      <x:c r="I944" s="236"/>
      <x:c r="J944" s="236"/>
      <x:c r="K944" s="236"/>
      <x:c r="L944" s="236"/>
      <x:c r="M944" s="233"/>
      <x:c r="N944" s="233"/>
      <x:c r="O944" s="237"/>
      <x:c r="P944" s="236"/>
      <x:c r="Q944" s="236"/>
      <x:c r="R944" s="236"/>
      <x:c r="S944" s="241"/>
      <x:c r="T944" s="242"/>
    </x:row>
    <x:row r="945">
      <x:c r="A945" s="235"/>
      <x:c r="B945" s="236"/>
      <x:c r="C945" s="237"/>
      <x:c r="D945" s="236"/>
      <x:c r="E945" s="236"/>
      <x:c r="F945" s="236"/>
      <x:c r="G945" s="233"/>
      <x:c r="H945" s="233"/>
      <x:c r="I945" s="236"/>
      <x:c r="J945" s="236"/>
      <x:c r="K945" s="236"/>
      <x:c r="L945" s="236"/>
      <x:c r="M945" s="233"/>
      <x:c r="N945" s="233"/>
      <x:c r="O945" s="237"/>
      <x:c r="P945" s="236"/>
      <x:c r="Q945" s="236"/>
      <x:c r="R945" s="236"/>
      <x:c r="S945" s="241"/>
      <x:c r="T945" s="242"/>
    </x:row>
    <x:row r="946">
      <x:c r="A946" s="235"/>
      <x:c r="B946" s="236"/>
      <x:c r="C946" s="237"/>
      <x:c r="D946" s="236"/>
      <x:c r="E946" s="236"/>
      <x:c r="F946" s="236"/>
      <x:c r="G946" s="233"/>
      <x:c r="H946" s="233"/>
      <x:c r="I946" s="236"/>
      <x:c r="J946" s="236"/>
      <x:c r="K946" s="236"/>
      <x:c r="L946" s="236"/>
      <x:c r="M946" s="233"/>
      <x:c r="N946" s="233"/>
      <x:c r="O946" s="237"/>
      <x:c r="P946" s="236"/>
      <x:c r="Q946" s="236"/>
      <x:c r="R946" s="236"/>
      <x:c r="S946" s="241"/>
      <x:c r="T946" s="242"/>
    </x:row>
    <x:row r="947">
      <x:c r="A947" s="235"/>
      <x:c r="B947" s="236"/>
      <x:c r="C947" s="237"/>
      <x:c r="D947" s="236"/>
      <x:c r="E947" s="236"/>
      <x:c r="F947" s="236"/>
      <x:c r="G947" s="233"/>
      <x:c r="H947" s="233"/>
      <x:c r="I947" s="236"/>
      <x:c r="J947" s="236"/>
      <x:c r="K947" s="236"/>
      <x:c r="L947" s="236"/>
      <x:c r="M947" s="233"/>
      <x:c r="N947" s="233"/>
      <x:c r="O947" s="237"/>
      <x:c r="P947" s="236"/>
      <x:c r="Q947" s="236"/>
      <x:c r="R947" s="236"/>
      <x:c r="S947" s="241"/>
      <x:c r="T947" s="242"/>
    </x:row>
    <x:row r="948">
      <x:c r="A948" s="235"/>
      <x:c r="B948" s="236"/>
      <x:c r="C948" s="237"/>
      <x:c r="D948" s="236"/>
      <x:c r="E948" s="236"/>
      <x:c r="F948" s="236"/>
      <x:c r="G948" s="233"/>
      <x:c r="H948" s="233"/>
      <x:c r="I948" s="236"/>
      <x:c r="J948" s="236"/>
      <x:c r="K948" s="236"/>
      <x:c r="L948" s="236"/>
      <x:c r="M948" s="233"/>
      <x:c r="N948" s="233"/>
      <x:c r="O948" s="237"/>
      <x:c r="P948" s="236"/>
      <x:c r="Q948" s="236"/>
      <x:c r="R948" s="236"/>
      <x:c r="S948" s="241"/>
      <x:c r="T948" s="242"/>
    </x:row>
    <x:row r="949">
      <x:c r="A949" s="235"/>
      <x:c r="B949" s="236"/>
      <x:c r="C949" s="237"/>
      <x:c r="D949" s="236"/>
      <x:c r="E949" s="236"/>
      <x:c r="F949" s="236"/>
      <x:c r="G949" s="233"/>
      <x:c r="H949" s="233"/>
      <x:c r="I949" s="236"/>
      <x:c r="J949" s="236"/>
      <x:c r="K949" s="236"/>
      <x:c r="L949" s="236"/>
      <x:c r="M949" s="233"/>
      <x:c r="N949" s="233"/>
      <x:c r="O949" s="237"/>
      <x:c r="P949" s="236"/>
      <x:c r="Q949" s="236"/>
      <x:c r="R949" s="236"/>
      <x:c r="S949" s="241"/>
      <x:c r="T949" s="242"/>
    </x:row>
    <x:row r="950">
      <x:c r="A950" s="235"/>
      <x:c r="B950" s="236"/>
      <x:c r="C950" s="237"/>
      <x:c r="D950" s="236"/>
      <x:c r="E950" s="236"/>
      <x:c r="F950" s="236"/>
      <x:c r="G950" s="233"/>
      <x:c r="H950" s="233"/>
      <x:c r="I950" s="236"/>
      <x:c r="J950" s="236"/>
      <x:c r="K950" s="236"/>
      <x:c r="L950" s="236"/>
      <x:c r="M950" s="233"/>
      <x:c r="N950" s="233"/>
      <x:c r="O950" s="237"/>
      <x:c r="P950" s="236"/>
      <x:c r="Q950" s="236"/>
      <x:c r="R950" s="236"/>
      <x:c r="S950" s="241"/>
      <x:c r="T950" s="242"/>
    </x:row>
    <x:row r="951">
      <x:c r="A951" s="235"/>
      <x:c r="B951" s="236"/>
      <x:c r="C951" s="237"/>
      <x:c r="D951" s="236"/>
      <x:c r="E951" s="236"/>
      <x:c r="F951" s="236"/>
      <x:c r="G951" s="233"/>
      <x:c r="H951" s="233"/>
      <x:c r="I951" s="236"/>
      <x:c r="J951" s="236"/>
      <x:c r="K951" s="236"/>
      <x:c r="L951" s="236"/>
      <x:c r="M951" s="233"/>
      <x:c r="N951" s="233"/>
      <x:c r="O951" s="237"/>
      <x:c r="P951" s="236"/>
      <x:c r="Q951" s="236"/>
      <x:c r="R951" s="236"/>
      <x:c r="S951" s="241"/>
      <x:c r="T951" s="242"/>
    </x:row>
    <x:row r="952">
      <x:c r="A952" s="235"/>
      <x:c r="B952" s="236"/>
      <x:c r="C952" s="237"/>
      <x:c r="D952" s="236"/>
      <x:c r="E952" s="236"/>
      <x:c r="F952" s="236"/>
      <x:c r="G952" s="233"/>
      <x:c r="H952" s="233"/>
      <x:c r="I952" s="236"/>
      <x:c r="J952" s="236"/>
      <x:c r="K952" s="236"/>
      <x:c r="L952" s="236"/>
      <x:c r="M952" s="233"/>
      <x:c r="N952" s="233"/>
      <x:c r="O952" s="237"/>
      <x:c r="P952" s="236"/>
      <x:c r="Q952" s="236"/>
      <x:c r="R952" s="236"/>
      <x:c r="S952" s="241"/>
      <x:c r="T952" s="242"/>
    </x:row>
    <x:row r="953">
      <x:c r="A953" s="235"/>
      <x:c r="B953" s="236"/>
      <x:c r="C953" s="237"/>
      <x:c r="D953" s="236"/>
      <x:c r="E953" s="236"/>
      <x:c r="F953" s="236"/>
      <x:c r="G953" s="233"/>
      <x:c r="H953" s="233"/>
      <x:c r="I953" s="236"/>
      <x:c r="J953" s="236"/>
      <x:c r="K953" s="236"/>
      <x:c r="L953" s="236"/>
      <x:c r="M953" s="233"/>
      <x:c r="N953" s="233"/>
      <x:c r="O953" s="237"/>
      <x:c r="P953" s="236"/>
      <x:c r="Q953" s="236"/>
      <x:c r="R953" s="236"/>
      <x:c r="S953" s="241"/>
      <x:c r="T953" s="242"/>
    </x:row>
    <x:row r="954">
      <x:c r="A954" s="235"/>
      <x:c r="B954" s="236"/>
      <x:c r="C954" s="237"/>
      <x:c r="D954" s="236"/>
      <x:c r="E954" s="236"/>
      <x:c r="F954" s="236"/>
      <x:c r="G954" s="233"/>
      <x:c r="H954" s="233"/>
      <x:c r="I954" s="236"/>
      <x:c r="J954" s="236"/>
      <x:c r="K954" s="236"/>
      <x:c r="L954" s="236"/>
      <x:c r="M954" s="233"/>
      <x:c r="N954" s="233"/>
      <x:c r="O954" s="237"/>
      <x:c r="P954" s="236"/>
      <x:c r="Q954" s="236"/>
      <x:c r="R954" s="236"/>
      <x:c r="S954" s="241"/>
      <x:c r="T954" s="242"/>
    </x:row>
    <x:row r="955">
      <x:c r="A955" s="235"/>
      <x:c r="B955" s="236"/>
      <x:c r="C955" s="237"/>
      <x:c r="D955" s="236"/>
      <x:c r="E955" s="236"/>
      <x:c r="F955" s="236"/>
      <x:c r="G955" s="233"/>
      <x:c r="H955" s="233"/>
      <x:c r="I955" s="236"/>
      <x:c r="J955" s="236"/>
      <x:c r="K955" s="236"/>
      <x:c r="L955" s="236"/>
      <x:c r="M955" s="233"/>
      <x:c r="N955" s="233"/>
      <x:c r="O955" s="237"/>
      <x:c r="P955" s="236"/>
      <x:c r="Q955" s="236"/>
      <x:c r="R955" s="236"/>
      <x:c r="S955" s="241"/>
      <x:c r="T955" s="242"/>
    </x:row>
    <x:row r="956">
      <x:c r="A956" s="235"/>
      <x:c r="B956" s="236"/>
      <x:c r="C956" s="237"/>
      <x:c r="D956" s="236"/>
      <x:c r="E956" s="236"/>
      <x:c r="F956" s="236"/>
      <x:c r="G956" s="233"/>
      <x:c r="H956" s="233"/>
      <x:c r="I956" s="236"/>
      <x:c r="J956" s="236"/>
      <x:c r="K956" s="236"/>
      <x:c r="L956" s="236"/>
      <x:c r="M956" s="233"/>
      <x:c r="N956" s="233"/>
      <x:c r="O956" s="237"/>
      <x:c r="P956" s="236"/>
      <x:c r="Q956" s="236"/>
      <x:c r="R956" s="236"/>
      <x:c r="S956" s="241"/>
      <x:c r="T956" s="242"/>
    </x:row>
    <x:row r="957">
      <x:c r="A957" s="235"/>
      <x:c r="B957" s="236"/>
      <x:c r="C957" s="237"/>
      <x:c r="D957" s="236"/>
      <x:c r="E957" s="236"/>
      <x:c r="F957" s="236"/>
      <x:c r="G957" s="233"/>
      <x:c r="H957" s="233"/>
      <x:c r="I957" s="236"/>
      <x:c r="J957" s="236"/>
      <x:c r="K957" s="236"/>
      <x:c r="L957" s="236"/>
      <x:c r="M957" s="233"/>
      <x:c r="N957" s="233"/>
      <x:c r="O957" s="237"/>
      <x:c r="P957" s="236"/>
      <x:c r="Q957" s="236"/>
      <x:c r="R957" s="236"/>
      <x:c r="S957" s="241"/>
      <x:c r="T957" s="242"/>
    </x:row>
    <x:row r="958">
      <x:c r="A958" s="235"/>
      <x:c r="B958" s="236"/>
      <x:c r="C958" s="237"/>
      <x:c r="D958" s="236"/>
      <x:c r="E958" s="236"/>
      <x:c r="F958" s="236"/>
      <x:c r="G958" s="233"/>
      <x:c r="H958" s="233"/>
      <x:c r="I958" s="236"/>
      <x:c r="J958" s="236"/>
      <x:c r="K958" s="236"/>
      <x:c r="L958" s="236"/>
      <x:c r="M958" s="233"/>
      <x:c r="N958" s="233"/>
      <x:c r="O958" s="237"/>
      <x:c r="P958" s="236"/>
      <x:c r="Q958" s="236"/>
      <x:c r="R958" s="236"/>
      <x:c r="S958" s="241"/>
      <x:c r="T958" s="242"/>
    </x:row>
    <x:row r="959">
      <x:c r="A959" s="235"/>
      <x:c r="B959" s="236"/>
      <x:c r="C959" s="237"/>
      <x:c r="D959" s="236"/>
      <x:c r="E959" s="236"/>
      <x:c r="F959" s="236"/>
      <x:c r="G959" s="233"/>
      <x:c r="H959" s="233"/>
      <x:c r="I959" s="236"/>
      <x:c r="J959" s="236"/>
      <x:c r="K959" s="236"/>
      <x:c r="L959" s="236"/>
      <x:c r="M959" s="233"/>
      <x:c r="N959" s="233"/>
      <x:c r="O959" s="237"/>
      <x:c r="P959" s="236"/>
      <x:c r="Q959" s="236"/>
      <x:c r="R959" s="236"/>
      <x:c r="S959" s="241"/>
      <x:c r="T959" s="242"/>
    </x:row>
    <x:row r="960">
      <x:c r="A960" s="235"/>
      <x:c r="B960" s="236"/>
      <x:c r="C960" s="237"/>
      <x:c r="D960" s="236"/>
      <x:c r="E960" s="236"/>
      <x:c r="F960" s="236"/>
      <x:c r="G960" s="233"/>
      <x:c r="H960" s="233"/>
      <x:c r="I960" s="236"/>
      <x:c r="J960" s="236"/>
      <x:c r="K960" s="236"/>
      <x:c r="L960" s="236"/>
      <x:c r="M960" s="233"/>
      <x:c r="N960" s="233"/>
      <x:c r="O960" s="237"/>
      <x:c r="P960" s="236"/>
      <x:c r="Q960" s="236"/>
      <x:c r="R960" s="236"/>
      <x:c r="S960" s="241"/>
      <x:c r="T960" s="242"/>
    </x:row>
    <x:row r="961">
      <x:c r="A961" s="235"/>
      <x:c r="B961" s="236"/>
      <x:c r="C961" s="237"/>
      <x:c r="D961" s="236"/>
      <x:c r="E961" s="236"/>
      <x:c r="F961" s="236"/>
      <x:c r="G961" s="233"/>
      <x:c r="H961" s="233"/>
      <x:c r="I961" s="236"/>
      <x:c r="J961" s="236"/>
      <x:c r="K961" s="236"/>
      <x:c r="L961" s="236"/>
      <x:c r="M961" s="233"/>
      <x:c r="N961" s="233"/>
      <x:c r="O961" s="237"/>
      <x:c r="P961" s="236"/>
      <x:c r="Q961" s="236"/>
      <x:c r="R961" s="236"/>
      <x:c r="S961" s="241"/>
      <x:c r="T961" s="242"/>
    </x:row>
    <x:row r="962">
      <x:c r="A962" s="235"/>
      <x:c r="B962" s="236"/>
      <x:c r="C962" s="237"/>
      <x:c r="D962" s="236"/>
      <x:c r="E962" s="236"/>
      <x:c r="F962" s="236"/>
      <x:c r="G962" s="233"/>
      <x:c r="H962" s="233"/>
      <x:c r="I962" s="236"/>
      <x:c r="J962" s="236"/>
      <x:c r="K962" s="236"/>
      <x:c r="L962" s="236"/>
      <x:c r="M962" s="233"/>
      <x:c r="N962" s="233"/>
      <x:c r="O962" s="237"/>
      <x:c r="P962" s="236"/>
      <x:c r="Q962" s="236"/>
      <x:c r="R962" s="236"/>
      <x:c r="S962" s="241"/>
      <x:c r="T962" s="242"/>
    </x:row>
    <x:row r="963">
      <x:c r="A963" s="235"/>
      <x:c r="B963" s="236"/>
      <x:c r="C963" s="237"/>
      <x:c r="D963" s="236"/>
      <x:c r="E963" s="236"/>
      <x:c r="F963" s="236"/>
      <x:c r="G963" s="233"/>
      <x:c r="H963" s="233"/>
      <x:c r="I963" s="236"/>
      <x:c r="J963" s="236"/>
      <x:c r="K963" s="236"/>
      <x:c r="L963" s="236"/>
      <x:c r="M963" s="233"/>
      <x:c r="N963" s="233"/>
      <x:c r="O963" s="237"/>
      <x:c r="P963" s="236"/>
      <x:c r="Q963" s="236"/>
      <x:c r="R963" s="236"/>
      <x:c r="S963" s="241"/>
      <x:c r="T963" s="242"/>
    </x:row>
    <x:row r="964">
      <x:c r="A964" s="235"/>
      <x:c r="B964" s="236"/>
      <x:c r="C964" s="237"/>
      <x:c r="D964" s="236"/>
      <x:c r="E964" s="236"/>
      <x:c r="F964" s="236"/>
      <x:c r="G964" s="233"/>
      <x:c r="H964" s="233"/>
      <x:c r="I964" s="236"/>
      <x:c r="J964" s="236"/>
      <x:c r="K964" s="236"/>
      <x:c r="L964" s="236"/>
      <x:c r="M964" s="233"/>
      <x:c r="N964" s="233"/>
      <x:c r="O964" s="237"/>
      <x:c r="P964" s="236"/>
      <x:c r="Q964" s="236"/>
      <x:c r="R964" s="236"/>
      <x:c r="S964" s="241"/>
      <x:c r="T964" s="242"/>
    </x:row>
    <x:row r="965">
      <x:c r="A965" s="235"/>
      <x:c r="B965" s="236"/>
      <x:c r="C965" s="237"/>
      <x:c r="D965" s="236"/>
      <x:c r="E965" s="236"/>
      <x:c r="F965" s="236"/>
      <x:c r="G965" s="233"/>
      <x:c r="H965" s="233"/>
      <x:c r="I965" s="236"/>
      <x:c r="J965" s="236"/>
      <x:c r="K965" s="236"/>
      <x:c r="L965" s="236"/>
      <x:c r="M965" s="233"/>
      <x:c r="N965" s="233"/>
      <x:c r="O965" s="237"/>
      <x:c r="P965" s="236"/>
      <x:c r="Q965" s="236"/>
      <x:c r="R965" s="236"/>
      <x:c r="S965" s="241"/>
      <x:c r="T965" s="242"/>
    </x:row>
    <x:row r="966">
      <x:c r="A966" s="235"/>
      <x:c r="B966" s="236"/>
      <x:c r="C966" s="237"/>
      <x:c r="D966" s="236"/>
      <x:c r="E966" s="236"/>
      <x:c r="F966" s="236"/>
      <x:c r="G966" s="233"/>
      <x:c r="H966" s="233"/>
      <x:c r="I966" s="236"/>
      <x:c r="J966" s="236"/>
      <x:c r="K966" s="236"/>
      <x:c r="L966" s="236"/>
      <x:c r="M966" s="233"/>
      <x:c r="N966" s="233"/>
      <x:c r="O966" s="237"/>
      <x:c r="P966" s="236"/>
      <x:c r="Q966" s="236"/>
      <x:c r="R966" s="236"/>
      <x:c r="S966" s="241"/>
      <x:c r="T966" s="242"/>
    </x:row>
    <x:row r="967">
      <x:c r="A967" s="235"/>
      <x:c r="B967" s="236"/>
      <x:c r="C967" s="237"/>
      <x:c r="D967" s="236"/>
      <x:c r="E967" s="236"/>
      <x:c r="F967" s="236"/>
      <x:c r="G967" s="233"/>
      <x:c r="H967" s="233"/>
      <x:c r="I967" s="236"/>
      <x:c r="J967" s="236"/>
      <x:c r="K967" s="236"/>
      <x:c r="L967" s="236"/>
      <x:c r="M967" s="233"/>
      <x:c r="N967" s="233"/>
      <x:c r="O967" s="237"/>
      <x:c r="P967" s="236"/>
      <x:c r="Q967" s="236"/>
      <x:c r="R967" s="236"/>
      <x:c r="S967" s="241"/>
      <x:c r="T967" s="242"/>
    </x:row>
    <x:row r="968">
      <x:c r="A968" s="235"/>
      <x:c r="B968" s="236"/>
      <x:c r="C968" s="237"/>
      <x:c r="D968" s="236"/>
      <x:c r="E968" s="236"/>
      <x:c r="F968" s="236"/>
      <x:c r="G968" s="233"/>
      <x:c r="H968" s="233"/>
      <x:c r="I968" s="236"/>
      <x:c r="J968" s="236"/>
      <x:c r="K968" s="236"/>
      <x:c r="L968" s="236"/>
      <x:c r="M968" s="233"/>
      <x:c r="N968" s="233"/>
      <x:c r="O968" s="237"/>
      <x:c r="P968" s="236"/>
      <x:c r="Q968" s="236"/>
      <x:c r="R968" s="236"/>
      <x:c r="S968" s="241"/>
      <x:c r="T968" s="242"/>
    </x:row>
    <x:row r="969">
      <x:c r="A969" s="235"/>
      <x:c r="B969" s="236"/>
      <x:c r="C969" s="237"/>
      <x:c r="D969" s="236"/>
      <x:c r="E969" s="236"/>
      <x:c r="F969" s="236"/>
      <x:c r="G969" s="233"/>
      <x:c r="H969" s="233"/>
      <x:c r="I969" s="236"/>
      <x:c r="J969" s="236"/>
      <x:c r="K969" s="236"/>
      <x:c r="L969" s="236"/>
      <x:c r="M969" s="233"/>
      <x:c r="N969" s="233"/>
      <x:c r="O969" s="237"/>
      <x:c r="P969" s="236"/>
      <x:c r="Q969" s="236"/>
      <x:c r="R969" s="236"/>
      <x:c r="S969" s="241"/>
      <x:c r="T969" s="242"/>
    </x:row>
    <x:row r="970">
      <x:c r="A970" s="235"/>
      <x:c r="B970" s="236"/>
      <x:c r="C970" s="237"/>
      <x:c r="D970" s="236"/>
      <x:c r="E970" s="236"/>
      <x:c r="F970" s="236"/>
      <x:c r="G970" s="233"/>
      <x:c r="H970" s="233"/>
      <x:c r="I970" s="236"/>
      <x:c r="J970" s="236"/>
      <x:c r="K970" s="236"/>
      <x:c r="L970" s="236"/>
      <x:c r="M970" s="233"/>
      <x:c r="N970" s="233"/>
      <x:c r="O970" s="237"/>
      <x:c r="P970" s="236"/>
      <x:c r="Q970" s="236"/>
      <x:c r="R970" s="236"/>
      <x:c r="S970" s="241"/>
      <x:c r="T970" s="242"/>
    </x:row>
    <x:row r="971">
      <x:c r="A971" s="235"/>
      <x:c r="B971" s="236"/>
      <x:c r="C971" s="237"/>
      <x:c r="D971" s="236"/>
      <x:c r="E971" s="236"/>
      <x:c r="F971" s="236"/>
      <x:c r="G971" s="233"/>
      <x:c r="H971" s="233"/>
      <x:c r="I971" s="236"/>
      <x:c r="J971" s="236"/>
      <x:c r="K971" s="236"/>
      <x:c r="L971" s="236"/>
      <x:c r="M971" s="233"/>
      <x:c r="N971" s="233"/>
      <x:c r="O971" s="237"/>
      <x:c r="P971" s="236"/>
      <x:c r="Q971" s="236"/>
      <x:c r="R971" s="236"/>
      <x:c r="S971" s="241"/>
      <x:c r="T971" s="242"/>
    </x:row>
    <x:row r="972">
      <x:c r="A972" s="235"/>
      <x:c r="B972" s="236"/>
      <x:c r="C972" s="237"/>
      <x:c r="D972" s="236"/>
      <x:c r="E972" s="236"/>
      <x:c r="F972" s="236"/>
      <x:c r="G972" s="233"/>
      <x:c r="H972" s="233"/>
      <x:c r="I972" s="236"/>
      <x:c r="J972" s="236"/>
      <x:c r="K972" s="236"/>
      <x:c r="L972" s="236"/>
      <x:c r="M972" s="233"/>
      <x:c r="N972" s="233"/>
      <x:c r="O972" s="237"/>
      <x:c r="P972" s="236"/>
      <x:c r="Q972" s="236"/>
      <x:c r="R972" s="236"/>
      <x:c r="S972" s="241"/>
      <x:c r="T972" s="242"/>
    </x:row>
    <x:row r="973">
      <x:c r="A973" s="235"/>
      <x:c r="B973" s="236"/>
      <x:c r="C973" s="237"/>
      <x:c r="D973" s="236"/>
      <x:c r="E973" s="236"/>
      <x:c r="F973" s="236"/>
      <x:c r="G973" s="233"/>
      <x:c r="H973" s="233"/>
      <x:c r="I973" s="236"/>
      <x:c r="J973" s="236"/>
      <x:c r="K973" s="236"/>
      <x:c r="L973" s="236"/>
      <x:c r="M973" s="233"/>
      <x:c r="N973" s="233"/>
      <x:c r="O973" s="237"/>
      <x:c r="P973" s="236"/>
      <x:c r="Q973" s="236"/>
      <x:c r="R973" s="236"/>
      <x:c r="S973" s="241"/>
      <x:c r="T973" s="242"/>
    </x:row>
    <x:row r="974">
      <x:c r="A974" s="235"/>
      <x:c r="B974" s="236"/>
      <x:c r="C974" s="237"/>
      <x:c r="D974" s="236"/>
      <x:c r="E974" s="236"/>
      <x:c r="F974" s="236"/>
      <x:c r="G974" s="233"/>
      <x:c r="H974" s="233"/>
      <x:c r="I974" s="236"/>
      <x:c r="J974" s="236"/>
      <x:c r="K974" s="236"/>
      <x:c r="L974" s="236"/>
      <x:c r="M974" s="233"/>
      <x:c r="N974" s="233"/>
      <x:c r="O974" s="237"/>
      <x:c r="P974" s="236"/>
      <x:c r="Q974" s="236"/>
      <x:c r="R974" s="236"/>
      <x:c r="S974" s="241"/>
      <x:c r="T974" s="242"/>
    </x:row>
    <x:row r="975">
      <x:c r="A975" s="235"/>
      <x:c r="B975" s="236"/>
      <x:c r="C975" s="237"/>
      <x:c r="D975" s="236"/>
      <x:c r="E975" s="236"/>
      <x:c r="F975" s="236"/>
      <x:c r="G975" s="233"/>
      <x:c r="H975" s="233"/>
      <x:c r="I975" s="236"/>
      <x:c r="J975" s="236"/>
      <x:c r="K975" s="236"/>
      <x:c r="L975" s="236"/>
      <x:c r="M975" s="233"/>
      <x:c r="N975" s="233"/>
      <x:c r="O975" s="237"/>
      <x:c r="P975" s="236"/>
      <x:c r="Q975" s="236"/>
      <x:c r="R975" s="236"/>
      <x:c r="S975" s="241"/>
      <x:c r="T975" s="242"/>
    </x:row>
    <x:row r="976">
      <x:c r="A976" s="235"/>
      <x:c r="B976" s="236"/>
      <x:c r="C976" s="237"/>
      <x:c r="D976" s="236"/>
      <x:c r="E976" s="236"/>
      <x:c r="F976" s="236"/>
      <x:c r="G976" s="233"/>
      <x:c r="H976" s="233"/>
      <x:c r="I976" s="236"/>
      <x:c r="J976" s="236"/>
      <x:c r="K976" s="236"/>
      <x:c r="L976" s="236"/>
      <x:c r="M976" s="233"/>
      <x:c r="N976" s="233"/>
      <x:c r="O976" s="237"/>
      <x:c r="P976" s="236"/>
      <x:c r="Q976" s="236"/>
      <x:c r="R976" s="236"/>
      <x:c r="S976" s="241"/>
      <x:c r="T976" s="242"/>
    </x:row>
    <x:row r="977">
      <x:c r="A977" s="235"/>
      <x:c r="B977" s="236"/>
      <x:c r="C977" s="237"/>
      <x:c r="D977" s="236"/>
      <x:c r="E977" s="236"/>
      <x:c r="F977" s="236"/>
      <x:c r="G977" s="233"/>
      <x:c r="H977" s="233"/>
      <x:c r="I977" s="236"/>
      <x:c r="J977" s="236"/>
      <x:c r="K977" s="236"/>
      <x:c r="L977" s="236"/>
      <x:c r="M977" s="233"/>
      <x:c r="N977" s="233"/>
      <x:c r="O977" s="237"/>
      <x:c r="P977" s="236"/>
      <x:c r="Q977" s="236"/>
      <x:c r="R977" s="236"/>
      <x:c r="S977" s="241"/>
      <x:c r="T977" s="242"/>
    </x:row>
    <x:row r="978">
      <x:c r="A978" s="235"/>
      <x:c r="B978" s="236"/>
      <x:c r="C978" s="237"/>
      <x:c r="D978" s="236"/>
      <x:c r="E978" s="236"/>
      <x:c r="F978" s="236"/>
      <x:c r="G978" s="233"/>
      <x:c r="H978" s="233"/>
      <x:c r="I978" s="236"/>
      <x:c r="J978" s="236"/>
      <x:c r="K978" s="236"/>
      <x:c r="L978" s="236"/>
      <x:c r="M978" s="233"/>
      <x:c r="N978" s="233"/>
      <x:c r="O978" s="237"/>
      <x:c r="P978" s="236"/>
      <x:c r="Q978" s="236"/>
      <x:c r="R978" s="236"/>
      <x:c r="S978" s="241"/>
      <x:c r="T978" s="242"/>
    </x:row>
    <x:row r="979">
      <x:c r="A979" s="235"/>
      <x:c r="B979" s="236"/>
      <x:c r="C979" s="237"/>
      <x:c r="D979" s="236"/>
      <x:c r="E979" s="236"/>
      <x:c r="F979" s="236"/>
      <x:c r="G979" s="233"/>
      <x:c r="H979" s="233"/>
      <x:c r="I979" s="236"/>
      <x:c r="J979" s="236"/>
      <x:c r="K979" s="236"/>
      <x:c r="L979" s="236"/>
      <x:c r="M979" s="233"/>
      <x:c r="N979" s="233"/>
      <x:c r="O979" s="237"/>
      <x:c r="P979" s="236"/>
      <x:c r="Q979" s="236"/>
      <x:c r="R979" s="236"/>
      <x:c r="S979" s="241"/>
      <x:c r="T979" s="242"/>
    </x:row>
    <x:row r="980">
      <x:c r="A980" s="235"/>
      <x:c r="B980" s="236"/>
      <x:c r="C980" s="237"/>
      <x:c r="D980" s="236"/>
      <x:c r="E980" s="236"/>
      <x:c r="F980" s="236"/>
      <x:c r="G980" s="233"/>
      <x:c r="H980" s="233"/>
      <x:c r="I980" s="236"/>
      <x:c r="J980" s="236"/>
      <x:c r="K980" s="236"/>
      <x:c r="L980" s="236"/>
      <x:c r="M980" s="233"/>
      <x:c r="N980" s="233"/>
      <x:c r="O980" s="237"/>
      <x:c r="P980" s="236"/>
      <x:c r="Q980" s="236"/>
      <x:c r="R980" s="236"/>
      <x:c r="S980" s="241"/>
      <x:c r="T980" s="242"/>
    </x:row>
    <x:row r="981">
      <x:c r="A981" s="235"/>
      <x:c r="B981" s="236"/>
      <x:c r="C981" s="237"/>
      <x:c r="D981" s="236"/>
      <x:c r="E981" s="236"/>
      <x:c r="F981" s="236"/>
      <x:c r="G981" s="233"/>
      <x:c r="H981" s="233"/>
      <x:c r="I981" s="236"/>
      <x:c r="J981" s="236"/>
      <x:c r="K981" s="236"/>
      <x:c r="L981" s="236"/>
      <x:c r="M981" s="233"/>
      <x:c r="N981" s="233"/>
      <x:c r="O981" s="237"/>
      <x:c r="P981" s="236"/>
      <x:c r="Q981" s="236"/>
      <x:c r="R981" s="236"/>
      <x:c r="S981" s="241"/>
      <x:c r="T981" s="242"/>
    </x:row>
    <x:row r="982">
      <x:c r="A982" s="235"/>
      <x:c r="B982" s="236"/>
      <x:c r="C982" s="237"/>
      <x:c r="D982" s="236"/>
      <x:c r="E982" s="236"/>
      <x:c r="F982" s="236"/>
      <x:c r="G982" s="233"/>
      <x:c r="H982" s="233"/>
      <x:c r="I982" s="236"/>
      <x:c r="J982" s="236"/>
      <x:c r="K982" s="236"/>
      <x:c r="L982" s="236"/>
      <x:c r="M982" s="233"/>
      <x:c r="N982" s="233"/>
      <x:c r="O982" s="237"/>
      <x:c r="P982" s="236"/>
      <x:c r="Q982" s="236"/>
      <x:c r="R982" s="236"/>
      <x:c r="S982" s="241"/>
      <x:c r="T982" s="242"/>
    </x:row>
    <x:row r="983">
      <x:c r="A983" s="235"/>
      <x:c r="B983" s="236"/>
      <x:c r="C983" s="237"/>
      <x:c r="D983" s="236"/>
      <x:c r="E983" s="236"/>
      <x:c r="F983" s="236"/>
      <x:c r="G983" s="233"/>
      <x:c r="H983" s="233"/>
      <x:c r="I983" s="236"/>
      <x:c r="J983" s="236"/>
      <x:c r="K983" s="236"/>
      <x:c r="L983" s="236"/>
      <x:c r="M983" s="233"/>
      <x:c r="N983" s="233"/>
      <x:c r="O983" s="237"/>
      <x:c r="P983" s="236"/>
      <x:c r="Q983" s="236"/>
      <x:c r="R983" s="236"/>
      <x:c r="S983" s="241"/>
      <x:c r="T983" s="242"/>
    </x:row>
    <x:row r="984">
      <x:c r="A984" s="235"/>
      <x:c r="B984" s="236"/>
      <x:c r="C984" s="237"/>
      <x:c r="D984" s="236"/>
      <x:c r="E984" s="236"/>
      <x:c r="F984" s="236"/>
      <x:c r="G984" s="233"/>
      <x:c r="H984" s="233"/>
      <x:c r="I984" s="236"/>
      <x:c r="J984" s="236"/>
      <x:c r="K984" s="236"/>
      <x:c r="L984" s="236"/>
      <x:c r="M984" s="233"/>
      <x:c r="N984" s="233"/>
      <x:c r="O984" s="237"/>
      <x:c r="P984" s="236"/>
      <x:c r="Q984" s="236"/>
      <x:c r="R984" s="236"/>
      <x:c r="S984" s="241"/>
      <x:c r="T984" s="242"/>
    </x:row>
    <x:row r="985">
      <x:c r="A985" s="235"/>
      <x:c r="B985" s="236"/>
      <x:c r="C985" s="237"/>
      <x:c r="D985" s="236"/>
      <x:c r="E985" s="236"/>
      <x:c r="F985" s="236"/>
      <x:c r="G985" s="233"/>
      <x:c r="H985" s="233"/>
      <x:c r="I985" s="236"/>
      <x:c r="J985" s="236"/>
      <x:c r="K985" s="236"/>
      <x:c r="L985" s="236"/>
      <x:c r="M985" s="233"/>
      <x:c r="N985" s="233"/>
      <x:c r="O985" s="237"/>
      <x:c r="P985" s="236"/>
      <x:c r="Q985" s="236"/>
      <x:c r="R985" s="236"/>
      <x:c r="S985" s="241"/>
      <x:c r="T985" s="242"/>
    </x:row>
    <x:row r="986">
      <x:c r="A986" s="235"/>
      <x:c r="B986" s="236"/>
      <x:c r="C986" s="237"/>
      <x:c r="D986" s="236"/>
      <x:c r="E986" s="236"/>
      <x:c r="F986" s="236"/>
      <x:c r="G986" s="233"/>
      <x:c r="H986" s="233"/>
      <x:c r="I986" s="236"/>
      <x:c r="J986" s="236"/>
      <x:c r="K986" s="236"/>
      <x:c r="L986" s="236"/>
      <x:c r="M986" s="233"/>
      <x:c r="N986" s="233"/>
      <x:c r="O986" s="237"/>
      <x:c r="P986" s="236"/>
      <x:c r="Q986" s="236"/>
      <x:c r="R986" s="236"/>
      <x:c r="S986" s="241"/>
      <x:c r="T986" s="242"/>
    </x:row>
    <x:row r="987">
      <x:c r="A987" s="235"/>
      <x:c r="B987" s="236"/>
      <x:c r="C987" s="237"/>
      <x:c r="D987" s="236"/>
      <x:c r="E987" s="236"/>
      <x:c r="F987" s="236"/>
      <x:c r="G987" s="233"/>
      <x:c r="H987" s="233"/>
      <x:c r="I987" s="236"/>
      <x:c r="J987" s="236"/>
      <x:c r="K987" s="236"/>
      <x:c r="L987" s="236"/>
      <x:c r="M987" s="233"/>
      <x:c r="N987" s="233"/>
      <x:c r="O987" s="237"/>
      <x:c r="P987" s="236"/>
      <x:c r="Q987" s="236"/>
      <x:c r="R987" s="236"/>
      <x:c r="S987" s="241"/>
      <x:c r="T987" s="242"/>
    </x:row>
    <x:row r="988">
      <x:c r="A988" s="235"/>
      <x:c r="B988" s="236"/>
      <x:c r="C988" s="237"/>
      <x:c r="D988" s="236"/>
      <x:c r="E988" s="236"/>
      <x:c r="F988" s="236"/>
      <x:c r="G988" s="233"/>
      <x:c r="H988" s="233"/>
      <x:c r="I988" s="236"/>
      <x:c r="J988" s="236"/>
      <x:c r="K988" s="236"/>
      <x:c r="L988" s="236"/>
      <x:c r="M988" s="233"/>
      <x:c r="N988" s="233"/>
      <x:c r="O988" s="237"/>
      <x:c r="P988" s="236"/>
      <x:c r="Q988" s="236"/>
      <x:c r="R988" s="236"/>
      <x:c r="S988" s="241"/>
      <x:c r="T988" s="242"/>
    </x:row>
    <x:row r="989">
      <x:c r="A989" s="235"/>
      <x:c r="B989" s="236"/>
      <x:c r="C989" s="237"/>
      <x:c r="D989" s="236"/>
      <x:c r="E989" s="236"/>
      <x:c r="F989" s="236"/>
      <x:c r="G989" s="233"/>
      <x:c r="H989" s="233"/>
      <x:c r="I989" s="236"/>
      <x:c r="J989" s="236"/>
      <x:c r="K989" s="236"/>
      <x:c r="L989" s="236"/>
      <x:c r="M989" s="233"/>
      <x:c r="N989" s="233"/>
      <x:c r="O989" s="237"/>
      <x:c r="P989" s="236"/>
      <x:c r="Q989" s="236"/>
      <x:c r="R989" s="236"/>
      <x:c r="S989" s="241"/>
      <x:c r="T989" s="242"/>
    </x:row>
    <x:row r="990">
      <x:c r="A990" s="235"/>
      <x:c r="B990" s="236"/>
      <x:c r="C990" s="237"/>
      <x:c r="D990" s="236"/>
      <x:c r="E990" s="236"/>
      <x:c r="F990" s="236"/>
      <x:c r="G990" s="233"/>
      <x:c r="H990" s="233"/>
      <x:c r="I990" s="236"/>
      <x:c r="J990" s="236"/>
      <x:c r="K990" s="236"/>
      <x:c r="L990" s="236"/>
      <x:c r="M990" s="233"/>
      <x:c r="N990" s="233"/>
      <x:c r="O990" s="237"/>
      <x:c r="P990" s="236"/>
      <x:c r="Q990" s="236"/>
      <x:c r="R990" s="236"/>
      <x:c r="S990" s="241"/>
      <x:c r="T990" s="242"/>
    </x:row>
    <x:row r="991">
      <x:c r="A991" s="235"/>
      <x:c r="B991" s="236"/>
      <x:c r="C991" s="237"/>
      <x:c r="D991" s="236"/>
      <x:c r="E991" s="236"/>
      <x:c r="F991" s="236"/>
      <x:c r="G991" s="233"/>
      <x:c r="H991" s="233"/>
      <x:c r="I991" s="236"/>
      <x:c r="J991" s="236"/>
      <x:c r="K991" s="236"/>
      <x:c r="L991" s="236"/>
      <x:c r="M991" s="233"/>
      <x:c r="N991" s="233"/>
      <x:c r="O991" s="237"/>
      <x:c r="P991" s="236"/>
      <x:c r="Q991" s="236"/>
      <x:c r="R991" s="236"/>
      <x:c r="S991" s="241"/>
      <x:c r="T991" s="242"/>
    </x:row>
    <x:row r="992">
      <x:c r="A992" s="235"/>
      <x:c r="B992" s="236"/>
      <x:c r="C992" s="237"/>
      <x:c r="D992" s="236"/>
      <x:c r="E992" s="236"/>
      <x:c r="F992" s="236"/>
      <x:c r="G992" s="233"/>
      <x:c r="H992" s="233"/>
      <x:c r="I992" s="236"/>
      <x:c r="J992" s="236"/>
      <x:c r="K992" s="236"/>
      <x:c r="L992" s="236"/>
      <x:c r="M992" s="233"/>
      <x:c r="N992" s="233"/>
      <x:c r="O992" s="237"/>
      <x:c r="P992" s="236"/>
      <x:c r="Q992" s="236"/>
      <x:c r="R992" s="236"/>
      <x:c r="S992" s="241"/>
      <x:c r="T992" s="242"/>
    </x:row>
    <x:row r="993">
      <x:c r="A993" s="235"/>
      <x:c r="B993" s="236"/>
      <x:c r="C993" s="237"/>
      <x:c r="D993" s="236"/>
      <x:c r="E993" s="236"/>
      <x:c r="F993" s="236"/>
      <x:c r="G993" s="233"/>
      <x:c r="H993" s="233"/>
      <x:c r="I993" s="236"/>
      <x:c r="J993" s="236"/>
      <x:c r="K993" s="236"/>
      <x:c r="L993" s="236"/>
      <x:c r="M993" s="233"/>
      <x:c r="N993" s="233"/>
      <x:c r="O993" s="237"/>
      <x:c r="P993" s="236"/>
      <x:c r="Q993" s="236"/>
      <x:c r="R993" s="236"/>
      <x:c r="S993" s="241"/>
      <x:c r="T993" s="242"/>
    </x:row>
    <x:row r="994">
      <x:c r="A994" s="235"/>
      <x:c r="B994" s="236"/>
      <x:c r="C994" s="237"/>
      <x:c r="D994" s="236"/>
      <x:c r="E994" s="236"/>
      <x:c r="F994" s="236"/>
      <x:c r="G994" s="233"/>
      <x:c r="H994" s="233"/>
      <x:c r="I994" s="236"/>
      <x:c r="J994" s="236"/>
      <x:c r="K994" s="236"/>
      <x:c r="L994" s="236"/>
      <x:c r="M994" s="233"/>
      <x:c r="N994" s="233"/>
      <x:c r="O994" s="237"/>
      <x:c r="P994" s="236"/>
      <x:c r="Q994" s="236"/>
      <x:c r="R994" s="236"/>
      <x:c r="S994" s="241"/>
      <x:c r="T994" s="242"/>
    </x:row>
    <x:row r="995">
      <x:c r="A995" s="235"/>
      <x:c r="B995" s="236"/>
      <x:c r="C995" s="237"/>
      <x:c r="D995" s="236"/>
      <x:c r="E995" s="236"/>
      <x:c r="F995" s="236"/>
      <x:c r="G995" s="233"/>
      <x:c r="H995" s="233"/>
      <x:c r="I995" s="236"/>
      <x:c r="J995" s="236"/>
      <x:c r="K995" s="236"/>
      <x:c r="L995" s="236"/>
      <x:c r="M995" s="233"/>
      <x:c r="N995" s="233"/>
      <x:c r="O995" s="237"/>
      <x:c r="P995" s="236"/>
      <x:c r="Q995" s="236"/>
      <x:c r="R995" s="236"/>
      <x:c r="S995" s="241"/>
      <x:c r="T995" s="242"/>
    </x:row>
    <x:row r="996">
      <x:c r="A996" s="235"/>
      <x:c r="B996" s="236"/>
      <x:c r="C996" s="237"/>
      <x:c r="D996" s="236"/>
      <x:c r="E996" s="236"/>
      <x:c r="F996" s="236"/>
      <x:c r="G996" s="233"/>
      <x:c r="H996" s="233"/>
      <x:c r="I996" s="236"/>
      <x:c r="J996" s="236"/>
      <x:c r="K996" s="236"/>
      <x:c r="L996" s="236"/>
      <x:c r="M996" s="233"/>
      <x:c r="N996" s="233"/>
      <x:c r="O996" s="237"/>
      <x:c r="P996" s="236"/>
      <x:c r="Q996" s="236"/>
      <x:c r="R996" s="236"/>
      <x:c r="S996" s="241"/>
      <x:c r="T996" s="242"/>
    </x:row>
    <x:row r="997">
      <x:c r="A997" s="235"/>
      <x:c r="B997" s="236"/>
      <x:c r="C997" s="237"/>
      <x:c r="D997" s="236"/>
      <x:c r="E997" s="236"/>
      <x:c r="F997" s="236"/>
      <x:c r="G997" s="233"/>
      <x:c r="H997" s="233"/>
      <x:c r="I997" s="236"/>
      <x:c r="J997" s="236"/>
      <x:c r="K997" s="236"/>
      <x:c r="L997" s="236"/>
      <x:c r="M997" s="233"/>
      <x:c r="N997" s="233"/>
      <x:c r="O997" s="237"/>
      <x:c r="P997" s="236"/>
      <x:c r="Q997" s="236"/>
      <x:c r="R997" s="236"/>
      <x:c r="S997" s="241"/>
      <x:c r="T997" s="242"/>
    </x:row>
    <x:row r="998">
      <x:c r="A998" s="235"/>
      <x:c r="B998" s="236"/>
      <x:c r="C998" s="237"/>
      <x:c r="D998" s="236"/>
      <x:c r="E998" s="236"/>
      <x:c r="F998" s="236"/>
      <x:c r="G998" s="233"/>
      <x:c r="H998" s="233"/>
      <x:c r="I998" s="236"/>
      <x:c r="J998" s="236"/>
      <x:c r="K998" s="236"/>
      <x:c r="L998" s="236"/>
      <x:c r="M998" s="233"/>
      <x:c r="N998" s="233"/>
      <x:c r="O998" s="237"/>
      <x:c r="P998" s="236"/>
      <x:c r="Q998" s="236"/>
      <x:c r="R998" s="236"/>
      <x:c r="S998" s="241"/>
      <x:c r="T998" s="242"/>
    </x:row>
    <x:row r="999">
      <x:c r="A999" s="235"/>
      <x:c r="B999" s="236"/>
      <x:c r="C999" s="237"/>
      <x:c r="D999" s="236"/>
      <x:c r="E999" s="236"/>
      <x:c r="F999" s="236"/>
      <x:c r="G999" s="233"/>
      <x:c r="H999" s="233"/>
      <x:c r="I999" s="236"/>
      <x:c r="J999" s="236"/>
      <x:c r="K999" s="236"/>
      <x:c r="L999" s="236"/>
      <x:c r="M999" s="233"/>
      <x:c r="N999" s="233"/>
      <x:c r="O999" s="237"/>
      <x:c r="P999" s="236"/>
      <x:c r="Q999" s="236"/>
      <x:c r="R999" s="236"/>
      <x:c r="S999" s="241"/>
      <x:c r="T999" s="242"/>
    </x:row>
    <x:row r="1000">
      <x:c r="A1000" s="238"/>
      <x:c r="B1000" s="239"/>
      <x:c r="C1000" s="240"/>
      <x:c r="D1000" s="239"/>
      <x:c r="E1000" s="239"/>
      <x:c r="F1000" s="239"/>
      <x:c r="G1000" s="234"/>
      <x:c r="H1000" s="234"/>
      <x:c r="I1000" s="239"/>
      <x:c r="J1000" s="239"/>
      <x:c r="K1000" s="239"/>
      <x:c r="L1000" s="239"/>
      <x:c r="M1000" s="234"/>
      <x:c r="N1000" s="234"/>
      <x:c r="O1000" s="240"/>
      <x:c r="P1000" s="239"/>
      <x:c r="Q1000" s="239"/>
      <x:c r="R1000" s="239"/>
      <x:c r="S1000" s="243"/>
      <x:c r="T1000" s="244"/>
    </x:row>
  </x:sheetData>
  <x:mergeCells>
    <x:mergeCell ref="V1:W1"/>
    <x:mergeCell ref="A1:U1"/>
    <x:mergeCell ref="A2:U2"/>
    <x:mergeCell ref="A3:U3"/>
  </x:mergeCells>
  <x:conditionalFormatting sqref="J6:J1000">
    <x:cfRule type="expression" dxfId="17" priority="4">
      <x:formula>J6="SUDAH TERBANGUN"</x:formula>
    </x:cfRule>
    <x:cfRule type="expression" dxfId="16" priority="5">
      <x:formula>J6="LAHAN TERSEDIA / BELUM TERBANGUN"</x:formula>
    </x:cfRule>
  </x:conditionalFormatting>
  <x:conditionalFormatting sqref="L6:L1000">
    <x:cfRule type="expression" dxfId="15" priority="1">
      <x:formula>L6="SUDAH DISERAHKAN"</x:formula>
    </x:cfRule>
    <x:cfRule type="expression" dxfId="14" priority="2">
      <x:formula>L6="BELUM DISERAHKAN"</x:formula>
    </x:cfRule>
    <x:cfRule type="expression" dxfId="13" priority="3">
      <x:formula>L6="SEBAGIAN"</x:formula>
    </x:cfRule>
  </x:conditionalFormatting>
  <x:dataValidations count="9">
    <x:dataValidation type="list" sqref="D6:D1000">
      <x:formula1>"PRASARANA,SARANA,UTILITAS UMUM,LAINNYA"</x:formula1>
    </x:dataValidation>
    <x:dataValidation type="list" sqref="E6:E1000">
      <x:formula1>$W$3:$W$24</x:formula1>
    </x:dataValidation>
    <x:dataValidation type="list" sqref="I6:I1000">
      <x:formula1>"m²,unit,titik,meter,set,lainnya"</x:formula1>
    </x:dataValidation>
    <x:dataValidation type="list" sqref="J6:J1000">
      <x:formula1>"SUDAH TERBANGUN,LAHAN TERSEDIA / BELUM TERBANGUN,BELUM TERBANGUN,TIDAK BERLAKU"</x:formula1>
    </x:dataValidation>
    <x:dataValidation type="list" sqref="K6:K1000">
      <x:formula1>"YA,TIDAK"</x:formula1>
    </x:dataValidation>
    <x:dataValidation type="list" sqref="L6:L1000">
      <x:formula1>"BELUM DISERAHKAN,SEBAGIAN,SUDAH DISERAHKAN,TIDAK BERLAKU"</x:formula1>
    </x:dataValidation>
    <x:dataValidation type="list" sqref="Q6:Q1000">
      <x:formula1>"Site Plan,Berita Acara Serah Terima,Verifikasi Lapangan,Dokumen Lainnya"</x:formula1>
    </x:dataValidation>
    <x:dataValidation type="list" sqref="R6:R1000">
      <x:formula1>"Dalam Verifikasi,Terverifikasi"</x:formula1>
    </x:dataValidation>
    <x:dataValidation type="list" sqref="B6:B500">
      <x:formula1>PERUMAHAN!$A$6:$A$361</x:formula1>
    </x:dataValidation>
  </x:dataValidations>
  <x:pageMargins left="0.7" right="0.7" top="0.75" bottom="0.75" header="0.3" footer="0.3"/>
</x:worksheet>
</file>

<file path=xl/worksheets/sheet3.xml><?xml version="1.0" encoding="utf-8"?>
<x:worksheet xmlns:x="http://schemas.openxmlformats.org/spreadsheetml/2006/main">
  <x:sheetFormatPr defaultRowHeight="14"/>
  <x:cols>
    <x:col min="1" max="2" width="16" customWidth="1"/>
    <x:col min="3" max="3" width="17" customWidth="1"/>
    <x:col min="4" max="4" width="28" hidden="0" customWidth="1"/>
    <x:col min="5" max="5" width="34" customWidth="1"/>
    <x:col min="6" max="6" width="22" customWidth="1"/>
    <x:col min="7" max="7" width="16" style="72" customWidth="1"/>
    <x:col min="8" max="8" width="38" customWidth="1"/>
    <x:col min="9" max="9" width="12" customWidth="1"/>
    <x:col min="10" max="10" width="20" customWidth="1"/>
    <x:col min="11" max="11" width="34" customWidth="1"/>
    <x:col min="12" max="12" width="22" customWidth="1"/>
    <x:col min="13" max="13" width="18" customWidth="1"/>
    <x:col min="14" max="14" width="16" customWidth="1"/>
    <x:col min="15" max="15" width="18" hidden="0" customWidth="1"/>
  </x:cols>
  <x:sheetData>
    <x:row r="1" ht="18">
      <x:c r="A1" s="263" t="s">
        <x:v>1323</x:v>
      </x:c>
      <x:c r="B1" s="263"/>
      <x:c r="C1" s="263"/>
      <x:c r="D1" s="263"/>
      <x:c r="E1" s="263"/>
      <x:c r="F1" s="263"/>
      <x:c r="G1" s="263"/>
      <x:c r="H1" s="263"/>
      <x:c r="I1" s="263"/>
      <x:c r="J1" s="263"/>
      <x:c r="K1" s="263"/>
      <x:c r="L1" s="263"/>
      <x:c r="M1" s="263"/>
      <x:c r="N1" s="263"/>
    </x:row>
    <x:row r="2">
      <x:c r="A2" s="264" t="s">
        <x:v>1324</x:v>
      </x:c>
      <x:c r="B2" s="264"/>
      <x:c r="C2" s="264"/>
      <x:c r="D2" s="264"/>
      <x:c r="E2" s="264"/>
      <x:c r="F2" s="264"/>
      <x:c r="G2" s="264"/>
      <x:c r="H2" s="264"/>
      <x:c r="I2" s="264"/>
      <x:c r="J2" s="264"/>
      <x:c r="K2" s="264"/>
      <x:c r="L2" s="264"/>
      <x:c r="M2" s="264"/>
      <x:c r="N2" s="264"/>
    </x:row>
    <x:row r="3">
      <x:c r="A3" s="265" t="str">
        <x:v>PETUNJUK: Jangan mengubah nama header. Kolom bertanda * wajib diisi. Untuk JENIS_OBJEK = PERUMAHAN, isi ID_OBJEK menggunakan ID_PERUMAHAN; NAMA_PERUMAHAN terisi otomatis dan jangan diubah manual. AKSES = PUBLIK hanya untuk dokumen yang aman dipublikasikan; gunakan INTERNAL untuk dokumen kerja/administratif. URL_DOKUMEN harus berupa tautan http/https. Gunakan ID_OBJEK yang sama dengan ID pada sheet sumber.</x:v>
      </x:c>
      <x:c r="B3" s="265"/>
      <x:c r="C3" s="265"/>
      <x:c r="D3" s="265"/>
      <x:c r="E3" s="265"/>
      <x:c r="F3" s="265"/>
      <x:c r="G3" s="265"/>
      <x:c r="H3" s="265"/>
      <x:c r="I3" s="265"/>
      <x:c r="J3" s="265"/>
      <x:c r="K3" s="265"/>
      <x:c r="L3" s="265"/>
      <x:c r="M3" s="265"/>
      <x:c r="N3" s="265"/>
    </x:row>
    <x:row r="5" ht="22.399999618530273" customHeight="1">
      <x:c r="A5" s="210" t="s">
        <x:v>1325</x:v>
      </x:c>
      <x:c r="B5" s="210" t="s">
        <x:v>1326</x:v>
      </x:c>
      <x:c r="C5" s="210" t="s">
        <x:v>1327</x:v>
      </x:c>
      <x:c r="D5" s="581" t="str">
        <x:v>NAMA_PERUMAHAN</x:v>
      </x:c>
      <x:c r="E5" s="210" t="s">
        <x:v>1328</x:v>
      </x:c>
      <x:c r="F5" s="210" t="s">
        <x:v>1329</x:v>
      </x:c>
      <x:c r="G5" s="211" t="s">
        <x:v>1330</x:v>
      </x:c>
      <x:c r="H5" s="210" t="s">
        <x:v>1331</x:v>
      </x:c>
      <x:c r="I5" s="210" t="s">
        <x:v>1332</x:v>
      </x:c>
      <x:c r="J5" s="210" t="s">
        <x:v>1333</x:v>
      </x:c>
      <x:c r="K5" s="210" t="s">
        <x:v>29</x:v>
      </x:c>
      <x:c r="L5" s="210" t="s">
        <x:v>1276</x:v>
      </x:c>
      <x:c r="M5" s="210" t="s">
        <x:v>1334</x:v>
      </x:c>
      <x:c r="N5" s="210" t="s">
        <x:v>30</x:v>
      </x:c>
      <x:c r="O5" s="588" t="s">
        <x:v>31</x:v>
      </x:c>
      <x:c r="Q5"/>
      <x:c r="R5"/>
      <x:c r="S5"/>
      <x:c r="T5"/>
      <x:c r="U5"/>
      <x:c r="V5"/>
      <x:c r="W5"/>
      <x:c r="X5"/>
      <x:c r="Y5"/>
      <x:c r="Z5"/>
      <x:c r="AA5"/>
    </x:row>
    <x:row r="6">
      <x:c r="B6" s="208"/>
      <x:c r="D6" s="575" t="str">
        <x:f>IF(C6="","",IF(UPPER(TRIM(B6))="PERUMAHAN",IFERROR(VLOOKUP(C6,PERUMAHAN!$A:$B,2,FALSE),"ID tidak ditemukan"),""))</x:f>
      </x:c>
      <x:c r="E6" s="208"/>
      <x:c r="F6" s="208"/>
      <x:c r="G6" s="212"/>
      <x:c r="H6" s="214"/>
      <x:c r="I6" s="208"/>
      <x:c r="J6" s="208"/>
      <x:c r="K6" s="208"/>
      <x:c r="L6" s="208"/>
      <x:c r="M6" s="209"/>
      <x:c r="N6" s="208"/>
      <x:c r="O6"/>
      <x:c r="Q6"/>
      <x:c r="R6"/>
      <x:c r="S6"/>
      <x:c r="T6"/>
      <x:c r="U6"/>
      <x:c r="V6"/>
      <x:c r="W6"/>
      <x:c r="X6"/>
      <x:c r="Y6"/>
      <x:c r="Z6"/>
      <x:c r="AA6"/>
    </x:row>
    <x:row r="7">
      <x:c r="B7" s="208"/>
      <x:c r="D7" s="575" t="str">
        <x:f>IF(C7="","",IF(UPPER(TRIM(B7))="PERUMAHAN",IFERROR(VLOOKUP(C7,PERUMAHAN!$A:$B,2,FALSE),"ID tidak ditemukan"),""))</x:f>
      </x:c>
      <x:c r="E7" s="208"/>
      <x:c r="F7" s="208"/>
      <x:c r="G7" s="212"/>
      <x:c r="H7" s="214"/>
      <x:c r="I7" s="208"/>
      <x:c r="J7" s="208"/>
      <x:c r="K7" s="208"/>
      <x:c r="L7" s="208"/>
      <x:c r="M7" s="209"/>
      <x:c r="N7" s="208"/>
      <x:c r="O7"/>
      <x:c r="Q7"/>
      <x:c r="R7"/>
      <x:c r="S7"/>
      <x:c r="T7"/>
      <x:c r="U7"/>
      <x:c r="V7"/>
      <x:c r="W7"/>
      <x:c r="X7"/>
      <x:c r="Y7"/>
      <x:c r="Z7"/>
      <x:c r="AA7"/>
    </x:row>
    <x:row r="8">
      <x:c r="A8" s="208"/>
      <x:c r="B8" s="208"/>
      <x:c r="C8" s="208"/>
      <x:c r="D8" s="575" t="str">
        <x:f>IF(C8="","",IF(UPPER(TRIM(B8))="PERUMAHAN",IFERROR(VLOOKUP(C8,PERUMAHAN!$A:$B,2,FALSE),"ID tidak ditemukan"),""))</x:f>
      </x:c>
      <x:c r="E8" s="208"/>
      <x:c r="F8" s="208"/>
      <x:c r="G8" s="212"/>
      <x:c r="H8" s="208"/>
      <x:c r="I8" s="208"/>
      <x:c r="J8" s="208"/>
      <x:c r="K8" s="208"/>
      <x:c r="L8" s="208"/>
      <x:c r="M8" s="209"/>
      <x:c r="N8" s="208"/>
      <x:c r="O8"/>
      <x:c r="Q8"/>
      <x:c r="R8"/>
      <x:c r="S8"/>
      <x:c r="T8"/>
      <x:c r="U8"/>
      <x:c r="V8"/>
      <x:c r="W8"/>
      <x:c r="X8"/>
      <x:c r="Y8"/>
      <x:c r="Z8"/>
      <x:c r="AA8"/>
    </x:row>
    <x:row r="9">
      <x:c r="A9" s="208"/>
      <x:c r="B9" s="208"/>
      <x:c r="C9" s="208"/>
      <x:c r="D9" s="575" t="str">
        <x:f>IF(C9="","",IF(UPPER(TRIM(B9))="PERUMAHAN",IFERROR(VLOOKUP(C9,PERUMAHAN!$A:$B,2,FALSE),"ID tidak ditemukan"),""))</x:f>
      </x:c>
      <x:c r="E9" s="208"/>
      <x:c r="F9" s="208"/>
      <x:c r="G9" s="212"/>
      <x:c r="H9" s="208"/>
      <x:c r="I9" s="208"/>
      <x:c r="J9" s="208"/>
      <x:c r="K9" s="208"/>
      <x:c r="L9" s="208"/>
      <x:c r="M9" s="209"/>
      <x:c r="N9" s="208"/>
      <x:c r="O9"/>
      <x:c r="Q9"/>
      <x:c r="R9"/>
      <x:c r="S9"/>
      <x:c r="T9"/>
      <x:c r="U9"/>
      <x:c r="V9"/>
      <x:c r="W9"/>
      <x:c r="X9"/>
      <x:c r="Y9"/>
      <x:c r="Z9"/>
      <x:c r="AA9"/>
    </x:row>
    <x:row r="10">
      <x:c r="A10" s="208"/>
      <x:c r="B10" s="208"/>
      <x:c r="C10" s="208"/>
      <x:c r="D10" s="575" t="str">
        <x:f>IF(C10="","",IF(UPPER(TRIM(B10))="PERUMAHAN",IFERROR(VLOOKUP(C10,PERUMAHAN!$A:$B,2,FALSE),"ID tidak ditemukan"),""))</x:f>
      </x:c>
      <x:c r="E10" s="208"/>
      <x:c r="F10" s="208"/>
      <x:c r="G10" s="212"/>
      <x:c r="H10" s="208"/>
      <x:c r="I10" s="208"/>
      <x:c r="J10" s="208"/>
      <x:c r="K10" s="208"/>
      <x:c r="L10" s="208"/>
      <x:c r="M10" s="209"/>
      <x:c r="N10" s="208"/>
      <x:c r="O10"/>
      <x:c r="Q10"/>
      <x:c r="R10"/>
      <x:c r="S10"/>
      <x:c r="T10"/>
      <x:c r="U10"/>
      <x:c r="V10"/>
      <x:c r="W10"/>
      <x:c r="X10"/>
      <x:c r="Y10"/>
      <x:c r="Z10"/>
      <x:c r="AA10"/>
    </x:row>
    <x:row r="11">
      <x:c r="A11" s="208"/>
      <x:c r="B11" s="208"/>
      <x:c r="C11" s="208"/>
      <x:c r="D11" s="575" t="str">
        <x:f>IF(C11="","",IF(UPPER(TRIM(B11))="PERUMAHAN",IFERROR(VLOOKUP(C11,PERUMAHAN!$A:$B,2,FALSE),"ID tidak ditemukan"),""))</x:f>
      </x:c>
      <x:c r="E11" s="208"/>
      <x:c r="F11" s="208"/>
      <x:c r="G11" s="212"/>
      <x:c r="H11" s="208"/>
      <x:c r="I11" s="208"/>
      <x:c r="J11" s="208"/>
      <x:c r="K11" s="208"/>
      <x:c r="L11" s="208"/>
      <x:c r="M11" s="209"/>
      <x:c r="N11" s="208"/>
      <x:c r="O11"/>
      <x:c r="Q11"/>
      <x:c r="R11"/>
      <x:c r="S11"/>
      <x:c r="T11"/>
      <x:c r="U11"/>
      <x:c r="V11"/>
      <x:c r="W11"/>
      <x:c r="X11"/>
      <x:c r="Y11"/>
      <x:c r="Z11"/>
      <x:c r="AA11"/>
    </x:row>
    <x:row r="12">
      <x:c r="A12" s="208"/>
      <x:c r="B12" s="208"/>
      <x:c r="C12" s="208"/>
      <x:c r="D12" s="575" t="str">
        <x:f>IF(C12="","",IF(UPPER(TRIM(B12))="PERUMAHAN",IFERROR(VLOOKUP(C12,PERUMAHAN!$A:$B,2,FALSE),"ID tidak ditemukan"),""))</x:f>
      </x:c>
      <x:c r="E12" s="208"/>
      <x:c r="F12" s="208"/>
      <x:c r="G12" s="212"/>
      <x:c r="H12" s="208"/>
      <x:c r="I12" s="208"/>
      <x:c r="J12" s="208"/>
      <x:c r="K12" s="208"/>
      <x:c r="L12" s="208"/>
      <x:c r="M12" s="209"/>
      <x:c r="N12" s="208"/>
      <x:c r="O12"/>
      <x:c r="Q12"/>
      <x:c r="R12"/>
      <x:c r="S12"/>
      <x:c r="T12"/>
      <x:c r="U12"/>
      <x:c r="V12"/>
      <x:c r="W12"/>
      <x:c r="X12"/>
      <x:c r="Y12"/>
      <x:c r="Z12"/>
      <x:c r="AA12"/>
    </x:row>
    <x:row r="13">
      <x:c r="A13" s="208"/>
      <x:c r="B13" s="208"/>
      <x:c r="C13" s="208"/>
      <x:c r="D13" s="575" t="str">
        <x:f>IF(C13="","",IF(UPPER(TRIM(B13))="PERUMAHAN",IFERROR(VLOOKUP(C13,PERUMAHAN!$A:$B,2,FALSE),"ID tidak ditemukan"),""))</x:f>
      </x:c>
      <x:c r="E13" s="208"/>
      <x:c r="F13" s="208"/>
      <x:c r="G13" s="212"/>
      <x:c r="H13" s="208"/>
      <x:c r="I13" s="208"/>
      <x:c r="J13" s="208"/>
      <x:c r="K13" s="208"/>
      <x:c r="L13" s="208"/>
      <x:c r="M13" s="209"/>
      <x:c r="N13" s="208"/>
      <x:c r="O13"/>
      <x:c r="Q13"/>
      <x:c r="R13"/>
      <x:c r="S13"/>
      <x:c r="T13"/>
      <x:c r="U13"/>
      <x:c r="V13"/>
      <x:c r="W13"/>
      <x:c r="X13"/>
      <x:c r="Y13"/>
      <x:c r="Z13"/>
      <x:c r="AA13"/>
    </x:row>
    <x:row r="14">
      <x:c r="A14" s="208"/>
      <x:c r="B14" s="208"/>
      <x:c r="C14" s="208"/>
      <x:c r="D14" s="575" t="str">
        <x:f>IF(C14="","",IF(UPPER(TRIM(B14))="PERUMAHAN",IFERROR(VLOOKUP(C14,PERUMAHAN!$A:$B,2,FALSE),"ID tidak ditemukan"),""))</x:f>
      </x:c>
      <x:c r="E14" s="208"/>
      <x:c r="F14" s="208"/>
      <x:c r="G14" s="212"/>
      <x:c r="H14" s="208"/>
      <x:c r="I14" s="208"/>
      <x:c r="J14" s="208"/>
      <x:c r="K14" s="208"/>
      <x:c r="L14" s="208"/>
      <x:c r="M14" s="209"/>
      <x:c r="N14" s="208"/>
      <x:c r="O14"/>
      <x:c r="Q14"/>
      <x:c r="R14"/>
      <x:c r="S14"/>
      <x:c r="T14"/>
      <x:c r="U14"/>
      <x:c r="V14"/>
      <x:c r="W14"/>
      <x:c r="X14"/>
      <x:c r="Y14"/>
      <x:c r="Z14"/>
      <x:c r="AA14"/>
    </x:row>
    <x:row r="15">
      <x:c r="A15" s="208"/>
      <x:c r="B15" s="208"/>
      <x:c r="C15" s="208"/>
      <x:c r="D15" s="575" t="str">
        <x:f>IF(C15="","",IF(UPPER(TRIM(B15))="PERUMAHAN",IFERROR(VLOOKUP(C15,PERUMAHAN!$A:$B,2,FALSE),"ID tidak ditemukan"),""))</x:f>
      </x:c>
      <x:c r="E15" s="208"/>
      <x:c r="F15" s="208"/>
      <x:c r="G15" s="212"/>
      <x:c r="H15" s="208"/>
      <x:c r="I15" s="208"/>
      <x:c r="J15" s="208"/>
      <x:c r="K15" s="208"/>
      <x:c r="L15" s="208"/>
      <x:c r="M15" s="209"/>
      <x:c r="N15" s="208"/>
      <x:c r="O15"/>
      <x:c r="Q15"/>
      <x:c r="R15"/>
      <x:c r="S15"/>
      <x:c r="T15"/>
      <x:c r="U15"/>
      <x:c r="V15"/>
      <x:c r="W15"/>
      <x:c r="X15"/>
      <x:c r="Y15"/>
      <x:c r="Z15"/>
      <x:c r="AA15"/>
    </x:row>
    <x:row r="16">
      <x:c r="A16" s="208"/>
      <x:c r="B16" s="208"/>
      <x:c r="C16" s="208"/>
      <x:c r="D16" s="575" t="str">
        <x:f>IF(C16="","",IF(UPPER(TRIM(B16))="PERUMAHAN",IFERROR(VLOOKUP(C16,PERUMAHAN!$A:$B,2,FALSE),"ID tidak ditemukan"),""))</x:f>
      </x:c>
      <x:c r="E16" s="208"/>
      <x:c r="F16" s="208"/>
      <x:c r="G16" s="212"/>
      <x:c r="H16" s="208"/>
      <x:c r="I16" s="208"/>
      <x:c r="J16" s="208"/>
      <x:c r="K16" s="208"/>
      <x:c r="L16" s="208"/>
      <x:c r="M16" s="209"/>
      <x:c r="N16" s="208"/>
      <x:c r="O16"/>
      <x:c r="Q16"/>
      <x:c r="R16"/>
      <x:c r="S16"/>
      <x:c r="T16"/>
      <x:c r="U16"/>
      <x:c r="V16"/>
      <x:c r="W16"/>
      <x:c r="X16"/>
      <x:c r="Y16"/>
      <x:c r="Z16"/>
      <x:c r="AA16"/>
    </x:row>
    <x:row r="17">
      <x:c r="A17" s="208"/>
      <x:c r="B17" s="208"/>
      <x:c r="C17" s="208"/>
      <x:c r="D17" s="575" t="str">
        <x:f>IF(C17="","",IF(UPPER(TRIM(B17))="PERUMAHAN",IFERROR(VLOOKUP(C17,PERUMAHAN!$A:$B,2,FALSE),"ID tidak ditemukan"),""))</x:f>
      </x:c>
      <x:c r="E17" s="208"/>
      <x:c r="F17" s="208"/>
      <x:c r="G17" s="212"/>
      <x:c r="H17" s="208"/>
      <x:c r="I17" s="208"/>
      <x:c r="J17" s="208"/>
      <x:c r="K17" s="208"/>
      <x:c r="L17" s="208"/>
      <x:c r="M17" s="209"/>
      <x:c r="N17" s="208"/>
      <x:c r="O17"/>
      <x:c r="Q17"/>
      <x:c r="R17"/>
      <x:c r="S17"/>
      <x:c r="T17"/>
      <x:c r="U17"/>
      <x:c r="V17"/>
      <x:c r="W17"/>
      <x:c r="X17"/>
      <x:c r="Y17"/>
      <x:c r="Z17"/>
      <x:c r="AA17"/>
    </x:row>
    <x:row r="18">
      <x:c r="A18" s="208"/>
      <x:c r="B18" s="208"/>
      <x:c r="C18" s="208"/>
      <x:c r="D18" s="575" t="str">
        <x:f>IF(C18="","",IF(UPPER(TRIM(B18))="PERUMAHAN",IFERROR(VLOOKUP(C18,PERUMAHAN!$A:$B,2,FALSE),"ID tidak ditemukan"),""))</x:f>
      </x:c>
      <x:c r="E18" s="208"/>
      <x:c r="F18" s="208"/>
      <x:c r="G18" s="212"/>
      <x:c r="H18" s="208"/>
      <x:c r="I18" s="208"/>
      <x:c r="J18" s="208"/>
      <x:c r="K18" s="208"/>
      <x:c r="L18" s="208"/>
      <x:c r="M18" s="209"/>
      <x:c r="N18" s="208"/>
      <x:c r="O18"/>
      <x:c r="Q18"/>
      <x:c r="R18"/>
      <x:c r="S18"/>
      <x:c r="T18"/>
      <x:c r="U18"/>
      <x:c r="V18"/>
      <x:c r="W18"/>
      <x:c r="X18"/>
      <x:c r="Y18"/>
      <x:c r="Z18"/>
      <x:c r="AA18"/>
    </x:row>
    <x:row r="19">
      <x:c r="A19" s="208"/>
      <x:c r="B19" s="208"/>
      <x:c r="C19" s="208"/>
      <x:c r="D19" s="575" t="str">
        <x:f>IF(C19="","",IF(UPPER(TRIM(B19))="PERUMAHAN",IFERROR(VLOOKUP(C19,PERUMAHAN!$A:$B,2,FALSE),"ID tidak ditemukan"),""))</x:f>
      </x:c>
      <x:c r="E19" s="208"/>
      <x:c r="F19" s="208"/>
      <x:c r="G19" s="212"/>
      <x:c r="H19" s="208"/>
      <x:c r="I19" s="208"/>
      <x:c r="J19" s="208"/>
      <x:c r="K19" s="208"/>
      <x:c r="L19" s="208"/>
      <x:c r="M19" s="209"/>
      <x:c r="N19" s="208"/>
      <x:c r="O19"/>
      <x:c r="Q19"/>
      <x:c r="R19"/>
      <x:c r="S19"/>
      <x:c r="T19"/>
      <x:c r="U19"/>
      <x:c r="V19"/>
      <x:c r="W19"/>
      <x:c r="X19"/>
      <x:c r="Y19"/>
      <x:c r="Z19"/>
      <x:c r="AA19"/>
    </x:row>
    <x:row r="20">
      <x:c r="A20" s="208"/>
      <x:c r="B20" s="208"/>
      <x:c r="C20" s="208"/>
      <x:c r="D20" s="575" t="str">
        <x:f>IF(C20="","",IF(UPPER(TRIM(B20))="PERUMAHAN",IFERROR(VLOOKUP(C20,PERUMAHAN!$A:$B,2,FALSE),"ID tidak ditemukan"),""))</x:f>
      </x:c>
      <x:c r="E20" s="208"/>
      <x:c r="F20" s="208"/>
      <x:c r="G20" s="212"/>
      <x:c r="H20" s="208"/>
      <x:c r="I20" s="208"/>
      <x:c r="J20" s="208"/>
      <x:c r="K20" s="208"/>
      <x:c r="L20" s="208"/>
      <x:c r="M20" s="209"/>
      <x:c r="N20" s="208"/>
      <x:c r="O20"/>
      <x:c r="Q20"/>
      <x:c r="R20"/>
      <x:c r="S20"/>
      <x:c r="T20"/>
      <x:c r="U20"/>
      <x:c r="V20"/>
      <x:c r="W20"/>
      <x:c r="X20"/>
      <x:c r="Y20"/>
      <x:c r="Z20"/>
      <x:c r="AA20"/>
    </x:row>
    <x:row r="21">
      <x:c r="A21" s="208"/>
      <x:c r="B21" s="208"/>
      <x:c r="C21" s="208"/>
      <x:c r="D21" s="575" t="str">
        <x:f>IF(C21="","",IF(UPPER(TRIM(B21))="PERUMAHAN",IFERROR(VLOOKUP(C21,PERUMAHAN!$A:$B,2,FALSE),"ID tidak ditemukan"),""))</x:f>
      </x:c>
      <x:c r="E21" s="208"/>
      <x:c r="F21" s="208"/>
      <x:c r="G21" s="212"/>
      <x:c r="H21" s="208"/>
      <x:c r="I21" s="208"/>
      <x:c r="J21" s="208"/>
      <x:c r="K21" s="208"/>
      <x:c r="L21" s="208"/>
      <x:c r="M21" s="209"/>
      <x:c r="N21" s="208"/>
      <x:c r="O21"/>
      <x:c r="Q21"/>
      <x:c r="R21"/>
      <x:c r="S21"/>
      <x:c r="T21"/>
      <x:c r="U21"/>
      <x:c r="V21"/>
      <x:c r="W21"/>
      <x:c r="X21"/>
      <x:c r="Y21"/>
      <x:c r="Z21"/>
      <x:c r="AA21"/>
    </x:row>
    <x:row r="22">
      <x:c r="A22" s="208"/>
      <x:c r="B22" s="208"/>
      <x:c r="C22" s="208"/>
      <x:c r="D22" s="575" t="str">
        <x:f>IF(C22="","",IF(UPPER(TRIM(B22))="PERUMAHAN",IFERROR(VLOOKUP(C22,PERUMAHAN!$A:$B,2,FALSE),"ID tidak ditemukan"),""))</x:f>
      </x:c>
      <x:c r="E22" s="208"/>
      <x:c r="F22" s="208"/>
      <x:c r="G22" s="212"/>
      <x:c r="H22" s="208"/>
      <x:c r="I22" s="208"/>
      <x:c r="J22" s="208"/>
      <x:c r="K22" s="208"/>
      <x:c r="L22" s="208"/>
      <x:c r="M22" s="209"/>
      <x:c r="N22" s="208"/>
      <x:c r="O22"/>
      <x:c r="Q22"/>
      <x:c r="R22"/>
      <x:c r="S22"/>
      <x:c r="T22"/>
      <x:c r="U22"/>
      <x:c r="V22"/>
      <x:c r="W22"/>
      <x:c r="X22"/>
      <x:c r="Y22"/>
      <x:c r="Z22"/>
      <x:c r="AA22"/>
    </x:row>
    <x:row r="23">
      <x:c r="A23" s="208"/>
      <x:c r="B23" s="208"/>
      <x:c r="C23" s="208"/>
      <x:c r="D23" s="575" t="str">
        <x:f>IF(C23="","",IF(UPPER(TRIM(B23))="PERUMAHAN",IFERROR(VLOOKUP(C23,PERUMAHAN!$A:$B,2,FALSE),"ID tidak ditemukan"),""))</x:f>
      </x:c>
      <x:c r="E23" s="208"/>
      <x:c r="F23" s="208"/>
      <x:c r="G23" s="212"/>
      <x:c r="H23" s="208"/>
      <x:c r="I23" s="208"/>
      <x:c r="J23" s="208"/>
      <x:c r="K23" s="208"/>
      <x:c r="L23" s="208"/>
      <x:c r="M23" s="209"/>
      <x:c r="N23" s="208"/>
      <x:c r="O23"/>
      <x:c r="Q23"/>
      <x:c r="R23"/>
      <x:c r="S23"/>
      <x:c r="T23"/>
      <x:c r="U23"/>
      <x:c r="V23"/>
      <x:c r="W23"/>
      <x:c r="X23"/>
      <x:c r="Y23"/>
      <x:c r="Z23"/>
      <x:c r="AA23"/>
    </x:row>
    <x:row r="24">
      <x:c r="A24" s="208"/>
      <x:c r="B24" s="208"/>
      <x:c r="C24" s="208"/>
      <x:c r="D24" s="575" t="str">
        <x:f>IF(C24="","",IF(UPPER(TRIM(B24))="PERUMAHAN",IFERROR(VLOOKUP(C24,PERUMAHAN!$A:$B,2,FALSE),"ID tidak ditemukan"),""))</x:f>
      </x:c>
      <x:c r="E24" s="208"/>
      <x:c r="F24" s="208"/>
      <x:c r="G24" s="212"/>
      <x:c r="H24" s="208"/>
      <x:c r="I24" s="208"/>
      <x:c r="J24" s="208"/>
      <x:c r="K24" s="208"/>
      <x:c r="L24" s="208"/>
      <x:c r="M24" s="209"/>
      <x:c r="N24" s="208"/>
      <x:c r="O24"/>
      <x:c r="Q24"/>
      <x:c r="R24"/>
      <x:c r="S24"/>
      <x:c r="T24"/>
      <x:c r="U24"/>
      <x:c r="V24"/>
      <x:c r="W24"/>
      <x:c r="X24"/>
      <x:c r="Y24"/>
      <x:c r="Z24"/>
      <x:c r="AA24"/>
    </x:row>
    <x:row r="25">
      <x:c r="A25" s="206"/>
      <x:c r="B25" s="206"/>
      <x:c r="C25" s="206"/>
      <x:c r="D25" s="576" t="str">
        <x:f>IF(C25="","",IF(UPPER(TRIM(B25))="PERUMAHAN",IFERROR(VLOOKUP(C25,PERUMAHAN!$A:$B,2,FALSE),"ID tidak ditemukan"),""))</x:f>
      </x:c>
      <x:c r="E25" s="206"/>
      <x:c r="F25" s="206"/>
      <x:c r="G25" s="213"/>
      <x:c r="H25" s="206"/>
      <x:c r="I25" s="206"/>
      <x:c r="J25" s="206"/>
      <x:c r="K25" s="206"/>
      <x:c r="L25" s="206"/>
      <x:c r="M25" s="207"/>
      <x:c r="N25" s="206"/>
      <x:c r="O25"/>
      <x:c r="Q25"/>
      <x:c r="R25"/>
      <x:c r="S25"/>
      <x:c r="T25"/>
      <x:c r="U25"/>
      <x:c r="V25"/>
      <x:c r="W25"/>
      <x:c r="X25"/>
      <x:c r="Y25"/>
      <x:c r="Z25"/>
      <x:c r="AA25"/>
    </x:row>
    <x:row r="26">
      <x:c r="D26" s="582" t="str">
        <x:f>IF(C26="","",IF(UPPER(TRIM(B26))="PERUMAHAN",IFERROR(VLOOKUP(C26,PERUMAHAN!$A:$B,2,FALSE),"ID tidak ditemukan"),""))</x:f>
      </x:c>
      <x:c r="E26"/>
      <x:c r="F26"/>
      <x:c r="G26"/>
      <x:c r="H26"/>
      <x:c r="I26"/>
      <x:c r="J26"/>
      <x:c r="K26"/>
      <x:c r="L26"/>
      <x:c r="M26" s="205"/>
      <x:c r="N26"/>
      <x:c r="O26"/>
      <x:c r="Q26"/>
      <x:c r="R26"/>
      <x:c r="S26"/>
      <x:c r="T26"/>
      <x:c r="U26"/>
      <x:c r="V26"/>
      <x:c r="W26"/>
      <x:c r="X26"/>
      <x:c r="Y26"/>
      <x:c r="Z26"/>
      <x:c r="AA26"/>
    </x:row>
    <x:row r="27">
      <x:c r="D27" s="582" t="str">
        <x:f>IF(C27="","",IF(UPPER(TRIM(B27))="PERUMAHAN",IFERROR(VLOOKUP(C27,PERUMAHAN!$A:$B,2,FALSE),"ID tidak ditemukan"),""))</x:f>
      </x:c>
      <x:c r="E27"/>
      <x:c r="F27"/>
      <x:c r="G27"/>
      <x:c r="H27"/>
      <x:c r="I27"/>
      <x:c r="J27"/>
      <x:c r="K27"/>
      <x:c r="L27"/>
      <x:c r="M27" s="205"/>
      <x:c r="N27"/>
      <x:c r="O27"/>
      <x:c r="Q27"/>
      <x:c r="R27"/>
      <x:c r="S27"/>
      <x:c r="T27"/>
      <x:c r="U27"/>
      <x:c r="V27"/>
      <x:c r="W27"/>
      <x:c r="X27"/>
      <x:c r="Y27"/>
      <x:c r="Z27"/>
      <x:c r="AA27"/>
    </x:row>
    <x:row r="28">
      <x:c r="D28" s="582" t="str">
        <x:f>IF(C28="","",IF(UPPER(TRIM(B28))="PERUMAHAN",IFERROR(VLOOKUP(C28,PERUMAHAN!$A:$B,2,FALSE),"ID tidak ditemukan"),""))</x:f>
      </x:c>
      <x:c r="E28"/>
      <x:c r="F28"/>
      <x:c r="G28"/>
      <x:c r="H28"/>
      <x:c r="I28"/>
      <x:c r="J28"/>
      <x:c r="K28"/>
      <x:c r="L28"/>
      <x:c r="M28" s="205"/>
      <x:c r="N28"/>
      <x:c r="O28"/>
      <x:c r="Q28"/>
      <x:c r="R28"/>
      <x:c r="S28"/>
      <x:c r="T28"/>
      <x:c r="U28"/>
      <x:c r="V28"/>
      <x:c r="W28"/>
      <x:c r="X28"/>
      <x:c r="Y28"/>
      <x:c r="Z28"/>
      <x:c r="AA28"/>
    </x:row>
    <x:row r="29">
      <x:c r="D29" s="582" t="str">
        <x:f>IF(C29="","",IF(UPPER(TRIM(B29))="PERUMAHAN",IFERROR(VLOOKUP(C29,PERUMAHAN!$A:$B,2,FALSE),"ID tidak ditemukan"),""))</x:f>
      </x:c>
      <x:c r="E29"/>
      <x:c r="F29"/>
      <x:c r="G29"/>
      <x:c r="H29"/>
      <x:c r="I29"/>
      <x:c r="J29"/>
      <x:c r="K29"/>
      <x:c r="L29"/>
      <x:c r="M29" s="205"/>
      <x:c r="N29"/>
      <x:c r="O29"/>
      <x:c r="Q29"/>
      <x:c r="R29"/>
      <x:c r="S29"/>
      <x:c r="T29"/>
      <x:c r="U29"/>
      <x:c r="V29"/>
      <x:c r="W29"/>
      <x:c r="X29"/>
      <x:c r="Y29"/>
      <x:c r="Z29"/>
      <x:c r="AA29"/>
    </x:row>
    <x:row r="30">
      <x:c r="D30" s="582" t="str">
        <x:f>IF(C30="","",IF(UPPER(TRIM(B30))="PERUMAHAN",IFERROR(VLOOKUP(C30,PERUMAHAN!$A:$B,2,FALSE),"ID tidak ditemukan"),""))</x:f>
      </x:c>
      <x:c r="E30"/>
      <x:c r="F30"/>
      <x:c r="G30"/>
      <x:c r="H30"/>
      <x:c r="I30"/>
      <x:c r="J30"/>
      <x:c r="K30"/>
      <x:c r="L30"/>
      <x:c r="M30" s="205"/>
      <x:c r="N30"/>
      <x:c r="O30"/>
      <x:c r="Q30"/>
      <x:c r="R30"/>
      <x:c r="S30"/>
      <x:c r="T30"/>
      <x:c r="U30"/>
      <x:c r="V30"/>
      <x:c r="W30"/>
      <x:c r="X30"/>
      <x:c r="Y30"/>
      <x:c r="Z30"/>
      <x:c r="AA30"/>
    </x:row>
    <x:row r="31">
      <x:c r="D31" s="582" t="str">
        <x:f>IF(C31="","",IF(UPPER(TRIM(B31))="PERUMAHAN",IFERROR(VLOOKUP(C31,PERUMAHAN!$A:$B,2,FALSE),"ID tidak ditemukan"),""))</x:f>
      </x:c>
      <x:c r="E31"/>
      <x:c r="F31"/>
      <x:c r="G31"/>
      <x:c r="H31"/>
      <x:c r="I31"/>
      <x:c r="J31"/>
      <x:c r="K31"/>
      <x:c r="L31"/>
      <x:c r="M31" s="205"/>
      <x:c r="N31"/>
      <x:c r="O31"/>
      <x:c r="Q31"/>
      <x:c r="R31"/>
      <x:c r="S31"/>
      <x:c r="T31"/>
      <x:c r="U31"/>
      <x:c r="V31"/>
      <x:c r="W31"/>
      <x:c r="X31"/>
      <x:c r="Y31"/>
      <x:c r="Z31"/>
      <x:c r="AA31"/>
    </x:row>
    <x:row r="32">
      <x:c r="D32" s="582" t="str">
        <x:f>IF(C32="","",IF(UPPER(TRIM(B32))="PERUMAHAN",IFERROR(VLOOKUP(C32,PERUMAHAN!$A:$B,2,FALSE),"ID tidak ditemukan"),""))</x:f>
      </x:c>
      <x:c r="E32"/>
      <x:c r="F32"/>
      <x:c r="G32"/>
      <x:c r="H32"/>
      <x:c r="I32"/>
      <x:c r="J32"/>
      <x:c r="K32"/>
      <x:c r="L32"/>
      <x:c r="M32" s="205"/>
      <x:c r="N32"/>
      <x:c r="O32"/>
      <x:c r="Q32"/>
      <x:c r="R32"/>
      <x:c r="S32"/>
      <x:c r="T32"/>
      <x:c r="U32"/>
      <x:c r="V32"/>
      <x:c r="W32"/>
      <x:c r="X32"/>
      <x:c r="Y32"/>
      <x:c r="Z32"/>
      <x:c r="AA32"/>
    </x:row>
    <x:row r="33">
      <x:c r="D33" s="582" t="str">
        <x:f>IF(C33="","",IF(UPPER(TRIM(B33))="PERUMAHAN",IFERROR(VLOOKUP(C33,PERUMAHAN!$A:$B,2,FALSE),"ID tidak ditemukan"),""))</x:f>
      </x:c>
      <x:c r="E33"/>
      <x:c r="F33"/>
      <x:c r="G33"/>
      <x:c r="H33"/>
      <x:c r="I33"/>
      <x:c r="J33"/>
      <x:c r="K33"/>
      <x:c r="L33"/>
      <x:c r="M33" s="205"/>
      <x:c r="N33"/>
      <x:c r="O33"/>
      <x:c r="Q33"/>
      <x:c r="R33"/>
      <x:c r="S33"/>
      <x:c r="T33"/>
      <x:c r="U33"/>
      <x:c r="V33"/>
      <x:c r="W33"/>
      <x:c r="X33"/>
      <x:c r="Y33"/>
      <x:c r="Z33"/>
      <x:c r="AA33"/>
    </x:row>
    <x:row r="34">
      <x:c r="D34" s="582" t="str">
        <x:f>IF(C34="","",IF(UPPER(TRIM(B34))="PERUMAHAN",IFERROR(VLOOKUP(C34,PERUMAHAN!$A:$B,2,FALSE),"ID tidak ditemukan"),""))</x:f>
      </x:c>
      <x:c r="E34"/>
      <x:c r="F34"/>
      <x:c r="G34"/>
      <x:c r="H34"/>
      <x:c r="I34"/>
      <x:c r="J34"/>
      <x:c r="K34"/>
      <x:c r="L34"/>
      <x:c r="M34" s="205"/>
      <x:c r="N34"/>
      <x:c r="O34"/>
      <x:c r="Q34"/>
      <x:c r="R34"/>
      <x:c r="S34"/>
      <x:c r="T34"/>
      <x:c r="U34"/>
      <x:c r="V34"/>
      <x:c r="W34"/>
      <x:c r="X34"/>
      <x:c r="Y34"/>
      <x:c r="Z34"/>
      <x:c r="AA34"/>
    </x:row>
    <x:row r="35">
      <x:c r="D35" s="582" t="str">
        <x:f>IF(C35="","",IF(UPPER(TRIM(B35))="PERUMAHAN",IFERROR(VLOOKUP(C35,PERUMAHAN!$A:$B,2,FALSE),"ID tidak ditemukan"),""))</x:f>
      </x:c>
      <x:c r="E35"/>
      <x:c r="F35"/>
      <x:c r="G35"/>
      <x:c r="H35"/>
      <x:c r="I35"/>
      <x:c r="J35"/>
      <x:c r="K35"/>
      <x:c r="L35"/>
      <x:c r="M35" s="205"/>
      <x:c r="N35"/>
      <x:c r="O35"/>
      <x:c r="Q35"/>
      <x:c r="R35"/>
      <x:c r="S35"/>
      <x:c r="T35"/>
      <x:c r="U35"/>
      <x:c r="V35"/>
      <x:c r="W35"/>
      <x:c r="X35"/>
      <x:c r="Y35"/>
      <x:c r="Z35"/>
      <x:c r="AA35"/>
    </x:row>
    <x:row r="36">
      <x:c r="D36" s="582" t="str">
        <x:f>IF(C36="","",IF(UPPER(TRIM(B36))="PERUMAHAN",IFERROR(VLOOKUP(C36,PERUMAHAN!$A:$B,2,FALSE),"ID tidak ditemukan"),""))</x:f>
      </x:c>
      <x:c r="E36"/>
      <x:c r="F36"/>
      <x:c r="G36"/>
      <x:c r="H36"/>
      <x:c r="I36"/>
      <x:c r="J36"/>
      <x:c r="K36"/>
      <x:c r="L36"/>
      <x:c r="M36" s="205"/>
      <x:c r="N36"/>
      <x:c r="O36"/>
      <x:c r="Q36"/>
      <x:c r="R36"/>
      <x:c r="S36"/>
      <x:c r="T36"/>
      <x:c r="U36"/>
      <x:c r="V36"/>
      <x:c r="W36"/>
      <x:c r="X36"/>
      <x:c r="Y36"/>
      <x:c r="Z36"/>
      <x:c r="AA36"/>
    </x:row>
    <x:row r="37">
      <x:c r="D37" s="582" t="str">
        <x:f>IF(C37="","",IF(UPPER(TRIM(B37))="PERUMAHAN",IFERROR(VLOOKUP(C37,PERUMAHAN!$A:$B,2,FALSE),"ID tidak ditemukan"),""))</x:f>
      </x:c>
      <x:c r="E37"/>
      <x:c r="F37"/>
      <x:c r="G37"/>
      <x:c r="H37"/>
      <x:c r="I37"/>
      <x:c r="J37"/>
      <x:c r="K37"/>
      <x:c r="L37"/>
      <x:c r="M37" s="205"/>
      <x:c r="N37"/>
      <x:c r="O37"/>
      <x:c r="Q37"/>
      <x:c r="R37"/>
      <x:c r="S37"/>
      <x:c r="T37"/>
      <x:c r="U37"/>
      <x:c r="V37"/>
      <x:c r="W37"/>
      <x:c r="X37"/>
      <x:c r="Y37"/>
      <x:c r="Z37"/>
      <x:c r="AA37"/>
    </x:row>
    <x:row r="38">
      <x:c r="D38" s="582" t="str">
        <x:f>IF(C38="","",IF(UPPER(TRIM(B38))="PERUMAHAN",IFERROR(VLOOKUP(C38,PERUMAHAN!$A:$B,2,FALSE),"ID tidak ditemukan"),""))</x:f>
      </x:c>
      <x:c r="E38"/>
      <x:c r="F38"/>
      <x:c r="G38"/>
      <x:c r="H38"/>
      <x:c r="I38"/>
      <x:c r="J38"/>
      <x:c r="K38"/>
      <x:c r="L38"/>
      <x:c r="M38" s="205"/>
      <x:c r="N38"/>
      <x:c r="O38"/>
      <x:c r="Q38"/>
      <x:c r="R38"/>
      <x:c r="S38"/>
      <x:c r="T38"/>
      <x:c r="U38"/>
      <x:c r="V38"/>
      <x:c r="W38"/>
      <x:c r="X38"/>
      <x:c r="Y38"/>
      <x:c r="Z38"/>
      <x:c r="AA38"/>
    </x:row>
    <x:row r="39">
      <x:c r="D39" s="582" t="str">
        <x:f>IF(C39="","",IF(UPPER(TRIM(B39))="PERUMAHAN",IFERROR(VLOOKUP(C39,PERUMAHAN!$A:$B,2,FALSE),"ID tidak ditemukan"),""))</x:f>
      </x:c>
      <x:c r="E39"/>
      <x:c r="F39"/>
      <x:c r="G39"/>
      <x:c r="H39"/>
      <x:c r="I39"/>
      <x:c r="J39"/>
      <x:c r="K39"/>
      <x:c r="L39"/>
      <x:c r="M39" s="205"/>
      <x:c r="N39"/>
      <x:c r="O39"/>
      <x:c r="Q39"/>
      <x:c r="R39"/>
      <x:c r="S39"/>
      <x:c r="T39"/>
      <x:c r="U39"/>
      <x:c r="V39"/>
      <x:c r="W39"/>
      <x:c r="X39"/>
      <x:c r="Y39"/>
      <x:c r="Z39"/>
      <x:c r="AA39"/>
    </x:row>
    <x:row r="40">
      <x:c r="D40" s="582" t="str">
        <x:f>IF(C40="","",IF(UPPER(TRIM(B40))="PERUMAHAN",IFERROR(VLOOKUP(C40,PERUMAHAN!$A:$B,2,FALSE),"ID tidak ditemukan"),""))</x:f>
      </x:c>
      <x:c r="E40"/>
      <x:c r="F40"/>
      <x:c r="G40"/>
      <x:c r="H40"/>
      <x:c r="I40"/>
      <x:c r="J40"/>
      <x:c r="K40"/>
      <x:c r="L40"/>
      <x:c r="M40" s="205"/>
      <x:c r="N40"/>
      <x:c r="O40"/>
      <x:c r="Q40"/>
      <x:c r="R40"/>
      <x:c r="S40"/>
      <x:c r="T40"/>
      <x:c r="U40"/>
      <x:c r="V40"/>
      <x:c r="W40"/>
      <x:c r="X40"/>
      <x:c r="Y40"/>
      <x:c r="Z40"/>
      <x:c r="AA40"/>
    </x:row>
    <x:row r="41">
      <x:c r="D41" s="582" t="str">
        <x:f>IF(C41="","",IF(UPPER(TRIM(B41))="PERUMAHAN",IFERROR(VLOOKUP(C41,PERUMAHAN!$A:$B,2,FALSE),"ID tidak ditemukan"),""))</x:f>
      </x:c>
      <x:c r="E41"/>
      <x:c r="F41"/>
      <x:c r="G41"/>
      <x:c r="H41"/>
      <x:c r="I41"/>
      <x:c r="J41"/>
      <x:c r="K41"/>
      <x:c r="L41"/>
      <x:c r="M41" s="205"/>
      <x:c r="N41"/>
      <x:c r="O41"/>
      <x:c r="Q41"/>
      <x:c r="R41"/>
      <x:c r="S41"/>
      <x:c r="T41"/>
      <x:c r="U41"/>
      <x:c r="V41"/>
      <x:c r="W41"/>
      <x:c r="X41"/>
      <x:c r="Y41"/>
      <x:c r="Z41"/>
      <x:c r="AA41"/>
    </x:row>
    <x:row r="42">
      <x:c r="D42" s="582" t="str">
        <x:f>IF(C42="","",IF(UPPER(TRIM(B42))="PERUMAHAN",IFERROR(VLOOKUP(C42,PERUMAHAN!$A:$B,2,FALSE),"ID tidak ditemukan"),""))</x:f>
      </x:c>
      <x:c r="E42"/>
      <x:c r="F42"/>
      <x:c r="G42"/>
      <x:c r="H42"/>
      <x:c r="I42"/>
      <x:c r="J42"/>
      <x:c r="K42"/>
      <x:c r="L42"/>
      <x:c r="M42" s="205"/>
      <x:c r="N42"/>
      <x:c r="O42"/>
      <x:c r="Q42"/>
      <x:c r="R42"/>
      <x:c r="S42"/>
      <x:c r="T42"/>
      <x:c r="U42"/>
      <x:c r="V42"/>
      <x:c r="W42"/>
      <x:c r="X42"/>
      <x:c r="Y42"/>
      <x:c r="Z42"/>
      <x:c r="AA42"/>
    </x:row>
    <x:row r="43">
      <x:c r="D43" s="582" t="str">
        <x:f>IF(C43="","",IF(UPPER(TRIM(B43))="PERUMAHAN",IFERROR(VLOOKUP(C43,PERUMAHAN!$A:$B,2,FALSE),"ID tidak ditemukan"),""))</x:f>
      </x:c>
      <x:c r="E43"/>
      <x:c r="F43"/>
      <x:c r="G43"/>
      <x:c r="H43"/>
      <x:c r="I43"/>
      <x:c r="J43"/>
      <x:c r="K43"/>
      <x:c r="L43"/>
      <x:c r="M43" s="205"/>
      <x:c r="N43"/>
      <x:c r="O43"/>
      <x:c r="Q43"/>
      <x:c r="R43"/>
      <x:c r="S43"/>
      <x:c r="T43"/>
      <x:c r="U43"/>
      <x:c r="V43"/>
      <x:c r="W43"/>
      <x:c r="X43"/>
      <x:c r="Y43"/>
      <x:c r="Z43"/>
      <x:c r="AA43"/>
    </x:row>
    <x:row r="44">
      <x:c r="D44" s="582" t="str">
        <x:f>IF(C44="","",IF(UPPER(TRIM(B44))="PERUMAHAN",IFERROR(VLOOKUP(C44,PERUMAHAN!$A:$B,2,FALSE),"ID tidak ditemukan"),""))</x:f>
      </x:c>
      <x:c r="E44"/>
      <x:c r="F44"/>
      <x:c r="G44"/>
      <x:c r="H44"/>
      <x:c r="I44"/>
      <x:c r="J44"/>
      <x:c r="K44"/>
      <x:c r="L44"/>
      <x:c r="M44" s="205"/>
      <x:c r="N44"/>
      <x:c r="O44"/>
      <x:c r="Q44"/>
      <x:c r="R44"/>
      <x:c r="S44"/>
      <x:c r="T44"/>
      <x:c r="U44"/>
      <x:c r="V44"/>
      <x:c r="W44"/>
      <x:c r="X44"/>
      <x:c r="Y44"/>
      <x:c r="Z44"/>
      <x:c r="AA44"/>
    </x:row>
    <x:row r="45">
      <x:c r="D45" s="582" t="str">
        <x:f>IF(C45="","",IF(UPPER(TRIM(B45))="PERUMAHAN",IFERROR(VLOOKUP(C45,PERUMAHAN!$A:$B,2,FALSE),"ID tidak ditemukan"),""))</x:f>
      </x:c>
      <x:c r="E45"/>
      <x:c r="F45"/>
      <x:c r="G45"/>
      <x:c r="H45"/>
      <x:c r="I45"/>
      <x:c r="J45"/>
      <x:c r="K45"/>
      <x:c r="L45"/>
      <x:c r="M45" s="205"/>
      <x:c r="N45"/>
      <x:c r="O45"/>
      <x:c r="Q45"/>
      <x:c r="R45"/>
      <x:c r="S45"/>
      <x:c r="T45"/>
      <x:c r="U45"/>
      <x:c r="V45"/>
      <x:c r="W45"/>
      <x:c r="X45"/>
      <x:c r="Y45"/>
      <x:c r="Z45"/>
      <x:c r="AA45"/>
    </x:row>
    <x:row r="46">
      <x:c r="D46" s="582" t="str">
        <x:f>IF(C46="","",IF(UPPER(TRIM(B46))="PERUMAHAN",IFERROR(VLOOKUP(C46,PERUMAHAN!$A:$B,2,FALSE),"ID tidak ditemukan"),""))</x:f>
      </x:c>
      <x:c r="E46"/>
      <x:c r="F46"/>
      <x:c r="G46"/>
      <x:c r="H46"/>
      <x:c r="I46"/>
      <x:c r="J46"/>
      <x:c r="K46"/>
      <x:c r="L46"/>
      <x:c r="M46" s="205"/>
      <x:c r="N46"/>
      <x:c r="O46"/>
      <x:c r="Q46"/>
      <x:c r="R46"/>
      <x:c r="S46"/>
      <x:c r="T46"/>
      <x:c r="U46"/>
      <x:c r="V46"/>
      <x:c r="W46"/>
      <x:c r="X46"/>
      <x:c r="Y46"/>
      <x:c r="Z46"/>
      <x:c r="AA46"/>
    </x:row>
    <x:row r="47">
      <x:c r="D47" s="582" t="str">
        <x:f>IF(C47="","",IF(UPPER(TRIM(B47))="PERUMAHAN",IFERROR(VLOOKUP(C47,PERUMAHAN!$A:$B,2,FALSE),"ID tidak ditemukan"),""))</x:f>
      </x:c>
      <x:c r="E47"/>
      <x:c r="F47"/>
      <x:c r="G47"/>
      <x:c r="H47"/>
      <x:c r="I47"/>
      <x:c r="J47"/>
      <x:c r="K47"/>
      <x:c r="L47"/>
      <x:c r="M47" s="205"/>
      <x:c r="N47"/>
      <x:c r="O47"/>
      <x:c r="Q47"/>
      <x:c r="R47"/>
      <x:c r="S47"/>
      <x:c r="T47"/>
      <x:c r="U47"/>
      <x:c r="V47"/>
      <x:c r="W47"/>
      <x:c r="X47"/>
      <x:c r="Y47"/>
      <x:c r="Z47"/>
      <x:c r="AA47"/>
    </x:row>
    <x:row r="48">
      <x:c r="D48" s="582" t="str">
        <x:f>IF(C48="","",IF(UPPER(TRIM(B48))="PERUMAHAN",IFERROR(VLOOKUP(C48,PERUMAHAN!$A:$B,2,FALSE),"ID tidak ditemukan"),""))</x:f>
      </x:c>
      <x:c r="E48"/>
      <x:c r="F48"/>
      <x:c r="G48"/>
      <x:c r="H48"/>
      <x:c r="I48"/>
      <x:c r="J48"/>
      <x:c r="K48"/>
      <x:c r="L48"/>
      <x:c r="M48" s="205"/>
      <x:c r="N48"/>
      <x:c r="O48"/>
      <x:c r="Q48"/>
      <x:c r="R48"/>
      <x:c r="S48"/>
      <x:c r="T48"/>
      <x:c r="U48"/>
      <x:c r="V48"/>
      <x:c r="W48"/>
      <x:c r="X48"/>
      <x:c r="Y48"/>
      <x:c r="Z48"/>
      <x:c r="AA48"/>
    </x:row>
    <x:row r="49">
      <x:c r="D49" s="582" t="str">
        <x:f>IF(C49="","",IF(UPPER(TRIM(B49))="PERUMAHAN",IFERROR(VLOOKUP(C49,PERUMAHAN!$A:$B,2,FALSE),"ID tidak ditemukan"),""))</x:f>
      </x:c>
      <x:c r="E49"/>
      <x:c r="F49"/>
      <x:c r="G49"/>
      <x:c r="H49"/>
      <x:c r="I49"/>
      <x:c r="J49"/>
      <x:c r="K49"/>
      <x:c r="L49"/>
      <x:c r="M49" s="205"/>
      <x:c r="N49"/>
      <x:c r="O49"/>
      <x:c r="Q49"/>
      <x:c r="R49"/>
      <x:c r="S49"/>
      <x:c r="T49"/>
      <x:c r="U49"/>
      <x:c r="V49"/>
      <x:c r="W49"/>
      <x:c r="X49"/>
      <x:c r="Y49"/>
      <x:c r="Z49"/>
      <x:c r="AA49"/>
    </x:row>
    <x:row r="50">
      <x:c r="D50" s="582" t="str">
        <x:f>IF(C50="","",IF(UPPER(TRIM(B50))="PERUMAHAN",IFERROR(VLOOKUP(C50,PERUMAHAN!$A:$B,2,FALSE),"ID tidak ditemukan"),""))</x:f>
      </x:c>
      <x:c r="E50"/>
      <x:c r="F50"/>
      <x:c r="G50"/>
      <x:c r="H50"/>
      <x:c r="I50"/>
      <x:c r="J50"/>
      <x:c r="K50"/>
      <x:c r="L50"/>
      <x:c r="M50" s="205"/>
      <x:c r="N50"/>
      <x:c r="O50"/>
      <x:c r="Q50"/>
      <x:c r="R50"/>
      <x:c r="S50"/>
      <x:c r="T50"/>
      <x:c r="U50"/>
      <x:c r="V50"/>
      <x:c r="W50"/>
      <x:c r="X50"/>
      <x:c r="Y50"/>
      <x:c r="Z50"/>
      <x:c r="AA50"/>
    </x:row>
    <x:row r="51">
      <x:c r="D51" s="582" t="str">
        <x:f>IF(C51="","",IF(UPPER(TRIM(B51))="PERUMAHAN",IFERROR(VLOOKUP(C51,PERUMAHAN!$A:$B,2,FALSE),"ID tidak ditemukan"),""))</x:f>
      </x:c>
      <x:c r="E51"/>
      <x:c r="F51"/>
      <x:c r="G51"/>
      <x:c r="H51"/>
      <x:c r="I51"/>
      <x:c r="J51"/>
      <x:c r="K51"/>
      <x:c r="L51"/>
      <x:c r="M51" s="205"/>
      <x:c r="N51"/>
      <x:c r="O51"/>
      <x:c r="Q51"/>
      <x:c r="R51"/>
      <x:c r="S51"/>
      <x:c r="T51"/>
      <x:c r="U51"/>
      <x:c r="V51"/>
      <x:c r="W51"/>
      <x:c r="X51"/>
      <x:c r="Y51"/>
      <x:c r="Z51"/>
      <x:c r="AA51"/>
    </x:row>
    <x:row r="52">
      <x:c r="D52" s="582" t="str">
        <x:f>IF(C52="","",IF(UPPER(TRIM(B52))="PERUMAHAN",IFERROR(VLOOKUP(C52,PERUMAHAN!$A:$B,2,FALSE),"ID tidak ditemukan"),""))</x:f>
      </x:c>
      <x:c r="E52"/>
      <x:c r="F52"/>
      <x:c r="G52"/>
      <x:c r="H52"/>
      <x:c r="I52"/>
      <x:c r="J52"/>
      <x:c r="K52"/>
      <x:c r="L52"/>
      <x:c r="M52" s="205"/>
      <x:c r="N52"/>
      <x:c r="O52"/>
      <x:c r="Q52"/>
      <x:c r="R52"/>
      <x:c r="S52"/>
      <x:c r="T52"/>
      <x:c r="U52"/>
      <x:c r="V52"/>
      <x:c r="W52"/>
      <x:c r="X52"/>
      <x:c r="Y52"/>
      <x:c r="Z52"/>
      <x:c r="AA52"/>
    </x:row>
    <x:row r="53">
      <x:c r="D53" s="582" t="str">
        <x:f>IF(C53="","",IF(UPPER(TRIM(B53))="PERUMAHAN",IFERROR(VLOOKUP(C53,PERUMAHAN!$A:$B,2,FALSE),"ID tidak ditemukan"),""))</x:f>
      </x:c>
      <x:c r="E53"/>
      <x:c r="F53"/>
      <x:c r="G53"/>
      <x:c r="H53"/>
      <x:c r="I53"/>
      <x:c r="J53"/>
      <x:c r="K53"/>
      <x:c r="L53"/>
      <x:c r="M53" s="205"/>
      <x:c r="N53"/>
      <x:c r="O53"/>
      <x:c r="Q53"/>
      <x:c r="R53"/>
      <x:c r="S53"/>
      <x:c r="T53"/>
      <x:c r="U53"/>
      <x:c r="V53"/>
      <x:c r="W53"/>
      <x:c r="X53"/>
      <x:c r="Y53"/>
      <x:c r="Z53"/>
      <x:c r="AA53"/>
    </x:row>
    <x:row r="54">
      <x:c r="D54" s="582" t="str">
        <x:f>IF(C54="","",IF(UPPER(TRIM(B54))="PERUMAHAN",IFERROR(VLOOKUP(C54,PERUMAHAN!$A:$B,2,FALSE),"ID tidak ditemukan"),""))</x:f>
      </x:c>
      <x:c r="E54"/>
      <x:c r="F54"/>
      <x:c r="G54"/>
      <x:c r="H54"/>
      <x:c r="I54"/>
      <x:c r="J54"/>
      <x:c r="K54"/>
      <x:c r="L54"/>
      <x:c r="M54" s="205"/>
      <x:c r="N54"/>
      <x:c r="O54"/>
      <x:c r="Q54"/>
      <x:c r="R54"/>
      <x:c r="S54"/>
      <x:c r="T54"/>
      <x:c r="U54"/>
      <x:c r="V54"/>
      <x:c r="W54"/>
      <x:c r="X54"/>
      <x:c r="Y54"/>
      <x:c r="Z54"/>
      <x:c r="AA54"/>
    </x:row>
    <x:row r="55">
      <x:c r="D55" s="582" t="str">
        <x:f>IF(C55="","",IF(UPPER(TRIM(B55))="PERUMAHAN",IFERROR(VLOOKUP(C55,PERUMAHAN!$A:$B,2,FALSE),"ID tidak ditemukan"),""))</x:f>
      </x:c>
      <x:c r="E55"/>
      <x:c r="F55"/>
      <x:c r="G55"/>
      <x:c r="H55"/>
      <x:c r="I55"/>
      <x:c r="J55"/>
      <x:c r="K55"/>
      <x:c r="L55"/>
      <x:c r="M55" s="205"/>
      <x:c r="N55"/>
      <x:c r="O55"/>
      <x:c r="Q55"/>
      <x:c r="R55"/>
      <x:c r="S55"/>
      <x:c r="T55"/>
      <x:c r="U55"/>
      <x:c r="V55"/>
      <x:c r="W55"/>
      <x:c r="X55"/>
      <x:c r="Y55"/>
      <x:c r="Z55"/>
      <x:c r="AA55"/>
    </x:row>
    <x:row r="56">
      <x:c r="D56" s="582" t="str">
        <x:f>IF(C56="","",IF(UPPER(TRIM(B56))="PERUMAHAN",IFERROR(VLOOKUP(C56,PERUMAHAN!$A:$B,2,FALSE),"ID tidak ditemukan"),""))</x:f>
      </x:c>
      <x:c r="E56"/>
      <x:c r="F56"/>
      <x:c r="G56"/>
      <x:c r="H56"/>
      <x:c r="I56"/>
      <x:c r="J56"/>
      <x:c r="K56"/>
      <x:c r="L56"/>
      <x:c r="M56" s="205"/>
      <x:c r="N56"/>
      <x:c r="O56"/>
      <x:c r="Q56"/>
      <x:c r="R56"/>
      <x:c r="S56"/>
      <x:c r="T56"/>
      <x:c r="U56"/>
      <x:c r="V56"/>
      <x:c r="W56"/>
      <x:c r="X56"/>
      <x:c r="Y56"/>
      <x:c r="Z56"/>
      <x:c r="AA56"/>
    </x:row>
    <x:row r="57">
      <x:c r="D57" s="582" t="str">
        <x:f>IF(C57="","",IF(UPPER(TRIM(B57))="PERUMAHAN",IFERROR(VLOOKUP(C57,PERUMAHAN!$A:$B,2,FALSE),"ID tidak ditemukan"),""))</x:f>
      </x:c>
      <x:c r="E57"/>
      <x:c r="F57"/>
      <x:c r="G57"/>
      <x:c r="H57"/>
      <x:c r="I57"/>
      <x:c r="J57"/>
      <x:c r="K57"/>
      <x:c r="L57"/>
      <x:c r="M57" s="205"/>
      <x:c r="N57"/>
      <x:c r="O57"/>
      <x:c r="Q57"/>
      <x:c r="R57"/>
      <x:c r="S57"/>
      <x:c r="T57"/>
      <x:c r="U57"/>
      <x:c r="V57"/>
      <x:c r="W57"/>
      <x:c r="X57"/>
      <x:c r="Y57"/>
      <x:c r="Z57"/>
      <x:c r="AA57"/>
    </x:row>
    <x:row r="58">
      <x:c r="D58" s="582" t="str">
        <x:f>IF(C58="","",IF(UPPER(TRIM(B58))="PERUMAHAN",IFERROR(VLOOKUP(C58,PERUMAHAN!$A:$B,2,FALSE),"ID tidak ditemukan"),""))</x:f>
      </x:c>
      <x:c r="E58"/>
      <x:c r="F58"/>
      <x:c r="G58"/>
      <x:c r="H58"/>
      <x:c r="I58"/>
      <x:c r="J58"/>
      <x:c r="K58"/>
      <x:c r="L58"/>
      <x:c r="M58" s="205"/>
      <x:c r="N58"/>
      <x:c r="O58"/>
      <x:c r="Q58"/>
      <x:c r="R58"/>
      <x:c r="S58"/>
      <x:c r="T58"/>
      <x:c r="U58"/>
      <x:c r="V58"/>
      <x:c r="W58"/>
      <x:c r="X58"/>
      <x:c r="Y58"/>
      <x:c r="Z58"/>
      <x:c r="AA58"/>
    </x:row>
    <x:row r="59">
      <x:c r="D59" s="582" t="str">
        <x:f>IF(C59="","",IF(UPPER(TRIM(B59))="PERUMAHAN",IFERROR(VLOOKUP(C59,PERUMAHAN!$A:$B,2,FALSE),"ID tidak ditemukan"),""))</x:f>
      </x:c>
      <x:c r="E59"/>
      <x:c r="F59"/>
      <x:c r="G59"/>
      <x:c r="H59"/>
      <x:c r="I59"/>
      <x:c r="J59"/>
      <x:c r="K59"/>
      <x:c r="L59"/>
      <x:c r="M59" s="205"/>
      <x:c r="N59"/>
      <x:c r="O59"/>
      <x:c r="Q59"/>
      <x:c r="R59"/>
      <x:c r="S59"/>
      <x:c r="T59"/>
      <x:c r="U59"/>
      <x:c r="V59"/>
      <x:c r="W59"/>
      <x:c r="X59"/>
      <x:c r="Y59"/>
      <x:c r="Z59"/>
      <x:c r="AA59"/>
    </x:row>
    <x:row r="60">
      <x:c r="D60" s="582" t="str">
        <x:f>IF(C60="","",IF(UPPER(TRIM(B60))="PERUMAHAN",IFERROR(VLOOKUP(C60,PERUMAHAN!$A:$B,2,FALSE),"ID tidak ditemukan"),""))</x:f>
      </x:c>
      <x:c r="E60"/>
      <x:c r="F60"/>
      <x:c r="G60"/>
      <x:c r="H60"/>
      <x:c r="I60"/>
      <x:c r="J60"/>
      <x:c r="K60"/>
      <x:c r="L60"/>
      <x:c r="M60" s="205"/>
      <x:c r="N60"/>
      <x:c r="O60"/>
      <x:c r="Q60"/>
      <x:c r="R60"/>
      <x:c r="S60"/>
      <x:c r="T60"/>
      <x:c r="U60"/>
      <x:c r="V60"/>
      <x:c r="W60"/>
      <x:c r="X60"/>
      <x:c r="Y60"/>
      <x:c r="Z60"/>
      <x:c r="AA60"/>
    </x:row>
    <x:row r="61">
      <x:c r="D61" s="582" t="str">
        <x:f>IF(C61="","",IF(UPPER(TRIM(B61))="PERUMAHAN",IFERROR(VLOOKUP(C61,PERUMAHAN!$A:$B,2,FALSE),"ID tidak ditemukan"),""))</x:f>
      </x:c>
      <x:c r="E61"/>
      <x:c r="F61"/>
      <x:c r="G61"/>
      <x:c r="H61"/>
      <x:c r="I61"/>
      <x:c r="J61"/>
      <x:c r="K61"/>
      <x:c r="L61"/>
      <x:c r="M61" s="205"/>
      <x:c r="N61"/>
      <x:c r="O61"/>
      <x:c r="Q61"/>
      <x:c r="R61"/>
      <x:c r="S61"/>
      <x:c r="T61"/>
      <x:c r="U61"/>
      <x:c r="V61"/>
      <x:c r="W61"/>
      <x:c r="X61"/>
      <x:c r="Y61"/>
      <x:c r="Z61"/>
      <x:c r="AA61"/>
    </x:row>
    <x:row r="62">
      <x:c r="D62" s="582" t="str">
        <x:f>IF(C62="","",IF(UPPER(TRIM(B62))="PERUMAHAN",IFERROR(VLOOKUP(C62,PERUMAHAN!$A:$B,2,FALSE),"ID tidak ditemukan"),""))</x:f>
      </x:c>
      <x:c r="E62"/>
      <x:c r="F62"/>
      <x:c r="G62"/>
      <x:c r="H62"/>
      <x:c r="I62"/>
      <x:c r="J62"/>
      <x:c r="K62"/>
      <x:c r="L62"/>
      <x:c r="M62" s="205"/>
      <x:c r="N62"/>
      <x:c r="O62"/>
      <x:c r="Q62"/>
      <x:c r="R62"/>
      <x:c r="S62"/>
      <x:c r="T62"/>
      <x:c r="U62"/>
      <x:c r="V62"/>
      <x:c r="W62"/>
      <x:c r="X62"/>
      <x:c r="Y62"/>
      <x:c r="Z62"/>
      <x:c r="AA62"/>
    </x:row>
    <x:row r="63">
      <x:c r="D63" s="582" t="str">
        <x:f>IF(C63="","",IF(UPPER(TRIM(B63))="PERUMAHAN",IFERROR(VLOOKUP(C63,PERUMAHAN!$A:$B,2,FALSE),"ID tidak ditemukan"),""))</x:f>
      </x:c>
      <x:c r="E63"/>
      <x:c r="F63"/>
      <x:c r="G63"/>
      <x:c r="H63"/>
      <x:c r="I63"/>
      <x:c r="J63"/>
      <x:c r="K63"/>
      <x:c r="L63"/>
      <x:c r="M63" s="205"/>
      <x:c r="N63"/>
      <x:c r="O63"/>
      <x:c r="Q63"/>
      <x:c r="R63"/>
      <x:c r="S63"/>
      <x:c r="T63"/>
      <x:c r="U63"/>
      <x:c r="V63"/>
      <x:c r="W63"/>
      <x:c r="X63"/>
      <x:c r="Y63"/>
      <x:c r="Z63"/>
      <x:c r="AA63"/>
    </x:row>
    <x:row r="64">
      <x:c r="D64" s="582" t="str">
        <x:f>IF(C64="","",IF(UPPER(TRIM(B64))="PERUMAHAN",IFERROR(VLOOKUP(C64,PERUMAHAN!$A:$B,2,FALSE),"ID tidak ditemukan"),""))</x:f>
      </x:c>
      <x:c r="E64"/>
      <x:c r="F64"/>
      <x:c r="G64"/>
      <x:c r="H64"/>
      <x:c r="I64"/>
      <x:c r="J64"/>
      <x:c r="K64"/>
      <x:c r="L64"/>
      <x:c r="M64" s="205"/>
      <x:c r="N64"/>
      <x:c r="O64"/>
      <x:c r="Q64"/>
      <x:c r="R64"/>
      <x:c r="S64"/>
      <x:c r="T64"/>
      <x:c r="U64"/>
      <x:c r="V64"/>
      <x:c r="W64"/>
      <x:c r="X64"/>
      <x:c r="Y64"/>
      <x:c r="Z64"/>
      <x:c r="AA64"/>
    </x:row>
    <x:row r="65">
      <x:c r="D65" s="582" t="str">
        <x:f>IF(C65="","",IF(UPPER(TRIM(B65))="PERUMAHAN",IFERROR(VLOOKUP(C65,PERUMAHAN!$A:$B,2,FALSE),"ID tidak ditemukan"),""))</x:f>
      </x:c>
      <x:c r="E65"/>
      <x:c r="F65"/>
      <x:c r="G65"/>
      <x:c r="H65"/>
      <x:c r="I65"/>
      <x:c r="J65"/>
      <x:c r="K65"/>
      <x:c r="L65"/>
      <x:c r="M65" s="205"/>
      <x:c r="N65"/>
      <x:c r="O65"/>
      <x:c r="Q65"/>
      <x:c r="R65"/>
      <x:c r="S65"/>
      <x:c r="T65"/>
      <x:c r="U65"/>
      <x:c r="V65"/>
      <x:c r="W65"/>
      <x:c r="X65"/>
      <x:c r="Y65"/>
      <x:c r="Z65"/>
      <x:c r="AA65"/>
    </x:row>
    <x:row r="66">
      <x:c r="D66" s="582" t="str">
        <x:f>IF(C66="","",IF(UPPER(TRIM(B66))="PERUMAHAN",IFERROR(VLOOKUP(C66,PERUMAHAN!$A:$B,2,FALSE),"ID tidak ditemukan"),""))</x:f>
      </x:c>
      <x:c r="E66"/>
      <x:c r="F66"/>
      <x:c r="G66"/>
      <x:c r="H66"/>
      <x:c r="I66"/>
      <x:c r="J66"/>
      <x:c r="K66"/>
      <x:c r="L66"/>
      <x:c r="M66" s="205"/>
      <x:c r="N66"/>
      <x:c r="O66"/>
      <x:c r="Q66"/>
      <x:c r="R66"/>
      <x:c r="S66"/>
      <x:c r="T66"/>
      <x:c r="U66"/>
      <x:c r="V66"/>
      <x:c r="W66"/>
      <x:c r="X66"/>
      <x:c r="Y66"/>
      <x:c r="Z66"/>
      <x:c r="AA66"/>
    </x:row>
    <x:row r="67">
      <x:c r="D67" s="582" t="str">
        <x:f>IF(C67="","",IF(UPPER(TRIM(B67))="PERUMAHAN",IFERROR(VLOOKUP(C67,PERUMAHAN!$A:$B,2,FALSE),"ID tidak ditemukan"),""))</x:f>
      </x:c>
      <x:c r="E67"/>
      <x:c r="F67"/>
      <x:c r="G67"/>
      <x:c r="H67"/>
      <x:c r="I67"/>
      <x:c r="J67"/>
      <x:c r="K67"/>
      <x:c r="L67"/>
      <x:c r="M67" s="205"/>
      <x:c r="N67"/>
      <x:c r="O67"/>
      <x:c r="Q67"/>
      <x:c r="R67"/>
      <x:c r="S67"/>
      <x:c r="T67"/>
      <x:c r="U67"/>
      <x:c r="V67"/>
      <x:c r="W67"/>
      <x:c r="X67"/>
      <x:c r="Y67"/>
      <x:c r="Z67"/>
      <x:c r="AA67"/>
    </x:row>
    <x:row r="68">
      <x:c r="D68" s="582" t="str">
        <x:f>IF(C68="","",IF(UPPER(TRIM(B68))="PERUMAHAN",IFERROR(VLOOKUP(C68,PERUMAHAN!$A:$B,2,FALSE),"ID tidak ditemukan"),""))</x:f>
      </x:c>
      <x:c r="E68"/>
      <x:c r="F68"/>
      <x:c r="G68"/>
      <x:c r="H68"/>
      <x:c r="I68"/>
      <x:c r="J68"/>
      <x:c r="K68"/>
      <x:c r="L68"/>
      <x:c r="M68" s="205"/>
      <x:c r="N68"/>
      <x:c r="O68"/>
      <x:c r="Q68"/>
      <x:c r="R68"/>
      <x:c r="S68"/>
      <x:c r="T68"/>
      <x:c r="U68"/>
      <x:c r="V68"/>
      <x:c r="W68"/>
      <x:c r="X68"/>
      <x:c r="Y68"/>
      <x:c r="Z68"/>
      <x:c r="AA68"/>
    </x:row>
    <x:row r="69">
      <x:c r="D69" s="582" t="str">
        <x:f>IF(C69="","",IF(UPPER(TRIM(B69))="PERUMAHAN",IFERROR(VLOOKUP(C69,PERUMAHAN!$A:$B,2,FALSE),"ID tidak ditemukan"),""))</x:f>
      </x:c>
      <x:c r="E69"/>
      <x:c r="F69"/>
      <x:c r="G69"/>
      <x:c r="H69"/>
      <x:c r="I69"/>
      <x:c r="J69"/>
      <x:c r="K69"/>
      <x:c r="L69"/>
      <x:c r="M69" s="205"/>
      <x:c r="N69"/>
      <x:c r="O69"/>
      <x:c r="Q69"/>
      <x:c r="R69"/>
      <x:c r="S69"/>
      <x:c r="T69"/>
      <x:c r="U69"/>
      <x:c r="V69"/>
      <x:c r="W69"/>
      <x:c r="X69"/>
      <x:c r="Y69"/>
      <x:c r="Z69"/>
      <x:c r="AA69"/>
    </x:row>
    <x:row r="70">
      <x:c r="D70" s="582" t="str">
        <x:f>IF(C70="","",IF(UPPER(TRIM(B70))="PERUMAHAN",IFERROR(VLOOKUP(C70,PERUMAHAN!$A:$B,2,FALSE),"ID tidak ditemukan"),""))</x:f>
      </x:c>
      <x:c r="E70"/>
      <x:c r="F70"/>
      <x:c r="G70"/>
      <x:c r="H70"/>
      <x:c r="I70"/>
      <x:c r="J70"/>
      <x:c r="K70"/>
      <x:c r="L70"/>
      <x:c r="M70" s="205"/>
      <x:c r="N70"/>
      <x:c r="O70"/>
      <x:c r="Q70"/>
      <x:c r="R70"/>
      <x:c r="S70"/>
      <x:c r="T70"/>
      <x:c r="U70"/>
      <x:c r="V70"/>
      <x:c r="W70"/>
      <x:c r="X70"/>
      <x:c r="Y70"/>
      <x:c r="Z70"/>
      <x:c r="AA70"/>
    </x:row>
    <x:row r="71">
      <x:c r="D71" s="582" t="str">
        <x:f>IF(C71="","",IF(UPPER(TRIM(B71))="PERUMAHAN",IFERROR(VLOOKUP(C71,PERUMAHAN!$A:$B,2,FALSE),"ID tidak ditemukan"),""))</x:f>
      </x:c>
      <x:c r="E71"/>
      <x:c r="F71"/>
      <x:c r="G71"/>
      <x:c r="H71"/>
      <x:c r="I71"/>
      <x:c r="J71"/>
      <x:c r="K71"/>
      <x:c r="L71"/>
      <x:c r="M71" s="205"/>
      <x:c r="N71"/>
      <x:c r="O71"/>
      <x:c r="Q71"/>
      <x:c r="R71"/>
      <x:c r="S71"/>
      <x:c r="T71"/>
      <x:c r="U71"/>
      <x:c r="V71"/>
      <x:c r="W71"/>
      <x:c r="X71"/>
      <x:c r="Y71"/>
      <x:c r="Z71"/>
      <x:c r="AA71"/>
    </x:row>
    <x:row r="72">
      <x:c r="D72" s="582" t="str">
        <x:f>IF(C72="","",IF(UPPER(TRIM(B72))="PERUMAHAN",IFERROR(VLOOKUP(C72,PERUMAHAN!$A:$B,2,FALSE),"ID tidak ditemukan"),""))</x:f>
      </x:c>
      <x:c r="E72"/>
      <x:c r="F72"/>
      <x:c r="G72"/>
      <x:c r="H72"/>
      <x:c r="I72"/>
      <x:c r="J72"/>
      <x:c r="K72"/>
      <x:c r="L72"/>
      <x:c r="M72" s="205"/>
      <x:c r="N72"/>
      <x:c r="O72"/>
      <x:c r="Q72"/>
      <x:c r="R72"/>
      <x:c r="S72"/>
      <x:c r="T72"/>
      <x:c r="U72"/>
      <x:c r="V72"/>
      <x:c r="W72"/>
      <x:c r="X72"/>
      <x:c r="Y72"/>
      <x:c r="Z72"/>
      <x:c r="AA72"/>
    </x:row>
    <x:row r="73">
      <x:c r="D73" s="582" t="str">
        <x:f>IF(C73="","",IF(UPPER(TRIM(B73))="PERUMAHAN",IFERROR(VLOOKUP(C73,PERUMAHAN!$A:$B,2,FALSE),"ID tidak ditemukan"),""))</x:f>
      </x:c>
      <x:c r="E73"/>
      <x:c r="F73"/>
      <x:c r="G73"/>
      <x:c r="H73"/>
      <x:c r="I73"/>
      <x:c r="J73"/>
      <x:c r="K73"/>
      <x:c r="L73"/>
      <x:c r="M73" s="205"/>
      <x:c r="N73"/>
      <x:c r="O73"/>
      <x:c r="Q73"/>
      <x:c r="R73"/>
      <x:c r="S73"/>
      <x:c r="T73"/>
      <x:c r="U73"/>
      <x:c r="V73"/>
      <x:c r="W73"/>
      <x:c r="X73"/>
      <x:c r="Y73"/>
      <x:c r="Z73"/>
      <x:c r="AA73"/>
    </x:row>
    <x:row r="74">
      <x:c r="D74" s="582" t="str">
        <x:f>IF(C74="","",IF(UPPER(TRIM(B74))="PERUMAHAN",IFERROR(VLOOKUP(C74,PERUMAHAN!$A:$B,2,FALSE),"ID tidak ditemukan"),""))</x:f>
      </x:c>
      <x:c r="E74"/>
      <x:c r="F74"/>
      <x:c r="G74"/>
      <x:c r="H74"/>
      <x:c r="I74"/>
      <x:c r="J74"/>
      <x:c r="K74"/>
      <x:c r="L74"/>
      <x:c r="M74" s="205"/>
      <x:c r="N74"/>
      <x:c r="O74"/>
      <x:c r="Q74"/>
      <x:c r="R74"/>
      <x:c r="S74"/>
      <x:c r="T74"/>
      <x:c r="U74"/>
      <x:c r="V74"/>
      <x:c r="W74"/>
      <x:c r="X74"/>
      <x:c r="Y74"/>
      <x:c r="Z74"/>
      <x:c r="AA74"/>
    </x:row>
    <x:row r="75">
      <x:c r="D75" s="582" t="str">
        <x:f>IF(C75="","",IF(UPPER(TRIM(B75))="PERUMAHAN",IFERROR(VLOOKUP(C75,PERUMAHAN!$A:$B,2,FALSE),"ID tidak ditemukan"),""))</x:f>
      </x:c>
      <x:c r="E75"/>
      <x:c r="F75"/>
      <x:c r="G75"/>
      <x:c r="H75"/>
      <x:c r="I75"/>
      <x:c r="J75"/>
      <x:c r="K75"/>
      <x:c r="L75"/>
      <x:c r="M75" s="205"/>
      <x:c r="N75"/>
      <x:c r="O75"/>
      <x:c r="Q75"/>
      <x:c r="R75"/>
      <x:c r="S75"/>
      <x:c r="T75"/>
      <x:c r="U75"/>
      <x:c r="V75"/>
      <x:c r="W75"/>
      <x:c r="X75"/>
      <x:c r="Y75"/>
      <x:c r="Z75"/>
      <x:c r="AA75"/>
    </x:row>
    <x:row r="76">
      <x:c r="D76" s="582" t="str">
        <x:f>IF(C76="","",IF(UPPER(TRIM(B76))="PERUMAHAN",IFERROR(VLOOKUP(C76,PERUMAHAN!$A:$B,2,FALSE),"ID tidak ditemukan"),""))</x:f>
      </x:c>
      <x:c r="E76"/>
      <x:c r="F76"/>
      <x:c r="G76"/>
      <x:c r="H76"/>
      <x:c r="I76"/>
      <x:c r="J76"/>
      <x:c r="K76"/>
      <x:c r="L76"/>
      <x:c r="M76" s="205"/>
      <x:c r="N76"/>
      <x:c r="O76"/>
      <x:c r="Q76"/>
      <x:c r="R76"/>
      <x:c r="S76"/>
      <x:c r="T76"/>
      <x:c r="U76"/>
      <x:c r="V76"/>
      <x:c r="W76"/>
      <x:c r="X76"/>
      <x:c r="Y76"/>
      <x:c r="Z76"/>
      <x:c r="AA76"/>
    </x:row>
    <x:row r="77">
      <x:c r="D77" s="582" t="str">
        <x:f>IF(C77="","",IF(UPPER(TRIM(B77))="PERUMAHAN",IFERROR(VLOOKUP(C77,PERUMAHAN!$A:$B,2,FALSE),"ID tidak ditemukan"),""))</x:f>
      </x:c>
      <x:c r="E77"/>
      <x:c r="F77"/>
      <x:c r="G77"/>
      <x:c r="H77"/>
      <x:c r="I77"/>
      <x:c r="J77"/>
      <x:c r="K77"/>
      <x:c r="L77"/>
      <x:c r="M77" s="205"/>
      <x:c r="N77"/>
      <x:c r="O77"/>
      <x:c r="Q77"/>
      <x:c r="R77"/>
      <x:c r="S77"/>
      <x:c r="T77"/>
      <x:c r="U77"/>
      <x:c r="V77"/>
      <x:c r="W77"/>
      <x:c r="X77"/>
      <x:c r="Y77"/>
      <x:c r="Z77"/>
      <x:c r="AA77"/>
    </x:row>
    <x:row r="78">
      <x:c r="D78" s="582" t="str">
        <x:f>IF(C78="","",IF(UPPER(TRIM(B78))="PERUMAHAN",IFERROR(VLOOKUP(C78,PERUMAHAN!$A:$B,2,FALSE),"ID tidak ditemukan"),""))</x:f>
      </x:c>
      <x:c r="E78"/>
      <x:c r="F78"/>
      <x:c r="G78"/>
      <x:c r="H78"/>
      <x:c r="I78"/>
      <x:c r="J78"/>
      <x:c r="K78"/>
      <x:c r="L78"/>
      <x:c r="M78" s="205"/>
      <x:c r="N78"/>
      <x:c r="O78"/>
      <x:c r="Q78"/>
      <x:c r="R78"/>
      <x:c r="S78"/>
      <x:c r="T78"/>
      <x:c r="U78"/>
      <x:c r="V78"/>
      <x:c r="W78"/>
      <x:c r="X78"/>
      <x:c r="Y78"/>
      <x:c r="Z78"/>
      <x:c r="AA78"/>
    </x:row>
    <x:row r="79">
      <x:c r="D79" s="582" t="str">
        <x:f>IF(C79="","",IF(UPPER(TRIM(B79))="PERUMAHAN",IFERROR(VLOOKUP(C79,PERUMAHAN!$A:$B,2,FALSE),"ID tidak ditemukan"),""))</x:f>
      </x:c>
      <x:c r="E79"/>
      <x:c r="F79"/>
      <x:c r="G79"/>
      <x:c r="H79"/>
      <x:c r="I79"/>
      <x:c r="J79"/>
      <x:c r="K79"/>
      <x:c r="L79"/>
      <x:c r="M79" s="205"/>
      <x:c r="N79"/>
      <x:c r="O79"/>
      <x:c r="Q79"/>
      <x:c r="R79"/>
      <x:c r="S79"/>
      <x:c r="T79"/>
      <x:c r="U79"/>
      <x:c r="V79"/>
      <x:c r="W79"/>
      <x:c r="X79"/>
      <x:c r="Y79"/>
      <x:c r="Z79"/>
      <x:c r="AA79"/>
    </x:row>
    <x:row r="80">
      <x:c r="D80" s="582" t="str">
        <x:f>IF(C80="","",IF(UPPER(TRIM(B80))="PERUMAHAN",IFERROR(VLOOKUP(C80,PERUMAHAN!$A:$B,2,FALSE),"ID tidak ditemukan"),""))</x:f>
      </x:c>
      <x:c r="E80"/>
      <x:c r="F80"/>
      <x:c r="G80"/>
      <x:c r="H80"/>
      <x:c r="I80"/>
      <x:c r="J80"/>
      <x:c r="K80"/>
      <x:c r="L80"/>
      <x:c r="M80" s="205"/>
      <x:c r="N80"/>
      <x:c r="O80"/>
      <x:c r="Q80"/>
      <x:c r="R80"/>
      <x:c r="S80"/>
      <x:c r="T80"/>
      <x:c r="U80"/>
      <x:c r="V80"/>
      <x:c r="W80"/>
      <x:c r="X80"/>
      <x:c r="Y80"/>
      <x:c r="Z80"/>
      <x:c r="AA80"/>
    </x:row>
    <x:row r="81">
      <x:c r="D81" s="582" t="str">
        <x:f>IF(C81="","",IF(UPPER(TRIM(B81))="PERUMAHAN",IFERROR(VLOOKUP(C81,PERUMAHAN!$A:$B,2,FALSE),"ID tidak ditemukan"),""))</x:f>
      </x:c>
      <x:c r="E81"/>
      <x:c r="F81"/>
      <x:c r="G81"/>
      <x:c r="H81"/>
      <x:c r="I81"/>
      <x:c r="J81"/>
      <x:c r="K81"/>
      <x:c r="L81"/>
      <x:c r="M81" s="205"/>
      <x:c r="N81"/>
      <x:c r="O81"/>
      <x:c r="Q81"/>
      <x:c r="R81"/>
      <x:c r="S81"/>
      <x:c r="T81"/>
      <x:c r="U81"/>
      <x:c r="V81"/>
      <x:c r="W81"/>
      <x:c r="X81"/>
      <x:c r="Y81"/>
      <x:c r="Z81"/>
      <x:c r="AA81"/>
    </x:row>
    <x:row r="82">
      <x:c r="D82" s="582" t="str">
        <x:f>IF(C82="","",IF(UPPER(TRIM(B82))="PERUMAHAN",IFERROR(VLOOKUP(C82,PERUMAHAN!$A:$B,2,FALSE),"ID tidak ditemukan"),""))</x:f>
      </x:c>
      <x:c r="E82"/>
      <x:c r="F82"/>
      <x:c r="G82"/>
      <x:c r="H82"/>
      <x:c r="I82"/>
      <x:c r="J82"/>
      <x:c r="K82"/>
      <x:c r="L82"/>
      <x:c r="M82" s="205"/>
      <x:c r="N82"/>
      <x:c r="O82"/>
      <x:c r="Q82"/>
      <x:c r="R82"/>
      <x:c r="S82"/>
      <x:c r="T82"/>
      <x:c r="U82"/>
      <x:c r="V82"/>
      <x:c r="W82"/>
      <x:c r="X82"/>
      <x:c r="Y82"/>
      <x:c r="Z82"/>
      <x:c r="AA82"/>
    </x:row>
    <x:row r="83">
      <x:c r="D83" s="582" t="str">
        <x:f>IF(C83="","",IF(UPPER(TRIM(B83))="PERUMAHAN",IFERROR(VLOOKUP(C83,PERUMAHAN!$A:$B,2,FALSE),"ID tidak ditemukan"),""))</x:f>
      </x:c>
      <x:c r="E83"/>
      <x:c r="F83"/>
      <x:c r="G83"/>
      <x:c r="H83"/>
      <x:c r="I83"/>
      <x:c r="J83"/>
      <x:c r="K83"/>
      <x:c r="L83"/>
      <x:c r="M83" s="205"/>
      <x:c r="N83"/>
      <x:c r="O83"/>
      <x:c r="Q83"/>
      <x:c r="R83"/>
      <x:c r="S83"/>
      <x:c r="T83"/>
      <x:c r="U83"/>
      <x:c r="V83"/>
      <x:c r="W83"/>
      <x:c r="X83"/>
      <x:c r="Y83"/>
      <x:c r="Z83"/>
      <x:c r="AA83"/>
    </x:row>
    <x:row r="84">
      <x:c r="D84" s="582" t="str">
        <x:f>IF(C84="","",IF(UPPER(TRIM(B84))="PERUMAHAN",IFERROR(VLOOKUP(C84,PERUMAHAN!$A:$B,2,FALSE),"ID tidak ditemukan"),""))</x:f>
      </x:c>
      <x:c r="E84"/>
      <x:c r="F84"/>
      <x:c r="G84"/>
      <x:c r="H84"/>
      <x:c r="I84"/>
      <x:c r="J84"/>
      <x:c r="K84"/>
      <x:c r="L84"/>
      <x:c r="M84" s="205"/>
      <x:c r="N84"/>
      <x:c r="O84"/>
      <x:c r="Q84"/>
      <x:c r="R84"/>
      <x:c r="S84"/>
      <x:c r="T84"/>
      <x:c r="U84"/>
      <x:c r="V84"/>
      <x:c r="W84"/>
      <x:c r="X84"/>
      <x:c r="Y84"/>
      <x:c r="Z84"/>
      <x:c r="AA84"/>
    </x:row>
    <x:row r="85">
      <x:c r="D85" s="582" t="str">
        <x:f>IF(C85="","",IF(UPPER(TRIM(B85))="PERUMAHAN",IFERROR(VLOOKUP(C85,PERUMAHAN!$A:$B,2,FALSE),"ID tidak ditemukan"),""))</x:f>
      </x:c>
      <x:c r="E85"/>
      <x:c r="F85"/>
      <x:c r="G85"/>
      <x:c r="H85"/>
      <x:c r="I85"/>
      <x:c r="J85"/>
      <x:c r="K85"/>
      <x:c r="L85"/>
      <x:c r="M85" s="205"/>
      <x:c r="N85"/>
      <x:c r="O85"/>
      <x:c r="Q85"/>
      <x:c r="R85"/>
      <x:c r="S85"/>
      <x:c r="T85"/>
      <x:c r="U85"/>
      <x:c r="V85"/>
      <x:c r="W85"/>
      <x:c r="X85"/>
      <x:c r="Y85"/>
      <x:c r="Z85"/>
      <x:c r="AA85"/>
    </x:row>
    <x:row r="86">
      <x:c r="D86" s="582" t="str">
        <x:f>IF(C86="","",IF(UPPER(TRIM(B86))="PERUMAHAN",IFERROR(VLOOKUP(C86,PERUMAHAN!$A:$B,2,FALSE),"ID tidak ditemukan"),""))</x:f>
      </x:c>
      <x:c r="E86"/>
      <x:c r="F86"/>
      <x:c r="G86"/>
      <x:c r="H86"/>
      <x:c r="I86"/>
      <x:c r="J86"/>
      <x:c r="K86"/>
      <x:c r="L86"/>
      <x:c r="M86" s="205"/>
      <x:c r="N86"/>
      <x:c r="O86"/>
      <x:c r="Q86"/>
      <x:c r="R86"/>
      <x:c r="S86"/>
      <x:c r="T86"/>
      <x:c r="U86"/>
      <x:c r="V86"/>
      <x:c r="W86"/>
      <x:c r="X86"/>
      <x:c r="Y86"/>
      <x:c r="Z86"/>
      <x:c r="AA86"/>
    </x:row>
    <x:row r="87">
      <x:c r="D87" s="582" t="str">
        <x:f>IF(C87="","",IF(UPPER(TRIM(B87))="PERUMAHAN",IFERROR(VLOOKUP(C87,PERUMAHAN!$A:$B,2,FALSE),"ID tidak ditemukan"),""))</x:f>
      </x:c>
      <x:c r="E87"/>
      <x:c r="F87"/>
      <x:c r="G87"/>
      <x:c r="H87"/>
      <x:c r="I87"/>
      <x:c r="J87"/>
      <x:c r="K87"/>
      <x:c r="L87"/>
      <x:c r="M87" s="205"/>
      <x:c r="N87"/>
      <x:c r="O87"/>
      <x:c r="Q87"/>
      <x:c r="R87"/>
      <x:c r="S87"/>
      <x:c r="T87"/>
      <x:c r="U87"/>
      <x:c r="V87"/>
      <x:c r="W87"/>
      <x:c r="X87"/>
      <x:c r="Y87"/>
      <x:c r="Z87"/>
      <x:c r="AA87"/>
    </x:row>
    <x:row r="88">
      <x:c r="D88" s="582" t="str">
        <x:f>IF(C88="","",IF(UPPER(TRIM(B88))="PERUMAHAN",IFERROR(VLOOKUP(C88,PERUMAHAN!$A:$B,2,FALSE),"ID tidak ditemukan"),""))</x:f>
      </x:c>
      <x:c r="E88"/>
      <x:c r="F88"/>
      <x:c r="G88"/>
      <x:c r="H88"/>
      <x:c r="I88"/>
      <x:c r="J88"/>
      <x:c r="K88"/>
      <x:c r="L88"/>
      <x:c r="M88" s="205"/>
      <x:c r="N88"/>
      <x:c r="O88"/>
      <x:c r="Q88"/>
      <x:c r="R88"/>
      <x:c r="S88"/>
      <x:c r="T88"/>
      <x:c r="U88"/>
      <x:c r="V88"/>
      <x:c r="W88"/>
      <x:c r="X88"/>
      <x:c r="Y88"/>
      <x:c r="Z88"/>
      <x:c r="AA88"/>
    </x:row>
    <x:row r="89">
      <x:c r="D89" s="582" t="str">
        <x:f>IF(C89="","",IF(UPPER(TRIM(B89))="PERUMAHAN",IFERROR(VLOOKUP(C89,PERUMAHAN!$A:$B,2,FALSE),"ID tidak ditemukan"),""))</x:f>
      </x:c>
      <x:c r="E89"/>
      <x:c r="F89"/>
      <x:c r="G89"/>
      <x:c r="H89"/>
      <x:c r="I89"/>
      <x:c r="J89"/>
      <x:c r="K89"/>
      <x:c r="L89"/>
      <x:c r="M89" s="205"/>
      <x:c r="N89"/>
      <x:c r="O89"/>
      <x:c r="Q89"/>
      <x:c r="R89"/>
      <x:c r="S89"/>
      <x:c r="T89"/>
      <x:c r="U89"/>
      <x:c r="V89"/>
      <x:c r="W89"/>
      <x:c r="X89"/>
      <x:c r="Y89"/>
      <x:c r="Z89"/>
      <x:c r="AA89"/>
    </x:row>
    <x:row r="90">
      <x:c r="D90" s="582" t="str">
        <x:f>IF(C90="","",IF(UPPER(TRIM(B90))="PERUMAHAN",IFERROR(VLOOKUP(C90,PERUMAHAN!$A:$B,2,FALSE),"ID tidak ditemukan"),""))</x:f>
      </x:c>
      <x:c r="E90"/>
      <x:c r="F90"/>
      <x:c r="G90"/>
      <x:c r="H90"/>
      <x:c r="I90"/>
      <x:c r="J90"/>
      <x:c r="K90"/>
      <x:c r="L90"/>
      <x:c r="M90" s="205"/>
      <x:c r="N90"/>
      <x:c r="O90"/>
      <x:c r="Q90"/>
      <x:c r="R90"/>
      <x:c r="S90"/>
      <x:c r="T90"/>
      <x:c r="U90"/>
      <x:c r="V90"/>
      <x:c r="W90"/>
      <x:c r="X90"/>
      <x:c r="Y90"/>
      <x:c r="Z90"/>
      <x:c r="AA90"/>
    </x:row>
    <x:row r="91">
      <x:c r="D91" s="582" t="str">
        <x:f>IF(C91="","",IF(UPPER(TRIM(B91))="PERUMAHAN",IFERROR(VLOOKUP(C91,PERUMAHAN!$A:$B,2,FALSE),"ID tidak ditemukan"),""))</x:f>
      </x:c>
      <x:c r="E91"/>
      <x:c r="F91"/>
      <x:c r="G91"/>
      <x:c r="H91"/>
      <x:c r="I91"/>
      <x:c r="J91"/>
      <x:c r="K91"/>
      <x:c r="L91"/>
      <x:c r="M91" s="205"/>
      <x:c r="N91"/>
      <x:c r="O91"/>
      <x:c r="Q91"/>
      <x:c r="R91"/>
      <x:c r="S91"/>
      <x:c r="T91"/>
      <x:c r="U91"/>
      <x:c r="V91"/>
      <x:c r="W91"/>
      <x:c r="X91"/>
      <x:c r="Y91"/>
      <x:c r="Z91"/>
      <x:c r="AA91"/>
    </x:row>
    <x:row r="92">
      <x:c r="D92" s="582" t="str">
        <x:f>IF(C92="","",IF(UPPER(TRIM(B92))="PERUMAHAN",IFERROR(VLOOKUP(C92,PERUMAHAN!$A:$B,2,FALSE),"ID tidak ditemukan"),""))</x:f>
      </x:c>
      <x:c r="E92"/>
      <x:c r="F92"/>
      <x:c r="G92"/>
      <x:c r="H92"/>
      <x:c r="I92"/>
      <x:c r="J92"/>
      <x:c r="K92"/>
      <x:c r="L92"/>
      <x:c r="M92" s="205"/>
      <x:c r="N92"/>
      <x:c r="O92"/>
      <x:c r="Q92"/>
      <x:c r="R92"/>
      <x:c r="S92"/>
      <x:c r="T92"/>
      <x:c r="U92"/>
      <x:c r="V92"/>
      <x:c r="W92"/>
      <x:c r="X92"/>
      <x:c r="Y92"/>
      <x:c r="Z92"/>
      <x:c r="AA92"/>
    </x:row>
    <x:row r="93">
      <x:c r="D93" s="582" t="str">
        <x:f>IF(C93="","",IF(UPPER(TRIM(B93))="PERUMAHAN",IFERROR(VLOOKUP(C93,PERUMAHAN!$A:$B,2,FALSE),"ID tidak ditemukan"),""))</x:f>
      </x:c>
      <x:c r="E93"/>
      <x:c r="F93"/>
      <x:c r="G93"/>
      <x:c r="H93"/>
      <x:c r="I93"/>
      <x:c r="J93"/>
      <x:c r="K93"/>
      <x:c r="L93"/>
      <x:c r="M93" s="205"/>
      <x:c r="N93"/>
      <x:c r="O93"/>
      <x:c r="Q93"/>
      <x:c r="R93"/>
      <x:c r="S93"/>
      <x:c r="T93"/>
      <x:c r="U93"/>
      <x:c r="V93"/>
      <x:c r="W93"/>
      <x:c r="X93"/>
      <x:c r="Y93"/>
      <x:c r="Z93"/>
      <x:c r="AA93"/>
    </x:row>
    <x:row r="94">
      <x:c r="D94" s="582" t="str">
        <x:f>IF(C94="","",IF(UPPER(TRIM(B94))="PERUMAHAN",IFERROR(VLOOKUP(C94,PERUMAHAN!$A:$B,2,FALSE),"ID tidak ditemukan"),""))</x:f>
      </x:c>
      <x:c r="E94"/>
      <x:c r="F94"/>
      <x:c r="G94"/>
      <x:c r="H94"/>
      <x:c r="I94"/>
      <x:c r="J94"/>
      <x:c r="K94"/>
      <x:c r="L94"/>
      <x:c r="M94" s="205"/>
      <x:c r="N94"/>
      <x:c r="O94"/>
      <x:c r="Q94"/>
      <x:c r="R94"/>
      <x:c r="S94"/>
      <x:c r="T94"/>
      <x:c r="U94"/>
      <x:c r="V94"/>
      <x:c r="W94"/>
      <x:c r="X94"/>
      <x:c r="Y94"/>
      <x:c r="Z94"/>
      <x:c r="AA94"/>
    </x:row>
    <x:row r="95">
      <x:c r="D95" s="582" t="str">
        <x:f>IF(C95="","",IF(UPPER(TRIM(B95))="PERUMAHAN",IFERROR(VLOOKUP(C95,PERUMAHAN!$A:$B,2,FALSE),"ID tidak ditemukan"),""))</x:f>
      </x:c>
      <x:c r="E95"/>
      <x:c r="F95"/>
      <x:c r="G95"/>
      <x:c r="H95"/>
      <x:c r="I95"/>
      <x:c r="J95"/>
      <x:c r="K95"/>
      <x:c r="L95"/>
      <x:c r="M95" s="205"/>
      <x:c r="N95"/>
      <x:c r="O95"/>
      <x:c r="Q95"/>
      <x:c r="R95"/>
      <x:c r="S95"/>
      <x:c r="T95"/>
      <x:c r="U95"/>
      <x:c r="V95"/>
      <x:c r="W95"/>
      <x:c r="X95"/>
      <x:c r="Y95"/>
      <x:c r="Z95"/>
      <x:c r="AA95"/>
    </x:row>
    <x:row r="96">
      <x:c r="D96" s="582" t="str">
        <x:f>IF(C96="","",IF(UPPER(TRIM(B96))="PERUMAHAN",IFERROR(VLOOKUP(C96,PERUMAHAN!$A:$B,2,FALSE),"ID tidak ditemukan"),""))</x:f>
      </x:c>
      <x:c r="E96"/>
      <x:c r="F96"/>
      <x:c r="G96"/>
      <x:c r="H96"/>
      <x:c r="I96"/>
      <x:c r="J96"/>
      <x:c r="K96"/>
      <x:c r="L96"/>
      <x:c r="M96" s="205"/>
      <x:c r="N96"/>
      <x:c r="O96"/>
      <x:c r="Q96"/>
      <x:c r="R96"/>
      <x:c r="S96"/>
      <x:c r="T96"/>
      <x:c r="U96"/>
      <x:c r="V96"/>
      <x:c r="W96"/>
      <x:c r="X96"/>
      <x:c r="Y96"/>
      <x:c r="Z96"/>
      <x:c r="AA96"/>
    </x:row>
    <x:row r="97">
      <x:c r="D97" s="582" t="str">
        <x:f>IF(C97="","",IF(UPPER(TRIM(B97))="PERUMAHAN",IFERROR(VLOOKUP(C97,PERUMAHAN!$A:$B,2,FALSE),"ID tidak ditemukan"),""))</x:f>
      </x:c>
      <x:c r="E97"/>
      <x:c r="F97"/>
      <x:c r="G97"/>
      <x:c r="H97"/>
      <x:c r="I97"/>
      <x:c r="J97"/>
      <x:c r="K97"/>
      <x:c r="L97"/>
      <x:c r="M97" s="205"/>
      <x:c r="N97"/>
      <x:c r="O97"/>
      <x:c r="Q97"/>
      <x:c r="R97"/>
      <x:c r="S97"/>
      <x:c r="T97"/>
      <x:c r="U97"/>
      <x:c r="V97"/>
      <x:c r="W97"/>
      <x:c r="X97"/>
      <x:c r="Y97"/>
      <x:c r="Z97"/>
      <x:c r="AA97"/>
    </x:row>
    <x:row r="98">
      <x:c r="D98" s="582" t="str">
        <x:f>IF(C98="","",IF(UPPER(TRIM(B98))="PERUMAHAN",IFERROR(VLOOKUP(C98,PERUMAHAN!$A:$B,2,FALSE),"ID tidak ditemukan"),""))</x:f>
      </x:c>
      <x:c r="E98"/>
      <x:c r="F98"/>
      <x:c r="G98"/>
      <x:c r="H98"/>
      <x:c r="I98"/>
      <x:c r="J98"/>
      <x:c r="K98"/>
      <x:c r="L98"/>
      <x:c r="M98" s="205"/>
      <x:c r="N98"/>
      <x:c r="O98"/>
      <x:c r="Q98"/>
      <x:c r="R98"/>
      <x:c r="S98"/>
      <x:c r="T98"/>
      <x:c r="U98"/>
      <x:c r="V98"/>
      <x:c r="W98"/>
      <x:c r="X98"/>
      <x:c r="Y98"/>
      <x:c r="Z98"/>
      <x:c r="AA98"/>
    </x:row>
    <x:row r="99">
      <x:c r="D99" s="582" t="str">
        <x:f>IF(C99="","",IF(UPPER(TRIM(B99))="PERUMAHAN",IFERROR(VLOOKUP(C99,PERUMAHAN!$A:$B,2,FALSE),"ID tidak ditemukan"),""))</x:f>
      </x:c>
      <x:c r="E99"/>
      <x:c r="F99"/>
      <x:c r="G99"/>
      <x:c r="H99"/>
      <x:c r="I99"/>
      <x:c r="J99"/>
      <x:c r="K99"/>
      <x:c r="L99"/>
      <x:c r="M99" s="205"/>
      <x:c r="N99"/>
      <x:c r="O99"/>
      <x:c r="Q99"/>
      <x:c r="R99"/>
      <x:c r="S99"/>
      <x:c r="T99"/>
      <x:c r="U99"/>
      <x:c r="V99"/>
      <x:c r="W99"/>
      <x:c r="X99"/>
      <x:c r="Y99"/>
      <x:c r="Z99"/>
      <x:c r="AA99"/>
    </x:row>
    <x:row r="100">
      <x:c r="D100" s="582" t="str">
        <x:f>IF(C100="","",IF(UPPER(TRIM(B100))="PERUMAHAN",IFERROR(VLOOKUP(C100,PERUMAHAN!$A:$B,2,FALSE),"ID tidak ditemukan"),""))</x:f>
      </x:c>
      <x:c r="E100"/>
      <x:c r="F100"/>
      <x:c r="G100"/>
      <x:c r="H100"/>
      <x:c r="I100"/>
      <x:c r="J100"/>
      <x:c r="K100"/>
      <x:c r="L100"/>
      <x:c r="M100" s="205"/>
      <x:c r="N100"/>
      <x:c r="O100"/>
      <x:c r="Q100"/>
      <x:c r="R100"/>
      <x:c r="S100"/>
      <x:c r="T100"/>
      <x:c r="U100"/>
      <x:c r="V100"/>
      <x:c r="W100"/>
      <x:c r="X100"/>
      <x:c r="Y100"/>
      <x:c r="Z100"/>
      <x:c r="AA100"/>
    </x:row>
    <x:row r="101">
      <x:c r="D101" s="582" t="str">
        <x:f>IF(C101="","",IF(UPPER(TRIM(B101))="PERUMAHAN",IFERROR(VLOOKUP(C101,PERUMAHAN!$A:$B,2,FALSE),"ID tidak ditemukan"),""))</x:f>
      </x:c>
      <x:c r="E101"/>
      <x:c r="F101"/>
      <x:c r="G101"/>
      <x:c r="H101"/>
      <x:c r="I101"/>
      <x:c r="J101"/>
      <x:c r="K101"/>
      <x:c r="L101"/>
      <x:c r="M101" s="205"/>
      <x:c r="N101"/>
      <x:c r="O101"/>
      <x:c r="Q101"/>
      <x:c r="R101"/>
      <x:c r="S101"/>
      <x:c r="T101"/>
      <x:c r="U101"/>
      <x:c r="V101"/>
      <x:c r="W101"/>
      <x:c r="X101"/>
      <x:c r="Y101"/>
      <x:c r="Z101"/>
      <x:c r="AA101"/>
    </x:row>
    <x:row r="102">
      <x:c r="D102" s="582" t="str">
        <x:f>IF(C102="","",IF(UPPER(TRIM(B102))="PERUMAHAN",IFERROR(VLOOKUP(C102,PERUMAHAN!$A:$B,2,FALSE),"ID tidak ditemukan"),""))</x:f>
      </x:c>
      <x:c r="E102"/>
      <x:c r="F102"/>
      <x:c r="G102"/>
      <x:c r="H102"/>
      <x:c r="I102"/>
      <x:c r="J102"/>
      <x:c r="K102"/>
      <x:c r="L102"/>
      <x:c r="M102" s="205"/>
      <x:c r="N102"/>
      <x:c r="O102"/>
      <x:c r="Q102"/>
      <x:c r="R102"/>
      <x:c r="S102"/>
      <x:c r="T102"/>
      <x:c r="U102"/>
      <x:c r="V102"/>
      <x:c r="W102"/>
      <x:c r="X102"/>
      <x:c r="Y102"/>
      <x:c r="Z102"/>
      <x:c r="AA102"/>
    </x:row>
    <x:row r="103">
      <x:c r="D103" s="582" t="str">
        <x:f>IF(C103="","",IF(UPPER(TRIM(B103))="PERUMAHAN",IFERROR(VLOOKUP(C103,PERUMAHAN!$A:$B,2,FALSE),"ID tidak ditemukan"),""))</x:f>
      </x:c>
      <x:c r="E103"/>
      <x:c r="F103"/>
      <x:c r="G103"/>
      <x:c r="H103"/>
      <x:c r="I103"/>
      <x:c r="J103"/>
      <x:c r="K103"/>
      <x:c r="L103"/>
      <x:c r="M103" s="205"/>
      <x:c r="N103"/>
      <x:c r="O103"/>
      <x:c r="Q103"/>
      <x:c r="R103"/>
      <x:c r="S103"/>
      <x:c r="T103"/>
      <x:c r="U103"/>
      <x:c r="V103"/>
      <x:c r="W103"/>
      <x:c r="X103"/>
      <x:c r="Y103"/>
      <x:c r="Z103"/>
      <x:c r="AA103"/>
    </x:row>
    <x:row r="104">
      <x:c r="D104" s="582" t="str">
        <x:f>IF(C104="","",IF(UPPER(TRIM(B104))="PERUMAHAN",IFERROR(VLOOKUP(C104,PERUMAHAN!$A:$B,2,FALSE),"ID tidak ditemukan"),""))</x:f>
      </x:c>
      <x:c r="E104"/>
      <x:c r="F104"/>
      <x:c r="G104"/>
      <x:c r="H104"/>
      <x:c r="I104"/>
      <x:c r="J104"/>
      <x:c r="K104"/>
      <x:c r="L104"/>
      <x:c r="M104" s="205"/>
      <x:c r="N104"/>
      <x:c r="O104"/>
      <x:c r="Q104"/>
      <x:c r="R104"/>
      <x:c r="S104"/>
      <x:c r="T104"/>
      <x:c r="U104"/>
      <x:c r="V104"/>
      <x:c r="W104"/>
      <x:c r="X104"/>
      <x:c r="Y104"/>
      <x:c r="Z104"/>
      <x:c r="AA104"/>
    </x:row>
    <x:row r="105">
      <x:c r="D105" s="582" t="str">
        <x:f>IF(C105="","",IF(UPPER(TRIM(B105))="PERUMAHAN",IFERROR(VLOOKUP(C105,PERUMAHAN!$A:$B,2,FALSE),"ID tidak ditemukan"),""))</x:f>
      </x:c>
      <x:c r="E105"/>
      <x:c r="F105"/>
      <x:c r="G105"/>
      <x:c r="H105"/>
      <x:c r="I105"/>
      <x:c r="J105"/>
      <x:c r="K105"/>
      <x:c r="L105"/>
      <x:c r="M105" s="205"/>
      <x:c r="N105"/>
      <x:c r="O105"/>
      <x:c r="Q105"/>
      <x:c r="R105"/>
      <x:c r="S105"/>
      <x:c r="T105"/>
      <x:c r="U105"/>
      <x:c r="V105"/>
      <x:c r="W105"/>
      <x:c r="X105"/>
      <x:c r="Y105"/>
      <x:c r="Z105"/>
      <x:c r="AA105"/>
    </x:row>
    <x:row r="106">
      <x:c r="D106" s="582" t="str">
        <x:f>IF(C106="","",IF(UPPER(TRIM(B106))="PERUMAHAN",IFERROR(VLOOKUP(C106,PERUMAHAN!$A:$B,2,FALSE),"ID tidak ditemukan"),""))</x:f>
      </x:c>
      <x:c r="E106"/>
      <x:c r="F106"/>
      <x:c r="G106"/>
      <x:c r="H106"/>
      <x:c r="I106"/>
      <x:c r="J106"/>
      <x:c r="K106"/>
      <x:c r="L106"/>
      <x:c r="M106" s="205"/>
      <x:c r="N106"/>
      <x:c r="O106"/>
      <x:c r="Q106"/>
      <x:c r="R106"/>
      <x:c r="S106"/>
      <x:c r="T106"/>
      <x:c r="U106"/>
      <x:c r="V106"/>
      <x:c r="W106"/>
      <x:c r="X106"/>
      <x:c r="Y106"/>
      <x:c r="Z106"/>
      <x:c r="AA106"/>
    </x:row>
    <x:row r="107">
      <x:c r="D107" s="582" t="str">
        <x:f>IF(C107="","",IF(UPPER(TRIM(B107))="PERUMAHAN",IFERROR(VLOOKUP(C107,PERUMAHAN!$A:$B,2,FALSE),"ID tidak ditemukan"),""))</x:f>
      </x:c>
      <x:c r="E107"/>
      <x:c r="F107"/>
      <x:c r="G107"/>
      <x:c r="H107"/>
      <x:c r="I107"/>
      <x:c r="J107"/>
      <x:c r="K107"/>
      <x:c r="L107"/>
      <x:c r="M107" s="205"/>
      <x:c r="N107"/>
      <x:c r="O107"/>
      <x:c r="Q107"/>
      <x:c r="R107"/>
      <x:c r="S107"/>
      <x:c r="T107"/>
      <x:c r="U107"/>
      <x:c r="V107"/>
      <x:c r="W107"/>
      <x:c r="X107"/>
      <x:c r="Y107"/>
      <x:c r="Z107"/>
      <x:c r="AA107"/>
    </x:row>
    <x:row r="108">
      <x:c r="D108" s="582" t="str">
        <x:f>IF(C108="","",IF(UPPER(TRIM(B108))="PERUMAHAN",IFERROR(VLOOKUP(C108,PERUMAHAN!$A:$B,2,FALSE),"ID tidak ditemukan"),""))</x:f>
      </x:c>
      <x:c r="E108"/>
      <x:c r="F108"/>
      <x:c r="G108"/>
      <x:c r="H108"/>
      <x:c r="I108"/>
      <x:c r="J108"/>
      <x:c r="K108"/>
      <x:c r="L108"/>
      <x:c r="M108" s="205"/>
      <x:c r="N108"/>
      <x:c r="O108"/>
      <x:c r="Q108"/>
      <x:c r="R108"/>
      <x:c r="S108"/>
      <x:c r="T108"/>
      <x:c r="U108"/>
      <x:c r="V108"/>
      <x:c r="W108"/>
      <x:c r="X108"/>
      <x:c r="Y108"/>
      <x:c r="Z108"/>
      <x:c r="AA108"/>
    </x:row>
    <x:row r="109">
      <x:c r="D109" s="582" t="str">
        <x:f>IF(C109="","",IF(UPPER(TRIM(B109))="PERUMAHAN",IFERROR(VLOOKUP(C109,PERUMAHAN!$A:$B,2,FALSE),"ID tidak ditemukan"),""))</x:f>
      </x:c>
      <x:c r="E109"/>
      <x:c r="F109"/>
      <x:c r="G109"/>
      <x:c r="H109"/>
      <x:c r="I109"/>
      <x:c r="J109"/>
      <x:c r="K109"/>
      <x:c r="L109"/>
      <x:c r="M109" s="205"/>
      <x:c r="N109"/>
      <x:c r="O109"/>
      <x:c r="Q109"/>
      <x:c r="R109"/>
      <x:c r="S109"/>
      <x:c r="T109"/>
      <x:c r="U109"/>
      <x:c r="V109"/>
      <x:c r="W109"/>
      <x:c r="X109"/>
      <x:c r="Y109"/>
      <x:c r="Z109"/>
      <x:c r="AA109"/>
    </x:row>
    <x:row r="110">
      <x:c r="D110" s="582" t="str">
        <x:f>IF(C110="","",IF(UPPER(TRIM(B110))="PERUMAHAN",IFERROR(VLOOKUP(C110,PERUMAHAN!$A:$B,2,FALSE),"ID tidak ditemukan"),""))</x:f>
      </x:c>
      <x:c r="E110"/>
      <x:c r="F110"/>
      <x:c r="G110"/>
      <x:c r="H110"/>
      <x:c r="I110"/>
      <x:c r="J110"/>
      <x:c r="K110"/>
      <x:c r="L110"/>
      <x:c r="M110" s="205"/>
      <x:c r="N110"/>
      <x:c r="O110"/>
      <x:c r="Q110"/>
      <x:c r="R110"/>
      <x:c r="S110"/>
      <x:c r="T110"/>
      <x:c r="U110"/>
      <x:c r="V110"/>
      <x:c r="W110"/>
      <x:c r="X110"/>
      <x:c r="Y110"/>
      <x:c r="Z110"/>
      <x:c r="AA110"/>
    </x:row>
    <x:row r="111">
      <x:c r="D111" s="582" t="str">
        <x:f>IF(C111="","",IF(UPPER(TRIM(B111))="PERUMAHAN",IFERROR(VLOOKUP(C111,PERUMAHAN!$A:$B,2,FALSE),"ID tidak ditemukan"),""))</x:f>
      </x:c>
      <x:c r="E111"/>
      <x:c r="F111"/>
      <x:c r="G111"/>
      <x:c r="H111"/>
      <x:c r="I111"/>
      <x:c r="J111"/>
      <x:c r="K111"/>
      <x:c r="L111"/>
      <x:c r="M111" s="205"/>
      <x:c r="N111"/>
      <x:c r="O111"/>
      <x:c r="Q111"/>
      <x:c r="R111"/>
      <x:c r="S111"/>
      <x:c r="T111"/>
      <x:c r="U111"/>
      <x:c r="V111"/>
      <x:c r="W111"/>
      <x:c r="X111"/>
      <x:c r="Y111"/>
      <x:c r="Z111"/>
      <x:c r="AA111"/>
    </x:row>
    <x:row r="112">
      <x:c r="D112" s="582" t="str">
        <x:f>IF(C112="","",IF(UPPER(TRIM(B112))="PERUMAHAN",IFERROR(VLOOKUP(C112,PERUMAHAN!$A:$B,2,FALSE),"ID tidak ditemukan"),""))</x:f>
      </x:c>
      <x:c r="E112"/>
      <x:c r="F112"/>
      <x:c r="G112"/>
      <x:c r="H112"/>
      <x:c r="I112"/>
      <x:c r="J112"/>
      <x:c r="K112"/>
      <x:c r="L112"/>
      <x:c r="M112" s="205"/>
      <x:c r="N112"/>
      <x:c r="O112"/>
      <x:c r="Q112"/>
      <x:c r="R112"/>
      <x:c r="S112"/>
      <x:c r="T112"/>
      <x:c r="U112"/>
      <x:c r="V112"/>
      <x:c r="W112"/>
      <x:c r="X112"/>
      <x:c r="Y112"/>
      <x:c r="Z112"/>
      <x:c r="AA112"/>
    </x:row>
    <x:row r="113">
      <x:c r="D113" s="582" t="str">
        <x:f>IF(C113="","",IF(UPPER(TRIM(B113))="PERUMAHAN",IFERROR(VLOOKUP(C113,PERUMAHAN!$A:$B,2,FALSE),"ID tidak ditemukan"),""))</x:f>
      </x:c>
      <x:c r="E113"/>
      <x:c r="F113"/>
      <x:c r="G113"/>
      <x:c r="H113"/>
      <x:c r="I113"/>
      <x:c r="J113"/>
      <x:c r="K113"/>
      <x:c r="L113"/>
      <x:c r="M113" s="205"/>
      <x:c r="N113"/>
      <x:c r="O113"/>
      <x:c r="Q113"/>
      <x:c r="R113"/>
      <x:c r="S113"/>
      <x:c r="T113"/>
      <x:c r="U113"/>
      <x:c r="V113"/>
      <x:c r="W113"/>
      <x:c r="X113"/>
      <x:c r="Y113"/>
      <x:c r="Z113"/>
      <x:c r="AA113"/>
    </x:row>
    <x:row r="114">
      <x:c r="D114" s="582" t="str">
        <x:f>IF(C114="","",IF(UPPER(TRIM(B114))="PERUMAHAN",IFERROR(VLOOKUP(C114,PERUMAHAN!$A:$B,2,FALSE),"ID tidak ditemukan"),""))</x:f>
      </x:c>
      <x:c r="E114"/>
      <x:c r="F114"/>
      <x:c r="G114"/>
      <x:c r="H114"/>
      <x:c r="I114"/>
      <x:c r="J114"/>
      <x:c r="K114"/>
      <x:c r="L114"/>
      <x:c r="M114" s="205"/>
      <x:c r="N114"/>
      <x:c r="O114"/>
      <x:c r="Q114"/>
      <x:c r="R114"/>
      <x:c r="S114"/>
      <x:c r="T114"/>
      <x:c r="U114"/>
      <x:c r="V114"/>
      <x:c r="W114"/>
      <x:c r="X114"/>
      <x:c r="Y114"/>
      <x:c r="Z114"/>
      <x:c r="AA114"/>
    </x:row>
    <x:row r="115">
      <x:c r="D115" s="582" t="str">
        <x:f>IF(C115="","",IF(UPPER(TRIM(B115))="PERUMAHAN",IFERROR(VLOOKUP(C115,PERUMAHAN!$A:$B,2,FALSE),"ID tidak ditemukan"),""))</x:f>
      </x:c>
      <x:c r="E115"/>
      <x:c r="F115"/>
      <x:c r="G115"/>
      <x:c r="H115"/>
      <x:c r="I115"/>
      <x:c r="J115"/>
      <x:c r="K115"/>
      <x:c r="L115"/>
      <x:c r="M115" s="205"/>
      <x:c r="N115"/>
      <x:c r="O115"/>
      <x:c r="Q115"/>
      <x:c r="R115"/>
      <x:c r="S115"/>
      <x:c r="T115"/>
      <x:c r="U115"/>
      <x:c r="V115"/>
      <x:c r="W115"/>
      <x:c r="X115"/>
      <x:c r="Y115"/>
      <x:c r="Z115"/>
      <x:c r="AA115"/>
    </x:row>
    <x:row r="116">
      <x:c r="D116" s="582" t="str">
        <x:f>IF(C116="","",IF(UPPER(TRIM(B116))="PERUMAHAN",IFERROR(VLOOKUP(C116,PERUMAHAN!$A:$B,2,FALSE),"ID tidak ditemukan"),""))</x:f>
      </x:c>
      <x:c r="E116"/>
      <x:c r="F116"/>
      <x:c r="G116"/>
      <x:c r="H116"/>
      <x:c r="I116"/>
      <x:c r="J116"/>
      <x:c r="K116"/>
      <x:c r="L116"/>
      <x:c r="M116" s="205"/>
      <x:c r="N116"/>
      <x:c r="O116"/>
      <x:c r="Q116"/>
      <x:c r="R116"/>
      <x:c r="S116"/>
      <x:c r="T116"/>
      <x:c r="U116"/>
      <x:c r="V116"/>
      <x:c r="W116"/>
      <x:c r="X116"/>
      <x:c r="Y116"/>
      <x:c r="Z116"/>
      <x:c r="AA116"/>
    </x:row>
    <x:row r="117">
      <x:c r="D117" s="582" t="str">
        <x:f>IF(C117="","",IF(UPPER(TRIM(B117))="PERUMAHAN",IFERROR(VLOOKUP(C117,PERUMAHAN!$A:$B,2,FALSE),"ID tidak ditemukan"),""))</x:f>
      </x:c>
      <x:c r="E117"/>
      <x:c r="F117"/>
      <x:c r="G117"/>
      <x:c r="H117"/>
      <x:c r="I117"/>
      <x:c r="J117"/>
      <x:c r="K117"/>
      <x:c r="L117"/>
      <x:c r="M117" s="205"/>
      <x:c r="N117"/>
      <x:c r="O117"/>
      <x:c r="Q117"/>
      <x:c r="R117"/>
      <x:c r="S117"/>
      <x:c r="T117"/>
      <x:c r="U117"/>
      <x:c r="V117"/>
      <x:c r="W117"/>
      <x:c r="X117"/>
      <x:c r="Y117"/>
      <x:c r="Z117"/>
      <x:c r="AA117"/>
    </x:row>
    <x:row r="118">
      <x:c r="D118" s="582" t="str">
        <x:f>IF(C118="","",IF(UPPER(TRIM(B118))="PERUMAHAN",IFERROR(VLOOKUP(C118,PERUMAHAN!$A:$B,2,FALSE),"ID tidak ditemukan"),""))</x:f>
      </x:c>
      <x:c r="E118"/>
      <x:c r="F118"/>
      <x:c r="G118"/>
      <x:c r="H118"/>
      <x:c r="I118"/>
      <x:c r="J118"/>
      <x:c r="K118"/>
      <x:c r="L118"/>
      <x:c r="M118" s="205"/>
      <x:c r="N118"/>
      <x:c r="O118"/>
      <x:c r="Q118"/>
      <x:c r="R118"/>
      <x:c r="S118"/>
      <x:c r="T118"/>
      <x:c r="U118"/>
      <x:c r="V118"/>
      <x:c r="W118"/>
      <x:c r="X118"/>
      <x:c r="Y118"/>
      <x:c r="Z118"/>
      <x:c r="AA118"/>
    </x:row>
    <x:row r="119">
      <x:c r="D119" s="582" t="str">
        <x:f>IF(C119="","",IF(UPPER(TRIM(B119))="PERUMAHAN",IFERROR(VLOOKUP(C119,PERUMAHAN!$A:$B,2,FALSE),"ID tidak ditemukan"),""))</x:f>
      </x:c>
      <x:c r="E119"/>
      <x:c r="F119"/>
      <x:c r="G119"/>
      <x:c r="H119"/>
      <x:c r="I119"/>
      <x:c r="J119"/>
      <x:c r="K119"/>
      <x:c r="L119"/>
      <x:c r="M119" s="205"/>
      <x:c r="N119"/>
      <x:c r="O119"/>
      <x:c r="Q119"/>
      <x:c r="R119"/>
      <x:c r="S119"/>
      <x:c r="T119"/>
      <x:c r="U119"/>
      <x:c r="V119"/>
      <x:c r="W119"/>
      <x:c r="X119"/>
      <x:c r="Y119"/>
      <x:c r="Z119"/>
      <x:c r="AA119"/>
    </x:row>
    <x:row r="120">
      <x:c r="D120" s="582" t="str">
        <x:f>IF(C120="","",IF(UPPER(TRIM(B120))="PERUMAHAN",IFERROR(VLOOKUP(C120,PERUMAHAN!$A:$B,2,FALSE),"ID tidak ditemukan"),""))</x:f>
      </x:c>
      <x:c r="E120"/>
      <x:c r="F120"/>
      <x:c r="G120"/>
      <x:c r="H120"/>
      <x:c r="I120"/>
      <x:c r="J120"/>
      <x:c r="K120"/>
      <x:c r="L120"/>
      <x:c r="M120" s="205"/>
      <x:c r="N120"/>
      <x:c r="O120"/>
      <x:c r="Q120"/>
      <x:c r="R120"/>
      <x:c r="S120"/>
      <x:c r="T120"/>
      <x:c r="U120"/>
      <x:c r="V120"/>
      <x:c r="W120"/>
      <x:c r="X120"/>
      <x:c r="Y120"/>
      <x:c r="Z120"/>
      <x:c r="AA120"/>
    </x:row>
    <x:row r="121">
      <x:c r="D121" s="582" t="str">
        <x:f>IF(C121="","",IF(UPPER(TRIM(B121))="PERUMAHAN",IFERROR(VLOOKUP(C121,PERUMAHAN!$A:$B,2,FALSE),"ID tidak ditemukan"),""))</x:f>
      </x:c>
      <x:c r="E121"/>
      <x:c r="F121"/>
      <x:c r="G121"/>
      <x:c r="H121"/>
      <x:c r="I121"/>
      <x:c r="J121"/>
      <x:c r="K121"/>
      <x:c r="L121"/>
      <x:c r="M121" s="205"/>
      <x:c r="N121"/>
      <x:c r="O121"/>
      <x:c r="Q121"/>
      <x:c r="R121"/>
      <x:c r="S121"/>
      <x:c r="T121"/>
      <x:c r="U121"/>
      <x:c r="V121"/>
      <x:c r="W121"/>
      <x:c r="X121"/>
      <x:c r="Y121"/>
      <x:c r="Z121"/>
      <x:c r="AA121"/>
    </x:row>
    <x:row r="122">
      <x:c r="D122" s="582" t="str">
        <x:f>IF(C122="","",IF(UPPER(TRIM(B122))="PERUMAHAN",IFERROR(VLOOKUP(C122,PERUMAHAN!$A:$B,2,FALSE),"ID tidak ditemukan"),""))</x:f>
      </x:c>
      <x:c r="E122"/>
      <x:c r="F122"/>
      <x:c r="G122"/>
      <x:c r="H122"/>
      <x:c r="I122"/>
      <x:c r="J122"/>
      <x:c r="K122"/>
      <x:c r="L122"/>
      <x:c r="M122" s="205"/>
      <x:c r="N122"/>
      <x:c r="O122"/>
      <x:c r="Q122"/>
      <x:c r="R122"/>
      <x:c r="S122"/>
      <x:c r="T122"/>
      <x:c r="U122"/>
      <x:c r="V122"/>
      <x:c r="W122"/>
      <x:c r="X122"/>
      <x:c r="Y122"/>
      <x:c r="Z122"/>
      <x:c r="AA122"/>
    </x:row>
    <x:row r="123">
      <x:c r="D123" s="582" t="str">
        <x:f>IF(C123="","",IF(UPPER(TRIM(B123))="PERUMAHAN",IFERROR(VLOOKUP(C123,PERUMAHAN!$A:$B,2,FALSE),"ID tidak ditemukan"),""))</x:f>
      </x:c>
      <x:c r="E123"/>
      <x:c r="F123"/>
      <x:c r="G123"/>
      <x:c r="H123"/>
      <x:c r="I123"/>
      <x:c r="J123"/>
      <x:c r="K123"/>
      <x:c r="L123"/>
      <x:c r="M123" s="205"/>
      <x:c r="N123"/>
      <x:c r="O123"/>
      <x:c r="Q123"/>
      <x:c r="R123"/>
      <x:c r="S123"/>
      <x:c r="T123"/>
      <x:c r="U123"/>
      <x:c r="V123"/>
      <x:c r="W123"/>
      <x:c r="X123"/>
      <x:c r="Y123"/>
      <x:c r="Z123"/>
      <x:c r="AA123"/>
    </x:row>
    <x:row r="124">
      <x:c r="D124" s="582" t="str">
        <x:f>IF(C124="","",IF(UPPER(TRIM(B124))="PERUMAHAN",IFERROR(VLOOKUP(C124,PERUMAHAN!$A:$B,2,FALSE),"ID tidak ditemukan"),""))</x:f>
      </x:c>
      <x:c r="E124"/>
      <x:c r="F124"/>
      <x:c r="G124"/>
      <x:c r="H124"/>
      <x:c r="I124"/>
      <x:c r="J124"/>
      <x:c r="K124"/>
      <x:c r="L124"/>
      <x:c r="M124" s="205"/>
      <x:c r="N124"/>
      <x:c r="O124"/>
      <x:c r="Q124"/>
      <x:c r="R124"/>
      <x:c r="S124"/>
      <x:c r="T124"/>
      <x:c r="U124"/>
      <x:c r="V124"/>
      <x:c r="W124"/>
      <x:c r="X124"/>
      <x:c r="Y124"/>
      <x:c r="Z124"/>
      <x:c r="AA124"/>
    </x:row>
    <x:row r="125">
      <x:c r="D125" s="582" t="str">
        <x:f>IF(C125="","",IF(UPPER(TRIM(B125))="PERUMAHAN",IFERROR(VLOOKUP(C125,PERUMAHAN!$A:$B,2,FALSE),"ID tidak ditemukan"),""))</x:f>
      </x:c>
      <x:c r="E125"/>
      <x:c r="F125"/>
      <x:c r="G125"/>
      <x:c r="H125"/>
      <x:c r="I125"/>
      <x:c r="J125"/>
      <x:c r="K125"/>
      <x:c r="L125"/>
      <x:c r="M125" s="205"/>
      <x:c r="N125"/>
      <x:c r="O125"/>
      <x:c r="Q125"/>
      <x:c r="R125"/>
      <x:c r="S125"/>
      <x:c r="T125"/>
      <x:c r="U125"/>
      <x:c r="V125"/>
      <x:c r="W125"/>
      <x:c r="X125"/>
      <x:c r="Y125"/>
      <x:c r="Z125"/>
      <x:c r="AA125"/>
    </x:row>
    <x:row r="126">
      <x:c r="D126" s="582" t="str">
        <x:f>IF(C126="","",IF(UPPER(TRIM(B126))="PERUMAHAN",IFERROR(VLOOKUP(C126,PERUMAHAN!$A:$B,2,FALSE),"ID tidak ditemukan"),""))</x:f>
      </x:c>
      <x:c r="E126"/>
      <x:c r="F126"/>
      <x:c r="G126"/>
      <x:c r="H126"/>
      <x:c r="I126"/>
      <x:c r="J126"/>
      <x:c r="K126"/>
      <x:c r="L126"/>
      <x:c r="M126" s="205"/>
      <x:c r="N126"/>
      <x:c r="O126"/>
      <x:c r="Q126"/>
      <x:c r="R126"/>
      <x:c r="S126"/>
      <x:c r="T126"/>
      <x:c r="U126"/>
      <x:c r="V126"/>
      <x:c r="W126"/>
      <x:c r="X126"/>
      <x:c r="Y126"/>
      <x:c r="Z126"/>
      <x:c r="AA126"/>
    </x:row>
    <x:row r="127">
      <x:c r="D127" s="582" t="str">
        <x:f>IF(C127="","",IF(UPPER(TRIM(B127))="PERUMAHAN",IFERROR(VLOOKUP(C127,PERUMAHAN!$A:$B,2,FALSE),"ID tidak ditemukan"),""))</x:f>
      </x:c>
      <x:c r="E127"/>
      <x:c r="F127"/>
      <x:c r="G127"/>
      <x:c r="H127"/>
      <x:c r="I127"/>
      <x:c r="J127"/>
      <x:c r="K127"/>
      <x:c r="L127"/>
      <x:c r="M127" s="205"/>
      <x:c r="N127"/>
      <x:c r="O127"/>
      <x:c r="Q127"/>
      <x:c r="R127"/>
      <x:c r="S127"/>
      <x:c r="T127"/>
      <x:c r="U127"/>
      <x:c r="V127"/>
      <x:c r="W127"/>
      <x:c r="X127"/>
      <x:c r="Y127"/>
      <x:c r="Z127"/>
      <x:c r="AA127"/>
    </x:row>
    <x:row r="128">
      <x:c r="D128" s="582" t="str">
        <x:f>IF(C128="","",IF(UPPER(TRIM(B128))="PERUMAHAN",IFERROR(VLOOKUP(C128,PERUMAHAN!$A:$B,2,FALSE),"ID tidak ditemukan"),""))</x:f>
      </x:c>
      <x:c r="E128"/>
      <x:c r="F128"/>
      <x:c r="G128"/>
      <x:c r="H128"/>
      <x:c r="I128"/>
      <x:c r="J128"/>
      <x:c r="K128"/>
      <x:c r="L128"/>
      <x:c r="M128" s="205"/>
      <x:c r="N128"/>
      <x:c r="O128"/>
      <x:c r="Q128"/>
      <x:c r="R128"/>
      <x:c r="S128"/>
      <x:c r="T128"/>
      <x:c r="U128"/>
      <x:c r="V128"/>
      <x:c r="W128"/>
      <x:c r="X128"/>
      <x:c r="Y128"/>
      <x:c r="Z128"/>
      <x:c r="AA128"/>
    </x:row>
    <x:row r="129">
      <x:c r="D129" s="582" t="str">
        <x:f>IF(C129="","",IF(UPPER(TRIM(B129))="PERUMAHAN",IFERROR(VLOOKUP(C129,PERUMAHAN!$A:$B,2,FALSE),"ID tidak ditemukan"),""))</x:f>
      </x:c>
      <x:c r="E129"/>
      <x:c r="F129"/>
      <x:c r="G129"/>
      <x:c r="H129"/>
      <x:c r="I129"/>
      <x:c r="J129"/>
      <x:c r="K129"/>
      <x:c r="L129"/>
      <x:c r="M129" s="205"/>
      <x:c r="N129"/>
      <x:c r="O129"/>
      <x:c r="Q129"/>
      <x:c r="R129"/>
      <x:c r="S129"/>
      <x:c r="T129"/>
      <x:c r="U129"/>
      <x:c r="V129"/>
      <x:c r="W129"/>
      <x:c r="X129"/>
      <x:c r="Y129"/>
      <x:c r="Z129"/>
      <x:c r="AA129"/>
    </x:row>
    <x:row r="130">
      <x:c r="D130" s="582" t="str">
        <x:f>IF(C130="","",IF(UPPER(TRIM(B130))="PERUMAHAN",IFERROR(VLOOKUP(C130,PERUMAHAN!$A:$B,2,FALSE),"ID tidak ditemukan"),""))</x:f>
      </x:c>
      <x:c r="E130"/>
      <x:c r="F130"/>
      <x:c r="G130"/>
      <x:c r="H130"/>
      <x:c r="I130"/>
      <x:c r="J130"/>
      <x:c r="K130"/>
      <x:c r="L130"/>
      <x:c r="M130" s="205"/>
      <x:c r="N130"/>
      <x:c r="O130"/>
      <x:c r="Q130"/>
      <x:c r="R130"/>
      <x:c r="S130"/>
      <x:c r="T130"/>
      <x:c r="U130"/>
      <x:c r="V130"/>
      <x:c r="W130"/>
      <x:c r="X130"/>
      <x:c r="Y130"/>
      <x:c r="Z130"/>
      <x:c r="AA130"/>
    </x:row>
    <x:row r="131">
      <x:c r="D131" s="582" t="str">
        <x:f>IF(C131="","",IF(UPPER(TRIM(B131))="PERUMAHAN",IFERROR(VLOOKUP(C131,PERUMAHAN!$A:$B,2,FALSE),"ID tidak ditemukan"),""))</x:f>
      </x:c>
      <x:c r="E131"/>
      <x:c r="F131"/>
      <x:c r="G131"/>
      <x:c r="H131"/>
      <x:c r="I131"/>
      <x:c r="J131"/>
      <x:c r="K131"/>
      <x:c r="L131"/>
      <x:c r="M131" s="205"/>
      <x:c r="N131"/>
      <x:c r="O131"/>
      <x:c r="Q131"/>
      <x:c r="R131"/>
      <x:c r="S131"/>
      <x:c r="T131"/>
      <x:c r="U131"/>
      <x:c r="V131"/>
      <x:c r="W131"/>
      <x:c r="X131"/>
      <x:c r="Y131"/>
      <x:c r="Z131"/>
      <x:c r="AA131"/>
    </x:row>
    <x:row r="132">
      <x:c r="D132" s="582" t="str">
        <x:f>IF(C132="","",IF(UPPER(TRIM(B132))="PERUMAHAN",IFERROR(VLOOKUP(C132,PERUMAHAN!$A:$B,2,FALSE),"ID tidak ditemukan"),""))</x:f>
      </x:c>
      <x:c r="E132"/>
      <x:c r="F132"/>
      <x:c r="G132"/>
      <x:c r="H132"/>
      <x:c r="I132"/>
      <x:c r="J132"/>
      <x:c r="K132"/>
      <x:c r="L132"/>
      <x:c r="M132" s="205"/>
      <x:c r="N132"/>
      <x:c r="O132"/>
      <x:c r="Q132"/>
      <x:c r="R132"/>
      <x:c r="S132"/>
      <x:c r="T132"/>
      <x:c r="U132"/>
      <x:c r="V132"/>
      <x:c r="W132"/>
      <x:c r="X132"/>
      <x:c r="Y132"/>
      <x:c r="Z132"/>
      <x:c r="AA132"/>
    </x:row>
    <x:row r="133">
      <x:c r="D133" s="582" t="str">
        <x:f>IF(C133="","",IF(UPPER(TRIM(B133))="PERUMAHAN",IFERROR(VLOOKUP(C133,PERUMAHAN!$A:$B,2,FALSE),"ID tidak ditemukan"),""))</x:f>
      </x:c>
      <x:c r="E133"/>
      <x:c r="F133"/>
      <x:c r="G133"/>
      <x:c r="H133"/>
      <x:c r="I133"/>
      <x:c r="J133"/>
      <x:c r="K133"/>
      <x:c r="L133"/>
      <x:c r="M133" s="205"/>
      <x:c r="N133"/>
      <x:c r="O133"/>
      <x:c r="Q133"/>
      <x:c r="R133"/>
      <x:c r="S133"/>
      <x:c r="T133"/>
      <x:c r="U133"/>
      <x:c r="V133"/>
      <x:c r="W133"/>
      <x:c r="X133"/>
      <x:c r="Y133"/>
      <x:c r="Z133"/>
      <x:c r="AA133"/>
    </x:row>
    <x:row r="134">
      <x:c r="D134" s="582" t="str">
        <x:f>IF(C134="","",IF(UPPER(TRIM(B134))="PERUMAHAN",IFERROR(VLOOKUP(C134,PERUMAHAN!$A:$B,2,FALSE),"ID tidak ditemukan"),""))</x:f>
      </x:c>
      <x:c r="E134"/>
      <x:c r="F134"/>
      <x:c r="G134"/>
      <x:c r="H134"/>
      <x:c r="I134"/>
      <x:c r="J134"/>
      <x:c r="K134"/>
      <x:c r="L134"/>
      <x:c r="M134" s="205"/>
      <x:c r="N134"/>
      <x:c r="O134"/>
      <x:c r="Q134"/>
      <x:c r="R134"/>
      <x:c r="S134"/>
      <x:c r="T134"/>
      <x:c r="U134"/>
      <x:c r="V134"/>
      <x:c r="W134"/>
      <x:c r="X134"/>
      <x:c r="Y134"/>
      <x:c r="Z134"/>
      <x:c r="AA134"/>
    </x:row>
    <x:row r="135">
      <x:c r="D135" s="582" t="str">
        <x:f>IF(C135="","",IF(UPPER(TRIM(B135))="PERUMAHAN",IFERROR(VLOOKUP(C135,PERUMAHAN!$A:$B,2,FALSE),"ID tidak ditemukan"),""))</x:f>
      </x:c>
      <x:c r="E135"/>
      <x:c r="F135"/>
      <x:c r="G135"/>
      <x:c r="H135"/>
      <x:c r="I135"/>
      <x:c r="J135"/>
      <x:c r="K135"/>
      <x:c r="L135"/>
      <x:c r="M135" s="205"/>
      <x:c r="N135"/>
      <x:c r="O135"/>
      <x:c r="Q135"/>
      <x:c r="R135"/>
      <x:c r="S135"/>
      <x:c r="T135"/>
      <x:c r="U135"/>
      <x:c r="V135"/>
      <x:c r="W135"/>
      <x:c r="X135"/>
      <x:c r="Y135"/>
      <x:c r="Z135"/>
      <x:c r="AA135"/>
    </x:row>
    <x:row r="136">
      <x:c r="D136" s="582" t="str">
        <x:f>IF(C136="","",IF(UPPER(TRIM(B136))="PERUMAHAN",IFERROR(VLOOKUP(C136,PERUMAHAN!$A:$B,2,FALSE),"ID tidak ditemukan"),""))</x:f>
      </x:c>
      <x:c r="E136"/>
      <x:c r="F136"/>
      <x:c r="G136"/>
      <x:c r="H136"/>
      <x:c r="I136"/>
      <x:c r="J136"/>
      <x:c r="K136"/>
      <x:c r="L136"/>
      <x:c r="M136" s="205"/>
      <x:c r="N136"/>
      <x:c r="O136"/>
      <x:c r="Q136"/>
      <x:c r="R136"/>
      <x:c r="S136"/>
      <x:c r="T136"/>
      <x:c r="U136"/>
      <x:c r="V136"/>
      <x:c r="W136"/>
      <x:c r="X136"/>
      <x:c r="Y136"/>
      <x:c r="Z136"/>
      <x:c r="AA136"/>
    </x:row>
    <x:row r="137">
      <x:c r="D137" s="582" t="str">
        <x:f>IF(C137="","",IF(UPPER(TRIM(B137))="PERUMAHAN",IFERROR(VLOOKUP(C137,PERUMAHAN!$A:$B,2,FALSE),"ID tidak ditemukan"),""))</x:f>
      </x:c>
      <x:c r="E137"/>
      <x:c r="F137"/>
      <x:c r="G137"/>
      <x:c r="H137"/>
      <x:c r="I137"/>
      <x:c r="J137"/>
      <x:c r="K137"/>
      <x:c r="L137"/>
      <x:c r="M137" s="205"/>
      <x:c r="N137"/>
      <x:c r="O137"/>
      <x:c r="Q137"/>
      <x:c r="R137"/>
      <x:c r="S137"/>
      <x:c r="T137"/>
      <x:c r="U137"/>
      <x:c r="V137"/>
      <x:c r="W137"/>
      <x:c r="X137"/>
      <x:c r="Y137"/>
      <x:c r="Z137"/>
      <x:c r="AA137"/>
    </x:row>
    <x:row r="138">
      <x:c r="D138" s="582" t="str">
        <x:f>IF(C138="","",IF(UPPER(TRIM(B138))="PERUMAHAN",IFERROR(VLOOKUP(C138,PERUMAHAN!$A:$B,2,FALSE),"ID tidak ditemukan"),""))</x:f>
      </x:c>
      <x:c r="E138"/>
      <x:c r="F138"/>
      <x:c r="G138"/>
      <x:c r="H138"/>
      <x:c r="I138"/>
      <x:c r="J138"/>
      <x:c r="K138"/>
      <x:c r="L138"/>
      <x:c r="M138" s="205"/>
      <x:c r="N138"/>
      <x:c r="O138"/>
      <x:c r="Q138"/>
      <x:c r="R138"/>
      <x:c r="S138"/>
      <x:c r="T138"/>
      <x:c r="U138"/>
      <x:c r="V138"/>
      <x:c r="W138"/>
      <x:c r="X138"/>
      <x:c r="Y138"/>
      <x:c r="Z138"/>
      <x:c r="AA138"/>
    </x:row>
    <x:row r="139">
      <x:c r="D139" s="582" t="str">
        <x:f>IF(C139="","",IF(UPPER(TRIM(B139))="PERUMAHAN",IFERROR(VLOOKUP(C139,PERUMAHAN!$A:$B,2,FALSE),"ID tidak ditemukan"),""))</x:f>
      </x:c>
      <x:c r="E139"/>
      <x:c r="F139"/>
      <x:c r="G139"/>
      <x:c r="H139"/>
      <x:c r="I139"/>
      <x:c r="J139"/>
      <x:c r="K139"/>
      <x:c r="L139"/>
      <x:c r="M139" s="205"/>
      <x:c r="N139"/>
      <x:c r="O139"/>
      <x:c r="Q139"/>
      <x:c r="R139"/>
      <x:c r="S139"/>
      <x:c r="T139"/>
      <x:c r="U139"/>
      <x:c r="V139"/>
      <x:c r="W139"/>
      <x:c r="X139"/>
      <x:c r="Y139"/>
      <x:c r="Z139"/>
      <x:c r="AA139"/>
    </x:row>
    <x:row r="140">
      <x:c r="D140" s="582" t="str">
        <x:f>IF(C140="","",IF(UPPER(TRIM(B140))="PERUMAHAN",IFERROR(VLOOKUP(C140,PERUMAHAN!$A:$B,2,FALSE),"ID tidak ditemukan"),""))</x:f>
      </x:c>
      <x:c r="E140"/>
      <x:c r="F140"/>
      <x:c r="G140"/>
      <x:c r="H140"/>
      <x:c r="I140"/>
      <x:c r="J140"/>
      <x:c r="K140"/>
      <x:c r="L140"/>
      <x:c r="M140" s="205"/>
      <x:c r="N140"/>
      <x:c r="O140"/>
      <x:c r="Q140"/>
      <x:c r="R140"/>
      <x:c r="S140"/>
      <x:c r="T140"/>
      <x:c r="U140"/>
      <x:c r="V140"/>
      <x:c r="W140"/>
      <x:c r="X140"/>
      <x:c r="Y140"/>
      <x:c r="Z140"/>
      <x:c r="AA140"/>
    </x:row>
    <x:row r="141">
      <x:c r="D141" s="582" t="str">
        <x:f>IF(C141="","",IF(UPPER(TRIM(B141))="PERUMAHAN",IFERROR(VLOOKUP(C141,PERUMAHAN!$A:$B,2,FALSE),"ID tidak ditemukan"),""))</x:f>
      </x:c>
      <x:c r="E141"/>
      <x:c r="F141"/>
      <x:c r="G141"/>
      <x:c r="H141"/>
      <x:c r="I141"/>
      <x:c r="J141"/>
      <x:c r="K141"/>
      <x:c r="L141"/>
      <x:c r="M141" s="205"/>
      <x:c r="N141"/>
      <x:c r="O141"/>
      <x:c r="Q141"/>
      <x:c r="R141"/>
      <x:c r="S141"/>
      <x:c r="T141"/>
      <x:c r="U141"/>
      <x:c r="V141"/>
      <x:c r="W141"/>
      <x:c r="X141"/>
      <x:c r="Y141"/>
      <x:c r="Z141"/>
      <x:c r="AA141"/>
    </x:row>
    <x:row r="142">
      <x:c r="D142" s="582" t="str">
        <x:f>IF(C142="","",IF(UPPER(TRIM(B142))="PERUMAHAN",IFERROR(VLOOKUP(C142,PERUMAHAN!$A:$B,2,FALSE),"ID tidak ditemukan"),""))</x:f>
      </x:c>
      <x:c r="E142"/>
      <x:c r="F142"/>
      <x:c r="G142"/>
      <x:c r="H142"/>
      <x:c r="I142"/>
      <x:c r="J142"/>
      <x:c r="K142"/>
      <x:c r="L142"/>
      <x:c r="M142" s="205"/>
      <x:c r="N142"/>
      <x:c r="O142"/>
      <x:c r="Q142"/>
      <x:c r="R142"/>
      <x:c r="S142"/>
      <x:c r="T142"/>
      <x:c r="U142"/>
      <x:c r="V142"/>
      <x:c r="W142"/>
      <x:c r="X142"/>
      <x:c r="Y142"/>
      <x:c r="Z142"/>
      <x:c r="AA142"/>
    </x:row>
    <x:row r="143">
      <x:c r="D143" s="582" t="str">
        <x:f>IF(C143="","",IF(UPPER(TRIM(B143))="PERUMAHAN",IFERROR(VLOOKUP(C143,PERUMAHAN!$A:$B,2,FALSE),"ID tidak ditemukan"),""))</x:f>
      </x:c>
      <x:c r="E143"/>
      <x:c r="F143"/>
      <x:c r="G143"/>
      <x:c r="H143"/>
      <x:c r="I143"/>
      <x:c r="J143"/>
      <x:c r="K143"/>
      <x:c r="L143"/>
      <x:c r="M143" s="205"/>
      <x:c r="N143"/>
      <x:c r="O143"/>
      <x:c r="Q143"/>
      <x:c r="R143"/>
      <x:c r="S143"/>
      <x:c r="T143"/>
      <x:c r="U143"/>
      <x:c r="V143"/>
      <x:c r="W143"/>
      <x:c r="X143"/>
      <x:c r="Y143"/>
      <x:c r="Z143"/>
      <x:c r="AA143"/>
    </x:row>
    <x:row r="144">
      <x:c r="D144" s="582" t="str">
        <x:f>IF(C144="","",IF(UPPER(TRIM(B144))="PERUMAHAN",IFERROR(VLOOKUP(C144,PERUMAHAN!$A:$B,2,FALSE),"ID tidak ditemukan"),""))</x:f>
      </x:c>
      <x:c r="E144"/>
      <x:c r="F144"/>
      <x:c r="G144"/>
      <x:c r="H144"/>
      <x:c r="I144"/>
      <x:c r="J144"/>
      <x:c r="K144"/>
      <x:c r="L144"/>
      <x:c r="M144" s="205"/>
      <x:c r="N144"/>
      <x:c r="O144"/>
      <x:c r="Q144"/>
      <x:c r="R144"/>
      <x:c r="S144"/>
      <x:c r="T144"/>
      <x:c r="U144"/>
      <x:c r="V144"/>
      <x:c r="W144"/>
      <x:c r="X144"/>
      <x:c r="Y144"/>
      <x:c r="Z144"/>
      <x:c r="AA144"/>
    </x:row>
    <x:row r="145">
      <x:c r="D145" s="582" t="str">
        <x:f>IF(C145="","",IF(UPPER(TRIM(B145))="PERUMAHAN",IFERROR(VLOOKUP(C145,PERUMAHAN!$A:$B,2,FALSE),"ID tidak ditemukan"),""))</x:f>
      </x:c>
      <x:c r="E145"/>
      <x:c r="F145"/>
      <x:c r="G145"/>
      <x:c r="H145"/>
      <x:c r="I145"/>
      <x:c r="J145"/>
      <x:c r="K145"/>
      <x:c r="L145"/>
      <x:c r="M145" s="205"/>
      <x:c r="N145"/>
      <x:c r="O145"/>
      <x:c r="Q145"/>
      <x:c r="R145"/>
      <x:c r="S145"/>
      <x:c r="T145"/>
      <x:c r="U145"/>
      <x:c r="V145"/>
      <x:c r="W145"/>
      <x:c r="X145"/>
      <x:c r="Y145"/>
      <x:c r="Z145"/>
      <x:c r="AA145"/>
    </x:row>
    <x:row r="146">
      <x:c r="D146" s="582" t="str">
        <x:f>IF(C146="","",IF(UPPER(TRIM(B146))="PERUMAHAN",IFERROR(VLOOKUP(C146,PERUMAHAN!$A:$B,2,FALSE),"ID tidak ditemukan"),""))</x:f>
      </x:c>
      <x:c r="E146"/>
      <x:c r="F146"/>
      <x:c r="G146"/>
      <x:c r="H146"/>
      <x:c r="I146"/>
      <x:c r="J146"/>
      <x:c r="K146"/>
      <x:c r="L146"/>
      <x:c r="M146" s="205"/>
      <x:c r="N146"/>
      <x:c r="O146"/>
      <x:c r="Q146"/>
      <x:c r="R146"/>
      <x:c r="S146"/>
      <x:c r="T146"/>
      <x:c r="U146"/>
      <x:c r="V146"/>
      <x:c r="W146"/>
      <x:c r="X146"/>
      <x:c r="Y146"/>
      <x:c r="Z146"/>
      <x:c r="AA146"/>
    </x:row>
    <x:row r="147">
      <x:c r="D147" s="582" t="str">
        <x:f>IF(C147="","",IF(UPPER(TRIM(B147))="PERUMAHAN",IFERROR(VLOOKUP(C147,PERUMAHAN!$A:$B,2,FALSE),"ID tidak ditemukan"),""))</x:f>
      </x:c>
      <x:c r="E147"/>
      <x:c r="F147"/>
      <x:c r="G147"/>
      <x:c r="H147"/>
      <x:c r="I147"/>
      <x:c r="J147"/>
      <x:c r="K147"/>
      <x:c r="L147"/>
      <x:c r="M147" s="205"/>
      <x:c r="N147"/>
      <x:c r="O147"/>
      <x:c r="Q147"/>
      <x:c r="R147"/>
      <x:c r="S147"/>
      <x:c r="T147"/>
      <x:c r="U147"/>
      <x:c r="V147"/>
      <x:c r="W147"/>
      <x:c r="X147"/>
      <x:c r="Y147"/>
      <x:c r="Z147"/>
      <x:c r="AA147"/>
    </x:row>
    <x:row r="148">
      <x:c r="D148" s="582" t="str">
        <x:f>IF(C148="","",IF(UPPER(TRIM(B148))="PERUMAHAN",IFERROR(VLOOKUP(C148,PERUMAHAN!$A:$B,2,FALSE),"ID tidak ditemukan"),""))</x:f>
      </x:c>
      <x:c r="E148"/>
      <x:c r="F148"/>
      <x:c r="G148"/>
      <x:c r="H148"/>
      <x:c r="I148"/>
      <x:c r="J148"/>
      <x:c r="K148"/>
      <x:c r="L148"/>
      <x:c r="M148" s="205"/>
      <x:c r="N148"/>
      <x:c r="O148"/>
      <x:c r="Q148"/>
      <x:c r="R148"/>
      <x:c r="S148"/>
      <x:c r="T148"/>
      <x:c r="U148"/>
      <x:c r="V148"/>
      <x:c r="W148"/>
      <x:c r="X148"/>
      <x:c r="Y148"/>
      <x:c r="Z148"/>
      <x:c r="AA148"/>
    </x:row>
    <x:row r="149">
      <x:c r="D149" s="582" t="str">
        <x:f>IF(C149="","",IF(UPPER(TRIM(B149))="PERUMAHAN",IFERROR(VLOOKUP(C149,PERUMAHAN!$A:$B,2,FALSE),"ID tidak ditemukan"),""))</x:f>
      </x:c>
      <x:c r="E149"/>
      <x:c r="F149"/>
      <x:c r="G149"/>
      <x:c r="H149"/>
      <x:c r="I149"/>
      <x:c r="J149"/>
      <x:c r="K149"/>
      <x:c r="L149"/>
      <x:c r="M149" s="205"/>
      <x:c r="N149"/>
      <x:c r="O149"/>
      <x:c r="Q149"/>
      <x:c r="R149"/>
      <x:c r="S149"/>
      <x:c r="T149"/>
      <x:c r="U149"/>
      <x:c r="V149"/>
      <x:c r="W149"/>
      <x:c r="X149"/>
      <x:c r="Y149"/>
      <x:c r="Z149"/>
      <x:c r="AA149"/>
    </x:row>
    <x:row r="150">
      <x:c r="D150" s="582" t="str">
        <x:f>IF(C150="","",IF(UPPER(TRIM(B150))="PERUMAHAN",IFERROR(VLOOKUP(C150,PERUMAHAN!$A:$B,2,FALSE),"ID tidak ditemukan"),""))</x:f>
      </x:c>
      <x:c r="E150"/>
      <x:c r="F150"/>
      <x:c r="G150"/>
      <x:c r="H150"/>
      <x:c r="I150"/>
      <x:c r="J150"/>
      <x:c r="K150"/>
      <x:c r="L150"/>
      <x:c r="M150" s="205"/>
      <x:c r="N150"/>
      <x:c r="O150"/>
      <x:c r="Q150"/>
      <x:c r="R150"/>
      <x:c r="S150"/>
      <x:c r="T150"/>
      <x:c r="U150"/>
      <x:c r="V150"/>
      <x:c r="W150"/>
      <x:c r="X150"/>
      <x:c r="Y150"/>
      <x:c r="Z150"/>
      <x:c r="AA150"/>
    </x:row>
    <x:row r="151">
      <x:c r="D151" s="582" t="str">
        <x:f>IF(C151="","",IF(UPPER(TRIM(B151))="PERUMAHAN",IFERROR(VLOOKUP(C151,PERUMAHAN!$A:$B,2,FALSE),"ID tidak ditemukan"),""))</x:f>
      </x:c>
      <x:c r="E151"/>
      <x:c r="F151"/>
      <x:c r="G151"/>
      <x:c r="H151"/>
      <x:c r="I151"/>
      <x:c r="J151"/>
      <x:c r="K151"/>
      <x:c r="L151"/>
      <x:c r="M151" s="205"/>
      <x:c r="N151"/>
      <x:c r="O151"/>
      <x:c r="Q151"/>
      <x:c r="R151"/>
      <x:c r="S151"/>
      <x:c r="T151"/>
      <x:c r="U151"/>
      <x:c r="V151"/>
      <x:c r="W151"/>
      <x:c r="X151"/>
      <x:c r="Y151"/>
      <x:c r="Z151"/>
      <x:c r="AA151"/>
    </x:row>
    <x:row r="152">
      <x:c r="D152" s="582" t="str">
        <x:f>IF(C152="","",IF(UPPER(TRIM(B152))="PERUMAHAN",IFERROR(VLOOKUP(C152,PERUMAHAN!$A:$B,2,FALSE),"ID tidak ditemukan"),""))</x:f>
      </x:c>
      <x:c r="E152"/>
      <x:c r="F152"/>
      <x:c r="G152"/>
      <x:c r="H152"/>
      <x:c r="I152"/>
      <x:c r="J152"/>
      <x:c r="K152"/>
      <x:c r="L152"/>
      <x:c r="M152" s="205"/>
      <x:c r="N152"/>
      <x:c r="O152"/>
      <x:c r="Q152"/>
      <x:c r="R152"/>
      <x:c r="S152"/>
      <x:c r="T152"/>
      <x:c r="U152"/>
      <x:c r="V152"/>
      <x:c r="W152"/>
      <x:c r="X152"/>
      <x:c r="Y152"/>
      <x:c r="Z152"/>
      <x:c r="AA152"/>
    </x:row>
    <x:row r="153">
      <x:c r="D153" s="582" t="str">
        <x:f>IF(C153="","",IF(UPPER(TRIM(B153))="PERUMAHAN",IFERROR(VLOOKUP(C153,PERUMAHAN!$A:$B,2,FALSE),"ID tidak ditemukan"),""))</x:f>
      </x:c>
      <x:c r="E153"/>
      <x:c r="F153"/>
      <x:c r="G153"/>
      <x:c r="H153"/>
      <x:c r="I153"/>
      <x:c r="J153"/>
      <x:c r="K153"/>
      <x:c r="L153"/>
      <x:c r="M153" s="205"/>
      <x:c r="N153"/>
      <x:c r="O153"/>
      <x:c r="Q153"/>
      <x:c r="R153"/>
      <x:c r="S153"/>
      <x:c r="T153"/>
      <x:c r="U153"/>
      <x:c r="V153"/>
      <x:c r="W153"/>
      <x:c r="X153"/>
      <x:c r="Y153"/>
      <x:c r="Z153"/>
      <x:c r="AA153"/>
    </x:row>
    <x:row r="154">
      <x:c r="D154" s="582" t="str">
        <x:f>IF(C154="","",IF(UPPER(TRIM(B154))="PERUMAHAN",IFERROR(VLOOKUP(C154,PERUMAHAN!$A:$B,2,FALSE),"ID tidak ditemukan"),""))</x:f>
      </x:c>
      <x:c r="E154"/>
      <x:c r="F154"/>
      <x:c r="G154"/>
      <x:c r="H154"/>
      <x:c r="I154"/>
      <x:c r="J154"/>
      <x:c r="K154"/>
      <x:c r="L154"/>
      <x:c r="M154" s="205"/>
      <x:c r="N154"/>
      <x:c r="O154"/>
      <x:c r="Q154"/>
      <x:c r="R154"/>
      <x:c r="S154"/>
      <x:c r="T154"/>
      <x:c r="U154"/>
      <x:c r="V154"/>
      <x:c r="W154"/>
      <x:c r="X154"/>
      <x:c r="Y154"/>
      <x:c r="Z154"/>
      <x:c r="AA154"/>
    </x:row>
    <x:row r="155">
      <x:c r="D155" s="582" t="str">
        <x:f>IF(C155="","",IF(UPPER(TRIM(B155))="PERUMAHAN",IFERROR(VLOOKUP(C155,PERUMAHAN!$A:$B,2,FALSE),"ID tidak ditemukan"),""))</x:f>
      </x:c>
      <x:c r="E155"/>
      <x:c r="F155"/>
      <x:c r="G155"/>
      <x:c r="H155"/>
      <x:c r="I155"/>
      <x:c r="J155"/>
      <x:c r="K155"/>
      <x:c r="L155"/>
      <x:c r="M155" s="205"/>
      <x:c r="N155"/>
      <x:c r="O155"/>
      <x:c r="Q155"/>
      <x:c r="R155"/>
      <x:c r="S155"/>
      <x:c r="T155"/>
      <x:c r="U155"/>
      <x:c r="V155"/>
      <x:c r="W155"/>
      <x:c r="X155"/>
      <x:c r="Y155"/>
      <x:c r="Z155"/>
      <x:c r="AA155"/>
    </x:row>
    <x:row r="156">
      <x:c r="D156" s="582" t="str">
        <x:f>IF(C156="","",IF(UPPER(TRIM(B156))="PERUMAHAN",IFERROR(VLOOKUP(C156,PERUMAHAN!$A:$B,2,FALSE),"ID tidak ditemukan"),""))</x:f>
      </x:c>
      <x:c r="E156"/>
      <x:c r="F156"/>
      <x:c r="G156"/>
      <x:c r="H156"/>
      <x:c r="I156"/>
      <x:c r="J156"/>
      <x:c r="K156"/>
      <x:c r="L156"/>
      <x:c r="M156" s="205"/>
      <x:c r="N156"/>
      <x:c r="O156"/>
      <x:c r="Q156"/>
      <x:c r="R156"/>
      <x:c r="S156"/>
      <x:c r="T156"/>
      <x:c r="U156"/>
      <x:c r="V156"/>
      <x:c r="W156"/>
      <x:c r="X156"/>
      <x:c r="Y156"/>
      <x:c r="Z156"/>
      <x:c r="AA156"/>
    </x:row>
    <x:row r="157">
      <x:c r="D157" s="582" t="str">
        <x:f>IF(C157="","",IF(UPPER(TRIM(B157))="PERUMAHAN",IFERROR(VLOOKUP(C157,PERUMAHAN!$A:$B,2,FALSE),"ID tidak ditemukan"),""))</x:f>
      </x:c>
      <x:c r="E157"/>
      <x:c r="F157"/>
      <x:c r="G157"/>
      <x:c r="H157"/>
      <x:c r="I157"/>
      <x:c r="J157"/>
      <x:c r="K157"/>
      <x:c r="L157"/>
      <x:c r="M157" s="205"/>
      <x:c r="N157"/>
      <x:c r="O157"/>
      <x:c r="Q157"/>
      <x:c r="R157"/>
      <x:c r="S157"/>
      <x:c r="T157"/>
      <x:c r="U157"/>
      <x:c r="V157"/>
      <x:c r="W157"/>
      <x:c r="X157"/>
      <x:c r="Y157"/>
      <x:c r="Z157"/>
      <x:c r="AA157"/>
    </x:row>
    <x:row r="158">
      <x:c r="D158" s="582" t="str">
        <x:f>IF(C158="","",IF(UPPER(TRIM(B158))="PERUMAHAN",IFERROR(VLOOKUP(C158,PERUMAHAN!$A:$B,2,FALSE),"ID tidak ditemukan"),""))</x:f>
      </x:c>
      <x:c r="E158"/>
      <x:c r="F158"/>
      <x:c r="G158"/>
      <x:c r="H158"/>
      <x:c r="I158"/>
      <x:c r="J158"/>
      <x:c r="K158"/>
      <x:c r="L158"/>
      <x:c r="M158" s="205"/>
      <x:c r="N158"/>
      <x:c r="O158"/>
      <x:c r="Q158"/>
      <x:c r="R158"/>
      <x:c r="S158"/>
      <x:c r="T158"/>
      <x:c r="U158"/>
      <x:c r="V158"/>
      <x:c r="W158"/>
      <x:c r="X158"/>
      <x:c r="Y158"/>
      <x:c r="Z158"/>
      <x:c r="AA158"/>
    </x:row>
    <x:row r="159">
      <x:c r="D159" s="582" t="str">
        <x:f>IF(C159="","",IF(UPPER(TRIM(B159))="PERUMAHAN",IFERROR(VLOOKUP(C159,PERUMAHAN!$A:$B,2,FALSE),"ID tidak ditemukan"),""))</x:f>
      </x:c>
      <x:c r="E159"/>
      <x:c r="F159"/>
      <x:c r="G159"/>
      <x:c r="H159"/>
      <x:c r="I159"/>
      <x:c r="J159"/>
      <x:c r="K159"/>
      <x:c r="L159"/>
      <x:c r="M159" s="205"/>
      <x:c r="N159"/>
      <x:c r="O159"/>
      <x:c r="Q159"/>
      <x:c r="R159"/>
      <x:c r="S159"/>
      <x:c r="T159"/>
      <x:c r="U159"/>
      <x:c r="V159"/>
      <x:c r="W159"/>
      <x:c r="X159"/>
      <x:c r="Y159"/>
      <x:c r="Z159"/>
      <x:c r="AA159"/>
    </x:row>
    <x:row r="160">
      <x:c r="D160" s="582" t="str">
        <x:f>IF(C160="","",IF(UPPER(TRIM(B160))="PERUMAHAN",IFERROR(VLOOKUP(C160,PERUMAHAN!$A:$B,2,FALSE),"ID tidak ditemukan"),""))</x:f>
      </x:c>
      <x:c r="E160"/>
      <x:c r="F160"/>
      <x:c r="G160"/>
      <x:c r="H160"/>
      <x:c r="I160"/>
      <x:c r="J160"/>
      <x:c r="K160"/>
      <x:c r="L160"/>
      <x:c r="M160" s="205"/>
      <x:c r="N160"/>
      <x:c r="O160"/>
      <x:c r="Q160"/>
      <x:c r="R160"/>
      <x:c r="S160"/>
      <x:c r="T160"/>
      <x:c r="U160"/>
      <x:c r="V160"/>
      <x:c r="W160"/>
      <x:c r="X160"/>
      <x:c r="Y160"/>
      <x:c r="Z160"/>
      <x:c r="AA160"/>
    </x:row>
    <x:row r="161">
      <x:c r="D161" s="582" t="str">
        <x:f>IF(C161="","",IF(UPPER(TRIM(B161))="PERUMAHAN",IFERROR(VLOOKUP(C161,PERUMAHAN!$A:$B,2,FALSE),"ID tidak ditemukan"),""))</x:f>
      </x:c>
      <x:c r="E161"/>
      <x:c r="F161"/>
      <x:c r="G161"/>
      <x:c r="H161"/>
      <x:c r="I161"/>
      <x:c r="J161"/>
      <x:c r="K161"/>
      <x:c r="L161"/>
      <x:c r="M161" s="205"/>
      <x:c r="N161"/>
      <x:c r="O161"/>
      <x:c r="Q161"/>
      <x:c r="R161"/>
      <x:c r="S161"/>
      <x:c r="T161"/>
      <x:c r="U161"/>
      <x:c r="V161"/>
      <x:c r="W161"/>
      <x:c r="X161"/>
      <x:c r="Y161"/>
      <x:c r="Z161"/>
      <x:c r="AA161"/>
    </x:row>
    <x:row r="162">
      <x:c r="D162" s="582" t="str">
        <x:f>IF(C162="","",IF(UPPER(TRIM(B162))="PERUMAHAN",IFERROR(VLOOKUP(C162,PERUMAHAN!$A:$B,2,FALSE),"ID tidak ditemukan"),""))</x:f>
      </x:c>
      <x:c r="E162"/>
      <x:c r="F162"/>
      <x:c r="G162"/>
      <x:c r="H162"/>
      <x:c r="I162"/>
      <x:c r="J162"/>
      <x:c r="K162"/>
      <x:c r="L162"/>
      <x:c r="M162" s="205"/>
      <x:c r="N162"/>
      <x:c r="O162"/>
      <x:c r="Q162"/>
      <x:c r="R162"/>
      <x:c r="S162"/>
      <x:c r="T162"/>
      <x:c r="U162"/>
      <x:c r="V162"/>
      <x:c r="W162"/>
      <x:c r="X162"/>
      <x:c r="Y162"/>
      <x:c r="Z162"/>
      <x:c r="AA162"/>
    </x:row>
    <x:row r="163">
      <x:c r="D163" s="582" t="str">
        <x:f>IF(C163="","",IF(UPPER(TRIM(B163))="PERUMAHAN",IFERROR(VLOOKUP(C163,PERUMAHAN!$A:$B,2,FALSE),"ID tidak ditemukan"),""))</x:f>
      </x:c>
      <x:c r="E163"/>
      <x:c r="F163"/>
      <x:c r="G163"/>
      <x:c r="H163"/>
      <x:c r="I163"/>
      <x:c r="J163"/>
      <x:c r="K163"/>
      <x:c r="L163"/>
      <x:c r="M163" s="205"/>
      <x:c r="N163"/>
      <x:c r="O163"/>
      <x:c r="Q163"/>
      <x:c r="R163"/>
      <x:c r="S163"/>
      <x:c r="T163"/>
      <x:c r="U163"/>
      <x:c r="V163"/>
      <x:c r="W163"/>
      <x:c r="X163"/>
      <x:c r="Y163"/>
      <x:c r="Z163"/>
      <x:c r="AA163"/>
    </x:row>
    <x:row r="164">
      <x:c r="D164" s="582" t="str">
        <x:f>IF(C164="","",IF(UPPER(TRIM(B164))="PERUMAHAN",IFERROR(VLOOKUP(C164,PERUMAHAN!$A:$B,2,FALSE),"ID tidak ditemukan"),""))</x:f>
      </x:c>
      <x:c r="E164"/>
      <x:c r="F164"/>
      <x:c r="G164"/>
      <x:c r="H164"/>
      <x:c r="I164"/>
      <x:c r="J164"/>
      <x:c r="K164"/>
      <x:c r="L164"/>
      <x:c r="M164" s="205"/>
      <x:c r="N164"/>
      <x:c r="O164"/>
      <x:c r="Q164"/>
      <x:c r="R164"/>
      <x:c r="S164"/>
      <x:c r="T164"/>
      <x:c r="U164"/>
      <x:c r="V164"/>
      <x:c r="W164"/>
      <x:c r="X164"/>
      <x:c r="Y164"/>
      <x:c r="Z164"/>
      <x:c r="AA164"/>
    </x:row>
    <x:row r="165">
      <x:c r="D165" s="582" t="str">
        <x:f>IF(C165="","",IF(UPPER(TRIM(B165))="PERUMAHAN",IFERROR(VLOOKUP(C165,PERUMAHAN!$A:$B,2,FALSE),"ID tidak ditemukan"),""))</x:f>
      </x:c>
      <x:c r="E165"/>
      <x:c r="F165"/>
      <x:c r="G165"/>
      <x:c r="H165"/>
      <x:c r="I165"/>
      <x:c r="J165"/>
      <x:c r="K165"/>
      <x:c r="L165"/>
      <x:c r="M165" s="205"/>
      <x:c r="N165"/>
      <x:c r="O165"/>
      <x:c r="Q165"/>
      <x:c r="R165"/>
      <x:c r="S165"/>
      <x:c r="T165"/>
      <x:c r="U165"/>
      <x:c r="V165"/>
      <x:c r="W165"/>
      <x:c r="X165"/>
      <x:c r="Y165"/>
      <x:c r="Z165"/>
      <x:c r="AA165"/>
    </x:row>
    <x:row r="166">
      <x:c r="D166" s="582" t="str">
        <x:f>IF(C166="","",IF(UPPER(TRIM(B166))="PERUMAHAN",IFERROR(VLOOKUP(C166,PERUMAHAN!$A:$B,2,FALSE),"ID tidak ditemukan"),""))</x:f>
      </x:c>
      <x:c r="E166"/>
      <x:c r="F166"/>
      <x:c r="G166"/>
      <x:c r="H166"/>
      <x:c r="I166"/>
      <x:c r="J166"/>
      <x:c r="K166"/>
      <x:c r="L166"/>
      <x:c r="M166" s="205"/>
      <x:c r="N166"/>
      <x:c r="O166"/>
      <x:c r="Q166"/>
      <x:c r="R166"/>
      <x:c r="S166"/>
      <x:c r="T166"/>
      <x:c r="U166"/>
      <x:c r="V166"/>
      <x:c r="W166"/>
      <x:c r="X166"/>
      <x:c r="Y166"/>
      <x:c r="Z166"/>
      <x:c r="AA166"/>
    </x:row>
    <x:row r="167">
      <x:c r="D167" s="582" t="str">
        <x:f>IF(C167="","",IF(UPPER(TRIM(B167))="PERUMAHAN",IFERROR(VLOOKUP(C167,PERUMAHAN!$A:$B,2,FALSE),"ID tidak ditemukan"),""))</x:f>
      </x:c>
      <x:c r="E167"/>
      <x:c r="F167"/>
      <x:c r="G167"/>
      <x:c r="H167"/>
      <x:c r="I167"/>
      <x:c r="J167"/>
      <x:c r="K167"/>
      <x:c r="L167"/>
      <x:c r="M167" s="205"/>
      <x:c r="N167"/>
      <x:c r="O167"/>
      <x:c r="Q167"/>
      <x:c r="R167"/>
      <x:c r="S167"/>
      <x:c r="T167"/>
      <x:c r="U167"/>
      <x:c r="V167"/>
      <x:c r="W167"/>
      <x:c r="X167"/>
      <x:c r="Y167"/>
      <x:c r="Z167"/>
      <x:c r="AA167"/>
    </x:row>
    <x:row r="168">
      <x:c r="D168" s="582" t="str">
        <x:f>IF(C168="","",IF(UPPER(TRIM(B168))="PERUMAHAN",IFERROR(VLOOKUP(C168,PERUMAHAN!$A:$B,2,FALSE),"ID tidak ditemukan"),""))</x:f>
      </x:c>
      <x:c r="E168"/>
      <x:c r="F168"/>
      <x:c r="G168"/>
      <x:c r="H168"/>
      <x:c r="I168"/>
      <x:c r="J168"/>
      <x:c r="K168"/>
      <x:c r="L168"/>
      <x:c r="M168" s="205"/>
      <x:c r="N168"/>
      <x:c r="O168"/>
      <x:c r="Q168"/>
      <x:c r="R168"/>
      <x:c r="S168"/>
      <x:c r="T168"/>
      <x:c r="U168"/>
      <x:c r="V168"/>
      <x:c r="W168"/>
      <x:c r="X168"/>
      <x:c r="Y168"/>
      <x:c r="Z168"/>
      <x:c r="AA168"/>
    </x:row>
    <x:row r="169">
      <x:c r="D169" s="582" t="str">
        <x:f>IF(C169="","",IF(UPPER(TRIM(B169))="PERUMAHAN",IFERROR(VLOOKUP(C169,PERUMAHAN!$A:$B,2,FALSE),"ID tidak ditemukan"),""))</x:f>
      </x:c>
      <x:c r="E169"/>
      <x:c r="F169"/>
      <x:c r="G169"/>
      <x:c r="H169"/>
      <x:c r="I169"/>
      <x:c r="J169"/>
      <x:c r="K169"/>
      <x:c r="L169"/>
      <x:c r="M169" s="205"/>
      <x:c r="N169"/>
      <x:c r="O169"/>
      <x:c r="Q169"/>
      <x:c r="R169"/>
      <x:c r="S169"/>
      <x:c r="T169"/>
      <x:c r="U169"/>
      <x:c r="V169"/>
      <x:c r="W169"/>
      <x:c r="X169"/>
      <x:c r="Y169"/>
      <x:c r="Z169"/>
      <x:c r="AA169"/>
    </x:row>
    <x:row r="170">
      <x:c r="D170" s="582" t="str">
        <x:f>IF(C170="","",IF(UPPER(TRIM(B170))="PERUMAHAN",IFERROR(VLOOKUP(C170,PERUMAHAN!$A:$B,2,FALSE),"ID tidak ditemukan"),""))</x:f>
      </x:c>
      <x:c r="E170"/>
      <x:c r="F170"/>
      <x:c r="G170"/>
      <x:c r="H170"/>
      <x:c r="I170"/>
      <x:c r="J170"/>
      <x:c r="K170"/>
      <x:c r="L170"/>
      <x:c r="M170" s="205"/>
      <x:c r="N170"/>
      <x:c r="O170"/>
      <x:c r="Q170"/>
      <x:c r="R170"/>
      <x:c r="S170"/>
      <x:c r="T170"/>
      <x:c r="U170"/>
      <x:c r="V170"/>
      <x:c r="W170"/>
      <x:c r="X170"/>
      <x:c r="Y170"/>
      <x:c r="Z170"/>
      <x:c r="AA170"/>
    </x:row>
    <x:row r="171">
      <x:c r="D171" s="582" t="str">
        <x:f>IF(C171="","",IF(UPPER(TRIM(B171))="PERUMAHAN",IFERROR(VLOOKUP(C171,PERUMAHAN!$A:$B,2,FALSE),"ID tidak ditemukan"),""))</x:f>
      </x:c>
      <x:c r="E171"/>
      <x:c r="F171"/>
      <x:c r="G171"/>
      <x:c r="H171"/>
      <x:c r="I171"/>
      <x:c r="J171"/>
      <x:c r="K171"/>
      <x:c r="L171"/>
      <x:c r="M171" s="205"/>
      <x:c r="N171"/>
      <x:c r="O171"/>
      <x:c r="Q171"/>
      <x:c r="R171"/>
      <x:c r="S171"/>
      <x:c r="T171"/>
      <x:c r="U171"/>
      <x:c r="V171"/>
      <x:c r="W171"/>
      <x:c r="X171"/>
      <x:c r="Y171"/>
      <x:c r="Z171"/>
      <x:c r="AA171"/>
    </x:row>
    <x:row r="172">
      <x:c r="D172" s="582" t="str">
        <x:f>IF(C172="","",IF(UPPER(TRIM(B172))="PERUMAHAN",IFERROR(VLOOKUP(C172,PERUMAHAN!$A:$B,2,FALSE),"ID tidak ditemukan"),""))</x:f>
      </x:c>
      <x:c r="E172"/>
      <x:c r="F172"/>
      <x:c r="G172"/>
      <x:c r="H172"/>
      <x:c r="I172"/>
      <x:c r="J172"/>
      <x:c r="K172"/>
      <x:c r="L172"/>
      <x:c r="M172" s="205"/>
      <x:c r="N172"/>
      <x:c r="O172"/>
      <x:c r="Q172"/>
      <x:c r="R172"/>
      <x:c r="S172"/>
      <x:c r="T172"/>
      <x:c r="U172"/>
      <x:c r="V172"/>
      <x:c r="W172"/>
      <x:c r="X172"/>
      <x:c r="Y172"/>
      <x:c r="Z172"/>
      <x:c r="AA172"/>
    </x:row>
    <x:row r="173">
      <x:c r="D173" s="582" t="str">
        <x:f>IF(C173="","",IF(UPPER(TRIM(B173))="PERUMAHAN",IFERROR(VLOOKUP(C173,PERUMAHAN!$A:$B,2,FALSE),"ID tidak ditemukan"),""))</x:f>
      </x:c>
      <x:c r="E173"/>
      <x:c r="F173"/>
      <x:c r="G173"/>
      <x:c r="H173"/>
      <x:c r="I173"/>
      <x:c r="J173"/>
      <x:c r="K173"/>
      <x:c r="L173"/>
      <x:c r="M173" s="205"/>
      <x:c r="N173"/>
      <x:c r="O173"/>
      <x:c r="Q173"/>
      <x:c r="R173"/>
      <x:c r="S173"/>
      <x:c r="T173"/>
      <x:c r="U173"/>
      <x:c r="V173"/>
      <x:c r="W173"/>
      <x:c r="X173"/>
      <x:c r="Y173"/>
      <x:c r="Z173"/>
      <x:c r="AA173"/>
    </x:row>
    <x:row r="174">
      <x:c r="D174" s="582" t="str">
        <x:f>IF(C174="","",IF(UPPER(TRIM(B174))="PERUMAHAN",IFERROR(VLOOKUP(C174,PERUMAHAN!$A:$B,2,FALSE),"ID tidak ditemukan"),""))</x:f>
      </x:c>
      <x:c r="E174"/>
      <x:c r="F174"/>
      <x:c r="G174"/>
      <x:c r="H174"/>
      <x:c r="I174"/>
      <x:c r="J174"/>
      <x:c r="K174"/>
      <x:c r="L174"/>
      <x:c r="M174" s="205"/>
      <x:c r="N174"/>
      <x:c r="O174"/>
      <x:c r="Q174"/>
      <x:c r="R174"/>
      <x:c r="S174"/>
      <x:c r="T174"/>
      <x:c r="U174"/>
      <x:c r="V174"/>
      <x:c r="W174"/>
      <x:c r="X174"/>
      <x:c r="Y174"/>
      <x:c r="Z174"/>
      <x:c r="AA174"/>
    </x:row>
    <x:row r="175">
      <x:c r="D175" s="582" t="str">
        <x:f>IF(C175="","",IF(UPPER(TRIM(B175))="PERUMAHAN",IFERROR(VLOOKUP(C175,PERUMAHAN!$A:$B,2,FALSE),"ID tidak ditemukan"),""))</x:f>
      </x:c>
      <x:c r="E175"/>
      <x:c r="F175"/>
      <x:c r="G175"/>
      <x:c r="H175"/>
      <x:c r="I175"/>
      <x:c r="J175"/>
      <x:c r="K175"/>
      <x:c r="L175"/>
      <x:c r="M175" s="205"/>
      <x:c r="N175"/>
      <x:c r="O175"/>
      <x:c r="Q175"/>
      <x:c r="R175"/>
      <x:c r="S175"/>
      <x:c r="T175"/>
      <x:c r="U175"/>
      <x:c r="V175"/>
      <x:c r="W175"/>
      <x:c r="X175"/>
      <x:c r="Y175"/>
      <x:c r="Z175"/>
      <x:c r="AA175"/>
    </x:row>
    <x:row r="176">
      <x:c r="D176" s="582" t="str">
        <x:f>IF(C176="","",IF(UPPER(TRIM(B176))="PERUMAHAN",IFERROR(VLOOKUP(C176,PERUMAHAN!$A:$B,2,FALSE),"ID tidak ditemukan"),""))</x:f>
      </x:c>
      <x:c r="E176"/>
      <x:c r="F176"/>
      <x:c r="G176"/>
      <x:c r="H176"/>
      <x:c r="I176"/>
      <x:c r="J176"/>
      <x:c r="K176"/>
      <x:c r="L176"/>
      <x:c r="M176" s="205"/>
      <x:c r="N176"/>
      <x:c r="O176"/>
      <x:c r="Q176"/>
      <x:c r="R176"/>
      <x:c r="S176"/>
      <x:c r="T176"/>
      <x:c r="U176"/>
      <x:c r="V176"/>
      <x:c r="W176"/>
      <x:c r="X176"/>
      <x:c r="Y176"/>
      <x:c r="Z176"/>
      <x:c r="AA176"/>
    </x:row>
    <x:row r="177">
      <x:c r="D177" s="582" t="str">
        <x:f>IF(C177="","",IF(UPPER(TRIM(B177))="PERUMAHAN",IFERROR(VLOOKUP(C177,PERUMAHAN!$A:$B,2,FALSE),"ID tidak ditemukan"),""))</x:f>
      </x:c>
      <x:c r="E177"/>
      <x:c r="F177"/>
      <x:c r="G177"/>
      <x:c r="H177"/>
      <x:c r="I177"/>
      <x:c r="J177"/>
      <x:c r="K177"/>
      <x:c r="L177"/>
      <x:c r="M177" s="205"/>
      <x:c r="N177"/>
      <x:c r="O177"/>
      <x:c r="Q177"/>
      <x:c r="R177"/>
      <x:c r="S177"/>
      <x:c r="T177"/>
      <x:c r="U177"/>
      <x:c r="V177"/>
      <x:c r="W177"/>
      <x:c r="X177"/>
      <x:c r="Y177"/>
      <x:c r="Z177"/>
      <x:c r="AA177"/>
    </x:row>
    <x:row r="178">
      <x:c r="D178" s="582" t="str">
        <x:f>IF(C178="","",IF(UPPER(TRIM(B178))="PERUMAHAN",IFERROR(VLOOKUP(C178,PERUMAHAN!$A:$B,2,FALSE),"ID tidak ditemukan"),""))</x:f>
      </x:c>
      <x:c r="E178"/>
      <x:c r="F178"/>
      <x:c r="G178"/>
      <x:c r="H178"/>
      <x:c r="I178"/>
      <x:c r="J178"/>
      <x:c r="K178"/>
      <x:c r="L178"/>
      <x:c r="M178" s="205"/>
      <x:c r="N178"/>
      <x:c r="O178"/>
      <x:c r="Q178"/>
      <x:c r="R178"/>
      <x:c r="S178"/>
      <x:c r="T178"/>
      <x:c r="U178"/>
      <x:c r="V178"/>
      <x:c r="W178"/>
      <x:c r="X178"/>
      <x:c r="Y178"/>
      <x:c r="Z178"/>
      <x:c r="AA178"/>
    </x:row>
    <x:row r="179">
      <x:c r="D179" s="582" t="str">
        <x:f>IF(C179="","",IF(UPPER(TRIM(B179))="PERUMAHAN",IFERROR(VLOOKUP(C179,PERUMAHAN!$A:$B,2,FALSE),"ID tidak ditemukan"),""))</x:f>
      </x:c>
      <x:c r="E179"/>
      <x:c r="F179"/>
      <x:c r="G179"/>
      <x:c r="H179"/>
      <x:c r="I179"/>
      <x:c r="J179"/>
      <x:c r="K179"/>
      <x:c r="L179"/>
      <x:c r="M179" s="205"/>
      <x:c r="N179"/>
      <x:c r="O179"/>
      <x:c r="Q179"/>
      <x:c r="R179"/>
      <x:c r="S179"/>
      <x:c r="T179"/>
      <x:c r="U179"/>
      <x:c r="V179"/>
      <x:c r="W179"/>
      <x:c r="X179"/>
      <x:c r="Y179"/>
      <x:c r="Z179"/>
      <x:c r="AA179"/>
    </x:row>
    <x:row r="180">
      <x:c r="D180" s="582" t="str">
        <x:f>IF(C180="","",IF(UPPER(TRIM(B180))="PERUMAHAN",IFERROR(VLOOKUP(C180,PERUMAHAN!$A:$B,2,FALSE),"ID tidak ditemukan"),""))</x:f>
      </x:c>
      <x:c r="E180"/>
      <x:c r="F180"/>
      <x:c r="G180"/>
      <x:c r="H180"/>
      <x:c r="I180"/>
      <x:c r="J180"/>
      <x:c r="K180"/>
      <x:c r="L180"/>
      <x:c r="M180" s="205"/>
      <x:c r="N180"/>
      <x:c r="O180"/>
      <x:c r="Q180"/>
      <x:c r="R180"/>
      <x:c r="S180"/>
      <x:c r="T180"/>
      <x:c r="U180"/>
      <x:c r="V180"/>
      <x:c r="W180"/>
      <x:c r="X180"/>
      <x:c r="Y180"/>
      <x:c r="Z180"/>
      <x:c r="AA180"/>
    </x:row>
    <x:row r="181">
      <x:c r="D181" s="582" t="str">
        <x:f>IF(C181="","",IF(UPPER(TRIM(B181))="PERUMAHAN",IFERROR(VLOOKUP(C181,PERUMAHAN!$A:$B,2,FALSE),"ID tidak ditemukan"),""))</x:f>
      </x:c>
      <x:c r="E181"/>
      <x:c r="F181"/>
      <x:c r="G181"/>
      <x:c r="H181"/>
      <x:c r="I181"/>
      <x:c r="J181"/>
      <x:c r="K181"/>
      <x:c r="L181"/>
      <x:c r="M181" s="205"/>
      <x:c r="N181"/>
      <x:c r="O181"/>
      <x:c r="Q181"/>
      <x:c r="R181"/>
      <x:c r="S181"/>
      <x:c r="T181"/>
      <x:c r="U181"/>
      <x:c r="V181"/>
      <x:c r="W181"/>
      <x:c r="X181"/>
      <x:c r="Y181"/>
      <x:c r="Z181"/>
      <x:c r="AA181"/>
    </x:row>
    <x:row r="182">
      <x:c r="D182" s="582" t="str">
        <x:f>IF(C182="","",IF(UPPER(TRIM(B182))="PERUMAHAN",IFERROR(VLOOKUP(C182,PERUMAHAN!$A:$B,2,FALSE),"ID tidak ditemukan"),""))</x:f>
      </x:c>
      <x:c r="E182"/>
      <x:c r="F182"/>
      <x:c r="G182"/>
      <x:c r="H182"/>
      <x:c r="I182"/>
      <x:c r="J182"/>
      <x:c r="K182"/>
      <x:c r="L182"/>
      <x:c r="M182" s="205"/>
      <x:c r="N182"/>
      <x:c r="O182"/>
      <x:c r="Q182"/>
      <x:c r="R182"/>
      <x:c r="S182"/>
      <x:c r="T182"/>
      <x:c r="U182"/>
      <x:c r="V182"/>
      <x:c r="W182"/>
      <x:c r="X182"/>
      <x:c r="Y182"/>
      <x:c r="Z182"/>
      <x:c r="AA182"/>
    </x:row>
    <x:row r="183">
      <x:c r="D183" s="582" t="str">
        <x:f>IF(C183="","",IF(UPPER(TRIM(B183))="PERUMAHAN",IFERROR(VLOOKUP(C183,PERUMAHAN!$A:$B,2,FALSE),"ID tidak ditemukan"),""))</x:f>
      </x:c>
      <x:c r="E183"/>
      <x:c r="F183"/>
      <x:c r="G183"/>
      <x:c r="H183"/>
      <x:c r="I183"/>
      <x:c r="J183"/>
      <x:c r="K183"/>
      <x:c r="L183"/>
      <x:c r="M183" s="205"/>
      <x:c r="N183"/>
      <x:c r="O183"/>
      <x:c r="Q183"/>
      <x:c r="R183"/>
      <x:c r="S183"/>
      <x:c r="T183"/>
      <x:c r="U183"/>
      <x:c r="V183"/>
      <x:c r="W183"/>
      <x:c r="X183"/>
      <x:c r="Y183"/>
      <x:c r="Z183"/>
      <x:c r="AA183"/>
    </x:row>
    <x:row r="184">
      <x:c r="D184" s="582" t="str">
        <x:f>IF(C184="","",IF(UPPER(TRIM(B184))="PERUMAHAN",IFERROR(VLOOKUP(C184,PERUMAHAN!$A:$B,2,FALSE),"ID tidak ditemukan"),""))</x:f>
      </x:c>
      <x:c r="E184"/>
      <x:c r="F184"/>
      <x:c r="G184"/>
      <x:c r="H184"/>
      <x:c r="I184"/>
      <x:c r="J184"/>
      <x:c r="K184"/>
      <x:c r="L184"/>
      <x:c r="M184" s="205"/>
      <x:c r="N184"/>
      <x:c r="O184"/>
      <x:c r="Q184"/>
      <x:c r="R184"/>
      <x:c r="S184"/>
      <x:c r="T184"/>
      <x:c r="U184"/>
      <x:c r="V184"/>
      <x:c r="W184"/>
      <x:c r="X184"/>
      <x:c r="Y184"/>
      <x:c r="Z184"/>
      <x:c r="AA184"/>
    </x:row>
    <x:row r="185">
      <x:c r="D185" s="582" t="str">
        <x:f>IF(C185="","",IF(UPPER(TRIM(B185))="PERUMAHAN",IFERROR(VLOOKUP(C185,PERUMAHAN!$A:$B,2,FALSE),"ID tidak ditemukan"),""))</x:f>
      </x:c>
      <x:c r="E185"/>
      <x:c r="F185"/>
      <x:c r="G185"/>
      <x:c r="H185"/>
      <x:c r="I185"/>
      <x:c r="J185"/>
      <x:c r="K185"/>
      <x:c r="L185"/>
      <x:c r="M185" s="205"/>
      <x:c r="N185"/>
      <x:c r="O185"/>
      <x:c r="Q185"/>
      <x:c r="R185"/>
      <x:c r="S185"/>
      <x:c r="T185"/>
      <x:c r="U185"/>
      <x:c r="V185"/>
      <x:c r="W185"/>
      <x:c r="X185"/>
      <x:c r="Y185"/>
      <x:c r="Z185"/>
      <x:c r="AA185"/>
    </x:row>
    <x:row r="186">
      <x:c r="D186" s="582" t="str">
        <x:f>IF(C186="","",IF(UPPER(TRIM(B186))="PERUMAHAN",IFERROR(VLOOKUP(C186,PERUMAHAN!$A:$B,2,FALSE),"ID tidak ditemukan"),""))</x:f>
      </x:c>
      <x:c r="E186"/>
      <x:c r="F186"/>
      <x:c r="G186"/>
      <x:c r="H186"/>
      <x:c r="I186"/>
      <x:c r="J186"/>
      <x:c r="K186"/>
      <x:c r="L186"/>
      <x:c r="M186" s="205"/>
      <x:c r="N186"/>
      <x:c r="O186"/>
      <x:c r="Q186"/>
      <x:c r="R186"/>
      <x:c r="S186"/>
      <x:c r="T186"/>
      <x:c r="U186"/>
      <x:c r="V186"/>
      <x:c r="W186"/>
      <x:c r="X186"/>
      <x:c r="Y186"/>
      <x:c r="Z186"/>
      <x:c r="AA186"/>
    </x:row>
    <x:row r="187">
      <x:c r="D187" s="582" t="str">
        <x:f>IF(C187="","",IF(UPPER(TRIM(B187))="PERUMAHAN",IFERROR(VLOOKUP(C187,PERUMAHAN!$A:$B,2,FALSE),"ID tidak ditemukan"),""))</x:f>
      </x:c>
      <x:c r="E187"/>
      <x:c r="F187"/>
      <x:c r="G187"/>
      <x:c r="H187"/>
      <x:c r="I187"/>
      <x:c r="J187"/>
      <x:c r="K187"/>
      <x:c r="L187"/>
      <x:c r="M187" s="205"/>
      <x:c r="N187"/>
      <x:c r="O187"/>
      <x:c r="Q187"/>
      <x:c r="R187"/>
      <x:c r="S187"/>
      <x:c r="T187"/>
      <x:c r="U187"/>
      <x:c r="V187"/>
      <x:c r="W187"/>
      <x:c r="X187"/>
      <x:c r="Y187"/>
      <x:c r="Z187"/>
      <x:c r="AA187"/>
    </x:row>
    <x:row r="188">
      <x:c r="D188" s="582" t="str">
        <x:f>IF(C188="","",IF(UPPER(TRIM(B188))="PERUMAHAN",IFERROR(VLOOKUP(C188,PERUMAHAN!$A:$B,2,FALSE),"ID tidak ditemukan"),""))</x:f>
      </x:c>
      <x:c r="E188"/>
      <x:c r="F188"/>
      <x:c r="G188"/>
      <x:c r="H188"/>
      <x:c r="I188"/>
      <x:c r="J188"/>
      <x:c r="K188"/>
      <x:c r="L188"/>
      <x:c r="M188" s="205"/>
      <x:c r="N188"/>
      <x:c r="O188"/>
      <x:c r="Q188"/>
      <x:c r="R188"/>
      <x:c r="S188"/>
      <x:c r="T188"/>
      <x:c r="U188"/>
      <x:c r="V188"/>
      <x:c r="W188"/>
      <x:c r="X188"/>
      <x:c r="Y188"/>
      <x:c r="Z188"/>
      <x:c r="AA188"/>
    </x:row>
    <x:row r="189">
      <x:c r="D189" s="582" t="str">
        <x:f>IF(C189="","",IF(UPPER(TRIM(B189))="PERUMAHAN",IFERROR(VLOOKUP(C189,PERUMAHAN!$A:$B,2,FALSE),"ID tidak ditemukan"),""))</x:f>
      </x:c>
      <x:c r="E189"/>
      <x:c r="F189"/>
      <x:c r="G189"/>
      <x:c r="H189"/>
      <x:c r="I189"/>
      <x:c r="J189"/>
      <x:c r="K189"/>
      <x:c r="L189"/>
      <x:c r="M189" s="205"/>
      <x:c r="N189"/>
      <x:c r="O189"/>
      <x:c r="Q189"/>
      <x:c r="R189"/>
      <x:c r="S189"/>
      <x:c r="T189"/>
      <x:c r="U189"/>
      <x:c r="V189"/>
      <x:c r="W189"/>
      <x:c r="X189"/>
      <x:c r="Y189"/>
      <x:c r="Z189"/>
      <x:c r="AA189"/>
    </x:row>
    <x:row r="190">
      <x:c r="D190" s="582" t="str">
        <x:f>IF(C190="","",IF(UPPER(TRIM(B190))="PERUMAHAN",IFERROR(VLOOKUP(C190,PERUMAHAN!$A:$B,2,FALSE),"ID tidak ditemukan"),""))</x:f>
      </x:c>
      <x:c r="E190"/>
      <x:c r="F190"/>
      <x:c r="G190"/>
      <x:c r="H190"/>
      <x:c r="I190"/>
      <x:c r="J190"/>
      <x:c r="K190"/>
      <x:c r="L190"/>
      <x:c r="M190" s="205"/>
      <x:c r="N190"/>
      <x:c r="O190"/>
      <x:c r="Q190"/>
      <x:c r="R190"/>
      <x:c r="S190"/>
      <x:c r="T190"/>
      <x:c r="U190"/>
      <x:c r="V190"/>
      <x:c r="W190"/>
      <x:c r="X190"/>
      <x:c r="Y190"/>
      <x:c r="Z190"/>
      <x:c r="AA190"/>
    </x:row>
    <x:row r="191">
      <x:c r="D191" s="582" t="str">
        <x:f>IF(C191="","",IF(UPPER(TRIM(B191))="PERUMAHAN",IFERROR(VLOOKUP(C191,PERUMAHAN!$A:$B,2,FALSE),"ID tidak ditemukan"),""))</x:f>
      </x:c>
      <x:c r="E191"/>
      <x:c r="F191"/>
      <x:c r="G191"/>
      <x:c r="H191"/>
      <x:c r="I191"/>
      <x:c r="J191"/>
      <x:c r="K191"/>
      <x:c r="L191"/>
      <x:c r="M191" s="205"/>
      <x:c r="N191"/>
      <x:c r="O191"/>
      <x:c r="Q191"/>
      <x:c r="R191"/>
      <x:c r="S191"/>
      <x:c r="T191"/>
      <x:c r="U191"/>
      <x:c r="V191"/>
      <x:c r="W191"/>
      <x:c r="X191"/>
      <x:c r="Y191"/>
      <x:c r="Z191"/>
      <x:c r="AA191"/>
    </x:row>
    <x:row r="192">
      <x:c r="D192" s="582" t="str">
        <x:f>IF(C192="","",IF(UPPER(TRIM(B192))="PERUMAHAN",IFERROR(VLOOKUP(C192,PERUMAHAN!$A:$B,2,FALSE),"ID tidak ditemukan"),""))</x:f>
      </x:c>
      <x:c r="E192"/>
      <x:c r="F192"/>
      <x:c r="G192"/>
      <x:c r="H192"/>
      <x:c r="I192"/>
      <x:c r="J192"/>
      <x:c r="K192"/>
      <x:c r="L192"/>
      <x:c r="M192" s="205"/>
      <x:c r="N192"/>
      <x:c r="O192"/>
      <x:c r="Q192"/>
      <x:c r="R192"/>
      <x:c r="S192"/>
      <x:c r="T192"/>
      <x:c r="U192"/>
      <x:c r="V192"/>
      <x:c r="W192"/>
      <x:c r="X192"/>
      <x:c r="Y192"/>
      <x:c r="Z192"/>
      <x:c r="AA192"/>
    </x:row>
    <x:row r="193">
      <x:c r="D193" s="582" t="str">
        <x:f>IF(C193="","",IF(UPPER(TRIM(B193))="PERUMAHAN",IFERROR(VLOOKUP(C193,PERUMAHAN!$A:$B,2,FALSE),"ID tidak ditemukan"),""))</x:f>
      </x:c>
      <x:c r="E193"/>
      <x:c r="F193"/>
      <x:c r="G193"/>
      <x:c r="H193"/>
      <x:c r="I193"/>
      <x:c r="J193"/>
      <x:c r="K193"/>
      <x:c r="L193"/>
      <x:c r="M193" s="205"/>
      <x:c r="N193"/>
      <x:c r="O193"/>
      <x:c r="Q193"/>
      <x:c r="R193"/>
      <x:c r="S193"/>
      <x:c r="T193"/>
      <x:c r="U193"/>
      <x:c r="V193"/>
      <x:c r="W193"/>
      <x:c r="X193"/>
      <x:c r="Y193"/>
      <x:c r="Z193"/>
      <x:c r="AA193"/>
    </x:row>
    <x:row r="194">
      <x:c r="D194" s="582" t="str">
        <x:f>IF(C194="","",IF(UPPER(TRIM(B194))="PERUMAHAN",IFERROR(VLOOKUP(C194,PERUMAHAN!$A:$B,2,FALSE),"ID tidak ditemukan"),""))</x:f>
      </x:c>
      <x:c r="E194"/>
      <x:c r="F194"/>
      <x:c r="G194"/>
      <x:c r="H194"/>
      <x:c r="I194"/>
      <x:c r="J194"/>
      <x:c r="K194"/>
      <x:c r="L194"/>
      <x:c r="M194" s="205"/>
      <x:c r="N194"/>
      <x:c r="O194"/>
      <x:c r="Q194"/>
      <x:c r="R194"/>
      <x:c r="S194"/>
      <x:c r="T194"/>
      <x:c r="U194"/>
      <x:c r="V194"/>
      <x:c r="W194"/>
      <x:c r="X194"/>
      <x:c r="Y194"/>
      <x:c r="Z194"/>
      <x:c r="AA194"/>
    </x:row>
    <x:row r="195">
      <x:c r="D195" s="582" t="str">
        <x:f>IF(C195="","",IF(UPPER(TRIM(B195))="PERUMAHAN",IFERROR(VLOOKUP(C195,PERUMAHAN!$A:$B,2,FALSE),"ID tidak ditemukan"),""))</x:f>
      </x:c>
      <x:c r="E195"/>
      <x:c r="F195"/>
      <x:c r="G195"/>
      <x:c r="H195"/>
      <x:c r="I195"/>
      <x:c r="J195"/>
      <x:c r="K195"/>
      <x:c r="L195"/>
      <x:c r="M195" s="205"/>
      <x:c r="N195"/>
      <x:c r="O195"/>
      <x:c r="Q195"/>
      <x:c r="R195"/>
      <x:c r="S195"/>
      <x:c r="T195"/>
      <x:c r="U195"/>
      <x:c r="V195"/>
      <x:c r="W195"/>
      <x:c r="X195"/>
      <x:c r="Y195"/>
      <x:c r="Z195"/>
      <x:c r="AA195"/>
    </x:row>
    <x:row r="196">
      <x:c r="D196" s="582" t="str">
        <x:f>IF(C196="","",IF(UPPER(TRIM(B196))="PERUMAHAN",IFERROR(VLOOKUP(C196,PERUMAHAN!$A:$B,2,FALSE),"ID tidak ditemukan"),""))</x:f>
      </x:c>
      <x:c r="E196"/>
      <x:c r="F196"/>
      <x:c r="G196"/>
      <x:c r="H196"/>
      <x:c r="I196"/>
      <x:c r="J196"/>
      <x:c r="K196"/>
      <x:c r="L196"/>
      <x:c r="M196" s="205"/>
      <x:c r="N196"/>
      <x:c r="O196"/>
      <x:c r="Q196"/>
      <x:c r="R196"/>
      <x:c r="S196"/>
      <x:c r="T196"/>
      <x:c r="U196"/>
      <x:c r="V196"/>
      <x:c r="W196"/>
      <x:c r="X196"/>
      <x:c r="Y196"/>
      <x:c r="Z196"/>
      <x:c r="AA196"/>
    </x:row>
    <x:row r="197">
      <x:c r="D197" s="582" t="str">
        <x:f>IF(C197="","",IF(UPPER(TRIM(B197))="PERUMAHAN",IFERROR(VLOOKUP(C197,PERUMAHAN!$A:$B,2,FALSE),"ID tidak ditemukan"),""))</x:f>
      </x:c>
      <x:c r="E197"/>
      <x:c r="F197"/>
      <x:c r="G197"/>
      <x:c r="H197"/>
      <x:c r="I197"/>
      <x:c r="J197"/>
      <x:c r="K197"/>
      <x:c r="L197"/>
      <x:c r="M197" s="205"/>
      <x:c r="N197"/>
      <x:c r="O197"/>
      <x:c r="Q197"/>
      <x:c r="R197"/>
      <x:c r="S197"/>
      <x:c r="T197"/>
      <x:c r="U197"/>
      <x:c r="V197"/>
      <x:c r="W197"/>
      <x:c r="X197"/>
      <x:c r="Y197"/>
      <x:c r="Z197"/>
      <x:c r="AA197"/>
    </x:row>
    <x:row r="198">
      <x:c r="D198" s="582" t="str">
        <x:f>IF(C198="","",IF(UPPER(TRIM(B198))="PERUMAHAN",IFERROR(VLOOKUP(C198,PERUMAHAN!$A:$B,2,FALSE),"ID tidak ditemukan"),""))</x:f>
      </x:c>
      <x:c r="E198"/>
      <x:c r="F198"/>
      <x:c r="G198"/>
      <x:c r="H198"/>
      <x:c r="I198"/>
      <x:c r="J198"/>
      <x:c r="K198"/>
      <x:c r="L198"/>
      <x:c r="M198" s="205"/>
      <x:c r="N198"/>
      <x:c r="O198"/>
      <x:c r="Q198"/>
      <x:c r="R198"/>
      <x:c r="S198"/>
      <x:c r="T198"/>
      <x:c r="U198"/>
      <x:c r="V198"/>
      <x:c r="W198"/>
      <x:c r="X198"/>
      <x:c r="Y198"/>
      <x:c r="Z198"/>
      <x:c r="AA198"/>
    </x:row>
    <x:row r="199">
      <x:c r="D199" s="582" t="str">
        <x:f>IF(C199="","",IF(UPPER(TRIM(B199))="PERUMAHAN",IFERROR(VLOOKUP(C199,PERUMAHAN!$A:$B,2,FALSE),"ID tidak ditemukan"),""))</x:f>
      </x:c>
      <x:c r="E199"/>
      <x:c r="F199"/>
      <x:c r="G199"/>
      <x:c r="H199"/>
      <x:c r="I199"/>
      <x:c r="J199"/>
      <x:c r="K199"/>
      <x:c r="L199"/>
      <x:c r="M199" s="205"/>
      <x:c r="N199"/>
      <x:c r="O199"/>
      <x:c r="Q199"/>
      <x:c r="R199"/>
      <x:c r="S199"/>
      <x:c r="T199"/>
      <x:c r="U199"/>
      <x:c r="V199"/>
      <x:c r="W199"/>
      <x:c r="X199"/>
      <x:c r="Y199"/>
      <x:c r="Z199"/>
      <x:c r="AA199"/>
    </x:row>
    <x:row r="200">
      <x:c r="D200" s="582" t="str">
        <x:f>IF(C200="","",IF(UPPER(TRIM(B200))="PERUMAHAN",IFERROR(VLOOKUP(C200,PERUMAHAN!$A:$B,2,FALSE),"ID tidak ditemukan"),""))</x:f>
      </x:c>
      <x:c r="E200"/>
      <x:c r="F200"/>
      <x:c r="G200"/>
      <x:c r="H200"/>
      <x:c r="I200"/>
      <x:c r="J200"/>
      <x:c r="K200"/>
      <x:c r="L200"/>
      <x:c r="M200" s="205"/>
      <x:c r="N200"/>
      <x:c r="O200"/>
      <x:c r="Q200"/>
      <x:c r="R200"/>
      <x:c r="S200"/>
      <x:c r="T200"/>
      <x:c r="U200"/>
      <x:c r="V200"/>
      <x:c r="W200"/>
      <x:c r="X200"/>
      <x:c r="Y200"/>
      <x:c r="Z200"/>
      <x:c r="AA200"/>
    </x:row>
    <x:row r="201">
      <x:c r="D201" s="582" t="str">
        <x:f>IF(C201="","",IF(UPPER(TRIM(B201))="PERUMAHAN",IFERROR(VLOOKUP(C201,PERUMAHAN!$A:$B,2,FALSE),"ID tidak ditemukan"),""))</x:f>
      </x:c>
      <x:c r="E201"/>
      <x:c r="F201"/>
      <x:c r="G201"/>
      <x:c r="H201"/>
      <x:c r="I201"/>
      <x:c r="J201"/>
      <x:c r="K201"/>
      <x:c r="L201"/>
      <x:c r="M201" s="205"/>
      <x:c r="N201"/>
      <x:c r="O201"/>
      <x:c r="Q201"/>
      <x:c r="R201"/>
      <x:c r="S201"/>
      <x:c r="T201"/>
      <x:c r="U201"/>
      <x:c r="V201"/>
      <x:c r="W201"/>
      <x:c r="X201"/>
      <x:c r="Y201"/>
      <x:c r="Z201"/>
      <x:c r="AA201"/>
    </x:row>
    <x:row r="202">
      <x:c r="D202" s="582" t="str">
        <x:f>IF(C202="","",IF(UPPER(TRIM(B202))="PERUMAHAN",IFERROR(VLOOKUP(C202,PERUMAHAN!$A:$B,2,FALSE),"ID tidak ditemukan"),""))</x:f>
      </x:c>
      <x:c r="E202"/>
      <x:c r="F202"/>
      <x:c r="G202"/>
      <x:c r="H202"/>
      <x:c r="I202"/>
      <x:c r="J202"/>
      <x:c r="K202"/>
      <x:c r="L202"/>
      <x:c r="M202" s="205"/>
      <x:c r="N202"/>
      <x:c r="O202"/>
      <x:c r="Q202"/>
      <x:c r="R202"/>
      <x:c r="S202"/>
      <x:c r="T202"/>
      <x:c r="U202"/>
      <x:c r="V202"/>
      <x:c r="W202"/>
      <x:c r="X202"/>
      <x:c r="Y202"/>
      <x:c r="Z202"/>
      <x:c r="AA202"/>
    </x:row>
    <x:row r="203">
      <x:c r="D203" s="582" t="str">
        <x:f>IF(C203="","",IF(UPPER(TRIM(B203))="PERUMAHAN",IFERROR(VLOOKUP(C203,PERUMAHAN!$A:$B,2,FALSE),"ID tidak ditemukan"),""))</x:f>
      </x:c>
      <x:c r="E203"/>
      <x:c r="F203"/>
      <x:c r="G203"/>
      <x:c r="H203"/>
      <x:c r="I203"/>
      <x:c r="J203"/>
      <x:c r="K203"/>
      <x:c r="L203"/>
      <x:c r="M203" s="205"/>
      <x:c r="N203"/>
      <x:c r="O203"/>
      <x:c r="Q203"/>
      <x:c r="R203"/>
      <x:c r="S203"/>
      <x:c r="T203"/>
      <x:c r="U203"/>
      <x:c r="V203"/>
      <x:c r="W203"/>
      <x:c r="X203"/>
      <x:c r="Y203"/>
      <x:c r="Z203"/>
      <x:c r="AA203"/>
    </x:row>
    <x:row r="204">
      <x:c r="D204" s="582" t="str">
        <x:f>IF(C204="","",IF(UPPER(TRIM(B204))="PERUMAHAN",IFERROR(VLOOKUP(C204,PERUMAHAN!$A:$B,2,FALSE),"ID tidak ditemukan"),""))</x:f>
      </x:c>
      <x:c r="E204"/>
      <x:c r="F204"/>
      <x:c r="G204"/>
      <x:c r="H204"/>
      <x:c r="I204"/>
      <x:c r="J204"/>
      <x:c r="K204"/>
      <x:c r="L204"/>
      <x:c r="M204" s="205"/>
      <x:c r="N204"/>
      <x:c r="O204"/>
      <x:c r="Q204"/>
      <x:c r="R204"/>
      <x:c r="S204"/>
      <x:c r="T204"/>
      <x:c r="U204"/>
      <x:c r="V204"/>
      <x:c r="W204"/>
      <x:c r="X204"/>
      <x:c r="Y204"/>
      <x:c r="Z204"/>
      <x:c r="AA204"/>
    </x:row>
    <x:row r="205">
      <x:c r="D205" s="582" t="str">
        <x:f>IF(C205="","",IF(UPPER(TRIM(B205))="PERUMAHAN",IFERROR(VLOOKUP(C205,PERUMAHAN!$A:$B,2,FALSE),"ID tidak ditemukan"),""))</x:f>
      </x:c>
      <x:c r="E205"/>
      <x:c r="F205"/>
      <x:c r="G205"/>
      <x:c r="H205"/>
      <x:c r="I205"/>
      <x:c r="J205"/>
      <x:c r="K205"/>
      <x:c r="L205"/>
      <x:c r="M205" s="205"/>
      <x:c r="N205"/>
      <x:c r="O205"/>
      <x:c r="Q205"/>
      <x:c r="R205"/>
      <x:c r="S205"/>
      <x:c r="T205"/>
      <x:c r="U205"/>
      <x:c r="V205"/>
      <x:c r="W205"/>
      <x:c r="X205"/>
      <x:c r="Y205"/>
      <x:c r="Z205"/>
      <x:c r="AA205"/>
    </x:row>
    <x:row r="206">
      <x:c r="D206" s="582" t="str">
        <x:f>IF(C206="","",IF(UPPER(TRIM(B206))="PERUMAHAN",IFERROR(VLOOKUP(C206,PERUMAHAN!$A:$B,2,FALSE),"ID tidak ditemukan"),""))</x:f>
      </x:c>
      <x:c r="E206"/>
      <x:c r="F206"/>
      <x:c r="G206"/>
      <x:c r="H206"/>
      <x:c r="I206"/>
      <x:c r="J206"/>
      <x:c r="K206"/>
      <x:c r="L206"/>
      <x:c r="M206" s="205"/>
      <x:c r="N206"/>
      <x:c r="O206"/>
      <x:c r="Q206"/>
      <x:c r="R206"/>
      <x:c r="S206"/>
      <x:c r="T206"/>
      <x:c r="U206"/>
      <x:c r="V206"/>
      <x:c r="W206"/>
      <x:c r="X206"/>
      <x:c r="Y206"/>
      <x:c r="Z206"/>
      <x:c r="AA206"/>
    </x:row>
    <x:row r="207">
      <x:c r="D207" s="582" t="str">
        <x:f>IF(C207="","",IF(UPPER(TRIM(B207))="PERUMAHAN",IFERROR(VLOOKUP(C207,PERUMAHAN!$A:$B,2,FALSE),"ID tidak ditemukan"),""))</x:f>
      </x:c>
      <x:c r="E207"/>
      <x:c r="F207"/>
      <x:c r="G207"/>
      <x:c r="H207"/>
      <x:c r="I207"/>
      <x:c r="J207"/>
      <x:c r="K207"/>
      <x:c r="L207"/>
      <x:c r="M207" s="205"/>
      <x:c r="N207"/>
      <x:c r="O207"/>
      <x:c r="Q207"/>
      <x:c r="R207"/>
      <x:c r="S207"/>
      <x:c r="T207"/>
      <x:c r="U207"/>
      <x:c r="V207"/>
      <x:c r="W207"/>
      <x:c r="X207"/>
      <x:c r="Y207"/>
      <x:c r="Z207"/>
      <x:c r="AA207"/>
    </x:row>
    <x:row r="208">
      <x:c r="D208" s="582" t="str">
        <x:f>IF(C208="","",IF(UPPER(TRIM(B208))="PERUMAHAN",IFERROR(VLOOKUP(C208,PERUMAHAN!$A:$B,2,FALSE),"ID tidak ditemukan"),""))</x:f>
      </x:c>
      <x:c r="E208"/>
      <x:c r="F208"/>
      <x:c r="G208"/>
      <x:c r="H208"/>
      <x:c r="I208"/>
      <x:c r="J208"/>
      <x:c r="K208"/>
      <x:c r="L208"/>
      <x:c r="M208" s="205"/>
      <x:c r="N208"/>
      <x:c r="O208"/>
      <x:c r="Q208"/>
      <x:c r="R208"/>
      <x:c r="S208"/>
      <x:c r="T208"/>
      <x:c r="U208"/>
      <x:c r="V208"/>
      <x:c r="W208"/>
      <x:c r="X208"/>
      <x:c r="Y208"/>
      <x:c r="Z208"/>
      <x:c r="AA208"/>
    </x:row>
    <x:row r="209">
      <x:c r="D209" s="582" t="str">
        <x:f>IF(C209="","",IF(UPPER(TRIM(B209))="PERUMAHAN",IFERROR(VLOOKUP(C209,PERUMAHAN!$A:$B,2,FALSE),"ID tidak ditemukan"),""))</x:f>
      </x:c>
      <x:c r="E209"/>
      <x:c r="F209"/>
      <x:c r="G209"/>
      <x:c r="H209"/>
      <x:c r="I209"/>
      <x:c r="J209"/>
      <x:c r="K209"/>
      <x:c r="L209"/>
      <x:c r="M209" s="205"/>
      <x:c r="N209"/>
      <x:c r="O209"/>
      <x:c r="Q209"/>
      <x:c r="R209"/>
      <x:c r="S209"/>
      <x:c r="T209"/>
      <x:c r="U209"/>
      <x:c r="V209"/>
      <x:c r="W209"/>
      <x:c r="X209"/>
      <x:c r="Y209"/>
      <x:c r="Z209"/>
      <x:c r="AA209"/>
    </x:row>
    <x:row r="210">
      <x:c r="D210" s="582" t="str">
        <x:f>IF(C210="","",IF(UPPER(TRIM(B210))="PERUMAHAN",IFERROR(VLOOKUP(C210,PERUMAHAN!$A:$B,2,FALSE),"ID tidak ditemukan"),""))</x:f>
      </x:c>
      <x:c r="E210"/>
      <x:c r="F210"/>
      <x:c r="G210"/>
      <x:c r="H210"/>
      <x:c r="I210"/>
      <x:c r="J210"/>
      <x:c r="K210"/>
      <x:c r="L210"/>
      <x:c r="M210" s="205"/>
      <x:c r="N210"/>
      <x:c r="O210"/>
      <x:c r="Q210"/>
      <x:c r="R210"/>
      <x:c r="S210"/>
      <x:c r="T210"/>
      <x:c r="U210"/>
      <x:c r="V210"/>
      <x:c r="W210"/>
      <x:c r="X210"/>
      <x:c r="Y210"/>
      <x:c r="Z210"/>
      <x:c r="AA210"/>
    </x:row>
    <x:row r="211">
      <x:c r="D211" s="582" t="str">
        <x:f>IF(C211="","",IF(UPPER(TRIM(B211))="PERUMAHAN",IFERROR(VLOOKUP(C211,PERUMAHAN!$A:$B,2,FALSE),"ID tidak ditemukan"),""))</x:f>
      </x:c>
      <x:c r="E211"/>
      <x:c r="F211"/>
      <x:c r="G211"/>
      <x:c r="H211"/>
      <x:c r="I211"/>
      <x:c r="J211"/>
      <x:c r="K211"/>
      <x:c r="L211"/>
      <x:c r="M211" s="205"/>
      <x:c r="N211"/>
      <x:c r="O211"/>
      <x:c r="Q211"/>
      <x:c r="R211"/>
      <x:c r="S211"/>
      <x:c r="T211"/>
      <x:c r="U211"/>
      <x:c r="V211"/>
      <x:c r="W211"/>
      <x:c r="X211"/>
      <x:c r="Y211"/>
      <x:c r="Z211"/>
      <x:c r="AA211"/>
    </x:row>
    <x:row r="212">
      <x:c r="D212" s="582" t="str">
        <x:f>IF(C212="","",IF(UPPER(TRIM(B212))="PERUMAHAN",IFERROR(VLOOKUP(C212,PERUMAHAN!$A:$B,2,FALSE),"ID tidak ditemukan"),""))</x:f>
      </x:c>
      <x:c r="E212"/>
      <x:c r="F212"/>
      <x:c r="G212"/>
      <x:c r="H212"/>
      <x:c r="I212"/>
      <x:c r="J212"/>
      <x:c r="K212"/>
      <x:c r="L212"/>
      <x:c r="M212" s="205"/>
      <x:c r="N212"/>
      <x:c r="O212"/>
      <x:c r="Q212"/>
      <x:c r="R212"/>
      <x:c r="S212"/>
      <x:c r="T212"/>
      <x:c r="U212"/>
      <x:c r="V212"/>
      <x:c r="W212"/>
      <x:c r="X212"/>
      <x:c r="Y212"/>
      <x:c r="Z212"/>
      <x:c r="AA212"/>
    </x:row>
    <x:row r="213">
      <x:c r="D213" s="582" t="str">
        <x:f>IF(C213="","",IF(UPPER(TRIM(B213))="PERUMAHAN",IFERROR(VLOOKUP(C213,PERUMAHAN!$A:$B,2,FALSE),"ID tidak ditemukan"),""))</x:f>
      </x:c>
      <x:c r="E213"/>
      <x:c r="F213"/>
      <x:c r="G213"/>
      <x:c r="H213"/>
      <x:c r="I213"/>
      <x:c r="J213"/>
      <x:c r="K213"/>
      <x:c r="L213"/>
      <x:c r="M213" s="205"/>
      <x:c r="N213"/>
      <x:c r="O213"/>
      <x:c r="Q213"/>
      <x:c r="R213"/>
      <x:c r="S213"/>
      <x:c r="T213"/>
      <x:c r="U213"/>
      <x:c r="V213"/>
      <x:c r="W213"/>
      <x:c r="X213"/>
      <x:c r="Y213"/>
      <x:c r="Z213"/>
      <x:c r="AA213"/>
    </x:row>
    <x:row r="214">
      <x:c r="D214" s="582" t="str">
        <x:f>IF(C214="","",IF(UPPER(TRIM(B214))="PERUMAHAN",IFERROR(VLOOKUP(C214,PERUMAHAN!$A:$B,2,FALSE),"ID tidak ditemukan"),""))</x:f>
      </x:c>
      <x:c r="E214"/>
      <x:c r="F214"/>
      <x:c r="G214"/>
      <x:c r="H214"/>
      <x:c r="I214"/>
      <x:c r="J214"/>
      <x:c r="K214"/>
      <x:c r="L214"/>
      <x:c r="M214" s="205"/>
      <x:c r="N214"/>
      <x:c r="O214"/>
      <x:c r="Q214"/>
      <x:c r="R214"/>
      <x:c r="S214"/>
      <x:c r="T214"/>
      <x:c r="U214"/>
      <x:c r="V214"/>
      <x:c r="W214"/>
      <x:c r="X214"/>
      <x:c r="Y214"/>
      <x:c r="Z214"/>
      <x:c r="AA214"/>
    </x:row>
    <x:row r="215">
      <x:c r="D215" s="582" t="str">
        <x:f>IF(C215="","",IF(UPPER(TRIM(B215))="PERUMAHAN",IFERROR(VLOOKUP(C215,PERUMAHAN!$A:$B,2,FALSE),"ID tidak ditemukan"),""))</x:f>
      </x:c>
      <x:c r="E215"/>
      <x:c r="F215"/>
      <x:c r="G215"/>
      <x:c r="H215"/>
      <x:c r="I215"/>
      <x:c r="J215"/>
      <x:c r="K215"/>
      <x:c r="L215"/>
      <x:c r="M215" s="205"/>
      <x:c r="N215"/>
      <x:c r="O215"/>
      <x:c r="Q215"/>
      <x:c r="R215"/>
      <x:c r="S215"/>
      <x:c r="T215"/>
      <x:c r="U215"/>
      <x:c r="V215"/>
      <x:c r="W215"/>
      <x:c r="X215"/>
      <x:c r="Y215"/>
      <x:c r="Z215"/>
      <x:c r="AA215"/>
    </x:row>
    <x:row r="216">
      <x:c r="D216" s="582" t="str">
        <x:f>IF(C216="","",IF(UPPER(TRIM(B216))="PERUMAHAN",IFERROR(VLOOKUP(C216,PERUMAHAN!$A:$B,2,FALSE),"ID tidak ditemukan"),""))</x:f>
      </x:c>
      <x:c r="E216"/>
      <x:c r="F216"/>
      <x:c r="G216"/>
      <x:c r="H216"/>
      <x:c r="I216"/>
      <x:c r="J216"/>
      <x:c r="K216"/>
      <x:c r="L216"/>
      <x:c r="M216" s="205"/>
      <x:c r="N216"/>
      <x:c r="O216"/>
      <x:c r="Q216"/>
      <x:c r="R216"/>
      <x:c r="S216"/>
      <x:c r="T216"/>
      <x:c r="U216"/>
      <x:c r="V216"/>
      <x:c r="W216"/>
      <x:c r="X216"/>
      <x:c r="Y216"/>
      <x:c r="Z216"/>
      <x:c r="AA216"/>
    </x:row>
    <x:row r="217">
      <x:c r="D217" s="582" t="str">
        <x:f>IF(C217="","",IF(UPPER(TRIM(B217))="PERUMAHAN",IFERROR(VLOOKUP(C217,PERUMAHAN!$A:$B,2,FALSE),"ID tidak ditemukan"),""))</x:f>
      </x:c>
      <x:c r="E217"/>
      <x:c r="F217"/>
      <x:c r="G217"/>
      <x:c r="H217"/>
      <x:c r="I217"/>
      <x:c r="J217"/>
      <x:c r="K217"/>
      <x:c r="L217"/>
      <x:c r="M217" s="205"/>
      <x:c r="N217"/>
      <x:c r="O217"/>
      <x:c r="Q217"/>
      <x:c r="R217"/>
      <x:c r="S217"/>
      <x:c r="T217"/>
      <x:c r="U217"/>
      <x:c r="V217"/>
      <x:c r="W217"/>
      <x:c r="X217"/>
      <x:c r="Y217"/>
      <x:c r="Z217"/>
      <x:c r="AA217"/>
    </x:row>
    <x:row r="218">
      <x:c r="D218" s="582" t="str">
        <x:f>IF(C218="","",IF(UPPER(TRIM(B218))="PERUMAHAN",IFERROR(VLOOKUP(C218,PERUMAHAN!$A:$B,2,FALSE),"ID tidak ditemukan"),""))</x:f>
      </x:c>
      <x:c r="E218"/>
      <x:c r="F218"/>
      <x:c r="G218"/>
      <x:c r="H218"/>
      <x:c r="I218"/>
      <x:c r="J218"/>
      <x:c r="K218"/>
      <x:c r="L218"/>
      <x:c r="M218" s="205"/>
      <x:c r="N218"/>
      <x:c r="O218"/>
      <x:c r="Q218"/>
      <x:c r="R218"/>
      <x:c r="S218"/>
      <x:c r="T218"/>
      <x:c r="U218"/>
      <x:c r="V218"/>
      <x:c r="W218"/>
      <x:c r="X218"/>
      <x:c r="Y218"/>
      <x:c r="Z218"/>
      <x:c r="AA218"/>
    </x:row>
    <x:row r="219">
      <x:c r="D219" s="582" t="str">
        <x:f>IF(C219="","",IF(UPPER(TRIM(B219))="PERUMAHAN",IFERROR(VLOOKUP(C219,PERUMAHAN!$A:$B,2,FALSE),"ID tidak ditemukan"),""))</x:f>
      </x:c>
      <x:c r="E219"/>
      <x:c r="F219"/>
      <x:c r="G219"/>
      <x:c r="H219"/>
      <x:c r="I219"/>
      <x:c r="J219"/>
      <x:c r="K219"/>
      <x:c r="L219"/>
      <x:c r="M219" s="205"/>
      <x:c r="N219"/>
      <x:c r="O219"/>
      <x:c r="Q219"/>
      <x:c r="R219"/>
      <x:c r="S219"/>
      <x:c r="T219"/>
      <x:c r="U219"/>
      <x:c r="V219"/>
      <x:c r="W219"/>
      <x:c r="X219"/>
      <x:c r="Y219"/>
      <x:c r="Z219"/>
      <x:c r="AA219"/>
    </x:row>
    <x:row r="220">
      <x:c r="D220" s="582" t="str">
        <x:f>IF(C220="","",IF(UPPER(TRIM(B220))="PERUMAHAN",IFERROR(VLOOKUP(C220,PERUMAHAN!$A:$B,2,FALSE),"ID tidak ditemukan"),""))</x:f>
      </x:c>
      <x:c r="E220"/>
      <x:c r="F220"/>
      <x:c r="G220"/>
      <x:c r="H220"/>
      <x:c r="I220"/>
      <x:c r="J220"/>
      <x:c r="K220"/>
      <x:c r="L220"/>
      <x:c r="M220" s="205"/>
      <x:c r="N220"/>
      <x:c r="O220"/>
      <x:c r="Q220"/>
      <x:c r="R220"/>
      <x:c r="S220"/>
      <x:c r="T220"/>
      <x:c r="U220"/>
      <x:c r="V220"/>
      <x:c r="W220"/>
      <x:c r="X220"/>
      <x:c r="Y220"/>
      <x:c r="Z220"/>
      <x:c r="AA220"/>
    </x:row>
    <x:row r="221">
      <x:c r="D221" s="582" t="str">
        <x:f>IF(C221="","",IF(UPPER(TRIM(B221))="PERUMAHAN",IFERROR(VLOOKUP(C221,PERUMAHAN!$A:$B,2,FALSE),"ID tidak ditemukan"),""))</x:f>
      </x:c>
      <x:c r="E221"/>
      <x:c r="F221"/>
      <x:c r="G221"/>
      <x:c r="H221"/>
      <x:c r="I221"/>
      <x:c r="J221"/>
      <x:c r="K221"/>
      <x:c r="L221"/>
      <x:c r="M221" s="205"/>
      <x:c r="N221"/>
      <x:c r="O221"/>
      <x:c r="Q221"/>
      <x:c r="R221"/>
      <x:c r="S221"/>
      <x:c r="T221"/>
      <x:c r="U221"/>
      <x:c r="V221"/>
      <x:c r="W221"/>
      <x:c r="X221"/>
      <x:c r="Y221"/>
      <x:c r="Z221"/>
      <x:c r="AA221"/>
    </x:row>
    <x:row r="222">
      <x:c r="D222" s="582" t="str">
        <x:f>IF(C222="","",IF(UPPER(TRIM(B222))="PERUMAHAN",IFERROR(VLOOKUP(C222,PERUMAHAN!$A:$B,2,FALSE),"ID tidak ditemukan"),""))</x:f>
      </x:c>
      <x:c r="E222"/>
      <x:c r="F222"/>
      <x:c r="G222"/>
      <x:c r="H222"/>
      <x:c r="I222"/>
      <x:c r="J222"/>
      <x:c r="K222"/>
      <x:c r="L222"/>
      <x:c r="M222" s="205"/>
      <x:c r="N222"/>
      <x:c r="O222"/>
      <x:c r="Q222"/>
      <x:c r="R222"/>
      <x:c r="S222"/>
      <x:c r="T222"/>
      <x:c r="U222"/>
      <x:c r="V222"/>
      <x:c r="W222"/>
      <x:c r="X222"/>
      <x:c r="Y222"/>
      <x:c r="Z222"/>
      <x:c r="AA222"/>
    </x:row>
    <x:row r="223">
      <x:c r="D223" s="582" t="str">
        <x:f>IF(C223="","",IF(UPPER(TRIM(B223))="PERUMAHAN",IFERROR(VLOOKUP(C223,PERUMAHAN!$A:$B,2,FALSE),"ID tidak ditemukan"),""))</x:f>
      </x:c>
      <x:c r="E223"/>
      <x:c r="F223"/>
      <x:c r="G223"/>
      <x:c r="H223"/>
      <x:c r="I223"/>
      <x:c r="J223"/>
      <x:c r="K223"/>
      <x:c r="L223"/>
      <x:c r="M223" s="205"/>
      <x:c r="N223"/>
      <x:c r="O223"/>
      <x:c r="Q223"/>
      <x:c r="R223"/>
      <x:c r="S223"/>
      <x:c r="T223"/>
      <x:c r="U223"/>
      <x:c r="V223"/>
      <x:c r="W223"/>
      <x:c r="X223"/>
      <x:c r="Y223"/>
      <x:c r="Z223"/>
      <x:c r="AA223"/>
    </x:row>
    <x:row r="224">
      <x:c r="D224" s="582" t="str">
        <x:f>IF(C224="","",IF(UPPER(TRIM(B224))="PERUMAHAN",IFERROR(VLOOKUP(C224,PERUMAHAN!$A:$B,2,FALSE),"ID tidak ditemukan"),""))</x:f>
      </x:c>
      <x:c r="E224"/>
      <x:c r="F224"/>
      <x:c r="G224"/>
      <x:c r="H224"/>
      <x:c r="I224"/>
      <x:c r="J224"/>
      <x:c r="K224"/>
      <x:c r="L224"/>
      <x:c r="M224" s="205"/>
      <x:c r="N224"/>
      <x:c r="O224"/>
      <x:c r="Q224"/>
      <x:c r="R224"/>
      <x:c r="S224"/>
      <x:c r="T224"/>
      <x:c r="U224"/>
      <x:c r="V224"/>
      <x:c r="W224"/>
      <x:c r="X224"/>
      <x:c r="Y224"/>
      <x:c r="Z224"/>
      <x:c r="AA224"/>
    </x:row>
    <x:row r="225">
      <x:c r="D225" s="582" t="str">
        <x:f>IF(C225="","",IF(UPPER(TRIM(B225))="PERUMAHAN",IFERROR(VLOOKUP(C225,PERUMAHAN!$A:$B,2,FALSE),"ID tidak ditemukan"),""))</x:f>
      </x:c>
      <x:c r="E225"/>
      <x:c r="F225"/>
      <x:c r="G225"/>
      <x:c r="H225"/>
      <x:c r="I225"/>
      <x:c r="J225"/>
      <x:c r="K225"/>
      <x:c r="L225"/>
      <x:c r="M225" s="205"/>
      <x:c r="N225"/>
      <x:c r="O225"/>
      <x:c r="Q225"/>
      <x:c r="R225"/>
      <x:c r="S225"/>
      <x:c r="T225"/>
      <x:c r="U225"/>
      <x:c r="V225"/>
      <x:c r="W225"/>
      <x:c r="X225"/>
      <x:c r="Y225"/>
      <x:c r="Z225"/>
      <x:c r="AA225"/>
    </x:row>
    <x:row r="226">
      <x:c r="D226" s="582" t="str">
        <x:f>IF(C226="","",IF(UPPER(TRIM(B226))="PERUMAHAN",IFERROR(VLOOKUP(C226,PERUMAHAN!$A:$B,2,FALSE),"ID tidak ditemukan"),""))</x:f>
      </x:c>
      <x:c r="E226"/>
      <x:c r="F226"/>
      <x:c r="G226"/>
      <x:c r="H226"/>
      <x:c r="I226"/>
      <x:c r="J226"/>
      <x:c r="K226"/>
      <x:c r="L226"/>
      <x:c r="M226" s="205"/>
      <x:c r="N226"/>
      <x:c r="O226"/>
      <x:c r="Q226"/>
      <x:c r="R226"/>
      <x:c r="S226"/>
      <x:c r="T226"/>
      <x:c r="U226"/>
      <x:c r="V226"/>
      <x:c r="W226"/>
      <x:c r="X226"/>
      <x:c r="Y226"/>
      <x:c r="Z226"/>
      <x:c r="AA226"/>
    </x:row>
    <x:row r="227">
      <x:c r="D227" s="582" t="str">
        <x:f>IF(C227="","",IF(UPPER(TRIM(B227))="PERUMAHAN",IFERROR(VLOOKUP(C227,PERUMAHAN!$A:$B,2,FALSE),"ID tidak ditemukan"),""))</x:f>
      </x:c>
      <x:c r="E227"/>
      <x:c r="F227"/>
      <x:c r="G227"/>
      <x:c r="H227"/>
      <x:c r="I227"/>
      <x:c r="J227"/>
      <x:c r="K227"/>
      <x:c r="L227"/>
      <x:c r="M227" s="205"/>
      <x:c r="N227"/>
      <x:c r="O227"/>
      <x:c r="Q227"/>
      <x:c r="R227"/>
      <x:c r="S227"/>
      <x:c r="T227"/>
      <x:c r="U227"/>
      <x:c r="V227"/>
      <x:c r="W227"/>
      <x:c r="X227"/>
      <x:c r="Y227"/>
      <x:c r="Z227"/>
      <x:c r="AA227"/>
    </x:row>
    <x:row r="228">
      <x:c r="D228" s="582" t="str">
        <x:f>IF(C228="","",IF(UPPER(TRIM(B228))="PERUMAHAN",IFERROR(VLOOKUP(C228,PERUMAHAN!$A:$B,2,FALSE),"ID tidak ditemukan"),""))</x:f>
      </x:c>
      <x:c r="E228"/>
      <x:c r="F228"/>
      <x:c r="G228"/>
      <x:c r="H228"/>
      <x:c r="I228"/>
      <x:c r="J228"/>
      <x:c r="K228"/>
      <x:c r="L228"/>
      <x:c r="M228" s="205"/>
      <x:c r="N228"/>
      <x:c r="O228"/>
      <x:c r="Q228"/>
      <x:c r="R228"/>
      <x:c r="S228"/>
      <x:c r="T228"/>
      <x:c r="U228"/>
      <x:c r="V228"/>
      <x:c r="W228"/>
      <x:c r="X228"/>
      <x:c r="Y228"/>
      <x:c r="Z228"/>
      <x:c r="AA228"/>
    </x:row>
    <x:row r="229">
      <x:c r="D229" s="582" t="str">
        <x:f>IF(C229="","",IF(UPPER(TRIM(B229))="PERUMAHAN",IFERROR(VLOOKUP(C229,PERUMAHAN!$A:$B,2,FALSE),"ID tidak ditemukan"),""))</x:f>
      </x:c>
      <x:c r="E229"/>
      <x:c r="F229"/>
      <x:c r="G229"/>
      <x:c r="H229"/>
      <x:c r="I229"/>
      <x:c r="J229"/>
      <x:c r="K229"/>
      <x:c r="L229"/>
      <x:c r="M229" s="205"/>
      <x:c r="N229"/>
      <x:c r="O229"/>
      <x:c r="Q229"/>
      <x:c r="R229"/>
      <x:c r="S229"/>
      <x:c r="T229"/>
      <x:c r="U229"/>
      <x:c r="V229"/>
      <x:c r="W229"/>
      <x:c r="X229"/>
      <x:c r="Y229"/>
      <x:c r="Z229"/>
      <x:c r="AA229"/>
    </x:row>
    <x:row r="230">
      <x:c r="D230" s="582" t="str">
        <x:f>IF(C230="","",IF(UPPER(TRIM(B230))="PERUMAHAN",IFERROR(VLOOKUP(C230,PERUMAHAN!$A:$B,2,FALSE),"ID tidak ditemukan"),""))</x:f>
      </x:c>
      <x:c r="E230"/>
      <x:c r="F230"/>
      <x:c r="G230"/>
      <x:c r="H230"/>
      <x:c r="I230"/>
      <x:c r="J230"/>
      <x:c r="K230"/>
      <x:c r="L230"/>
      <x:c r="M230" s="205"/>
      <x:c r="N230"/>
      <x:c r="O230"/>
      <x:c r="Q230"/>
      <x:c r="R230"/>
      <x:c r="S230"/>
      <x:c r="T230"/>
      <x:c r="U230"/>
      <x:c r="V230"/>
      <x:c r="W230"/>
      <x:c r="X230"/>
      <x:c r="Y230"/>
      <x:c r="Z230"/>
      <x:c r="AA230"/>
    </x:row>
    <x:row r="231">
      <x:c r="D231" s="582" t="str">
        <x:f>IF(C231="","",IF(UPPER(TRIM(B231))="PERUMAHAN",IFERROR(VLOOKUP(C231,PERUMAHAN!$A:$B,2,FALSE),"ID tidak ditemukan"),""))</x:f>
      </x:c>
      <x:c r="E231"/>
      <x:c r="F231"/>
      <x:c r="G231"/>
      <x:c r="H231"/>
      <x:c r="I231"/>
      <x:c r="J231"/>
      <x:c r="K231"/>
      <x:c r="L231"/>
      <x:c r="M231" s="205"/>
      <x:c r="N231"/>
      <x:c r="O231"/>
      <x:c r="Q231"/>
      <x:c r="R231"/>
      <x:c r="S231"/>
      <x:c r="T231"/>
      <x:c r="U231"/>
      <x:c r="V231"/>
      <x:c r="W231"/>
      <x:c r="X231"/>
      <x:c r="Y231"/>
      <x:c r="Z231"/>
      <x:c r="AA231"/>
    </x:row>
    <x:row r="232">
      <x:c r="D232" s="582" t="str">
        <x:f>IF(C232="","",IF(UPPER(TRIM(B232))="PERUMAHAN",IFERROR(VLOOKUP(C232,PERUMAHAN!$A:$B,2,FALSE),"ID tidak ditemukan"),""))</x:f>
      </x:c>
      <x:c r="E232"/>
      <x:c r="F232"/>
      <x:c r="G232"/>
      <x:c r="H232"/>
      <x:c r="I232"/>
      <x:c r="J232"/>
      <x:c r="K232"/>
      <x:c r="L232"/>
      <x:c r="M232" s="205"/>
      <x:c r="N232"/>
      <x:c r="O232"/>
      <x:c r="Q232"/>
      <x:c r="R232"/>
      <x:c r="S232"/>
      <x:c r="T232"/>
      <x:c r="U232"/>
      <x:c r="V232"/>
      <x:c r="W232"/>
      <x:c r="X232"/>
      <x:c r="Y232"/>
      <x:c r="Z232"/>
      <x:c r="AA232"/>
    </x:row>
    <x:row r="233">
      <x:c r="D233" s="582" t="str">
        <x:f>IF(C233="","",IF(UPPER(TRIM(B233))="PERUMAHAN",IFERROR(VLOOKUP(C233,PERUMAHAN!$A:$B,2,FALSE),"ID tidak ditemukan"),""))</x:f>
      </x:c>
      <x:c r="E233"/>
      <x:c r="F233"/>
      <x:c r="G233"/>
      <x:c r="H233"/>
      <x:c r="I233"/>
      <x:c r="J233"/>
      <x:c r="K233"/>
      <x:c r="L233"/>
      <x:c r="M233" s="205"/>
      <x:c r="N233"/>
      <x:c r="O233"/>
      <x:c r="Q233"/>
      <x:c r="R233"/>
      <x:c r="S233"/>
      <x:c r="T233"/>
      <x:c r="U233"/>
      <x:c r="V233"/>
      <x:c r="W233"/>
      <x:c r="X233"/>
      <x:c r="Y233"/>
      <x:c r="Z233"/>
      <x:c r="AA233"/>
    </x:row>
    <x:row r="234">
      <x:c r="D234" s="582" t="str">
        <x:f>IF(C234="","",IF(UPPER(TRIM(B234))="PERUMAHAN",IFERROR(VLOOKUP(C234,PERUMAHAN!$A:$B,2,FALSE),"ID tidak ditemukan"),""))</x:f>
      </x:c>
      <x:c r="E234"/>
      <x:c r="F234"/>
      <x:c r="G234"/>
      <x:c r="H234"/>
      <x:c r="I234"/>
      <x:c r="J234"/>
      <x:c r="K234"/>
      <x:c r="L234"/>
      <x:c r="M234" s="205"/>
      <x:c r="N234"/>
      <x:c r="O234"/>
      <x:c r="Q234"/>
      <x:c r="R234"/>
      <x:c r="S234"/>
      <x:c r="T234"/>
      <x:c r="U234"/>
      <x:c r="V234"/>
      <x:c r="W234"/>
      <x:c r="X234"/>
      <x:c r="Y234"/>
      <x:c r="Z234"/>
      <x:c r="AA234"/>
    </x:row>
    <x:row r="235">
      <x:c r="D235" s="582" t="str">
        <x:f>IF(C235="","",IF(UPPER(TRIM(B235))="PERUMAHAN",IFERROR(VLOOKUP(C235,PERUMAHAN!$A:$B,2,FALSE),"ID tidak ditemukan"),""))</x:f>
      </x:c>
      <x:c r="E235"/>
      <x:c r="F235"/>
      <x:c r="G235"/>
      <x:c r="H235"/>
      <x:c r="I235"/>
      <x:c r="J235"/>
      <x:c r="K235"/>
      <x:c r="L235"/>
      <x:c r="M235" s="205"/>
      <x:c r="N235"/>
      <x:c r="O235"/>
      <x:c r="Q235"/>
      <x:c r="R235"/>
      <x:c r="S235"/>
      <x:c r="T235"/>
      <x:c r="U235"/>
      <x:c r="V235"/>
      <x:c r="W235"/>
      <x:c r="X235"/>
      <x:c r="Y235"/>
      <x:c r="Z235"/>
      <x:c r="AA235"/>
    </x:row>
    <x:row r="236">
      <x:c r="D236" s="582" t="str">
        <x:f>IF(C236="","",IF(UPPER(TRIM(B236))="PERUMAHAN",IFERROR(VLOOKUP(C236,PERUMAHAN!$A:$B,2,FALSE),"ID tidak ditemukan"),""))</x:f>
      </x:c>
      <x:c r="E236"/>
      <x:c r="F236"/>
      <x:c r="G236"/>
      <x:c r="H236"/>
      <x:c r="I236"/>
      <x:c r="J236"/>
      <x:c r="K236"/>
      <x:c r="L236"/>
      <x:c r="M236" s="205"/>
      <x:c r="N236"/>
      <x:c r="O236"/>
      <x:c r="Q236"/>
      <x:c r="R236"/>
      <x:c r="S236"/>
      <x:c r="T236"/>
      <x:c r="U236"/>
      <x:c r="V236"/>
      <x:c r="W236"/>
      <x:c r="X236"/>
      <x:c r="Y236"/>
      <x:c r="Z236"/>
      <x:c r="AA236"/>
    </x:row>
    <x:row r="237">
      <x:c r="D237" s="582" t="str">
        <x:f>IF(C237="","",IF(UPPER(TRIM(B237))="PERUMAHAN",IFERROR(VLOOKUP(C237,PERUMAHAN!$A:$B,2,FALSE),"ID tidak ditemukan"),""))</x:f>
      </x:c>
      <x:c r="E237"/>
      <x:c r="F237"/>
      <x:c r="G237"/>
      <x:c r="H237"/>
      <x:c r="I237"/>
      <x:c r="J237"/>
      <x:c r="K237"/>
      <x:c r="L237"/>
      <x:c r="M237" s="205"/>
      <x:c r="N237"/>
      <x:c r="O237"/>
      <x:c r="Q237"/>
      <x:c r="R237"/>
      <x:c r="S237"/>
      <x:c r="T237"/>
      <x:c r="U237"/>
      <x:c r="V237"/>
      <x:c r="W237"/>
      <x:c r="X237"/>
      <x:c r="Y237"/>
      <x:c r="Z237"/>
      <x:c r="AA237"/>
    </x:row>
    <x:row r="238">
      <x:c r="D238" s="582" t="str">
        <x:f>IF(C238="","",IF(UPPER(TRIM(B238))="PERUMAHAN",IFERROR(VLOOKUP(C238,PERUMAHAN!$A:$B,2,FALSE),"ID tidak ditemukan"),""))</x:f>
      </x:c>
      <x:c r="E238"/>
      <x:c r="F238"/>
      <x:c r="G238"/>
      <x:c r="H238"/>
      <x:c r="I238"/>
      <x:c r="J238"/>
      <x:c r="K238"/>
      <x:c r="L238"/>
      <x:c r="M238" s="205"/>
      <x:c r="N238"/>
      <x:c r="O238"/>
      <x:c r="Q238"/>
      <x:c r="R238"/>
      <x:c r="S238"/>
      <x:c r="T238"/>
      <x:c r="U238"/>
      <x:c r="V238"/>
      <x:c r="W238"/>
      <x:c r="X238"/>
      <x:c r="Y238"/>
      <x:c r="Z238"/>
      <x:c r="AA238"/>
    </x:row>
    <x:row r="239">
      <x:c r="D239" s="582" t="str">
        <x:f>IF(C239="","",IF(UPPER(TRIM(B239))="PERUMAHAN",IFERROR(VLOOKUP(C239,PERUMAHAN!$A:$B,2,FALSE),"ID tidak ditemukan"),""))</x:f>
      </x:c>
      <x:c r="E239"/>
      <x:c r="F239"/>
      <x:c r="G239"/>
      <x:c r="H239"/>
      <x:c r="I239"/>
      <x:c r="J239"/>
      <x:c r="K239"/>
      <x:c r="L239"/>
      <x:c r="M239" s="205"/>
      <x:c r="N239"/>
      <x:c r="O239"/>
      <x:c r="Q239"/>
      <x:c r="R239"/>
      <x:c r="S239"/>
      <x:c r="T239"/>
      <x:c r="U239"/>
      <x:c r="V239"/>
      <x:c r="W239"/>
      <x:c r="X239"/>
      <x:c r="Y239"/>
      <x:c r="Z239"/>
      <x:c r="AA239"/>
    </x:row>
    <x:row r="240">
      <x:c r="D240" s="582" t="str">
        <x:f>IF(C240="","",IF(UPPER(TRIM(B240))="PERUMAHAN",IFERROR(VLOOKUP(C240,PERUMAHAN!$A:$B,2,FALSE),"ID tidak ditemukan"),""))</x:f>
      </x:c>
      <x:c r="E240"/>
      <x:c r="F240"/>
      <x:c r="G240"/>
      <x:c r="H240"/>
      <x:c r="I240"/>
      <x:c r="J240"/>
      <x:c r="K240"/>
      <x:c r="L240"/>
      <x:c r="M240" s="205"/>
      <x:c r="N240"/>
      <x:c r="O240"/>
      <x:c r="Q240"/>
      <x:c r="R240"/>
      <x:c r="S240"/>
      <x:c r="T240"/>
      <x:c r="U240"/>
      <x:c r="V240"/>
      <x:c r="W240"/>
      <x:c r="X240"/>
      <x:c r="Y240"/>
      <x:c r="Z240"/>
      <x:c r="AA240"/>
    </x:row>
    <x:row r="241">
      <x:c r="D241" s="582" t="str">
        <x:f>IF(C241="","",IF(UPPER(TRIM(B241))="PERUMAHAN",IFERROR(VLOOKUP(C241,PERUMAHAN!$A:$B,2,FALSE),"ID tidak ditemukan"),""))</x:f>
      </x:c>
      <x:c r="E241"/>
      <x:c r="F241"/>
      <x:c r="G241"/>
      <x:c r="H241"/>
      <x:c r="I241"/>
      <x:c r="J241"/>
      <x:c r="K241"/>
      <x:c r="L241"/>
      <x:c r="M241" s="205"/>
      <x:c r="N241"/>
      <x:c r="O241"/>
      <x:c r="Q241"/>
      <x:c r="R241"/>
      <x:c r="S241"/>
      <x:c r="T241"/>
      <x:c r="U241"/>
      <x:c r="V241"/>
      <x:c r="W241"/>
      <x:c r="X241"/>
      <x:c r="Y241"/>
      <x:c r="Z241"/>
      <x:c r="AA241"/>
    </x:row>
    <x:row r="242">
      <x:c r="D242" s="582" t="str">
        <x:f>IF(C242="","",IF(UPPER(TRIM(B242))="PERUMAHAN",IFERROR(VLOOKUP(C242,PERUMAHAN!$A:$B,2,FALSE),"ID tidak ditemukan"),""))</x:f>
      </x:c>
      <x:c r="E242"/>
      <x:c r="F242"/>
      <x:c r="G242"/>
      <x:c r="H242"/>
      <x:c r="I242"/>
      <x:c r="J242"/>
      <x:c r="K242"/>
      <x:c r="L242"/>
      <x:c r="M242" s="205"/>
      <x:c r="N242"/>
      <x:c r="O242"/>
      <x:c r="Q242"/>
      <x:c r="R242"/>
      <x:c r="S242"/>
      <x:c r="T242"/>
      <x:c r="U242"/>
      <x:c r="V242"/>
      <x:c r="W242"/>
      <x:c r="X242"/>
      <x:c r="Y242"/>
      <x:c r="Z242"/>
      <x:c r="AA242"/>
    </x:row>
    <x:row r="243">
      <x:c r="D243" s="582" t="str">
        <x:f>IF(C243="","",IF(UPPER(TRIM(B243))="PERUMAHAN",IFERROR(VLOOKUP(C243,PERUMAHAN!$A:$B,2,FALSE),"ID tidak ditemukan"),""))</x:f>
      </x:c>
      <x:c r="E243"/>
      <x:c r="F243"/>
      <x:c r="G243"/>
      <x:c r="H243"/>
      <x:c r="I243"/>
      <x:c r="J243"/>
      <x:c r="K243"/>
      <x:c r="L243"/>
      <x:c r="M243" s="205"/>
      <x:c r="N243"/>
      <x:c r="O243"/>
      <x:c r="Q243"/>
      <x:c r="R243"/>
      <x:c r="S243"/>
      <x:c r="T243"/>
      <x:c r="U243"/>
      <x:c r="V243"/>
      <x:c r="W243"/>
      <x:c r="X243"/>
      <x:c r="Y243"/>
      <x:c r="Z243"/>
      <x:c r="AA243"/>
    </x:row>
    <x:row r="244">
      <x:c r="D244" s="582" t="str">
        <x:f>IF(C244="","",IF(UPPER(TRIM(B244))="PERUMAHAN",IFERROR(VLOOKUP(C244,PERUMAHAN!$A:$B,2,FALSE),"ID tidak ditemukan"),""))</x:f>
      </x:c>
      <x:c r="E244"/>
      <x:c r="F244"/>
      <x:c r="G244"/>
      <x:c r="H244"/>
      <x:c r="I244"/>
      <x:c r="J244"/>
      <x:c r="K244"/>
      <x:c r="L244"/>
      <x:c r="M244" s="205"/>
      <x:c r="N244"/>
      <x:c r="O244"/>
      <x:c r="Q244"/>
      <x:c r="R244"/>
      <x:c r="S244"/>
      <x:c r="T244"/>
      <x:c r="U244"/>
      <x:c r="V244"/>
      <x:c r="W244"/>
      <x:c r="X244"/>
      <x:c r="Y244"/>
      <x:c r="Z244"/>
      <x:c r="AA244"/>
    </x:row>
    <x:row r="245">
      <x:c r="D245" s="582" t="str">
        <x:f>IF(C245="","",IF(UPPER(TRIM(B245))="PERUMAHAN",IFERROR(VLOOKUP(C245,PERUMAHAN!$A:$B,2,FALSE),"ID tidak ditemukan"),""))</x:f>
      </x:c>
      <x:c r="E245"/>
      <x:c r="F245"/>
      <x:c r="G245"/>
      <x:c r="H245"/>
      <x:c r="I245"/>
      <x:c r="J245"/>
      <x:c r="K245"/>
      <x:c r="L245"/>
      <x:c r="M245" s="205"/>
      <x:c r="N245"/>
      <x:c r="O245"/>
      <x:c r="Q245"/>
      <x:c r="R245"/>
      <x:c r="S245"/>
      <x:c r="T245"/>
      <x:c r="U245"/>
      <x:c r="V245"/>
      <x:c r="W245"/>
      <x:c r="X245"/>
      <x:c r="Y245"/>
      <x:c r="Z245"/>
      <x:c r="AA245"/>
    </x:row>
    <x:row r="246">
      <x:c r="D246" s="582" t="str">
        <x:f>IF(C246="","",IF(UPPER(TRIM(B246))="PERUMAHAN",IFERROR(VLOOKUP(C246,PERUMAHAN!$A:$B,2,FALSE),"ID tidak ditemukan"),""))</x:f>
      </x:c>
      <x:c r="E246"/>
      <x:c r="F246"/>
      <x:c r="G246"/>
      <x:c r="H246"/>
      <x:c r="I246"/>
      <x:c r="J246"/>
      <x:c r="K246"/>
      <x:c r="L246"/>
      <x:c r="M246" s="205"/>
      <x:c r="N246"/>
      <x:c r="O246"/>
      <x:c r="Q246"/>
      <x:c r="R246"/>
      <x:c r="S246"/>
      <x:c r="T246"/>
      <x:c r="U246"/>
      <x:c r="V246"/>
      <x:c r="W246"/>
      <x:c r="X246"/>
      <x:c r="Y246"/>
      <x:c r="Z246"/>
      <x:c r="AA246"/>
    </x:row>
    <x:row r="247">
      <x:c r="D247" s="582" t="str">
        <x:f>IF(C247="","",IF(UPPER(TRIM(B247))="PERUMAHAN",IFERROR(VLOOKUP(C247,PERUMAHAN!$A:$B,2,FALSE),"ID tidak ditemukan"),""))</x:f>
      </x:c>
      <x:c r="E247"/>
      <x:c r="F247"/>
      <x:c r="G247"/>
      <x:c r="H247"/>
      <x:c r="I247"/>
      <x:c r="J247"/>
      <x:c r="K247"/>
      <x:c r="L247"/>
      <x:c r="M247" s="205"/>
      <x:c r="N247"/>
      <x:c r="O247"/>
      <x:c r="Q247"/>
      <x:c r="R247"/>
      <x:c r="S247"/>
      <x:c r="T247"/>
      <x:c r="U247"/>
      <x:c r="V247"/>
      <x:c r="W247"/>
      <x:c r="X247"/>
      <x:c r="Y247"/>
      <x:c r="Z247"/>
      <x:c r="AA247"/>
    </x:row>
    <x:row r="248">
      <x:c r="D248" s="582" t="str">
        <x:f>IF(C248="","",IF(UPPER(TRIM(B248))="PERUMAHAN",IFERROR(VLOOKUP(C248,PERUMAHAN!$A:$B,2,FALSE),"ID tidak ditemukan"),""))</x:f>
      </x:c>
      <x:c r="E248"/>
      <x:c r="F248"/>
      <x:c r="G248"/>
      <x:c r="H248"/>
      <x:c r="I248"/>
      <x:c r="J248"/>
      <x:c r="K248"/>
      <x:c r="L248"/>
      <x:c r="M248" s="205"/>
      <x:c r="N248"/>
      <x:c r="O248"/>
      <x:c r="Q248"/>
      <x:c r="R248"/>
      <x:c r="S248"/>
      <x:c r="T248"/>
      <x:c r="U248"/>
      <x:c r="V248"/>
      <x:c r="W248"/>
      <x:c r="X248"/>
      <x:c r="Y248"/>
      <x:c r="Z248"/>
      <x:c r="AA248"/>
    </x:row>
    <x:row r="249">
      <x:c r="D249" s="582" t="str">
        <x:f>IF(C249="","",IF(UPPER(TRIM(B249))="PERUMAHAN",IFERROR(VLOOKUP(C249,PERUMAHAN!$A:$B,2,FALSE),"ID tidak ditemukan"),""))</x:f>
      </x:c>
      <x:c r="E249"/>
      <x:c r="F249"/>
      <x:c r="G249"/>
      <x:c r="H249"/>
      <x:c r="I249"/>
      <x:c r="J249"/>
      <x:c r="K249"/>
      <x:c r="L249"/>
      <x:c r="M249" s="205"/>
      <x:c r="N249"/>
      <x:c r="O249"/>
      <x:c r="Q249"/>
      <x:c r="R249"/>
      <x:c r="S249"/>
      <x:c r="T249"/>
      <x:c r="U249"/>
      <x:c r="V249"/>
      <x:c r="W249"/>
      <x:c r="X249"/>
      <x:c r="Y249"/>
      <x:c r="Z249"/>
      <x:c r="AA249"/>
    </x:row>
    <x:row r="250">
      <x:c r="D250" s="582" t="str">
        <x:f>IF(C250="","",IF(UPPER(TRIM(B250))="PERUMAHAN",IFERROR(VLOOKUP(C250,PERUMAHAN!$A:$B,2,FALSE),"ID tidak ditemukan"),""))</x:f>
      </x:c>
      <x:c r="E250"/>
      <x:c r="F250"/>
      <x:c r="G250"/>
      <x:c r="H250"/>
      <x:c r="I250"/>
      <x:c r="J250"/>
      <x:c r="K250"/>
      <x:c r="L250"/>
      <x:c r="M250" s="205"/>
      <x:c r="N250"/>
      <x:c r="O250"/>
      <x:c r="Q250"/>
      <x:c r="R250"/>
      <x:c r="S250"/>
      <x:c r="T250"/>
      <x:c r="U250"/>
      <x:c r="V250"/>
      <x:c r="W250"/>
      <x:c r="X250"/>
      <x:c r="Y250"/>
      <x:c r="Z250"/>
      <x:c r="AA250"/>
    </x:row>
    <x:row r="251">
      <x:c r="D251" s="582" t="str">
        <x:f>IF(C251="","",IF(UPPER(TRIM(B251))="PERUMAHAN",IFERROR(VLOOKUP(C251,PERUMAHAN!$A:$B,2,FALSE),"ID tidak ditemukan"),""))</x:f>
      </x:c>
      <x:c r="E251"/>
      <x:c r="F251"/>
      <x:c r="G251"/>
      <x:c r="H251"/>
      <x:c r="I251"/>
      <x:c r="J251"/>
      <x:c r="K251"/>
      <x:c r="L251"/>
      <x:c r="M251" s="205"/>
      <x:c r="N251"/>
      <x:c r="O251"/>
      <x:c r="Q251"/>
      <x:c r="R251"/>
      <x:c r="S251"/>
      <x:c r="T251"/>
      <x:c r="U251"/>
      <x:c r="V251"/>
      <x:c r="W251"/>
      <x:c r="X251"/>
      <x:c r="Y251"/>
      <x:c r="Z251"/>
      <x:c r="AA251"/>
    </x:row>
    <x:row r="252">
      <x:c r="D252" s="582" t="str">
        <x:f>IF(C252="","",IF(UPPER(TRIM(B252))="PERUMAHAN",IFERROR(VLOOKUP(C252,PERUMAHAN!$A:$B,2,FALSE),"ID tidak ditemukan"),""))</x:f>
      </x:c>
      <x:c r="E252"/>
      <x:c r="F252"/>
      <x:c r="G252"/>
      <x:c r="H252"/>
      <x:c r="I252"/>
      <x:c r="J252"/>
      <x:c r="K252"/>
      <x:c r="L252"/>
      <x:c r="M252" s="205"/>
      <x:c r="N252"/>
      <x:c r="O252"/>
      <x:c r="Q252"/>
      <x:c r="R252"/>
      <x:c r="S252"/>
      <x:c r="T252"/>
      <x:c r="U252"/>
      <x:c r="V252"/>
      <x:c r="W252"/>
      <x:c r="X252"/>
      <x:c r="Y252"/>
      <x:c r="Z252"/>
      <x:c r="AA252"/>
    </x:row>
    <x:row r="253">
      <x:c r="D253" s="582" t="str">
        <x:f>IF(C253="","",IF(UPPER(TRIM(B253))="PERUMAHAN",IFERROR(VLOOKUP(C253,PERUMAHAN!$A:$B,2,FALSE),"ID tidak ditemukan"),""))</x:f>
      </x:c>
      <x:c r="E253"/>
      <x:c r="F253"/>
      <x:c r="G253"/>
      <x:c r="H253"/>
      <x:c r="I253"/>
      <x:c r="J253"/>
      <x:c r="K253"/>
      <x:c r="L253"/>
      <x:c r="M253" s="205"/>
      <x:c r="N253"/>
      <x:c r="O253"/>
      <x:c r="Q253"/>
      <x:c r="R253"/>
      <x:c r="S253"/>
      <x:c r="T253"/>
      <x:c r="U253"/>
      <x:c r="V253"/>
      <x:c r="W253"/>
      <x:c r="X253"/>
      <x:c r="Y253"/>
      <x:c r="Z253"/>
      <x:c r="AA253"/>
    </x:row>
    <x:row r="254">
      <x:c r="D254" s="582" t="str">
        <x:f>IF(C254="","",IF(UPPER(TRIM(B254))="PERUMAHAN",IFERROR(VLOOKUP(C254,PERUMAHAN!$A:$B,2,FALSE),"ID tidak ditemukan"),""))</x:f>
      </x:c>
      <x:c r="E254"/>
      <x:c r="F254"/>
      <x:c r="G254"/>
      <x:c r="H254"/>
      <x:c r="I254"/>
      <x:c r="J254"/>
      <x:c r="K254"/>
      <x:c r="L254"/>
      <x:c r="M254" s="205"/>
      <x:c r="N254"/>
      <x:c r="O254"/>
      <x:c r="Q254"/>
      <x:c r="R254"/>
      <x:c r="S254"/>
      <x:c r="T254"/>
      <x:c r="U254"/>
      <x:c r="V254"/>
      <x:c r="W254"/>
      <x:c r="X254"/>
      <x:c r="Y254"/>
      <x:c r="Z254"/>
      <x:c r="AA254"/>
    </x:row>
    <x:row r="255">
      <x:c r="D255" s="582" t="str">
        <x:f>IF(C255="","",IF(UPPER(TRIM(B255))="PERUMAHAN",IFERROR(VLOOKUP(C255,PERUMAHAN!$A:$B,2,FALSE),"ID tidak ditemukan"),""))</x:f>
      </x:c>
      <x:c r="E255"/>
      <x:c r="F255"/>
      <x:c r="G255"/>
      <x:c r="H255"/>
      <x:c r="I255"/>
      <x:c r="J255"/>
      <x:c r="K255"/>
      <x:c r="L255"/>
      <x:c r="M255" s="205"/>
      <x:c r="N255"/>
      <x:c r="O255"/>
      <x:c r="Q255"/>
      <x:c r="R255"/>
      <x:c r="S255"/>
      <x:c r="T255"/>
      <x:c r="U255"/>
      <x:c r="V255"/>
      <x:c r="W255"/>
      <x:c r="X255"/>
      <x:c r="Y255"/>
      <x:c r="Z255"/>
      <x:c r="AA255"/>
    </x:row>
    <x:row r="256">
      <x:c r="D256" s="582" t="str">
        <x:f>IF(C256="","",IF(UPPER(TRIM(B256))="PERUMAHAN",IFERROR(VLOOKUP(C256,PERUMAHAN!$A:$B,2,FALSE),"ID tidak ditemukan"),""))</x:f>
      </x:c>
      <x:c r="E256"/>
      <x:c r="F256"/>
      <x:c r="G256"/>
      <x:c r="H256"/>
      <x:c r="I256"/>
      <x:c r="J256"/>
      <x:c r="K256"/>
      <x:c r="L256"/>
      <x:c r="M256" s="205"/>
      <x:c r="N256"/>
      <x:c r="O256"/>
      <x:c r="Q256"/>
      <x:c r="R256"/>
      <x:c r="S256"/>
      <x:c r="T256"/>
      <x:c r="U256"/>
      <x:c r="V256"/>
      <x:c r="W256"/>
      <x:c r="X256"/>
      <x:c r="Y256"/>
      <x:c r="Z256"/>
      <x:c r="AA256"/>
    </x:row>
    <x:row r="257">
      <x:c r="D257" s="582" t="str">
        <x:f>IF(C257="","",IF(UPPER(TRIM(B257))="PERUMAHAN",IFERROR(VLOOKUP(C257,PERUMAHAN!$A:$B,2,FALSE),"ID tidak ditemukan"),""))</x:f>
      </x:c>
      <x:c r="E257"/>
      <x:c r="F257"/>
      <x:c r="G257"/>
      <x:c r="H257"/>
      <x:c r="I257"/>
      <x:c r="J257"/>
      <x:c r="K257"/>
      <x:c r="L257"/>
      <x:c r="M257" s="205"/>
      <x:c r="N257"/>
      <x:c r="O257"/>
      <x:c r="Q257"/>
      <x:c r="R257"/>
      <x:c r="S257"/>
      <x:c r="T257"/>
      <x:c r="U257"/>
      <x:c r="V257"/>
      <x:c r="W257"/>
      <x:c r="X257"/>
      <x:c r="Y257"/>
      <x:c r="Z257"/>
      <x:c r="AA257"/>
    </x:row>
    <x:row r="258">
      <x:c r="D258" s="582" t="str">
        <x:f>IF(C258="","",IF(UPPER(TRIM(B258))="PERUMAHAN",IFERROR(VLOOKUP(C258,PERUMAHAN!$A:$B,2,FALSE),"ID tidak ditemukan"),""))</x:f>
      </x:c>
      <x:c r="E258"/>
      <x:c r="F258"/>
      <x:c r="G258"/>
      <x:c r="H258"/>
      <x:c r="I258"/>
      <x:c r="J258"/>
      <x:c r="K258"/>
      <x:c r="L258"/>
      <x:c r="M258" s="205"/>
      <x:c r="N258"/>
      <x:c r="O258"/>
      <x:c r="Q258"/>
      <x:c r="R258"/>
      <x:c r="S258"/>
      <x:c r="T258"/>
      <x:c r="U258"/>
      <x:c r="V258"/>
      <x:c r="W258"/>
      <x:c r="X258"/>
      <x:c r="Y258"/>
      <x:c r="Z258"/>
      <x:c r="AA258"/>
    </x:row>
    <x:row r="259">
      <x:c r="D259" s="582" t="str">
        <x:f>IF(C259="","",IF(UPPER(TRIM(B259))="PERUMAHAN",IFERROR(VLOOKUP(C259,PERUMAHAN!$A:$B,2,FALSE),"ID tidak ditemukan"),""))</x:f>
      </x:c>
      <x:c r="E259"/>
      <x:c r="F259"/>
      <x:c r="G259"/>
      <x:c r="H259"/>
      <x:c r="I259"/>
      <x:c r="J259"/>
      <x:c r="K259"/>
      <x:c r="L259"/>
      <x:c r="M259" s="205"/>
      <x:c r="N259"/>
      <x:c r="O259"/>
      <x:c r="Q259"/>
      <x:c r="R259"/>
      <x:c r="S259"/>
      <x:c r="T259"/>
      <x:c r="U259"/>
      <x:c r="V259"/>
      <x:c r="W259"/>
      <x:c r="X259"/>
      <x:c r="Y259"/>
      <x:c r="Z259"/>
      <x:c r="AA259"/>
    </x:row>
    <x:row r="260">
      <x:c r="D260" s="582" t="str">
        <x:f>IF(C260="","",IF(UPPER(TRIM(B260))="PERUMAHAN",IFERROR(VLOOKUP(C260,PERUMAHAN!$A:$B,2,FALSE),"ID tidak ditemukan"),""))</x:f>
      </x:c>
      <x:c r="E260"/>
      <x:c r="F260"/>
      <x:c r="G260"/>
      <x:c r="H260"/>
      <x:c r="I260"/>
      <x:c r="J260"/>
      <x:c r="K260"/>
      <x:c r="L260"/>
      <x:c r="M260" s="205"/>
      <x:c r="N260"/>
      <x:c r="O260"/>
      <x:c r="Q260"/>
      <x:c r="R260"/>
      <x:c r="S260"/>
      <x:c r="T260"/>
      <x:c r="U260"/>
      <x:c r="V260"/>
      <x:c r="W260"/>
      <x:c r="X260"/>
      <x:c r="Y260"/>
      <x:c r="Z260"/>
      <x:c r="AA260"/>
    </x:row>
    <x:row r="261">
      <x:c r="D261" s="582" t="str">
        <x:f>IF(C261="","",IF(UPPER(TRIM(B261))="PERUMAHAN",IFERROR(VLOOKUP(C261,PERUMAHAN!$A:$B,2,FALSE),"ID tidak ditemukan"),""))</x:f>
      </x:c>
      <x:c r="E261"/>
      <x:c r="F261"/>
      <x:c r="G261"/>
      <x:c r="H261"/>
      <x:c r="I261"/>
      <x:c r="J261"/>
      <x:c r="K261"/>
      <x:c r="L261"/>
      <x:c r="M261" s="205"/>
      <x:c r="N261"/>
      <x:c r="O261"/>
      <x:c r="Q261"/>
      <x:c r="R261"/>
      <x:c r="S261"/>
      <x:c r="T261"/>
      <x:c r="U261"/>
      <x:c r="V261"/>
      <x:c r="W261"/>
      <x:c r="X261"/>
      <x:c r="Y261"/>
      <x:c r="Z261"/>
      <x:c r="AA261"/>
    </x:row>
    <x:row r="262">
      <x:c r="D262" s="582" t="str">
        <x:f>IF(C262="","",IF(UPPER(TRIM(B262))="PERUMAHAN",IFERROR(VLOOKUP(C262,PERUMAHAN!$A:$B,2,FALSE),"ID tidak ditemukan"),""))</x:f>
      </x:c>
      <x:c r="E262"/>
      <x:c r="F262"/>
      <x:c r="G262"/>
      <x:c r="H262"/>
      <x:c r="I262"/>
      <x:c r="J262"/>
      <x:c r="K262"/>
      <x:c r="L262"/>
      <x:c r="M262" s="205"/>
      <x:c r="N262"/>
      <x:c r="O262"/>
      <x:c r="Q262"/>
      <x:c r="R262"/>
      <x:c r="S262"/>
      <x:c r="T262"/>
      <x:c r="U262"/>
      <x:c r="V262"/>
      <x:c r="W262"/>
      <x:c r="X262"/>
      <x:c r="Y262"/>
      <x:c r="Z262"/>
      <x:c r="AA262"/>
    </x:row>
    <x:row r="263">
      <x:c r="D263" s="582" t="str">
        <x:f>IF(C263="","",IF(UPPER(TRIM(B263))="PERUMAHAN",IFERROR(VLOOKUP(C263,PERUMAHAN!$A:$B,2,FALSE),"ID tidak ditemukan"),""))</x:f>
      </x:c>
      <x:c r="E263"/>
      <x:c r="F263"/>
      <x:c r="G263"/>
      <x:c r="H263"/>
      <x:c r="I263"/>
      <x:c r="J263"/>
      <x:c r="K263"/>
      <x:c r="L263"/>
      <x:c r="M263" s="205"/>
      <x:c r="N263"/>
      <x:c r="O263"/>
      <x:c r="Q263"/>
      <x:c r="R263"/>
      <x:c r="S263"/>
      <x:c r="T263"/>
      <x:c r="U263"/>
      <x:c r="V263"/>
      <x:c r="W263"/>
      <x:c r="X263"/>
      <x:c r="Y263"/>
      <x:c r="Z263"/>
      <x:c r="AA263"/>
    </x:row>
    <x:row r="264">
      <x:c r="D264" s="582" t="str">
        <x:f>IF(C264="","",IF(UPPER(TRIM(B264))="PERUMAHAN",IFERROR(VLOOKUP(C264,PERUMAHAN!$A:$B,2,FALSE),"ID tidak ditemukan"),""))</x:f>
      </x:c>
      <x:c r="E264"/>
      <x:c r="F264"/>
      <x:c r="G264"/>
      <x:c r="H264"/>
      <x:c r="I264"/>
      <x:c r="J264"/>
      <x:c r="K264"/>
      <x:c r="L264"/>
      <x:c r="M264" s="205"/>
      <x:c r="N264"/>
      <x:c r="O264"/>
      <x:c r="Q264"/>
      <x:c r="R264"/>
      <x:c r="S264"/>
      <x:c r="T264"/>
      <x:c r="U264"/>
      <x:c r="V264"/>
      <x:c r="W264"/>
      <x:c r="X264"/>
      <x:c r="Y264"/>
      <x:c r="Z264"/>
      <x:c r="AA264"/>
    </x:row>
    <x:row r="265">
      <x:c r="D265" s="582" t="str">
        <x:f>IF(C265="","",IF(UPPER(TRIM(B265))="PERUMAHAN",IFERROR(VLOOKUP(C265,PERUMAHAN!$A:$B,2,FALSE),"ID tidak ditemukan"),""))</x:f>
      </x:c>
      <x:c r="E265"/>
      <x:c r="F265"/>
      <x:c r="G265"/>
      <x:c r="H265"/>
      <x:c r="I265"/>
      <x:c r="J265"/>
      <x:c r="K265"/>
      <x:c r="L265"/>
      <x:c r="M265" s="205"/>
      <x:c r="N265"/>
      <x:c r="O265"/>
      <x:c r="Q265"/>
      <x:c r="R265"/>
      <x:c r="S265"/>
      <x:c r="T265"/>
      <x:c r="U265"/>
      <x:c r="V265"/>
      <x:c r="W265"/>
      <x:c r="X265"/>
      <x:c r="Y265"/>
      <x:c r="Z265"/>
      <x:c r="AA265"/>
    </x:row>
    <x:row r="266">
      <x:c r="D266" s="582" t="str">
        <x:f>IF(C266="","",IF(UPPER(TRIM(B266))="PERUMAHAN",IFERROR(VLOOKUP(C266,PERUMAHAN!$A:$B,2,FALSE),"ID tidak ditemukan"),""))</x:f>
      </x:c>
      <x:c r="E266"/>
      <x:c r="F266"/>
      <x:c r="G266"/>
      <x:c r="H266"/>
      <x:c r="I266"/>
      <x:c r="J266"/>
      <x:c r="K266"/>
      <x:c r="L266"/>
      <x:c r="M266" s="205"/>
      <x:c r="N266"/>
      <x:c r="O266"/>
      <x:c r="Q266"/>
      <x:c r="R266"/>
      <x:c r="S266"/>
      <x:c r="T266"/>
      <x:c r="U266"/>
      <x:c r="V266"/>
      <x:c r="W266"/>
      <x:c r="X266"/>
      <x:c r="Y266"/>
      <x:c r="Z266"/>
      <x:c r="AA266"/>
    </x:row>
    <x:row r="267">
      <x:c r="D267" s="582" t="str">
        <x:f>IF(C267="","",IF(UPPER(TRIM(B267))="PERUMAHAN",IFERROR(VLOOKUP(C267,PERUMAHAN!$A:$B,2,FALSE),"ID tidak ditemukan"),""))</x:f>
      </x:c>
      <x:c r="E267"/>
      <x:c r="F267"/>
      <x:c r="G267"/>
      <x:c r="H267"/>
      <x:c r="I267"/>
      <x:c r="J267"/>
      <x:c r="K267"/>
      <x:c r="L267"/>
      <x:c r="M267" s="205"/>
      <x:c r="N267"/>
      <x:c r="O267"/>
      <x:c r="Q267"/>
      <x:c r="R267"/>
      <x:c r="S267"/>
      <x:c r="T267"/>
      <x:c r="U267"/>
      <x:c r="V267"/>
      <x:c r="W267"/>
      <x:c r="X267"/>
      <x:c r="Y267"/>
      <x:c r="Z267"/>
      <x:c r="AA267"/>
    </x:row>
    <x:row r="268">
      <x:c r="D268" s="582" t="str">
        <x:f>IF(C268="","",IF(UPPER(TRIM(B268))="PERUMAHAN",IFERROR(VLOOKUP(C268,PERUMAHAN!$A:$B,2,FALSE),"ID tidak ditemukan"),""))</x:f>
      </x:c>
      <x:c r="E268"/>
      <x:c r="F268"/>
      <x:c r="G268"/>
      <x:c r="H268"/>
      <x:c r="I268"/>
      <x:c r="J268"/>
      <x:c r="K268"/>
      <x:c r="L268"/>
      <x:c r="M268" s="205"/>
      <x:c r="N268"/>
      <x:c r="O268"/>
      <x:c r="Q268"/>
      <x:c r="R268"/>
      <x:c r="S268"/>
      <x:c r="T268"/>
      <x:c r="U268"/>
      <x:c r="V268"/>
      <x:c r="W268"/>
      <x:c r="X268"/>
      <x:c r="Y268"/>
      <x:c r="Z268"/>
      <x:c r="AA268"/>
    </x:row>
    <x:row r="269">
      <x:c r="D269" s="582" t="str">
        <x:f>IF(C269="","",IF(UPPER(TRIM(B269))="PERUMAHAN",IFERROR(VLOOKUP(C269,PERUMAHAN!$A:$B,2,FALSE),"ID tidak ditemukan"),""))</x:f>
      </x:c>
      <x:c r="E269"/>
      <x:c r="F269"/>
      <x:c r="G269"/>
      <x:c r="H269"/>
      <x:c r="I269"/>
      <x:c r="J269"/>
      <x:c r="K269"/>
      <x:c r="L269"/>
      <x:c r="M269" s="205"/>
      <x:c r="N269"/>
      <x:c r="O269"/>
      <x:c r="Q269"/>
      <x:c r="R269"/>
      <x:c r="S269"/>
      <x:c r="T269"/>
      <x:c r="U269"/>
      <x:c r="V269"/>
      <x:c r="W269"/>
      <x:c r="X269"/>
      <x:c r="Y269"/>
      <x:c r="Z269"/>
      <x:c r="AA269"/>
    </x:row>
    <x:row r="270">
      <x:c r="D270" s="582" t="str">
        <x:f>IF(C270="","",IF(UPPER(TRIM(B270))="PERUMAHAN",IFERROR(VLOOKUP(C270,PERUMAHAN!$A:$B,2,FALSE),"ID tidak ditemukan"),""))</x:f>
      </x:c>
      <x:c r="E270"/>
      <x:c r="F270"/>
      <x:c r="G270"/>
      <x:c r="H270"/>
      <x:c r="I270"/>
      <x:c r="J270"/>
      <x:c r="K270"/>
      <x:c r="L270"/>
      <x:c r="M270" s="205"/>
      <x:c r="N270"/>
      <x:c r="O270"/>
      <x:c r="Q270"/>
      <x:c r="R270"/>
      <x:c r="S270"/>
      <x:c r="T270"/>
      <x:c r="U270"/>
      <x:c r="V270"/>
      <x:c r="W270"/>
      <x:c r="X270"/>
      <x:c r="Y270"/>
      <x:c r="Z270"/>
      <x:c r="AA270"/>
    </x:row>
    <x:row r="271">
      <x:c r="D271" s="582" t="str">
        <x:f>IF(C271="","",IF(UPPER(TRIM(B271))="PERUMAHAN",IFERROR(VLOOKUP(C271,PERUMAHAN!$A:$B,2,FALSE),"ID tidak ditemukan"),""))</x:f>
      </x:c>
      <x:c r="E271"/>
      <x:c r="F271"/>
      <x:c r="G271"/>
      <x:c r="H271"/>
      <x:c r="I271"/>
      <x:c r="J271"/>
      <x:c r="K271"/>
      <x:c r="L271"/>
      <x:c r="M271" s="205"/>
      <x:c r="N271"/>
      <x:c r="O271"/>
      <x:c r="Q271"/>
      <x:c r="R271"/>
      <x:c r="S271"/>
      <x:c r="T271"/>
      <x:c r="U271"/>
      <x:c r="V271"/>
      <x:c r="W271"/>
      <x:c r="X271"/>
      <x:c r="Y271"/>
      <x:c r="Z271"/>
      <x:c r="AA271"/>
    </x:row>
    <x:row r="272">
      <x:c r="D272" s="582" t="str">
        <x:f>IF(C272="","",IF(UPPER(TRIM(B272))="PERUMAHAN",IFERROR(VLOOKUP(C272,PERUMAHAN!$A:$B,2,FALSE),"ID tidak ditemukan"),""))</x:f>
      </x:c>
      <x:c r="E272"/>
      <x:c r="F272"/>
      <x:c r="G272"/>
      <x:c r="H272"/>
      <x:c r="I272"/>
      <x:c r="J272"/>
      <x:c r="K272"/>
      <x:c r="L272"/>
      <x:c r="M272" s="205"/>
      <x:c r="N272"/>
      <x:c r="O272"/>
      <x:c r="Q272"/>
      <x:c r="R272"/>
      <x:c r="S272"/>
      <x:c r="T272"/>
      <x:c r="U272"/>
      <x:c r="V272"/>
      <x:c r="W272"/>
      <x:c r="X272"/>
      <x:c r="Y272"/>
      <x:c r="Z272"/>
      <x:c r="AA272"/>
    </x:row>
    <x:row r="273">
      <x:c r="D273" s="582" t="str">
        <x:f>IF(C273="","",IF(UPPER(TRIM(B273))="PERUMAHAN",IFERROR(VLOOKUP(C273,PERUMAHAN!$A:$B,2,FALSE),"ID tidak ditemukan"),""))</x:f>
      </x:c>
      <x:c r="E273"/>
      <x:c r="F273"/>
      <x:c r="G273"/>
      <x:c r="H273"/>
      <x:c r="I273"/>
      <x:c r="J273"/>
      <x:c r="K273"/>
      <x:c r="L273"/>
      <x:c r="M273" s="205"/>
      <x:c r="N273"/>
      <x:c r="O273"/>
      <x:c r="Q273"/>
      <x:c r="R273"/>
      <x:c r="S273"/>
      <x:c r="T273"/>
      <x:c r="U273"/>
      <x:c r="V273"/>
      <x:c r="W273"/>
      <x:c r="X273"/>
      <x:c r="Y273"/>
      <x:c r="Z273"/>
      <x:c r="AA273"/>
    </x:row>
    <x:row r="274">
      <x:c r="D274" s="582" t="str">
        <x:f>IF(C274="","",IF(UPPER(TRIM(B274))="PERUMAHAN",IFERROR(VLOOKUP(C274,PERUMAHAN!$A:$B,2,FALSE),"ID tidak ditemukan"),""))</x:f>
      </x:c>
      <x:c r="E274"/>
      <x:c r="F274"/>
      <x:c r="G274"/>
      <x:c r="H274"/>
      <x:c r="I274"/>
      <x:c r="J274"/>
      <x:c r="K274"/>
      <x:c r="L274"/>
      <x:c r="M274" s="205"/>
      <x:c r="N274"/>
      <x:c r="O274"/>
      <x:c r="Q274"/>
      <x:c r="R274"/>
      <x:c r="S274"/>
      <x:c r="T274"/>
      <x:c r="U274"/>
      <x:c r="V274"/>
      <x:c r="W274"/>
      <x:c r="X274"/>
      <x:c r="Y274"/>
      <x:c r="Z274"/>
      <x:c r="AA274"/>
    </x:row>
    <x:row r="275">
      <x:c r="D275" s="582" t="str">
        <x:f>IF(C275="","",IF(UPPER(TRIM(B275))="PERUMAHAN",IFERROR(VLOOKUP(C275,PERUMAHAN!$A:$B,2,FALSE),"ID tidak ditemukan"),""))</x:f>
      </x:c>
      <x:c r="E275"/>
      <x:c r="F275"/>
      <x:c r="G275"/>
      <x:c r="H275"/>
      <x:c r="I275"/>
      <x:c r="J275"/>
      <x:c r="K275"/>
      <x:c r="L275"/>
      <x:c r="M275" s="205"/>
      <x:c r="N275"/>
      <x:c r="O275"/>
      <x:c r="Q275"/>
      <x:c r="R275"/>
      <x:c r="S275"/>
      <x:c r="T275"/>
      <x:c r="U275"/>
      <x:c r="V275"/>
      <x:c r="W275"/>
      <x:c r="X275"/>
      <x:c r="Y275"/>
      <x:c r="Z275"/>
      <x:c r="AA275"/>
    </x:row>
    <x:row r="276">
      <x:c r="D276" s="582" t="str">
        <x:f>IF(C276="","",IF(UPPER(TRIM(B276))="PERUMAHAN",IFERROR(VLOOKUP(C276,PERUMAHAN!$A:$B,2,FALSE),"ID tidak ditemukan"),""))</x:f>
      </x:c>
      <x:c r="E276"/>
      <x:c r="F276"/>
      <x:c r="G276"/>
      <x:c r="H276"/>
      <x:c r="I276"/>
      <x:c r="J276"/>
      <x:c r="K276"/>
      <x:c r="L276"/>
      <x:c r="M276" s="205"/>
      <x:c r="N276"/>
      <x:c r="O276"/>
      <x:c r="Q276"/>
      <x:c r="R276"/>
      <x:c r="S276"/>
      <x:c r="T276"/>
      <x:c r="U276"/>
      <x:c r="V276"/>
      <x:c r="W276"/>
      <x:c r="X276"/>
      <x:c r="Y276"/>
      <x:c r="Z276"/>
      <x:c r="AA276"/>
    </x:row>
    <x:row r="277">
      <x:c r="D277" s="582" t="str">
        <x:f>IF(C277="","",IF(UPPER(TRIM(B277))="PERUMAHAN",IFERROR(VLOOKUP(C277,PERUMAHAN!$A:$B,2,FALSE),"ID tidak ditemukan"),""))</x:f>
      </x:c>
      <x:c r="E277"/>
      <x:c r="F277"/>
      <x:c r="G277"/>
      <x:c r="H277"/>
      <x:c r="I277"/>
      <x:c r="J277"/>
      <x:c r="K277"/>
      <x:c r="L277"/>
      <x:c r="M277" s="205"/>
      <x:c r="N277"/>
      <x:c r="O277"/>
      <x:c r="Q277"/>
      <x:c r="R277"/>
      <x:c r="S277"/>
      <x:c r="T277"/>
      <x:c r="U277"/>
      <x:c r="V277"/>
      <x:c r="W277"/>
      <x:c r="X277"/>
      <x:c r="Y277"/>
      <x:c r="Z277"/>
      <x:c r="AA277"/>
    </x:row>
    <x:row r="278">
      <x:c r="D278" s="582" t="str">
        <x:f>IF(C278="","",IF(UPPER(TRIM(B278))="PERUMAHAN",IFERROR(VLOOKUP(C278,PERUMAHAN!$A:$B,2,FALSE),"ID tidak ditemukan"),""))</x:f>
      </x:c>
      <x:c r="E278"/>
      <x:c r="F278"/>
      <x:c r="G278"/>
      <x:c r="H278"/>
      <x:c r="I278"/>
      <x:c r="J278"/>
      <x:c r="K278"/>
      <x:c r="L278"/>
      <x:c r="M278" s="205"/>
      <x:c r="N278"/>
      <x:c r="O278"/>
      <x:c r="Q278"/>
      <x:c r="R278"/>
      <x:c r="S278"/>
      <x:c r="T278"/>
      <x:c r="U278"/>
      <x:c r="V278"/>
      <x:c r="W278"/>
      <x:c r="X278"/>
      <x:c r="Y278"/>
      <x:c r="Z278"/>
      <x:c r="AA278"/>
    </x:row>
    <x:row r="279">
      <x:c r="D279" s="582" t="str">
        <x:f>IF(C279="","",IF(UPPER(TRIM(B279))="PERUMAHAN",IFERROR(VLOOKUP(C279,PERUMAHAN!$A:$B,2,FALSE),"ID tidak ditemukan"),""))</x:f>
      </x:c>
      <x:c r="E279"/>
      <x:c r="F279"/>
      <x:c r="G279"/>
      <x:c r="H279"/>
      <x:c r="I279"/>
      <x:c r="J279"/>
      <x:c r="K279"/>
      <x:c r="L279"/>
      <x:c r="M279" s="205"/>
      <x:c r="N279"/>
      <x:c r="O279"/>
      <x:c r="Q279"/>
      <x:c r="R279"/>
      <x:c r="S279"/>
      <x:c r="T279"/>
      <x:c r="U279"/>
      <x:c r="V279"/>
      <x:c r="W279"/>
      <x:c r="X279"/>
      <x:c r="Y279"/>
      <x:c r="Z279"/>
      <x:c r="AA279"/>
    </x:row>
    <x:row r="280">
      <x:c r="D280" s="582" t="str">
        <x:f>IF(C280="","",IF(UPPER(TRIM(B280))="PERUMAHAN",IFERROR(VLOOKUP(C280,PERUMAHAN!$A:$B,2,FALSE),"ID tidak ditemukan"),""))</x:f>
      </x:c>
      <x:c r="E280"/>
      <x:c r="F280"/>
      <x:c r="G280"/>
      <x:c r="H280"/>
      <x:c r="I280"/>
      <x:c r="J280"/>
      <x:c r="K280"/>
      <x:c r="L280"/>
      <x:c r="M280" s="205"/>
      <x:c r="N280"/>
      <x:c r="O280"/>
      <x:c r="Q280"/>
      <x:c r="R280"/>
      <x:c r="S280"/>
      <x:c r="T280"/>
      <x:c r="U280"/>
      <x:c r="V280"/>
      <x:c r="W280"/>
      <x:c r="X280"/>
      <x:c r="Y280"/>
      <x:c r="Z280"/>
      <x:c r="AA280"/>
    </x:row>
    <x:row r="281">
      <x:c r="D281" s="582" t="str">
        <x:f>IF(C281="","",IF(UPPER(TRIM(B281))="PERUMAHAN",IFERROR(VLOOKUP(C281,PERUMAHAN!$A:$B,2,FALSE),"ID tidak ditemukan"),""))</x:f>
      </x:c>
      <x:c r="E281"/>
      <x:c r="F281"/>
      <x:c r="G281"/>
      <x:c r="H281"/>
      <x:c r="I281"/>
      <x:c r="J281"/>
      <x:c r="K281"/>
      <x:c r="L281"/>
      <x:c r="M281" s="205"/>
      <x:c r="N281"/>
      <x:c r="O281"/>
      <x:c r="Q281"/>
      <x:c r="R281"/>
      <x:c r="S281"/>
      <x:c r="T281"/>
      <x:c r="U281"/>
      <x:c r="V281"/>
      <x:c r="W281"/>
      <x:c r="X281"/>
      <x:c r="Y281"/>
      <x:c r="Z281"/>
      <x:c r="AA281"/>
    </x:row>
    <x:row r="282">
      <x:c r="D282" s="582" t="str">
        <x:f>IF(C282="","",IF(UPPER(TRIM(B282))="PERUMAHAN",IFERROR(VLOOKUP(C282,PERUMAHAN!$A:$B,2,FALSE),"ID tidak ditemukan"),""))</x:f>
      </x:c>
      <x:c r="E282"/>
      <x:c r="F282"/>
      <x:c r="G282"/>
      <x:c r="H282"/>
      <x:c r="I282"/>
      <x:c r="J282"/>
      <x:c r="K282"/>
      <x:c r="L282"/>
      <x:c r="M282" s="205"/>
      <x:c r="N282"/>
      <x:c r="O282"/>
      <x:c r="Q282"/>
      <x:c r="R282"/>
      <x:c r="S282"/>
      <x:c r="T282"/>
      <x:c r="U282"/>
      <x:c r="V282"/>
      <x:c r="W282"/>
      <x:c r="X282"/>
      <x:c r="Y282"/>
      <x:c r="Z282"/>
      <x:c r="AA282"/>
    </x:row>
    <x:row r="283">
      <x:c r="D283" s="582" t="str">
        <x:f>IF(C283="","",IF(UPPER(TRIM(B283))="PERUMAHAN",IFERROR(VLOOKUP(C283,PERUMAHAN!$A:$B,2,FALSE),"ID tidak ditemukan"),""))</x:f>
      </x:c>
      <x:c r="E283"/>
      <x:c r="F283"/>
      <x:c r="G283"/>
      <x:c r="H283"/>
      <x:c r="I283"/>
      <x:c r="J283"/>
      <x:c r="K283"/>
      <x:c r="L283"/>
      <x:c r="M283" s="205"/>
      <x:c r="N283"/>
      <x:c r="O283"/>
      <x:c r="Q283"/>
      <x:c r="R283"/>
      <x:c r="S283"/>
      <x:c r="T283"/>
      <x:c r="U283"/>
      <x:c r="V283"/>
      <x:c r="W283"/>
      <x:c r="X283"/>
      <x:c r="Y283"/>
      <x:c r="Z283"/>
      <x:c r="AA283"/>
    </x:row>
    <x:row r="284">
      <x:c r="D284" s="582" t="str">
        <x:f>IF(C284="","",IF(UPPER(TRIM(B284))="PERUMAHAN",IFERROR(VLOOKUP(C284,PERUMAHAN!$A:$B,2,FALSE),"ID tidak ditemukan"),""))</x:f>
      </x:c>
      <x:c r="E284"/>
      <x:c r="F284"/>
      <x:c r="G284"/>
      <x:c r="H284"/>
      <x:c r="I284"/>
      <x:c r="J284"/>
      <x:c r="K284"/>
      <x:c r="L284"/>
      <x:c r="M284" s="205"/>
      <x:c r="N284"/>
      <x:c r="O284"/>
      <x:c r="Q284"/>
      <x:c r="R284"/>
      <x:c r="S284"/>
      <x:c r="T284"/>
      <x:c r="U284"/>
      <x:c r="V284"/>
      <x:c r="W284"/>
      <x:c r="X284"/>
      <x:c r="Y284"/>
      <x:c r="Z284"/>
      <x:c r="AA284"/>
    </x:row>
    <x:row r="285">
      <x:c r="D285" s="582" t="str">
        <x:f>IF(C285="","",IF(UPPER(TRIM(B285))="PERUMAHAN",IFERROR(VLOOKUP(C285,PERUMAHAN!$A:$B,2,FALSE),"ID tidak ditemukan"),""))</x:f>
      </x:c>
      <x:c r="E285"/>
      <x:c r="F285"/>
      <x:c r="G285"/>
      <x:c r="H285"/>
      <x:c r="I285"/>
      <x:c r="J285"/>
      <x:c r="K285"/>
      <x:c r="L285"/>
      <x:c r="M285" s="205"/>
      <x:c r="N285"/>
      <x:c r="O285"/>
      <x:c r="Q285"/>
      <x:c r="R285"/>
      <x:c r="S285"/>
      <x:c r="T285"/>
      <x:c r="U285"/>
      <x:c r="V285"/>
      <x:c r="W285"/>
      <x:c r="X285"/>
      <x:c r="Y285"/>
      <x:c r="Z285"/>
      <x:c r="AA285"/>
    </x:row>
    <x:row r="286">
      <x:c r="D286" s="582" t="str">
        <x:f>IF(C286="","",IF(UPPER(TRIM(B286))="PERUMAHAN",IFERROR(VLOOKUP(C286,PERUMAHAN!$A:$B,2,FALSE),"ID tidak ditemukan"),""))</x:f>
      </x:c>
      <x:c r="E286"/>
      <x:c r="F286"/>
      <x:c r="G286"/>
      <x:c r="H286"/>
      <x:c r="I286"/>
      <x:c r="J286"/>
      <x:c r="K286"/>
      <x:c r="L286"/>
      <x:c r="M286" s="205"/>
      <x:c r="N286"/>
      <x:c r="O286"/>
      <x:c r="Q286"/>
      <x:c r="R286"/>
      <x:c r="S286"/>
      <x:c r="T286"/>
      <x:c r="U286"/>
      <x:c r="V286"/>
      <x:c r="W286"/>
      <x:c r="X286"/>
      <x:c r="Y286"/>
      <x:c r="Z286"/>
      <x:c r="AA286"/>
    </x:row>
    <x:row r="287">
      <x:c r="D287" s="582" t="str">
        <x:f>IF(C287="","",IF(UPPER(TRIM(B287))="PERUMAHAN",IFERROR(VLOOKUP(C287,PERUMAHAN!$A:$B,2,FALSE),"ID tidak ditemukan"),""))</x:f>
      </x:c>
      <x:c r="E287"/>
      <x:c r="F287"/>
      <x:c r="G287"/>
      <x:c r="H287"/>
      <x:c r="I287"/>
      <x:c r="J287"/>
      <x:c r="K287"/>
      <x:c r="L287"/>
      <x:c r="M287" s="205"/>
      <x:c r="N287"/>
      <x:c r="O287"/>
      <x:c r="Q287"/>
      <x:c r="R287"/>
      <x:c r="S287"/>
      <x:c r="T287"/>
      <x:c r="U287"/>
      <x:c r="V287"/>
      <x:c r="W287"/>
      <x:c r="X287"/>
      <x:c r="Y287"/>
      <x:c r="Z287"/>
      <x:c r="AA287"/>
    </x:row>
    <x:row r="288">
      <x:c r="D288" s="582" t="str">
        <x:f>IF(C288="","",IF(UPPER(TRIM(B288))="PERUMAHAN",IFERROR(VLOOKUP(C288,PERUMAHAN!$A:$B,2,FALSE),"ID tidak ditemukan"),""))</x:f>
      </x:c>
      <x:c r="E288"/>
      <x:c r="F288"/>
      <x:c r="G288"/>
      <x:c r="H288"/>
      <x:c r="I288"/>
      <x:c r="J288"/>
      <x:c r="K288"/>
      <x:c r="L288"/>
      <x:c r="M288" s="205"/>
      <x:c r="N288"/>
      <x:c r="O288"/>
      <x:c r="Q288"/>
      <x:c r="R288"/>
      <x:c r="S288"/>
      <x:c r="T288"/>
      <x:c r="U288"/>
      <x:c r="V288"/>
      <x:c r="W288"/>
      <x:c r="X288"/>
      <x:c r="Y288"/>
      <x:c r="Z288"/>
      <x:c r="AA288"/>
    </x:row>
    <x:row r="289">
      <x:c r="D289" s="582" t="str">
        <x:f>IF(C289="","",IF(UPPER(TRIM(B289))="PERUMAHAN",IFERROR(VLOOKUP(C289,PERUMAHAN!$A:$B,2,FALSE),"ID tidak ditemukan"),""))</x:f>
      </x:c>
      <x:c r="E289"/>
      <x:c r="F289"/>
      <x:c r="G289"/>
      <x:c r="H289"/>
      <x:c r="I289"/>
      <x:c r="J289"/>
      <x:c r="K289"/>
      <x:c r="L289"/>
      <x:c r="M289" s="205"/>
      <x:c r="N289"/>
      <x:c r="O289"/>
      <x:c r="Q289"/>
      <x:c r="R289"/>
      <x:c r="S289"/>
      <x:c r="T289"/>
      <x:c r="U289"/>
      <x:c r="V289"/>
      <x:c r="W289"/>
      <x:c r="X289"/>
      <x:c r="Y289"/>
      <x:c r="Z289"/>
      <x:c r="AA289"/>
    </x:row>
    <x:row r="290">
      <x:c r="D290" s="582" t="str">
        <x:f>IF(C290="","",IF(UPPER(TRIM(B290))="PERUMAHAN",IFERROR(VLOOKUP(C290,PERUMAHAN!$A:$B,2,FALSE),"ID tidak ditemukan"),""))</x:f>
      </x:c>
      <x:c r="E290"/>
      <x:c r="F290"/>
      <x:c r="G290"/>
      <x:c r="H290"/>
      <x:c r="I290"/>
      <x:c r="J290"/>
      <x:c r="K290"/>
      <x:c r="L290"/>
      <x:c r="M290" s="205"/>
      <x:c r="N290"/>
      <x:c r="O290"/>
      <x:c r="Q290"/>
      <x:c r="R290"/>
      <x:c r="S290"/>
      <x:c r="T290"/>
      <x:c r="U290"/>
      <x:c r="V290"/>
      <x:c r="W290"/>
      <x:c r="X290"/>
      <x:c r="Y290"/>
      <x:c r="Z290"/>
      <x:c r="AA290"/>
    </x:row>
    <x:row r="291">
      <x:c r="D291" s="582" t="str">
        <x:f>IF(C291="","",IF(UPPER(TRIM(B291))="PERUMAHAN",IFERROR(VLOOKUP(C291,PERUMAHAN!$A:$B,2,FALSE),"ID tidak ditemukan"),""))</x:f>
      </x:c>
      <x:c r="E291"/>
      <x:c r="F291"/>
      <x:c r="G291"/>
      <x:c r="H291"/>
      <x:c r="I291"/>
      <x:c r="J291"/>
      <x:c r="K291"/>
      <x:c r="L291"/>
      <x:c r="M291" s="205"/>
      <x:c r="N291"/>
      <x:c r="O291"/>
      <x:c r="Q291"/>
      <x:c r="R291"/>
      <x:c r="S291"/>
      <x:c r="T291"/>
      <x:c r="U291"/>
      <x:c r="V291"/>
      <x:c r="W291"/>
      <x:c r="X291"/>
      <x:c r="Y291"/>
      <x:c r="Z291"/>
      <x:c r="AA291"/>
    </x:row>
    <x:row r="292">
      <x:c r="D292" s="582" t="str">
        <x:f>IF(C292="","",IF(UPPER(TRIM(B292))="PERUMAHAN",IFERROR(VLOOKUP(C292,PERUMAHAN!$A:$B,2,FALSE),"ID tidak ditemukan"),""))</x:f>
      </x:c>
      <x:c r="E292"/>
      <x:c r="F292"/>
      <x:c r="G292"/>
      <x:c r="H292"/>
      <x:c r="I292"/>
      <x:c r="J292"/>
      <x:c r="K292"/>
      <x:c r="L292"/>
      <x:c r="M292" s="205"/>
      <x:c r="N292"/>
      <x:c r="O292"/>
      <x:c r="Q292"/>
      <x:c r="R292"/>
      <x:c r="S292"/>
      <x:c r="T292"/>
      <x:c r="U292"/>
      <x:c r="V292"/>
      <x:c r="W292"/>
      <x:c r="X292"/>
      <x:c r="Y292"/>
      <x:c r="Z292"/>
      <x:c r="AA292"/>
    </x:row>
    <x:row r="293">
      <x:c r="D293" s="582" t="str">
        <x:f>IF(C293="","",IF(UPPER(TRIM(B293))="PERUMAHAN",IFERROR(VLOOKUP(C293,PERUMAHAN!$A:$B,2,FALSE),"ID tidak ditemukan"),""))</x:f>
      </x:c>
      <x:c r="E293"/>
      <x:c r="F293"/>
      <x:c r="G293"/>
      <x:c r="H293"/>
      <x:c r="I293"/>
      <x:c r="J293"/>
      <x:c r="K293"/>
      <x:c r="L293"/>
      <x:c r="M293" s="205"/>
      <x:c r="N293"/>
      <x:c r="O293"/>
      <x:c r="Q293"/>
      <x:c r="R293"/>
      <x:c r="S293"/>
      <x:c r="T293"/>
      <x:c r="U293"/>
      <x:c r="V293"/>
      <x:c r="W293"/>
      <x:c r="X293"/>
      <x:c r="Y293"/>
      <x:c r="Z293"/>
      <x:c r="AA293"/>
    </x:row>
    <x:row r="294">
      <x:c r="D294" s="582" t="str">
        <x:f>IF(C294="","",IF(UPPER(TRIM(B294))="PERUMAHAN",IFERROR(VLOOKUP(C294,PERUMAHAN!$A:$B,2,FALSE),"ID tidak ditemukan"),""))</x:f>
      </x:c>
      <x:c r="E294"/>
      <x:c r="F294"/>
      <x:c r="G294"/>
      <x:c r="H294"/>
      <x:c r="I294"/>
      <x:c r="J294"/>
      <x:c r="K294"/>
      <x:c r="L294"/>
      <x:c r="M294" s="205"/>
      <x:c r="N294"/>
      <x:c r="O294"/>
      <x:c r="Q294"/>
      <x:c r="R294"/>
      <x:c r="S294"/>
      <x:c r="T294"/>
      <x:c r="U294"/>
      <x:c r="V294"/>
      <x:c r="W294"/>
      <x:c r="X294"/>
      <x:c r="Y294"/>
      <x:c r="Z294"/>
      <x:c r="AA294"/>
    </x:row>
    <x:row r="295">
      <x:c r="D295" s="582" t="str">
        <x:f>IF(C295="","",IF(UPPER(TRIM(B295))="PERUMAHAN",IFERROR(VLOOKUP(C295,PERUMAHAN!$A:$B,2,FALSE),"ID tidak ditemukan"),""))</x:f>
      </x:c>
      <x:c r="E295"/>
      <x:c r="F295"/>
      <x:c r="G295"/>
      <x:c r="H295"/>
      <x:c r="I295"/>
      <x:c r="J295"/>
      <x:c r="K295"/>
      <x:c r="L295"/>
      <x:c r="M295" s="205"/>
      <x:c r="N295"/>
      <x:c r="O295"/>
      <x:c r="Q295"/>
      <x:c r="R295"/>
      <x:c r="S295"/>
      <x:c r="T295"/>
      <x:c r="U295"/>
      <x:c r="V295"/>
      <x:c r="W295"/>
      <x:c r="X295"/>
      <x:c r="Y295"/>
      <x:c r="Z295"/>
      <x:c r="AA295"/>
    </x:row>
    <x:row r="296">
      <x:c r="D296" s="582" t="str">
        <x:f>IF(C296="","",IF(UPPER(TRIM(B296))="PERUMAHAN",IFERROR(VLOOKUP(C296,PERUMAHAN!$A:$B,2,FALSE),"ID tidak ditemukan"),""))</x:f>
      </x:c>
      <x:c r="E296"/>
      <x:c r="F296"/>
      <x:c r="G296"/>
      <x:c r="H296"/>
      <x:c r="I296"/>
      <x:c r="J296"/>
      <x:c r="K296"/>
      <x:c r="L296"/>
      <x:c r="M296" s="205"/>
      <x:c r="N296"/>
      <x:c r="O296"/>
      <x:c r="Q296"/>
      <x:c r="R296"/>
      <x:c r="S296"/>
      <x:c r="T296"/>
      <x:c r="U296"/>
      <x:c r="V296"/>
      <x:c r="W296"/>
      <x:c r="X296"/>
      <x:c r="Y296"/>
      <x:c r="Z296"/>
      <x:c r="AA296"/>
    </x:row>
    <x:row r="297">
      <x:c r="D297" s="582" t="str">
        <x:f>IF(C297="","",IF(UPPER(TRIM(B297))="PERUMAHAN",IFERROR(VLOOKUP(C297,PERUMAHAN!$A:$B,2,FALSE),"ID tidak ditemukan"),""))</x:f>
      </x:c>
      <x:c r="E297"/>
      <x:c r="F297"/>
      <x:c r="G297"/>
      <x:c r="H297"/>
      <x:c r="I297"/>
      <x:c r="J297"/>
      <x:c r="K297"/>
      <x:c r="L297"/>
      <x:c r="M297" s="205"/>
      <x:c r="N297"/>
      <x:c r="O297"/>
      <x:c r="Q297"/>
      <x:c r="R297"/>
      <x:c r="S297"/>
      <x:c r="T297"/>
      <x:c r="U297"/>
      <x:c r="V297"/>
      <x:c r="W297"/>
      <x:c r="X297"/>
      <x:c r="Y297"/>
      <x:c r="Z297"/>
      <x:c r="AA297"/>
    </x:row>
    <x:row r="298">
      <x:c r="D298" s="582" t="str">
        <x:f>IF(C298="","",IF(UPPER(TRIM(B298))="PERUMAHAN",IFERROR(VLOOKUP(C298,PERUMAHAN!$A:$B,2,FALSE),"ID tidak ditemukan"),""))</x:f>
      </x:c>
      <x:c r="E298"/>
      <x:c r="F298"/>
      <x:c r="G298"/>
      <x:c r="H298"/>
      <x:c r="I298"/>
      <x:c r="J298"/>
      <x:c r="K298"/>
      <x:c r="L298"/>
      <x:c r="M298" s="205"/>
      <x:c r="N298"/>
      <x:c r="O298"/>
      <x:c r="Q298"/>
      <x:c r="R298"/>
      <x:c r="S298"/>
      <x:c r="T298"/>
      <x:c r="U298"/>
      <x:c r="V298"/>
      <x:c r="W298"/>
      <x:c r="X298"/>
      <x:c r="Y298"/>
      <x:c r="Z298"/>
      <x:c r="AA298"/>
    </x:row>
    <x:row r="299">
      <x:c r="D299" s="582" t="str">
        <x:f>IF(C299="","",IF(UPPER(TRIM(B299))="PERUMAHAN",IFERROR(VLOOKUP(C299,PERUMAHAN!$A:$B,2,FALSE),"ID tidak ditemukan"),""))</x:f>
      </x:c>
      <x:c r="E299"/>
      <x:c r="F299"/>
      <x:c r="G299"/>
      <x:c r="H299"/>
      <x:c r="I299"/>
      <x:c r="J299"/>
      <x:c r="K299"/>
      <x:c r="L299"/>
      <x:c r="M299" s="205"/>
      <x:c r="N299"/>
      <x:c r="O299"/>
      <x:c r="Q299"/>
      <x:c r="R299"/>
      <x:c r="S299"/>
      <x:c r="T299"/>
      <x:c r="U299"/>
      <x:c r="V299"/>
      <x:c r="W299"/>
      <x:c r="X299"/>
      <x:c r="Y299"/>
      <x:c r="Z299"/>
      <x:c r="AA299"/>
    </x:row>
    <x:row r="300">
      <x:c r="D300" s="582" t="str">
        <x:f>IF(C300="","",IF(UPPER(TRIM(B300))="PERUMAHAN",IFERROR(VLOOKUP(C300,PERUMAHAN!$A:$B,2,FALSE),"ID tidak ditemukan"),""))</x:f>
      </x:c>
      <x:c r="E300"/>
      <x:c r="F300"/>
      <x:c r="G300"/>
      <x:c r="H300"/>
      <x:c r="I300"/>
      <x:c r="J300"/>
      <x:c r="K300"/>
      <x:c r="L300"/>
      <x:c r="M300" s="205"/>
      <x:c r="N300"/>
      <x:c r="O300"/>
      <x:c r="Q300"/>
      <x:c r="R300"/>
      <x:c r="S300"/>
      <x:c r="T300"/>
      <x:c r="U300"/>
      <x:c r="V300"/>
      <x:c r="W300"/>
      <x:c r="X300"/>
      <x:c r="Y300"/>
      <x:c r="Z300"/>
      <x:c r="AA300"/>
    </x:row>
    <x:row r="301">
      <x:c r="M301" s="205"/>
    </x:row>
    <x:row r="302">
      <x:c r="M302" s="205"/>
    </x:row>
    <x:row r="303">
      <x:c r="M303" s="205"/>
    </x:row>
    <x:row r="304">
      <x:c r="M304" s="205"/>
    </x:row>
    <x:row r="305">
      <x:c r="M305" s="205"/>
    </x:row>
    <x:row r="306">
      <x:c r="M306" s="205"/>
    </x:row>
    <x:row r="307">
      <x:c r="M307" s="205"/>
    </x:row>
    <x:row r="308">
      <x:c r="M308" s="205"/>
    </x:row>
    <x:row r="309">
      <x:c r="M309" s="205"/>
    </x:row>
    <x:row r="310">
      <x:c r="M310" s="205"/>
    </x:row>
    <x:row r="311">
      <x:c r="M311" s="205"/>
    </x:row>
    <x:row r="312">
      <x:c r="M312" s="205"/>
    </x:row>
    <x:row r="313">
      <x:c r="M313" s="205"/>
    </x:row>
    <x:row r="314">
      <x:c r="M314" s="205"/>
    </x:row>
    <x:row r="315">
      <x:c r="M315" s="205"/>
    </x:row>
    <x:row r="316">
      <x:c r="M316" s="205"/>
    </x:row>
    <x:row r="317">
      <x:c r="M317" s="205"/>
    </x:row>
    <x:row r="318">
      <x:c r="M318" s="205"/>
    </x:row>
    <x:row r="319">
      <x:c r="M319" s="205"/>
    </x:row>
    <x:row r="320">
      <x:c r="M320" s="205"/>
    </x:row>
    <x:row r="321">
      <x:c r="M321" s="205"/>
    </x:row>
    <x:row r="322">
      <x:c r="M322" s="205"/>
    </x:row>
    <x:row r="323">
      <x:c r="M323" s="205"/>
    </x:row>
    <x:row r="324">
      <x:c r="M324" s="205"/>
    </x:row>
    <x:row r="325">
      <x:c r="M325" s="205"/>
    </x:row>
    <x:row r="326">
      <x:c r="M326" s="205"/>
    </x:row>
    <x:row r="327">
      <x:c r="M327" s="205"/>
    </x:row>
    <x:row r="328">
      <x:c r="M328" s="205"/>
    </x:row>
    <x:row r="329">
      <x:c r="M329" s="205"/>
    </x:row>
    <x:row r="330">
      <x:c r="M330" s="205"/>
    </x:row>
    <x:row r="331">
      <x:c r="M331" s="205"/>
    </x:row>
    <x:row r="332">
      <x:c r="M332" s="205"/>
    </x:row>
    <x:row r="333">
      <x:c r="M333" s="205"/>
    </x:row>
    <x:row r="334">
      <x:c r="M334" s="205"/>
    </x:row>
    <x:row r="335">
      <x:c r="M335" s="205"/>
    </x:row>
    <x:row r="336">
      <x:c r="M336" s="205"/>
    </x:row>
    <x:row r="337">
      <x:c r="M337" s="205"/>
    </x:row>
    <x:row r="338">
      <x:c r="M338" s="205"/>
    </x:row>
    <x:row r="339">
      <x:c r="M339" s="205"/>
    </x:row>
    <x:row r="340">
      <x:c r="M340" s="205"/>
    </x:row>
    <x:row r="341">
      <x:c r="M341" s="205"/>
    </x:row>
    <x:row r="342">
      <x:c r="M342" s="205"/>
    </x:row>
    <x:row r="343">
      <x:c r="M343" s="205"/>
    </x:row>
    <x:row r="344">
      <x:c r="M344" s="205"/>
    </x:row>
    <x:row r="345">
      <x:c r="M345" s="205"/>
    </x:row>
    <x:row r="346">
      <x:c r="M346" s="205"/>
    </x:row>
    <x:row r="347">
      <x:c r="M347" s="205"/>
    </x:row>
    <x:row r="348">
      <x:c r="M348" s="205"/>
    </x:row>
    <x:row r="349">
      <x:c r="M349" s="205"/>
    </x:row>
    <x:row r="350">
      <x:c r="M350" s="205"/>
    </x:row>
    <x:row r="351">
      <x:c r="M351" s="205"/>
    </x:row>
    <x:row r="352">
      <x:c r="M352" s="205"/>
    </x:row>
    <x:row r="353">
      <x:c r="M353" s="205"/>
    </x:row>
    <x:row r="354">
      <x:c r="M354" s="205"/>
    </x:row>
    <x:row r="355">
      <x:c r="M355" s="205"/>
    </x:row>
    <x:row r="356">
      <x:c r="M356" s="205"/>
    </x:row>
    <x:row r="357">
      <x:c r="M357" s="205"/>
    </x:row>
    <x:row r="358">
      <x:c r="M358" s="205"/>
    </x:row>
    <x:row r="359">
      <x:c r="M359" s="205"/>
    </x:row>
    <x:row r="360">
      <x:c r="M360" s="205"/>
    </x:row>
    <x:row r="361">
      <x:c r="M361" s="205"/>
    </x:row>
    <x:row r="362">
      <x:c r="M362" s="205"/>
    </x:row>
    <x:row r="363">
      <x:c r="M363" s="205"/>
    </x:row>
    <x:row r="364">
      <x:c r="M364" s="205"/>
    </x:row>
    <x:row r="365">
      <x:c r="M365" s="205"/>
    </x:row>
    <x:row r="366">
      <x:c r="M366" s="205"/>
    </x:row>
    <x:row r="367">
      <x:c r="M367" s="205"/>
    </x:row>
    <x:row r="368">
      <x:c r="M368" s="205"/>
    </x:row>
    <x:row r="369">
      <x:c r="M369" s="205"/>
    </x:row>
    <x:row r="370">
      <x:c r="M370" s="205"/>
    </x:row>
    <x:row r="371">
      <x:c r="M371" s="205"/>
    </x:row>
    <x:row r="372">
      <x:c r="M372" s="205"/>
    </x:row>
    <x:row r="373">
      <x:c r="M373" s="205"/>
    </x:row>
    <x:row r="374">
      <x:c r="M374" s="205"/>
    </x:row>
    <x:row r="375">
      <x:c r="M375" s="205"/>
    </x:row>
    <x:row r="376">
      <x:c r="M376" s="205"/>
    </x:row>
    <x:row r="377">
      <x:c r="M377" s="205"/>
    </x:row>
    <x:row r="378">
      <x:c r="M378" s="205"/>
    </x:row>
    <x:row r="379">
      <x:c r="M379" s="205"/>
    </x:row>
    <x:row r="380">
      <x:c r="M380" s="205"/>
    </x:row>
    <x:row r="381">
      <x:c r="M381" s="205"/>
    </x:row>
    <x:row r="382">
      <x:c r="M382" s="205"/>
    </x:row>
    <x:row r="383">
      <x:c r="M383" s="205"/>
    </x:row>
    <x:row r="384">
      <x:c r="M384" s="205"/>
    </x:row>
    <x:row r="385">
      <x:c r="M385" s="205"/>
    </x:row>
    <x:row r="386">
      <x:c r="M386" s="205"/>
    </x:row>
    <x:row r="387">
      <x:c r="M387" s="205"/>
    </x:row>
    <x:row r="388">
      <x:c r="M388" s="205"/>
    </x:row>
    <x:row r="389">
      <x:c r="M389" s="205"/>
    </x:row>
    <x:row r="390">
      <x:c r="M390" s="205"/>
    </x:row>
    <x:row r="391">
      <x:c r="M391" s="205"/>
    </x:row>
    <x:row r="392">
      <x:c r="M392" s="205"/>
    </x:row>
    <x:row r="393">
      <x:c r="M393" s="205"/>
    </x:row>
    <x:row r="394">
      <x:c r="M394" s="205"/>
    </x:row>
    <x:row r="395">
      <x:c r="M395" s="205"/>
    </x:row>
    <x:row r="396">
      <x:c r="M396" s="205"/>
    </x:row>
    <x:row r="397">
      <x:c r="M397" s="205"/>
    </x:row>
    <x:row r="398">
      <x:c r="M398" s="205"/>
    </x:row>
    <x:row r="399">
      <x:c r="M399" s="205"/>
    </x:row>
    <x:row r="400">
      <x:c r="M400" s="205"/>
    </x:row>
    <x:row r="401">
      <x:c r="M401" s="205"/>
    </x:row>
    <x:row r="402">
      <x:c r="M402" s="205"/>
    </x:row>
    <x:row r="403">
      <x:c r="M403" s="205"/>
    </x:row>
    <x:row r="404">
      <x:c r="M404" s="205"/>
    </x:row>
    <x:row r="405">
      <x:c r="M405" s="205"/>
    </x:row>
    <x:row r="406">
      <x:c r="M406" s="205"/>
    </x:row>
    <x:row r="407">
      <x:c r="M407" s="205"/>
    </x:row>
    <x:row r="408">
      <x:c r="M408" s="205"/>
    </x:row>
    <x:row r="409">
      <x:c r="M409" s="205"/>
    </x:row>
    <x:row r="410">
      <x:c r="M410" s="205"/>
    </x:row>
    <x:row r="411">
      <x:c r="M411" s="205"/>
    </x:row>
    <x:row r="412">
      <x:c r="M412" s="205"/>
    </x:row>
    <x:row r="413">
      <x:c r="M413" s="205"/>
    </x:row>
    <x:row r="414">
      <x:c r="M414" s="205"/>
    </x:row>
    <x:row r="415">
      <x:c r="M415" s="205"/>
    </x:row>
    <x:row r="416">
      <x:c r="M416" s="205"/>
    </x:row>
    <x:row r="417">
      <x:c r="M417" s="205"/>
    </x:row>
    <x:row r="418">
      <x:c r="M418" s="205"/>
    </x:row>
    <x:row r="419">
      <x:c r="M419" s="205"/>
    </x:row>
    <x:row r="420">
      <x:c r="M420" s="205"/>
    </x:row>
    <x:row r="421">
      <x:c r="M421" s="205"/>
    </x:row>
    <x:row r="422">
      <x:c r="M422" s="205"/>
    </x:row>
    <x:row r="423">
      <x:c r="M423" s="205"/>
    </x:row>
    <x:row r="424">
      <x:c r="M424" s="205"/>
    </x:row>
    <x:row r="425">
      <x:c r="M425" s="205"/>
    </x:row>
    <x:row r="426">
      <x:c r="M426" s="205"/>
    </x:row>
    <x:row r="427">
      <x:c r="M427" s="205"/>
    </x:row>
    <x:row r="428">
      <x:c r="M428" s="205"/>
    </x:row>
    <x:row r="429">
      <x:c r="M429" s="205"/>
    </x:row>
    <x:row r="430">
      <x:c r="M430" s="205"/>
    </x:row>
    <x:row r="431">
      <x:c r="M431" s="205"/>
    </x:row>
    <x:row r="432">
      <x:c r="M432" s="205"/>
    </x:row>
    <x:row r="433">
      <x:c r="M433" s="205"/>
    </x:row>
    <x:row r="434">
      <x:c r="M434" s="205"/>
    </x:row>
    <x:row r="435">
      <x:c r="M435" s="205"/>
    </x:row>
    <x:row r="436">
      <x:c r="M436" s="205"/>
    </x:row>
    <x:row r="437">
      <x:c r="M437" s="205"/>
    </x:row>
    <x:row r="438">
      <x:c r="M438" s="205"/>
    </x:row>
    <x:row r="439">
      <x:c r="M439" s="205"/>
    </x:row>
    <x:row r="440">
      <x:c r="M440" s="205"/>
    </x:row>
    <x:row r="441">
      <x:c r="M441" s="205"/>
    </x:row>
    <x:row r="442">
      <x:c r="M442" s="205"/>
    </x:row>
    <x:row r="443">
      <x:c r="M443" s="205"/>
    </x:row>
    <x:row r="444">
      <x:c r="M444" s="205"/>
    </x:row>
    <x:row r="445">
      <x:c r="M445" s="205"/>
    </x:row>
    <x:row r="446">
      <x:c r="M446" s="205"/>
    </x:row>
    <x:row r="447">
      <x:c r="M447" s="205"/>
    </x:row>
    <x:row r="448">
      <x:c r="M448" s="205"/>
    </x:row>
    <x:row r="449">
      <x:c r="M449" s="205"/>
    </x:row>
    <x:row r="450">
      <x:c r="M450" s="205"/>
    </x:row>
    <x:row r="451">
      <x:c r="M451" s="205"/>
    </x:row>
    <x:row r="452">
      <x:c r="M452" s="205"/>
    </x:row>
    <x:row r="453">
      <x:c r="M453" s="205"/>
    </x:row>
    <x:row r="454">
      <x:c r="M454" s="205"/>
    </x:row>
    <x:row r="455">
      <x:c r="M455" s="205"/>
    </x:row>
    <x:row r="456">
      <x:c r="M456" s="205"/>
    </x:row>
    <x:row r="457">
      <x:c r="M457" s="205"/>
    </x:row>
    <x:row r="458">
      <x:c r="M458" s="205"/>
    </x:row>
    <x:row r="459">
      <x:c r="M459" s="205"/>
    </x:row>
    <x:row r="460">
      <x:c r="M460" s="205"/>
    </x:row>
    <x:row r="461">
      <x:c r="M461" s="205"/>
    </x:row>
    <x:row r="462">
      <x:c r="M462" s="205"/>
    </x:row>
    <x:row r="463">
      <x:c r="M463" s="205"/>
    </x:row>
    <x:row r="464">
      <x:c r="M464" s="205"/>
    </x:row>
    <x:row r="465">
      <x:c r="M465" s="205"/>
    </x:row>
    <x:row r="466">
      <x:c r="M466" s="205"/>
    </x:row>
    <x:row r="467">
      <x:c r="M467" s="205"/>
    </x:row>
    <x:row r="468">
      <x:c r="M468" s="205"/>
    </x:row>
    <x:row r="469">
      <x:c r="M469" s="205"/>
    </x:row>
    <x:row r="470">
      <x:c r="M470" s="205"/>
    </x:row>
    <x:row r="471">
      <x:c r="M471" s="205"/>
    </x:row>
    <x:row r="472">
      <x:c r="M472" s="205"/>
    </x:row>
    <x:row r="473">
      <x:c r="M473" s="205"/>
    </x:row>
    <x:row r="474">
      <x:c r="M474" s="205"/>
    </x:row>
    <x:row r="475">
      <x:c r="M475" s="205"/>
    </x:row>
    <x:row r="476">
      <x:c r="M476" s="205"/>
    </x:row>
    <x:row r="477">
      <x:c r="M477" s="205"/>
    </x:row>
    <x:row r="478">
      <x:c r="M478" s="205"/>
    </x:row>
    <x:row r="479">
      <x:c r="M479" s="205"/>
    </x:row>
    <x:row r="480">
      <x:c r="M480" s="205"/>
    </x:row>
    <x:row r="481">
      <x:c r="M481" s="205"/>
    </x:row>
    <x:row r="482">
      <x:c r="M482" s="205"/>
    </x:row>
    <x:row r="483">
      <x:c r="M483" s="205"/>
    </x:row>
    <x:row r="484">
      <x:c r="M484" s="205"/>
    </x:row>
    <x:row r="485">
      <x:c r="M485" s="205"/>
    </x:row>
    <x:row r="486">
      <x:c r="M486" s="205"/>
    </x:row>
    <x:row r="487">
      <x:c r="M487" s="205"/>
    </x:row>
    <x:row r="488">
      <x:c r="M488" s="205"/>
    </x:row>
    <x:row r="489">
      <x:c r="M489" s="205"/>
    </x:row>
    <x:row r="490">
      <x:c r="M490" s="205"/>
    </x:row>
    <x:row r="491">
      <x:c r="M491" s="205"/>
    </x:row>
    <x:row r="492">
      <x:c r="M492" s="205"/>
    </x:row>
    <x:row r="493">
      <x:c r="M493" s="205"/>
    </x:row>
    <x:row r="494">
      <x:c r="M494" s="205"/>
    </x:row>
    <x:row r="495">
      <x:c r="M495" s="205"/>
    </x:row>
    <x:row r="496">
      <x:c r="M496" s="205"/>
    </x:row>
    <x:row r="497">
      <x:c r="M497" s="205"/>
    </x:row>
    <x:row r="498">
      <x:c r="M498" s="205"/>
    </x:row>
    <x:row r="499">
      <x:c r="M499" s="205"/>
    </x:row>
    <x:row r="500">
      <x:c r="M500" s="205"/>
    </x:row>
  </x:sheetData>
  <x:mergeCells>
    <x:mergeCell ref="A1:O1"/>
    <x:mergeCell ref="A2:O2"/>
    <x:mergeCell ref="A3:O3"/>
  </x:mergeCells>
  <x:conditionalFormatting sqref="I6:I500">
    <x:cfRule type="expression" dxfId="12" priority="1">
      <x:formula>I6="PUBLIK"</x:formula>
    </x:cfRule>
    <x:cfRule type="expression" dxfId="11" priority="2">
      <x:formula>I6="INTERNAL"</x:formula>
    </x:cfRule>
  </x:conditionalFormatting>
  <x:conditionalFormatting sqref="J6:J500">
    <x:cfRule type="expression" dxfId="10" priority="3">
      <x:formula>J6="TERVERIFIKASI"</x:formula>
    </x:cfRule>
    <x:cfRule type="expression" dxfId="9" priority="4">
      <x:formula>J6="BELUM DIVERIFIKASI"</x:formula>
    </x:cfRule>
  </x:conditionalFormatting>
  <x:dataValidations count="4">
    <x:dataValidation type="list" sqref="J6:J500">
      <x:formula1>"TERVERIFIKASI,BELUM DIVERIFIKASI"</x:formula1>
    </x:dataValidation>
    <x:dataValidation type="list" sqref="I6:I500">
      <x:formula1>"PUBLIK,INTERNAL"</x:formula1>
    </x:dataValidation>
    <x:dataValidation type="list" sqref="D6:D500">
      <x:formula1>"SITE_PLAN,BAST_PSU,BERITA_ACARA_VERIFIKASI,SK,PETA,FOTO_DOKUMENTASI,LAPORAN,SURAT,DOKUMEN_LAINNYA"</x:formula1>
    </x:dataValidation>
    <x:dataValidation type="list" sqref="B6:B500">
      <x:formula1>"PERUMAHAN,PSU,RTLH,RUSUNAWA,KAWASAN_KUMUH,SNAPSHOT"</x:formula1>
    </x:dataValidation>
  </x:dataValidations>
  <x:pageMargins left="0.7" right="0.7" top="0.75" bottom="0.75" header="0.3" footer="0.3"/>
</x:worksheet>
</file>

<file path=xl/worksheets/sheet4.xml><?xml version="1.0" encoding="utf-8"?>
<x:worksheet xmlns:x="http://schemas.openxmlformats.org/spreadsheetml/2006/main">
  <x:sheetFormatPr defaultRowHeight="14"/>
  <x:cols>
    <x:col min="1" max="1" width="14" customWidth="1"/>
    <x:col min="2" max="2" width="16" customWidth="1"/>
    <x:col min="3" max="3" width="21" customWidth="1"/>
    <x:col min="4" max="4" width="14" customWidth="1"/>
    <x:col min="5" max="6" width="15" customWidth="1"/>
    <x:col min="7" max="7" width="22" customWidth="1"/>
    <x:col min="8" max="8" width="14" customWidth="1"/>
    <x:col min="9" max="9" width="12" customWidth="1"/>
    <x:col min="10" max="12" width="19" customWidth="1"/>
    <x:col min="13" max="13" width="12" customWidth="1"/>
    <x:col min="14" max="14" width="28" customWidth="1"/>
    <x:col min="15" max="15" width="18" customWidth="1"/>
    <x:col min="16" max="16" width="16" customWidth="1"/>
    <x:col min="17" max="17" width="20" customWidth="1"/>
    <x:col min="18" max="18" width="30" customWidth="1"/>
  </x:cols>
  <x:sheetData>
    <x:row r="1" ht="23">
      <x:c r="A1" s="266" t="s">
        <x:v>1335</x:v>
      </x:c>
      <x:c r="B1" s="266"/>
      <x:c r="C1" s="266"/>
      <x:c r="D1" s="266"/>
      <x:c r="E1" s="266"/>
      <x:c r="F1" s="266"/>
      <x:c r="G1" s="266"/>
      <x:c r="H1" s="266"/>
      <x:c r="I1" s="266"/>
      <x:c r="J1" s="266"/>
      <x:c r="K1" s="266"/>
      <x:c r="L1" s="267"/>
      <x:c r="M1" s="267"/>
      <x:c r="N1" s="267"/>
      <x:c r="O1" s="267"/>
      <x:c r="P1" s="267"/>
      <x:c r="Q1" s="267"/>
      <x:c r="R1" s="267"/>
    </x:row>
    <x:row r="2" ht="6.400000095367432" customHeight="1">
      <x:c r="A2" s="268" t="s">
        <x:v>1336</x:v>
      </x:c>
      <x:c r="B2" s="268"/>
      <x:c r="C2" s="268"/>
      <x:c r="D2" s="268"/>
      <x:c r="E2" s="268"/>
      <x:c r="F2" s="268"/>
      <x:c r="G2" s="268"/>
      <x:c r="H2" s="268"/>
      <x:c r="I2" s="268"/>
      <x:c r="J2" s="268"/>
      <x:c r="K2" s="268"/>
      <x:c r="L2" s="269"/>
      <x:c r="M2" s="269"/>
      <x:c r="N2" s="269"/>
      <x:c r="O2" s="269"/>
      <x:c r="P2" s="269"/>
      <x:c r="Q2" s="269"/>
      <x:c r="R2" s="269"/>
    </x:row>
    <x:row r="3" ht="11.25" customHeight="1">
      <x:c r="A3" s="270" t="s">
        <x:v>1337</x:v>
      </x:c>
      <x:c r="B3" s="270"/>
      <x:c r="C3" s="270"/>
      <x:c r="D3" s="270"/>
      <x:c r="E3" s="270"/>
      <x:c r="F3" s="270"/>
      <x:c r="G3" s="270"/>
      <x:c r="H3" s="270"/>
      <x:c r="I3" s="270"/>
      <x:c r="J3" s="270"/>
      <x:c r="K3" s="270"/>
      <x:c r="L3" s="271"/>
      <x:c r="M3" s="271"/>
      <x:c r="N3" s="271"/>
      <x:c r="O3" s="271"/>
      <x:c r="P3" s="271"/>
      <x:c r="Q3" s="271"/>
      <x:c r="R3" s="271"/>
    </x:row>
    <x:row r="5" ht="28">
      <x:c r="A5" s="79" t="s">
        <x:v>1338</x:v>
      </x:c>
      <x:c r="B5" s="80" t="s">
        <x:v>1339</x:v>
      </x:c>
      <x:c r="C5" s="80" t="s">
        <x:v>1340</x:v>
      </x:c>
      <x:c r="D5" s="80" t="s">
        <x:v>1341</x:v>
      </x:c>
      <x:c r="E5" s="80" t="s">
        <x:v>1342</x:v>
      </x:c>
      <x:c r="F5" s="80" t="s">
        <x:v>1343</x:v>
      </x:c>
      <x:c r="G5" s="80" t="s">
        <x:v>1344</x:v>
      </x:c>
      <x:c r="H5" s="80" t="s">
        <x:v>1345</x:v>
      </x:c>
      <x:c r="I5" s="80" t="s">
        <x:v>1346</x:v>
      </x:c>
      <x:c r="J5" s="80" t="s">
        <x:v>1347</x:v>
      </x:c>
      <x:c r="K5" s="81" t="s">
        <x:v>1348</x:v>
      </x:c>
      <x:c r="L5" s="82" t="s">
        <x:v>1349</x:v>
      </x:c>
      <x:c r="M5" s="82" t="s">
        <x:v>27</x:v>
      </x:c>
      <x:c r="N5" s="82" t="s">
        <x:v>28</x:v>
      </x:c>
      <x:c r="O5" s="82" t="s">
        <x:v>29</x:v>
      </x:c>
      <x:c r="P5" s="82" t="s">
        <x:v>30</x:v>
      </x:c>
      <x:c r="Q5" s="82" t="s">
        <x:v>31</x:v>
      </x:c>
      <x:c r="R5" s="83" t="s">
        <x:v>1276</x:v>
      </x:c>
    </x:row>
    <x:row r="6" ht="28">
      <x:c r="A6" s="84" t="s">
        <x:v>1350</x:v>
      </x:c>
      <x:c r="B6" s="85" t="s">
        <x:v>1351</x:v>
      </x:c>
      <x:c r="C6" s="85" t="s">
        <x:v>102</x:v>
      </x:c>
      <x:c r="D6" s="86">
        <x:v>11467</x:v>
      </x:c>
      <x:c r="E6" s="86">
        <x:v>8016</x:v>
      </x:c>
      <x:c r="F6" s="86">
        <x:v>474</x:v>
      </x:c>
      <x:c r="G6" s="86">
        <x:v>946</x:v>
      </x:c>
      <x:c r="H6" s="86">
        <x:v>34</x:v>
      </x:c>
      <x:c r="I6" s="86">
        <x:v>30</x:v>
      </x:c>
      <x:c r="J6" s="87" t="n">
        <x:f t="shared" ref="J6:J12" si="0">SUM(E6:I6)</x:f>
        <x:v>9500</x:v>
      </x:c>
      <x:c r="K6" s="88" t="n">
        <x:f t="shared" ref="K6:K12" si="1">SUM(F6:I6)</x:f>
        <x:v>1484</x:v>
      </x:c>
      <x:c r="L6" s="89" t="n">
        <x:f t="shared" ref="L6:L12" si="2">D6-SUM(E6,F6,H6)</x:f>
        <x:v>2943</x:v>
      </x:c>
      <x:c r="M6" s="90">
        <x:v>2023</x:v>
      </x:c>
      <x:c r="N6" s="91" t="s">
        <x:v>1352</x:v>
      </x:c>
      <x:c r="O6" s="91" t="s">
        <x:v>223</x:v>
      </x:c>
      <x:c r="P6" s="92"/>
      <x:c r="Q6" s="91"/>
      <x:c r="R6" s="91"/>
    </x:row>
    <x:row r="7" ht="28">
      <x:c r="A7" s="93" t="s">
        <x:v>1353</x:v>
      </x:c>
      <x:c r="B7" s="94" t="s">
        <x:v>1351</x:v>
      </x:c>
      <x:c r="C7" s="94" t="s">
        <x:v>1354</x:v>
      </x:c>
      <x:c r="D7" s="95">
        <x:v>5264</x:v>
      </x:c>
      <x:c r="E7" s="95">
        <x:v>3173</x:v>
      </x:c>
      <x:c r="F7" s="95">
        <x:v>646</x:v>
      </x:c>
      <x:c r="G7" s="95">
        <x:v>925</x:v>
      </x:c>
      <x:c r="H7" s="95">
        <x:v>21</x:v>
      </x:c>
      <x:c r="I7" s="95">
        <x:v>40</x:v>
      </x:c>
      <x:c r="J7" s="96">
        <x:f t="shared" si="0"/>
        <x:v>4805</x:v>
      </x:c>
      <x:c r="K7" s="97">
        <x:f t="shared" si="1"/>
        <x:v>1632</x:v>
      </x:c>
      <x:c r="L7" s="89">
        <x:f t="shared" si="2"/>
        <x:v>1424</x:v>
      </x:c>
      <x:c r="M7" s="90">
        <x:v>2023</x:v>
      </x:c>
      <x:c r="N7" s="91" t="s">
        <x:v>1352</x:v>
      </x:c>
      <x:c r="O7" s="91" t="s">
        <x:v>223</x:v>
      </x:c>
      <x:c r="P7" s="92"/>
      <x:c r="Q7" s="91"/>
      <x:c r="R7" s="91"/>
    </x:row>
    <x:row r="8" ht="28">
      <x:c r="A8" s="93" t="s">
        <x:v>1355</x:v>
      </x:c>
      <x:c r="B8" s="94" t="s">
        <x:v>1351</x:v>
      </x:c>
      <x:c r="C8" s="94" t="s">
        <x:v>126</x:v>
      </x:c>
      <x:c r="D8" s="95">
        <x:v>5982</x:v>
      </x:c>
      <x:c r="E8" s="95">
        <x:v>4318</x:v>
      </x:c>
      <x:c r="F8" s="95">
        <x:v>528</x:v>
      </x:c>
      <x:c r="G8" s="95">
        <x:v>922</x:v>
      </x:c>
      <x:c r="H8" s="95">
        <x:v>6</x:v>
      </x:c>
      <x:c r="I8" s="95">
        <x:v>15</x:v>
      </x:c>
      <x:c r="J8" s="96">
        <x:f t="shared" si="0"/>
        <x:v>5789</x:v>
      </x:c>
      <x:c r="K8" s="97">
        <x:f t="shared" si="1"/>
        <x:v>1471</x:v>
      </x:c>
      <x:c r="L8" s="89">
        <x:f t="shared" si="2"/>
        <x:v>1130</x:v>
      </x:c>
      <x:c r="M8" s="90">
        <x:v>2023</x:v>
      </x:c>
      <x:c r="N8" s="91" t="s">
        <x:v>1352</x:v>
      </x:c>
      <x:c r="O8" s="91" t="s">
        <x:v>223</x:v>
      </x:c>
      <x:c r="P8" s="92"/>
      <x:c r="Q8" s="91"/>
      <x:c r="R8" s="91"/>
    </x:row>
    <x:row r="9" ht="28">
      <x:c r="A9" s="93" t="s">
        <x:v>1356</x:v>
      </x:c>
      <x:c r="B9" s="94" t="s">
        <x:v>1351</x:v>
      </x:c>
      <x:c r="C9" s="94" t="s">
        <x:v>1200</x:v>
      </x:c>
      <x:c r="D9" s="95">
        <x:v>10299</x:v>
      </x:c>
      <x:c r="E9" s="95">
        <x:v>6419</x:v>
      </x:c>
      <x:c r="F9" s="95">
        <x:v>1740</x:v>
      </x:c>
      <x:c r="G9" s="95">
        <x:v>1344</x:v>
      </x:c>
      <x:c r="H9" s="95">
        <x:v>100</x:v>
      </x:c>
      <x:c r="I9" s="95">
        <x:v>76</x:v>
      </x:c>
      <x:c r="J9" s="96">
        <x:f t="shared" si="0"/>
        <x:v>9679</x:v>
      </x:c>
      <x:c r="K9" s="97">
        <x:f t="shared" si="1"/>
        <x:v>3260</x:v>
      </x:c>
      <x:c r="L9" s="89">
        <x:f t="shared" si="2"/>
        <x:v>2040</x:v>
      </x:c>
      <x:c r="M9" s="90">
        <x:v>2023</x:v>
      </x:c>
      <x:c r="N9" s="91" t="s">
        <x:v>1352</x:v>
      </x:c>
      <x:c r="O9" s="91" t="s">
        <x:v>223</x:v>
      </x:c>
      <x:c r="P9" s="92"/>
      <x:c r="Q9" s="91"/>
      <x:c r="R9" s="91"/>
    </x:row>
    <x:row r="10" ht="28">
      <x:c r="A10" s="93" t="s">
        <x:v>1357</x:v>
      </x:c>
      <x:c r="B10" s="94" t="s">
        <x:v>1351</x:v>
      </x:c>
      <x:c r="C10" s="94" t="s">
        <x:v>40</x:v>
      </x:c>
      <x:c r="D10" s="95">
        <x:v>14299</x:v>
      </x:c>
      <x:c r="E10" s="95">
        <x:v>9897</x:v>
      </x:c>
      <x:c r="F10" s="95">
        <x:v>848</x:v>
      </x:c>
      <x:c r="G10" s="95">
        <x:v>1129</x:v>
      </x:c>
      <x:c r="H10" s="95">
        <x:v>164</x:v>
      </x:c>
      <x:c r="I10" s="95">
        <x:v>11</x:v>
      </x:c>
      <x:c r="J10" s="96">
        <x:f t="shared" si="0"/>
        <x:v>12049</x:v>
      </x:c>
      <x:c r="K10" s="97">
        <x:f t="shared" si="1"/>
        <x:v>2152</x:v>
      </x:c>
      <x:c r="L10" s="89">
        <x:f t="shared" si="2"/>
        <x:v>3390</x:v>
      </x:c>
      <x:c r="M10" s="90">
        <x:v>2023</x:v>
      </x:c>
      <x:c r="N10" s="91" t="s">
        <x:v>1352</x:v>
      </x:c>
      <x:c r="O10" s="91" t="s">
        <x:v>223</x:v>
      </x:c>
      <x:c r="P10" s="92"/>
      <x:c r="Q10" s="91"/>
      <x:c r="R10" s="91"/>
    </x:row>
    <x:row r="11" ht="28">
      <x:c r="A11" s="93" t="s">
        <x:v>1358</x:v>
      </x:c>
      <x:c r="B11" s="94" t="s">
        <x:v>1351</x:v>
      </x:c>
      <x:c r="C11" s="94" t="s">
        <x:v>75</x:v>
      </x:c>
      <x:c r="D11" s="95">
        <x:v>10084</x:v>
      </x:c>
      <x:c r="E11" s="95">
        <x:v>7610</x:v>
      </x:c>
      <x:c r="F11" s="95">
        <x:v>757</x:v>
      </x:c>
      <x:c r="G11" s="95">
        <x:v>565</x:v>
      </x:c>
      <x:c r="H11" s="95">
        <x:v>36</x:v>
      </x:c>
      <x:c r="I11" s="95">
        <x:v>14</x:v>
      </x:c>
      <x:c r="J11" s="96">
        <x:f t="shared" si="0"/>
        <x:v>8982</x:v>
      </x:c>
      <x:c r="K11" s="97">
        <x:f t="shared" si="1"/>
        <x:v>1372</x:v>
      </x:c>
      <x:c r="L11" s="89">
        <x:f t="shared" si="2"/>
        <x:v>1681</x:v>
      </x:c>
      <x:c r="M11" s="90">
        <x:v>2023</x:v>
      </x:c>
      <x:c r="N11" s="91" t="s">
        <x:v>1352</x:v>
      </x:c>
      <x:c r="O11" s="91" t="s">
        <x:v>223</x:v>
      </x:c>
      <x:c r="P11" s="92"/>
      <x:c r="Q11" s="91"/>
      <x:c r="R11" s="91"/>
    </x:row>
    <x:row r="12" ht="28">
      <x:c r="A12" s="93" t="s">
        <x:v>1359</x:v>
      </x:c>
      <x:c r="B12" s="94" t="s">
        <x:v>1351</x:v>
      </x:c>
      <x:c r="C12" s="94" t="s">
        <x:v>433</x:v>
      </x:c>
      <x:c r="D12" s="95">
        <x:v>5115</x:v>
      </x:c>
      <x:c r="E12" s="95">
        <x:v>3636</x:v>
      </x:c>
      <x:c r="F12" s="95">
        <x:v>527</x:v>
      </x:c>
      <x:c r="G12" s="95">
        <x:v>811</x:v>
      </x:c>
      <x:c r="H12" s="95">
        <x:v>4</x:v>
      </x:c>
      <x:c r="I12" s="95">
        <x:v>1</x:v>
      </x:c>
      <x:c r="J12" s="96">
        <x:f t="shared" si="0"/>
        <x:v>4979</x:v>
      </x:c>
      <x:c r="K12" s="97">
        <x:f t="shared" si="1"/>
        <x:v>1343</x:v>
      </x:c>
      <x:c r="L12" s="89">
        <x:f t="shared" si="2"/>
        <x:v>948</x:v>
      </x:c>
      <x:c r="M12" s="90">
        <x:v>2023</x:v>
      </x:c>
      <x:c r="N12" s="91" t="s">
        <x:v>1352</x:v>
      </x:c>
      <x:c r="O12" s="91" t="s">
        <x:v>223</x:v>
      </x:c>
      <x:c r="P12" s="92"/>
      <x:c r="Q12" s="91"/>
      <x:c r="R12" s="91"/>
    </x:row>
    <x:row r="13" ht="28">
      <x:c r="A13" s="98" t="s">
        <x:v>1360</x:v>
      </x:c>
      <x:c r="B13" s="99" t="s">
        <x:v>1361</x:v>
      </x:c>
      <x:c r="C13" s="99" t="s">
        <x:v>1362</x:v>
      </x:c>
      <x:c r="D13" s="100" t="n">
        <x:f t="shared" ref="D13:L13" si="3">SUM(D6:D12)</x:f>
        <x:v>62510</x:v>
      </x:c>
      <x:c r="E13" s="100">
        <x:f t="shared" si="3"/>
        <x:v>43069</x:v>
      </x:c>
      <x:c r="F13" s="100">
        <x:f t="shared" si="3"/>
        <x:v>5520</x:v>
      </x:c>
      <x:c r="G13" s="100">
        <x:f t="shared" si="3"/>
        <x:v>6642</x:v>
      </x:c>
      <x:c r="H13" s="100">
        <x:f t="shared" si="3"/>
        <x:v>365</x:v>
      </x:c>
      <x:c r="I13" s="100">
        <x:f t="shared" si="3"/>
        <x:v>187</x:v>
      </x:c>
      <x:c r="J13" s="100">
        <x:f t="shared" si="3"/>
        <x:v>55783</x:v>
      </x:c>
      <x:c r="K13" s="101">
        <x:f t="shared" si="3"/>
        <x:v>12714</x:v>
      </x:c>
      <x:c r="L13" s="102">
        <x:f t="shared" si="3"/>
        <x:v>13556</x:v>
      </x:c>
      <x:c r="M13" s="103">
        <x:v>2023</x:v>
      </x:c>
      <x:c r="N13" s="104" t="s">
        <x:v>1352</x:v>
      </x:c>
      <x:c r="O13" s="104" t="s">
        <x:v>223</x:v>
      </x:c>
      <x:c r="P13" s="105"/>
      <x:c r="Q13" s="104"/>
      <x:c r="R13" s="104" t="s">
        <x:v>1363</x:v>
      </x:c>
    </x:row>
    <x:row r="14" ht="1.899999976158142" customHeight="1">
      <x:c r="A14" s="106"/>
      <x:c r="B14" s="107"/>
      <x:c r="C14" s="107"/>
      <x:c r="D14" s="15"/>
      <x:c r="E14" s="15"/>
      <x:c r="F14" s="108"/>
      <x:c r="G14" s="107"/>
      <x:c r="H14" s="107"/>
      <x:c r="I14" s="109"/>
      <x:c r="J14" s="107"/>
      <x:c r="K14" s="110"/>
    </x:row>
    <x:row r="15" ht="1.899999976158142" customHeight="1">
      <x:c r="A15" s="106"/>
      <x:c r="B15" s="107"/>
      <x:c r="C15" s="107"/>
      <x:c r="D15" s="15"/>
      <x:c r="E15" s="15"/>
      <x:c r="F15" s="108"/>
      <x:c r="G15" s="107"/>
      <x:c r="H15" s="107"/>
      <x:c r="I15" s="109"/>
      <x:c r="J15" s="107"/>
      <x:c r="K15" s="110"/>
    </x:row>
    <x:row r="16" ht="1.899999976158142" customHeight="1">
      <x:c r="A16" s="115"/>
      <x:c r="B16" s="116"/>
      <x:c r="C16" s="116"/>
      <x:c r="D16" s="117"/>
      <x:c r="E16" s="117"/>
      <x:c r="F16" s="117"/>
      <x:c r="G16" s="116"/>
      <x:c r="H16" s="116"/>
      <x:c r="I16" s="118"/>
      <x:c r="J16" s="116"/>
      <x:c r="K16" s="119"/>
      <x:c r="L16" s="78"/>
      <x:c r="M16" s="78"/>
      <x:c r="N16" s="78"/>
      <x:c r="O16" s="78"/>
      <x:c r="P16" s="78"/>
      <x:c r="Q16" s="78"/>
      <x:c r="R16" s="78"/>
    </x:row>
    <x:row r="17" ht="1.899999976158142" customHeight="1">
      <x:c r="A17" s="106"/>
      <x:c r="B17" s="107"/>
      <x:c r="C17" s="107"/>
      <x:c r="D17" s="15"/>
      <x:c r="E17" s="15"/>
      <x:c r="F17" s="108"/>
      <x:c r="G17" s="107"/>
      <x:c r="H17" s="107"/>
      <x:c r="I17" s="109"/>
      <x:c r="J17" s="107"/>
      <x:c r="K17" s="110"/>
    </x:row>
    <x:row r="18" ht="8.899999618530273" customHeight="1">
      <x:c r="A18" s="120"/>
      <x:c r="B18" s="80"/>
      <x:c r="C18" s="121"/>
      <x:c r="D18" s="122"/>
      <x:c r="E18" s="122"/>
      <x:c r="F18" s="122"/>
      <x:c r="G18" s="80"/>
      <x:c r="H18" s="80"/>
      <x:c r="I18" s="123"/>
      <x:c r="J18" s="80"/>
      <x:c r="K18" s="81"/>
      <x:c r="L18" s="82"/>
      <x:c r="M18" s="82"/>
      <x:c r="N18" s="82"/>
      <x:c r="O18" s="82"/>
      <x:c r="P18" s="82"/>
      <x:c r="Q18" s="82"/>
      <x:c r="R18" s="83"/>
    </x:row>
    <x:row r="19" ht="15.399999618530273" customHeight="1">
      <x:c r="A19" s="124"/>
      <x:c r="B19" s="125"/>
      <x:c r="C19" s="125"/>
      <x:c r="D19" s="126"/>
      <x:c r="E19" s="126"/>
      <x:c r="F19" s="126"/>
      <x:c r="G19" s="125"/>
      <x:c r="H19" s="125"/>
      <x:c r="I19" s="127"/>
      <x:c r="J19" s="125"/>
      <x:c r="K19" s="128"/>
      <x:c r="L19" s="129"/>
      <x:c r="M19" s="129"/>
      <x:c r="N19" s="129"/>
      <x:c r="O19" s="129"/>
      <x:c r="P19" s="129"/>
      <x:c r="Q19" s="129"/>
      <x:c r="R19" s="129"/>
    </x:row>
    <x:row r="20" ht="15.399999618530273" customHeight="1">
      <x:c r="A20" s="124"/>
      <x:c r="B20" s="125"/>
      <x:c r="C20" s="125"/>
      <x:c r="D20" s="126"/>
      <x:c r="E20" s="126"/>
      <x:c r="F20" s="126"/>
      <x:c r="G20" s="125"/>
      <x:c r="H20" s="125"/>
      <x:c r="I20" s="127"/>
      <x:c r="J20" s="125"/>
      <x:c r="K20" s="128"/>
      <x:c r="L20" s="129"/>
      <x:c r="M20" s="129"/>
      <x:c r="N20" s="129"/>
      <x:c r="O20" s="129"/>
      <x:c r="P20" s="129"/>
      <x:c r="Q20" s="129"/>
      <x:c r="R20" s="129"/>
    </x:row>
    <x:row r="21" ht="15.399999618530273" customHeight="1">
      <x:c r="A21" s="124"/>
      <x:c r="B21" s="125"/>
      <x:c r="C21" s="125"/>
      <x:c r="D21" s="126"/>
      <x:c r="E21" s="126"/>
      <x:c r="F21" s="126"/>
      <x:c r="G21" s="125"/>
      <x:c r="H21" s="125"/>
      <x:c r="I21" s="127"/>
      <x:c r="J21" s="125"/>
      <x:c r="K21" s="128"/>
      <x:c r="L21" s="129"/>
      <x:c r="M21" s="129"/>
      <x:c r="N21" s="129"/>
      <x:c r="O21" s="129"/>
      <x:c r="P21" s="129"/>
      <x:c r="Q21" s="129"/>
      <x:c r="R21" s="129"/>
    </x:row>
    <x:row r="22" ht="15.399999618530273" customHeight="1">
      <x:c r="A22" s="124"/>
      <x:c r="B22" s="125"/>
      <x:c r="C22" s="125"/>
      <x:c r="D22" s="126"/>
      <x:c r="E22" s="126"/>
      <x:c r="F22" s="126"/>
      <x:c r="G22" s="125"/>
      <x:c r="H22" s="125"/>
      <x:c r="I22" s="127"/>
      <x:c r="J22" s="125"/>
      <x:c r="K22" s="128"/>
      <x:c r="L22" s="129"/>
      <x:c r="M22" s="129"/>
      <x:c r="N22" s="129"/>
      <x:c r="O22" s="129"/>
      <x:c r="P22" s="129"/>
      <x:c r="Q22" s="129"/>
      <x:c r="R22" s="129"/>
    </x:row>
    <x:row r="23" ht="1.899999976158142" customHeight="1">
      <x:c r="A23" s="106"/>
      <x:c r="B23" s="107"/>
      <x:c r="C23" s="107"/>
      <x:c r="D23" s="15"/>
      <x:c r="E23" s="15"/>
      <x:c r="F23" s="108"/>
      <x:c r="G23" s="107"/>
      <x:c r="H23" s="107"/>
      <x:c r="I23" s="109"/>
      <x:c r="J23" s="107"/>
      <x:c r="K23" s="110"/>
    </x:row>
    <x:row r="24" ht="1.899999976158142" customHeight="1">
      <x:c r="A24" s="106"/>
      <x:c r="B24" s="107"/>
      <x:c r="C24" s="107"/>
      <x:c r="D24" s="15"/>
      <x:c r="E24" s="15"/>
      <x:c r="F24" s="108"/>
      <x:c r="G24" s="107"/>
      <x:c r="H24" s="107"/>
      <x:c r="I24" s="109"/>
      <x:c r="J24" s="107"/>
      <x:c r="K24" s="110"/>
    </x:row>
    <x:row r="25" ht="1.899999976158142" customHeight="1">
      <x:c r="A25" s="106"/>
      <x:c r="B25" s="107"/>
      <x:c r="C25" s="107"/>
      <x:c r="D25" s="15"/>
      <x:c r="E25" s="15"/>
      <x:c r="F25" s="108"/>
      <x:c r="G25" s="107"/>
      <x:c r="H25" s="107"/>
      <x:c r="I25" s="109"/>
      <x:c r="J25" s="107"/>
      <x:c r="K25" s="110"/>
    </x:row>
    <x:row r="26" ht="1.899999976158142" customHeight="1">
      <x:c r="A26" s="106"/>
      <x:c r="B26" s="107"/>
      <x:c r="C26" s="107"/>
      <x:c r="D26" s="15"/>
      <x:c r="E26" s="15"/>
      <x:c r="F26" s="108"/>
      <x:c r="G26" s="107"/>
      <x:c r="H26" s="107"/>
      <x:c r="I26" s="109"/>
      <x:c r="J26" s="107"/>
      <x:c r="K26" s="110"/>
    </x:row>
    <x:row r="27" ht="1.899999976158142" customHeight="1">
      <x:c r="A27" s="106"/>
      <x:c r="B27" s="107"/>
      <x:c r="C27" s="107"/>
      <x:c r="D27" s="15"/>
      <x:c r="E27" s="15"/>
      <x:c r="F27" s="108"/>
      <x:c r="G27" s="107"/>
      <x:c r="H27" s="107"/>
      <x:c r="I27" s="109"/>
      <x:c r="J27" s="107"/>
      <x:c r="K27" s="110"/>
    </x:row>
    <x:row r="28" ht="1.899999976158142" customHeight="1">
      <x:c r="A28" s="106"/>
      <x:c r="B28" s="107"/>
      <x:c r="C28" s="107"/>
      <x:c r="D28" s="15"/>
      <x:c r="E28" s="15"/>
      <x:c r="F28" s="108"/>
      <x:c r="G28" s="107"/>
      <x:c r="H28" s="107"/>
      <x:c r="I28" s="109"/>
      <x:c r="J28" s="107"/>
      <x:c r="K28" s="110"/>
    </x:row>
    <x:row r="29" ht="1.899999976158142" customHeight="1">
      <x:c r="A29" s="106"/>
      <x:c r="B29" s="107"/>
      <x:c r="C29" s="107"/>
      <x:c r="D29" s="15"/>
      <x:c r="E29" s="15"/>
      <x:c r="F29" s="108"/>
      <x:c r="G29" s="107"/>
      <x:c r="H29" s="107"/>
      <x:c r="I29" s="109"/>
      <x:c r="J29" s="107"/>
      <x:c r="K29" s="110"/>
    </x:row>
    <x:row r="30" ht="1.899999976158142" customHeight="1">
      <x:c r="A30" s="106"/>
      <x:c r="B30" s="107"/>
      <x:c r="C30" s="107"/>
      <x:c r="D30" s="15"/>
      <x:c r="E30" s="15"/>
      <x:c r="F30" s="108"/>
      <x:c r="G30" s="107"/>
      <x:c r="H30" s="107"/>
      <x:c r="I30" s="109"/>
      <x:c r="J30" s="107"/>
      <x:c r="K30" s="110"/>
    </x:row>
    <x:row r="31" ht="1.899999976158142" customHeight="1">
      <x:c r="A31" s="106"/>
      <x:c r="B31" s="107"/>
      <x:c r="C31" s="107"/>
      <x:c r="D31" s="15"/>
      <x:c r="E31" s="15"/>
      <x:c r="F31" s="108"/>
      <x:c r="G31" s="107"/>
      <x:c r="H31" s="107"/>
      <x:c r="I31" s="109"/>
      <x:c r="J31" s="107"/>
      <x:c r="K31" s="110"/>
    </x:row>
    <x:row r="32" ht="1.899999976158142" customHeight="1">
      <x:c r="A32" s="106"/>
      <x:c r="B32" s="107"/>
      <x:c r="C32" s="107"/>
      <x:c r="D32" s="15"/>
      <x:c r="E32" s="15"/>
      <x:c r="F32" s="108"/>
      <x:c r="G32" s="107"/>
      <x:c r="H32" s="107"/>
      <x:c r="I32" s="109"/>
      <x:c r="J32" s="107"/>
      <x:c r="K32" s="110"/>
    </x:row>
    <x:row r="33" ht="1.899999976158142" customHeight="1">
      <x:c r="A33" s="106"/>
      <x:c r="B33" s="107"/>
      <x:c r="C33" s="107"/>
      <x:c r="D33" s="15"/>
      <x:c r="E33" s="15"/>
      <x:c r="F33" s="108"/>
      <x:c r="G33" s="107"/>
      <x:c r="H33" s="107"/>
      <x:c r="I33" s="109"/>
      <x:c r="J33" s="107"/>
      <x:c r="K33" s="110"/>
    </x:row>
    <x:row r="34" ht="1.899999976158142" customHeight="1">
      <x:c r="A34" s="106"/>
      <x:c r="B34" s="107"/>
      <x:c r="C34" s="107"/>
      <x:c r="D34" s="15"/>
      <x:c r="E34" s="15"/>
      <x:c r="F34" s="108"/>
      <x:c r="G34" s="107"/>
      <x:c r="H34" s="107"/>
      <x:c r="I34" s="109"/>
      <x:c r="J34" s="107"/>
      <x:c r="K34" s="110"/>
    </x:row>
    <x:row r="35" ht="1.899999976158142" customHeight="1">
      <x:c r="A35" s="106"/>
      <x:c r="B35" s="107"/>
      <x:c r="C35" s="107"/>
      <x:c r="D35" s="15"/>
      <x:c r="E35" s="15"/>
      <x:c r="F35" s="108"/>
      <x:c r="G35" s="107"/>
      <x:c r="H35" s="107"/>
      <x:c r="I35" s="109"/>
      <x:c r="J35" s="107"/>
      <x:c r="K35" s="110"/>
    </x:row>
    <x:row r="36" ht="1.899999976158142" customHeight="1">
      <x:c r="A36" s="106"/>
      <x:c r="B36" s="107"/>
      <x:c r="C36" s="107"/>
      <x:c r="D36" s="15"/>
      <x:c r="E36" s="15"/>
      <x:c r="F36" s="108"/>
      <x:c r="G36" s="107"/>
      <x:c r="H36" s="107"/>
      <x:c r="I36" s="109"/>
      <x:c r="J36" s="107"/>
      <x:c r="K36" s="110"/>
    </x:row>
    <x:row r="37" ht="1.899999976158142" customHeight="1">
      <x:c r="A37" s="106"/>
      <x:c r="B37" s="107"/>
      <x:c r="C37" s="107"/>
      <x:c r="D37" s="15"/>
      <x:c r="E37" s="15"/>
      <x:c r="F37" s="108"/>
      <x:c r="G37" s="107"/>
      <x:c r="H37" s="107"/>
      <x:c r="I37" s="109"/>
      <x:c r="J37" s="107"/>
      <x:c r="K37" s="110"/>
    </x:row>
    <x:row r="38" ht="1.899999976158142" customHeight="1">
      <x:c r="A38" s="106"/>
      <x:c r="B38" s="107"/>
      <x:c r="C38" s="107"/>
      <x:c r="D38" s="15"/>
      <x:c r="E38" s="15"/>
      <x:c r="F38" s="108"/>
      <x:c r="G38" s="107"/>
      <x:c r="H38" s="107"/>
      <x:c r="I38" s="109"/>
      <x:c r="J38" s="107"/>
      <x:c r="K38" s="110"/>
    </x:row>
    <x:row r="39" ht="1.899999976158142" customHeight="1">
      <x:c r="A39" s="106"/>
      <x:c r="B39" s="107"/>
      <x:c r="C39" s="107"/>
      <x:c r="D39" s="15"/>
      <x:c r="E39" s="15"/>
      <x:c r="F39" s="108"/>
      <x:c r="G39" s="107"/>
      <x:c r="H39" s="107"/>
      <x:c r="I39" s="109"/>
      <x:c r="J39" s="107"/>
      <x:c r="K39" s="110"/>
    </x:row>
    <x:row r="40" ht="1.899999976158142" customHeight="1">
      <x:c r="A40" s="106"/>
      <x:c r="B40" s="107"/>
      <x:c r="C40" s="107"/>
      <x:c r="D40" s="15"/>
      <x:c r="E40" s="15"/>
      <x:c r="F40" s="108"/>
      <x:c r="G40" s="107"/>
      <x:c r="H40" s="107"/>
      <x:c r="I40" s="109"/>
      <x:c r="J40" s="107"/>
      <x:c r="K40" s="110"/>
    </x:row>
    <x:row r="41" ht="1.899999976158142" customHeight="1">
      <x:c r="A41" s="106"/>
      <x:c r="B41" s="107"/>
      <x:c r="C41" s="107"/>
      <x:c r="D41" s="15"/>
      <x:c r="E41" s="15"/>
      <x:c r="F41" s="108"/>
      <x:c r="G41" s="107"/>
      <x:c r="H41" s="107"/>
      <x:c r="I41" s="109"/>
      <x:c r="J41" s="107"/>
      <x:c r="K41" s="110"/>
    </x:row>
    <x:row r="42" ht="1.899999976158142" customHeight="1">
      <x:c r="A42" s="106"/>
      <x:c r="B42" s="107"/>
      <x:c r="C42" s="107"/>
      <x:c r="D42" s="15"/>
      <x:c r="E42" s="15"/>
      <x:c r="F42" s="108"/>
      <x:c r="G42" s="107"/>
      <x:c r="H42" s="107"/>
      <x:c r="I42" s="109"/>
      <x:c r="J42" s="107"/>
      <x:c r="K42" s="110"/>
    </x:row>
    <x:row r="43" ht="1.899999976158142" customHeight="1">
      <x:c r="A43" s="106"/>
      <x:c r="B43" s="107"/>
      <x:c r="C43" s="107"/>
      <x:c r="D43" s="15"/>
      <x:c r="E43" s="15"/>
      <x:c r="F43" s="108"/>
      <x:c r="G43" s="107"/>
      <x:c r="H43" s="107"/>
      <x:c r="I43" s="109"/>
      <x:c r="J43" s="107"/>
      <x:c r="K43" s="110"/>
    </x:row>
    <x:row r="44" ht="1.899999976158142" customHeight="1">
      <x:c r="A44" s="106"/>
      <x:c r="B44" s="107"/>
      <x:c r="C44" s="107"/>
      <x:c r="D44" s="15"/>
      <x:c r="E44" s="15"/>
      <x:c r="F44" s="108"/>
      <x:c r="G44" s="107"/>
      <x:c r="H44" s="107"/>
      <x:c r="I44" s="109"/>
      <x:c r="J44" s="107"/>
      <x:c r="K44" s="110"/>
    </x:row>
    <x:row r="45" ht="1.899999976158142" customHeight="1">
      <x:c r="A45" s="106"/>
      <x:c r="B45" s="107"/>
      <x:c r="C45" s="107"/>
      <x:c r="D45" s="15"/>
      <x:c r="E45" s="15"/>
      <x:c r="F45" s="108"/>
      <x:c r="G45" s="107"/>
      <x:c r="H45" s="107"/>
      <x:c r="I45" s="109"/>
      <x:c r="J45" s="107"/>
      <x:c r="K45" s="110"/>
    </x:row>
    <x:row r="46" ht="1.899999976158142" customHeight="1">
      <x:c r="A46" s="106"/>
      <x:c r="B46" s="107"/>
      <x:c r="C46" s="107"/>
      <x:c r="D46" s="15"/>
      <x:c r="E46" s="15"/>
      <x:c r="F46" s="108"/>
      <x:c r="G46" s="107"/>
      <x:c r="H46" s="107"/>
      <x:c r="I46" s="109"/>
      <x:c r="J46" s="107"/>
      <x:c r="K46" s="110"/>
    </x:row>
    <x:row r="47" ht="1.899999976158142" customHeight="1">
      <x:c r="A47" s="106"/>
      <x:c r="B47" s="107"/>
      <x:c r="C47" s="107"/>
      <x:c r="D47" s="15"/>
      <x:c r="E47" s="15"/>
      <x:c r="F47" s="108"/>
      <x:c r="G47" s="107"/>
      <x:c r="H47" s="107"/>
      <x:c r="I47" s="109"/>
      <x:c r="J47" s="107"/>
      <x:c r="K47" s="110"/>
    </x:row>
    <x:row r="48" ht="1.899999976158142" customHeight="1">
      <x:c r="A48" s="106"/>
      <x:c r="B48" s="107"/>
      <x:c r="C48" s="107"/>
      <x:c r="D48" s="15"/>
      <x:c r="E48" s="15"/>
      <x:c r="F48" s="108"/>
      <x:c r="G48" s="107"/>
      <x:c r="H48" s="107"/>
      <x:c r="I48" s="109"/>
      <x:c r="J48" s="107"/>
      <x:c r="K48" s="110"/>
    </x:row>
    <x:row r="49" ht="1.899999976158142" customHeight="1">
      <x:c r="A49" s="106"/>
      <x:c r="B49" s="107"/>
      <x:c r="C49" s="107"/>
      <x:c r="D49" s="15"/>
      <x:c r="E49" s="15"/>
      <x:c r="F49" s="108"/>
      <x:c r="G49" s="107"/>
      <x:c r="H49" s="107"/>
      <x:c r="I49" s="109"/>
      <x:c r="J49" s="107"/>
      <x:c r="K49" s="110"/>
    </x:row>
    <x:row r="50" ht="1.899999976158142" customHeight="1">
      <x:c r="A50" s="106"/>
      <x:c r="B50" s="107"/>
      <x:c r="C50" s="107"/>
      <x:c r="D50" s="15"/>
      <x:c r="E50" s="15"/>
      <x:c r="F50" s="108"/>
      <x:c r="G50" s="107"/>
      <x:c r="H50" s="107"/>
      <x:c r="I50" s="109"/>
      <x:c r="J50" s="107"/>
      <x:c r="K50" s="110"/>
    </x:row>
    <x:row r="51" ht="1.899999976158142" customHeight="1">
      <x:c r="A51" s="106"/>
      <x:c r="B51" s="107"/>
      <x:c r="C51" s="107"/>
      <x:c r="D51" s="15"/>
      <x:c r="E51" s="15"/>
      <x:c r="F51" s="108"/>
      <x:c r="G51" s="107"/>
      <x:c r="H51" s="107"/>
      <x:c r="I51" s="109"/>
      <x:c r="J51" s="107"/>
      <x:c r="K51" s="110"/>
    </x:row>
    <x:row r="52" ht="1.899999976158142" customHeight="1">
      <x:c r="A52" s="106"/>
      <x:c r="B52" s="107"/>
      <x:c r="C52" s="107"/>
      <x:c r="D52" s="15"/>
      <x:c r="E52" s="15"/>
      <x:c r="F52" s="108"/>
      <x:c r="G52" s="107"/>
      <x:c r="H52" s="107"/>
      <x:c r="I52" s="109"/>
      <x:c r="J52" s="107"/>
      <x:c r="K52" s="110"/>
    </x:row>
    <x:row r="53" ht="1.899999976158142" customHeight="1">
      <x:c r="A53" s="106"/>
      <x:c r="B53" s="107"/>
      <x:c r="C53" s="107"/>
      <x:c r="D53" s="15"/>
      <x:c r="E53" s="15"/>
      <x:c r="F53" s="108"/>
      <x:c r="G53" s="107"/>
      <x:c r="H53" s="107"/>
      <x:c r="I53" s="109"/>
      <x:c r="J53" s="107"/>
      <x:c r="K53" s="110"/>
    </x:row>
    <x:row r="54" ht="1.899999976158142" customHeight="1">
      <x:c r="A54" s="106"/>
      <x:c r="B54" s="107"/>
      <x:c r="C54" s="107"/>
      <x:c r="D54" s="15"/>
      <x:c r="E54" s="15"/>
      <x:c r="F54" s="108"/>
      <x:c r="G54" s="107"/>
      <x:c r="H54" s="107"/>
      <x:c r="I54" s="109"/>
      <x:c r="J54" s="107"/>
      <x:c r="K54" s="110"/>
    </x:row>
    <x:row r="55" ht="1.899999976158142" customHeight="1">
      <x:c r="A55" s="111"/>
      <x:c r="B55" s="112"/>
      <x:c r="C55" s="112"/>
      <x:c r="D55" s="16"/>
      <x:c r="E55" s="16"/>
      <x:c r="F55" s="113"/>
      <x:c r="G55" s="112"/>
      <x:c r="H55" s="112"/>
      <x:c r="I55" s="114"/>
      <x:c r="J55" s="112"/>
      <x:c r="K55" s="7"/>
    </x:row>
  </x:sheetData>
  <x:mergeCells>
    <x:mergeCell ref="A1:R1"/>
    <x:mergeCell ref="A2:R2"/>
    <x:mergeCell ref="A3:R3"/>
  </x:mergeCells>
  <x:conditionalFormatting sqref="D6:E55">
    <x:cfRule type="dataBar" priority="1">
      <x:dataBar>
        <x:cfvo type="min"/>
        <x:cfvo type="max"/>
        <x:color rgb="FF175B72"/>
      </x:dataBar>
    </x:cfRule>
    <x:cfRule type="dataBar" priority="2">
      <x:dataBar>
        <x:cfvo type="min"/>
        <x:cfvo type="max"/>
        <x:color rgb="FF175B72"/>
      </x:dataBar>
    </x:cfRule>
    <x:cfRule type="dataBar" priority="3">
      <x:dataBar>
        <x:cfvo type="min"/>
        <x:cfvo type="max"/>
        <x:color rgb="FF175B72"/>
      </x:dataBar>
    </x:cfRule>
    <x:cfRule type="dataBar" priority="4">
      <x:dataBar>
        <x:cfvo type="min"/>
        <x:cfvo type="max"/>
        <x:color rgb="FF175B72"/>
      </x:dataBar>
    </x:cfRule>
    <x:cfRule type="dataBar" priority="7">
      <x:dataBar>
        <x:cfvo type="min"/>
        <x:cfvo type="max"/>
        <x:color rgb="FF175B72"/>
      </x:dataBar>
    </x:cfRule>
    <x:cfRule type="dataBar" priority="10">
      <x:dataBar>
        <x:cfvo type="min"/>
        <x:cfvo type="max"/>
        <x:color rgb="FF175B72"/>
      </x:dataBar>
    </x:cfRule>
    <x:cfRule type="dataBar" priority="13">
      <x:dataBar>
        <x:cfvo type="min"/>
        <x:cfvo type="max"/>
        <x:color rgb="FF175B72"/>
      </x:dataBar>
      <x:extLst>
        <x:ext xmlns:x14="http://schemas.microsoft.com/office/spreadsheetml/2009/9/main" uri="{B025F937-C7B1-47D3-B67F-A62EFF666E3E}">
          <x14:id>{587C0ACC-6C47-46C3-B70C-987EA79ECD8D}</x14:id>
        </x:ext>
      </x:extLst>
    </x:cfRule>
  </x:conditionalFormatting>
  <x:conditionalFormatting sqref="K6:K12">
    <x:cfRule type="dataBar" priority="5">
      <x:dataBar>
        <x:cfvo type="min"/>
        <x:cfvo type="max"/>
        <x:color rgb="FFEA580C"/>
      </x:dataBar>
    </x:cfRule>
    <x:cfRule type="dataBar" priority="8">
      <x:dataBar>
        <x:cfvo type="min"/>
        <x:cfvo type="max"/>
        <x:color rgb="FFEA580C"/>
      </x:dataBar>
    </x:cfRule>
    <x:cfRule type="dataBar" priority="11">
      <x:dataBar>
        <x:cfvo type="min"/>
        <x:cfvo type="max"/>
        <x:color rgb="FFEA580C"/>
      </x:dataBar>
    </x:cfRule>
    <x:cfRule type="dataBar" priority="14">
      <x:dataBar>
        <x:cfvo type="min"/>
        <x:cfvo type="max"/>
        <x:color rgb="FFEA580C"/>
      </x:dataBar>
      <x:extLst>
        <x:ext xmlns:x14="http://schemas.microsoft.com/office/spreadsheetml/2009/9/main" uri="{B025F937-C7B1-47D3-B67F-A62EFF666E3E}">
          <x14:id>{7635EF3B-EAF9-4DCC-B2D3-2AB02FBD6767}</x14:id>
        </x:ext>
      </x:extLst>
    </x:cfRule>
  </x:conditionalFormatting>
  <x:conditionalFormatting sqref="L6:L12">
    <x:cfRule type="dataBar" priority="6">
      <x:dataBar>
        <x:cfvo type="min"/>
        <x:cfvo type="max"/>
        <x:color rgb="FFDC2626"/>
      </x:dataBar>
    </x:cfRule>
    <x:cfRule type="dataBar" priority="9">
      <x:dataBar>
        <x:cfvo type="min"/>
        <x:cfvo type="max"/>
        <x:color rgb="FFDC2626"/>
      </x:dataBar>
    </x:cfRule>
    <x:cfRule type="dataBar" priority="12">
      <x:dataBar>
        <x:cfvo type="min"/>
        <x:cfvo type="max"/>
        <x:color rgb="FFDC2626"/>
      </x:dataBar>
    </x:cfRule>
    <x:cfRule type="dataBar" priority="15">
      <x:dataBar>
        <x:cfvo type="min"/>
        <x:cfvo type="max"/>
        <x:color rgb="FFDC2626"/>
      </x:dataBar>
      <x:extLst>
        <x:ext xmlns:x14="http://schemas.microsoft.com/office/spreadsheetml/2009/9/main" uri="{B025F937-C7B1-47D3-B67F-A62EFF666E3E}">
          <x14:id>{6845B95F-11F2-4177-B582-C26A1677EEB0}</x14:id>
        </x:ext>
      </x:extLst>
    </x:cfRule>
  </x:conditionalFormatting>
  <x:dataValidations count="4">
    <x:dataValidation type="list" sqref="O6:O13">
      <x:formula1>"Belum Diverifikasi,Terverifikasi"</x:formula1>
    </x:dataValidation>
    <x:dataValidation type="list" sqref="H6:H55">
      <x:formula1>"Draft,Dalam Verifikasi,Terverifikasi,Perlu Perbaikan"</x:formula1>
    </x:dataValidation>
    <x:dataValidation type="list" sqref="C6:C55">
      <x:formula1>"Bukit Intan,Gabek,Gerunggang,Girimaya,Pangkal Balam,Rangkui,Taman Sari,Kota Pangkalpinang"</x:formula1>
    </x:dataValidation>
    <x:dataValidation type="list" sqref="B6:B55">
      <x:formula1>"Kecamatan,Kota"</x:formula1>
    </x:dataValidation>
  </x:dataValidations>
  <x:pageMargins left="0.7" right="0.7" top="0.75" bottom="0.75" header="0.3" footer="0.3"/>
  <x:tableParts count="1">
    <x:tablePart xmlns:r="http://schemas.openxmlformats.org/officeDocument/2006/relationships" r:id="R231d85e4afc742ec"/>
  </x:tableParts>
  <x:extLst>
    <x:ext xmlns:x14="http://schemas.microsoft.com/office/spreadsheetml/2009/9/main" xmlns:xm="http://schemas.microsoft.com/office/excel/2006/main" uri="{78C0D931-6437-407d-A8EE-F0AAD7539E65}">
      <x14:conditionalFormattings>
        <x14:conditionalFormatting>
          <x14:cfRule type="dataBar" priority="13" id="{587C0ACC-6C47-46C3-B70C-987EA79ECD8D}">
            <x14:dataBar>
              <x14:cfvo type="min"/>
              <x14:cfvo type="max"/>
              <x14:fillColor rgb="FF175B72"/>
              <x14:negativeFillColor auto="1"/>
              <x14:axisColor auto="1"/>
            </x14:dataBar>
          </x14:cfRule>
          <xm:sqref>D6:E55</xm:sqref>
        </x14:conditionalFormatting>
        <x14:conditionalFormatting>
          <x14:cfRule type="dataBar" priority="14" id="{7635EF3B-EAF9-4DCC-B2D3-2AB02FBD6767}">
            <x14:dataBar>
              <x14:cfvo type="min"/>
              <x14:cfvo type="max"/>
              <x14:fillColor rgb="FFEA580C"/>
              <x14:negativeFillColor auto="1"/>
              <x14:axisColor auto="1"/>
            </x14:dataBar>
          </x14:cfRule>
          <xm:sqref>K6:K12</xm:sqref>
        </x14:conditionalFormatting>
        <x14:conditionalFormatting>
          <x14:cfRule type="dataBar" priority="15" id="{6845B95F-11F2-4177-B582-C26A1677EEB0}">
            <x14:dataBar>
              <x14:cfvo type="min"/>
              <x14:cfvo type="max"/>
              <x14:fillColor rgb="FFDC2626"/>
              <x14:negativeFillColor auto="1"/>
              <x14:axisColor auto="1"/>
            </x14:dataBar>
          </x14:cfRule>
          <xm:sqref>L6:L12</xm:sqref>
        </x14:conditionalFormatting>
      </x14:conditionalFormattings>
    </x:ext>
  </x:extLst>
</x:worksheet>
</file>

<file path=xl/worksheets/sheet5.xml><?xml version="1.0" encoding="utf-8"?>
<x:worksheet xmlns:x="http://schemas.openxmlformats.org/spreadsheetml/2006/main">
  <x:sheetFormatPr defaultRowHeight="14"/>
  <x:cols>
    <x:col min="1" max="1" width="16" customWidth="1"/>
    <x:col min="2" max="2" width="20" customWidth="1"/>
    <x:col min="3" max="3" width="17" customWidth="1"/>
    <x:col min="4" max="5" width="12" customWidth="1"/>
    <x:col min="6" max="6" width="18" customWidth="1"/>
    <x:col min="7" max="7" width="13" customWidth="1"/>
    <x:col min="8" max="8" width="34" customWidth="1"/>
    <x:col min="9" max="9" width="20" customWidth="1"/>
    <x:col min="10" max="10" width="16" customWidth="1"/>
    <x:col min="11" max="11" width="20" customWidth="1"/>
  </x:cols>
  <x:sheetData>
    <x:row r="1" ht="23">
      <x:c r="A1" s="258" t="s">
        <x:v>1364</x:v>
      </x:c>
      <x:c r="B1" s="258"/>
      <x:c r="C1" s="258"/>
      <x:c r="D1" s="258"/>
      <x:c r="E1" s="258"/>
      <x:c r="F1" s="258"/>
      <x:c r="G1" s="258"/>
      <x:c r="H1" s="258"/>
      <x:c r="I1" s="258"/>
      <x:c r="J1" s="258"/>
      <x:c r="K1" s="258"/>
    </x:row>
    <x:row r="2">
      <x:c r="A2" s="260" t="s">
        <x:v>1365</x:v>
      </x:c>
      <x:c r="B2" s="260"/>
      <x:c r="C2" s="260"/>
      <x:c r="D2" s="260"/>
      <x:c r="E2" s="260"/>
      <x:c r="F2" s="260"/>
      <x:c r="G2" s="260"/>
      <x:c r="H2" s="260"/>
      <x:c r="I2" s="260"/>
      <x:c r="J2" s="260"/>
      <x:c r="K2" s="260"/>
    </x:row>
    <x:row r="3">
      <x:c r="A3" s="261" t="s">
        <x:v>1366</x:v>
      </x:c>
      <x:c r="B3" s="261"/>
      <x:c r="C3" s="261"/>
      <x:c r="D3" s="261"/>
      <x:c r="E3" s="261"/>
      <x:c r="F3" s="261"/>
      <x:c r="G3" s="261"/>
      <x:c r="H3" s="261"/>
      <x:c r="I3" s="261"/>
      <x:c r="J3" s="261"/>
      <x:c r="K3" s="261"/>
    </x:row>
    <x:row r="5" ht="26">
      <x:c r="A5" s="1" t="s">
        <x:v>1367</x:v>
      </x:c>
      <x:c r="B5" s="2" t="s">
        <x:v>6</x:v>
      </x:c>
      <x:c r="C5" s="2" t="s">
        <x:v>1368</x:v>
      </x:c>
      <x:c r="D5" s="2" t="s">
        <x:v>1369</x:v>
      </x:c>
      <x:c r="E5" s="2" t="s">
        <x:v>1370</x:v>
      </x:c>
      <x:c r="F5" s="2" t="s">
        <x:v>1371</x:v>
      </x:c>
      <x:c r="G5" s="2" t="s">
        <x:v>27</x:v>
      </x:c>
      <x:c r="H5" s="2" t="s">
        <x:v>28</x:v>
      </x:c>
      <x:c r="I5" s="2" t="s">
        <x:v>29</x:v>
      </x:c>
      <x:c r="J5" s="2" t="s">
        <x:v>30</x:v>
      </x:c>
      <x:c r="K5" s="3" t="s">
        <x:v>31</x:v>
      </x:c>
    </x:row>
    <x:row r="6">
      <x:c r="A6" s="27" t="s">
        <x:v>1372</x:v>
      </x:c>
      <x:c r="B6" s="8" t="s">
        <x:v>40</x:v>
      </x:c>
      <x:c r="C6" s="17">
        <x:v>12049</x:v>
      </x:c>
      <x:c r="D6" s="172" t="n">
        <x:f>424-32</x:f>
        <x:v>392</x:v>
      </x:c>
      <x:c r="E6" s="33" t="n">
        <x:f t="shared" ref="E6:E37" si="0">IF(A6="","",MAX(C6-D6,0))</x:f>
        <x:v>11657</x:v>
      </x:c>
      <x:c r="F6" s="23" t="n">
        <x:f t="shared" ref="F6:F37" si="1">IF(A6="","",IFERROR(D6/C6,0))</x:f>
        <x:v>0.03253382023404432</x:v>
      </x:c>
      <x:c r="G6" s="17">
        <x:v>2023</x:v>
      </x:c>
      <x:c r="H6" s="8" t="s">
        <x:v>1373</x:v>
      </x:c>
      <x:c r="I6" s="8" t="s">
        <x:v>223</x:v>
      </x:c>
      <x:c r="J6" s="11"/>
      <x:c r="K6" s="30"/>
    </x:row>
    <x:row r="7">
      <x:c r="A7" s="28" t="s">
        <x:v>1374</x:v>
      </x:c>
      <x:c r="B7" s="9" t="s">
        <x:v>102</x:v>
      </x:c>
      <x:c r="C7" s="18">
        <x:v>9500</x:v>
      </x:c>
      <x:c r="D7" s="108" t="n">
        <x:f>655-3</x:f>
        <x:v>652</x:v>
      </x:c>
      <x:c r="E7" s="34">
        <x:f t="shared" si="0"/>
        <x:v>8848</x:v>
      </x:c>
      <x:c r="F7" s="24">
        <x:f t="shared" si="1"/>
        <x:v>6.8631578947368418E-2</x:v>
      </x:c>
      <x:c r="G7" s="18">
        <x:v>2023</x:v>
      </x:c>
      <x:c r="H7" s="9" t="s">
        <x:v>1373</x:v>
      </x:c>
      <x:c r="I7" s="9" t="s">
        <x:v>223</x:v>
      </x:c>
      <x:c r="J7" s="12"/>
      <x:c r="K7" s="31"/>
    </x:row>
    <x:row r="8">
      <x:c r="A8" s="28" t="s">
        <x:v>1375</x:v>
      </x:c>
      <x:c r="B8" s="9" t="s">
        <x:v>1354</x:v>
      </x:c>
      <x:c r="C8" s="18">
        <x:v>4805</x:v>
      </x:c>
      <x:c r="D8" s="108" t="n">
        <x:f>183-11</x:f>
        <x:v>172</x:v>
      </x:c>
      <x:c r="E8" s="34">
        <x:f t="shared" si="0"/>
        <x:v>4633</x:v>
      </x:c>
      <x:c r="F8" s="24">
        <x:f t="shared" si="1"/>
        <x:v>3.5796045785639961E-2</x:v>
      </x:c>
      <x:c r="G8" s="18">
        <x:v>2023</x:v>
      </x:c>
      <x:c r="H8" s="9" t="s">
        <x:v>1373</x:v>
      </x:c>
      <x:c r="I8" s="9" t="s">
        <x:v>223</x:v>
      </x:c>
      <x:c r="J8" s="12"/>
      <x:c r="K8" s="31"/>
    </x:row>
    <x:row r="9">
      <x:c r="A9" s="28" t="s">
        <x:v>1376</x:v>
      </x:c>
      <x:c r="B9" s="9" t="s">
        <x:v>75</x:v>
      </x:c>
      <x:c r="C9" s="18">
        <x:v>8982</x:v>
      </x:c>
      <x:c r="D9" s="108">
        <x:v>568</x:v>
      </x:c>
      <x:c r="E9" s="34">
        <x:f t="shared" si="0"/>
        <x:v>8414</x:v>
      </x:c>
      <x:c r="F9" s="24">
        <x:f t="shared" si="1"/>
        <x:v>6.3237586283678468E-2</x:v>
      </x:c>
      <x:c r="G9" s="18">
        <x:v>2023</x:v>
      </x:c>
      <x:c r="H9" s="9" t="s">
        <x:v>1373</x:v>
      </x:c>
      <x:c r="I9" s="9" t="s">
        <x:v>223</x:v>
      </x:c>
      <x:c r="J9" s="12"/>
      <x:c r="K9" s="31"/>
    </x:row>
    <x:row r="10">
      <x:c r="A10" s="28" t="s">
        <x:v>1377</x:v>
      </x:c>
      <x:c r="B10" s="9" t="s">
        <x:v>1200</x:v>
      </x:c>
      <x:c r="C10" s="18">
        <x:v>9679</x:v>
      </x:c>
      <x:c r="D10" s="108" t="n">
        <x:f>362-12</x:f>
        <x:v>350</x:v>
      </x:c>
      <x:c r="E10" s="34">
        <x:f t="shared" si="0"/>
        <x:v>9329</x:v>
      </x:c>
      <x:c r="F10" s="24">
        <x:f t="shared" si="1"/>
        <x:v>3.6160760409133172E-2</x:v>
      </x:c>
      <x:c r="G10" s="18">
        <x:v>2023</x:v>
      </x:c>
      <x:c r="H10" s="9" t="s">
        <x:v>1373</x:v>
      </x:c>
      <x:c r="I10" s="9" t="s">
        <x:v>223</x:v>
      </x:c>
      <x:c r="J10" s="12"/>
      <x:c r="K10" s="31"/>
    </x:row>
    <x:row r="11">
      <x:c r="A11" s="28" t="s">
        <x:v>1378</x:v>
      </x:c>
      <x:c r="B11" s="9" t="s">
        <x:v>126</x:v>
      </x:c>
      <x:c r="C11" s="18">
        <x:v>5789</x:v>
      </x:c>
      <x:c r="D11" s="108">
        <x:v>757</x:v>
      </x:c>
      <x:c r="E11" s="34">
        <x:f t="shared" si="0"/>
        <x:v>5032</x:v>
      </x:c>
      <x:c r="F11" s="24">
        <x:f t="shared" si="1"/>
        <x:v>0.13076524442908966</x:v>
      </x:c>
      <x:c r="G11" s="18">
        <x:v>2023</x:v>
      </x:c>
      <x:c r="H11" s="9" t="s">
        <x:v>1373</x:v>
      </x:c>
      <x:c r="I11" s="9" t="s">
        <x:v>223</x:v>
      </x:c>
      <x:c r="J11" s="12"/>
      <x:c r="K11" s="31"/>
    </x:row>
    <x:row r="12">
      <x:c r="A12" s="28" t="s">
        <x:v>1379</x:v>
      </x:c>
      <x:c r="B12" s="9" t="s">
        <x:v>433</x:v>
      </x:c>
      <x:c r="C12" s="18">
        <x:v>4979</x:v>
      </x:c>
      <x:c r="D12" s="108" t="n">
        <x:f>49-3</x:f>
        <x:v>46</x:v>
      </x:c>
      <x:c r="E12" s="34">
        <x:f t="shared" si="0"/>
        <x:v>4933</x:v>
      </x:c>
      <x:c r="F12" s="24">
        <x:f t="shared" si="1"/>
        <x:v>9.2388029724844341E-3</x:v>
      </x:c>
      <x:c r="G12" s="18">
        <x:v>2023</x:v>
      </x:c>
      <x:c r="H12" s="9" t="s">
        <x:v>1373</x:v>
      </x:c>
      <x:c r="I12" s="9" t="s">
        <x:v>223</x:v>
      </x:c>
      <x:c r="J12" s="12"/>
      <x:c r="K12" s="31"/>
    </x:row>
    <x:row r="13">
      <x:c r="A13" s="28"/>
      <x:c r="B13" s="9"/>
      <x:c r="C13" s="18"/>
      <x:c r="D13" s="18"/>
      <x:c r="E13" s="34" t="str">
        <x:f t="shared" si="0"/>
      </x:c>
      <x:c r="F13" s="24" t="str">
        <x:f t="shared" si="1"/>
      </x:c>
      <x:c r="G13" s="18"/>
      <x:c r="H13" s="9"/>
      <x:c r="I13" s="9"/>
      <x:c r="J13" s="12"/>
      <x:c r="K13" s="31"/>
    </x:row>
    <x:row r="14">
      <x:c r="A14" s="28"/>
      <x:c r="B14" s="9"/>
      <x:c r="C14" s="18"/>
      <x:c r="D14" s="18"/>
      <x:c r="E14" s="34" t="str">
        <x:f t="shared" si="0"/>
      </x:c>
      <x:c r="F14" s="24" t="str">
        <x:f t="shared" si="1"/>
      </x:c>
      <x:c r="G14" s="18"/>
      <x:c r="H14" s="9"/>
      <x:c r="I14" s="9"/>
      <x:c r="J14" s="12"/>
      <x:c r="K14" s="31"/>
    </x:row>
    <x:row r="15">
      <x:c r="A15" s="28"/>
      <x:c r="B15" s="9"/>
      <x:c r="C15" s="18"/>
      <x:c r="D15" s="18"/>
      <x:c r="E15" s="34" t="str">
        <x:f t="shared" si="0"/>
      </x:c>
      <x:c r="F15" s="24" t="str">
        <x:f t="shared" si="1"/>
      </x:c>
      <x:c r="G15" s="18"/>
      <x:c r="H15" s="9"/>
      <x:c r="I15" s="9"/>
      <x:c r="J15" s="12"/>
      <x:c r="K15" s="31"/>
    </x:row>
    <x:row r="16">
      <x:c r="A16" s="28"/>
      <x:c r="B16" s="9"/>
      <x:c r="C16" s="18"/>
      <x:c r="D16" s="18"/>
      <x:c r="E16" s="34" t="str">
        <x:f t="shared" si="0"/>
      </x:c>
      <x:c r="F16" s="24" t="str">
        <x:f t="shared" si="1"/>
      </x:c>
      <x:c r="G16" s="18"/>
      <x:c r="H16" s="9"/>
      <x:c r="I16" s="9"/>
      <x:c r="J16" s="12"/>
      <x:c r="K16" s="31"/>
    </x:row>
    <x:row r="17">
      <x:c r="A17" s="28"/>
      <x:c r="B17" s="9"/>
      <x:c r="C17" s="18"/>
      <x:c r="D17" s="18"/>
      <x:c r="E17" s="34" t="str">
        <x:f t="shared" si="0"/>
      </x:c>
      <x:c r="F17" s="24" t="str">
        <x:f t="shared" si="1"/>
      </x:c>
      <x:c r="G17" s="18"/>
      <x:c r="H17" s="9"/>
      <x:c r="I17" s="9"/>
      <x:c r="J17" s="12"/>
      <x:c r="K17" s="31"/>
    </x:row>
    <x:row r="18">
      <x:c r="A18" s="28"/>
      <x:c r="B18" s="9"/>
      <x:c r="C18" s="18"/>
      <x:c r="D18" s="18"/>
      <x:c r="E18" s="34" t="str">
        <x:f t="shared" si="0"/>
      </x:c>
      <x:c r="F18" s="24" t="str">
        <x:f t="shared" si="1"/>
      </x:c>
      <x:c r="G18" s="18"/>
      <x:c r="H18" s="9"/>
      <x:c r="I18" s="9"/>
      <x:c r="J18" s="12"/>
      <x:c r="K18" s="31"/>
    </x:row>
    <x:row r="19">
      <x:c r="A19" s="28"/>
      <x:c r="B19" s="9"/>
      <x:c r="C19" s="18"/>
      <x:c r="D19" s="18"/>
      <x:c r="E19" s="34" t="str">
        <x:f t="shared" si="0"/>
      </x:c>
      <x:c r="F19" s="24" t="str">
        <x:f t="shared" si="1"/>
      </x:c>
      <x:c r="G19" s="18"/>
      <x:c r="H19" s="9"/>
      <x:c r="I19" s="9"/>
      <x:c r="J19" s="12"/>
      <x:c r="K19" s="31"/>
    </x:row>
    <x:row r="20">
      <x:c r="A20" s="28"/>
      <x:c r="B20" s="9"/>
      <x:c r="C20" s="18"/>
      <x:c r="D20" s="18"/>
      <x:c r="E20" s="34" t="str">
        <x:f t="shared" si="0"/>
      </x:c>
      <x:c r="F20" s="24" t="str">
        <x:f t="shared" si="1"/>
      </x:c>
      <x:c r="G20" s="18"/>
      <x:c r="H20" s="9"/>
      <x:c r="I20" s="9"/>
      <x:c r="J20" s="12"/>
      <x:c r="K20" s="31"/>
    </x:row>
    <x:row r="21">
      <x:c r="A21" s="28"/>
      <x:c r="B21" s="9"/>
      <x:c r="C21" s="18"/>
      <x:c r="D21" s="18"/>
      <x:c r="E21" s="34" t="str">
        <x:f t="shared" si="0"/>
      </x:c>
      <x:c r="F21" s="24" t="str">
        <x:f t="shared" si="1"/>
      </x:c>
      <x:c r="G21" s="18"/>
      <x:c r="H21" s="9"/>
      <x:c r="I21" s="9"/>
      <x:c r="J21" s="12"/>
      <x:c r="K21" s="31"/>
    </x:row>
    <x:row r="22">
      <x:c r="A22" s="28"/>
      <x:c r="B22" s="9"/>
      <x:c r="C22" s="18"/>
      <x:c r="D22" s="18"/>
      <x:c r="E22" s="34" t="str">
        <x:f t="shared" si="0"/>
      </x:c>
      <x:c r="F22" s="24" t="str">
        <x:f t="shared" si="1"/>
      </x:c>
      <x:c r="G22" s="18"/>
      <x:c r="H22" s="9"/>
      <x:c r="I22" s="9"/>
      <x:c r="J22" s="12"/>
      <x:c r="K22" s="31"/>
    </x:row>
    <x:row r="23">
      <x:c r="A23" s="28"/>
      <x:c r="B23" s="9"/>
      <x:c r="C23" s="18"/>
      <x:c r="D23" s="18"/>
      <x:c r="E23" s="34" t="str">
        <x:f t="shared" si="0"/>
      </x:c>
      <x:c r="F23" s="24" t="str">
        <x:f t="shared" si="1"/>
      </x:c>
      <x:c r="G23" s="18"/>
      <x:c r="H23" s="9"/>
      <x:c r="I23" s="9"/>
      <x:c r="J23" s="12"/>
      <x:c r="K23" s="31"/>
    </x:row>
    <x:row r="24">
      <x:c r="A24" s="28"/>
      <x:c r="B24" s="9"/>
      <x:c r="C24" s="18"/>
      <x:c r="D24" s="18"/>
      <x:c r="E24" s="34" t="str">
        <x:f t="shared" si="0"/>
      </x:c>
      <x:c r="F24" s="24" t="str">
        <x:f t="shared" si="1"/>
      </x:c>
      <x:c r="G24" s="18"/>
      <x:c r="H24" s="9"/>
      <x:c r="I24" s="9"/>
      <x:c r="J24" s="12"/>
      <x:c r="K24" s="31"/>
    </x:row>
    <x:row r="25">
      <x:c r="A25" s="28"/>
      <x:c r="B25" s="9"/>
      <x:c r="C25" s="18"/>
      <x:c r="D25" s="18"/>
      <x:c r="E25" s="34" t="str">
        <x:f t="shared" si="0"/>
      </x:c>
      <x:c r="F25" s="24" t="str">
        <x:f t="shared" si="1"/>
      </x:c>
      <x:c r="G25" s="18"/>
      <x:c r="H25" s="9"/>
      <x:c r="I25" s="9"/>
      <x:c r="J25" s="12"/>
      <x:c r="K25" s="31"/>
    </x:row>
    <x:row r="26">
      <x:c r="A26" s="28"/>
      <x:c r="B26" s="9"/>
      <x:c r="C26" s="18"/>
      <x:c r="D26" s="18"/>
      <x:c r="E26" s="34" t="str">
        <x:f t="shared" si="0"/>
      </x:c>
      <x:c r="F26" s="24" t="str">
        <x:f t="shared" si="1"/>
      </x:c>
      <x:c r="G26" s="18"/>
      <x:c r="H26" s="9"/>
      <x:c r="I26" s="9"/>
      <x:c r="J26" s="12"/>
      <x:c r="K26" s="31"/>
    </x:row>
    <x:row r="27">
      <x:c r="A27" s="28"/>
      <x:c r="B27" s="9"/>
      <x:c r="C27" s="18"/>
      <x:c r="D27" s="18"/>
      <x:c r="E27" s="34" t="str">
        <x:f t="shared" si="0"/>
      </x:c>
      <x:c r="F27" s="24" t="str">
        <x:f t="shared" si="1"/>
      </x:c>
      <x:c r="G27" s="18"/>
      <x:c r="H27" s="9"/>
      <x:c r="I27" s="9"/>
      <x:c r="J27" s="12"/>
      <x:c r="K27" s="31"/>
    </x:row>
    <x:row r="28">
      <x:c r="A28" s="28"/>
      <x:c r="B28" s="9"/>
      <x:c r="C28" s="18"/>
      <x:c r="D28" s="18"/>
      <x:c r="E28" s="34" t="str">
        <x:f t="shared" si="0"/>
      </x:c>
      <x:c r="F28" s="24" t="str">
        <x:f t="shared" si="1"/>
      </x:c>
      <x:c r="G28" s="18"/>
      <x:c r="H28" s="9"/>
      <x:c r="I28" s="9"/>
      <x:c r="J28" s="12"/>
      <x:c r="K28" s="31"/>
    </x:row>
    <x:row r="29">
      <x:c r="A29" s="28"/>
      <x:c r="B29" s="9"/>
      <x:c r="C29" s="18"/>
      <x:c r="D29" s="18"/>
      <x:c r="E29" s="34" t="str">
        <x:f t="shared" si="0"/>
      </x:c>
      <x:c r="F29" s="24" t="str">
        <x:f t="shared" si="1"/>
      </x:c>
      <x:c r="G29" s="18"/>
      <x:c r="H29" s="9"/>
      <x:c r="I29" s="9"/>
      <x:c r="J29" s="12"/>
      <x:c r="K29" s="31"/>
    </x:row>
    <x:row r="30">
      <x:c r="A30" s="28"/>
      <x:c r="B30" s="9"/>
      <x:c r="C30" s="18"/>
      <x:c r="D30" s="18"/>
      <x:c r="E30" s="34" t="str">
        <x:f t="shared" si="0"/>
      </x:c>
      <x:c r="F30" s="24" t="str">
        <x:f t="shared" si="1"/>
      </x:c>
      <x:c r="G30" s="18"/>
      <x:c r="H30" s="9"/>
      <x:c r="I30" s="9"/>
      <x:c r="J30" s="12"/>
      <x:c r="K30" s="31"/>
    </x:row>
    <x:row r="31">
      <x:c r="A31" s="28"/>
      <x:c r="B31" s="9"/>
      <x:c r="C31" s="18"/>
      <x:c r="D31" s="18"/>
      <x:c r="E31" s="34" t="str">
        <x:f t="shared" si="0"/>
      </x:c>
      <x:c r="F31" s="24" t="str">
        <x:f t="shared" si="1"/>
      </x:c>
      <x:c r="G31" s="18"/>
      <x:c r="H31" s="9"/>
      <x:c r="I31" s="9"/>
      <x:c r="J31" s="12"/>
      <x:c r="K31" s="31"/>
    </x:row>
    <x:row r="32">
      <x:c r="A32" s="28"/>
      <x:c r="B32" s="9"/>
      <x:c r="C32" s="18"/>
      <x:c r="D32" s="18"/>
      <x:c r="E32" s="34" t="str">
        <x:f t="shared" si="0"/>
      </x:c>
      <x:c r="F32" s="24" t="str">
        <x:f t="shared" si="1"/>
      </x:c>
      <x:c r="G32" s="18"/>
      <x:c r="H32" s="9"/>
      <x:c r="I32" s="9"/>
      <x:c r="J32" s="12"/>
      <x:c r="K32" s="31"/>
    </x:row>
    <x:row r="33">
      <x:c r="A33" s="28"/>
      <x:c r="B33" s="9"/>
      <x:c r="C33" s="18"/>
      <x:c r="D33" s="18"/>
      <x:c r="E33" s="34" t="str">
        <x:f t="shared" si="0"/>
      </x:c>
      <x:c r="F33" s="24" t="str">
        <x:f t="shared" si="1"/>
      </x:c>
      <x:c r="G33" s="18"/>
      <x:c r="H33" s="9"/>
      <x:c r="I33" s="9"/>
      <x:c r="J33" s="12"/>
      <x:c r="K33" s="31"/>
    </x:row>
    <x:row r="34">
      <x:c r="A34" s="28"/>
      <x:c r="B34" s="9"/>
      <x:c r="C34" s="18"/>
      <x:c r="D34" s="18"/>
      <x:c r="E34" s="34" t="str">
        <x:f t="shared" si="0"/>
      </x:c>
      <x:c r="F34" s="24" t="str">
        <x:f t="shared" si="1"/>
      </x:c>
      <x:c r="G34" s="18"/>
      <x:c r="H34" s="9"/>
      <x:c r="I34" s="9"/>
      <x:c r="J34" s="12"/>
      <x:c r="K34" s="31"/>
    </x:row>
    <x:row r="35">
      <x:c r="A35" s="28"/>
      <x:c r="B35" s="9"/>
      <x:c r="C35" s="18"/>
      <x:c r="D35" s="18"/>
      <x:c r="E35" s="34" t="str">
        <x:f t="shared" si="0"/>
      </x:c>
      <x:c r="F35" s="24" t="str">
        <x:f t="shared" si="1"/>
      </x:c>
      <x:c r="G35" s="18"/>
      <x:c r="H35" s="9"/>
      <x:c r="I35" s="9"/>
      <x:c r="J35" s="12"/>
      <x:c r="K35" s="31"/>
    </x:row>
    <x:row r="36">
      <x:c r="A36" s="28"/>
      <x:c r="B36" s="9"/>
      <x:c r="C36" s="18"/>
      <x:c r="D36" s="18"/>
      <x:c r="E36" s="34" t="str">
        <x:f t="shared" si="0"/>
      </x:c>
      <x:c r="F36" s="24" t="str">
        <x:f t="shared" si="1"/>
      </x:c>
      <x:c r="G36" s="18"/>
      <x:c r="H36" s="9"/>
      <x:c r="I36" s="9"/>
      <x:c r="J36" s="12"/>
      <x:c r="K36" s="31"/>
    </x:row>
    <x:row r="37">
      <x:c r="A37" s="28"/>
      <x:c r="B37" s="9"/>
      <x:c r="C37" s="18"/>
      <x:c r="D37" s="18"/>
      <x:c r="E37" s="34" t="str">
        <x:f t="shared" si="0"/>
      </x:c>
      <x:c r="F37" s="24" t="str">
        <x:f t="shared" si="1"/>
      </x:c>
      <x:c r="G37" s="18"/>
      <x:c r="H37" s="9"/>
      <x:c r="I37" s="9"/>
      <x:c r="J37" s="12"/>
      <x:c r="K37" s="31"/>
    </x:row>
    <x:row r="38">
      <x:c r="A38" s="28"/>
      <x:c r="B38" s="9"/>
      <x:c r="C38" s="18"/>
      <x:c r="D38" s="18"/>
      <x:c r="E38" s="34" t="str">
        <x:f t="shared" ref="E38:E55" si="2">IF(A38="","",MAX(C38-D38,0))</x:f>
      </x:c>
      <x:c r="F38" s="24" t="str">
        <x:f t="shared" ref="F38:F55" si="3">IF(A38="","",IFERROR(D38/C38,0))</x:f>
      </x:c>
      <x:c r="G38" s="18"/>
      <x:c r="H38" s="9"/>
      <x:c r="I38" s="9"/>
      <x:c r="J38" s="12"/>
      <x:c r="K38" s="31"/>
    </x:row>
    <x:row r="39">
      <x:c r="A39" s="28"/>
      <x:c r="B39" s="9"/>
      <x:c r="C39" s="18"/>
      <x:c r="D39" s="18"/>
      <x:c r="E39" s="34" t="str">
        <x:f t="shared" si="2"/>
      </x:c>
      <x:c r="F39" s="24" t="str">
        <x:f t="shared" si="3"/>
      </x:c>
      <x:c r="G39" s="18"/>
      <x:c r="H39" s="9"/>
      <x:c r="I39" s="9"/>
      <x:c r="J39" s="12"/>
      <x:c r="K39" s="31"/>
    </x:row>
    <x:row r="40">
      <x:c r="A40" s="28"/>
      <x:c r="B40" s="9"/>
      <x:c r="C40" s="18"/>
      <x:c r="D40" s="18"/>
      <x:c r="E40" s="34" t="str">
        <x:f t="shared" si="2"/>
      </x:c>
      <x:c r="F40" s="24" t="str">
        <x:f t="shared" si="3"/>
      </x:c>
      <x:c r="G40" s="18"/>
      <x:c r="H40" s="9"/>
      <x:c r="I40" s="9"/>
      <x:c r="J40" s="12"/>
      <x:c r="K40" s="31"/>
    </x:row>
    <x:row r="41">
      <x:c r="A41" s="28"/>
      <x:c r="B41" s="9"/>
      <x:c r="C41" s="18"/>
      <x:c r="D41" s="18"/>
      <x:c r="E41" s="34" t="str">
        <x:f t="shared" si="2"/>
      </x:c>
      <x:c r="F41" s="24" t="str">
        <x:f t="shared" si="3"/>
      </x:c>
      <x:c r="G41" s="18"/>
      <x:c r="H41" s="9"/>
      <x:c r="I41" s="9"/>
      <x:c r="J41" s="12"/>
      <x:c r="K41" s="31"/>
    </x:row>
    <x:row r="42">
      <x:c r="A42" s="28"/>
      <x:c r="B42" s="9"/>
      <x:c r="C42" s="18"/>
      <x:c r="D42" s="18"/>
      <x:c r="E42" s="34" t="str">
        <x:f t="shared" si="2"/>
      </x:c>
      <x:c r="F42" s="24" t="str">
        <x:f t="shared" si="3"/>
      </x:c>
      <x:c r="G42" s="18"/>
      <x:c r="H42" s="9"/>
      <x:c r="I42" s="9"/>
      <x:c r="J42" s="12"/>
      <x:c r="K42" s="31"/>
    </x:row>
    <x:row r="43">
      <x:c r="A43" s="28"/>
      <x:c r="B43" s="9"/>
      <x:c r="C43" s="18"/>
      <x:c r="D43" s="18"/>
      <x:c r="E43" s="34" t="str">
        <x:f t="shared" si="2"/>
      </x:c>
      <x:c r="F43" s="24" t="str">
        <x:f t="shared" si="3"/>
      </x:c>
      <x:c r="G43" s="18"/>
      <x:c r="H43" s="9"/>
      <x:c r="I43" s="9"/>
      <x:c r="J43" s="12"/>
      <x:c r="K43" s="31"/>
    </x:row>
    <x:row r="44">
      <x:c r="A44" s="28"/>
      <x:c r="B44" s="9"/>
      <x:c r="C44" s="18"/>
      <x:c r="D44" s="18"/>
      <x:c r="E44" s="34" t="str">
        <x:f t="shared" si="2"/>
      </x:c>
      <x:c r="F44" s="24" t="str">
        <x:f t="shared" si="3"/>
      </x:c>
      <x:c r="G44" s="18"/>
      <x:c r="H44" s="9"/>
      <x:c r="I44" s="9"/>
      <x:c r="J44" s="12"/>
      <x:c r="K44" s="31"/>
    </x:row>
    <x:row r="45">
      <x:c r="A45" s="28"/>
      <x:c r="B45" s="9"/>
      <x:c r="C45" s="18"/>
      <x:c r="D45" s="18"/>
      <x:c r="E45" s="34" t="str">
        <x:f t="shared" si="2"/>
      </x:c>
      <x:c r="F45" s="24" t="str">
        <x:f t="shared" si="3"/>
      </x:c>
      <x:c r="G45" s="18"/>
      <x:c r="H45" s="9"/>
      <x:c r="I45" s="9"/>
      <x:c r="J45" s="12"/>
      <x:c r="K45" s="31"/>
    </x:row>
    <x:row r="46">
      <x:c r="A46" s="28"/>
      <x:c r="B46" s="9"/>
      <x:c r="C46" s="18"/>
      <x:c r="D46" s="18"/>
      <x:c r="E46" s="34" t="str">
        <x:f t="shared" si="2"/>
      </x:c>
      <x:c r="F46" s="24" t="str">
        <x:f t="shared" si="3"/>
      </x:c>
      <x:c r="G46" s="18"/>
      <x:c r="H46" s="9"/>
      <x:c r="I46" s="9"/>
      <x:c r="J46" s="12"/>
      <x:c r="K46" s="31"/>
    </x:row>
    <x:row r="47">
      <x:c r="A47" s="28"/>
      <x:c r="B47" s="9"/>
      <x:c r="C47" s="18"/>
      <x:c r="D47" s="18"/>
      <x:c r="E47" s="34" t="str">
        <x:f t="shared" si="2"/>
      </x:c>
      <x:c r="F47" s="24" t="str">
        <x:f t="shared" si="3"/>
      </x:c>
      <x:c r="G47" s="18"/>
      <x:c r="H47" s="9"/>
      <x:c r="I47" s="9"/>
      <x:c r="J47" s="12"/>
      <x:c r="K47" s="31"/>
    </x:row>
    <x:row r="48">
      <x:c r="A48" s="28"/>
      <x:c r="B48" s="9"/>
      <x:c r="C48" s="18"/>
      <x:c r="D48" s="18"/>
      <x:c r="E48" s="34" t="str">
        <x:f t="shared" si="2"/>
      </x:c>
      <x:c r="F48" s="24" t="str">
        <x:f t="shared" si="3"/>
      </x:c>
      <x:c r="G48" s="18"/>
      <x:c r="H48" s="9"/>
      <x:c r="I48" s="9"/>
      <x:c r="J48" s="12"/>
      <x:c r="K48" s="31"/>
    </x:row>
    <x:row r="49">
      <x:c r="A49" s="28"/>
      <x:c r="B49" s="9"/>
      <x:c r="C49" s="18"/>
      <x:c r="D49" s="18"/>
      <x:c r="E49" s="34" t="str">
        <x:f t="shared" si="2"/>
      </x:c>
      <x:c r="F49" s="24" t="str">
        <x:f t="shared" si="3"/>
      </x:c>
      <x:c r="G49" s="18"/>
      <x:c r="H49" s="9"/>
      <x:c r="I49" s="9"/>
      <x:c r="J49" s="12"/>
      <x:c r="K49" s="31"/>
    </x:row>
    <x:row r="50">
      <x:c r="A50" s="28"/>
      <x:c r="B50" s="9"/>
      <x:c r="C50" s="18"/>
      <x:c r="D50" s="18"/>
      <x:c r="E50" s="34" t="str">
        <x:f t="shared" si="2"/>
      </x:c>
      <x:c r="F50" s="24" t="str">
        <x:f t="shared" si="3"/>
      </x:c>
      <x:c r="G50" s="18"/>
      <x:c r="H50" s="9"/>
      <x:c r="I50" s="9"/>
      <x:c r="J50" s="12"/>
      <x:c r="K50" s="31"/>
    </x:row>
    <x:row r="51">
      <x:c r="A51" s="28"/>
      <x:c r="B51" s="9"/>
      <x:c r="C51" s="18"/>
      <x:c r="D51" s="18"/>
      <x:c r="E51" s="34" t="str">
        <x:f t="shared" si="2"/>
      </x:c>
      <x:c r="F51" s="24" t="str">
        <x:f t="shared" si="3"/>
      </x:c>
      <x:c r="G51" s="18"/>
      <x:c r="H51" s="9"/>
      <x:c r="I51" s="9"/>
      <x:c r="J51" s="12"/>
      <x:c r="K51" s="31"/>
    </x:row>
    <x:row r="52">
      <x:c r="A52" s="28"/>
      <x:c r="B52" s="9"/>
      <x:c r="C52" s="18"/>
      <x:c r="D52" s="18"/>
      <x:c r="E52" s="34" t="str">
        <x:f t="shared" si="2"/>
      </x:c>
      <x:c r="F52" s="24" t="str">
        <x:f t="shared" si="3"/>
      </x:c>
      <x:c r="G52" s="18"/>
      <x:c r="H52" s="9"/>
      <x:c r="I52" s="9"/>
      <x:c r="J52" s="12"/>
      <x:c r="K52" s="31"/>
    </x:row>
    <x:row r="53">
      <x:c r="A53" s="28"/>
      <x:c r="B53" s="9"/>
      <x:c r="C53" s="18"/>
      <x:c r="D53" s="18"/>
      <x:c r="E53" s="34" t="str">
        <x:f t="shared" si="2"/>
      </x:c>
      <x:c r="F53" s="24" t="str">
        <x:f t="shared" si="3"/>
      </x:c>
      <x:c r="G53" s="18"/>
      <x:c r="H53" s="9"/>
      <x:c r="I53" s="9"/>
      <x:c r="J53" s="12"/>
      <x:c r="K53" s="31"/>
    </x:row>
    <x:row r="54">
      <x:c r="A54" s="28"/>
      <x:c r="B54" s="9"/>
      <x:c r="C54" s="18"/>
      <x:c r="D54" s="18"/>
      <x:c r="E54" s="34" t="str">
        <x:f t="shared" si="2"/>
      </x:c>
      <x:c r="F54" s="24" t="str">
        <x:f t="shared" si="3"/>
      </x:c>
      <x:c r="G54" s="18"/>
      <x:c r="H54" s="9"/>
      <x:c r="I54" s="9"/>
      <x:c r="J54" s="12"/>
      <x:c r="K54" s="31"/>
    </x:row>
    <x:row r="55">
      <x:c r="A55" s="29"/>
      <x:c r="B55" s="10"/>
      <x:c r="C55" s="19"/>
      <x:c r="D55" s="19"/>
      <x:c r="E55" s="35" t="str">
        <x:f t="shared" si="2"/>
      </x:c>
      <x:c r="F55" s="25" t="str">
        <x:f t="shared" si="3"/>
      </x:c>
      <x:c r="G55" s="19"/>
      <x:c r="H55" s="10"/>
      <x:c r="I55" s="10"/>
      <x:c r="J55" s="13"/>
      <x:c r="K55" s="32"/>
    </x:row>
  </x:sheetData>
  <x:mergeCells>
    <x:mergeCell ref="A1:K1"/>
    <x:mergeCell ref="A2:K2"/>
    <x:mergeCell ref="A3:K3"/>
  </x:mergeCells>
  <x:conditionalFormatting sqref="F6:F55">
    <x:cfRule type="colorScale" priority="1">
      <x:colorScale>
        <x:cfvo type="min"/>
        <x:cfvo type="percentile" val="50"/>
        <x:cfvo type="max"/>
        <x:color rgb="FFE8F5EE"/>
        <x:color rgb="FFF6F1DA"/>
        <x:color rgb="FFFDECEC"/>
      </x:colorScale>
    </x:cfRule>
  </x:conditionalFormatting>
  <x:dataValidations count="2">
    <x:dataValidation type="list" sqref="B6:B55">
      <x:formula1>"Bukit Intan,Gabek,Gerunggang,Girimaya,Pangkal Balam,Rangkui,Taman Sari"</x:formula1>
    </x:dataValidation>
    <x:dataValidation type="list" sqref="I6:I55">
      <x:formula1>"Draft,Dalam Verifikasi,Terverifikasi,Perlu Perbaikan"</x:formula1>
    </x:dataValidation>
  </x:dataValidations>
  <x:pageMargins left="0.7" right="0.7" top="0.75" bottom="0.75" header="0.3" footer="0.3"/>
  <x:tableParts count="1">
    <x:tablePart xmlns:r="http://schemas.openxmlformats.org/officeDocument/2006/relationships" r:id="Rd992db9d82d24b57"/>
  </x:tableParts>
</x:worksheet>
</file>

<file path=xl/worksheets/sheet6.xml><?xml version="1.0" encoding="utf-8"?>
<x:worksheet xmlns:x="http://schemas.openxmlformats.org/spreadsheetml/2006/main">
  <x:sheetFormatPr defaultRowHeight="14"/>
  <x:cols>
    <x:col min="1" max="1" width="15" customWidth="1"/>
    <x:col min="2" max="2" width="27.75" customWidth="1"/>
    <x:col min="3" max="3" width="22.83203125" customWidth="1"/>
    <x:col min="4" max="4" width="39.08203125" customWidth="1"/>
    <x:col min="5" max="5" width="34" customWidth="1"/>
    <x:col min="6" max="7" width="18" customWidth="1"/>
    <x:col min="8" max="8" width="22" customWidth="1"/>
    <x:col min="9" max="9" width="42" hidden="1" customWidth="1"/>
    <x:col min="10" max="10" width="22.33203125" customWidth="1"/>
    <x:col min="11" max="11" width="22" customWidth="1"/>
    <x:col min="12" max="12" width="18" customWidth="1"/>
    <x:col min="13" max="13" width="31" customWidth="1"/>
    <x:col min="14" max="14" width="18" customWidth="1"/>
    <x:col min="15" max="15" width="21" customWidth="1"/>
    <x:col min="16" max="16" width="18" customWidth="1"/>
    <x:col min="17" max="17" width="30" customWidth="1"/>
    <x:col min="18" max="18" width="17.08203125" customWidth="1"/>
    <x:col min="19" max="19" width="24.08203125" customWidth="1"/>
    <x:col min="20" max="20" width="28.58203125" customWidth="1"/>
    <x:col min="21" max="21" width="17.75" customWidth="1"/>
    <x:col min="22" max="22" width="28" customWidth="1"/>
    <x:col min="23" max="23" width="36" hidden="1" customWidth="1"/>
    <x:col min="24" max="24" width="48" customWidth="1"/>
    <x:col min="25" max="25" width="25" customWidth="1"/>
    <x:col min="26" max="26" width="12" customWidth="1"/>
    <x:col min="27" max="27" width="16" customWidth="1"/>
    <x:col min="28" max="28" width="18" customWidth="1"/>
    <x:col min="29" max="29" width="26" customWidth="1"/>
    <x:col min="30" max="30" width="29" customWidth="1"/>
    <x:col min="31" max="31" width="30" customWidth="1"/>
    <x:col min="32" max="32" width="27" customWidth="1"/>
    <x:col min="33" max="33" width="26" customWidth="1"/>
    <x:col min="34" max="34" width="27" customWidth="1"/>
    <x:col min="35" max="35" width="26.33203125" customWidth="1"/>
    <x:col min="36" max="36" width="27" customWidth="1"/>
    <x:col min="37" max="37" width="24" customWidth="1"/>
    <x:col min="38" max="38" width="35" hidden="1" customWidth="1"/>
    <x:col min="39" max="39" width="25.5" hidden="1" customWidth="1"/>
    <x:col min="40" max="40" width="56" customWidth="1"/>
    <x:col min="41" max="41" width="25" customWidth="1"/>
    <x:col min="42" max="42" width="38" hidden="1" customWidth="1"/>
    <x:col min="43" max="43" width="15" customWidth="1"/>
    <x:col min="44" max="44" width="14" customWidth="1"/>
    <x:col min="45" max="45" width="16" customWidth="1"/>
    <x:col min="46" max="46" width="21" customWidth="1"/>
    <x:col min="47" max="47" width="19" customWidth="1"/>
    <x:col min="48" max="49" width="21" customWidth="1"/>
    <x:col min="50" max="50" width="18" customWidth="1"/>
    <x:col min="51" max="51" width="16" customWidth="1"/>
    <x:col min="52" max="52" width="24" customWidth="1"/>
    <x:col min="53" max="53" width="18" customWidth="1"/>
    <x:col min="54" max="54" width="16" customWidth="1"/>
    <x:col min="55" max="55" width="13" customWidth="1"/>
    <x:col min="56" max="56" width="30" customWidth="1"/>
    <x:col min="57" max="57" width="16" customWidth="1"/>
    <x:col min="58" max="58" width="28" customWidth="1"/>
    <x:col min="60" max="77" width="25" customWidth="1"/>
  </x:cols>
  <x:sheetData>
    <x:row r="1">
      <x:c r="A1" s="267" t="s">
        <x:v>1380</x:v>
      </x:c>
      <x:c r="B1" s="267"/>
      <x:c r="C1" s="267"/>
      <x:c r="D1" s="267"/>
      <x:c r="E1" s="267"/>
      <x:c r="F1" s="267"/>
      <x:c r="G1" s="267"/>
      <x:c r="H1" s="267"/>
      <x:c r="I1" s="267"/>
      <x:c r="J1" s="267"/>
      <x:c r="K1" s="267"/>
      <x:c r="L1" s="267"/>
      <x:c r="M1" s="267"/>
      <x:c r="N1" s="267"/>
      <x:c r="O1" s="267"/>
      <x:c r="P1" s="267"/>
      <x:c r="Q1" s="267"/>
      <x:c r="R1" s="267"/>
      <x:c r="S1" s="267"/>
      <x:c r="T1" s="267"/>
      <x:c r="U1" s="267"/>
      <x:c r="V1" s="267"/>
      <x:c r="W1" s="267"/>
      <x:c r="X1" s="267"/>
      <x:c r="Y1" s="267"/>
      <x:c r="Z1" s="267"/>
      <x:c r="AA1" s="267"/>
      <x:c r="AB1" s="267"/>
      <x:c r="AC1" s="267"/>
      <x:c r="AD1" s="267"/>
      <x:c r="AE1" s="267"/>
      <x:c r="AF1" s="267"/>
      <x:c r="AG1" s="267"/>
      <x:c r="AH1" s="267"/>
      <x:c r="AI1" s="267"/>
      <x:c r="AJ1" s="267"/>
      <x:c r="AK1" s="267"/>
      <x:c r="AL1" s="267"/>
      <x:c r="AM1" s="267"/>
      <x:c r="AN1" s="267"/>
      <x:c r="AO1" s="267"/>
      <x:c r="AP1" s="267"/>
      <x:c r="AQ1" s="267"/>
      <x:c r="AR1" s="267"/>
      <x:c r="AS1" s="267"/>
      <x:c r="AT1" s="267"/>
      <x:c r="AU1" s="267"/>
      <x:c r="AV1" s="267"/>
      <x:c r="AW1" s="267"/>
      <x:c r="AX1" s="267"/>
      <x:c r="AY1" s="267"/>
      <x:c r="AZ1" s="267"/>
      <x:c r="BA1" s="267"/>
      <x:c r="BB1" s="267"/>
      <x:c r="BC1" s="267"/>
      <x:c r="BD1" s="267"/>
      <x:c r="BE1" s="267"/>
      <x:c r="BF1" s="267"/>
      <x:c r="BH1" s="63" t="s">
        <x:v>1381</x:v>
      </x:c>
      <x:c r="BI1" s="63" t="s">
        <x:v>1382</x:v>
      </x:c>
      <x:c r="BJ1" s="63" t="s">
        <x:v>1383</x:v>
      </x:c>
      <x:c r="BK1" s="63" t="s">
        <x:v>1384</x:v>
      </x:c>
      <x:c r="BL1" s="63" t="s">
        <x:v>1385</x:v>
      </x:c>
      <x:c r="BM1" s="63" t="s">
        <x:v>1386</x:v>
      </x:c>
      <x:c r="BN1" s="63" t="s">
        <x:v>1387</x:v>
      </x:c>
      <x:c r="BO1" s="63" t="s">
        <x:v>1388</x:v>
      </x:c>
      <x:c r="BP1" s="63" t="s">
        <x:v>1389</x:v>
      </x:c>
      <x:c r="BQ1" s="63" t="s">
        <x:v>1390</x:v>
      </x:c>
      <x:c r="BR1" s="63" t="s">
        <x:v>1391</x:v>
      </x:c>
      <x:c r="BS1" s="63" t="s">
        <x:v>1392</x:v>
      </x:c>
      <x:c r="BT1" s="63" t="s">
        <x:v>1393</x:v>
      </x:c>
      <x:c r="BU1" s="63" t="s">
        <x:v>1394</x:v>
      </x:c>
      <x:c r="BV1" s="63" t="s">
        <x:v>1395</x:v>
      </x:c>
      <x:c r="BW1" s="63" t="s">
        <x:v>1396</x:v>
      </x:c>
      <x:c r="BX1" s="63" t="s">
        <x:v>1397</x:v>
      </x:c>
      <x:c r="BY1" s="63" t="s">
        <x:v>1334</x:v>
      </x:c>
    </x:row>
    <x:row r="2" ht="14.5">
      <x:c r="A2" s="272" t="s">
        <x:v>1398</x:v>
      </x:c>
      <x:c r="B2" s="272"/>
      <x:c r="C2" s="272"/>
      <x:c r="D2" s="272"/>
      <x:c r="E2" s="272"/>
      <x:c r="F2" s="272"/>
      <x:c r="G2" s="272"/>
      <x:c r="H2" s="272"/>
      <x:c r="I2" s="272"/>
      <x:c r="J2" s="272"/>
      <x:c r="K2" s="272"/>
      <x:c r="L2" s="272"/>
      <x:c r="M2" s="272"/>
      <x:c r="N2" s="272"/>
      <x:c r="O2" s="272"/>
      <x:c r="P2" s="272"/>
      <x:c r="Q2" s="272"/>
      <x:c r="R2" s="272"/>
      <x:c r="S2" s="272"/>
      <x:c r="T2" s="272"/>
      <x:c r="U2" s="272"/>
      <x:c r="V2" s="272"/>
      <x:c r="W2" s="272"/>
      <x:c r="X2" s="272"/>
      <x:c r="Y2" s="272"/>
      <x:c r="Z2" s="272"/>
      <x:c r="AA2" s="272"/>
      <x:c r="AB2" s="272"/>
      <x:c r="AC2" s="272"/>
      <x:c r="AD2" s="272"/>
      <x:c r="AE2" s="272"/>
      <x:c r="AF2" s="272"/>
      <x:c r="AG2" s="272"/>
      <x:c r="AH2" s="272"/>
      <x:c r="AI2" s="272"/>
      <x:c r="AJ2" s="272"/>
      <x:c r="AK2" s="272"/>
      <x:c r="AL2" s="272"/>
      <x:c r="AM2" s="272"/>
      <x:c r="AN2" s="272"/>
      <x:c r="AO2" s="272"/>
      <x:c r="AP2" s="272"/>
      <x:c r="AQ2" s="272"/>
      <x:c r="AR2" s="272"/>
      <x:c r="AS2" s="272"/>
      <x:c r="AT2" s="272"/>
      <x:c r="AU2" s="272"/>
      <x:c r="AV2" s="272"/>
      <x:c r="AW2" s="272"/>
      <x:c r="AX2" s="272"/>
      <x:c r="AY2" s="272"/>
      <x:c r="AZ2" s="272"/>
      <x:c r="BA2" s="272"/>
      <x:c r="BB2" s="272"/>
      <x:c r="BC2" s="272"/>
      <x:c r="BD2" s="272"/>
      <x:c r="BE2" s="272"/>
      <x:c r="BF2" s="272"/>
      <x:c r="BH2" t="s">
        <x:v>102</x:v>
      </x:c>
      <x:c r="BI2" t="s">
        <x:v>1399</x:v>
      </x:c>
      <x:c r="BJ2" t="s">
        <x:v>1400</x:v>
      </x:c>
      <x:c r="BK2" t="s">
        <x:v>1401</x:v>
      </x:c>
      <x:c r="BL2" t="s">
        <x:v>1402</x:v>
      </x:c>
      <x:c r="BM2" t="s">
        <x:v>1403</x:v>
      </x:c>
      <x:c r="BN2" t="s">
        <x:v>1402</x:v>
      </x:c>
      <x:c r="BO2" t="s">
        <x:v>1404</x:v>
      </x:c>
      <x:c r="BP2" t="s">
        <x:v>1402</x:v>
      </x:c>
      <x:c r="BQ2" t="s">
        <x:v>1405</x:v>
      </x:c>
      <x:c r="BR2" t="s">
        <x:v>1406</x:v>
      </x:c>
      <x:c r="BS2" t="s">
        <x:v>1407</x:v>
      </x:c>
      <x:c r="BT2" t="s">
        <x:v>1408</x:v>
      </x:c>
      <x:c r="BU2" t="s">
        <x:v>1409</x:v>
      </x:c>
      <x:c r="BV2" t="s">
        <x:v>1410</x:v>
      </x:c>
      <x:c r="BW2" t="s">
        <x:v>1411</x:v>
      </x:c>
      <x:c r="BX2" t="s">
        <x:v>1412</x:v>
      </x:c>
      <x:c r="BY2" t="s">
        <x:v>1413</x:v>
      </x:c>
    </x:row>
    <x:row r="3">
      <x:c r="A3" s="273" t="s">
        <x:v>1414</x:v>
      </x:c>
      <x:c r="B3" s="273"/>
      <x:c r="C3" s="273"/>
      <x:c r="D3" s="273"/>
      <x:c r="E3" s="273"/>
      <x:c r="F3" s="273"/>
      <x:c r="G3" s="273"/>
      <x:c r="H3" s="273"/>
      <x:c r="I3" s="273"/>
      <x:c r="J3" s="273"/>
      <x:c r="K3" s="273"/>
      <x:c r="L3" s="273"/>
      <x:c r="M3" s="273"/>
      <x:c r="N3" s="273"/>
      <x:c r="O3" s="273"/>
      <x:c r="P3" s="273"/>
      <x:c r="Q3" s="273"/>
      <x:c r="R3" s="273"/>
      <x:c r="S3" s="273"/>
      <x:c r="T3" s="273"/>
      <x:c r="U3" s="273"/>
      <x:c r="V3" s="273"/>
      <x:c r="W3" s="273"/>
      <x:c r="X3" s="273"/>
      <x:c r="Y3" s="273"/>
      <x:c r="Z3" s="273"/>
      <x:c r="AA3" s="273"/>
      <x:c r="AB3" s="273"/>
      <x:c r="AC3" s="273"/>
      <x:c r="AD3" s="273"/>
      <x:c r="AE3" s="273"/>
      <x:c r="AF3" s="273"/>
      <x:c r="AG3" s="273"/>
      <x:c r="AH3" s="273"/>
      <x:c r="AI3" s="273"/>
      <x:c r="AJ3" s="273"/>
      <x:c r="AK3" s="273"/>
      <x:c r="AL3" s="273"/>
      <x:c r="AM3" s="273"/>
      <x:c r="AN3" s="273"/>
      <x:c r="AO3" s="273"/>
      <x:c r="AP3" s="273"/>
      <x:c r="AQ3" s="273"/>
      <x:c r="AR3" s="273"/>
      <x:c r="AS3" s="273"/>
      <x:c r="AT3" s="273"/>
      <x:c r="AU3" s="273"/>
      <x:c r="AV3" s="273"/>
      <x:c r="AW3" s="273"/>
      <x:c r="AX3" s="273"/>
      <x:c r="AY3" s="273"/>
      <x:c r="AZ3" s="273"/>
      <x:c r="BA3" s="273"/>
      <x:c r="BB3" s="273"/>
      <x:c r="BC3" s="273"/>
      <x:c r="BD3" s="273"/>
      <x:c r="BE3" s="273"/>
      <x:c r="BF3" s="273"/>
      <x:c r="BH3" t="s">
        <x:v>75</x:v>
      </x:c>
      <x:c r="BI3" t="s">
        <x:v>1415</x:v>
      </x:c>
      <x:c r="BJ3" t="s">
        <x:v>1416</x:v>
      </x:c>
      <x:c r="BK3" t="s">
        <x:v>1417</x:v>
      </x:c>
      <x:c r="BL3" t="s">
        <x:v>1418</x:v>
      </x:c>
      <x:c r="BM3" t="s">
        <x:v>1419</x:v>
      </x:c>
      <x:c r="BN3" t="s">
        <x:v>1418</x:v>
      </x:c>
      <x:c r="BO3" t="s">
        <x:v>1420</x:v>
      </x:c>
      <x:c r="BP3" t="s">
        <x:v>1418</x:v>
      </x:c>
      <x:c r="BQ3" t="s">
        <x:v>1421</x:v>
      </x:c>
      <x:c r="BR3" t="s">
        <x:v>1422</x:v>
      </x:c>
      <x:c r="BS3" t="s">
        <x:v>1423</x:v>
      </x:c>
      <x:c r="BT3" t="s">
        <x:v>1424</x:v>
      </x:c>
      <x:c r="BU3" t="s">
        <x:v>1425</x:v>
      </x:c>
      <x:c r="BV3" t="s">
        <x:v>1426</x:v>
      </x:c>
      <x:c r="BW3" t="s">
        <x:v>1427</x:v>
      </x:c>
      <x:c r="BX3" t="s">
        <x:v>1428</x:v>
      </x:c>
      <x:c r="BY3" t="s">
        <x:v>1429</x:v>
      </x:c>
    </x:row>
    <x:row r="4">
      <x:c r="BH4" t="s">
        <x:v>40</x:v>
      </x:c>
      <x:c r="BI4" t="s">
        <x:v>1430</x:v>
      </x:c>
      <x:c r="BJ4" t="s">
        <x:v>1431</x:v>
      </x:c>
      <x:c r="BK4" t="s">
        <x:v>1432</x:v>
      </x:c>
      <x:c r="BL4" t="s">
        <x:v>1433</x:v>
      </x:c>
      <x:c r="BM4" t="s">
        <x:v>1434</x:v>
      </x:c>
      <x:c r="BN4" t="s">
        <x:v>1433</x:v>
      </x:c>
      <x:c r="BO4" t="s">
        <x:v>1435</x:v>
      </x:c>
      <x:c r="BP4" t="s">
        <x:v>1433</x:v>
      </x:c>
      <x:c r="BQ4" t="s">
        <x:v>1436</x:v>
      </x:c>
      <x:c r="BR4" t="s">
        <x:v>1437</x:v>
      </x:c>
      <x:c r="BS4" t="s">
        <x:v>1437</x:v>
      </x:c>
      <x:c r="BV4" t="s">
        <x:v>1438</x:v>
      </x:c>
      <x:c r="BW4" t="s">
        <x:v>1439</x:v>
      </x:c>
      <x:c r="BX4" t="s">
        <x:v>1440</x:v>
      </x:c>
      <x:c r="BY4" t="s">
        <x:v>1441</x:v>
      </x:c>
    </x:row>
    <x:row r="5" s="77" customFormat="1" ht="23.75" customHeight="1">
      <x:c r="A5" s="76" t="s">
        <x:v>1442</x:v>
      </x:c>
      <x:c r="B5" s="76" t="s">
        <x:v>1443</x:v>
      </x:c>
      <x:c r="C5" s="76" t="s">
        <x:v>1444</x:v>
      </x:c>
      <x:c r="D5" s="76" t="s">
        <x:v>1445</x:v>
      </x:c>
      <x:c r="E5" s="76" t="s">
        <x:v>1446</x:v>
      </x:c>
      <x:c r="F5" s="76" t="s">
        <x:v>7</x:v>
      </x:c>
      <x:c r="G5" s="76" t="s">
        <x:v>6</x:v>
      </x:c>
      <x:c r="H5" s="76" t="s">
        <x:v>1447</x:v>
      </x:c>
      <x:c r="I5" s="76" t="s">
        <x:v>1448</x:v>
      </x:c>
      <x:c r="J5" s="76" t="s">
        <x:v>1449</x:v>
      </x:c>
      <x:c r="K5" s="76" t="s">
        <x:v>1384</x:v>
      </x:c>
      <x:c r="L5" s="76" t="s">
        <x:v>1385</x:v>
      </x:c>
      <x:c r="M5" s="76" t="s">
        <x:v>1386</x:v>
      </x:c>
      <x:c r="N5" s="76" t="s">
        <x:v>1387</x:v>
      </x:c>
      <x:c r="O5" s="76" t="s">
        <x:v>1388</x:v>
      </x:c>
      <x:c r="P5" s="76" t="s">
        <x:v>1389</x:v>
      </x:c>
      <x:c r="Q5" s="76" t="s">
        <x:v>1450</x:v>
      </x:c>
      <x:c r="R5" s="76" t="s">
        <x:v>1451</x:v>
      </x:c>
      <x:c r="S5" s="76" t="s">
        <x:v>1452</x:v>
      </x:c>
      <x:c r="T5" s="76" t="s">
        <x:v>1453</x:v>
      </x:c>
      <x:c r="U5" s="76" t="s">
        <x:v>1454</x:v>
      </x:c>
      <x:c r="V5" s="76" t="s">
        <x:v>1455</x:v>
      </x:c>
      <x:c r="W5" s="76" t="s">
        <x:v>1456</x:v>
      </x:c>
      <x:c r="X5" s="76" t="s">
        <x:v>1457</x:v>
      </x:c>
      <x:c r="Y5" s="76" t="s">
        <x:v>1458</x:v>
      </x:c>
      <x:c r="Z5" s="76" t="s">
        <x:v>1459</x:v>
      </x:c>
      <x:c r="AA5" s="76" t="s">
        <x:v>1460</x:v>
      </x:c>
      <x:c r="AB5" s="76" t="s">
        <x:v>1461</x:v>
      </x:c>
      <x:c r="AC5" s="76" t="s">
        <x:v>1462</x:v>
      </x:c>
      <x:c r="AD5" s="76" t="s">
        <x:v>1463</x:v>
      </x:c>
      <x:c r="AE5" s="76" t="s">
        <x:v>1464</x:v>
      </x:c>
      <x:c r="AF5" s="76" t="s">
        <x:v>1465</x:v>
      </x:c>
      <x:c r="AG5" s="76" t="s">
        <x:v>1466</x:v>
      </x:c>
      <x:c r="AH5" s="76" t="s">
        <x:v>1467</x:v>
      </x:c>
      <x:c r="AI5" s="76" t="s">
        <x:v>1468</x:v>
      </x:c>
      <x:c r="AJ5" s="76" t="s">
        <x:v>1469</x:v>
      </x:c>
      <x:c r="AK5" s="76" t="s">
        <x:v>1470</x:v>
      </x:c>
      <x:c r="AL5" s="76" t="s">
        <x:v>1471</x:v>
      </x:c>
      <x:c r="AM5" s="76" t="s">
        <x:v>1392</x:v>
      </x:c>
      <x:c r="AN5" s="76" t="s">
        <x:v>1472</x:v>
      </x:c>
      <x:c r="AO5" s="76" t="s">
        <x:v>1473</x:v>
      </x:c>
      <x:c r="AP5" s="76" t="s">
        <x:v>1474</x:v>
      </x:c>
      <x:c r="AQ5" s="76" t="s">
        <x:v>1475</x:v>
      </x:c>
      <x:c r="AR5" s="76" t="s">
        <x:v>1476</x:v>
      </x:c>
      <x:c r="AS5" s="76" t="s">
        <x:v>1477</x:v>
      </x:c>
      <x:c r="AT5" s="76" t="s">
        <x:v>1478</x:v>
      </x:c>
      <x:c r="AU5" s="76" t="s">
        <x:v>1479</x:v>
      </x:c>
      <x:c r="AV5" s="76" t="s">
        <x:v>29</x:v>
      </x:c>
      <x:c r="AW5" s="76" t="s">
        <x:v>1480</x:v>
      </x:c>
      <x:c r="AX5" s="76" t="s">
        <x:v>1396</x:v>
      </x:c>
      <x:c r="AY5" s="76" t="s">
        <x:v>1481</x:v>
      </x:c>
      <x:c r="AZ5" s="76" t="s">
        <x:v>1397</x:v>
      </x:c>
      <x:c r="BA5" s="76" t="s">
        <x:v>1482</x:v>
      </x:c>
      <x:c r="BB5" s="76" t="s">
        <x:v>1483</x:v>
      </x:c>
      <x:c r="BC5" s="76" t="s">
        <x:v>27</x:v>
      </x:c>
      <x:c r="BD5" s="76" t="s">
        <x:v>28</x:v>
      </x:c>
      <x:c r="BE5" s="76" t="s">
        <x:v>30</x:v>
      </x:c>
      <x:c r="BF5" s="76" t="s">
        <x:v>31</x:v>
      </x:c>
      <x:c r="BH5" s="77" t="s">
        <x:v>433</x:v>
      </x:c>
      <x:c r="BI5" s="77" t="s">
        <x:v>1484</x:v>
      </x:c>
      <x:c r="BJ5" s="77" t="s">
        <x:v>1485</x:v>
      </x:c>
      <x:c r="BK5" s="77" t="s">
        <x:v>1486</x:v>
      </x:c>
      <x:c r="BL5" s="77" t="s">
        <x:v>1487</x:v>
      </x:c>
      <x:c r="BM5" s="77" t="s">
        <x:v>1488</x:v>
      </x:c>
      <x:c r="BN5" s="77" t="s">
        <x:v>1487</x:v>
      </x:c>
      <x:c r="BO5" s="77" t="s">
        <x:v>1489</x:v>
      </x:c>
      <x:c r="BP5" s="77" t="s">
        <x:v>1487</x:v>
      </x:c>
      <x:c r="BQ5" s="77" t="s">
        <x:v>1437</x:v>
      </x:c>
      <x:c r="BV5" s="77" t="s">
        <x:v>1490</x:v>
      </x:c>
      <x:c r="BW5" s="77" t="s">
        <x:v>1491</x:v>
      </x:c>
      <x:c r="BX5" s="77" t="s">
        <x:v>1492</x:v>
      </x:c>
      <x:c r="BY5" s="77" t="s">
        <x:v>1493</x:v>
      </x:c>
    </x:row>
    <x:row r="6" ht="10.649999618530273" customHeight="1">
      <x:c r="A6" s="59" t="s">
        <x:v>1494</x:v>
      </x:c>
      <x:c r="B6" s="59" t="s">
        <x:v>1495</x:v>
      </x:c>
      <x:c r="C6" s="59"/>
      <x:c r="D6" s="59"/>
      <x:c r="E6" s="59" t="s">
        <x:v>1496</x:v>
      </x:c>
      <x:c r="F6" s="59" t="s">
        <x:v>1497</x:v>
      </x:c>
      <x:c r="G6" s="59" t="s">
        <x:v>1498</x:v>
      </x:c>
      <x:c r="H6" s="59" t="s">
        <x:v>1399</x:v>
      </x:c>
      <x:c r="I6" s="59" t="s">
        <x:v>1499</x:v>
      </x:c>
      <x:c r="J6" s="59" t="s">
        <x:v>1416</x:v>
      </x:c>
      <x:c r="K6" s="59" t="s">
        <x:v>1432</x:v>
      </x:c>
      <x:c r="L6" s="59" t="s">
        <x:v>1418</x:v>
      </x:c>
      <x:c r="M6" s="59" t="s">
        <x:v>1500</x:v>
      </x:c>
      <x:c r="N6" s="59" t="s">
        <x:v>1418</x:v>
      </x:c>
      <x:c r="O6" s="59" t="s">
        <x:v>1435</x:v>
      </x:c>
      <x:c r="P6" s="59" t="s">
        <x:v>1418</x:v>
      </x:c>
      <x:c r="Q6" s="75" t="s">
        <x:v>1405</x:v>
      </x:c>
      <x:c r="R6" s="75" t="s">
        <x:v>1422</x:v>
      </x:c>
      <x:c r="S6" s="75" t="s">
        <x:v>1422</x:v>
      </x:c>
      <x:c r="T6" s="75" t="s">
        <x:v>1422</x:v>
      </x:c>
      <x:c r="U6" s="75" t="s">
        <x:v>1422</x:v>
      </x:c>
      <x:c r="V6" s="75" t="s">
        <x:v>1437</x:v>
      </x:c>
      <x:c r="W6" s="60"/>
      <x:c r="X6" s="73" t="str">
        <x:f t="shared" ref="X6:X69" si="0">IF(COUNTIF(R6:V6,"Belum Dinilai")&gt;0,"Belum Dinilai",IF(COUNTIF(R6:V6,"Ya")=0,"Tidak ada faktor rentan",IF(R6="Ya","Lansia; ","")&amp;IF(S6="Ya","Penyandang disabilitas; ","")&amp;IF(T6="Ya","Kepala keluarga perempuan; ","")&amp;IF(U6="Ya","Balita; ","")&amp;IF(V6="Ya","Anggota keluarga dengan ketergantungan tinggi; ","")))</x:f>
        <x:v>Belum Dinilai</x:v>
      </x:c>
      <x:c r="Y6" s="73" t="str">
        <x:f t="shared" ref="Y6:Y69" si="1">IF(COUNTIF(R6:V6,"Belum Dinilai")&gt;0,"Belum Dinilai",IF(COUNTIF(R6:V6,"Ya")=0,"Tidak Ada Faktor Rentan",IF(COUNTIF(R6:V6,"Ya")=1,"1 Faktor Rentan","2 atau Lebih Faktor Rentan")))</x:f>
        <x:v>Belum Dinilai</x:v>
      </x:c>
      <x:c r="Z6" s="74" t="n">
        <x:f t="shared" ref="Z6:Z69" si="2">IF(OR(Q6="",Q6="Belum Dinilai"),"",IF(Q6="Terverifikasi DTKS/P3KE/MBR",10,IF(Q6="Diusulkan, Belum Terverifikasi",5,0)))</x:f>
        <x:v>10</x:v>
      </x:c>
      <x:c r="AA6" s="74" t="str">
        <x:f t="shared" ref="AA6:AA69" si="3">IF(COUNTIF(R6:V6,"Belum Dinilai")&gt;0,"",IF(COUNTIF(R6:V6,"Ya")=0,0,IF(COUNTIF(R6:V6,"Ya")=1,5,10)))</x:f>
      </x:c>
      <x:c r="AB6" s="74" t="str">
        <x:f t="shared" ref="AB6:AB69" si="4">IF(OR(Z6="",AA6=""),"",Z6+AA6)</x:f>
      </x:c>
      <x:c r="AC6" s="61" t="s">
        <x:v>1422</x:v>
      </x:c>
      <x:c r="AD6" s="61" t="s">
        <x:v>1422</x:v>
      </x:c>
      <x:c r="AE6" s="61" t="s">
        <x:v>1422</x:v>
      </x:c>
      <x:c r="AF6" s="61" t="s">
        <x:v>1422</x:v>
      </x:c>
      <x:c r="AG6" s="61" t="s">
        <x:v>1422</x:v>
      </x:c>
      <x:c r="AH6" s="61" t="s">
        <x:v>1406</x:v>
      </x:c>
      <x:c r="AI6" s="61" t="s">
        <x:v>1406</x:v>
      </x:c>
      <x:c r="AJ6" s="61" t="s">
        <x:v>1422</x:v>
      </x:c>
      <x:c r="AK6" s="61" t="s">
        <x:v>1437</x:v>
      </x:c>
      <x:c r="AL6" s="61"/>
      <x:c r="AM6" s="61" t="s">
        <x:v>1437</x:v>
      </x:c>
      <x:c r="AN6" s="73" t="str">
        <x:f t="shared" ref="AN6:AN69" si="5">IF(AND(COUNTIF(AC6:AK6,"Ya")=0,AL6=""),IF(COUNTIF(AC6:AK6,"Belum Dinilai")&gt;0,"Belum Dinilai","Tidak ada risiko khusus"),IF(AC6="Ya","Bangunan berpotensi roboh; ","")&amp;IF(AD6="Ya","Bekas kebakaran dan tidak aman dihuni; ","")&amp;IF(AE6="Ya","Atap atau dinding utama hampir runtuh; ","")&amp;IF(AF6="Ya","Genangan yang membahayakan; ","")&amp;IF(AG6="Ya","Struktur rumah tidak stabil; ","")&amp;IF(AH6="Ya","Instalasi listrik berbahaya; ","")&amp;IF(AI6="Ya","Komponen bangunan lepas atau lapuk; ","")&amp;IF(AJ6="Ya","Akses keluar atau evakuasi terbatas; ","")&amp;IF(AK6="Ya","Lokasi rawan bencana; ","")&amp;IF(AL6&lt;&gt;"","Lainnya: "&amp;AL6,""))</x:f>
        <x:v>Instalasi listrik berbahaya; Komponen bangunan lepas atau lapuk; </x:v>
      </x:c>
      <x:c r="AO6" s="73" t="str">
        <x:f t="shared" ref="AO6:AO69" si="6">IF(AR6="","Belum Dinilai",IF(AR6=10,"Risiko Tinggi/Darurat",IF(AR6=5,"Risiko Sedang","Tidak Ada Risiko Khusus")))</x:f>
        <x:v>Risiko Tinggi/Darurat</x:v>
      </x:c>
      <x:c r="AP6" s="61"/>
      <x:c r="AQ6" s="64" t="n">
        <x:f t="shared" ref="AQ6:AQ69" si="7">IF(OR(J6="",J6="Belum Dapat Ditentukan",L6="",L6="Belum Dinilai",N6="",N6="Belum Dinilai",P6="",P6="Belum Dinilai"),"",IF(J6="Permanen",0,IF(J6="Semipermanen",8,IF(J6="Nonpermanen",15,0)))+IF(L6="Baik",0,IF(L6="Rusak Ringan",5,IF(L6="Rusak Sedang",10,IF(L6="Rusak Berat",15,IF(L6="Tidak Ada/Terbuka",20,0)))))+IF(N6="Baik",0,IF(N6="Rusak Ringan",5,IF(N6="Rusak Sedang",10,IF(N6="Rusak Berat",15,IF(N6="Tidak Ada/Terbuka",20,0)))))+IF(P6="Baik",0,IF(P6="Rusak Ringan",4,IF(P6="Rusak Sedang",8,IF(P6="Rusak Berat",12,IF(P6="Tidak Layak",15,0))))))</x:f>
        <x:v>22</x:v>
      </x:c>
      <x:c r="AR6" s="64" t="n">
        <x:f t="shared" ref="AR6:AR69" si="8">IF(
 OR(
  COUNTIF(AC6:AH6,"Ya")&gt;0,
  AND(AL6&lt;&gt;"",AM6="Risiko Tinggi/Darurat"),
  COUNTIF(AI6:AK6,"Ya")+IF(AND(AL6&lt;&gt;"",AM6="Risiko Sedang"),1,0)&gt;=2
 ),
 10,
 IF(
  OR(
   COUNTIF(AC6:AK6,"Belum Dinilai")&gt;0,
   AND(AL6&lt;&gt;"",OR(AM6="",AM6="Belum Dinilai")),
   AND(AL6="",OR(AM6="Risiko Sedang",AM6="Risiko Tinggi/Darurat"))
  ),
  "",
  IF(
   COUNTIF(AI6:AK6,"Ya")+IF(AND(AL6&lt;&gt;"",AM6="Risiko Sedang"),1,0)=1,
   5,
   0
  )
 )
)</x:f>
        <x:v>10</x:v>
      </x:c>
      <x:c r="AS6" s="64" t="str">
        <x:f t="shared" ref="AS6:AS69" si="9">IF(OR(AQ6="",AB6="",AR6=""),"",AQ6+AB6+AR6)</x:f>
      </x:c>
      <x:c r="AT6" s="62" t="str">
        <x:f t="shared" ref="AT6:AT69" si="10">IF(AS6="","Belum Dapat Ditentukan",IF(AS6&gt;=80,"Sangat Tinggi",IF(OR(AO6="Risiko Tinggi/Darurat",(IF(L6="Rusak Berat",1,0)+IF(L6="Tidak Ada/Terbuka",1,0)+IF(N6="Rusak Berat",1,0)+IF(N6="Tidak Ada/Terbuka",1,0)+IF(P6="Rusak Berat",1,0)+IF(P6="Tidak Layak",1,0))&gt;=2),"Tinggi",IF(AS6&gt;=65,"Tinggi",IF(AS6&gt;=50,"Sedang","Rendah")))))</x:f>
        <x:v>Belum Dapat Ditentukan</x:v>
      </x:c>
      <x:c r="AU6" s="59" t="s">
        <x:v>1408</x:v>
      </x:c>
      <x:c r="AV6" s="59" t="s">
        <x:v>1425</x:v>
      </x:c>
      <x:c r="AW6" s="59" t="s">
        <x:v>1410</x:v>
      </x:c>
      <x:c r="AX6" s="59" t="s">
        <x:v>1411</x:v>
      </x:c>
      <x:c r="AY6" s="59"/>
      <x:c r="AZ6" s="59" t="s">
        <x:v>1409</x:v>
      </x:c>
      <x:c r="BA6" s="59"/>
      <x:c r="BB6" s="167"/>
      <x:c r="BC6" s="65">
        <x:v>2026</x:v>
      </x:c>
      <x:c r="BD6" s="59"/>
      <x:c r="BE6" s="167"/>
      <x:c r="BF6" s="59" t="s">
        <x:v>1501</x:v>
      </x:c>
      <x:c r="BH6" t="s">
        <x:v>126</x:v>
      </x:c>
      <x:c r="BK6" t="s">
        <x:v>1502</x:v>
      </x:c>
      <x:c r="BL6" t="s">
        <x:v>1503</x:v>
      </x:c>
      <x:c r="BM6" t="s">
        <x:v>1489</x:v>
      </x:c>
      <x:c r="BN6" t="s">
        <x:v>1503</x:v>
      </x:c>
      <x:c r="BO6" t="s">
        <x:v>1504</x:v>
      </x:c>
      <x:c r="BP6" t="s">
        <x:v>1505</x:v>
      </x:c>
      <x:c r="BW6" t="s">
        <x:v>1506</x:v>
      </x:c>
      <x:c r="BX6" t="s">
        <x:v>1409</x:v>
      </x:c>
      <x:c r="BY6" t="s">
        <x:v>1507</x:v>
      </x:c>
    </x:row>
    <x:row r="7" ht="11.649999618530273" customHeight="1">
      <x:c r="A7" s="59" t="s">
        <x:v>1508</x:v>
      </x:c>
      <x:c r="B7" s="59" t="s">
        <x:v>1509</x:v>
      </x:c>
      <x:c r="C7" s="59"/>
      <x:c r="D7" s="59"/>
      <x:c r="E7" s="59" t="s">
        <x:v>1510</x:v>
      </x:c>
      <x:c r="F7" s="59" t="s">
        <x:v>1511</x:v>
      </x:c>
      <x:c r="G7" s="59" t="s">
        <x:v>1512</x:v>
      </x:c>
      <x:c r="H7" s="59" t="s">
        <x:v>1399</x:v>
      </x:c>
      <x:c r="I7" s="59" t="s">
        <x:v>1513</x:v>
      </x:c>
      <x:c r="J7" s="59" t="s">
        <x:v>1431</x:v>
      </x:c>
      <x:c r="K7" s="59" t="s">
        <x:v>1432</x:v>
      </x:c>
      <x:c r="L7" s="59" t="s">
        <x:v>1418</x:v>
      </x:c>
      <x:c r="M7" s="59" t="s">
        <x:v>1489</x:v>
      </x:c>
      <x:c r="N7" s="59" t="s">
        <x:v>1418</x:v>
      </x:c>
      <x:c r="O7" s="59" t="s">
        <x:v>1435</x:v>
      </x:c>
      <x:c r="P7" s="59" t="s">
        <x:v>1418</x:v>
      </x:c>
      <x:c r="Q7" s="75" t="s">
        <x:v>1405</x:v>
      </x:c>
      <x:c r="R7" s="75" t="s">
        <x:v>1422</x:v>
      </x:c>
      <x:c r="S7" s="75" t="s">
        <x:v>1422</x:v>
      </x:c>
      <x:c r="T7" s="75" t="s">
        <x:v>1422</x:v>
      </x:c>
      <x:c r="U7" s="75" t="s">
        <x:v>1406</x:v>
      </x:c>
      <x:c r="V7" s="75" t="s">
        <x:v>1437</x:v>
      </x:c>
      <x:c r="W7" s="60"/>
      <x:c r="X7" s="73" t="str">
        <x:f t="shared" si="0"/>
        <x:v>Belum Dinilai</x:v>
      </x:c>
      <x:c r="Y7" s="73" t="str">
        <x:f t="shared" si="1"/>
        <x:v>Belum Dinilai</x:v>
      </x:c>
      <x:c r="Z7" s="74">
        <x:f t="shared" si="2"/>
        <x:v>10</x:v>
      </x:c>
      <x:c r="AA7" s="74" t="str">
        <x:f t="shared" si="3"/>
      </x:c>
      <x:c r="AB7" s="74" t="str">
        <x:f t="shared" si="4"/>
      </x:c>
      <x:c r="AC7" s="61" t="s">
        <x:v>1422</x:v>
      </x:c>
      <x:c r="AD7" s="61" t="s">
        <x:v>1422</x:v>
      </x:c>
      <x:c r="AE7" s="61" t="s">
        <x:v>1422</x:v>
      </x:c>
      <x:c r="AF7" s="61" t="s">
        <x:v>1422</x:v>
      </x:c>
      <x:c r="AG7" s="61" t="s">
        <x:v>1422</x:v>
      </x:c>
      <x:c r="AH7" s="61" t="s">
        <x:v>1406</x:v>
      </x:c>
      <x:c r="AI7" s="61" t="s">
        <x:v>1406</x:v>
      </x:c>
      <x:c r="AJ7" s="61" t="s">
        <x:v>1422</x:v>
      </x:c>
      <x:c r="AK7" s="61" t="s">
        <x:v>1422</x:v>
      </x:c>
      <x:c r="AL7" s="61"/>
      <x:c r="AM7" s="61" t="s">
        <x:v>1437</x:v>
      </x:c>
      <x:c r="AN7" s="73" t="str">
        <x:f t="shared" si="5"/>
        <x:v>Instalasi listrik berbahaya; Komponen bangunan lepas atau lapuk; </x:v>
      </x:c>
      <x:c r="AO7" s="73" t="str">
        <x:f t="shared" si="6"/>
        <x:v>Risiko Tinggi/Darurat</x:v>
      </x:c>
      <x:c r="AP7" s="61"/>
      <x:c r="AQ7" s="64">
        <x:f t="shared" si="7"/>
        <x:v>29</x:v>
      </x:c>
      <x:c r="AR7" s="64">
        <x:f t="shared" si="8"/>
        <x:v>10</x:v>
      </x:c>
      <x:c r="AS7" s="64" t="str">
        <x:f t="shared" si="9"/>
      </x:c>
      <x:c r="AT7" s="62" t="str">
        <x:f t="shared" si="10"/>
        <x:v>Belum Dapat Ditentukan</x:v>
      </x:c>
      <x:c r="AU7" s="59" t="s">
        <x:v>1408</x:v>
      </x:c>
      <x:c r="AV7" s="59" t="s">
        <x:v>1425</x:v>
      </x:c>
      <x:c r="AW7" s="59" t="s">
        <x:v>1410</x:v>
      </x:c>
      <x:c r="AX7" s="59" t="s">
        <x:v>1411</x:v>
      </x:c>
      <x:c r="AY7" s="59"/>
      <x:c r="AZ7" s="59" t="s">
        <x:v>1409</x:v>
      </x:c>
      <x:c r="BA7" s="59"/>
      <x:c r="BB7" s="167"/>
      <x:c r="BC7" s="65">
        <x:v>2026</x:v>
      </x:c>
      <x:c r="BD7" s="59"/>
      <x:c r="BE7" s="167"/>
      <x:c r="BF7" s="59" t="s">
        <x:v>1501</x:v>
      </x:c>
      <x:c r="BH7" t="s">
        <x:v>1200</x:v>
      </x:c>
      <x:c r="BK7" t="s">
        <x:v>1514</x:v>
      </x:c>
      <x:c r="BL7" t="s">
        <x:v>1437</x:v>
      </x:c>
      <x:c r="BM7" t="s">
        <x:v>1515</x:v>
      </x:c>
      <x:c r="BN7" t="s">
        <x:v>1437</x:v>
      </x:c>
      <x:c r="BO7" t="s">
        <x:v>1516</x:v>
      </x:c>
      <x:c r="BP7" t="s">
        <x:v>1437</x:v>
      </x:c>
      <x:c r="BW7" t="s">
        <x:v>1517</x:v>
      </x:c>
    </x:row>
    <x:row r="8" ht="28">
      <x:c r="A8" s="59" t="s">
        <x:v>1518</x:v>
      </x:c>
      <x:c r="B8" s="59" t="s">
        <x:v>1519</x:v>
      </x:c>
      <x:c r="C8" s="59"/>
      <x:c r="D8" s="59"/>
      <x:c r="E8" s="59" t="s">
        <x:v>1520</x:v>
      </x:c>
      <x:c r="F8" s="59" t="s">
        <x:v>1511</x:v>
      </x:c>
      <x:c r="G8" s="59" t="s">
        <x:v>1512</x:v>
      </x:c>
      <x:c r="H8" s="59" t="s">
        <x:v>1399</x:v>
      </x:c>
      <x:c r="I8" s="59" t="s">
        <x:v>1521</x:v>
      </x:c>
      <x:c r="J8" s="59" t="s">
        <x:v>1431</x:v>
      </x:c>
      <x:c r="K8" s="59" t="s">
        <x:v>1417</x:v>
      </x:c>
      <x:c r="L8" s="59" t="s">
        <x:v>1433</x:v>
      </x:c>
      <x:c r="M8" s="59" t="s">
        <x:v>1489</x:v>
      </x:c>
      <x:c r="N8" s="59" t="s">
        <x:v>1433</x:v>
      </x:c>
      <x:c r="O8" s="59" t="s">
        <x:v>1522</x:v>
      </x:c>
      <x:c r="P8" s="59" t="s">
        <x:v>1437</x:v>
      </x:c>
      <x:c r="Q8" s="75" t="s">
        <x:v>1437</x:v>
      </x:c>
      <x:c r="R8" s="75" t="s">
        <x:v>1437</x:v>
      </x:c>
      <x:c r="S8" s="75" t="s">
        <x:v>1437</x:v>
      </x:c>
      <x:c r="T8" s="75" t="s">
        <x:v>1437</x:v>
      </x:c>
      <x:c r="U8" s="75" t="s">
        <x:v>1437</x:v>
      </x:c>
      <x:c r="V8" s="75" t="s">
        <x:v>1437</x:v>
      </x:c>
      <x:c r="W8" s="60"/>
      <x:c r="X8" s="73" t="str">
        <x:f t="shared" si="0"/>
        <x:v>Belum Dinilai</x:v>
      </x:c>
      <x:c r="Y8" s="73" t="str">
        <x:f t="shared" si="1"/>
        <x:v>Belum Dinilai</x:v>
      </x:c>
      <x:c r="Z8" s="74" t="str">
        <x:f t="shared" si="2"/>
      </x:c>
      <x:c r="AA8" s="74" t="str">
        <x:f t="shared" si="3"/>
      </x:c>
      <x:c r="AB8" s="74" t="str">
        <x:f t="shared" si="4"/>
      </x:c>
      <x:c r="AC8" s="61" t="s">
        <x:v>1437</x:v>
      </x:c>
      <x:c r="AD8" s="61" t="s">
        <x:v>1437</x:v>
      </x:c>
      <x:c r="AE8" s="61" t="s">
        <x:v>1437</x:v>
      </x:c>
      <x:c r="AF8" s="61" t="s">
        <x:v>1437</x:v>
      </x:c>
      <x:c r="AG8" s="61" t="s">
        <x:v>1437</x:v>
      </x:c>
      <x:c r="AH8" s="61" t="s">
        <x:v>1437</x:v>
      </x:c>
      <x:c r="AI8" s="61" t="s">
        <x:v>1437</x:v>
      </x:c>
      <x:c r="AJ8" s="61" t="s">
        <x:v>1437</x:v>
      </x:c>
      <x:c r="AK8" s="61" t="s">
        <x:v>1437</x:v>
      </x:c>
      <x:c r="AL8" s="61"/>
      <x:c r="AM8" s="61" t="s">
        <x:v>1437</x:v>
      </x:c>
      <x:c r="AN8" s="73" t="str">
        <x:f t="shared" si="5"/>
        <x:v>Belum Dinilai</x:v>
      </x:c>
      <x:c r="AO8" s="73" t="str">
        <x:f t="shared" si="6"/>
        <x:v>Belum Dinilai</x:v>
      </x:c>
      <x:c r="AP8" s="61"/>
      <x:c r="AQ8" s="64" t="str">
        <x:f t="shared" si="7"/>
      </x:c>
      <x:c r="AR8" s="64" t="str">
        <x:f t="shared" si="8"/>
      </x:c>
      <x:c r="AS8" s="64" t="str">
        <x:f t="shared" si="9"/>
      </x:c>
      <x:c r="AT8" s="62" t="str">
        <x:f t="shared" si="10"/>
        <x:v>Belum Dapat Ditentukan</x:v>
      </x:c>
      <x:c r="AU8" s="59" t="s">
        <x:v>1408</x:v>
      </x:c>
      <x:c r="AV8" s="59" t="s">
        <x:v>1425</x:v>
      </x:c>
      <x:c r="AW8" s="59" t="s">
        <x:v>1523</x:v>
      </x:c>
      <x:c r="AX8" s="59" t="s">
        <x:v>1427</x:v>
      </x:c>
      <x:c r="AY8" s="59">
        <x:v>2023</x:v>
      </x:c>
      <x:c r="AZ8" s="59" t="s">
        <x:v>1409</x:v>
      </x:c>
      <x:c r="BA8" s="59"/>
      <x:c r="BB8" s="167"/>
      <x:c r="BC8" s="65">
        <x:v>2026</x:v>
      </x:c>
      <x:c r="BD8" s="59"/>
      <x:c r="BE8" s="167"/>
      <x:c r="BF8" s="59" t="s">
        <x:v>1501</x:v>
      </x:c>
      <x:c r="BH8" t="s">
        <x:v>1524</x:v>
      </x:c>
      <x:c r="BK8" t="s">
        <x:v>1516</x:v>
      </x:c>
      <x:c r="BM8" t="s">
        <x:v>1500</x:v>
      </x:c>
      <x:c r="BO8" t="s">
        <x:v>1507</x:v>
      </x:c>
      <x:c r="BW8" t="s">
        <x:v>1507</x:v>
      </x:c>
    </x:row>
    <x:row r="9" ht="28">
      <x:c r="A9" s="59" t="s">
        <x:v>1525</x:v>
      </x:c>
      <x:c r="B9" s="59" t="s">
        <x:v>1526</x:v>
      </x:c>
      <x:c r="C9" s="59"/>
      <x:c r="D9" s="59"/>
      <x:c r="E9" s="59" t="s">
        <x:v>1527</x:v>
      </x:c>
      <x:c r="F9" s="59" t="s">
        <x:v>1528</x:v>
      </x:c>
      <x:c r="G9" s="59" t="s">
        <x:v>1498</x:v>
      </x:c>
      <x:c r="H9" s="59" t="s">
        <x:v>1399</x:v>
      </x:c>
      <x:c r="I9" s="59" t="s">
        <x:v>1529</x:v>
      </x:c>
      <x:c r="J9" s="59" t="s">
        <x:v>1416</x:v>
      </x:c>
      <x:c r="K9" s="59" t="s">
        <x:v>1417</x:v>
      </x:c>
      <x:c r="L9" s="59" t="s">
        <x:v>1418</x:v>
      </x:c>
      <x:c r="M9" s="59" t="s">
        <x:v>1489</x:v>
      </x:c>
      <x:c r="N9" s="59" t="s">
        <x:v>1418</x:v>
      </x:c>
      <x:c r="O9" s="59" t="s">
        <x:v>1522</x:v>
      </x:c>
      <x:c r="P9" s="59" t="s">
        <x:v>1437</x:v>
      </x:c>
      <x:c r="Q9" s="75" t="s">
        <x:v>1437</x:v>
      </x:c>
      <x:c r="R9" s="75" t="s">
        <x:v>1437</x:v>
      </x:c>
      <x:c r="S9" s="75" t="s">
        <x:v>1437</x:v>
      </x:c>
      <x:c r="T9" s="75" t="s">
        <x:v>1437</x:v>
      </x:c>
      <x:c r="U9" s="75" t="s">
        <x:v>1437</x:v>
      </x:c>
      <x:c r="V9" s="75" t="s">
        <x:v>1437</x:v>
      </x:c>
      <x:c r="W9" s="60"/>
      <x:c r="X9" s="73" t="str">
        <x:f t="shared" si="0"/>
        <x:v>Belum Dinilai</x:v>
      </x:c>
      <x:c r="Y9" s="73" t="str">
        <x:f t="shared" si="1"/>
        <x:v>Belum Dinilai</x:v>
      </x:c>
      <x:c r="Z9" s="74" t="str">
        <x:f t="shared" si="2"/>
      </x:c>
      <x:c r="AA9" s="74" t="str">
        <x:f t="shared" si="3"/>
      </x:c>
      <x:c r="AB9" s="74" t="str">
        <x:f t="shared" si="4"/>
      </x:c>
      <x:c r="AC9" s="61" t="s">
        <x:v>1437</x:v>
      </x:c>
      <x:c r="AD9" s="61" t="s">
        <x:v>1437</x:v>
      </x:c>
      <x:c r="AE9" s="61" t="s">
        <x:v>1437</x:v>
      </x:c>
      <x:c r="AF9" s="61" t="s">
        <x:v>1437</x:v>
      </x:c>
      <x:c r="AG9" s="61" t="s">
        <x:v>1437</x:v>
      </x:c>
      <x:c r="AH9" s="61" t="s">
        <x:v>1437</x:v>
      </x:c>
      <x:c r="AI9" s="61" t="s">
        <x:v>1437</x:v>
      </x:c>
      <x:c r="AJ9" s="61" t="s">
        <x:v>1437</x:v>
      </x:c>
      <x:c r="AK9" s="61" t="s">
        <x:v>1437</x:v>
      </x:c>
      <x:c r="AL9" s="61"/>
      <x:c r="AM9" s="61" t="s">
        <x:v>1437</x:v>
      </x:c>
      <x:c r="AN9" s="73" t="str">
        <x:f t="shared" si="5"/>
        <x:v>Belum Dinilai</x:v>
      </x:c>
      <x:c r="AO9" s="73" t="str">
        <x:f t="shared" si="6"/>
        <x:v>Belum Dinilai</x:v>
      </x:c>
      <x:c r="AP9" s="61"/>
      <x:c r="AQ9" s="64" t="str">
        <x:f t="shared" si="7"/>
      </x:c>
      <x:c r="AR9" s="64" t="str">
        <x:f t="shared" si="8"/>
      </x:c>
      <x:c r="AS9" s="64" t="str">
        <x:f t="shared" si="9"/>
      </x:c>
      <x:c r="AT9" s="62" t="str">
        <x:f t="shared" si="10"/>
        <x:v>Belum Dapat Ditentukan</x:v>
      </x:c>
      <x:c r="AU9" s="59" t="s">
        <x:v>1424</x:v>
      </x:c>
      <x:c r="AV9" s="59" t="s">
        <x:v>1425</x:v>
      </x:c>
      <x:c r="AW9" s="59" t="s">
        <x:v>1410</x:v>
      </x:c>
      <x:c r="AX9" s="59" t="s">
        <x:v>1411</x:v>
      </x:c>
      <x:c r="AY9" s="59"/>
      <x:c r="AZ9" s="59" t="s">
        <x:v>1409</x:v>
      </x:c>
      <x:c r="BA9" s="59"/>
      <x:c r="BB9" s="167"/>
      <x:c r="BC9" s="65">
        <x:v>2026</x:v>
      </x:c>
      <x:c r="BD9" s="59"/>
      <x:c r="BE9" s="167"/>
      <x:c r="BF9" s="59" t="s">
        <x:v>1501</x:v>
      </x:c>
      <x:c r="BK9" t="s">
        <x:v>1522</x:v>
      </x:c>
      <x:c r="BM9" t="s">
        <x:v>1507</x:v>
      </x:c>
    </x:row>
    <x:row r="10" ht="42">
      <x:c r="A10" s="59" t="s">
        <x:v>1530</x:v>
      </x:c>
      <x:c r="B10" s="59" t="s">
        <x:v>1531</x:v>
      </x:c>
      <x:c r="C10" s="59"/>
      <x:c r="D10" s="59"/>
      <x:c r="E10" s="59" t="s">
        <x:v>1532</x:v>
      </x:c>
      <x:c r="F10" s="59" t="s">
        <x:v>1533</x:v>
      </x:c>
      <x:c r="G10" s="59" t="s">
        <x:v>1534</x:v>
      </x:c>
      <x:c r="H10" s="59" t="s">
        <x:v>1415</x:v>
      </x:c>
      <x:c r="I10" s="59" t="s">
        <x:v>1535</x:v>
      </x:c>
      <x:c r="J10" s="59" t="s">
        <x:v>1400</x:v>
      </x:c>
      <x:c r="K10" s="59" t="s">
        <x:v>1522</x:v>
      </x:c>
      <x:c r="L10" s="59" t="s">
        <x:v>1437</x:v>
      </x:c>
      <x:c r="M10" s="59" t="s">
        <x:v>1488</x:v>
      </x:c>
      <x:c r="N10" s="59" t="s">
        <x:v>1437</x:v>
      </x:c>
      <x:c r="O10" s="59" t="s">
        <x:v>1522</x:v>
      </x:c>
      <x:c r="P10" s="59" t="s">
        <x:v>1437</x:v>
      </x:c>
      <x:c r="Q10" s="75" t="s">
        <x:v>1437</x:v>
      </x:c>
      <x:c r="R10" s="75" t="s">
        <x:v>1437</x:v>
      </x:c>
      <x:c r="S10" s="75" t="s">
        <x:v>1437</x:v>
      </x:c>
      <x:c r="T10" s="75" t="s">
        <x:v>1437</x:v>
      </x:c>
      <x:c r="U10" s="75" t="s">
        <x:v>1437</x:v>
      </x:c>
      <x:c r="V10" s="75" t="s">
        <x:v>1437</x:v>
      </x:c>
      <x:c r="W10" s="60"/>
      <x:c r="X10" s="73" t="str">
        <x:f t="shared" si="0"/>
        <x:v>Belum Dinilai</x:v>
      </x:c>
      <x:c r="Y10" s="73" t="str">
        <x:f t="shared" si="1"/>
        <x:v>Belum Dinilai</x:v>
      </x:c>
      <x:c r="Z10" s="74" t="str">
        <x:f t="shared" si="2"/>
      </x:c>
      <x:c r="AA10" s="74" t="str">
        <x:f t="shared" si="3"/>
      </x:c>
      <x:c r="AB10" s="74" t="str">
        <x:f t="shared" si="4"/>
      </x:c>
      <x:c r="AC10" s="61" t="s">
        <x:v>1437</x:v>
      </x:c>
      <x:c r="AD10" s="61" t="s">
        <x:v>1437</x:v>
      </x:c>
      <x:c r="AE10" s="61" t="s">
        <x:v>1437</x:v>
      </x:c>
      <x:c r="AF10" s="61" t="s">
        <x:v>1437</x:v>
      </x:c>
      <x:c r="AG10" s="61" t="s">
        <x:v>1437</x:v>
      </x:c>
      <x:c r="AH10" s="61" t="s">
        <x:v>1437</x:v>
      </x:c>
      <x:c r="AI10" s="61" t="s">
        <x:v>1437</x:v>
      </x:c>
      <x:c r="AJ10" s="61" t="s">
        <x:v>1437</x:v>
      </x:c>
      <x:c r="AK10" s="61" t="s">
        <x:v>1437</x:v>
      </x:c>
      <x:c r="AL10" s="61"/>
      <x:c r="AM10" s="61" t="s">
        <x:v>1437</x:v>
      </x:c>
      <x:c r="AN10" s="73" t="str">
        <x:f t="shared" si="5"/>
        <x:v>Belum Dinilai</x:v>
      </x:c>
      <x:c r="AO10" s="73" t="str">
        <x:f t="shared" si="6"/>
        <x:v>Belum Dinilai</x:v>
      </x:c>
      <x:c r="AP10" s="61"/>
      <x:c r="AQ10" s="64" t="str">
        <x:f t="shared" si="7"/>
      </x:c>
      <x:c r="AR10" s="64" t="str">
        <x:f t="shared" si="8"/>
      </x:c>
      <x:c r="AS10" s="64" t="str">
        <x:f t="shared" si="9"/>
      </x:c>
      <x:c r="AT10" s="62" t="str">
        <x:f t="shared" si="10"/>
        <x:v>Belum Dapat Ditentukan</x:v>
      </x:c>
      <x:c r="AU10" s="59" t="s">
        <x:v>1408</x:v>
      </x:c>
      <x:c r="AV10" s="59" t="s">
        <x:v>1425</x:v>
      </x:c>
      <x:c r="AW10" s="59" t="s">
        <x:v>1410</x:v>
      </x:c>
      <x:c r="AX10" s="59" t="s">
        <x:v>1411</x:v>
      </x:c>
      <x:c r="AY10" s="59"/>
      <x:c r="AZ10" s="59" t="s">
        <x:v>1409</x:v>
      </x:c>
      <x:c r="BA10" s="59"/>
      <x:c r="BB10" s="167"/>
      <x:c r="BC10" s="65">
        <x:v>2026</x:v>
      </x:c>
      <x:c r="BD10" s="59"/>
      <x:c r="BE10" s="167"/>
      <x:c r="BF10" s="59" t="s">
        <x:v>1501</x:v>
      </x:c>
      <x:c r="BM10" t="s">
        <x:v>1522</x:v>
      </x:c>
    </x:row>
    <x:row r="11" ht="42">
      <x:c r="A11" s="59" t="s">
        <x:v>1536</x:v>
      </x:c>
      <x:c r="B11" s="59" t="s">
        <x:v>1537</x:v>
      </x:c>
      <x:c r="C11" s="59"/>
      <x:c r="D11" s="59"/>
      <x:c r="E11" s="59" t="s">
        <x:v>1538</x:v>
      </x:c>
      <x:c r="F11" s="59" t="s">
        <x:v>1539</x:v>
      </x:c>
      <x:c r="G11" s="59" t="s">
        <x:v>1512</x:v>
      </x:c>
      <x:c r="H11" s="59" t="s">
        <x:v>1399</x:v>
      </x:c>
      <x:c r="I11" s="59" t="s">
        <x:v>1499</x:v>
      </x:c>
      <x:c r="J11" s="59" t="s">
        <x:v>1416</x:v>
      </x:c>
      <x:c r="K11" s="59" t="s">
        <x:v>1432</x:v>
      </x:c>
      <x:c r="L11" s="59" t="s">
        <x:v>1437</x:v>
      </x:c>
      <x:c r="M11" s="59" t="s">
        <x:v>1489</x:v>
      </x:c>
      <x:c r="N11" s="59" t="s">
        <x:v>1437</x:v>
      </x:c>
      <x:c r="O11" s="59" t="s">
        <x:v>1522</x:v>
      </x:c>
      <x:c r="P11" s="59" t="s">
        <x:v>1437</x:v>
      </x:c>
      <x:c r="Q11" s="75" t="s">
        <x:v>1437</x:v>
      </x:c>
      <x:c r="R11" s="75" t="s">
        <x:v>1437</x:v>
      </x:c>
      <x:c r="S11" s="75" t="s">
        <x:v>1437</x:v>
      </x:c>
      <x:c r="T11" s="75" t="s">
        <x:v>1437</x:v>
      </x:c>
      <x:c r="U11" s="75" t="s">
        <x:v>1437</x:v>
      </x:c>
      <x:c r="V11" s="75" t="s">
        <x:v>1437</x:v>
      </x:c>
      <x:c r="W11" s="60"/>
      <x:c r="X11" s="73" t="str">
        <x:f t="shared" si="0"/>
        <x:v>Belum Dinilai</x:v>
      </x:c>
      <x:c r="Y11" s="73" t="str">
        <x:f t="shared" si="1"/>
        <x:v>Belum Dinilai</x:v>
      </x:c>
      <x:c r="Z11" s="74" t="str">
        <x:f t="shared" si="2"/>
      </x:c>
      <x:c r="AA11" s="74" t="str">
        <x:f t="shared" si="3"/>
      </x:c>
      <x:c r="AB11" s="74" t="str">
        <x:f t="shared" si="4"/>
      </x:c>
      <x:c r="AC11" s="61" t="s">
        <x:v>1437</x:v>
      </x:c>
      <x:c r="AD11" s="61" t="s">
        <x:v>1437</x:v>
      </x:c>
      <x:c r="AE11" s="61" t="s">
        <x:v>1437</x:v>
      </x:c>
      <x:c r="AF11" s="61" t="s">
        <x:v>1437</x:v>
      </x:c>
      <x:c r="AG11" s="61" t="s">
        <x:v>1437</x:v>
      </x:c>
      <x:c r="AH11" s="61" t="s">
        <x:v>1437</x:v>
      </x:c>
      <x:c r="AI11" s="61" t="s">
        <x:v>1437</x:v>
      </x:c>
      <x:c r="AJ11" s="61" t="s">
        <x:v>1437</x:v>
      </x:c>
      <x:c r="AK11" s="61" t="s">
        <x:v>1437</x:v>
      </x:c>
      <x:c r="AL11" s="61"/>
      <x:c r="AM11" s="61" t="s">
        <x:v>1437</x:v>
      </x:c>
      <x:c r="AN11" s="73" t="str">
        <x:f t="shared" si="5"/>
        <x:v>Belum Dinilai</x:v>
      </x:c>
      <x:c r="AO11" s="73" t="str">
        <x:f t="shared" si="6"/>
        <x:v>Belum Dinilai</x:v>
      </x:c>
      <x:c r="AP11" s="61"/>
      <x:c r="AQ11" s="64" t="str">
        <x:f t="shared" si="7"/>
      </x:c>
      <x:c r="AR11" s="64" t="str">
        <x:f t="shared" si="8"/>
      </x:c>
      <x:c r="AS11" s="64" t="str">
        <x:f t="shared" si="9"/>
      </x:c>
      <x:c r="AT11" s="62" t="str">
        <x:f t="shared" si="10"/>
        <x:v>Belum Dapat Ditentukan</x:v>
      </x:c>
      <x:c r="AU11" s="59" t="s">
        <x:v>1408</x:v>
      </x:c>
      <x:c r="AV11" s="59" t="s">
        <x:v>1425</x:v>
      </x:c>
      <x:c r="AW11" s="59" t="s">
        <x:v>1523</x:v>
      </x:c>
      <x:c r="AX11" s="59" t="s">
        <x:v>1427</x:v>
      </x:c>
      <x:c r="AY11" s="59">
        <x:v>2023</x:v>
      </x:c>
      <x:c r="AZ11" s="59" t="s">
        <x:v>1409</x:v>
      </x:c>
      <x:c r="BA11" s="59"/>
      <x:c r="BB11" s="167"/>
      <x:c r="BC11" s="65">
        <x:v>2026</x:v>
      </x:c>
      <x:c r="BD11" s="59"/>
      <x:c r="BE11" s="167"/>
      <x:c r="BF11" s="59" t="s">
        <x:v>1501</x:v>
      </x:c>
    </x:row>
    <x:row r="12" ht="28">
      <x:c r="A12" s="59" t="s">
        <x:v>1540</x:v>
      </x:c>
      <x:c r="B12" s="59" t="s">
        <x:v>1541</x:v>
      </x:c>
      <x:c r="C12" s="59"/>
      <x:c r="D12" s="59"/>
      <x:c r="E12" s="59" t="s">
        <x:v>1542</x:v>
      </x:c>
      <x:c r="F12" s="59" t="s">
        <x:v>1543</x:v>
      </x:c>
      <x:c r="G12" s="59" t="s">
        <x:v>1512</x:v>
      </x:c>
      <x:c r="H12" s="59" t="s">
        <x:v>1399</x:v>
      </x:c>
      <x:c r="I12" s="59" t="s">
        <x:v>1544</x:v>
      </x:c>
      <x:c r="J12" s="59" t="s">
        <x:v>1485</x:v>
      </x:c>
      <x:c r="K12" s="59" t="s">
        <x:v>1522</x:v>
      </x:c>
      <x:c r="L12" s="59" t="s">
        <x:v>1437</x:v>
      </x:c>
      <x:c r="M12" s="59" t="s">
        <x:v>1522</x:v>
      </x:c>
      <x:c r="N12" s="59" t="s">
        <x:v>1437</x:v>
      </x:c>
      <x:c r="O12" s="59" t="s">
        <x:v>1522</x:v>
      </x:c>
      <x:c r="P12" s="59" t="s">
        <x:v>1437</x:v>
      </x:c>
      <x:c r="Q12" s="75" t="s">
        <x:v>1437</x:v>
      </x:c>
      <x:c r="R12" s="75" t="s">
        <x:v>1437</x:v>
      </x:c>
      <x:c r="S12" s="75" t="s">
        <x:v>1437</x:v>
      </x:c>
      <x:c r="T12" s="75" t="s">
        <x:v>1437</x:v>
      </x:c>
      <x:c r="U12" s="75" t="s">
        <x:v>1437</x:v>
      </x:c>
      <x:c r="V12" s="75" t="s">
        <x:v>1437</x:v>
      </x:c>
      <x:c r="W12" s="60"/>
      <x:c r="X12" s="73" t="str">
        <x:f t="shared" si="0"/>
        <x:v>Belum Dinilai</x:v>
      </x:c>
      <x:c r="Y12" s="73" t="str">
        <x:f t="shared" si="1"/>
        <x:v>Belum Dinilai</x:v>
      </x:c>
      <x:c r="Z12" s="74" t="str">
        <x:f t="shared" si="2"/>
      </x:c>
      <x:c r="AA12" s="74" t="str">
        <x:f t="shared" si="3"/>
      </x:c>
      <x:c r="AB12" s="74" t="str">
        <x:f t="shared" si="4"/>
      </x:c>
      <x:c r="AC12" s="61" t="s">
        <x:v>1437</x:v>
      </x:c>
      <x:c r="AD12" s="61" t="s">
        <x:v>1437</x:v>
      </x:c>
      <x:c r="AE12" s="61" t="s">
        <x:v>1437</x:v>
      </x:c>
      <x:c r="AF12" s="61" t="s">
        <x:v>1437</x:v>
      </x:c>
      <x:c r="AG12" s="61" t="s">
        <x:v>1437</x:v>
      </x:c>
      <x:c r="AH12" s="61" t="s">
        <x:v>1437</x:v>
      </x:c>
      <x:c r="AI12" s="61" t="s">
        <x:v>1437</x:v>
      </x:c>
      <x:c r="AJ12" s="61" t="s">
        <x:v>1437</x:v>
      </x:c>
      <x:c r="AK12" s="61" t="s">
        <x:v>1437</x:v>
      </x:c>
      <x:c r="AL12" s="61"/>
      <x:c r="AM12" s="61" t="s">
        <x:v>1437</x:v>
      </x:c>
      <x:c r="AN12" s="73" t="str">
        <x:f t="shared" si="5"/>
        <x:v>Belum Dinilai</x:v>
      </x:c>
      <x:c r="AO12" s="73" t="str">
        <x:f t="shared" si="6"/>
        <x:v>Belum Dinilai</x:v>
      </x:c>
      <x:c r="AP12" s="61"/>
      <x:c r="AQ12" s="64" t="str">
        <x:f t="shared" si="7"/>
      </x:c>
      <x:c r="AR12" s="64" t="str">
        <x:f t="shared" si="8"/>
      </x:c>
      <x:c r="AS12" s="64" t="str">
        <x:f t="shared" si="9"/>
      </x:c>
      <x:c r="AT12" s="62" t="str">
        <x:f t="shared" si="10"/>
        <x:v>Belum Dapat Ditentukan</x:v>
      </x:c>
      <x:c r="AU12" s="59" t="s">
        <x:v>1408</x:v>
      </x:c>
      <x:c r="AV12" s="59" t="s">
        <x:v>1425</x:v>
      </x:c>
      <x:c r="AW12" s="59" t="s">
        <x:v>1410</x:v>
      </x:c>
      <x:c r="AX12" s="59" t="s">
        <x:v>1411</x:v>
      </x:c>
      <x:c r="AY12" s="59"/>
      <x:c r="AZ12" s="59" t="s">
        <x:v>1409</x:v>
      </x:c>
      <x:c r="BA12" s="59"/>
      <x:c r="BB12" s="167"/>
      <x:c r="BC12" s="65">
        <x:v>2026</x:v>
      </x:c>
      <x:c r="BD12" s="59"/>
      <x:c r="BE12" s="167"/>
      <x:c r="BF12" s="59" t="s">
        <x:v>1501</x:v>
      </x:c>
    </x:row>
    <x:row r="13" ht="28">
      <x:c r="A13" s="59" t="s">
        <x:v>1545</x:v>
      </x:c>
      <x:c r="B13" s="59" t="s">
        <x:v>1546</x:v>
      </x:c>
      <x:c r="C13" s="59"/>
      <x:c r="D13" s="59"/>
      <x:c r="E13" s="59" t="s">
        <x:v>1547</x:v>
      </x:c>
      <x:c r="F13" s="59" t="s">
        <x:v>1548</x:v>
      </x:c>
      <x:c r="G13" s="59" t="s">
        <x:v>1549</x:v>
      </x:c>
      <x:c r="H13" s="59" t="s">
        <x:v>1399</x:v>
      </x:c>
      <x:c r="I13" s="59" t="s">
        <x:v>1550</x:v>
      </x:c>
      <x:c r="J13" s="59" t="s">
        <x:v>1485</x:v>
      </x:c>
      <x:c r="K13" s="59" t="s">
        <x:v>1522</x:v>
      </x:c>
      <x:c r="L13" s="59" t="s">
        <x:v>1487</x:v>
      </x:c>
      <x:c r="M13" s="59" t="s">
        <x:v>1522</x:v>
      </x:c>
      <x:c r="N13" s="59" t="s">
        <x:v>1487</x:v>
      </x:c>
      <x:c r="O13" s="59" t="s">
        <x:v>1522</x:v>
      </x:c>
      <x:c r="P13" s="59" t="s">
        <x:v>1437</x:v>
      </x:c>
      <x:c r="Q13" s="75" t="s">
        <x:v>1437</x:v>
      </x:c>
      <x:c r="R13" s="75" t="s">
        <x:v>1437</x:v>
      </x:c>
      <x:c r="S13" s="75" t="s">
        <x:v>1437</x:v>
      </x:c>
      <x:c r="T13" s="75" t="s">
        <x:v>1437</x:v>
      </x:c>
      <x:c r="U13" s="75" t="s">
        <x:v>1437</x:v>
      </x:c>
      <x:c r="V13" s="75" t="s">
        <x:v>1437</x:v>
      </x:c>
      <x:c r="W13" s="60"/>
      <x:c r="X13" s="73" t="str">
        <x:f t="shared" si="0"/>
        <x:v>Belum Dinilai</x:v>
      </x:c>
      <x:c r="Y13" s="73" t="str">
        <x:f t="shared" si="1"/>
        <x:v>Belum Dinilai</x:v>
      </x:c>
      <x:c r="Z13" s="74" t="str">
        <x:f t="shared" si="2"/>
      </x:c>
      <x:c r="AA13" s="74" t="str">
        <x:f t="shared" si="3"/>
      </x:c>
      <x:c r="AB13" s="74" t="str">
        <x:f t="shared" si="4"/>
      </x:c>
      <x:c r="AC13" s="61" t="s">
        <x:v>1437</x:v>
      </x:c>
      <x:c r="AD13" s="61" t="s">
        <x:v>1437</x:v>
      </x:c>
      <x:c r="AE13" s="61" t="s">
        <x:v>1437</x:v>
      </x:c>
      <x:c r="AF13" s="61" t="s">
        <x:v>1437</x:v>
      </x:c>
      <x:c r="AG13" s="61" t="s">
        <x:v>1437</x:v>
      </x:c>
      <x:c r="AH13" s="61" t="s">
        <x:v>1437</x:v>
      </x:c>
      <x:c r="AI13" s="61" t="s">
        <x:v>1437</x:v>
      </x:c>
      <x:c r="AJ13" s="61" t="s">
        <x:v>1437</x:v>
      </x:c>
      <x:c r="AK13" s="61" t="s">
        <x:v>1437</x:v>
      </x:c>
      <x:c r="AL13" s="61"/>
      <x:c r="AM13" s="61" t="s">
        <x:v>1437</x:v>
      </x:c>
      <x:c r="AN13" s="73" t="str">
        <x:f t="shared" si="5"/>
        <x:v>Belum Dinilai</x:v>
      </x:c>
      <x:c r="AO13" s="73" t="str">
        <x:f t="shared" si="6"/>
        <x:v>Belum Dinilai</x:v>
      </x:c>
      <x:c r="AP13" s="61"/>
      <x:c r="AQ13" s="64" t="str">
        <x:f t="shared" si="7"/>
      </x:c>
      <x:c r="AR13" s="64" t="str">
        <x:f t="shared" si="8"/>
      </x:c>
      <x:c r="AS13" s="64" t="str">
        <x:f t="shared" si="9"/>
      </x:c>
      <x:c r="AT13" s="62" t="str">
        <x:f t="shared" si="10"/>
        <x:v>Belum Dapat Ditentukan</x:v>
      </x:c>
      <x:c r="AU13" s="59" t="s">
        <x:v>1408</x:v>
      </x:c>
      <x:c r="AV13" s="59" t="s">
        <x:v>1425</x:v>
      </x:c>
      <x:c r="AW13" s="59" t="s">
        <x:v>1410</x:v>
      </x:c>
      <x:c r="AX13" s="59" t="s">
        <x:v>1411</x:v>
      </x:c>
      <x:c r="AY13" s="59"/>
      <x:c r="AZ13" s="59" t="s">
        <x:v>1409</x:v>
      </x:c>
      <x:c r="BA13" s="59"/>
      <x:c r="BB13" s="167"/>
      <x:c r="BC13" s="65">
        <x:v>2026</x:v>
      </x:c>
      <x:c r="BD13" s="59"/>
      <x:c r="BE13" s="167"/>
      <x:c r="BF13" s="59" t="s">
        <x:v>1501</x:v>
      </x:c>
    </x:row>
    <x:row r="14" ht="28">
      <x:c r="A14" s="59" t="s">
        <x:v>1551</x:v>
      </x:c>
      <x:c r="B14" s="59" t="s">
        <x:v>1552</x:v>
      </x:c>
      <x:c r="C14" s="59"/>
      <x:c r="D14" s="59"/>
      <x:c r="E14" s="59" t="s">
        <x:v>1553</x:v>
      </x:c>
      <x:c r="F14" s="59" t="s">
        <x:v>1554</x:v>
      </x:c>
      <x:c r="G14" s="59" t="s">
        <x:v>1555</x:v>
      </x:c>
      <x:c r="H14" s="59" t="s">
        <x:v>1399</x:v>
      </x:c>
      <x:c r="I14" s="59" t="s">
        <x:v>1556</x:v>
      </x:c>
      <x:c r="J14" s="59" t="s">
        <x:v>1485</x:v>
      </x:c>
      <x:c r="K14" s="59" t="s">
        <x:v>1522</x:v>
      </x:c>
      <x:c r="L14" s="59" t="s">
        <x:v>1437</x:v>
      </x:c>
      <x:c r="M14" s="59" t="s">
        <x:v>1522</x:v>
      </x:c>
      <x:c r="N14" s="59" t="s">
        <x:v>1437</x:v>
      </x:c>
      <x:c r="O14" s="59" t="s">
        <x:v>1522</x:v>
      </x:c>
      <x:c r="P14" s="59" t="s">
        <x:v>1437</x:v>
      </x:c>
      <x:c r="Q14" s="75" t="s">
        <x:v>1437</x:v>
      </x:c>
      <x:c r="R14" s="75" t="s">
        <x:v>1437</x:v>
      </x:c>
      <x:c r="S14" s="75" t="s">
        <x:v>1437</x:v>
      </x:c>
      <x:c r="T14" s="75" t="s">
        <x:v>1437</x:v>
      </x:c>
      <x:c r="U14" s="75" t="s">
        <x:v>1437</x:v>
      </x:c>
      <x:c r="V14" s="75" t="s">
        <x:v>1437</x:v>
      </x:c>
      <x:c r="W14" s="60"/>
      <x:c r="X14" s="73" t="str">
        <x:f t="shared" si="0"/>
        <x:v>Belum Dinilai</x:v>
      </x:c>
      <x:c r="Y14" s="73" t="str">
        <x:f t="shared" si="1"/>
        <x:v>Belum Dinilai</x:v>
      </x:c>
      <x:c r="Z14" s="74" t="str">
        <x:f t="shared" si="2"/>
      </x:c>
      <x:c r="AA14" s="74" t="str">
        <x:f t="shared" si="3"/>
      </x:c>
      <x:c r="AB14" s="74" t="str">
        <x:f t="shared" si="4"/>
      </x:c>
      <x:c r="AC14" s="61" t="s">
        <x:v>1437</x:v>
      </x:c>
      <x:c r="AD14" s="61" t="s">
        <x:v>1437</x:v>
      </x:c>
      <x:c r="AE14" s="61" t="s">
        <x:v>1437</x:v>
      </x:c>
      <x:c r="AF14" s="61" t="s">
        <x:v>1437</x:v>
      </x:c>
      <x:c r="AG14" s="61" t="s">
        <x:v>1437</x:v>
      </x:c>
      <x:c r="AH14" s="61" t="s">
        <x:v>1437</x:v>
      </x:c>
      <x:c r="AI14" s="61" t="s">
        <x:v>1437</x:v>
      </x:c>
      <x:c r="AJ14" s="61" t="s">
        <x:v>1437</x:v>
      </x:c>
      <x:c r="AK14" s="61" t="s">
        <x:v>1437</x:v>
      </x:c>
      <x:c r="AL14" s="61"/>
      <x:c r="AM14" s="61" t="s">
        <x:v>1437</x:v>
      </x:c>
      <x:c r="AN14" s="73" t="str">
        <x:f t="shared" si="5"/>
        <x:v>Belum Dinilai</x:v>
      </x:c>
      <x:c r="AO14" s="73" t="str">
        <x:f t="shared" si="6"/>
        <x:v>Belum Dinilai</x:v>
      </x:c>
      <x:c r="AP14" s="61"/>
      <x:c r="AQ14" s="64" t="str">
        <x:f t="shared" si="7"/>
      </x:c>
      <x:c r="AR14" s="64" t="str">
        <x:f t="shared" si="8"/>
      </x:c>
      <x:c r="AS14" s="64" t="str">
        <x:f t="shared" si="9"/>
      </x:c>
      <x:c r="AT14" s="62" t="str">
        <x:f t="shared" si="10"/>
        <x:v>Belum Dapat Ditentukan</x:v>
      </x:c>
      <x:c r="AU14" s="59" t="s">
        <x:v>1408</x:v>
      </x:c>
      <x:c r="AV14" s="59" t="s">
        <x:v>1425</x:v>
      </x:c>
      <x:c r="AW14" s="59" t="s">
        <x:v>1410</x:v>
      </x:c>
      <x:c r="AX14" s="59" t="s">
        <x:v>1411</x:v>
      </x:c>
      <x:c r="AY14" s="59"/>
      <x:c r="AZ14" s="59" t="s">
        <x:v>1409</x:v>
      </x:c>
      <x:c r="BA14" s="59"/>
      <x:c r="BB14" s="167"/>
      <x:c r="BC14" s="65">
        <x:v>2026</x:v>
      </x:c>
      <x:c r="BD14" s="59"/>
      <x:c r="BE14" s="167"/>
      <x:c r="BF14" s="59" t="s">
        <x:v>1501</x:v>
      </x:c>
    </x:row>
    <x:row r="15" ht="28">
      <x:c r="A15" s="59" t="s">
        <x:v>1557</x:v>
      </x:c>
      <x:c r="B15" s="59" t="s">
        <x:v>1558</x:v>
      </x:c>
      <x:c r="C15" s="59"/>
      <x:c r="D15" s="59"/>
      <x:c r="E15" s="59" t="s">
        <x:v>1559</x:v>
      </x:c>
      <x:c r="F15" s="59" t="s">
        <x:v>1560</x:v>
      </x:c>
      <x:c r="G15" s="59" t="s">
        <x:v>1555</x:v>
      </x:c>
      <x:c r="H15" s="59" t="s">
        <x:v>1399</x:v>
      </x:c>
      <x:c r="I15" s="59" t="s">
        <x:v>1561</x:v>
      </x:c>
      <x:c r="J15" s="59" t="s">
        <x:v>1485</x:v>
      </x:c>
      <x:c r="K15" s="59" t="s">
        <x:v>1522</x:v>
      </x:c>
      <x:c r="L15" s="59" t="s">
        <x:v>1487</x:v>
      </x:c>
      <x:c r="M15" s="59" t="s">
        <x:v>1522</x:v>
      </x:c>
      <x:c r="N15" s="59" t="s">
        <x:v>1437</x:v>
      </x:c>
      <x:c r="O15" s="59" t="s">
        <x:v>1522</x:v>
      </x:c>
      <x:c r="P15" s="59" t="s">
        <x:v>1437</x:v>
      </x:c>
      <x:c r="Q15" s="75" t="s">
        <x:v>1437</x:v>
      </x:c>
      <x:c r="R15" s="75" t="s">
        <x:v>1437</x:v>
      </x:c>
      <x:c r="S15" s="75" t="s">
        <x:v>1437</x:v>
      </x:c>
      <x:c r="T15" s="75" t="s">
        <x:v>1437</x:v>
      </x:c>
      <x:c r="U15" s="75" t="s">
        <x:v>1437</x:v>
      </x:c>
      <x:c r="V15" s="75" t="s">
        <x:v>1437</x:v>
      </x:c>
      <x:c r="W15" s="60"/>
      <x:c r="X15" s="73" t="str">
        <x:f t="shared" si="0"/>
        <x:v>Belum Dinilai</x:v>
      </x:c>
      <x:c r="Y15" s="73" t="str">
        <x:f t="shared" si="1"/>
        <x:v>Belum Dinilai</x:v>
      </x:c>
      <x:c r="Z15" s="74" t="str">
        <x:f t="shared" si="2"/>
      </x:c>
      <x:c r="AA15" s="74" t="str">
        <x:f t="shared" si="3"/>
      </x:c>
      <x:c r="AB15" s="74" t="str">
        <x:f t="shared" si="4"/>
      </x:c>
      <x:c r="AC15" s="61" t="s">
        <x:v>1437</x:v>
      </x:c>
      <x:c r="AD15" s="61" t="s">
        <x:v>1437</x:v>
      </x:c>
      <x:c r="AE15" s="61" t="s">
        <x:v>1437</x:v>
      </x:c>
      <x:c r="AF15" s="61" t="s">
        <x:v>1437</x:v>
      </x:c>
      <x:c r="AG15" s="61" t="s">
        <x:v>1437</x:v>
      </x:c>
      <x:c r="AH15" s="61" t="s">
        <x:v>1437</x:v>
      </x:c>
      <x:c r="AI15" s="61" t="s">
        <x:v>1437</x:v>
      </x:c>
      <x:c r="AJ15" s="61" t="s">
        <x:v>1437</x:v>
      </x:c>
      <x:c r="AK15" s="61" t="s">
        <x:v>1437</x:v>
      </x:c>
      <x:c r="AL15" s="61"/>
      <x:c r="AM15" s="61" t="s">
        <x:v>1437</x:v>
      </x:c>
      <x:c r="AN15" s="73" t="str">
        <x:f t="shared" si="5"/>
        <x:v>Belum Dinilai</x:v>
      </x:c>
      <x:c r="AO15" s="73" t="str">
        <x:f t="shared" si="6"/>
        <x:v>Belum Dinilai</x:v>
      </x:c>
      <x:c r="AP15" s="61"/>
      <x:c r="AQ15" s="64" t="str">
        <x:f t="shared" si="7"/>
      </x:c>
      <x:c r="AR15" s="64" t="str">
        <x:f t="shared" si="8"/>
      </x:c>
      <x:c r="AS15" s="64" t="str">
        <x:f t="shared" si="9"/>
      </x:c>
      <x:c r="AT15" s="62" t="str">
        <x:f t="shared" si="10"/>
        <x:v>Belum Dapat Ditentukan</x:v>
      </x:c>
      <x:c r="AU15" s="59" t="s">
        <x:v>1408</x:v>
      </x:c>
      <x:c r="AV15" s="59" t="s">
        <x:v>1425</x:v>
      </x:c>
      <x:c r="AW15" s="59" t="s">
        <x:v>1410</x:v>
      </x:c>
      <x:c r="AX15" s="59" t="s">
        <x:v>1411</x:v>
      </x:c>
      <x:c r="AY15" s="59"/>
      <x:c r="AZ15" s="59" t="s">
        <x:v>1409</x:v>
      </x:c>
      <x:c r="BA15" s="59"/>
      <x:c r="BB15" s="167"/>
      <x:c r="BC15" s="65">
        <x:v>2026</x:v>
      </x:c>
      <x:c r="BD15" s="59"/>
      <x:c r="BE15" s="167"/>
      <x:c r="BF15" s="59" t="s">
        <x:v>1501</x:v>
      </x:c>
    </x:row>
    <x:row r="16" ht="28">
      <x:c r="A16" s="59" t="s">
        <x:v>1562</x:v>
      </x:c>
      <x:c r="B16" s="59" t="s">
        <x:v>1563</x:v>
      </x:c>
      <x:c r="C16" s="59"/>
      <x:c r="D16" s="59"/>
      <x:c r="E16" s="59" t="s">
        <x:v>1564</x:v>
      </x:c>
      <x:c r="F16" s="59" t="s">
        <x:v>1565</x:v>
      </x:c>
      <x:c r="G16" s="59" t="s">
        <x:v>1555</x:v>
      </x:c>
      <x:c r="H16" s="59" t="s">
        <x:v>1399</x:v>
      </x:c>
      <x:c r="I16" s="59" t="s">
        <x:v>1566</x:v>
      </x:c>
      <x:c r="J16" s="59" t="s">
        <x:v>1485</x:v>
      </x:c>
      <x:c r="K16" s="59" t="s">
        <x:v>1522</x:v>
      </x:c>
      <x:c r="L16" s="59" t="s">
        <x:v>1437</x:v>
      </x:c>
      <x:c r="M16" s="59" t="s">
        <x:v>1522</x:v>
      </x:c>
      <x:c r="N16" s="59" t="s">
        <x:v>1437</x:v>
      </x:c>
      <x:c r="O16" s="59" t="s">
        <x:v>1522</x:v>
      </x:c>
      <x:c r="P16" s="59" t="s">
        <x:v>1437</x:v>
      </x:c>
      <x:c r="Q16" s="75" t="s">
        <x:v>1437</x:v>
      </x:c>
      <x:c r="R16" s="75" t="s">
        <x:v>1437</x:v>
      </x:c>
      <x:c r="S16" s="75" t="s">
        <x:v>1437</x:v>
      </x:c>
      <x:c r="T16" s="75" t="s">
        <x:v>1437</x:v>
      </x:c>
      <x:c r="U16" s="75" t="s">
        <x:v>1437</x:v>
      </x:c>
      <x:c r="V16" s="75" t="s">
        <x:v>1437</x:v>
      </x:c>
      <x:c r="W16" s="60"/>
      <x:c r="X16" s="73" t="str">
        <x:f t="shared" si="0"/>
        <x:v>Belum Dinilai</x:v>
      </x:c>
      <x:c r="Y16" s="73" t="str">
        <x:f t="shared" si="1"/>
        <x:v>Belum Dinilai</x:v>
      </x:c>
      <x:c r="Z16" s="74" t="str">
        <x:f t="shared" si="2"/>
      </x:c>
      <x:c r="AA16" s="74" t="str">
        <x:f t="shared" si="3"/>
      </x:c>
      <x:c r="AB16" s="74" t="str">
        <x:f t="shared" si="4"/>
      </x:c>
      <x:c r="AC16" s="61" t="s">
        <x:v>1437</x:v>
      </x:c>
      <x:c r="AD16" s="61" t="s">
        <x:v>1437</x:v>
      </x:c>
      <x:c r="AE16" s="61" t="s">
        <x:v>1437</x:v>
      </x:c>
      <x:c r="AF16" s="61" t="s">
        <x:v>1437</x:v>
      </x:c>
      <x:c r="AG16" s="61" t="s">
        <x:v>1437</x:v>
      </x:c>
      <x:c r="AH16" s="61" t="s">
        <x:v>1437</x:v>
      </x:c>
      <x:c r="AI16" s="61" t="s">
        <x:v>1437</x:v>
      </x:c>
      <x:c r="AJ16" s="61" t="s">
        <x:v>1437</x:v>
      </x:c>
      <x:c r="AK16" s="61" t="s">
        <x:v>1437</x:v>
      </x:c>
      <x:c r="AL16" s="61"/>
      <x:c r="AM16" s="61" t="s">
        <x:v>1437</x:v>
      </x:c>
      <x:c r="AN16" s="73" t="str">
        <x:f t="shared" si="5"/>
        <x:v>Belum Dinilai</x:v>
      </x:c>
      <x:c r="AO16" s="73" t="str">
        <x:f t="shared" si="6"/>
        <x:v>Belum Dinilai</x:v>
      </x:c>
      <x:c r="AP16" s="61"/>
      <x:c r="AQ16" s="64" t="str">
        <x:f t="shared" si="7"/>
      </x:c>
      <x:c r="AR16" s="64" t="str">
        <x:f t="shared" si="8"/>
      </x:c>
      <x:c r="AS16" s="64" t="str">
        <x:f t="shared" si="9"/>
      </x:c>
      <x:c r="AT16" s="62" t="str">
        <x:f t="shared" si="10"/>
        <x:v>Belum Dapat Ditentukan</x:v>
      </x:c>
      <x:c r="AU16" s="59" t="s">
        <x:v>1408</x:v>
      </x:c>
      <x:c r="AV16" s="59" t="s">
        <x:v>1425</x:v>
      </x:c>
      <x:c r="AW16" s="59" t="s">
        <x:v>1410</x:v>
      </x:c>
      <x:c r="AX16" s="59" t="s">
        <x:v>1411</x:v>
      </x:c>
      <x:c r="AY16" s="59"/>
      <x:c r="AZ16" s="59" t="s">
        <x:v>1409</x:v>
      </x:c>
      <x:c r="BA16" s="59"/>
      <x:c r="BB16" s="167"/>
      <x:c r="BC16" s="65">
        <x:v>2026</x:v>
      </x:c>
      <x:c r="BD16" s="59"/>
      <x:c r="BE16" s="167"/>
      <x:c r="BF16" s="59" t="s">
        <x:v>1501</x:v>
      </x:c>
    </x:row>
    <x:row r="17" ht="28">
      <x:c r="A17" s="59" t="s">
        <x:v>1567</x:v>
      </x:c>
      <x:c r="B17" s="59" t="s">
        <x:v>1568</x:v>
      </x:c>
      <x:c r="C17" s="59"/>
      <x:c r="D17" s="59"/>
      <x:c r="E17" s="59" t="s">
        <x:v>1569</x:v>
      </x:c>
      <x:c r="F17" s="59" t="s">
        <x:v>1524</x:v>
      </x:c>
      <x:c r="G17" s="59" t="s">
        <x:v>1549</x:v>
      </x:c>
      <x:c r="H17" s="59" t="s">
        <x:v>1399</x:v>
      </x:c>
      <x:c r="I17" s="59" t="s">
        <x:v>1570</x:v>
      </x:c>
      <x:c r="J17" s="59" t="s">
        <x:v>1485</x:v>
      </x:c>
      <x:c r="K17" s="59" t="s">
        <x:v>1522</x:v>
      </x:c>
      <x:c r="L17" s="59" t="s">
        <x:v>1487</x:v>
      </x:c>
      <x:c r="M17" s="59" t="s">
        <x:v>1522</x:v>
      </x:c>
      <x:c r="N17" s="59" t="s">
        <x:v>1487</x:v>
      </x:c>
      <x:c r="O17" s="59" t="s">
        <x:v>1522</x:v>
      </x:c>
      <x:c r="P17" s="59" t="s">
        <x:v>1437</x:v>
      </x:c>
      <x:c r="Q17" s="75" t="s">
        <x:v>1437</x:v>
      </x:c>
      <x:c r="R17" s="75" t="s">
        <x:v>1437</x:v>
      </x:c>
      <x:c r="S17" s="75" t="s">
        <x:v>1437</x:v>
      </x:c>
      <x:c r="T17" s="75" t="s">
        <x:v>1437</x:v>
      </x:c>
      <x:c r="U17" s="75" t="s">
        <x:v>1437</x:v>
      </x:c>
      <x:c r="V17" s="75" t="s">
        <x:v>1437</x:v>
      </x:c>
      <x:c r="W17" s="60"/>
      <x:c r="X17" s="73" t="str">
        <x:f t="shared" si="0"/>
        <x:v>Belum Dinilai</x:v>
      </x:c>
      <x:c r="Y17" s="73" t="str">
        <x:f t="shared" si="1"/>
        <x:v>Belum Dinilai</x:v>
      </x:c>
      <x:c r="Z17" s="74" t="str">
        <x:f t="shared" si="2"/>
      </x:c>
      <x:c r="AA17" s="74" t="str">
        <x:f t="shared" si="3"/>
      </x:c>
      <x:c r="AB17" s="74" t="str">
        <x:f t="shared" si="4"/>
      </x:c>
      <x:c r="AC17" s="61" t="s">
        <x:v>1437</x:v>
      </x:c>
      <x:c r="AD17" s="61" t="s">
        <x:v>1437</x:v>
      </x:c>
      <x:c r="AE17" s="61" t="s">
        <x:v>1437</x:v>
      </x:c>
      <x:c r="AF17" s="61" t="s">
        <x:v>1437</x:v>
      </x:c>
      <x:c r="AG17" s="61" t="s">
        <x:v>1437</x:v>
      </x:c>
      <x:c r="AH17" s="61" t="s">
        <x:v>1437</x:v>
      </x:c>
      <x:c r="AI17" s="61" t="s">
        <x:v>1437</x:v>
      </x:c>
      <x:c r="AJ17" s="61" t="s">
        <x:v>1437</x:v>
      </x:c>
      <x:c r="AK17" s="61" t="s">
        <x:v>1437</x:v>
      </x:c>
      <x:c r="AL17" s="61"/>
      <x:c r="AM17" s="61" t="s">
        <x:v>1437</x:v>
      </x:c>
      <x:c r="AN17" s="73" t="str">
        <x:f t="shared" si="5"/>
        <x:v>Belum Dinilai</x:v>
      </x:c>
      <x:c r="AO17" s="73" t="str">
        <x:f t="shared" si="6"/>
        <x:v>Belum Dinilai</x:v>
      </x:c>
      <x:c r="AP17" s="61"/>
      <x:c r="AQ17" s="64" t="str">
        <x:f t="shared" si="7"/>
      </x:c>
      <x:c r="AR17" s="64" t="str">
        <x:f t="shared" si="8"/>
      </x:c>
      <x:c r="AS17" s="64" t="str">
        <x:f t="shared" si="9"/>
      </x:c>
      <x:c r="AT17" s="62" t="str">
        <x:f t="shared" si="10"/>
        <x:v>Belum Dapat Ditentukan</x:v>
      </x:c>
      <x:c r="AU17" s="59" t="s">
        <x:v>1424</x:v>
      </x:c>
      <x:c r="AV17" s="59" t="s">
        <x:v>1425</x:v>
      </x:c>
      <x:c r="AW17" s="59" t="s">
        <x:v>1410</x:v>
      </x:c>
      <x:c r="AX17" s="59" t="s">
        <x:v>1411</x:v>
      </x:c>
      <x:c r="AY17" s="59"/>
      <x:c r="AZ17" s="59" t="s">
        <x:v>1409</x:v>
      </x:c>
      <x:c r="BA17" s="59"/>
      <x:c r="BB17" s="167"/>
      <x:c r="BC17" s="65">
        <x:v>2026</x:v>
      </x:c>
      <x:c r="BD17" s="59"/>
      <x:c r="BE17" s="167"/>
      <x:c r="BF17" s="59" t="s">
        <x:v>1501</x:v>
      </x:c>
    </x:row>
    <x:row r="18" ht="28">
      <x:c r="A18" s="59" t="s">
        <x:v>1571</x:v>
      </x:c>
      <x:c r="B18" s="59" t="s">
        <x:v>1572</x:v>
      </x:c>
      <x:c r="C18" s="59"/>
      <x:c r="D18" s="59"/>
      <x:c r="E18" s="59" t="s">
        <x:v>1573</x:v>
      </x:c>
      <x:c r="F18" s="59" t="s">
        <x:v>1574</x:v>
      </x:c>
      <x:c r="G18" s="59" t="s">
        <x:v>1575</x:v>
      </x:c>
      <x:c r="H18" s="59" t="s">
        <x:v>1415</x:v>
      </x:c>
      <x:c r="I18" s="59" t="s">
        <x:v>1576</x:v>
      </x:c>
      <x:c r="J18" s="59" t="s">
        <x:v>1485</x:v>
      </x:c>
      <x:c r="K18" s="59" t="s">
        <x:v>1522</x:v>
      </x:c>
      <x:c r="L18" s="59" t="s">
        <x:v>1487</x:v>
      </x:c>
      <x:c r="M18" s="59" t="s">
        <x:v>1522</x:v>
      </x:c>
      <x:c r="N18" s="59" t="s">
        <x:v>1437</x:v>
      </x:c>
      <x:c r="O18" s="59" t="s">
        <x:v>1522</x:v>
      </x:c>
      <x:c r="P18" s="59" t="s">
        <x:v>1437</x:v>
      </x:c>
      <x:c r="Q18" s="75" t="s">
        <x:v>1437</x:v>
      </x:c>
      <x:c r="R18" s="75" t="s">
        <x:v>1437</x:v>
      </x:c>
      <x:c r="S18" s="75" t="s">
        <x:v>1437</x:v>
      </x:c>
      <x:c r="T18" s="75" t="s">
        <x:v>1437</x:v>
      </x:c>
      <x:c r="U18" s="75" t="s">
        <x:v>1437</x:v>
      </x:c>
      <x:c r="V18" s="75" t="s">
        <x:v>1437</x:v>
      </x:c>
      <x:c r="W18" s="60"/>
      <x:c r="X18" s="73" t="str">
        <x:f t="shared" si="0"/>
        <x:v>Belum Dinilai</x:v>
      </x:c>
      <x:c r="Y18" s="73" t="str">
        <x:f t="shared" si="1"/>
        <x:v>Belum Dinilai</x:v>
      </x:c>
      <x:c r="Z18" s="74" t="str">
        <x:f t="shared" si="2"/>
      </x:c>
      <x:c r="AA18" s="74" t="str">
        <x:f t="shared" si="3"/>
      </x:c>
      <x:c r="AB18" s="74" t="str">
        <x:f t="shared" si="4"/>
      </x:c>
      <x:c r="AC18" s="61" t="s">
        <x:v>1437</x:v>
      </x:c>
      <x:c r="AD18" s="61" t="s">
        <x:v>1437</x:v>
      </x:c>
      <x:c r="AE18" s="61" t="s">
        <x:v>1437</x:v>
      </x:c>
      <x:c r="AF18" s="61" t="s">
        <x:v>1437</x:v>
      </x:c>
      <x:c r="AG18" s="61" t="s">
        <x:v>1437</x:v>
      </x:c>
      <x:c r="AH18" s="61" t="s">
        <x:v>1437</x:v>
      </x:c>
      <x:c r="AI18" s="61" t="s">
        <x:v>1437</x:v>
      </x:c>
      <x:c r="AJ18" s="61" t="s">
        <x:v>1437</x:v>
      </x:c>
      <x:c r="AK18" s="61" t="s">
        <x:v>1437</x:v>
      </x:c>
      <x:c r="AL18" s="61"/>
      <x:c r="AM18" s="61" t="s">
        <x:v>1437</x:v>
      </x:c>
      <x:c r="AN18" s="73" t="str">
        <x:f t="shared" si="5"/>
        <x:v>Belum Dinilai</x:v>
      </x:c>
      <x:c r="AO18" s="73" t="str">
        <x:f t="shared" si="6"/>
        <x:v>Belum Dinilai</x:v>
      </x:c>
      <x:c r="AP18" s="61"/>
      <x:c r="AQ18" s="64" t="str">
        <x:f t="shared" si="7"/>
      </x:c>
      <x:c r="AR18" s="64" t="str">
        <x:f t="shared" si="8"/>
      </x:c>
      <x:c r="AS18" s="64" t="str">
        <x:f t="shared" si="9"/>
      </x:c>
      <x:c r="AT18" s="62" t="str">
        <x:f t="shared" si="10"/>
        <x:v>Belum Dapat Ditentukan</x:v>
      </x:c>
      <x:c r="AU18" s="59" t="s">
        <x:v>1408</x:v>
      </x:c>
      <x:c r="AV18" s="59" t="s">
        <x:v>1425</x:v>
      </x:c>
      <x:c r="AW18" s="59" t="s">
        <x:v>1410</x:v>
      </x:c>
      <x:c r="AX18" s="59" t="s">
        <x:v>1411</x:v>
      </x:c>
      <x:c r="AY18" s="59"/>
      <x:c r="AZ18" s="59" t="s">
        <x:v>1409</x:v>
      </x:c>
      <x:c r="BA18" s="59"/>
      <x:c r="BB18" s="167"/>
      <x:c r="BC18" s="65">
        <x:v>2026</x:v>
      </x:c>
      <x:c r="BD18" s="59"/>
      <x:c r="BE18" s="167"/>
      <x:c r="BF18" s="59" t="s">
        <x:v>1501</x:v>
      </x:c>
    </x:row>
    <x:row r="19" ht="28">
      <x:c r="A19" s="59" t="s">
        <x:v>1577</x:v>
      </x:c>
      <x:c r="B19" s="59" t="s">
        <x:v>1578</x:v>
      </x:c>
      <x:c r="C19" s="59"/>
      <x:c r="D19" s="59"/>
      <x:c r="E19" s="59" t="s">
        <x:v>1579</x:v>
      </x:c>
      <x:c r="F19" s="59" t="s">
        <x:v>1580</x:v>
      </x:c>
      <x:c r="G19" s="59" t="s">
        <x:v>1512</x:v>
      </x:c>
      <x:c r="H19" s="59" t="s">
        <x:v>1399</x:v>
      </x:c>
      <x:c r="I19" s="59" t="s">
        <x:v>1513</x:v>
      </x:c>
      <x:c r="J19" s="59" t="s">
        <x:v>1431</x:v>
      </x:c>
      <x:c r="K19" s="59" t="s">
        <x:v>1432</x:v>
      </x:c>
      <x:c r="L19" s="59" t="s">
        <x:v>1418</x:v>
      </x:c>
      <x:c r="M19" s="59" t="s">
        <x:v>1489</x:v>
      </x:c>
      <x:c r="N19" s="59" t="s">
        <x:v>1418</x:v>
      </x:c>
      <x:c r="O19" s="59" t="s">
        <x:v>1435</x:v>
      </x:c>
      <x:c r="P19" s="59" t="s">
        <x:v>1418</x:v>
      </x:c>
      <x:c r="Q19" s="75" t="s">
        <x:v>1405</x:v>
      </x:c>
      <x:c r="R19" s="75" t="s">
        <x:v>1406</x:v>
      </x:c>
      <x:c r="S19" s="75" t="s">
        <x:v>1422</x:v>
      </x:c>
      <x:c r="T19" s="75" t="s">
        <x:v>1406</x:v>
      </x:c>
      <x:c r="U19" s="75" t="s">
        <x:v>1422</x:v>
      </x:c>
      <x:c r="V19" s="75" t="s">
        <x:v>1422</x:v>
      </x:c>
      <x:c r="W19" s="60"/>
      <x:c r="X19" s="73" t="str">
        <x:f t="shared" si="0"/>
        <x:v>Lansia; Kepala keluarga perempuan; </x:v>
      </x:c>
      <x:c r="Y19" s="73" t="str">
        <x:f t="shared" si="1"/>
        <x:v>2 atau Lebih Faktor Rentan</x:v>
      </x:c>
      <x:c r="Z19" s="74">
        <x:f t="shared" si="2"/>
        <x:v>10</x:v>
      </x:c>
      <x:c r="AA19" s="74">
        <x:f t="shared" si="3"/>
        <x:v>10</x:v>
      </x:c>
      <x:c r="AB19" s="74">
        <x:f t="shared" si="4"/>
        <x:v>20</x:v>
      </x:c>
      <x:c r="AC19" s="61" t="s">
        <x:v>1422</x:v>
      </x:c>
      <x:c r="AD19" s="61" t="s">
        <x:v>1422</x:v>
      </x:c>
      <x:c r="AE19" s="61" t="s">
        <x:v>1422</x:v>
      </x:c>
      <x:c r="AF19" s="61" t="s">
        <x:v>1422</x:v>
      </x:c>
      <x:c r="AG19" s="61" t="s">
        <x:v>1406</x:v>
      </x:c>
      <x:c r="AH19" s="61" t="s">
        <x:v>1406</x:v>
      </x:c>
      <x:c r="AI19" s="61" t="s">
        <x:v>1406</x:v>
      </x:c>
      <x:c r="AJ19" s="61" t="s">
        <x:v>1422</x:v>
      </x:c>
      <x:c r="AK19" s="61" t="s">
        <x:v>1422</x:v>
      </x:c>
      <x:c r="AL19" s="61"/>
      <x:c r="AM19" s="61" t="s">
        <x:v>1437</x:v>
      </x:c>
      <x:c r="AN19" s="73" t="str">
        <x:f t="shared" si="5"/>
        <x:v>Struktur rumah tidak stabil; Instalasi listrik berbahaya; Komponen bangunan lepas atau lapuk; </x:v>
      </x:c>
      <x:c r="AO19" s="73" t="str">
        <x:f t="shared" si="6"/>
        <x:v>Risiko Tinggi/Darurat</x:v>
      </x:c>
      <x:c r="AP19" s="61"/>
      <x:c r="AQ19" s="64">
        <x:f t="shared" si="7"/>
        <x:v>29</x:v>
      </x:c>
      <x:c r="AR19" s="64">
        <x:f t="shared" si="8"/>
        <x:v>10</x:v>
      </x:c>
      <x:c r="AS19" s="64">
        <x:f t="shared" si="9"/>
        <x:v>59</x:v>
      </x:c>
      <x:c r="AT19" s="62" t="str">
        <x:f t="shared" si="10"/>
        <x:v>Tinggi</x:v>
      </x:c>
      <x:c r="AU19" s="59" t="s">
        <x:v>1408</x:v>
      </x:c>
      <x:c r="AV19" s="59" t="s">
        <x:v>1425</x:v>
      </x:c>
      <x:c r="AW19" s="59" t="s">
        <x:v>1426</x:v>
      </x:c>
      <x:c r="AX19" s="59" t="s">
        <x:v>1506</x:v>
      </x:c>
      <x:c r="AY19" s="59">
        <x:v>2026</x:v>
      </x:c>
      <x:c r="AZ19" s="59" t="s">
        <x:v>1412</x:v>
      </x:c>
      <x:c r="BA19" s="59"/>
      <x:c r="BB19" s="167"/>
      <x:c r="BC19" s="65">
        <x:v>2026</x:v>
      </x:c>
      <x:c r="BD19" s="59" t="s">
        <x:v>1441</x:v>
      </x:c>
      <x:c r="BE19" s="167"/>
      <x:c r="BF19" s="59" t="s">
        <x:v>1501</x:v>
      </x:c>
    </x:row>
    <x:row r="20" ht="28">
      <x:c r="A20" s="59" t="s">
        <x:v>1581</x:v>
      </x:c>
      <x:c r="B20" s="59" t="s">
        <x:v>1582</x:v>
      </x:c>
      <x:c r="C20" s="59"/>
      <x:c r="D20" s="59"/>
      <x:c r="E20" s="59" t="s">
        <x:v>1583</x:v>
      </x:c>
      <x:c r="F20" s="59" t="s">
        <x:v>1584</x:v>
      </x:c>
      <x:c r="G20" s="59" t="s">
        <x:v>1585</x:v>
      </x:c>
      <x:c r="H20" s="59" t="s">
        <x:v>1399</x:v>
      </x:c>
      <x:c r="I20" s="59" t="s">
        <x:v>1586</x:v>
      </x:c>
      <x:c r="J20" s="59" t="s">
        <x:v>1431</x:v>
      </x:c>
      <x:c r="K20" s="59" t="s">
        <x:v>1432</x:v>
      </x:c>
      <x:c r="L20" s="59" t="s">
        <x:v>1437</x:v>
      </x:c>
      <x:c r="M20" s="59" t="s">
        <x:v>1489</x:v>
      </x:c>
      <x:c r="N20" s="59" t="s">
        <x:v>1437</x:v>
      </x:c>
      <x:c r="O20" s="59" t="s">
        <x:v>1435</x:v>
      </x:c>
      <x:c r="P20" s="59" t="s">
        <x:v>1437</x:v>
      </x:c>
      <x:c r="Q20" s="75" t="s">
        <x:v>1437</x:v>
      </x:c>
      <x:c r="R20" s="75" t="s">
        <x:v>1437</x:v>
      </x:c>
      <x:c r="S20" s="75" t="s">
        <x:v>1437</x:v>
      </x:c>
      <x:c r="T20" s="75" t="s">
        <x:v>1437</x:v>
      </x:c>
      <x:c r="U20" s="75" t="s">
        <x:v>1437</x:v>
      </x:c>
      <x:c r="V20" s="75" t="s">
        <x:v>1437</x:v>
      </x:c>
      <x:c r="W20" s="60"/>
      <x:c r="X20" s="73" t="str">
        <x:f t="shared" si="0"/>
        <x:v>Belum Dinilai</x:v>
      </x:c>
      <x:c r="Y20" s="73" t="str">
        <x:f t="shared" si="1"/>
        <x:v>Belum Dinilai</x:v>
      </x:c>
      <x:c r="Z20" s="74" t="str">
        <x:f t="shared" si="2"/>
      </x:c>
      <x:c r="AA20" s="74" t="str">
        <x:f t="shared" si="3"/>
      </x:c>
      <x:c r="AB20" s="74" t="str">
        <x:f t="shared" si="4"/>
      </x:c>
      <x:c r="AC20" s="61" t="s">
        <x:v>1437</x:v>
      </x:c>
      <x:c r="AD20" s="61" t="s">
        <x:v>1437</x:v>
      </x:c>
      <x:c r="AE20" s="61" t="s">
        <x:v>1437</x:v>
      </x:c>
      <x:c r="AF20" s="61" t="s">
        <x:v>1437</x:v>
      </x:c>
      <x:c r="AG20" s="61" t="s">
        <x:v>1437</x:v>
      </x:c>
      <x:c r="AH20" s="61" t="s">
        <x:v>1437</x:v>
      </x:c>
      <x:c r="AI20" s="61" t="s">
        <x:v>1437</x:v>
      </x:c>
      <x:c r="AJ20" s="61" t="s">
        <x:v>1437</x:v>
      </x:c>
      <x:c r="AK20" s="61" t="s">
        <x:v>1437</x:v>
      </x:c>
      <x:c r="AL20" s="61"/>
      <x:c r="AM20" s="61" t="s">
        <x:v>1437</x:v>
      </x:c>
      <x:c r="AN20" s="73" t="str">
        <x:f t="shared" si="5"/>
        <x:v>Belum Dinilai</x:v>
      </x:c>
      <x:c r="AO20" s="73" t="str">
        <x:f t="shared" si="6"/>
        <x:v>Belum Dinilai</x:v>
      </x:c>
      <x:c r="AP20" s="61"/>
      <x:c r="AQ20" s="64" t="str">
        <x:f t="shared" si="7"/>
      </x:c>
      <x:c r="AR20" s="64" t="str">
        <x:f t="shared" si="8"/>
      </x:c>
      <x:c r="AS20" s="64" t="str">
        <x:f t="shared" si="9"/>
      </x:c>
      <x:c r="AT20" s="62" t="str">
        <x:f t="shared" si="10"/>
        <x:v>Belum Dapat Ditentukan</x:v>
      </x:c>
      <x:c r="AU20" s="59" t="s">
        <x:v>1424</x:v>
      </x:c>
      <x:c r="AV20" s="59" t="s">
        <x:v>1425</x:v>
      </x:c>
      <x:c r="AW20" s="59" t="s">
        <x:v>1523</x:v>
      </x:c>
      <x:c r="AX20" s="59" t="s">
        <x:v>1491</x:v>
      </x:c>
      <x:c r="AY20" s="59">
        <x:v>2024</x:v>
      </x:c>
      <x:c r="AZ20" s="59" t="s">
        <x:v>1412</x:v>
      </x:c>
      <x:c r="BA20" s="59"/>
      <x:c r="BB20" s="167"/>
      <x:c r="BC20" s="65">
        <x:v>2026</x:v>
      </x:c>
      <x:c r="BD20" s="59"/>
      <x:c r="BE20" s="167"/>
      <x:c r="BF20" s="59" t="s">
        <x:v>1501</x:v>
      </x:c>
    </x:row>
    <x:row r="21" ht="28">
      <x:c r="A21" s="59" t="s">
        <x:v>1587</x:v>
      </x:c>
      <x:c r="B21" s="59" t="s">
        <x:v>1588</x:v>
      </x:c>
      <x:c r="C21" s="59"/>
      <x:c r="D21" s="59"/>
      <x:c r="E21" s="59" t="s">
        <x:v>1589</x:v>
      </x:c>
      <x:c r="F21" s="59" t="s">
        <x:v>1590</x:v>
      </x:c>
      <x:c r="G21" s="59" t="s">
        <x:v>1585</x:v>
      </x:c>
      <x:c r="H21" s="59" t="s">
        <x:v>1399</x:v>
      </x:c>
      <x:c r="I21" s="59" t="s">
        <x:v>1591</x:v>
      </x:c>
      <x:c r="J21" s="59" t="s">
        <x:v>1431</x:v>
      </x:c>
      <x:c r="K21" s="59" t="s">
        <x:v>1432</x:v>
      </x:c>
      <x:c r="L21" s="59" t="s">
        <x:v>1437</x:v>
      </x:c>
      <x:c r="M21" s="59" t="s">
        <x:v>1489</x:v>
      </x:c>
      <x:c r="N21" s="59" t="s">
        <x:v>1437</x:v>
      </x:c>
      <x:c r="O21" s="59" t="s">
        <x:v>1522</x:v>
      </x:c>
      <x:c r="P21" s="59" t="s">
        <x:v>1437</x:v>
      </x:c>
      <x:c r="Q21" s="75" t="s">
        <x:v>1437</x:v>
      </x:c>
      <x:c r="R21" s="75" t="s">
        <x:v>1437</x:v>
      </x:c>
      <x:c r="S21" s="75" t="s">
        <x:v>1437</x:v>
      </x:c>
      <x:c r="T21" s="75" t="s">
        <x:v>1437</x:v>
      </x:c>
      <x:c r="U21" s="75" t="s">
        <x:v>1437</x:v>
      </x:c>
      <x:c r="V21" s="75" t="s">
        <x:v>1437</x:v>
      </x:c>
      <x:c r="W21" s="60"/>
      <x:c r="X21" s="73" t="str">
        <x:f t="shared" si="0"/>
        <x:v>Belum Dinilai</x:v>
      </x:c>
      <x:c r="Y21" s="73" t="str">
        <x:f t="shared" si="1"/>
        <x:v>Belum Dinilai</x:v>
      </x:c>
      <x:c r="Z21" s="74" t="str">
        <x:f t="shared" si="2"/>
      </x:c>
      <x:c r="AA21" s="74" t="str">
        <x:f t="shared" si="3"/>
      </x:c>
      <x:c r="AB21" s="74" t="str">
        <x:f t="shared" si="4"/>
      </x:c>
      <x:c r="AC21" s="61" t="s">
        <x:v>1437</x:v>
      </x:c>
      <x:c r="AD21" s="61" t="s">
        <x:v>1437</x:v>
      </x:c>
      <x:c r="AE21" s="61" t="s">
        <x:v>1437</x:v>
      </x:c>
      <x:c r="AF21" s="61" t="s">
        <x:v>1437</x:v>
      </x:c>
      <x:c r="AG21" s="61" t="s">
        <x:v>1437</x:v>
      </x:c>
      <x:c r="AH21" s="61" t="s">
        <x:v>1437</x:v>
      </x:c>
      <x:c r="AI21" s="61" t="s">
        <x:v>1437</x:v>
      </x:c>
      <x:c r="AJ21" s="61" t="s">
        <x:v>1437</x:v>
      </x:c>
      <x:c r="AK21" s="61" t="s">
        <x:v>1437</x:v>
      </x:c>
      <x:c r="AL21" s="61"/>
      <x:c r="AM21" s="61" t="s">
        <x:v>1437</x:v>
      </x:c>
      <x:c r="AN21" s="73" t="str">
        <x:f t="shared" si="5"/>
        <x:v>Belum Dinilai</x:v>
      </x:c>
      <x:c r="AO21" s="73" t="str">
        <x:f t="shared" si="6"/>
        <x:v>Belum Dinilai</x:v>
      </x:c>
      <x:c r="AP21" s="61"/>
      <x:c r="AQ21" s="64" t="str">
        <x:f t="shared" si="7"/>
      </x:c>
      <x:c r="AR21" s="64" t="str">
        <x:f t="shared" si="8"/>
      </x:c>
      <x:c r="AS21" s="64" t="str">
        <x:f t="shared" si="9"/>
      </x:c>
      <x:c r="AT21" s="62" t="str">
        <x:f t="shared" si="10"/>
        <x:v>Belum Dapat Ditentukan</x:v>
      </x:c>
      <x:c r="AU21" s="59" t="s">
        <x:v>1408</x:v>
      </x:c>
      <x:c r="AV21" s="59" t="s">
        <x:v>1425</x:v>
      </x:c>
      <x:c r="AW21" s="59" t="s">
        <x:v>1410</x:v>
      </x:c>
      <x:c r="AX21" s="59" t="s">
        <x:v>1411</x:v>
      </x:c>
      <x:c r="AY21" s="59"/>
      <x:c r="AZ21" s="59" t="s">
        <x:v>1409</x:v>
      </x:c>
      <x:c r="BA21" s="59"/>
      <x:c r="BB21" s="167"/>
      <x:c r="BC21" s="65">
        <x:v>2026</x:v>
      </x:c>
      <x:c r="BD21" s="59"/>
      <x:c r="BE21" s="167"/>
      <x:c r="BF21" s="59" t="s">
        <x:v>1501</x:v>
      </x:c>
    </x:row>
    <x:row r="22" ht="56">
      <x:c r="A22" s="59" t="s">
        <x:v>1592</x:v>
      </x:c>
      <x:c r="B22" s="59" t="s">
        <x:v>1593</x:v>
      </x:c>
      <x:c r="C22" s="59"/>
      <x:c r="D22" s="59"/>
      <x:c r="E22" s="59" t="s">
        <x:v>1594</x:v>
      </x:c>
      <x:c r="F22" s="59" t="s">
        <x:v>1543</x:v>
      </x:c>
      <x:c r="G22" s="59" t="s">
        <x:v>1512</x:v>
      </x:c>
      <x:c r="H22" s="59" t="s">
        <x:v>1399</x:v>
      </x:c>
      <x:c r="I22" s="59" t="s">
        <x:v>1595</x:v>
      </x:c>
      <x:c r="J22" s="59" t="s">
        <x:v>1431</x:v>
      </x:c>
      <x:c r="K22" s="59" t="s">
        <x:v>1516</x:v>
      </x:c>
      <x:c r="L22" s="59" t="s">
        <x:v>1437</x:v>
      </x:c>
      <x:c r="M22" s="59" t="s">
        <x:v>1489</x:v>
      </x:c>
      <x:c r="N22" s="59" t="s">
        <x:v>1487</x:v>
      </x:c>
      <x:c r="O22" s="59" t="s">
        <x:v>1435</x:v>
      </x:c>
      <x:c r="P22" s="59" t="s">
        <x:v>1487</x:v>
      </x:c>
      <x:c r="Q22" s="75" t="s">
        <x:v>1437</x:v>
      </x:c>
      <x:c r="R22" s="75" t="s">
        <x:v>1437</x:v>
      </x:c>
      <x:c r="S22" s="75" t="s">
        <x:v>1437</x:v>
      </x:c>
      <x:c r="T22" s="75" t="s">
        <x:v>1437</x:v>
      </x:c>
      <x:c r="U22" s="75" t="s">
        <x:v>1437</x:v>
      </x:c>
      <x:c r="V22" s="75" t="s">
        <x:v>1437</x:v>
      </x:c>
      <x:c r="W22" s="60"/>
      <x:c r="X22" s="73" t="str">
        <x:f t="shared" si="0"/>
        <x:v>Belum Dinilai</x:v>
      </x:c>
      <x:c r="Y22" s="73" t="str">
        <x:f t="shared" si="1"/>
        <x:v>Belum Dinilai</x:v>
      </x:c>
      <x:c r="Z22" s="74" t="str">
        <x:f t="shared" si="2"/>
      </x:c>
      <x:c r="AA22" s="74" t="str">
        <x:f t="shared" si="3"/>
      </x:c>
      <x:c r="AB22" s="74" t="str">
        <x:f t="shared" si="4"/>
      </x:c>
      <x:c r="AC22" s="61" t="s">
        <x:v>1437</x:v>
      </x:c>
      <x:c r="AD22" s="61" t="s">
        <x:v>1437</x:v>
      </x:c>
      <x:c r="AE22" s="61" t="s">
        <x:v>1437</x:v>
      </x:c>
      <x:c r="AF22" s="61" t="s">
        <x:v>1437</x:v>
      </x:c>
      <x:c r="AG22" s="61" t="s">
        <x:v>1437</x:v>
      </x:c>
      <x:c r="AH22" s="61" t="s">
        <x:v>1437</x:v>
      </x:c>
      <x:c r="AI22" s="61" t="s">
        <x:v>1437</x:v>
      </x:c>
      <x:c r="AJ22" s="61" t="s">
        <x:v>1437</x:v>
      </x:c>
      <x:c r="AK22" s="61" t="s">
        <x:v>1437</x:v>
      </x:c>
      <x:c r="AL22" s="61"/>
      <x:c r="AM22" s="61" t="s">
        <x:v>1437</x:v>
      </x:c>
      <x:c r="AN22" s="73" t="str">
        <x:f t="shared" si="5"/>
        <x:v>Belum Dinilai</x:v>
      </x:c>
      <x:c r="AO22" s="73" t="str">
        <x:f t="shared" si="6"/>
        <x:v>Belum Dinilai</x:v>
      </x:c>
      <x:c r="AP22" s="61"/>
      <x:c r="AQ22" s="64" t="str">
        <x:f t="shared" si="7"/>
      </x:c>
      <x:c r="AR22" s="64" t="str">
        <x:f t="shared" si="8"/>
      </x:c>
      <x:c r="AS22" s="64" t="str">
        <x:f t="shared" si="9"/>
      </x:c>
      <x:c r="AT22" s="62" t="str">
        <x:f t="shared" si="10"/>
        <x:v>Belum Dapat Ditentukan</x:v>
      </x:c>
      <x:c r="AU22" s="59" t="s">
        <x:v>1408</x:v>
      </x:c>
      <x:c r="AV22" s="59" t="s">
        <x:v>1425</x:v>
      </x:c>
      <x:c r="AW22" s="59" t="s">
        <x:v>1410</x:v>
      </x:c>
      <x:c r="AX22" s="59" t="s">
        <x:v>1411</x:v>
      </x:c>
      <x:c r="AY22" s="59"/>
      <x:c r="AZ22" s="59" t="s">
        <x:v>1409</x:v>
      </x:c>
      <x:c r="BA22" s="59"/>
      <x:c r="BB22" s="167"/>
      <x:c r="BC22" s="65">
        <x:v>2026</x:v>
      </x:c>
      <x:c r="BD22" s="59"/>
      <x:c r="BE22" s="167"/>
      <x:c r="BF22" s="59" t="s">
        <x:v>1501</x:v>
      </x:c>
    </x:row>
    <x:row r="23" ht="28">
      <x:c r="A23" s="59" t="s">
        <x:v>1596</x:v>
      </x:c>
      <x:c r="B23" s="59" t="s">
        <x:v>1597</x:v>
      </x:c>
      <x:c r="C23" s="59"/>
      <x:c r="D23" s="59"/>
      <x:c r="E23" s="59" t="s">
        <x:v>1598</x:v>
      </x:c>
      <x:c r="F23" s="59" t="s">
        <x:v>1580</x:v>
      </x:c>
      <x:c r="G23" s="59" t="s">
        <x:v>1512</x:v>
      </x:c>
      <x:c r="H23" s="59" t="s">
        <x:v>1399</x:v>
      </x:c>
      <x:c r="I23" s="59" t="s">
        <x:v>1599</x:v>
      </x:c>
      <x:c r="J23" s="59" t="s">
        <x:v>1431</x:v>
      </x:c>
      <x:c r="K23" s="59" t="s">
        <x:v>1417</x:v>
      </x:c>
      <x:c r="L23" s="59" t="s">
        <x:v>1433</x:v>
      </x:c>
      <x:c r="M23" s="59" t="s">
        <x:v>1489</x:v>
      </x:c>
      <x:c r="N23" s="59" t="s">
        <x:v>1433</x:v>
      </x:c>
      <x:c r="O23" s="59" t="s">
        <x:v>1435</x:v>
      </x:c>
      <x:c r="P23" s="59" t="s">
        <x:v>1433</x:v>
      </x:c>
      <x:c r="Q23" s="75" t="s">
        <x:v>1437</x:v>
      </x:c>
      <x:c r="R23" s="75" t="s">
        <x:v>1437</x:v>
      </x:c>
      <x:c r="S23" s="75" t="s">
        <x:v>1437</x:v>
      </x:c>
      <x:c r="T23" s="75" t="s">
        <x:v>1437</x:v>
      </x:c>
      <x:c r="U23" s="75" t="s">
        <x:v>1437</x:v>
      </x:c>
      <x:c r="V23" s="75" t="s">
        <x:v>1437</x:v>
      </x:c>
      <x:c r="W23" s="60"/>
      <x:c r="X23" s="73" t="str">
        <x:f t="shared" si="0"/>
        <x:v>Belum Dinilai</x:v>
      </x:c>
      <x:c r="Y23" s="73" t="str">
        <x:f t="shared" si="1"/>
        <x:v>Belum Dinilai</x:v>
      </x:c>
      <x:c r="Z23" s="74" t="str">
        <x:f t="shared" si="2"/>
      </x:c>
      <x:c r="AA23" s="74" t="str">
        <x:f t="shared" si="3"/>
      </x:c>
      <x:c r="AB23" s="74" t="str">
        <x:f t="shared" si="4"/>
      </x:c>
      <x:c r="AC23" s="61" t="s">
        <x:v>1437</x:v>
      </x:c>
      <x:c r="AD23" s="61" t="s">
        <x:v>1437</x:v>
      </x:c>
      <x:c r="AE23" s="61" t="s">
        <x:v>1437</x:v>
      </x:c>
      <x:c r="AF23" s="61" t="s">
        <x:v>1437</x:v>
      </x:c>
      <x:c r="AG23" s="61" t="s">
        <x:v>1437</x:v>
      </x:c>
      <x:c r="AH23" s="61" t="s">
        <x:v>1437</x:v>
      </x:c>
      <x:c r="AI23" s="61" t="s">
        <x:v>1437</x:v>
      </x:c>
      <x:c r="AJ23" s="61" t="s">
        <x:v>1437</x:v>
      </x:c>
      <x:c r="AK23" s="61" t="s">
        <x:v>1437</x:v>
      </x:c>
      <x:c r="AL23" s="61"/>
      <x:c r="AM23" s="61" t="s">
        <x:v>1437</x:v>
      </x:c>
      <x:c r="AN23" s="73" t="str">
        <x:f t="shared" si="5"/>
        <x:v>Belum Dinilai</x:v>
      </x:c>
      <x:c r="AO23" s="73" t="str">
        <x:f t="shared" si="6"/>
        <x:v>Belum Dinilai</x:v>
      </x:c>
      <x:c r="AP23" s="61"/>
      <x:c r="AQ23" s="64">
        <x:f t="shared" si="7"/>
        <x:v>43</x:v>
      </x:c>
      <x:c r="AR23" s="64" t="str">
        <x:f t="shared" si="8"/>
      </x:c>
      <x:c r="AS23" s="64" t="str">
        <x:f t="shared" si="9"/>
      </x:c>
      <x:c r="AT23" s="62" t="str">
        <x:f t="shared" si="10"/>
        <x:v>Belum Dapat Ditentukan</x:v>
      </x:c>
      <x:c r="AU23" s="59" t="s">
        <x:v>1408</x:v>
      </x:c>
      <x:c r="AV23" s="59" t="s">
        <x:v>1425</x:v>
      </x:c>
      <x:c r="AW23" s="59" t="s">
        <x:v>1410</x:v>
      </x:c>
      <x:c r="AX23" s="59" t="s">
        <x:v>1411</x:v>
      </x:c>
      <x:c r="AY23" s="59"/>
      <x:c r="AZ23" s="59" t="s">
        <x:v>1409</x:v>
      </x:c>
      <x:c r="BA23" s="59"/>
      <x:c r="BB23" s="167"/>
      <x:c r="BC23" s="65">
        <x:v>2026</x:v>
      </x:c>
      <x:c r="BD23" s="59"/>
      <x:c r="BE23" s="167"/>
      <x:c r="BF23" s="59" t="s">
        <x:v>1501</x:v>
      </x:c>
    </x:row>
    <x:row r="24" ht="42">
      <x:c r="A24" s="59" t="s">
        <x:v>1600</x:v>
      </x:c>
      <x:c r="B24" s="59" t="s">
        <x:v>1601</x:v>
      </x:c>
      <x:c r="C24" s="59"/>
      <x:c r="D24" s="59"/>
      <x:c r="E24" s="59" t="s">
        <x:v>1602</x:v>
      </x:c>
      <x:c r="F24" s="59" t="s">
        <x:v>1603</x:v>
      </x:c>
      <x:c r="G24" s="59" t="s">
        <x:v>1512</x:v>
      </x:c>
      <x:c r="H24" s="59" t="s">
        <x:v>1415</x:v>
      </x:c>
      <x:c r="I24" s="59" t="s">
        <x:v>1604</x:v>
      </x:c>
      <x:c r="J24" s="59" t="s">
        <x:v>1416</x:v>
      </x:c>
      <x:c r="K24" s="59" t="s">
        <x:v>1417</x:v>
      </x:c>
      <x:c r="L24" s="59" t="s">
        <x:v>1437</x:v>
      </x:c>
      <x:c r="M24" s="59" t="s">
        <x:v>1489</x:v>
      </x:c>
      <x:c r="N24" s="59" t="s">
        <x:v>1437</x:v>
      </x:c>
      <x:c r="O24" s="59" t="s">
        <x:v>1522</x:v>
      </x:c>
      <x:c r="P24" s="59" t="s">
        <x:v>1437</x:v>
      </x:c>
      <x:c r="Q24" s="75" t="s">
        <x:v>1437</x:v>
      </x:c>
      <x:c r="R24" s="75" t="s">
        <x:v>1437</x:v>
      </x:c>
      <x:c r="S24" s="75" t="s">
        <x:v>1437</x:v>
      </x:c>
      <x:c r="T24" s="75" t="s">
        <x:v>1437</x:v>
      </x:c>
      <x:c r="U24" s="75" t="s">
        <x:v>1437</x:v>
      </x:c>
      <x:c r="V24" s="75" t="s">
        <x:v>1437</x:v>
      </x:c>
      <x:c r="W24" s="60"/>
      <x:c r="X24" s="73" t="str">
        <x:f t="shared" si="0"/>
        <x:v>Belum Dinilai</x:v>
      </x:c>
      <x:c r="Y24" s="73" t="str">
        <x:f t="shared" si="1"/>
        <x:v>Belum Dinilai</x:v>
      </x:c>
      <x:c r="Z24" s="74" t="str">
        <x:f t="shared" si="2"/>
      </x:c>
      <x:c r="AA24" s="74" t="str">
        <x:f t="shared" si="3"/>
      </x:c>
      <x:c r="AB24" s="74" t="str">
        <x:f t="shared" si="4"/>
      </x:c>
      <x:c r="AC24" s="61" t="s">
        <x:v>1437</x:v>
      </x:c>
      <x:c r="AD24" s="61" t="s">
        <x:v>1437</x:v>
      </x:c>
      <x:c r="AE24" s="61" t="s">
        <x:v>1437</x:v>
      </x:c>
      <x:c r="AF24" s="61" t="s">
        <x:v>1437</x:v>
      </x:c>
      <x:c r="AG24" s="61" t="s">
        <x:v>1437</x:v>
      </x:c>
      <x:c r="AH24" s="61" t="s">
        <x:v>1437</x:v>
      </x:c>
      <x:c r="AI24" s="61" t="s">
        <x:v>1437</x:v>
      </x:c>
      <x:c r="AJ24" s="61" t="s">
        <x:v>1437</x:v>
      </x:c>
      <x:c r="AK24" s="61" t="s">
        <x:v>1437</x:v>
      </x:c>
      <x:c r="AL24" s="61"/>
      <x:c r="AM24" s="61" t="s">
        <x:v>1437</x:v>
      </x:c>
      <x:c r="AN24" s="73" t="str">
        <x:f t="shared" si="5"/>
        <x:v>Belum Dinilai</x:v>
      </x:c>
      <x:c r="AO24" s="73" t="str">
        <x:f t="shared" si="6"/>
        <x:v>Belum Dinilai</x:v>
      </x:c>
      <x:c r="AP24" s="61"/>
      <x:c r="AQ24" s="64" t="str">
        <x:f t="shared" si="7"/>
      </x:c>
      <x:c r="AR24" s="64" t="str">
        <x:f t="shared" si="8"/>
      </x:c>
      <x:c r="AS24" s="64" t="str">
        <x:f t="shared" si="9"/>
      </x:c>
      <x:c r="AT24" s="62" t="str">
        <x:f t="shared" si="10"/>
        <x:v>Belum Dapat Ditentukan</x:v>
      </x:c>
      <x:c r="AU24" s="59" t="s">
        <x:v>1424</x:v>
      </x:c>
      <x:c r="AV24" s="59" t="s">
        <x:v>1425</x:v>
      </x:c>
      <x:c r="AW24" s="59" t="s">
        <x:v>1410</x:v>
      </x:c>
      <x:c r="AX24" s="59" t="s">
        <x:v>1411</x:v>
      </x:c>
      <x:c r="AY24" s="59"/>
      <x:c r="AZ24" s="59" t="s">
        <x:v>1409</x:v>
      </x:c>
      <x:c r="BA24" s="59"/>
      <x:c r="BB24" s="167"/>
      <x:c r="BC24" s="65">
        <x:v>2026</x:v>
      </x:c>
      <x:c r="BD24" s="59"/>
      <x:c r="BE24" s="167"/>
      <x:c r="BF24" s="59" t="s">
        <x:v>1501</x:v>
      </x:c>
    </x:row>
    <x:row r="25" ht="28">
      <x:c r="A25" s="59" t="s">
        <x:v>1605</x:v>
      </x:c>
      <x:c r="B25" s="59" t="s">
        <x:v>1606</x:v>
      </x:c>
      <x:c r="C25" s="59"/>
      <x:c r="D25" s="59"/>
      <x:c r="E25" s="59" t="s">
        <x:v>1607</x:v>
      </x:c>
      <x:c r="F25" s="59" t="s">
        <x:v>1608</x:v>
      </x:c>
      <x:c r="G25" s="59" t="s">
        <x:v>1498</x:v>
      </x:c>
      <x:c r="H25" s="59" t="s">
        <x:v>1415</x:v>
      </x:c>
      <x:c r="I25" s="59" t="s">
        <x:v>1609</x:v>
      </x:c>
      <x:c r="J25" s="59" t="s">
        <x:v>1400</x:v>
      </x:c>
      <x:c r="K25" s="59" t="s">
        <x:v>1522</x:v>
      </x:c>
      <x:c r="L25" s="59" t="s">
        <x:v>1418</x:v>
      </x:c>
      <x:c r="M25" s="59" t="s">
        <x:v>1488</x:v>
      </x:c>
      <x:c r="N25" s="59" t="s">
        <x:v>1437</x:v>
      </x:c>
      <x:c r="O25" s="59" t="s">
        <x:v>1522</x:v>
      </x:c>
      <x:c r="P25" s="59" t="s">
        <x:v>1437</x:v>
      </x:c>
      <x:c r="Q25" s="75" t="s">
        <x:v>1437</x:v>
      </x:c>
      <x:c r="R25" s="75" t="s">
        <x:v>1437</x:v>
      </x:c>
      <x:c r="S25" s="75" t="s">
        <x:v>1437</x:v>
      </x:c>
      <x:c r="T25" s="75" t="s">
        <x:v>1437</x:v>
      </x:c>
      <x:c r="U25" s="75" t="s">
        <x:v>1437</x:v>
      </x:c>
      <x:c r="V25" s="75" t="s">
        <x:v>1437</x:v>
      </x:c>
      <x:c r="W25" s="60"/>
      <x:c r="X25" s="73" t="str">
        <x:f t="shared" si="0"/>
        <x:v>Belum Dinilai</x:v>
      </x:c>
      <x:c r="Y25" s="73" t="str">
        <x:f t="shared" si="1"/>
        <x:v>Belum Dinilai</x:v>
      </x:c>
      <x:c r="Z25" s="74" t="str">
        <x:f t="shared" si="2"/>
      </x:c>
      <x:c r="AA25" s="74" t="str">
        <x:f t="shared" si="3"/>
      </x:c>
      <x:c r="AB25" s="74" t="str">
        <x:f t="shared" si="4"/>
      </x:c>
      <x:c r="AC25" s="61" t="s">
        <x:v>1437</x:v>
      </x:c>
      <x:c r="AD25" s="61" t="s">
        <x:v>1437</x:v>
      </x:c>
      <x:c r="AE25" s="61" t="s">
        <x:v>1437</x:v>
      </x:c>
      <x:c r="AF25" s="61" t="s">
        <x:v>1437</x:v>
      </x:c>
      <x:c r="AG25" s="61" t="s">
        <x:v>1437</x:v>
      </x:c>
      <x:c r="AH25" s="61" t="s">
        <x:v>1437</x:v>
      </x:c>
      <x:c r="AI25" s="61" t="s">
        <x:v>1437</x:v>
      </x:c>
      <x:c r="AJ25" s="61" t="s">
        <x:v>1437</x:v>
      </x:c>
      <x:c r="AK25" s="61" t="s">
        <x:v>1437</x:v>
      </x:c>
      <x:c r="AL25" s="61"/>
      <x:c r="AM25" s="61" t="s">
        <x:v>1437</x:v>
      </x:c>
      <x:c r="AN25" s="73" t="str">
        <x:f t="shared" si="5"/>
        <x:v>Belum Dinilai</x:v>
      </x:c>
      <x:c r="AO25" s="73" t="str">
        <x:f t="shared" si="6"/>
        <x:v>Belum Dinilai</x:v>
      </x:c>
      <x:c r="AP25" s="61"/>
      <x:c r="AQ25" s="64" t="str">
        <x:f t="shared" si="7"/>
      </x:c>
      <x:c r="AR25" s="64" t="str">
        <x:f t="shared" si="8"/>
      </x:c>
      <x:c r="AS25" s="64" t="str">
        <x:f t="shared" si="9"/>
      </x:c>
      <x:c r="AT25" s="62" t="str">
        <x:f t="shared" si="10"/>
        <x:v>Belum Dapat Ditentukan</x:v>
      </x:c>
      <x:c r="AU25" s="59" t="s">
        <x:v>1424</x:v>
      </x:c>
      <x:c r="AV25" s="59" t="s">
        <x:v>1425</x:v>
      </x:c>
      <x:c r="AW25" s="59" t="s">
        <x:v>1410</x:v>
      </x:c>
      <x:c r="AX25" s="59" t="s">
        <x:v>1411</x:v>
      </x:c>
      <x:c r="AY25" s="59"/>
      <x:c r="AZ25" s="59" t="s">
        <x:v>1409</x:v>
      </x:c>
      <x:c r="BA25" s="59"/>
      <x:c r="BB25" s="167"/>
      <x:c r="BC25" s="65">
        <x:v>2026</x:v>
      </x:c>
      <x:c r="BD25" s="59"/>
      <x:c r="BE25" s="167"/>
      <x:c r="BF25" s="59" t="s">
        <x:v>1501</x:v>
      </x:c>
    </x:row>
    <x:row r="26" ht="28">
      <x:c r="A26" s="59" t="s">
        <x:v>1610</x:v>
      </x:c>
      <x:c r="B26" s="59" t="s">
        <x:v>1611</x:v>
      </x:c>
      <x:c r="C26" s="59"/>
      <x:c r="D26" s="59"/>
      <x:c r="E26" s="59" t="s">
        <x:v>1612</x:v>
      </x:c>
      <x:c r="F26" s="59" t="s">
        <x:v>1613</x:v>
      </x:c>
      <x:c r="G26" s="59" t="s">
        <x:v>1512</x:v>
      </x:c>
      <x:c r="H26" s="59" t="s">
        <x:v>1415</x:v>
      </x:c>
      <x:c r="I26" s="59" t="s">
        <x:v>1614</x:v>
      </x:c>
      <x:c r="J26" s="59" t="s">
        <x:v>1400</x:v>
      </x:c>
      <x:c r="K26" s="59" t="s">
        <x:v>1522</x:v>
      </x:c>
      <x:c r="L26" s="59" t="s">
        <x:v>1437</x:v>
      </x:c>
      <x:c r="M26" s="59" t="s">
        <x:v>1434</x:v>
      </x:c>
      <x:c r="N26" s="59" t="s">
        <x:v>1437</x:v>
      </x:c>
      <x:c r="O26" s="59" t="s">
        <x:v>1522</x:v>
      </x:c>
      <x:c r="P26" s="59" t="s">
        <x:v>1437</x:v>
      </x:c>
      <x:c r="Q26" s="75" t="s">
        <x:v>1437</x:v>
      </x:c>
      <x:c r="R26" s="75" t="s">
        <x:v>1437</x:v>
      </x:c>
      <x:c r="S26" s="75" t="s">
        <x:v>1437</x:v>
      </x:c>
      <x:c r="T26" s="75" t="s">
        <x:v>1437</x:v>
      </x:c>
      <x:c r="U26" s="75" t="s">
        <x:v>1437</x:v>
      </x:c>
      <x:c r="V26" s="75" t="s">
        <x:v>1437</x:v>
      </x:c>
      <x:c r="W26" s="60"/>
      <x:c r="X26" s="73" t="str">
        <x:f t="shared" si="0"/>
        <x:v>Belum Dinilai</x:v>
      </x:c>
      <x:c r="Y26" s="73" t="str">
        <x:f t="shared" si="1"/>
        <x:v>Belum Dinilai</x:v>
      </x:c>
      <x:c r="Z26" s="74" t="str">
        <x:f t="shared" si="2"/>
      </x:c>
      <x:c r="AA26" s="74" t="str">
        <x:f t="shared" si="3"/>
      </x:c>
      <x:c r="AB26" s="74" t="str">
        <x:f t="shared" si="4"/>
      </x:c>
      <x:c r="AC26" s="61" t="s">
        <x:v>1437</x:v>
      </x:c>
      <x:c r="AD26" s="61" t="s">
        <x:v>1437</x:v>
      </x:c>
      <x:c r="AE26" s="61" t="s">
        <x:v>1437</x:v>
      </x:c>
      <x:c r="AF26" s="61" t="s">
        <x:v>1437</x:v>
      </x:c>
      <x:c r="AG26" s="61" t="s">
        <x:v>1437</x:v>
      </x:c>
      <x:c r="AH26" s="61" t="s">
        <x:v>1437</x:v>
      </x:c>
      <x:c r="AI26" s="61" t="s">
        <x:v>1437</x:v>
      </x:c>
      <x:c r="AJ26" s="61" t="s">
        <x:v>1437</x:v>
      </x:c>
      <x:c r="AK26" s="61" t="s">
        <x:v>1437</x:v>
      </x:c>
      <x:c r="AL26" s="61"/>
      <x:c r="AM26" s="61" t="s">
        <x:v>1437</x:v>
      </x:c>
      <x:c r="AN26" s="73" t="str">
        <x:f t="shared" si="5"/>
        <x:v>Belum Dinilai</x:v>
      </x:c>
      <x:c r="AO26" s="73" t="str">
        <x:f t="shared" si="6"/>
        <x:v>Belum Dinilai</x:v>
      </x:c>
      <x:c r="AP26" s="61"/>
      <x:c r="AQ26" s="64" t="str">
        <x:f t="shared" si="7"/>
      </x:c>
      <x:c r="AR26" s="64" t="str">
        <x:f t="shared" si="8"/>
      </x:c>
      <x:c r="AS26" s="64" t="str">
        <x:f t="shared" si="9"/>
      </x:c>
      <x:c r="AT26" s="62" t="str">
        <x:f t="shared" si="10"/>
        <x:v>Belum Dapat Ditentukan</x:v>
      </x:c>
      <x:c r="AU26" s="59" t="s">
        <x:v>1408</x:v>
      </x:c>
      <x:c r="AV26" s="59" t="s">
        <x:v>1425</x:v>
      </x:c>
      <x:c r="AW26" s="59" t="s">
        <x:v>1410</x:v>
      </x:c>
      <x:c r="AX26" s="59" t="s">
        <x:v>1411</x:v>
      </x:c>
      <x:c r="AY26" s="59"/>
      <x:c r="AZ26" s="59" t="s">
        <x:v>1409</x:v>
      </x:c>
      <x:c r="BA26" s="59"/>
      <x:c r="BB26" s="167"/>
      <x:c r="BC26" s="65">
        <x:v>2026</x:v>
      </x:c>
      <x:c r="BD26" s="59"/>
      <x:c r="BE26" s="167"/>
      <x:c r="BF26" s="59" t="s">
        <x:v>1501</x:v>
      </x:c>
    </x:row>
    <x:row r="27" ht="42">
      <x:c r="A27" s="59" t="s">
        <x:v>1615</x:v>
      </x:c>
      <x:c r="B27" s="59" t="s">
        <x:v>1616</x:v>
      </x:c>
      <x:c r="C27" s="59"/>
      <x:c r="D27" s="59"/>
      <x:c r="E27" s="59" t="s">
        <x:v>1617</x:v>
      </x:c>
      <x:c r="F27" s="59" t="s">
        <x:v>1618</x:v>
      </x:c>
      <x:c r="G27" s="59" t="s">
        <x:v>1585</x:v>
      </x:c>
      <x:c r="H27" s="59" t="s">
        <x:v>1399</x:v>
      </x:c>
      <x:c r="I27" s="59" t="s">
        <x:v>1619</x:v>
      </x:c>
      <x:c r="J27" s="59" t="s">
        <x:v>1431</x:v>
      </x:c>
      <x:c r="K27" s="59" t="s">
        <x:v>1417</x:v>
      </x:c>
      <x:c r="L27" s="59" t="s">
        <x:v>1433</x:v>
      </x:c>
      <x:c r="M27" s="59" t="s">
        <x:v>1489</x:v>
      </x:c>
      <x:c r="N27" s="59" t="s">
        <x:v>1433</x:v>
      </x:c>
      <x:c r="O27" s="59" t="s">
        <x:v>1435</x:v>
      </x:c>
      <x:c r="P27" s="59" t="s">
        <x:v>1433</x:v>
      </x:c>
      <x:c r="Q27" s="75" t="s">
        <x:v>1437</x:v>
      </x:c>
      <x:c r="R27" s="75" t="s">
        <x:v>1437</x:v>
      </x:c>
      <x:c r="S27" s="75" t="s">
        <x:v>1437</x:v>
      </x:c>
      <x:c r="T27" s="75" t="s">
        <x:v>1437</x:v>
      </x:c>
      <x:c r="U27" s="75" t="s">
        <x:v>1437</x:v>
      </x:c>
      <x:c r="V27" s="75" t="s">
        <x:v>1437</x:v>
      </x:c>
      <x:c r="W27" s="60"/>
      <x:c r="X27" s="73" t="str">
        <x:f t="shared" si="0"/>
        <x:v>Belum Dinilai</x:v>
      </x:c>
      <x:c r="Y27" s="73" t="str">
        <x:f t="shared" si="1"/>
        <x:v>Belum Dinilai</x:v>
      </x:c>
      <x:c r="Z27" s="74" t="str">
        <x:f t="shared" si="2"/>
      </x:c>
      <x:c r="AA27" s="74" t="str">
        <x:f t="shared" si="3"/>
      </x:c>
      <x:c r="AB27" s="74" t="str">
        <x:f t="shared" si="4"/>
      </x:c>
      <x:c r="AC27" s="61" t="s">
        <x:v>1437</x:v>
      </x:c>
      <x:c r="AD27" s="61" t="s">
        <x:v>1437</x:v>
      </x:c>
      <x:c r="AE27" s="61" t="s">
        <x:v>1437</x:v>
      </x:c>
      <x:c r="AF27" s="61" t="s">
        <x:v>1437</x:v>
      </x:c>
      <x:c r="AG27" s="61" t="s">
        <x:v>1437</x:v>
      </x:c>
      <x:c r="AH27" s="61" t="s">
        <x:v>1437</x:v>
      </x:c>
      <x:c r="AI27" s="61" t="s">
        <x:v>1437</x:v>
      </x:c>
      <x:c r="AJ27" s="61" t="s">
        <x:v>1437</x:v>
      </x:c>
      <x:c r="AK27" s="61" t="s">
        <x:v>1437</x:v>
      </x:c>
      <x:c r="AL27" s="61"/>
      <x:c r="AM27" s="61" t="s">
        <x:v>1437</x:v>
      </x:c>
      <x:c r="AN27" s="73" t="str">
        <x:f t="shared" si="5"/>
        <x:v>Belum Dinilai</x:v>
      </x:c>
      <x:c r="AO27" s="73" t="str">
        <x:f t="shared" si="6"/>
        <x:v>Belum Dinilai</x:v>
      </x:c>
      <x:c r="AP27" s="61"/>
      <x:c r="AQ27" s="64">
        <x:f t="shared" si="7"/>
        <x:v>43</x:v>
      </x:c>
      <x:c r="AR27" s="64" t="str">
        <x:f t="shared" si="8"/>
      </x:c>
      <x:c r="AS27" s="64" t="str">
        <x:f t="shared" si="9"/>
      </x:c>
      <x:c r="AT27" s="62" t="str">
        <x:f t="shared" si="10"/>
        <x:v>Belum Dapat Ditentukan</x:v>
      </x:c>
      <x:c r="AU27" s="59" t="s">
        <x:v>1408</x:v>
      </x:c>
      <x:c r="AV27" s="59" t="s">
        <x:v>1425</x:v>
      </x:c>
      <x:c r="AW27" s="59" t="s">
        <x:v>1410</x:v>
      </x:c>
      <x:c r="AX27" s="59" t="s">
        <x:v>1411</x:v>
      </x:c>
      <x:c r="AY27" s="59"/>
      <x:c r="AZ27" s="59" t="s">
        <x:v>1409</x:v>
      </x:c>
      <x:c r="BA27" s="59"/>
      <x:c r="BB27" s="167"/>
      <x:c r="BC27" s="65">
        <x:v>2026</x:v>
      </x:c>
      <x:c r="BD27" s="59"/>
      <x:c r="BE27" s="167"/>
      <x:c r="BF27" s="59" t="s">
        <x:v>1501</x:v>
      </x:c>
    </x:row>
    <x:row r="28" ht="28">
      <x:c r="A28" s="59" t="s">
        <x:v>1620</x:v>
      </x:c>
      <x:c r="B28" s="59" t="s">
        <x:v>1621</x:v>
      </x:c>
      <x:c r="C28" s="59"/>
      <x:c r="D28" s="59"/>
      <x:c r="E28" s="59" t="s">
        <x:v>1622</x:v>
      </x:c>
      <x:c r="F28" s="59" t="s">
        <x:v>1623</x:v>
      </x:c>
      <x:c r="G28" s="59" t="s">
        <x:v>1585</x:v>
      </x:c>
      <x:c r="H28" s="59" t="s">
        <x:v>1415</x:v>
      </x:c>
      <x:c r="I28" s="59" t="s">
        <x:v>1624</x:v>
      </x:c>
      <x:c r="J28" s="59" t="s">
        <x:v>1400</x:v>
      </x:c>
      <x:c r="K28" s="59" t="s">
        <x:v>1522</x:v>
      </x:c>
      <x:c r="L28" s="59" t="s">
        <x:v>1418</x:v>
      </x:c>
      <x:c r="M28" s="59" t="s">
        <x:v>1488</x:v>
      </x:c>
      <x:c r="N28" s="59" t="s">
        <x:v>1437</x:v>
      </x:c>
      <x:c r="O28" s="59" t="s">
        <x:v>1522</x:v>
      </x:c>
      <x:c r="P28" s="59" t="s">
        <x:v>1437</x:v>
      </x:c>
      <x:c r="Q28" s="75" t="s">
        <x:v>1437</x:v>
      </x:c>
      <x:c r="R28" s="75" t="s">
        <x:v>1437</x:v>
      </x:c>
      <x:c r="S28" s="75" t="s">
        <x:v>1437</x:v>
      </x:c>
      <x:c r="T28" s="75" t="s">
        <x:v>1437</x:v>
      </x:c>
      <x:c r="U28" s="75" t="s">
        <x:v>1437</x:v>
      </x:c>
      <x:c r="V28" s="75" t="s">
        <x:v>1437</x:v>
      </x:c>
      <x:c r="W28" s="60"/>
      <x:c r="X28" s="73" t="str">
        <x:f t="shared" si="0"/>
        <x:v>Belum Dinilai</x:v>
      </x:c>
      <x:c r="Y28" s="73" t="str">
        <x:f t="shared" si="1"/>
        <x:v>Belum Dinilai</x:v>
      </x:c>
      <x:c r="Z28" s="74" t="str">
        <x:f t="shared" si="2"/>
      </x:c>
      <x:c r="AA28" s="74" t="str">
        <x:f t="shared" si="3"/>
      </x:c>
      <x:c r="AB28" s="74" t="str">
        <x:f t="shared" si="4"/>
      </x:c>
      <x:c r="AC28" s="61" t="s">
        <x:v>1437</x:v>
      </x:c>
      <x:c r="AD28" s="61" t="s">
        <x:v>1437</x:v>
      </x:c>
      <x:c r="AE28" s="61" t="s">
        <x:v>1437</x:v>
      </x:c>
      <x:c r="AF28" s="61" t="s">
        <x:v>1437</x:v>
      </x:c>
      <x:c r="AG28" s="61" t="s">
        <x:v>1437</x:v>
      </x:c>
      <x:c r="AH28" s="61" t="s">
        <x:v>1437</x:v>
      </x:c>
      <x:c r="AI28" s="61" t="s">
        <x:v>1437</x:v>
      </x:c>
      <x:c r="AJ28" s="61" t="s">
        <x:v>1437</x:v>
      </x:c>
      <x:c r="AK28" s="61" t="s">
        <x:v>1437</x:v>
      </x:c>
      <x:c r="AL28" s="61"/>
      <x:c r="AM28" s="61" t="s">
        <x:v>1437</x:v>
      </x:c>
      <x:c r="AN28" s="73" t="str">
        <x:f t="shared" si="5"/>
        <x:v>Belum Dinilai</x:v>
      </x:c>
      <x:c r="AO28" s="73" t="str">
        <x:f t="shared" si="6"/>
        <x:v>Belum Dinilai</x:v>
      </x:c>
      <x:c r="AP28" s="61"/>
      <x:c r="AQ28" s="64" t="str">
        <x:f t="shared" si="7"/>
      </x:c>
      <x:c r="AR28" s="64" t="str">
        <x:f t="shared" si="8"/>
      </x:c>
      <x:c r="AS28" s="64" t="str">
        <x:f t="shared" si="9"/>
      </x:c>
      <x:c r="AT28" s="62" t="str">
        <x:f t="shared" si="10"/>
        <x:v>Belum Dapat Ditentukan</x:v>
      </x:c>
      <x:c r="AU28" s="59" t="s">
        <x:v>1408</x:v>
      </x:c>
      <x:c r="AV28" s="59" t="s">
        <x:v>1425</x:v>
      </x:c>
      <x:c r="AW28" s="59" t="s">
        <x:v>1410</x:v>
      </x:c>
      <x:c r="AX28" s="59" t="s">
        <x:v>1411</x:v>
      </x:c>
      <x:c r="AY28" s="59"/>
      <x:c r="AZ28" s="59" t="s">
        <x:v>1409</x:v>
      </x:c>
      <x:c r="BA28" s="59"/>
      <x:c r="BB28" s="167"/>
      <x:c r="BC28" s="65">
        <x:v>2026</x:v>
      </x:c>
      <x:c r="BD28" s="59"/>
      <x:c r="BE28" s="167"/>
      <x:c r="BF28" s="59" t="s">
        <x:v>1501</x:v>
      </x:c>
    </x:row>
    <x:row r="29" ht="42">
      <x:c r="A29" s="59" t="s">
        <x:v>1625</x:v>
      </x:c>
      <x:c r="B29" s="59" t="s">
        <x:v>1626</x:v>
      </x:c>
      <x:c r="C29" s="59"/>
      <x:c r="D29" s="59"/>
      <x:c r="E29" s="59" t="s">
        <x:v>1627</x:v>
      </x:c>
      <x:c r="F29" s="59" t="s">
        <x:v>1628</x:v>
      </x:c>
      <x:c r="G29" s="59" t="s">
        <x:v>1585</x:v>
      </x:c>
      <x:c r="H29" s="59" t="s">
        <x:v>1399</x:v>
      </x:c>
      <x:c r="I29" s="59" t="s">
        <x:v>1619</x:v>
      </x:c>
      <x:c r="J29" s="59" t="s">
        <x:v>1431</x:v>
      </x:c>
      <x:c r="K29" s="59" t="s">
        <x:v>1417</x:v>
      </x:c>
      <x:c r="L29" s="59" t="s">
        <x:v>1433</x:v>
      </x:c>
      <x:c r="M29" s="59" t="s">
        <x:v>1489</x:v>
      </x:c>
      <x:c r="N29" s="59" t="s">
        <x:v>1433</x:v>
      </x:c>
      <x:c r="O29" s="59" t="s">
        <x:v>1435</x:v>
      </x:c>
      <x:c r="P29" s="59" t="s">
        <x:v>1433</x:v>
      </x:c>
      <x:c r="Q29" s="75" t="s">
        <x:v>1437</x:v>
      </x:c>
      <x:c r="R29" s="75" t="s">
        <x:v>1437</x:v>
      </x:c>
      <x:c r="S29" s="75" t="s">
        <x:v>1437</x:v>
      </x:c>
      <x:c r="T29" s="75" t="s">
        <x:v>1437</x:v>
      </x:c>
      <x:c r="U29" s="75" t="s">
        <x:v>1437</x:v>
      </x:c>
      <x:c r="V29" s="75" t="s">
        <x:v>1437</x:v>
      </x:c>
      <x:c r="W29" s="60"/>
      <x:c r="X29" s="73" t="str">
        <x:f t="shared" si="0"/>
        <x:v>Belum Dinilai</x:v>
      </x:c>
      <x:c r="Y29" s="73" t="str">
        <x:f t="shared" si="1"/>
        <x:v>Belum Dinilai</x:v>
      </x:c>
      <x:c r="Z29" s="74" t="str">
        <x:f t="shared" si="2"/>
      </x:c>
      <x:c r="AA29" s="74" t="str">
        <x:f t="shared" si="3"/>
      </x:c>
      <x:c r="AB29" s="74" t="str">
        <x:f t="shared" si="4"/>
      </x:c>
      <x:c r="AC29" s="61" t="s">
        <x:v>1437</x:v>
      </x:c>
      <x:c r="AD29" s="61" t="s">
        <x:v>1437</x:v>
      </x:c>
      <x:c r="AE29" s="61" t="s">
        <x:v>1437</x:v>
      </x:c>
      <x:c r="AF29" s="61" t="s">
        <x:v>1437</x:v>
      </x:c>
      <x:c r="AG29" s="61" t="s">
        <x:v>1437</x:v>
      </x:c>
      <x:c r="AH29" s="61" t="s">
        <x:v>1437</x:v>
      </x:c>
      <x:c r="AI29" s="61" t="s">
        <x:v>1437</x:v>
      </x:c>
      <x:c r="AJ29" s="61" t="s">
        <x:v>1437</x:v>
      </x:c>
      <x:c r="AK29" s="61" t="s">
        <x:v>1437</x:v>
      </x:c>
      <x:c r="AL29" s="61"/>
      <x:c r="AM29" s="61" t="s">
        <x:v>1437</x:v>
      </x:c>
      <x:c r="AN29" s="73" t="str">
        <x:f t="shared" si="5"/>
        <x:v>Belum Dinilai</x:v>
      </x:c>
      <x:c r="AO29" s="73" t="str">
        <x:f t="shared" si="6"/>
        <x:v>Belum Dinilai</x:v>
      </x:c>
      <x:c r="AP29" s="61"/>
      <x:c r="AQ29" s="64">
        <x:f t="shared" si="7"/>
        <x:v>43</x:v>
      </x:c>
      <x:c r="AR29" s="64" t="str">
        <x:f t="shared" si="8"/>
      </x:c>
      <x:c r="AS29" s="64" t="str">
        <x:f t="shared" si="9"/>
      </x:c>
      <x:c r="AT29" s="62" t="str">
        <x:f t="shared" si="10"/>
        <x:v>Belum Dapat Ditentukan</x:v>
      </x:c>
      <x:c r="AU29" s="59" t="s">
        <x:v>1408</x:v>
      </x:c>
      <x:c r="AV29" s="59" t="s">
        <x:v>1425</x:v>
      </x:c>
      <x:c r="AW29" s="59" t="s">
        <x:v>1410</x:v>
      </x:c>
      <x:c r="AX29" s="59" t="s">
        <x:v>1411</x:v>
      </x:c>
      <x:c r="AY29" s="59"/>
      <x:c r="AZ29" s="59" t="s">
        <x:v>1409</x:v>
      </x:c>
      <x:c r="BA29" s="59"/>
      <x:c r="BB29" s="167"/>
      <x:c r="BC29" s="65">
        <x:v>2026</x:v>
      </x:c>
      <x:c r="BD29" s="59"/>
      <x:c r="BE29" s="167"/>
      <x:c r="BF29" s="59" t="s">
        <x:v>1501</x:v>
      </x:c>
    </x:row>
    <x:row r="30" ht="42">
      <x:c r="A30" s="59" t="s">
        <x:v>1629</x:v>
      </x:c>
      <x:c r="B30" s="59" t="s">
        <x:v>1630</x:v>
      </x:c>
      <x:c r="C30" s="59"/>
      <x:c r="D30" s="59"/>
      <x:c r="E30" s="59" t="s">
        <x:v>1631</x:v>
      </x:c>
      <x:c r="F30" s="59" t="s">
        <x:v>1628</x:v>
      </x:c>
      <x:c r="G30" s="59" t="s">
        <x:v>1585</x:v>
      </x:c>
      <x:c r="H30" s="59" t="s">
        <x:v>1399</x:v>
      </x:c>
      <x:c r="I30" s="59" t="s">
        <x:v>1632</x:v>
      </x:c>
      <x:c r="J30" s="59" t="s">
        <x:v>1416</x:v>
      </x:c>
      <x:c r="K30" s="59" t="s">
        <x:v>1432</x:v>
      </x:c>
      <x:c r="L30" s="59" t="s">
        <x:v>1418</x:v>
      </x:c>
      <x:c r="M30" s="59" t="s">
        <x:v>1489</x:v>
      </x:c>
      <x:c r="N30" s="59" t="s">
        <x:v>1418</x:v>
      </x:c>
      <x:c r="O30" s="59" t="s">
        <x:v>1435</x:v>
      </x:c>
      <x:c r="P30" s="59" t="s">
        <x:v>1418</x:v>
      </x:c>
      <x:c r="Q30" s="75" t="s">
        <x:v>1437</x:v>
      </x:c>
      <x:c r="R30" s="75" t="s">
        <x:v>1437</x:v>
      </x:c>
      <x:c r="S30" s="75" t="s">
        <x:v>1437</x:v>
      </x:c>
      <x:c r="T30" s="75" t="s">
        <x:v>1437</x:v>
      </x:c>
      <x:c r="U30" s="75" t="s">
        <x:v>1437</x:v>
      </x:c>
      <x:c r="V30" s="75" t="s">
        <x:v>1437</x:v>
      </x:c>
      <x:c r="W30" s="60"/>
      <x:c r="X30" s="73" t="str">
        <x:f t="shared" si="0"/>
        <x:v>Belum Dinilai</x:v>
      </x:c>
      <x:c r="Y30" s="73" t="str">
        <x:f t="shared" si="1"/>
        <x:v>Belum Dinilai</x:v>
      </x:c>
      <x:c r="Z30" s="74" t="str">
        <x:f t="shared" si="2"/>
      </x:c>
      <x:c r="AA30" s="74" t="str">
        <x:f t="shared" si="3"/>
      </x:c>
      <x:c r="AB30" s="74" t="str">
        <x:f t="shared" si="4"/>
      </x:c>
      <x:c r="AC30" s="61" t="s">
        <x:v>1437</x:v>
      </x:c>
      <x:c r="AD30" s="61" t="s">
        <x:v>1437</x:v>
      </x:c>
      <x:c r="AE30" s="61" t="s">
        <x:v>1437</x:v>
      </x:c>
      <x:c r="AF30" s="61" t="s">
        <x:v>1437</x:v>
      </x:c>
      <x:c r="AG30" s="61" t="s">
        <x:v>1437</x:v>
      </x:c>
      <x:c r="AH30" s="61" t="s">
        <x:v>1437</x:v>
      </x:c>
      <x:c r="AI30" s="61" t="s">
        <x:v>1437</x:v>
      </x:c>
      <x:c r="AJ30" s="61" t="s">
        <x:v>1437</x:v>
      </x:c>
      <x:c r="AK30" s="61" t="s">
        <x:v>1437</x:v>
      </x:c>
      <x:c r="AL30" s="61"/>
      <x:c r="AM30" s="61" t="s">
        <x:v>1437</x:v>
      </x:c>
      <x:c r="AN30" s="73" t="str">
        <x:f t="shared" si="5"/>
        <x:v>Belum Dinilai</x:v>
      </x:c>
      <x:c r="AO30" s="73" t="str">
        <x:f t="shared" si="6"/>
        <x:v>Belum Dinilai</x:v>
      </x:c>
      <x:c r="AP30" s="61"/>
      <x:c r="AQ30" s="64">
        <x:f t="shared" si="7"/>
        <x:v>22</x:v>
      </x:c>
      <x:c r="AR30" s="64" t="str">
        <x:f t="shared" si="8"/>
      </x:c>
      <x:c r="AS30" s="64" t="str">
        <x:f t="shared" si="9"/>
      </x:c>
      <x:c r="AT30" s="62" t="str">
        <x:f t="shared" si="10"/>
        <x:v>Belum Dapat Ditentukan</x:v>
      </x:c>
      <x:c r="AU30" s="59" t="s">
        <x:v>1408</x:v>
      </x:c>
      <x:c r="AV30" s="59" t="s">
        <x:v>1425</x:v>
      </x:c>
      <x:c r="AW30" s="59" t="s">
        <x:v>1410</x:v>
      </x:c>
      <x:c r="AX30" s="59" t="s">
        <x:v>1411</x:v>
      </x:c>
      <x:c r="AY30" s="59"/>
      <x:c r="AZ30" s="59" t="s">
        <x:v>1409</x:v>
      </x:c>
      <x:c r="BA30" s="59"/>
      <x:c r="BB30" s="167"/>
      <x:c r="BC30" s="65">
        <x:v>2026</x:v>
      </x:c>
      <x:c r="BD30" s="59"/>
      <x:c r="BE30" s="167"/>
      <x:c r="BF30" s="59" t="s">
        <x:v>1501</x:v>
      </x:c>
    </x:row>
    <x:row r="31" ht="28">
      <x:c r="A31" s="59" t="s">
        <x:v>1633</x:v>
      </x:c>
      <x:c r="B31" s="59" t="s">
        <x:v>1634</x:v>
      </x:c>
      <x:c r="C31" s="59"/>
      <x:c r="D31" s="59"/>
      <x:c r="E31" s="59" t="s">
        <x:v>1635</x:v>
      </x:c>
      <x:c r="F31" s="59" t="s">
        <x:v>1636</x:v>
      </x:c>
      <x:c r="G31" s="59" t="s">
        <x:v>1585</x:v>
      </x:c>
      <x:c r="H31" s="59" t="s">
        <x:v>1415</x:v>
      </x:c>
      <x:c r="I31" s="59" t="s">
        <x:v>1637</x:v>
      </x:c>
      <x:c r="J31" s="59" t="s">
        <x:v>1400</x:v>
      </x:c>
      <x:c r="K31" s="59" t="s">
        <x:v>1522</x:v>
      </x:c>
      <x:c r="L31" s="59" t="s">
        <x:v>1437</x:v>
      </x:c>
      <x:c r="M31" s="59" t="s">
        <x:v>1488</x:v>
      </x:c>
      <x:c r="N31" s="59" t="s">
        <x:v>1437</x:v>
      </x:c>
      <x:c r="O31" s="59" t="s">
        <x:v>1522</x:v>
      </x:c>
      <x:c r="P31" s="59" t="s">
        <x:v>1437</x:v>
      </x:c>
      <x:c r="Q31" s="75" t="s">
        <x:v>1437</x:v>
      </x:c>
      <x:c r="R31" s="75" t="s">
        <x:v>1437</x:v>
      </x:c>
      <x:c r="S31" s="75" t="s">
        <x:v>1437</x:v>
      </x:c>
      <x:c r="T31" s="75" t="s">
        <x:v>1437</x:v>
      </x:c>
      <x:c r="U31" s="75" t="s">
        <x:v>1437</x:v>
      </x:c>
      <x:c r="V31" s="75" t="s">
        <x:v>1437</x:v>
      </x:c>
      <x:c r="W31" s="60"/>
      <x:c r="X31" s="73" t="str">
        <x:f t="shared" si="0"/>
        <x:v>Belum Dinilai</x:v>
      </x:c>
      <x:c r="Y31" s="73" t="str">
        <x:f t="shared" si="1"/>
        <x:v>Belum Dinilai</x:v>
      </x:c>
      <x:c r="Z31" s="74" t="str">
        <x:f t="shared" si="2"/>
      </x:c>
      <x:c r="AA31" s="74" t="str">
        <x:f t="shared" si="3"/>
      </x:c>
      <x:c r="AB31" s="74" t="str">
        <x:f t="shared" si="4"/>
      </x:c>
      <x:c r="AC31" s="61" t="s">
        <x:v>1437</x:v>
      </x:c>
      <x:c r="AD31" s="61" t="s">
        <x:v>1437</x:v>
      </x:c>
      <x:c r="AE31" s="61" t="s">
        <x:v>1437</x:v>
      </x:c>
      <x:c r="AF31" s="61" t="s">
        <x:v>1437</x:v>
      </x:c>
      <x:c r="AG31" s="61" t="s">
        <x:v>1437</x:v>
      </x:c>
      <x:c r="AH31" s="61" t="s">
        <x:v>1437</x:v>
      </x:c>
      <x:c r="AI31" s="61" t="s">
        <x:v>1437</x:v>
      </x:c>
      <x:c r="AJ31" s="61" t="s">
        <x:v>1437</x:v>
      </x:c>
      <x:c r="AK31" s="61" t="s">
        <x:v>1437</x:v>
      </x:c>
      <x:c r="AL31" s="61"/>
      <x:c r="AM31" s="61" t="s">
        <x:v>1437</x:v>
      </x:c>
      <x:c r="AN31" s="73" t="str">
        <x:f t="shared" si="5"/>
        <x:v>Belum Dinilai</x:v>
      </x:c>
      <x:c r="AO31" s="73" t="str">
        <x:f t="shared" si="6"/>
        <x:v>Belum Dinilai</x:v>
      </x:c>
      <x:c r="AP31" s="61"/>
      <x:c r="AQ31" s="64" t="str">
        <x:f t="shared" si="7"/>
      </x:c>
      <x:c r="AR31" s="64" t="str">
        <x:f t="shared" si="8"/>
      </x:c>
      <x:c r="AS31" s="64" t="str">
        <x:f t="shared" si="9"/>
      </x:c>
      <x:c r="AT31" s="62" t="str">
        <x:f t="shared" si="10"/>
        <x:v>Belum Dapat Ditentukan</x:v>
      </x:c>
      <x:c r="AU31" s="59" t="s">
        <x:v>1424</x:v>
      </x:c>
      <x:c r="AV31" s="59" t="s">
        <x:v>1425</x:v>
      </x:c>
      <x:c r="AW31" s="59" t="s">
        <x:v>1410</x:v>
      </x:c>
      <x:c r="AX31" s="59" t="s">
        <x:v>1411</x:v>
      </x:c>
      <x:c r="AY31" s="59"/>
      <x:c r="AZ31" s="59" t="s">
        <x:v>1409</x:v>
      </x:c>
      <x:c r="BA31" s="59"/>
      <x:c r="BB31" s="167"/>
      <x:c r="BC31" s="65">
        <x:v>2026</x:v>
      </x:c>
      <x:c r="BD31" s="59"/>
      <x:c r="BE31" s="167"/>
      <x:c r="BF31" s="59" t="s">
        <x:v>1501</x:v>
      </x:c>
    </x:row>
    <x:row r="32" ht="28">
      <x:c r="A32" s="59" t="s">
        <x:v>1638</x:v>
      </x:c>
      <x:c r="B32" s="59" t="s">
        <x:v>1639</x:v>
      </x:c>
      <x:c r="C32" s="59"/>
      <x:c r="D32" s="59"/>
      <x:c r="E32" s="59" t="s">
        <x:v>1640</x:v>
      </x:c>
      <x:c r="F32" s="59" t="s">
        <x:v>1636</x:v>
      </x:c>
      <x:c r="G32" s="59" t="s">
        <x:v>1585</x:v>
      </x:c>
      <x:c r="H32" s="59" t="s">
        <x:v>1415</x:v>
      </x:c>
      <x:c r="I32" s="59" t="s">
        <x:v>1637</x:v>
      </x:c>
      <x:c r="J32" s="59" t="s">
        <x:v>1400</x:v>
      </x:c>
      <x:c r="K32" s="59" t="s">
        <x:v>1522</x:v>
      </x:c>
      <x:c r="L32" s="59" t="s">
        <x:v>1437</x:v>
      </x:c>
      <x:c r="M32" s="59" t="s">
        <x:v>1488</x:v>
      </x:c>
      <x:c r="N32" s="59" t="s">
        <x:v>1437</x:v>
      </x:c>
      <x:c r="O32" s="59" t="s">
        <x:v>1522</x:v>
      </x:c>
      <x:c r="P32" s="59" t="s">
        <x:v>1437</x:v>
      </x:c>
      <x:c r="Q32" s="75" t="s">
        <x:v>1437</x:v>
      </x:c>
      <x:c r="R32" s="75" t="s">
        <x:v>1437</x:v>
      </x:c>
      <x:c r="S32" s="75" t="s">
        <x:v>1437</x:v>
      </x:c>
      <x:c r="T32" s="75" t="s">
        <x:v>1437</x:v>
      </x:c>
      <x:c r="U32" s="75" t="s">
        <x:v>1437</x:v>
      </x:c>
      <x:c r="V32" s="75" t="s">
        <x:v>1437</x:v>
      </x:c>
      <x:c r="W32" s="60"/>
      <x:c r="X32" s="73" t="str">
        <x:f t="shared" si="0"/>
        <x:v>Belum Dinilai</x:v>
      </x:c>
      <x:c r="Y32" s="73" t="str">
        <x:f t="shared" si="1"/>
        <x:v>Belum Dinilai</x:v>
      </x:c>
      <x:c r="Z32" s="74" t="str">
        <x:f t="shared" si="2"/>
      </x:c>
      <x:c r="AA32" s="74" t="str">
        <x:f t="shared" si="3"/>
      </x:c>
      <x:c r="AB32" s="74" t="str">
        <x:f t="shared" si="4"/>
      </x:c>
      <x:c r="AC32" s="61" t="s">
        <x:v>1437</x:v>
      </x:c>
      <x:c r="AD32" s="61" t="s">
        <x:v>1437</x:v>
      </x:c>
      <x:c r="AE32" s="61" t="s">
        <x:v>1437</x:v>
      </x:c>
      <x:c r="AF32" s="61" t="s">
        <x:v>1437</x:v>
      </x:c>
      <x:c r="AG32" s="61" t="s">
        <x:v>1437</x:v>
      </x:c>
      <x:c r="AH32" s="61" t="s">
        <x:v>1437</x:v>
      </x:c>
      <x:c r="AI32" s="61" t="s">
        <x:v>1437</x:v>
      </x:c>
      <x:c r="AJ32" s="61" t="s">
        <x:v>1437</x:v>
      </x:c>
      <x:c r="AK32" s="61" t="s">
        <x:v>1437</x:v>
      </x:c>
      <x:c r="AL32" s="61"/>
      <x:c r="AM32" s="61" t="s">
        <x:v>1437</x:v>
      </x:c>
      <x:c r="AN32" s="73" t="str">
        <x:f t="shared" si="5"/>
        <x:v>Belum Dinilai</x:v>
      </x:c>
      <x:c r="AO32" s="73" t="str">
        <x:f t="shared" si="6"/>
        <x:v>Belum Dinilai</x:v>
      </x:c>
      <x:c r="AP32" s="61"/>
      <x:c r="AQ32" s="64" t="str">
        <x:f t="shared" si="7"/>
      </x:c>
      <x:c r="AR32" s="64" t="str">
        <x:f t="shared" si="8"/>
      </x:c>
      <x:c r="AS32" s="64" t="str">
        <x:f t="shared" si="9"/>
      </x:c>
      <x:c r="AT32" s="62" t="str">
        <x:f t="shared" si="10"/>
        <x:v>Belum Dapat Ditentukan</x:v>
      </x:c>
      <x:c r="AU32" s="59" t="s">
        <x:v>1408</x:v>
      </x:c>
      <x:c r="AV32" s="59" t="s">
        <x:v>1425</x:v>
      </x:c>
      <x:c r="AW32" s="59" t="s">
        <x:v>1410</x:v>
      </x:c>
      <x:c r="AX32" s="59" t="s">
        <x:v>1411</x:v>
      </x:c>
      <x:c r="AY32" s="59"/>
      <x:c r="AZ32" s="59" t="s">
        <x:v>1409</x:v>
      </x:c>
      <x:c r="BA32" s="59"/>
      <x:c r="BB32" s="167"/>
      <x:c r="BC32" s="65">
        <x:v>2026</x:v>
      </x:c>
      <x:c r="BD32" s="59"/>
      <x:c r="BE32" s="167"/>
      <x:c r="BF32" s="59" t="s">
        <x:v>1501</x:v>
      </x:c>
    </x:row>
    <x:row r="33" ht="42">
      <x:c r="A33" s="59" t="s">
        <x:v>1641</x:v>
      </x:c>
      <x:c r="B33" s="59" t="s">
        <x:v>1642</x:v>
      </x:c>
      <x:c r="C33" s="59"/>
      <x:c r="D33" s="59"/>
      <x:c r="E33" s="59" t="s">
        <x:v>1643</x:v>
      </x:c>
      <x:c r="F33" s="59" t="s">
        <x:v>1636</x:v>
      </x:c>
      <x:c r="G33" s="59" t="s">
        <x:v>1585</x:v>
      </x:c>
      <x:c r="H33" s="59" t="s">
        <x:v>1399</x:v>
      </x:c>
      <x:c r="I33" s="59" t="s">
        <x:v>1619</x:v>
      </x:c>
      <x:c r="J33" s="59" t="s">
        <x:v>1431</x:v>
      </x:c>
      <x:c r="K33" s="59" t="s">
        <x:v>1417</x:v>
      </x:c>
      <x:c r="L33" s="59" t="s">
        <x:v>1433</x:v>
      </x:c>
      <x:c r="M33" s="59" t="s">
        <x:v>1489</x:v>
      </x:c>
      <x:c r="N33" s="59" t="s">
        <x:v>1433</x:v>
      </x:c>
      <x:c r="O33" s="59" t="s">
        <x:v>1435</x:v>
      </x:c>
      <x:c r="P33" s="59" t="s">
        <x:v>1433</x:v>
      </x:c>
      <x:c r="Q33" s="75" t="s">
        <x:v>1437</x:v>
      </x:c>
      <x:c r="R33" s="75" t="s">
        <x:v>1437</x:v>
      </x:c>
      <x:c r="S33" s="75" t="s">
        <x:v>1437</x:v>
      </x:c>
      <x:c r="T33" s="75" t="s">
        <x:v>1437</x:v>
      </x:c>
      <x:c r="U33" s="75" t="s">
        <x:v>1437</x:v>
      </x:c>
      <x:c r="V33" s="75" t="s">
        <x:v>1437</x:v>
      </x:c>
      <x:c r="W33" s="60"/>
      <x:c r="X33" s="73" t="str">
        <x:f t="shared" si="0"/>
        <x:v>Belum Dinilai</x:v>
      </x:c>
      <x:c r="Y33" s="73" t="str">
        <x:f t="shared" si="1"/>
        <x:v>Belum Dinilai</x:v>
      </x:c>
      <x:c r="Z33" s="74" t="str">
        <x:f t="shared" si="2"/>
      </x:c>
      <x:c r="AA33" s="74" t="str">
        <x:f t="shared" si="3"/>
      </x:c>
      <x:c r="AB33" s="74" t="str">
        <x:f t="shared" si="4"/>
      </x:c>
      <x:c r="AC33" s="61" t="s">
        <x:v>1437</x:v>
      </x:c>
      <x:c r="AD33" s="61" t="s">
        <x:v>1437</x:v>
      </x:c>
      <x:c r="AE33" s="61" t="s">
        <x:v>1437</x:v>
      </x:c>
      <x:c r="AF33" s="61" t="s">
        <x:v>1437</x:v>
      </x:c>
      <x:c r="AG33" s="61" t="s">
        <x:v>1437</x:v>
      </x:c>
      <x:c r="AH33" s="61" t="s">
        <x:v>1437</x:v>
      </x:c>
      <x:c r="AI33" s="61" t="s">
        <x:v>1437</x:v>
      </x:c>
      <x:c r="AJ33" s="61" t="s">
        <x:v>1437</x:v>
      </x:c>
      <x:c r="AK33" s="61" t="s">
        <x:v>1437</x:v>
      </x:c>
      <x:c r="AL33" s="61"/>
      <x:c r="AM33" s="61" t="s">
        <x:v>1437</x:v>
      </x:c>
      <x:c r="AN33" s="73" t="str">
        <x:f t="shared" si="5"/>
        <x:v>Belum Dinilai</x:v>
      </x:c>
      <x:c r="AO33" s="73" t="str">
        <x:f t="shared" si="6"/>
        <x:v>Belum Dinilai</x:v>
      </x:c>
      <x:c r="AP33" s="61"/>
      <x:c r="AQ33" s="64">
        <x:f t="shared" si="7"/>
        <x:v>43</x:v>
      </x:c>
      <x:c r="AR33" s="64" t="str">
        <x:f t="shared" si="8"/>
      </x:c>
      <x:c r="AS33" s="64" t="str">
        <x:f t="shared" si="9"/>
      </x:c>
      <x:c r="AT33" s="62" t="str">
        <x:f t="shared" si="10"/>
        <x:v>Belum Dapat Ditentukan</x:v>
      </x:c>
      <x:c r="AU33" s="59" t="s">
        <x:v>1408</x:v>
      </x:c>
      <x:c r="AV33" s="59" t="s">
        <x:v>1425</x:v>
      </x:c>
      <x:c r="AW33" s="59" t="s">
        <x:v>1410</x:v>
      </x:c>
      <x:c r="AX33" s="59" t="s">
        <x:v>1411</x:v>
      </x:c>
      <x:c r="AY33" s="59"/>
      <x:c r="AZ33" s="59" t="s">
        <x:v>1409</x:v>
      </x:c>
      <x:c r="BA33" s="59"/>
      <x:c r="BB33" s="167"/>
      <x:c r="BC33" s="65">
        <x:v>2026</x:v>
      </x:c>
      <x:c r="BD33" s="59"/>
      <x:c r="BE33" s="167"/>
      <x:c r="BF33" s="59" t="s">
        <x:v>1501</x:v>
      </x:c>
    </x:row>
    <x:row r="34" ht="42">
      <x:c r="A34" s="59" t="s">
        <x:v>1644</x:v>
      </x:c>
      <x:c r="B34" s="59" t="s">
        <x:v>1645</x:v>
      </x:c>
      <x:c r="C34" s="59"/>
      <x:c r="D34" s="59"/>
      <x:c r="E34" s="59" t="s">
        <x:v>1524</x:v>
      </x:c>
      <x:c r="F34" s="59" t="s">
        <x:v>1524</x:v>
      </x:c>
      <x:c r="G34" s="59" t="s">
        <x:v>1524</x:v>
      </x:c>
      <x:c r="H34" s="59" t="s">
        <x:v>1399</x:v>
      </x:c>
      <x:c r="I34" s="59" t="s">
        <x:v>1619</x:v>
      </x:c>
      <x:c r="J34" s="59" t="s">
        <x:v>1431</x:v>
      </x:c>
      <x:c r="K34" s="59" t="s">
        <x:v>1417</x:v>
      </x:c>
      <x:c r="L34" s="59" t="s">
        <x:v>1433</x:v>
      </x:c>
      <x:c r="M34" s="59" t="s">
        <x:v>1489</x:v>
      </x:c>
      <x:c r="N34" s="59" t="s">
        <x:v>1433</x:v>
      </x:c>
      <x:c r="O34" s="59" t="s">
        <x:v>1435</x:v>
      </x:c>
      <x:c r="P34" s="59" t="s">
        <x:v>1433</x:v>
      </x:c>
      <x:c r="Q34" s="75" t="s">
        <x:v>1437</x:v>
      </x:c>
      <x:c r="R34" s="75" t="s">
        <x:v>1437</x:v>
      </x:c>
      <x:c r="S34" s="75" t="s">
        <x:v>1437</x:v>
      </x:c>
      <x:c r="T34" s="75" t="s">
        <x:v>1437</x:v>
      </x:c>
      <x:c r="U34" s="75" t="s">
        <x:v>1437</x:v>
      </x:c>
      <x:c r="V34" s="75" t="s">
        <x:v>1437</x:v>
      </x:c>
      <x:c r="W34" s="60"/>
      <x:c r="X34" s="73" t="str">
        <x:f t="shared" si="0"/>
        <x:v>Belum Dinilai</x:v>
      </x:c>
      <x:c r="Y34" s="73" t="str">
        <x:f t="shared" si="1"/>
        <x:v>Belum Dinilai</x:v>
      </x:c>
      <x:c r="Z34" s="74" t="str">
        <x:f t="shared" si="2"/>
      </x:c>
      <x:c r="AA34" s="74" t="str">
        <x:f t="shared" si="3"/>
      </x:c>
      <x:c r="AB34" s="74" t="str">
        <x:f t="shared" si="4"/>
      </x:c>
      <x:c r="AC34" s="61" t="s">
        <x:v>1437</x:v>
      </x:c>
      <x:c r="AD34" s="61" t="s">
        <x:v>1437</x:v>
      </x:c>
      <x:c r="AE34" s="61" t="s">
        <x:v>1437</x:v>
      </x:c>
      <x:c r="AF34" s="61" t="s">
        <x:v>1437</x:v>
      </x:c>
      <x:c r="AG34" s="61" t="s">
        <x:v>1437</x:v>
      </x:c>
      <x:c r="AH34" s="61" t="s">
        <x:v>1437</x:v>
      </x:c>
      <x:c r="AI34" s="61" t="s">
        <x:v>1437</x:v>
      </x:c>
      <x:c r="AJ34" s="61" t="s">
        <x:v>1437</x:v>
      </x:c>
      <x:c r="AK34" s="61" t="s">
        <x:v>1437</x:v>
      </x:c>
      <x:c r="AL34" s="61"/>
      <x:c r="AM34" s="61" t="s">
        <x:v>1437</x:v>
      </x:c>
      <x:c r="AN34" s="73" t="str">
        <x:f t="shared" si="5"/>
        <x:v>Belum Dinilai</x:v>
      </x:c>
      <x:c r="AO34" s="73" t="str">
        <x:f t="shared" si="6"/>
        <x:v>Belum Dinilai</x:v>
      </x:c>
      <x:c r="AP34" s="61"/>
      <x:c r="AQ34" s="64">
        <x:f t="shared" si="7"/>
        <x:v>43</x:v>
      </x:c>
      <x:c r="AR34" s="64" t="str">
        <x:f t="shared" si="8"/>
      </x:c>
      <x:c r="AS34" s="64" t="str">
        <x:f t="shared" si="9"/>
      </x:c>
      <x:c r="AT34" s="62" t="str">
        <x:f t="shared" si="10"/>
        <x:v>Belum Dapat Ditentukan</x:v>
      </x:c>
      <x:c r="AU34" s="59" t="s">
        <x:v>1424</x:v>
      </x:c>
      <x:c r="AV34" s="59" t="s">
        <x:v>1425</x:v>
      </x:c>
      <x:c r="AW34" s="59" t="s">
        <x:v>1410</x:v>
      </x:c>
      <x:c r="AX34" s="59" t="s">
        <x:v>1411</x:v>
      </x:c>
      <x:c r="AY34" s="59"/>
      <x:c r="AZ34" s="59" t="s">
        <x:v>1409</x:v>
      </x:c>
      <x:c r="BA34" s="59"/>
      <x:c r="BB34" s="167"/>
      <x:c r="BC34" s="65">
        <x:v>2026</x:v>
      </x:c>
      <x:c r="BD34" s="59"/>
      <x:c r="BE34" s="167"/>
      <x:c r="BF34" s="59" t="s">
        <x:v>1501</x:v>
      </x:c>
    </x:row>
    <x:row r="35" ht="28">
      <x:c r="A35" s="59" t="s">
        <x:v>1646</x:v>
      </x:c>
      <x:c r="B35" s="59" t="s">
        <x:v>1647</x:v>
      </x:c>
      <x:c r="C35" s="59" t="s">
        <x:v>1648</x:v>
      </x:c>
      <x:c r="D35" s="59" t="s">
        <x:v>1649</x:v>
      </x:c>
      <x:c r="E35" s="59" t="s">
        <x:v>1650</x:v>
      </x:c>
      <x:c r="F35" s="59" t="s">
        <x:v>1651</x:v>
      </x:c>
      <x:c r="G35" s="59" t="s">
        <x:v>1200</x:v>
      </x:c>
      <x:c r="H35" s="59" t="s">
        <x:v>1399</x:v>
      </x:c>
      <x:c r="I35" s="59"/>
      <x:c r="J35" s="59" t="s">
        <x:v>1431</x:v>
      </x:c>
      <x:c r="K35" s="59" t="s">
        <x:v>1417</x:v>
      </x:c>
      <x:c r="L35" s="59" t="s">
        <x:v>1487</x:v>
      </x:c>
      <x:c r="M35" s="59" t="s">
        <x:v>1489</x:v>
      </x:c>
      <x:c r="N35" s="59" t="s">
        <x:v>1433</x:v>
      </x:c>
      <x:c r="O35" s="59" t="s">
        <x:v>1489</x:v>
      </x:c>
      <x:c r="P35" s="59" t="s">
        <x:v>1487</x:v>
      </x:c>
      <x:c r="Q35" s="75" t="s">
        <x:v>1405</x:v>
      </x:c>
      <x:c r="R35" s="75" t="s">
        <x:v>1406</x:v>
      </x:c>
      <x:c r="S35" s="75" t="s">
        <x:v>1422</x:v>
      </x:c>
      <x:c r="T35" s="75" t="s">
        <x:v>1406</x:v>
      </x:c>
      <x:c r="U35" s="75" t="s">
        <x:v>1422</x:v>
      </x:c>
      <x:c r="V35" s="75" t="s">
        <x:v>1422</x:v>
      </x:c>
      <x:c r="W35" s="60"/>
      <x:c r="X35" s="73" t="str">
        <x:f t="shared" si="0"/>
        <x:v>Lansia; Kepala keluarga perempuan; </x:v>
      </x:c>
      <x:c r="Y35" s="73" t="str">
        <x:f t="shared" si="1"/>
        <x:v>2 atau Lebih Faktor Rentan</x:v>
      </x:c>
      <x:c r="Z35" s="74">
        <x:f t="shared" si="2"/>
        <x:v>10</x:v>
      </x:c>
      <x:c r="AA35" s="74">
        <x:f t="shared" si="3"/>
        <x:v>10</x:v>
      </x:c>
      <x:c r="AB35" s="74">
        <x:f t="shared" si="4"/>
        <x:v>20</x:v>
      </x:c>
      <x:c r="AC35" s="61" t="s">
        <x:v>1422</x:v>
      </x:c>
      <x:c r="AD35" s="61" t="s">
        <x:v>1422</x:v>
      </x:c>
      <x:c r="AE35" s="61" t="s">
        <x:v>1406</x:v>
      </x:c>
      <x:c r="AF35" s="61" t="s">
        <x:v>1422</x:v>
      </x:c>
      <x:c r="AG35" s="61" t="s">
        <x:v>1406</x:v>
      </x:c>
      <x:c r="AH35" s="61" t="s">
        <x:v>1406</x:v>
      </x:c>
      <x:c r="AI35" s="61" t="s">
        <x:v>1406</x:v>
      </x:c>
      <x:c r="AJ35" s="61" t="s">
        <x:v>1422</x:v>
      </x:c>
      <x:c r="AK35" s="61" t="s">
        <x:v>1422</x:v>
      </x:c>
      <x:c r="AL35" s="61"/>
      <x:c r="AM35" s="61" t="s">
        <x:v>1437</x:v>
      </x:c>
      <x:c r="AN35" s="73" t="str">
        <x:f t="shared" si="5"/>
        <x:v>Atap atau dinding utama hampir runtuh; Struktur rumah tidak stabil; Instalasi listrik berbahaya; Komponen bangunan lepas atau lapuk; </x:v>
      </x:c>
      <x:c r="AO35" s="73" t="str">
        <x:f t="shared" si="6"/>
        <x:v>Risiko Tinggi/Darurat</x:v>
      </x:c>
      <x:c r="AP35" s="61"/>
      <x:c r="AQ35" s="64">
        <x:f t="shared" si="7"/>
        <x:v>52</x:v>
      </x:c>
      <x:c r="AR35" s="64">
        <x:f t="shared" si="8"/>
        <x:v>10</x:v>
      </x:c>
      <x:c r="AS35" s="64">
        <x:f t="shared" si="9"/>
        <x:v>82</x:v>
      </x:c>
      <x:c r="AT35" s="62" t="str">
        <x:f t="shared" si="10"/>
        <x:v>Sangat Tinggi</x:v>
      </x:c>
      <x:c r="AU35" s="59" t="s">
        <x:v>1408</x:v>
      </x:c>
      <x:c r="AV35" s="59" t="s">
        <x:v>1425</x:v>
      </x:c>
      <x:c r="AW35" s="59" t="s">
        <x:v>1426</x:v>
      </x:c>
      <x:c r="AX35" s="59" t="s">
        <x:v>1506</x:v>
      </x:c>
      <x:c r="AY35" s="59">
        <x:v>2026</x:v>
      </x:c>
      <x:c r="AZ35" s="59" t="s">
        <x:v>1412</x:v>
      </x:c>
      <x:c r="BA35" s="59"/>
      <x:c r="BB35" s="167"/>
      <x:c r="BC35" s="65"/>
      <x:c r="BD35" s="59" t="s">
        <x:v>1429</x:v>
      </x:c>
      <x:c r="BE35" s="167"/>
      <x:c r="BF35" s="59" t="s">
        <x:v>1501</x:v>
      </x:c>
    </x:row>
    <x:row r="36" ht="56">
      <x:c r="A36" s="59" t="s">
        <x:v>1652</x:v>
      </x:c>
      <x:c r="B36" s="59" t="s">
        <x:v>1653</x:v>
      </x:c>
      <x:c r="C36" s="59"/>
      <x:c r="D36" s="59"/>
      <x:c r="E36" s="59" t="s">
        <x:v>1654</x:v>
      </x:c>
      <x:c r="F36" s="59" t="s">
        <x:v>1655</x:v>
      </x:c>
      <x:c r="G36" s="59" t="s">
        <x:v>1534</x:v>
      </x:c>
      <x:c r="H36" s="59" t="s">
        <x:v>1399</x:v>
      </x:c>
      <x:c r="I36" s="59" t="s">
        <x:v>1656</x:v>
      </x:c>
      <x:c r="J36" s="59" t="s">
        <x:v>1431</x:v>
      </x:c>
      <x:c r="K36" s="59" t="s">
        <x:v>1417</x:v>
      </x:c>
      <x:c r="L36" s="59" t="s">
        <x:v>1487</x:v>
      </x:c>
      <x:c r="M36" s="59" t="s">
        <x:v>1489</x:v>
      </x:c>
      <x:c r="N36" s="59" t="s">
        <x:v>1487</x:v>
      </x:c>
      <x:c r="O36" s="59" t="s">
        <x:v>1489</x:v>
      </x:c>
      <x:c r="P36" s="59" t="s">
        <x:v>1487</x:v>
      </x:c>
      <x:c r="Q36" s="75" t="s">
        <x:v>1437</x:v>
      </x:c>
      <x:c r="R36" s="75" t="s">
        <x:v>1437</x:v>
      </x:c>
      <x:c r="S36" s="75" t="s">
        <x:v>1437</x:v>
      </x:c>
      <x:c r="T36" s="75" t="s">
        <x:v>1437</x:v>
      </x:c>
      <x:c r="U36" s="75" t="s">
        <x:v>1437</x:v>
      </x:c>
      <x:c r="V36" s="75" t="s">
        <x:v>1437</x:v>
      </x:c>
      <x:c r="W36" s="60"/>
      <x:c r="X36" s="73" t="str">
        <x:f t="shared" si="0"/>
        <x:v>Belum Dinilai</x:v>
      </x:c>
      <x:c r="Y36" s="73" t="str">
        <x:f t="shared" si="1"/>
        <x:v>Belum Dinilai</x:v>
      </x:c>
      <x:c r="Z36" s="74" t="str">
        <x:f t="shared" si="2"/>
      </x:c>
      <x:c r="AA36" s="74" t="str">
        <x:f t="shared" si="3"/>
      </x:c>
      <x:c r="AB36" s="74" t="str">
        <x:f t="shared" si="4"/>
      </x:c>
      <x:c r="AC36" s="61" t="s">
        <x:v>1437</x:v>
      </x:c>
      <x:c r="AD36" s="61" t="s">
        <x:v>1437</x:v>
      </x:c>
      <x:c r="AE36" s="61" t="s">
        <x:v>1437</x:v>
      </x:c>
      <x:c r="AF36" s="61" t="s">
        <x:v>1437</x:v>
      </x:c>
      <x:c r="AG36" s="61" t="s">
        <x:v>1437</x:v>
      </x:c>
      <x:c r="AH36" s="61" t="s">
        <x:v>1437</x:v>
      </x:c>
      <x:c r="AI36" s="61" t="s">
        <x:v>1437</x:v>
      </x:c>
      <x:c r="AJ36" s="61" t="s">
        <x:v>1437</x:v>
      </x:c>
      <x:c r="AK36" s="61" t="s">
        <x:v>1437</x:v>
      </x:c>
      <x:c r="AL36" s="61"/>
      <x:c r="AM36" s="61" t="s">
        <x:v>1437</x:v>
      </x:c>
      <x:c r="AN36" s="73" t="str">
        <x:f t="shared" si="5"/>
        <x:v>Belum Dinilai</x:v>
      </x:c>
      <x:c r="AO36" s="73" t="str">
        <x:f t="shared" si="6"/>
        <x:v>Belum Dinilai</x:v>
      </x:c>
      <x:c r="AP36" s="61"/>
      <x:c r="AQ36" s="64">
        <x:f t="shared" si="7"/>
        <x:v>57</x:v>
      </x:c>
      <x:c r="AR36" s="64" t="str">
        <x:f t="shared" si="8"/>
      </x:c>
      <x:c r="AS36" s="64" t="str">
        <x:f t="shared" si="9"/>
      </x:c>
      <x:c r="AT36" s="62" t="str">
        <x:f t="shared" si="10"/>
        <x:v>Belum Dapat Ditentukan</x:v>
      </x:c>
      <x:c r="AU36" s="59" t="s">
        <x:v>1408</x:v>
      </x:c>
      <x:c r="AV36" s="59" t="s">
        <x:v>1425</x:v>
      </x:c>
      <x:c r="AW36" s="59" t="s">
        <x:v>1523</x:v>
      </x:c>
      <x:c r="AX36" s="59" t="s">
        <x:v>1427</x:v>
      </x:c>
      <x:c r="AY36" s="59">
        <x:v>2023</x:v>
      </x:c>
      <x:c r="AZ36" s="59" t="s">
        <x:v>1409</x:v>
      </x:c>
      <x:c r="BA36" s="59"/>
      <x:c r="BB36" s="167"/>
      <x:c r="BC36" s="65">
        <x:v>2026</x:v>
      </x:c>
      <x:c r="BD36" s="59"/>
      <x:c r="BE36" s="167"/>
      <x:c r="BF36" s="59" t="s">
        <x:v>1501</x:v>
      </x:c>
    </x:row>
    <x:row r="37" ht="28">
      <x:c r="A37" s="59" t="s">
        <x:v>1657</x:v>
      </x:c>
      <x:c r="B37" s="59" t="s">
        <x:v>1658</x:v>
      </x:c>
      <x:c r="C37" s="59"/>
      <x:c r="D37" s="59"/>
      <x:c r="E37" s="59" t="s">
        <x:v>1524</x:v>
      </x:c>
      <x:c r="F37" s="59" t="s">
        <x:v>1655</x:v>
      </x:c>
      <x:c r="G37" s="59" t="s">
        <x:v>1534</x:v>
      </x:c>
      <x:c r="H37" s="59" t="s">
        <x:v>1399</x:v>
      </x:c>
      <x:c r="I37" s="59" t="s">
        <x:v>1659</x:v>
      </x:c>
      <x:c r="J37" s="59" t="s">
        <x:v>1431</x:v>
      </x:c>
      <x:c r="K37" s="59" t="s">
        <x:v>1432</x:v>
      </x:c>
      <x:c r="L37" s="59" t="s">
        <x:v>1418</x:v>
      </x:c>
      <x:c r="M37" s="59" t="s">
        <x:v>1489</x:v>
      </x:c>
      <x:c r="N37" s="59" t="s">
        <x:v>1418</x:v>
      </x:c>
      <x:c r="O37" s="59" t="s">
        <x:v>1435</x:v>
      </x:c>
      <x:c r="P37" s="59" t="s">
        <x:v>1418</x:v>
      </x:c>
      <x:c r="Q37" s="75" t="s">
        <x:v>1437</x:v>
      </x:c>
      <x:c r="R37" s="75" t="s">
        <x:v>1437</x:v>
      </x:c>
      <x:c r="S37" s="75" t="s">
        <x:v>1437</x:v>
      </x:c>
      <x:c r="T37" s="75" t="s">
        <x:v>1437</x:v>
      </x:c>
      <x:c r="U37" s="75" t="s">
        <x:v>1437</x:v>
      </x:c>
      <x:c r="V37" s="75" t="s">
        <x:v>1437</x:v>
      </x:c>
      <x:c r="W37" s="60"/>
      <x:c r="X37" s="73" t="str">
        <x:f t="shared" si="0"/>
        <x:v>Belum Dinilai</x:v>
      </x:c>
      <x:c r="Y37" s="73" t="str">
        <x:f t="shared" si="1"/>
        <x:v>Belum Dinilai</x:v>
      </x:c>
      <x:c r="Z37" s="74" t="str">
        <x:f t="shared" si="2"/>
      </x:c>
      <x:c r="AA37" s="74" t="str">
        <x:f t="shared" si="3"/>
      </x:c>
      <x:c r="AB37" s="74" t="str">
        <x:f t="shared" si="4"/>
      </x:c>
      <x:c r="AC37" s="61" t="s">
        <x:v>1437</x:v>
      </x:c>
      <x:c r="AD37" s="61" t="s">
        <x:v>1437</x:v>
      </x:c>
      <x:c r="AE37" s="61" t="s">
        <x:v>1437</x:v>
      </x:c>
      <x:c r="AF37" s="61" t="s">
        <x:v>1437</x:v>
      </x:c>
      <x:c r="AG37" s="61" t="s">
        <x:v>1437</x:v>
      </x:c>
      <x:c r="AH37" s="61" t="s">
        <x:v>1437</x:v>
      </x:c>
      <x:c r="AI37" s="61" t="s">
        <x:v>1437</x:v>
      </x:c>
      <x:c r="AJ37" s="61" t="s">
        <x:v>1437</x:v>
      </x:c>
      <x:c r="AK37" s="61" t="s">
        <x:v>1437</x:v>
      </x:c>
      <x:c r="AL37" s="61"/>
      <x:c r="AM37" s="61" t="s">
        <x:v>1437</x:v>
      </x:c>
      <x:c r="AN37" s="73" t="str">
        <x:f t="shared" si="5"/>
        <x:v>Belum Dinilai</x:v>
      </x:c>
      <x:c r="AO37" s="73" t="str">
        <x:f t="shared" si="6"/>
        <x:v>Belum Dinilai</x:v>
      </x:c>
      <x:c r="AP37" s="61"/>
      <x:c r="AQ37" s="64">
        <x:f t="shared" si="7"/>
        <x:v>29</x:v>
      </x:c>
      <x:c r="AR37" s="64" t="str">
        <x:f t="shared" si="8"/>
      </x:c>
      <x:c r="AS37" s="64" t="str">
        <x:f t="shared" si="9"/>
      </x:c>
      <x:c r="AT37" s="62" t="str">
        <x:f t="shared" si="10"/>
        <x:v>Belum Dapat Ditentukan</x:v>
      </x:c>
      <x:c r="AU37" s="59" t="s">
        <x:v>1424</x:v>
      </x:c>
      <x:c r="AV37" s="59" t="s">
        <x:v>1425</x:v>
      </x:c>
      <x:c r="AW37" s="59" t="s">
        <x:v>1410</x:v>
      </x:c>
      <x:c r="AX37" s="59" t="s">
        <x:v>1411</x:v>
      </x:c>
      <x:c r="AY37" s="59"/>
      <x:c r="AZ37" s="59" t="s">
        <x:v>1409</x:v>
      </x:c>
      <x:c r="BA37" s="59"/>
      <x:c r="BB37" s="167"/>
      <x:c r="BC37" s="65">
        <x:v>2026</x:v>
      </x:c>
      <x:c r="BD37" s="59"/>
      <x:c r="BE37" s="167"/>
      <x:c r="BF37" s="59" t="s">
        <x:v>1501</x:v>
      </x:c>
    </x:row>
    <x:row r="38" ht="56">
      <x:c r="A38" s="59" t="s">
        <x:v>1660</x:v>
      </x:c>
      <x:c r="B38" s="59" t="s">
        <x:v>1661</x:v>
      </x:c>
      <x:c r="C38" s="59"/>
      <x:c r="D38" s="59"/>
      <x:c r="E38" s="59" t="s">
        <x:v>1662</x:v>
      </x:c>
      <x:c r="F38" s="59" t="s">
        <x:v>1655</x:v>
      </x:c>
      <x:c r="G38" s="59" t="s">
        <x:v>1534</x:v>
      </x:c>
      <x:c r="H38" s="59" t="s">
        <x:v>1399</x:v>
      </x:c>
      <x:c r="I38" s="59" t="s">
        <x:v>1663</x:v>
      </x:c>
      <x:c r="J38" s="59" t="s">
        <x:v>1431</x:v>
      </x:c>
      <x:c r="K38" s="59" t="s">
        <x:v>1417</x:v>
      </x:c>
      <x:c r="L38" s="59" t="s">
        <x:v>1418</x:v>
      </x:c>
      <x:c r="M38" s="59" t="s">
        <x:v>1489</x:v>
      </x:c>
      <x:c r="N38" s="59" t="s">
        <x:v>1418</x:v>
      </x:c>
      <x:c r="O38" s="59" t="s">
        <x:v>1435</x:v>
      </x:c>
      <x:c r="P38" s="59" t="s">
        <x:v>1418</x:v>
      </x:c>
      <x:c r="Q38" s="75" t="s">
        <x:v>1437</x:v>
      </x:c>
      <x:c r="R38" s="75" t="s">
        <x:v>1437</x:v>
      </x:c>
      <x:c r="S38" s="75" t="s">
        <x:v>1437</x:v>
      </x:c>
      <x:c r="T38" s="75" t="s">
        <x:v>1437</x:v>
      </x:c>
      <x:c r="U38" s="75" t="s">
        <x:v>1437</x:v>
      </x:c>
      <x:c r="V38" s="75" t="s">
        <x:v>1437</x:v>
      </x:c>
      <x:c r="W38" s="60"/>
      <x:c r="X38" s="73" t="str">
        <x:f t="shared" si="0"/>
        <x:v>Belum Dinilai</x:v>
      </x:c>
      <x:c r="Y38" s="73" t="str">
        <x:f t="shared" si="1"/>
        <x:v>Belum Dinilai</x:v>
      </x:c>
      <x:c r="Z38" s="74" t="str">
        <x:f t="shared" si="2"/>
      </x:c>
      <x:c r="AA38" s="74" t="str">
        <x:f t="shared" si="3"/>
      </x:c>
      <x:c r="AB38" s="74" t="str">
        <x:f t="shared" si="4"/>
      </x:c>
      <x:c r="AC38" s="61" t="s">
        <x:v>1437</x:v>
      </x:c>
      <x:c r="AD38" s="61" t="s">
        <x:v>1437</x:v>
      </x:c>
      <x:c r="AE38" s="61" t="s">
        <x:v>1437</x:v>
      </x:c>
      <x:c r="AF38" s="61" t="s">
        <x:v>1437</x:v>
      </x:c>
      <x:c r="AG38" s="61" t="s">
        <x:v>1437</x:v>
      </x:c>
      <x:c r="AH38" s="61" t="s">
        <x:v>1437</x:v>
      </x:c>
      <x:c r="AI38" s="61" t="s">
        <x:v>1437</x:v>
      </x:c>
      <x:c r="AJ38" s="61" t="s">
        <x:v>1437</x:v>
      </x:c>
      <x:c r="AK38" s="61" t="s">
        <x:v>1437</x:v>
      </x:c>
      <x:c r="AL38" s="61"/>
      <x:c r="AM38" s="61" t="s">
        <x:v>1437</x:v>
      </x:c>
      <x:c r="AN38" s="73" t="str">
        <x:f t="shared" si="5"/>
        <x:v>Belum Dinilai</x:v>
      </x:c>
      <x:c r="AO38" s="73" t="str">
        <x:f t="shared" si="6"/>
        <x:v>Belum Dinilai</x:v>
      </x:c>
      <x:c r="AP38" s="61"/>
      <x:c r="AQ38" s="64">
        <x:f t="shared" si="7"/>
        <x:v>29</x:v>
      </x:c>
      <x:c r="AR38" s="64" t="str">
        <x:f t="shared" si="8"/>
      </x:c>
      <x:c r="AS38" s="64" t="str">
        <x:f t="shared" si="9"/>
      </x:c>
      <x:c r="AT38" s="62" t="str">
        <x:f t="shared" si="10"/>
        <x:v>Belum Dapat Ditentukan</x:v>
      </x:c>
      <x:c r="AU38" s="59" t="s">
        <x:v>1408</x:v>
      </x:c>
      <x:c r="AV38" s="59" t="s">
        <x:v>1425</x:v>
      </x:c>
      <x:c r="AW38" s="59" t="s">
        <x:v>1523</x:v>
      </x:c>
      <x:c r="AX38" s="59" t="s">
        <x:v>1491</x:v>
      </x:c>
      <x:c r="AY38" s="59">
        <x:v>2023</x:v>
      </x:c>
      <x:c r="AZ38" s="59" t="s">
        <x:v>1428</x:v>
      </x:c>
      <x:c r="BA38" s="59"/>
      <x:c r="BB38" s="167"/>
      <x:c r="BC38" s="65">
        <x:v>2026</x:v>
      </x:c>
      <x:c r="BD38" s="59"/>
      <x:c r="BE38" s="167"/>
      <x:c r="BF38" s="59" t="s">
        <x:v>1501</x:v>
      </x:c>
    </x:row>
    <x:row r="39" ht="56">
      <x:c r="A39" s="59" t="s">
        <x:v>1664</x:v>
      </x:c>
      <x:c r="B39" s="59" t="s">
        <x:v>1665</x:v>
      </x:c>
      <x:c r="C39" s="59"/>
      <x:c r="D39" s="59"/>
      <x:c r="E39" s="59" t="s">
        <x:v>1662</x:v>
      </x:c>
      <x:c r="F39" s="59" t="s">
        <x:v>1655</x:v>
      </x:c>
      <x:c r="G39" s="59" t="s">
        <x:v>1534</x:v>
      </x:c>
      <x:c r="H39" s="59" t="s">
        <x:v>1399</x:v>
      </x:c>
      <x:c r="I39" s="59" t="s">
        <x:v>1663</x:v>
      </x:c>
      <x:c r="J39" s="59" t="s">
        <x:v>1431</x:v>
      </x:c>
      <x:c r="K39" s="59" t="s">
        <x:v>1417</x:v>
      </x:c>
      <x:c r="L39" s="59" t="s">
        <x:v>1418</x:v>
      </x:c>
      <x:c r="M39" s="59" t="s">
        <x:v>1489</x:v>
      </x:c>
      <x:c r="N39" s="59" t="s">
        <x:v>1418</x:v>
      </x:c>
      <x:c r="O39" s="59" t="s">
        <x:v>1435</x:v>
      </x:c>
      <x:c r="P39" s="59" t="s">
        <x:v>1418</x:v>
      </x:c>
      <x:c r="Q39" s="75" t="s">
        <x:v>1437</x:v>
      </x:c>
      <x:c r="R39" s="75" t="s">
        <x:v>1437</x:v>
      </x:c>
      <x:c r="S39" s="75" t="s">
        <x:v>1437</x:v>
      </x:c>
      <x:c r="T39" s="75" t="s">
        <x:v>1437</x:v>
      </x:c>
      <x:c r="U39" s="75" t="s">
        <x:v>1437</x:v>
      </x:c>
      <x:c r="V39" s="75" t="s">
        <x:v>1437</x:v>
      </x:c>
      <x:c r="W39" s="60"/>
      <x:c r="X39" s="73" t="str">
        <x:f t="shared" si="0"/>
        <x:v>Belum Dinilai</x:v>
      </x:c>
      <x:c r="Y39" s="73" t="str">
        <x:f t="shared" si="1"/>
        <x:v>Belum Dinilai</x:v>
      </x:c>
      <x:c r="Z39" s="74" t="str">
        <x:f t="shared" si="2"/>
      </x:c>
      <x:c r="AA39" s="74" t="str">
        <x:f t="shared" si="3"/>
      </x:c>
      <x:c r="AB39" s="74" t="str">
        <x:f t="shared" si="4"/>
      </x:c>
      <x:c r="AC39" s="61" t="s">
        <x:v>1437</x:v>
      </x:c>
      <x:c r="AD39" s="61" t="s">
        <x:v>1437</x:v>
      </x:c>
      <x:c r="AE39" s="61" t="s">
        <x:v>1437</x:v>
      </x:c>
      <x:c r="AF39" s="61" t="s">
        <x:v>1437</x:v>
      </x:c>
      <x:c r="AG39" s="61" t="s">
        <x:v>1437</x:v>
      </x:c>
      <x:c r="AH39" s="61" t="s">
        <x:v>1437</x:v>
      </x:c>
      <x:c r="AI39" s="61" t="s">
        <x:v>1437</x:v>
      </x:c>
      <x:c r="AJ39" s="61" t="s">
        <x:v>1437</x:v>
      </x:c>
      <x:c r="AK39" s="61" t="s">
        <x:v>1437</x:v>
      </x:c>
      <x:c r="AL39" s="61"/>
      <x:c r="AM39" s="61" t="s">
        <x:v>1437</x:v>
      </x:c>
      <x:c r="AN39" s="73" t="str">
        <x:f t="shared" si="5"/>
        <x:v>Belum Dinilai</x:v>
      </x:c>
      <x:c r="AO39" s="73" t="str">
        <x:f t="shared" si="6"/>
        <x:v>Belum Dinilai</x:v>
      </x:c>
      <x:c r="AP39" s="61"/>
      <x:c r="AQ39" s="64">
        <x:f t="shared" si="7"/>
        <x:v>29</x:v>
      </x:c>
      <x:c r="AR39" s="64" t="str">
        <x:f t="shared" si="8"/>
      </x:c>
      <x:c r="AS39" s="64" t="str">
        <x:f t="shared" si="9"/>
      </x:c>
      <x:c r="AT39" s="62" t="str">
        <x:f t="shared" si="10"/>
        <x:v>Belum Dapat Ditentukan</x:v>
      </x:c>
      <x:c r="AU39" s="59" t="s">
        <x:v>1408</x:v>
      </x:c>
      <x:c r="AV39" s="59" t="s">
        <x:v>1425</x:v>
      </x:c>
      <x:c r="AW39" s="59" t="s">
        <x:v>1523</x:v>
      </x:c>
      <x:c r="AX39" s="59" t="s">
        <x:v>1427</x:v>
      </x:c>
      <x:c r="AY39" s="59">
        <x:v>2024</x:v>
      </x:c>
      <x:c r="AZ39" s="59" t="s">
        <x:v>1428</x:v>
      </x:c>
      <x:c r="BA39" s="59"/>
      <x:c r="BB39" s="167"/>
      <x:c r="BC39" s="65">
        <x:v>2026</x:v>
      </x:c>
      <x:c r="BD39" s="59"/>
      <x:c r="BE39" s="167"/>
      <x:c r="BF39" s="59" t="s">
        <x:v>1501</x:v>
      </x:c>
    </x:row>
    <x:row r="40" ht="42">
      <x:c r="A40" s="59" t="s">
        <x:v>1666</x:v>
      </x:c>
      <x:c r="B40" s="59" t="s">
        <x:v>1667</x:v>
      </x:c>
      <x:c r="C40" s="59"/>
      <x:c r="D40" s="59"/>
      <x:c r="E40" s="59" t="s">
        <x:v>1668</x:v>
      </x:c>
      <x:c r="F40" s="59" t="s">
        <x:v>1655</x:v>
      </x:c>
      <x:c r="G40" s="59" t="s">
        <x:v>1534</x:v>
      </x:c>
      <x:c r="H40" s="59" t="s">
        <x:v>1415</x:v>
      </x:c>
      <x:c r="I40" s="59" t="s">
        <x:v>1669</x:v>
      </x:c>
      <x:c r="J40" s="59" t="s">
        <x:v>1416</x:v>
      </x:c>
      <x:c r="K40" s="59" t="s">
        <x:v>1417</x:v>
      </x:c>
      <x:c r="L40" s="59" t="s">
        <x:v>1433</x:v>
      </x:c>
      <x:c r="M40" s="59" t="s">
        <x:v>1500</x:v>
      </x:c>
      <x:c r="N40" s="59" t="s">
        <x:v>1433</x:v>
      </x:c>
      <x:c r="O40" s="59" t="s">
        <x:v>1404</x:v>
      </x:c>
      <x:c r="P40" s="59" t="s">
        <x:v>1433</x:v>
      </x:c>
      <x:c r="Q40" s="75" t="s">
        <x:v>1437</x:v>
      </x:c>
      <x:c r="R40" s="75" t="s">
        <x:v>1437</x:v>
      </x:c>
      <x:c r="S40" s="75" t="s">
        <x:v>1437</x:v>
      </x:c>
      <x:c r="T40" s="75" t="s">
        <x:v>1437</x:v>
      </x:c>
      <x:c r="U40" s="75" t="s">
        <x:v>1437</x:v>
      </x:c>
      <x:c r="V40" s="75" t="s">
        <x:v>1437</x:v>
      </x:c>
      <x:c r="W40" s="60"/>
      <x:c r="X40" s="73" t="str">
        <x:f t="shared" si="0"/>
        <x:v>Belum Dinilai</x:v>
      </x:c>
      <x:c r="Y40" s="73" t="str">
        <x:f t="shared" si="1"/>
        <x:v>Belum Dinilai</x:v>
      </x:c>
      <x:c r="Z40" s="74" t="str">
        <x:f t="shared" si="2"/>
      </x:c>
      <x:c r="AA40" s="74" t="str">
        <x:f t="shared" si="3"/>
      </x:c>
      <x:c r="AB40" s="74" t="str">
        <x:f t="shared" si="4"/>
      </x:c>
      <x:c r="AC40" s="61" t="s">
        <x:v>1437</x:v>
      </x:c>
      <x:c r="AD40" s="61" t="s">
        <x:v>1437</x:v>
      </x:c>
      <x:c r="AE40" s="61" t="s">
        <x:v>1437</x:v>
      </x:c>
      <x:c r="AF40" s="61" t="s">
        <x:v>1437</x:v>
      </x:c>
      <x:c r="AG40" s="61" t="s">
        <x:v>1437</x:v>
      </x:c>
      <x:c r="AH40" s="61" t="s">
        <x:v>1437</x:v>
      </x:c>
      <x:c r="AI40" s="61" t="s">
        <x:v>1437</x:v>
      </x:c>
      <x:c r="AJ40" s="61" t="s">
        <x:v>1437</x:v>
      </x:c>
      <x:c r="AK40" s="61" t="s">
        <x:v>1437</x:v>
      </x:c>
      <x:c r="AL40" s="61"/>
      <x:c r="AM40" s="61" t="s">
        <x:v>1437</x:v>
      </x:c>
      <x:c r="AN40" s="73" t="str">
        <x:f t="shared" si="5"/>
        <x:v>Belum Dinilai</x:v>
      </x:c>
      <x:c r="AO40" s="73" t="str">
        <x:f t="shared" si="6"/>
        <x:v>Belum Dinilai</x:v>
      </x:c>
      <x:c r="AP40" s="61"/>
      <x:c r="AQ40" s="64">
        <x:f t="shared" si="7"/>
        <x:v>36</x:v>
      </x:c>
      <x:c r="AR40" s="64" t="str">
        <x:f t="shared" si="8"/>
      </x:c>
      <x:c r="AS40" s="64" t="str">
        <x:f t="shared" si="9"/>
      </x:c>
      <x:c r="AT40" s="62" t="str">
        <x:f t="shared" si="10"/>
        <x:v>Belum Dapat Ditentukan</x:v>
      </x:c>
      <x:c r="AU40" s="59" t="s">
        <x:v>1424</x:v>
      </x:c>
      <x:c r="AV40" s="59" t="s">
        <x:v>1425</x:v>
      </x:c>
      <x:c r="AW40" s="59" t="s">
        <x:v>1523</x:v>
      </x:c>
      <x:c r="AX40" s="59" t="s">
        <x:v>1491</x:v>
      </x:c>
      <x:c r="AY40" s="59">
        <x:v>2023</x:v>
      </x:c>
      <x:c r="AZ40" s="59" t="s">
        <x:v>1409</x:v>
      </x:c>
      <x:c r="BA40" s="59"/>
      <x:c r="BB40" s="167"/>
      <x:c r="BC40" s="65">
        <x:v>2026</x:v>
      </x:c>
      <x:c r="BD40" s="59"/>
      <x:c r="BE40" s="167"/>
      <x:c r="BF40" s="59" t="s">
        <x:v>1501</x:v>
      </x:c>
    </x:row>
    <x:row r="41" ht="42">
      <x:c r="A41" s="59" t="s">
        <x:v>1670</x:v>
      </x:c>
      <x:c r="B41" s="59" t="s">
        <x:v>1671</x:v>
      </x:c>
      <x:c r="C41" s="59"/>
      <x:c r="D41" s="59"/>
      <x:c r="E41" s="59" t="s">
        <x:v>1672</x:v>
      </x:c>
      <x:c r="F41" s="59" t="s">
        <x:v>1655</x:v>
      </x:c>
      <x:c r="G41" s="59" t="s">
        <x:v>1534</x:v>
      </x:c>
      <x:c r="H41" s="59" t="s">
        <x:v>1399</x:v>
      </x:c>
      <x:c r="I41" s="59" t="s">
        <x:v>1673</x:v>
      </x:c>
      <x:c r="J41" s="59" t="s">
        <x:v>1416</x:v>
      </x:c>
      <x:c r="K41" s="59" t="s">
        <x:v>1401</x:v>
      </x:c>
      <x:c r="L41" s="59" t="s">
        <x:v>1487</x:v>
      </x:c>
      <x:c r="M41" s="59" t="s">
        <x:v>1489</x:v>
      </x:c>
      <x:c r="N41" s="59" t="s">
        <x:v>1487</x:v>
      </x:c>
      <x:c r="O41" s="59" t="s">
        <x:v>1435</x:v>
      </x:c>
      <x:c r="P41" s="59" t="s">
        <x:v>1487</x:v>
      </x:c>
      <x:c r="Q41" s="75" t="s">
        <x:v>1405</x:v>
      </x:c>
      <x:c r="R41" s="75" t="s">
        <x:v>1422</x:v>
      </x:c>
      <x:c r="S41" s="75" t="s">
        <x:v>1422</x:v>
      </x:c>
      <x:c r="T41" s="75" t="s">
        <x:v>1422</x:v>
      </x:c>
      <x:c r="U41" s="75" t="s">
        <x:v>1422</x:v>
      </x:c>
      <x:c r="V41" s="75" t="s">
        <x:v>1422</x:v>
      </x:c>
      <x:c r="W41" s="60"/>
      <x:c r="X41" s="73" t="str">
        <x:f t="shared" si="0"/>
        <x:v>Tidak ada faktor rentan</x:v>
      </x:c>
      <x:c r="Y41" s="73" t="str">
        <x:f t="shared" si="1"/>
        <x:v>Tidak Ada Faktor Rentan</x:v>
      </x:c>
      <x:c r="Z41" s="74">
        <x:f t="shared" si="2"/>
        <x:v>10</x:v>
      </x:c>
      <x:c r="AA41" s="74">
        <x:f t="shared" si="3"/>
        <x:v>0</x:v>
      </x:c>
      <x:c r="AB41" s="74">
        <x:f t="shared" si="4"/>
        <x:v>10</x:v>
      </x:c>
      <x:c r="AC41" s="61" t="s">
        <x:v>1406</x:v>
      </x:c>
      <x:c r="AD41" s="61" t="s">
        <x:v>1422</x:v>
      </x:c>
      <x:c r="AE41" s="61" t="s">
        <x:v>1437</x:v>
      </x:c>
      <x:c r="AF41" s="61" t="s">
        <x:v>1422</x:v>
      </x:c>
      <x:c r="AG41" s="61" t="s">
        <x:v>1406</x:v>
      </x:c>
      <x:c r="AH41" s="61" t="s">
        <x:v>1406</x:v>
      </x:c>
      <x:c r="AI41" s="61" t="s">
        <x:v>1406</x:v>
      </x:c>
      <x:c r="AJ41" s="61" t="s">
        <x:v>1406</x:v>
      </x:c>
      <x:c r="AK41" s="61" t="s">
        <x:v>1422</x:v>
      </x:c>
      <x:c r="AL41" s="61"/>
      <x:c r="AM41" s="61" t="s">
        <x:v>1437</x:v>
      </x:c>
      <x:c r="AN41" s="73" t="str">
        <x:f t="shared" si="5"/>
        <x:v>Bangunan berpotensi roboh; Struktur rumah tidak stabil; Instalasi listrik berbahaya; Komponen bangunan lepas atau lapuk; Akses keluar atau evakuasi terbatas; </x:v>
      </x:c>
      <x:c r="AO41" s="73" t="str">
        <x:f t="shared" si="6"/>
        <x:v>Risiko Tinggi/Darurat</x:v>
      </x:c>
      <x:c r="AP41" s="61"/>
      <x:c r="AQ41" s="64">
        <x:f t="shared" si="7"/>
        <x:v>50</x:v>
      </x:c>
      <x:c r="AR41" s="64">
        <x:f t="shared" si="8"/>
        <x:v>10</x:v>
      </x:c>
      <x:c r="AS41" s="64">
        <x:f t="shared" si="9"/>
        <x:v>70</x:v>
      </x:c>
      <x:c r="AT41" s="62" t="str">
        <x:f t="shared" si="10"/>
        <x:v>Tinggi</x:v>
      </x:c>
      <x:c r="AU41" s="59" t="s">
        <x:v>1424</x:v>
      </x:c>
      <x:c r="AV41" s="59" t="s">
        <x:v>1425</x:v>
      </x:c>
      <x:c r="AW41" s="59" t="s">
        <x:v>1523</x:v>
      </x:c>
      <x:c r="AX41" s="59" t="s">
        <x:v>1491</x:v>
      </x:c>
      <x:c r="AY41" s="59">
        <x:v>2023</x:v>
      </x:c>
      <x:c r="AZ41" s="59" t="s">
        <x:v>1409</x:v>
      </x:c>
      <x:c r="BA41" s="59"/>
      <x:c r="BB41" s="167"/>
      <x:c r="BC41" s="65">
        <x:v>2026</x:v>
      </x:c>
      <x:c r="BD41" s="59"/>
      <x:c r="BE41" s="167"/>
      <x:c r="BF41" s="59" t="s">
        <x:v>1501</x:v>
      </x:c>
    </x:row>
    <x:row r="42" ht="42">
      <x:c r="A42" s="59" t="s">
        <x:v>1674</x:v>
      </x:c>
      <x:c r="B42" s="59" t="s">
        <x:v>1675</x:v>
      </x:c>
      <x:c r="C42" s="59"/>
      <x:c r="D42" s="59"/>
      <x:c r="E42" s="59" t="s">
        <x:v>1676</x:v>
      </x:c>
      <x:c r="F42" s="59" t="s">
        <x:v>1651</x:v>
      </x:c>
      <x:c r="G42" s="59" t="s">
        <x:v>1534</x:v>
      </x:c>
      <x:c r="H42" s="59" t="s">
        <x:v>1415</x:v>
      </x:c>
      <x:c r="I42" s="59" t="s">
        <x:v>1677</x:v>
      </x:c>
      <x:c r="J42" s="59" t="s">
        <x:v>1400</x:v>
      </x:c>
      <x:c r="K42" s="59" t="s">
        <x:v>1417</x:v>
      </x:c>
      <x:c r="L42" s="59" t="s">
        <x:v>1437</x:v>
      </x:c>
      <x:c r="M42" s="59" t="s">
        <x:v>1488</x:v>
      </x:c>
      <x:c r="N42" s="59" t="s">
        <x:v>1437</x:v>
      </x:c>
      <x:c r="O42" s="59" t="s">
        <x:v>1435</x:v>
      </x:c>
      <x:c r="P42" s="59" t="s">
        <x:v>1437</x:v>
      </x:c>
      <x:c r="Q42" s="75" t="s">
        <x:v>1437</x:v>
      </x:c>
      <x:c r="R42" s="75" t="s">
        <x:v>1437</x:v>
      </x:c>
      <x:c r="S42" s="75" t="s">
        <x:v>1437</x:v>
      </x:c>
      <x:c r="T42" s="75" t="s">
        <x:v>1437</x:v>
      </x:c>
      <x:c r="U42" s="75" t="s">
        <x:v>1437</x:v>
      </x:c>
      <x:c r="V42" s="75" t="s">
        <x:v>1437</x:v>
      </x:c>
      <x:c r="W42" s="60"/>
      <x:c r="X42" s="73" t="str">
        <x:f t="shared" si="0"/>
        <x:v>Belum Dinilai</x:v>
      </x:c>
      <x:c r="Y42" s="73" t="str">
        <x:f t="shared" si="1"/>
        <x:v>Belum Dinilai</x:v>
      </x:c>
      <x:c r="Z42" s="74" t="str">
        <x:f t="shared" si="2"/>
      </x:c>
      <x:c r="AA42" s="74" t="str">
        <x:f t="shared" si="3"/>
      </x:c>
      <x:c r="AB42" s="74" t="str">
        <x:f t="shared" si="4"/>
      </x:c>
      <x:c r="AC42" s="61" t="s">
        <x:v>1437</x:v>
      </x:c>
      <x:c r="AD42" s="61" t="s">
        <x:v>1437</x:v>
      </x:c>
      <x:c r="AE42" s="61" t="s">
        <x:v>1437</x:v>
      </x:c>
      <x:c r="AF42" s="61" t="s">
        <x:v>1437</x:v>
      </x:c>
      <x:c r="AG42" s="61" t="s">
        <x:v>1437</x:v>
      </x:c>
      <x:c r="AH42" s="61" t="s">
        <x:v>1437</x:v>
      </x:c>
      <x:c r="AI42" s="61" t="s">
        <x:v>1437</x:v>
      </x:c>
      <x:c r="AJ42" s="61" t="s">
        <x:v>1437</x:v>
      </x:c>
      <x:c r="AK42" s="61" t="s">
        <x:v>1437</x:v>
      </x:c>
      <x:c r="AL42" s="61"/>
      <x:c r="AM42" s="61" t="s">
        <x:v>1437</x:v>
      </x:c>
      <x:c r="AN42" s="73" t="str">
        <x:f t="shared" si="5"/>
        <x:v>Belum Dinilai</x:v>
      </x:c>
      <x:c r="AO42" s="73" t="str">
        <x:f t="shared" si="6"/>
        <x:v>Belum Dinilai</x:v>
      </x:c>
      <x:c r="AP42" s="61"/>
      <x:c r="AQ42" s="64" t="str">
        <x:f t="shared" si="7"/>
      </x:c>
      <x:c r="AR42" s="64" t="str">
        <x:f t="shared" si="8"/>
      </x:c>
      <x:c r="AS42" s="64" t="str">
        <x:f t="shared" si="9"/>
      </x:c>
      <x:c r="AT42" s="62" t="str">
        <x:f t="shared" si="10"/>
        <x:v>Belum Dapat Ditentukan</x:v>
      </x:c>
      <x:c r="AU42" s="59" t="s">
        <x:v>1408</x:v>
      </x:c>
      <x:c r="AV42" s="59" t="s">
        <x:v>1425</x:v>
      </x:c>
      <x:c r="AW42" s="59" t="s">
        <x:v>1523</x:v>
      </x:c>
      <x:c r="AX42" s="59" t="s">
        <x:v>1491</x:v>
      </x:c>
      <x:c r="AY42" s="59">
        <x:v>2024</x:v>
      </x:c>
      <x:c r="AZ42" s="59" t="s">
        <x:v>1409</x:v>
      </x:c>
      <x:c r="BA42" s="59"/>
      <x:c r="BB42" s="167"/>
      <x:c r="BC42" s="65">
        <x:v>2026</x:v>
      </x:c>
      <x:c r="BD42" s="59"/>
      <x:c r="BE42" s="167"/>
      <x:c r="BF42" s="59" t="s">
        <x:v>1501</x:v>
      </x:c>
    </x:row>
    <x:row r="43" ht="42">
      <x:c r="A43" s="59" t="s">
        <x:v>1678</x:v>
      </x:c>
      <x:c r="B43" s="59" t="s">
        <x:v>1679</x:v>
      </x:c>
      <x:c r="C43" s="59"/>
      <x:c r="D43" s="59"/>
      <x:c r="E43" s="59" t="s">
        <x:v>1680</x:v>
      </x:c>
      <x:c r="F43" s="59" t="s">
        <x:v>1681</x:v>
      </x:c>
      <x:c r="G43" s="59" t="s">
        <x:v>1534</x:v>
      </x:c>
      <x:c r="H43" s="59" t="s">
        <x:v>1399</x:v>
      </x:c>
      <x:c r="I43" s="59" t="s">
        <x:v>1682</x:v>
      </x:c>
      <x:c r="J43" s="59" t="s">
        <x:v>1431</x:v>
      </x:c>
      <x:c r="K43" s="59" t="s">
        <x:v>1401</x:v>
      </x:c>
      <x:c r="L43" s="59" t="s">
        <x:v>1433</x:v>
      </x:c>
      <x:c r="M43" s="59" t="s">
        <x:v>1489</x:v>
      </x:c>
      <x:c r="N43" s="59" t="s">
        <x:v>1433</x:v>
      </x:c>
      <x:c r="O43" s="59" t="s">
        <x:v>1522</x:v>
      </x:c>
      <x:c r="P43" s="59" t="s">
        <x:v>1437</x:v>
      </x:c>
      <x:c r="Q43" s="75" t="s">
        <x:v>1437</x:v>
      </x:c>
      <x:c r="R43" s="75" t="s">
        <x:v>1437</x:v>
      </x:c>
      <x:c r="S43" s="75" t="s">
        <x:v>1437</x:v>
      </x:c>
      <x:c r="T43" s="75" t="s">
        <x:v>1437</x:v>
      </x:c>
      <x:c r="U43" s="75" t="s">
        <x:v>1437</x:v>
      </x:c>
      <x:c r="V43" s="75" t="s">
        <x:v>1437</x:v>
      </x:c>
      <x:c r="W43" s="60"/>
      <x:c r="X43" s="73" t="str">
        <x:f t="shared" si="0"/>
        <x:v>Belum Dinilai</x:v>
      </x:c>
      <x:c r="Y43" s="73" t="str">
        <x:f t="shared" si="1"/>
        <x:v>Belum Dinilai</x:v>
      </x:c>
      <x:c r="Z43" s="74" t="str">
        <x:f t="shared" si="2"/>
      </x:c>
      <x:c r="AA43" s="74" t="str">
        <x:f t="shared" si="3"/>
      </x:c>
      <x:c r="AB43" s="74" t="str">
        <x:f t="shared" si="4"/>
      </x:c>
      <x:c r="AC43" s="61" t="s">
        <x:v>1437</x:v>
      </x:c>
      <x:c r="AD43" s="61" t="s">
        <x:v>1437</x:v>
      </x:c>
      <x:c r="AE43" s="61" t="s">
        <x:v>1437</x:v>
      </x:c>
      <x:c r="AF43" s="61" t="s">
        <x:v>1437</x:v>
      </x:c>
      <x:c r="AG43" s="61" t="s">
        <x:v>1437</x:v>
      </x:c>
      <x:c r="AH43" s="61" t="s">
        <x:v>1437</x:v>
      </x:c>
      <x:c r="AI43" s="61" t="s">
        <x:v>1437</x:v>
      </x:c>
      <x:c r="AJ43" s="61" t="s">
        <x:v>1437</x:v>
      </x:c>
      <x:c r="AK43" s="61" t="s">
        <x:v>1437</x:v>
      </x:c>
      <x:c r="AL43" s="61"/>
      <x:c r="AM43" s="61" t="s">
        <x:v>1437</x:v>
      </x:c>
      <x:c r="AN43" s="73" t="str">
        <x:f t="shared" si="5"/>
        <x:v>Belum Dinilai</x:v>
      </x:c>
      <x:c r="AO43" s="73" t="str">
        <x:f t="shared" si="6"/>
        <x:v>Belum Dinilai</x:v>
      </x:c>
      <x:c r="AP43" s="61"/>
      <x:c r="AQ43" s="64" t="str">
        <x:f t="shared" si="7"/>
      </x:c>
      <x:c r="AR43" s="64" t="str">
        <x:f t="shared" si="8"/>
      </x:c>
      <x:c r="AS43" s="64" t="str">
        <x:f t="shared" si="9"/>
      </x:c>
      <x:c r="AT43" s="62" t="str">
        <x:f t="shared" si="10"/>
        <x:v>Belum Dapat Ditentukan</x:v>
      </x:c>
      <x:c r="AU43" s="59" t="s">
        <x:v>1408</x:v>
      </x:c>
      <x:c r="AV43" s="59" t="s">
        <x:v>1425</x:v>
      </x:c>
      <x:c r="AW43" s="59" t="s">
        <x:v>1523</x:v>
      </x:c>
      <x:c r="AX43" s="59" t="s">
        <x:v>1427</x:v>
      </x:c>
      <x:c r="AY43" s="59">
        <x:v>2023</x:v>
      </x:c>
      <x:c r="AZ43" s="59" t="s">
        <x:v>1409</x:v>
      </x:c>
      <x:c r="BA43" s="59"/>
      <x:c r="BB43" s="167"/>
      <x:c r="BC43" s="65">
        <x:v>2026</x:v>
      </x:c>
      <x:c r="BD43" s="59"/>
      <x:c r="BE43" s="167"/>
      <x:c r="BF43" s="59" t="s">
        <x:v>1501</x:v>
      </x:c>
    </x:row>
    <x:row r="44" ht="42">
      <x:c r="A44" s="59" t="s">
        <x:v>1683</x:v>
      </x:c>
      <x:c r="B44" s="59" t="s">
        <x:v>1684</x:v>
      </x:c>
      <x:c r="C44" s="59"/>
      <x:c r="D44" s="59"/>
      <x:c r="E44" s="59" t="s">
        <x:v>1685</x:v>
      </x:c>
      <x:c r="F44" s="59" t="s">
        <x:v>1651</x:v>
      </x:c>
      <x:c r="G44" s="59" t="s">
        <x:v>1534</x:v>
      </x:c>
      <x:c r="H44" s="59" t="s">
        <x:v>1686</x:v>
      </x:c>
      <x:c r="I44" s="59" t="s">
        <x:v>1687</x:v>
      </x:c>
      <x:c r="J44" s="59" t="s">
        <x:v>1416</x:v>
      </x:c>
      <x:c r="K44" s="59" t="s">
        <x:v>1417</x:v>
      </x:c>
      <x:c r="L44" s="59" t="s">
        <x:v>1418</x:v>
      </x:c>
      <x:c r="M44" s="59" t="s">
        <x:v>1489</x:v>
      </x:c>
      <x:c r="N44" s="59" t="s">
        <x:v>1418</x:v>
      </x:c>
      <x:c r="O44" s="59" t="s">
        <x:v>1404</x:v>
      </x:c>
      <x:c r="P44" s="59" t="s">
        <x:v>1418</x:v>
      </x:c>
      <x:c r="Q44" s="75" t="s">
        <x:v>1437</x:v>
      </x:c>
      <x:c r="R44" s="75" t="s">
        <x:v>1437</x:v>
      </x:c>
      <x:c r="S44" s="75" t="s">
        <x:v>1437</x:v>
      </x:c>
      <x:c r="T44" s="75" t="s">
        <x:v>1437</x:v>
      </x:c>
      <x:c r="U44" s="75" t="s">
        <x:v>1437</x:v>
      </x:c>
      <x:c r="V44" s="75" t="s">
        <x:v>1437</x:v>
      </x:c>
      <x:c r="W44" s="60"/>
      <x:c r="X44" s="73" t="str">
        <x:f t="shared" si="0"/>
        <x:v>Belum Dinilai</x:v>
      </x:c>
      <x:c r="Y44" s="73" t="str">
        <x:f t="shared" si="1"/>
        <x:v>Belum Dinilai</x:v>
      </x:c>
      <x:c r="Z44" s="74" t="str">
        <x:f t="shared" si="2"/>
      </x:c>
      <x:c r="AA44" s="74" t="str">
        <x:f t="shared" si="3"/>
      </x:c>
      <x:c r="AB44" s="74" t="str">
        <x:f t="shared" si="4"/>
      </x:c>
      <x:c r="AC44" s="61" t="s">
        <x:v>1437</x:v>
      </x:c>
      <x:c r="AD44" s="61" t="s">
        <x:v>1437</x:v>
      </x:c>
      <x:c r="AE44" s="61" t="s">
        <x:v>1437</x:v>
      </x:c>
      <x:c r="AF44" s="61" t="s">
        <x:v>1437</x:v>
      </x:c>
      <x:c r="AG44" s="61" t="s">
        <x:v>1437</x:v>
      </x:c>
      <x:c r="AH44" s="61" t="s">
        <x:v>1437</x:v>
      </x:c>
      <x:c r="AI44" s="61" t="s">
        <x:v>1437</x:v>
      </x:c>
      <x:c r="AJ44" s="61" t="s">
        <x:v>1437</x:v>
      </x:c>
      <x:c r="AK44" s="61" t="s">
        <x:v>1437</x:v>
      </x:c>
      <x:c r="AL44" s="61"/>
      <x:c r="AM44" s="61" t="s">
        <x:v>1437</x:v>
      </x:c>
      <x:c r="AN44" s="73" t="str">
        <x:f t="shared" si="5"/>
        <x:v>Belum Dinilai</x:v>
      </x:c>
      <x:c r="AO44" s="73" t="str">
        <x:f t="shared" si="6"/>
        <x:v>Belum Dinilai</x:v>
      </x:c>
      <x:c r="AP44" s="61"/>
      <x:c r="AQ44" s="64">
        <x:f t="shared" si="7"/>
        <x:v>22</x:v>
      </x:c>
      <x:c r="AR44" s="64" t="str">
        <x:f t="shared" si="8"/>
      </x:c>
      <x:c r="AS44" s="64" t="str">
        <x:f t="shared" si="9"/>
      </x:c>
      <x:c r="AT44" s="62" t="str">
        <x:f t="shared" si="10"/>
        <x:v>Belum Dapat Ditentukan</x:v>
      </x:c>
      <x:c r="AU44" s="59" t="s">
        <x:v>1408</x:v>
      </x:c>
      <x:c r="AV44" s="59" t="s">
        <x:v>1425</x:v>
      </x:c>
      <x:c r="AW44" s="59" t="s">
        <x:v>1523</x:v>
      </x:c>
      <x:c r="AX44" s="59" t="s">
        <x:v>1491</x:v>
      </x:c>
      <x:c r="AY44" s="59">
        <x:v>2024</x:v>
      </x:c>
      <x:c r="AZ44" s="59" t="s">
        <x:v>1409</x:v>
      </x:c>
      <x:c r="BA44" s="59"/>
      <x:c r="BB44" s="167"/>
      <x:c r="BC44" s="65">
        <x:v>2026</x:v>
      </x:c>
      <x:c r="BD44" s="59"/>
      <x:c r="BE44" s="167"/>
      <x:c r="BF44" s="59" t="s">
        <x:v>1501</x:v>
      </x:c>
    </x:row>
    <x:row r="45" ht="28">
      <x:c r="A45" s="59" t="s">
        <x:v>1688</x:v>
      </x:c>
      <x:c r="B45" s="59" t="s">
        <x:v>1689</x:v>
      </x:c>
      <x:c r="C45" s="59"/>
      <x:c r="D45" s="59"/>
      <x:c r="E45" s="59" t="s">
        <x:v>1685</x:v>
      </x:c>
      <x:c r="F45" s="59" t="s">
        <x:v>1651</x:v>
      </x:c>
      <x:c r="G45" s="59" t="s">
        <x:v>1534</x:v>
      </x:c>
      <x:c r="H45" s="59" t="s">
        <x:v>1686</x:v>
      </x:c>
      <x:c r="I45" s="59" t="s">
        <x:v>1690</x:v>
      </x:c>
      <x:c r="J45" s="59" t="s">
        <x:v>1400</x:v>
      </x:c>
      <x:c r="K45" s="59" t="s">
        <x:v>1417</x:v>
      </x:c>
      <x:c r="L45" s="59" t="s">
        <x:v>1437</x:v>
      </x:c>
      <x:c r="M45" s="59" t="s">
        <x:v>1488</x:v>
      </x:c>
      <x:c r="N45" s="59" t="s">
        <x:v>1437</x:v>
      </x:c>
      <x:c r="O45" s="59" t="s">
        <x:v>1435</x:v>
      </x:c>
      <x:c r="P45" s="59" t="s">
        <x:v>1437</x:v>
      </x:c>
      <x:c r="Q45" s="75" t="s">
        <x:v>1437</x:v>
      </x:c>
      <x:c r="R45" s="75" t="s">
        <x:v>1437</x:v>
      </x:c>
      <x:c r="S45" s="75" t="s">
        <x:v>1437</x:v>
      </x:c>
      <x:c r="T45" s="75" t="s">
        <x:v>1437</x:v>
      </x:c>
      <x:c r="U45" s="75" t="s">
        <x:v>1437</x:v>
      </x:c>
      <x:c r="V45" s="75" t="s">
        <x:v>1437</x:v>
      </x:c>
      <x:c r="W45" s="60"/>
      <x:c r="X45" s="73" t="str">
        <x:f t="shared" si="0"/>
        <x:v>Belum Dinilai</x:v>
      </x:c>
      <x:c r="Y45" s="73" t="str">
        <x:f t="shared" si="1"/>
        <x:v>Belum Dinilai</x:v>
      </x:c>
      <x:c r="Z45" s="74" t="str">
        <x:f t="shared" si="2"/>
      </x:c>
      <x:c r="AA45" s="74" t="str">
        <x:f t="shared" si="3"/>
      </x:c>
      <x:c r="AB45" s="74" t="str">
        <x:f t="shared" si="4"/>
      </x:c>
      <x:c r="AC45" s="61" t="s">
        <x:v>1437</x:v>
      </x:c>
      <x:c r="AD45" s="61" t="s">
        <x:v>1437</x:v>
      </x:c>
      <x:c r="AE45" s="61" t="s">
        <x:v>1437</x:v>
      </x:c>
      <x:c r="AF45" s="61" t="s">
        <x:v>1437</x:v>
      </x:c>
      <x:c r="AG45" s="61" t="s">
        <x:v>1437</x:v>
      </x:c>
      <x:c r="AH45" s="61" t="s">
        <x:v>1437</x:v>
      </x:c>
      <x:c r="AI45" s="61" t="s">
        <x:v>1437</x:v>
      </x:c>
      <x:c r="AJ45" s="61" t="s">
        <x:v>1437</x:v>
      </x:c>
      <x:c r="AK45" s="61" t="s">
        <x:v>1437</x:v>
      </x:c>
      <x:c r="AL45" s="61"/>
      <x:c r="AM45" s="61" t="s">
        <x:v>1437</x:v>
      </x:c>
      <x:c r="AN45" s="73" t="str">
        <x:f t="shared" si="5"/>
        <x:v>Belum Dinilai</x:v>
      </x:c>
      <x:c r="AO45" s="73" t="str">
        <x:f t="shared" si="6"/>
        <x:v>Belum Dinilai</x:v>
      </x:c>
      <x:c r="AP45" s="61"/>
      <x:c r="AQ45" s="64" t="str">
        <x:f t="shared" si="7"/>
      </x:c>
      <x:c r="AR45" s="64" t="str">
        <x:f t="shared" si="8"/>
      </x:c>
      <x:c r="AS45" s="64" t="str">
        <x:f t="shared" si="9"/>
      </x:c>
      <x:c r="AT45" s="62" t="str">
        <x:f t="shared" si="10"/>
        <x:v>Belum Dapat Ditentukan</x:v>
      </x:c>
      <x:c r="AU45" s="59" t="s">
        <x:v>1408</x:v>
      </x:c>
      <x:c r="AV45" s="59" t="s">
        <x:v>1425</x:v>
      </x:c>
      <x:c r="AW45" s="59" t="s">
        <x:v>1410</x:v>
      </x:c>
      <x:c r="AX45" s="59" t="s">
        <x:v>1411</x:v>
      </x:c>
      <x:c r="AY45" s="59"/>
      <x:c r="AZ45" s="59" t="s">
        <x:v>1409</x:v>
      </x:c>
      <x:c r="BA45" s="59"/>
      <x:c r="BB45" s="167"/>
      <x:c r="BC45" s="65">
        <x:v>2026</x:v>
      </x:c>
      <x:c r="BD45" s="59"/>
      <x:c r="BE45" s="167"/>
      <x:c r="BF45" s="59" t="s">
        <x:v>1501</x:v>
      </x:c>
    </x:row>
    <x:row r="46" ht="28">
      <x:c r="A46" s="59" t="s">
        <x:v>1691</x:v>
      </x:c>
      <x:c r="B46" s="59" t="s">
        <x:v>1692</x:v>
      </x:c>
      <x:c r="C46" s="59"/>
      <x:c r="D46" s="59"/>
      <x:c r="E46" s="59" t="s">
        <x:v>1524</x:v>
      </x:c>
      <x:c r="F46" s="59" t="s">
        <x:v>1651</x:v>
      </x:c>
      <x:c r="G46" s="59" t="s">
        <x:v>1534</x:v>
      </x:c>
      <x:c r="H46" s="59" t="s">
        <x:v>1399</x:v>
      </x:c>
      <x:c r="I46" s="59" t="s">
        <x:v>1513</x:v>
      </x:c>
      <x:c r="J46" s="59" t="s">
        <x:v>1431</x:v>
      </x:c>
      <x:c r="K46" s="59" t="s">
        <x:v>1522</x:v>
      </x:c>
      <x:c r="L46" s="59" t="s">
        <x:v>1437</x:v>
      </x:c>
      <x:c r="M46" s="59" t="s">
        <x:v>1489</x:v>
      </x:c>
      <x:c r="N46" s="59" t="s">
        <x:v>1437</x:v>
      </x:c>
      <x:c r="O46" s="59" t="s">
        <x:v>1522</x:v>
      </x:c>
      <x:c r="P46" s="59" t="s">
        <x:v>1437</x:v>
      </x:c>
      <x:c r="Q46" s="75" t="s">
        <x:v>1437</x:v>
      </x:c>
      <x:c r="R46" s="75" t="s">
        <x:v>1437</x:v>
      </x:c>
      <x:c r="S46" s="75" t="s">
        <x:v>1437</x:v>
      </x:c>
      <x:c r="T46" s="75" t="s">
        <x:v>1437</x:v>
      </x:c>
      <x:c r="U46" s="75" t="s">
        <x:v>1437</x:v>
      </x:c>
      <x:c r="V46" s="75" t="s">
        <x:v>1437</x:v>
      </x:c>
      <x:c r="W46" s="60"/>
      <x:c r="X46" s="73" t="str">
        <x:f t="shared" si="0"/>
        <x:v>Belum Dinilai</x:v>
      </x:c>
      <x:c r="Y46" s="73" t="str">
        <x:f t="shared" si="1"/>
        <x:v>Belum Dinilai</x:v>
      </x:c>
      <x:c r="Z46" s="74" t="str">
        <x:f t="shared" si="2"/>
      </x:c>
      <x:c r="AA46" s="74" t="str">
        <x:f t="shared" si="3"/>
      </x:c>
      <x:c r="AB46" s="74" t="str">
        <x:f t="shared" si="4"/>
      </x:c>
      <x:c r="AC46" s="61" t="s">
        <x:v>1437</x:v>
      </x:c>
      <x:c r="AD46" s="61" t="s">
        <x:v>1437</x:v>
      </x:c>
      <x:c r="AE46" s="61" t="s">
        <x:v>1437</x:v>
      </x:c>
      <x:c r="AF46" s="61" t="s">
        <x:v>1437</x:v>
      </x:c>
      <x:c r="AG46" s="61" t="s">
        <x:v>1437</x:v>
      </x:c>
      <x:c r="AH46" s="61" t="s">
        <x:v>1437</x:v>
      </x:c>
      <x:c r="AI46" s="61" t="s">
        <x:v>1437</x:v>
      </x:c>
      <x:c r="AJ46" s="61" t="s">
        <x:v>1437</x:v>
      </x:c>
      <x:c r="AK46" s="61" t="s">
        <x:v>1437</x:v>
      </x:c>
      <x:c r="AL46" s="61"/>
      <x:c r="AM46" s="61" t="s">
        <x:v>1437</x:v>
      </x:c>
      <x:c r="AN46" s="73" t="str">
        <x:f t="shared" si="5"/>
        <x:v>Belum Dinilai</x:v>
      </x:c>
      <x:c r="AO46" s="73" t="str">
        <x:f t="shared" si="6"/>
        <x:v>Belum Dinilai</x:v>
      </x:c>
      <x:c r="AP46" s="61"/>
      <x:c r="AQ46" s="64" t="str">
        <x:f t="shared" si="7"/>
      </x:c>
      <x:c r="AR46" s="64" t="str">
        <x:f t="shared" si="8"/>
      </x:c>
      <x:c r="AS46" s="64" t="str">
        <x:f t="shared" si="9"/>
      </x:c>
      <x:c r="AT46" s="62" t="str">
        <x:f t="shared" si="10"/>
        <x:v>Belum Dapat Ditentukan</x:v>
      </x:c>
      <x:c r="AU46" s="59" t="s">
        <x:v>1408</x:v>
      </x:c>
      <x:c r="AV46" s="59" t="s">
        <x:v>1425</x:v>
      </x:c>
      <x:c r="AW46" s="59" t="s">
        <x:v>1523</x:v>
      </x:c>
      <x:c r="AX46" s="59" t="s">
        <x:v>1491</x:v>
      </x:c>
      <x:c r="AY46" s="59">
        <x:v>2024</x:v>
      </x:c>
      <x:c r="AZ46" s="59" t="s">
        <x:v>1409</x:v>
      </x:c>
      <x:c r="BA46" s="59"/>
      <x:c r="BB46" s="167"/>
      <x:c r="BC46" s="65">
        <x:v>2026</x:v>
      </x:c>
      <x:c r="BD46" s="59"/>
      <x:c r="BE46" s="167"/>
      <x:c r="BF46" s="59" t="s">
        <x:v>1501</x:v>
      </x:c>
    </x:row>
    <x:row r="47" ht="42">
      <x:c r="A47" s="59" t="s">
        <x:v>1693</x:v>
      </x:c>
      <x:c r="B47" s="59" t="s">
        <x:v>1694</x:v>
      </x:c>
      <x:c r="C47" s="59"/>
      <x:c r="D47" s="59"/>
      <x:c r="E47" s="59" t="s">
        <x:v>1524</x:v>
      </x:c>
      <x:c r="F47" s="59" t="s">
        <x:v>1695</x:v>
      </x:c>
      <x:c r="G47" s="59" t="s">
        <x:v>1534</x:v>
      </x:c>
      <x:c r="H47" s="59" t="s">
        <x:v>1399</x:v>
      </x:c>
      <x:c r="I47" s="59" t="s">
        <x:v>1696</x:v>
      </x:c>
      <x:c r="J47" s="59" t="s">
        <x:v>1431</x:v>
      </x:c>
      <x:c r="K47" s="59" t="s">
        <x:v>1417</x:v>
      </x:c>
      <x:c r="L47" s="59" t="s">
        <x:v>1487</x:v>
      </x:c>
      <x:c r="M47" s="59" t="s">
        <x:v>1489</x:v>
      </x:c>
      <x:c r="N47" s="59" t="s">
        <x:v>1487</x:v>
      </x:c>
      <x:c r="O47" s="59" t="s">
        <x:v>1435</x:v>
      </x:c>
      <x:c r="P47" s="59" t="s">
        <x:v>1487</x:v>
      </x:c>
      <x:c r="Q47" s="75" t="s">
        <x:v>1437</x:v>
      </x:c>
      <x:c r="R47" s="75" t="s">
        <x:v>1437</x:v>
      </x:c>
      <x:c r="S47" s="75" t="s">
        <x:v>1437</x:v>
      </x:c>
      <x:c r="T47" s="75" t="s">
        <x:v>1437</x:v>
      </x:c>
      <x:c r="U47" s="75" t="s">
        <x:v>1437</x:v>
      </x:c>
      <x:c r="V47" s="75" t="s">
        <x:v>1437</x:v>
      </x:c>
      <x:c r="W47" s="60"/>
      <x:c r="X47" s="73" t="str">
        <x:f t="shared" si="0"/>
        <x:v>Belum Dinilai</x:v>
      </x:c>
      <x:c r="Y47" s="73" t="str">
        <x:f t="shared" si="1"/>
        <x:v>Belum Dinilai</x:v>
      </x:c>
      <x:c r="Z47" s="74" t="str">
        <x:f t="shared" si="2"/>
      </x:c>
      <x:c r="AA47" s="74" t="str">
        <x:f t="shared" si="3"/>
      </x:c>
      <x:c r="AB47" s="74" t="str">
        <x:f t="shared" si="4"/>
      </x:c>
      <x:c r="AC47" s="61" t="s">
        <x:v>1437</x:v>
      </x:c>
      <x:c r="AD47" s="61" t="s">
        <x:v>1437</x:v>
      </x:c>
      <x:c r="AE47" s="61" t="s">
        <x:v>1437</x:v>
      </x:c>
      <x:c r="AF47" s="61" t="s">
        <x:v>1437</x:v>
      </x:c>
      <x:c r="AG47" s="61" t="s">
        <x:v>1437</x:v>
      </x:c>
      <x:c r="AH47" s="61" t="s">
        <x:v>1437</x:v>
      </x:c>
      <x:c r="AI47" s="61" t="s">
        <x:v>1437</x:v>
      </x:c>
      <x:c r="AJ47" s="61" t="s">
        <x:v>1437</x:v>
      </x:c>
      <x:c r="AK47" s="61" t="s">
        <x:v>1437</x:v>
      </x:c>
      <x:c r="AL47" s="61"/>
      <x:c r="AM47" s="61" t="s">
        <x:v>1437</x:v>
      </x:c>
      <x:c r="AN47" s="73" t="str">
        <x:f t="shared" si="5"/>
        <x:v>Belum Dinilai</x:v>
      </x:c>
      <x:c r="AO47" s="73" t="str">
        <x:f t="shared" si="6"/>
        <x:v>Belum Dinilai</x:v>
      </x:c>
      <x:c r="AP47" s="61"/>
      <x:c r="AQ47" s="64">
        <x:f t="shared" si="7"/>
        <x:v>57</x:v>
      </x:c>
      <x:c r="AR47" s="64" t="str">
        <x:f t="shared" si="8"/>
      </x:c>
      <x:c r="AS47" s="64" t="str">
        <x:f t="shared" si="9"/>
      </x:c>
      <x:c r="AT47" s="62" t="str">
        <x:f t="shared" si="10"/>
        <x:v>Belum Dapat Ditentukan</x:v>
      </x:c>
      <x:c r="AU47" s="59" t="s">
        <x:v>1408</x:v>
      </x:c>
      <x:c r="AV47" s="59" t="s">
        <x:v>1425</x:v>
      </x:c>
      <x:c r="AW47" s="59" t="s">
        <x:v>1523</x:v>
      </x:c>
      <x:c r="AX47" s="59" t="s">
        <x:v>1491</x:v>
      </x:c>
      <x:c r="AY47" s="59">
        <x:v>2023</x:v>
      </x:c>
      <x:c r="AZ47" s="59" t="s">
        <x:v>1409</x:v>
      </x:c>
      <x:c r="BA47" s="59"/>
      <x:c r="BB47" s="167"/>
      <x:c r="BC47" s="65">
        <x:v>2026</x:v>
      </x:c>
      <x:c r="BD47" s="59"/>
      <x:c r="BE47" s="167"/>
      <x:c r="BF47" s="59" t="s">
        <x:v>1501</x:v>
      </x:c>
    </x:row>
    <x:row r="48" ht="56">
      <x:c r="A48" s="59" t="s">
        <x:v>1697</x:v>
      </x:c>
      <x:c r="B48" s="59" t="s">
        <x:v>1698</x:v>
      </x:c>
      <x:c r="C48" s="59"/>
      <x:c r="D48" s="59"/>
      <x:c r="E48" s="59" t="s">
        <x:v>1699</x:v>
      </x:c>
      <x:c r="F48" s="59" t="s">
        <x:v>1695</x:v>
      </x:c>
      <x:c r="G48" s="59" t="s">
        <x:v>1534</x:v>
      </x:c>
      <x:c r="H48" s="59" t="s">
        <x:v>1686</x:v>
      </x:c>
      <x:c r="I48" s="59" t="s">
        <x:v>1700</x:v>
      </x:c>
      <x:c r="J48" s="59" t="s">
        <x:v>1416</x:v>
      </x:c>
      <x:c r="K48" s="59" t="s">
        <x:v>1401</x:v>
      </x:c>
      <x:c r="L48" s="59" t="s">
        <x:v>1437</x:v>
      </x:c>
      <x:c r="M48" s="59" t="s">
        <x:v>1500</x:v>
      </x:c>
      <x:c r="N48" s="59" t="s">
        <x:v>1437</x:v>
      </x:c>
      <x:c r="O48" s="59" t="s">
        <x:v>1435</x:v>
      </x:c>
      <x:c r="P48" s="59" t="s">
        <x:v>1437</x:v>
      </x:c>
      <x:c r="Q48" s="75" t="s">
        <x:v>1437</x:v>
      </x:c>
      <x:c r="R48" s="75" t="s">
        <x:v>1437</x:v>
      </x:c>
      <x:c r="S48" s="75" t="s">
        <x:v>1437</x:v>
      </x:c>
      <x:c r="T48" s="75" t="s">
        <x:v>1437</x:v>
      </x:c>
      <x:c r="U48" s="75" t="s">
        <x:v>1437</x:v>
      </x:c>
      <x:c r="V48" s="75" t="s">
        <x:v>1437</x:v>
      </x:c>
      <x:c r="W48" s="60"/>
      <x:c r="X48" s="73" t="str">
        <x:f t="shared" si="0"/>
        <x:v>Belum Dinilai</x:v>
      </x:c>
      <x:c r="Y48" s="73" t="str">
        <x:f t="shared" si="1"/>
        <x:v>Belum Dinilai</x:v>
      </x:c>
      <x:c r="Z48" s="74" t="str">
        <x:f t="shared" si="2"/>
      </x:c>
      <x:c r="AA48" s="74" t="str">
        <x:f t="shared" si="3"/>
      </x:c>
      <x:c r="AB48" s="74" t="str">
        <x:f t="shared" si="4"/>
      </x:c>
      <x:c r="AC48" s="61" t="s">
        <x:v>1437</x:v>
      </x:c>
      <x:c r="AD48" s="61" t="s">
        <x:v>1437</x:v>
      </x:c>
      <x:c r="AE48" s="61" t="s">
        <x:v>1437</x:v>
      </x:c>
      <x:c r="AF48" s="61" t="s">
        <x:v>1437</x:v>
      </x:c>
      <x:c r="AG48" s="61" t="s">
        <x:v>1437</x:v>
      </x:c>
      <x:c r="AH48" s="61" t="s">
        <x:v>1437</x:v>
      </x:c>
      <x:c r="AI48" s="61" t="s">
        <x:v>1437</x:v>
      </x:c>
      <x:c r="AJ48" s="61" t="s">
        <x:v>1437</x:v>
      </x:c>
      <x:c r="AK48" s="61" t="s">
        <x:v>1437</x:v>
      </x:c>
      <x:c r="AL48" s="61"/>
      <x:c r="AM48" s="61" t="s">
        <x:v>1437</x:v>
      </x:c>
      <x:c r="AN48" s="73" t="str">
        <x:f t="shared" si="5"/>
        <x:v>Belum Dinilai</x:v>
      </x:c>
      <x:c r="AO48" s="73" t="str">
        <x:f t="shared" si="6"/>
        <x:v>Belum Dinilai</x:v>
      </x:c>
      <x:c r="AP48" s="61"/>
      <x:c r="AQ48" s="64" t="str">
        <x:f t="shared" si="7"/>
      </x:c>
      <x:c r="AR48" s="64" t="str">
        <x:f t="shared" si="8"/>
      </x:c>
      <x:c r="AS48" s="64" t="str">
        <x:f t="shared" si="9"/>
      </x:c>
      <x:c r="AT48" s="62" t="str">
        <x:f t="shared" si="10"/>
        <x:v>Belum Dapat Ditentukan</x:v>
      </x:c>
      <x:c r="AU48" s="59" t="s">
        <x:v>1408</x:v>
      </x:c>
      <x:c r="AV48" s="59" t="s">
        <x:v>1425</x:v>
      </x:c>
      <x:c r="AW48" s="59" t="s">
        <x:v>1523</x:v>
      </x:c>
      <x:c r="AX48" s="59" t="s">
        <x:v>1439</x:v>
      </x:c>
      <x:c r="AY48" s="59">
        <x:v>2023</x:v>
      </x:c>
      <x:c r="AZ48" s="59" t="s">
        <x:v>1409</x:v>
      </x:c>
      <x:c r="BA48" s="59"/>
      <x:c r="BB48" s="167"/>
      <x:c r="BC48" s="65">
        <x:v>2026</x:v>
      </x:c>
      <x:c r="BD48" s="59"/>
      <x:c r="BE48" s="167"/>
      <x:c r="BF48" s="59" t="s">
        <x:v>1501</x:v>
      </x:c>
    </x:row>
    <x:row r="49" ht="56">
      <x:c r="A49" s="59" t="s">
        <x:v>1701</x:v>
      </x:c>
      <x:c r="B49" s="59" t="s">
        <x:v>1702</x:v>
      </x:c>
      <x:c r="C49" s="59"/>
      <x:c r="D49" s="59"/>
      <x:c r="E49" s="59" t="s">
        <x:v>1703</x:v>
      </x:c>
      <x:c r="F49" s="59" t="s">
        <x:v>1695</x:v>
      </x:c>
      <x:c r="G49" s="59" t="s">
        <x:v>1534</x:v>
      </x:c>
      <x:c r="H49" s="59" t="s">
        <x:v>1399</x:v>
      </x:c>
      <x:c r="I49" s="59" t="s">
        <x:v>1704</x:v>
      </x:c>
      <x:c r="J49" s="59" t="s">
        <x:v>1416</x:v>
      </x:c>
      <x:c r="K49" s="59" t="s">
        <x:v>1432</x:v>
      </x:c>
      <x:c r="L49" s="59" t="s">
        <x:v>1418</x:v>
      </x:c>
      <x:c r="M49" s="59" t="s">
        <x:v>1489</x:v>
      </x:c>
      <x:c r="N49" s="59" t="s">
        <x:v>1418</x:v>
      </x:c>
      <x:c r="O49" s="59" t="s">
        <x:v>1435</x:v>
      </x:c>
      <x:c r="P49" s="59" t="s">
        <x:v>1418</x:v>
      </x:c>
      <x:c r="Q49" s="75" t="s">
        <x:v>1437</x:v>
      </x:c>
      <x:c r="R49" s="75" t="s">
        <x:v>1437</x:v>
      </x:c>
      <x:c r="S49" s="75" t="s">
        <x:v>1437</x:v>
      </x:c>
      <x:c r="T49" s="75" t="s">
        <x:v>1437</x:v>
      </x:c>
      <x:c r="U49" s="75" t="s">
        <x:v>1437</x:v>
      </x:c>
      <x:c r="V49" s="75" t="s">
        <x:v>1437</x:v>
      </x:c>
      <x:c r="W49" s="60"/>
      <x:c r="X49" s="73" t="str">
        <x:f t="shared" si="0"/>
        <x:v>Belum Dinilai</x:v>
      </x:c>
      <x:c r="Y49" s="73" t="str">
        <x:f t="shared" si="1"/>
        <x:v>Belum Dinilai</x:v>
      </x:c>
      <x:c r="Z49" s="74" t="str">
        <x:f t="shared" si="2"/>
      </x:c>
      <x:c r="AA49" s="74" t="str">
        <x:f t="shared" si="3"/>
      </x:c>
      <x:c r="AB49" s="74" t="str">
        <x:f t="shared" si="4"/>
      </x:c>
      <x:c r="AC49" s="61" t="s">
        <x:v>1437</x:v>
      </x:c>
      <x:c r="AD49" s="61" t="s">
        <x:v>1437</x:v>
      </x:c>
      <x:c r="AE49" s="61" t="s">
        <x:v>1437</x:v>
      </x:c>
      <x:c r="AF49" s="61" t="s">
        <x:v>1437</x:v>
      </x:c>
      <x:c r="AG49" s="61" t="s">
        <x:v>1437</x:v>
      </x:c>
      <x:c r="AH49" s="61" t="s">
        <x:v>1437</x:v>
      </x:c>
      <x:c r="AI49" s="61" t="s">
        <x:v>1437</x:v>
      </x:c>
      <x:c r="AJ49" s="61" t="s">
        <x:v>1437</x:v>
      </x:c>
      <x:c r="AK49" s="61" t="s">
        <x:v>1437</x:v>
      </x:c>
      <x:c r="AL49" s="61"/>
      <x:c r="AM49" s="61" t="s">
        <x:v>1437</x:v>
      </x:c>
      <x:c r="AN49" s="73" t="str">
        <x:f t="shared" si="5"/>
        <x:v>Belum Dinilai</x:v>
      </x:c>
      <x:c r="AO49" s="73" t="str">
        <x:f t="shared" si="6"/>
        <x:v>Belum Dinilai</x:v>
      </x:c>
      <x:c r="AP49" s="61"/>
      <x:c r="AQ49" s="64">
        <x:f t="shared" si="7"/>
        <x:v>22</x:v>
      </x:c>
      <x:c r="AR49" s="64" t="str">
        <x:f t="shared" si="8"/>
      </x:c>
      <x:c r="AS49" s="64" t="str">
        <x:f t="shared" si="9"/>
      </x:c>
      <x:c r="AT49" s="62" t="str">
        <x:f t="shared" si="10"/>
        <x:v>Belum Dapat Ditentukan</x:v>
      </x:c>
      <x:c r="AU49" s="59" t="s">
        <x:v>1408</x:v>
      </x:c>
      <x:c r="AV49" s="59" t="s">
        <x:v>1425</x:v>
      </x:c>
      <x:c r="AW49" s="59" t="s">
        <x:v>1523</x:v>
      </x:c>
      <x:c r="AX49" s="59" t="s">
        <x:v>1427</x:v>
      </x:c>
      <x:c r="AY49" s="59">
        <x:v>2023</x:v>
      </x:c>
      <x:c r="AZ49" s="59" t="s">
        <x:v>1409</x:v>
      </x:c>
      <x:c r="BA49" s="59"/>
      <x:c r="BB49" s="167"/>
      <x:c r="BC49" s="65">
        <x:v>2026</x:v>
      </x:c>
      <x:c r="BD49" s="59"/>
      <x:c r="BE49" s="167"/>
      <x:c r="BF49" s="59" t="s">
        <x:v>1501</x:v>
      </x:c>
    </x:row>
    <x:row r="50" ht="42">
      <x:c r="A50" s="59" t="s">
        <x:v>1705</x:v>
      </x:c>
      <x:c r="B50" s="59" t="s">
        <x:v>1706</x:v>
      </x:c>
      <x:c r="C50" s="59"/>
      <x:c r="D50" s="59"/>
      <x:c r="E50" s="59" t="s">
        <x:v>1707</x:v>
      </x:c>
      <x:c r="F50" s="59" t="s">
        <x:v>1539</x:v>
      </x:c>
      <x:c r="G50" s="59" t="s">
        <x:v>1512</x:v>
      </x:c>
      <x:c r="H50" s="59" t="s">
        <x:v>1399</x:v>
      </x:c>
      <x:c r="I50" s="59" t="s">
        <x:v>1708</x:v>
      </x:c>
      <x:c r="J50" s="59" t="s">
        <x:v>1431</x:v>
      </x:c>
      <x:c r="K50" s="59" t="s">
        <x:v>1401</x:v>
      </x:c>
      <x:c r="L50" s="59" t="s">
        <x:v>1487</x:v>
      </x:c>
      <x:c r="M50" s="59" t="s">
        <x:v>1489</x:v>
      </x:c>
      <x:c r="N50" s="59" t="s">
        <x:v>1487</x:v>
      </x:c>
      <x:c r="O50" s="59" t="s">
        <x:v>1435</x:v>
      </x:c>
      <x:c r="P50" s="59" t="s">
        <x:v>1487</x:v>
      </x:c>
      <x:c r="Q50" s="75" t="s">
        <x:v>1437</x:v>
      </x:c>
      <x:c r="R50" s="75" t="s">
        <x:v>1437</x:v>
      </x:c>
      <x:c r="S50" s="75" t="s">
        <x:v>1437</x:v>
      </x:c>
      <x:c r="T50" s="75" t="s">
        <x:v>1437</x:v>
      </x:c>
      <x:c r="U50" s="75" t="s">
        <x:v>1437</x:v>
      </x:c>
      <x:c r="V50" s="75" t="s">
        <x:v>1437</x:v>
      </x:c>
      <x:c r="W50" s="60"/>
      <x:c r="X50" s="73" t="str">
        <x:f t="shared" si="0"/>
        <x:v>Belum Dinilai</x:v>
      </x:c>
      <x:c r="Y50" s="73" t="str">
        <x:f t="shared" si="1"/>
        <x:v>Belum Dinilai</x:v>
      </x:c>
      <x:c r="Z50" s="74" t="str">
        <x:f t="shared" si="2"/>
      </x:c>
      <x:c r="AA50" s="74" t="str">
        <x:f t="shared" si="3"/>
      </x:c>
      <x:c r="AB50" s="74" t="str">
        <x:f t="shared" si="4"/>
      </x:c>
      <x:c r="AC50" s="61" t="s">
        <x:v>1437</x:v>
      </x:c>
      <x:c r="AD50" s="61" t="s">
        <x:v>1437</x:v>
      </x:c>
      <x:c r="AE50" s="61" t="s">
        <x:v>1437</x:v>
      </x:c>
      <x:c r="AF50" s="61" t="s">
        <x:v>1437</x:v>
      </x:c>
      <x:c r="AG50" s="61" t="s">
        <x:v>1437</x:v>
      </x:c>
      <x:c r="AH50" s="61" t="s">
        <x:v>1437</x:v>
      </x:c>
      <x:c r="AI50" s="61" t="s">
        <x:v>1437</x:v>
      </x:c>
      <x:c r="AJ50" s="61" t="s">
        <x:v>1437</x:v>
      </x:c>
      <x:c r="AK50" s="61" t="s">
        <x:v>1437</x:v>
      </x:c>
      <x:c r="AL50" s="61"/>
      <x:c r="AM50" s="61" t="s">
        <x:v>1437</x:v>
      </x:c>
      <x:c r="AN50" s="73" t="str">
        <x:f t="shared" si="5"/>
        <x:v>Belum Dinilai</x:v>
      </x:c>
      <x:c r="AO50" s="73" t="str">
        <x:f t="shared" si="6"/>
        <x:v>Belum Dinilai</x:v>
      </x:c>
      <x:c r="AP50" s="61"/>
      <x:c r="AQ50" s="64">
        <x:f t="shared" si="7"/>
        <x:v>57</x:v>
      </x:c>
      <x:c r="AR50" s="64" t="str">
        <x:f t="shared" si="8"/>
      </x:c>
      <x:c r="AS50" s="64" t="str">
        <x:f t="shared" si="9"/>
      </x:c>
      <x:c r="AT50" s="62" t="str">
        <x:f t="shared" si="10"/>
        <x:v>Belum Dapat Ditentukan</x:v>
      </x:c>
      <x:c r="AU50" s="59" t="s">
        <x:v>1408</x:v>
      </x:c>
      <x:c r="AV50" s="59" t="s">
        <x:v>1425</x:v>
      </x:c>
      <x:c r="AW50" s="59" t="s">
        <x:v>1523</x:v>
      </x:c>
      <x:c r="AX50" s="59" t="s">
        <x:v>1439</x:v>
      </x:c>
      <x:c r="AY50" s="59"/>
      <x:c r="AZ50" s="59" t="s">
        <x:v>1409</x:v>
      </x:c>
      <x:c r="BA50" s="59"/>
      <x:c r="BB50" s="167"/>
      <x:c r="BC50" s="65">
        <x:v>2026</x:v>
      </x:c>
      <x:c r="BD50" s="59"/>
      <x:c r="BE50" s="167"/>
      <x:c r="BF50" s="59" t="s">
        <x:v>1501</x:v>
      </x:c>
    </x:row>
    <x:row r="51" ht="28">
      <x:c r="A51" s="59" t="s">
        <x:v>1709</x:v>
      </x:c>
      <x:c r="B51" s="59" t="s">
        <x:v>1710</x:v>
      </x:c>
      <x:c r="C51" s="59"/>
      <x:c r="D51" s="59"/>
      <x:c r="E51" s="59" t="s">
        <x:v>1711</x:v>
      </x:c>
      <x:c r="F51" s="59" t="s">
        <x:v>1511</x:v>
      </x:c>
      <x:c r="G51" s="59" t="s">
        <x:v>1512</x:v>
      </x:c>
      <x:c r="H51" s="59" t="s">
        <x:v>1399</x:v>
      </x:c>
      <x:c r="I51" s="59" t="s">
        <x:v>1513</x:v>
      </x:c>
      <x:c r="J51" s="59" t="s">
        <x:v>1431</x:v>
      </x:c>
      <x:c r="K51" s="59" t="s">
        <x:v>1522</x:v>
      </x:c>
      <x:c r="L51" s="59" t="s">
        <x:v>1437</x:v>
      </x:c>
      <x:c r="M51" s="59" t="s">
        <x:v>1489</x:v>
      </x:c>
      <x:c r="N51" s="59" t="s">
        <x:v>1437</x:v>
      </x:c>
      <x:c r="O51" s="59" t="s">
        <x:v>1522</x:v>
      </x:c>
      <x:c r="P51" s="59" t="s">
        <x:v>1437</x:v>
      </x:c>
      <x:c r="Q51" s="75" t="s">
        <x:v>1437</x:v>
      </x:c>
      <x:c r="R51" s="75" t="s">
        <x:v>1437</x:v>
      </x:c>
      <x:c r="S51" s="75" t="s">
        <x:v>1437</x:v>
      </x:c>
      <x:c r="T51" s="75" t="s">
        <x:v>1437</x:v>
      </x:c>
      <x:c r="U51" s="75" t="s">
        <x:v>1437</x:v>
      </x:c>
      <x:c r="V51" s="75" t="s">
        <x:v>1437</x:v>
      </x:c>
      <x:c r="W51" s="60"/>
      <x:c r="X51" s="73" t="str">
        <x:f t="shared" si="0"/>
        <x:v>Belum Dinilai</x:v>
      </x:c>
      <x:c r="Y51" s="73" t="str">
        <x:f t="shared" si="1"/>
        <x:v>Belum Dinilai</x:v>
      </x:c>
      <x:c r="Z51" s="74" t="str">
        <x:f t="shared" si="2"/>
      </x:c>
      <x:c r="AA51" s="74" t="str">
        <x:f t="shared" si="3"/>
      </x:c>
      <x:c r="AB51" s="74" t="str">
        <x:f t="shared" si="4"/>
      </x:c>
      <x:c r="AC51" s="61" t="s">
        <x:v>1437</x:v>
      </x:c>
      <x:c r="AD51" s="61" t="s">
        <x:v>1437</x:v>
      </x:c>
      <x:c r="AE51" s="61" t="s">
        <x:v>1437</x:v>
      </x:c>
      <x:c r="AF51" s="61" t="s">
        <x:v>1437</x:v>
      </x:c>
      <x:c r="AG51" s="61" t="s">
        <x:v>1437</x:v>
      </x:c>
      <x:c r="AH51" s="61" t="s">
        <x:v>1437</x:v>
      </x:c>
      <x:c r="AI51" s="61" t="s">
        <x:v>1437</x:v>
      </x:c>
      <x:c r="AJ51" s="61" t="s">
        <x:v>1437</x:v>
      </x:c>
      <x:c r="AK51" s="61" t="s">
        <x:v>1437</x:v>
      </x:c>
      <x:c r="AL51" s="61"/>
      <x:c r="AM51" s="61" t="s">
        <x:v>1437</x:v>
      </x:c>
      <x:c r="AN51" s="73" t="str">
        <x:f t="shared" si="5"/>
        <x:v>Belum Dinilai</x:v>
      </x:c>
      <x:c r="AO51" s="73" t="str">
        <x:f t="shared" si="6"/>
        <x:v>Belum Dinilai</x:v>
      </x:c>
      <x:c r="AP51" s="61"/>
      <x:c r="AQ51" s="64" t="str">
        <x:f t="shared" si="7"/>
      </x:c>
      <x:c r="AR51" s="64" t="str">
        <x:f t="shared" si="8"/>
      </x:c>
      <x:c r="AS51" s="64" t="str">
        <x:f t="shared" si="9"/>
      </x:c>
      <x:c r="AT51" s="62" t="str">
        <x:f t="shared" si="10"/>
        <x:v>Belum Dapat Ditentukan</x:v>
      </x:c>
      <x:c r="AU51" s="59" t="s">
        <x:v>1408</x:v>
      </x:c>
      <x:c r="AV51" s="59" t="s">
        <x:v>1425</x:v>
      </x:c>
      <x:c r="AW51" s="59" t="s">
        <x:v>1523</x:v>
      </x:c>
      <x:c r="AX51" s="59" t="s">
        <x:v>1427</x:v>
      </x:c>
      <x:c r="AY51" s="59">
        <x:v>2023</x:v>
      </x:c>
      <x:c r="AZ51" s="59" t="s">
        <x:v>1409</x:v>
      </x:c>
      <x:c r="BA51" s="59"/>
      <x:c r="BB51" s="167"/>
      <x:c r="BC51" s="65">
        <x:v>2026</x:v>
      </x:c>
      <x:c r="BD51" s="59"/>
      <x:c r="BE51" s="167"/>
      <x:c r="BF51" s="59" t="s">
        <x:v>1501</x:v>
      </x:c>
    </x:row>
    <x:row r="52" ht="42">
      <x:c r="A52" s="59" t="s">
        <x:v>1712</x:v>
      </x:c>
      <x:c r="B52" s="59" t="s">
        <x:v>1713</x:v>
      </x:c>
      <x:c r="C52" s="59"/>
      <x:c r="D52" s="59"/>
      <x:c r="E52" s="59" t="s">
        <x:v>1714</x:v>
      </x:c>
      <x:c r="F52" s="59" t="s">
        <x:v>1580</x:v>
      </x:c>
      <x:c r="G52" s="59" t="s">
        <x:v>1512</x:v>
      </x:c>
      <x:c r="H52" s="59" t="s">
        <x:v>1399</x:v>
      </x:c>
      <x:c r="I52" s="59" t="s">
        <x:v>1715</x:v>
      </x:c>
      <x:c r="J52" s="59" t="s">
        <x:v>1416</x:v>
      </x:c>
      <x:c r="K52" s="59" t="s">
        <x:v>1432</x:v>
      </x:c>
      <x:c r="L52" s="59" t="s">
        <x:v>1437</x:v>
      </x:c>
      <x:c r="M52" s="59" t="s">
        <x:v>1489</x:v>
      </x:c>
      <x:c r="N52" s="59" t="s">
        <x:v>1437</x:v>
      </x:c>
      <x:c r="O52" s="59" t="s">
        <x:v>1435</x:v>
      </x:c>
      <x:c r="P52" s="59" t="s">
        <x:v>1437</x:v>
      </x:c>
      <x:c r="Q52" s="75" t="s">
        <x:v>1437</x:v>
      </x:c>
      <x:c r="R52" s="75" t="s">
        <x:v>1437</x:v>
      </x:c>
      <x:c r="S52" s="75" t="s">
        <x:v>1437</x:v>
      </x:c>
      <x:c r="T52" s="75" t="s">
        <x:v>1437</x:v>
      </x:c>
      <x:c r="U52" s="75" t="s">
        <x:v>1437</x:v>
      </x:c>
      <x:c r="V52" s="75" t="s">
        <x:v>1437</x:v>
      </x:c>
      <x:c r="W52" s="60"/>
      <x:c r="X52" s="73" t="str">
        <x:f t="shared" si="0"/>
        <x:v>Belum Dinilai</x:v>
      </x:c>
      <x:c r="Y52" s="73" t="str">
        <x:f t="shared" si="1"/>
        <x:v>Belum Dinilai</x:v>
      </x:c>
      <x:c r="Z52" s="74" t="str">
        <x:f t="shared" si="2"/>
      </x:c>
      <x:c r="AA52" s="74" t="str">
        <x:f t="shared" si="3"/>
      </x:c>
      <x:c r="AB52" s="74" t="str">
        <x:f t="shared" si="4"/>
      </x:c>
      <x:c r="AC52" s="61" t="s">
        <x:v>1437</x:v>
      </x:c>
      <x:c r="AD52" s="61" t="s">
        <x:v>1437</x:v>
      </x:c>
      <x:c r="AE52" s="61" t="s">
        <x:v>1437</x:v>
      </x:c>
      <x:c r="AF52" s="61" t="s">
        <x:v>1437</x:v>
      </x:c>
      <x:c r="AG52" s="61" t="s">
        <x:v>1437</x:v>
      </x:c>
      <x:c r="AH52" s="61" t="s">
        <x:v>1437</x:v>
      </x:c>
      <x:c r="AI52" s="61" t="s">
        <x:v>1437</x:v>
      </x:c>
      <x:c r="AJ52" s="61" t="s">
        <x:v>1437</x:v>
      </x:c>
      <x:c r="AK52" s="61" t="s">
        <x:v>1437</x:v>
      </x:c>
      <x:c r="AL52" s="61"/>
      <x:c r="AM52" s="61" t="s">
        <x:v>1437</x:v>
      </x:c>
      <x:c r="AN52" s="73" t="str">
        <x:f t="shared" si="5"/>
        <x:v>Belum Dinilai</x:v>
      </x:c>
      <x:c r="AO52" s="73" t="str">
        <x:f t="shared" si="6"/>
        <x:v>Belum Dinilai</x:v>
      </x:c>
      <x:c r="AP52" s="61"/>
      <x:c r="AQ52" s="64" t="str">
        <x:f t="shared" si="7"/>
      </x:c>
      <x:c r="AR52" s="64" t="str">
        <x:f t="shared" si="8"/>
      </x:c>
      <x:c r="AS52" s="64" t="str">
        <x:f t="shared" si="9"/>
      </x:c>
      <x:c r="AT52" s="62" t="str">
        <x:f t="shared" si="10"/>
        <x:v>Belum Dapat Ditentukan</x:v>
      </x:c>
      <x:c r="AU52" s="59" t="s">
        <x:v>1424</x:v>
      </x:c>
      <x:c r="AV52" s="59" t="s">
        <x:v>1425</x:v>
      </x:c>
      <x:c r="AW52" s="59" t="s">
        <x:v>1410</x:v>
      </x:c>
      <x:c r="AX52" s="59" t="s">
        <x:v>1411</x:v>
      </x:c>
      <x:c r="AY52" s="59"/>
      <x:c r="AZ52" s="59" t="s">
        <x:v>1409</x:v>
      </x:c>
      <x:c r="BA52" s="59"/>
      <x:c r="BB52" s="167"/>
      <x:c r="BC52" s="65">
        <x:v>2026</x:v>
      </x:c>
      <x:c r="BD52" s="59"/>
      <x:c r="BE52" s="167"/>
      <x:c r="BF52" s="59" t="s">
        <x:v>1501</x:v>
      </x:c>
    </x:row>
    <x:row r="53" ht="28">
      <x:c r="A53" s="59" t="s">
        <x:v>1716</x:v>
      </x:c>
      <x:c r="B53" s="59" t="s">
        <x:v>1717</x:v>
      </x:c>
      <x:c r="C53" s="59"/>
      <x:c r="D53" s="59"/>
      <x:c r="E53" s="59" t="s">
        <x:v>1718</x:v>
      </x:c>
      <x:c r="F53" s="59" t="s">
        <x:v>1580</x:v>
      </x:c>
      <x:c r="G53" s="59" t="s">
        <x:v>1512</x:v>
      </x:c>
      <x:c r="H53" s="59" t="s">
        <x:v>1415</x:v>
      </x:c>
      <x:c r="I53" s="59" t="s">
        <x:v>1719</x:v>
      </x:c>
      <x:c r="J53" s="59" t="s">
        <x:v>1485</x:v>
      </x:c>
      <x:c r="K53" s="59" t="s">
        <x:v>1522</x:v>
      </x:c>
      <x:c r="L53" s="59" t="s">
        <x:v>1437</x:v>
      </x:c>
      <x:c r="M53" s="59" t="s">
        <x:v>1522</x:v>
      </x:c>
      <x:c r="N53" s="59" t="s">
        <x:v>1437</x:v>
      </x:c>
      <x:c r="O53" s="59" t="s">
        <x:v>1522</x:v>
      </x:c>
      <x:c r="P53" s="59" t="s">
        <x:v>1437</x:v>
      </x:c>
      <x:c r="Q53" s="75" t="s">
        <x:v>1437</x:v>
      </x:c>
      <x:c r="R53" s="75" t="s">
        <x:v>1437</x:v>
      </x:c>
      <x:c r="S53" s="75" t="s">
        <x:v>1437</x:v>
      </x:c>
      <x:c r="T53" s="75" t="s">
        <x:v>1437</x:v>
      </x:c>
      <x:c r="U53" s="75" t="s">
        <x:v>1437</x:v>
      </x:c>
      <x:c r="V53" s="75" t="s">
        <x:v>1437</x:v>
      </x:c>
      <x:c r="W53" s="60"/>
      <x:c r="X53" s="73" t="str">
        <x:f t="shared" si="0"/>
        <x:v>Belum Dinilai</x:v>
      </x:c>
      <x:c r="Y53" s="73" t="str">
        <x:f t="shared" si="1"/>
        <x:v>Belum Dinilai</x:v>
      </x:c>
      <x:c r="Z53" s="74" t="str">
        <x:f t="shared" si="2"/>
      </x:c>
      <x:c r="AA53" s="74" t="str">
        <x:f t="shared" si="3"/>
      </x:c>
      <x:c r="AB53" s="74" t="str">
        <x:f t="shared" si="4"/>
      </x:c>
      <x:c r="AC53" s="61" t="s">
        <x:v>1437</x:v>
      </x:c>
      <x:c r="AD53" s="61" t="s">
        <x:v>1437</x:v>
      </x:c>
      <x:c r="AE53" s="61" t="s">
        <x:v>1437</x:v>
      </x:c>
      <x:c r="AF53" s="61" t="s">
        <x:v>1437</x:v>
      </x:c>
      <x:c r="AG53" s="61" t="s">
        <x:v>1437</x:v>
      </x:c>
      <x:c r="AH53" s="61" t="s">
        <x:v>1437</x:v>
      </x:c>
      <x:c r="AI53" s="61" t="s">
        <x:v>1437</x:v>
      </x:c>
      <x:c r="AJ53" s="61" t="s">
        <x:v>1437</x:v>
      </x:c>
      <x:c r="AK53" s="61" t="s">
        <x:v>1437</x:v>
      </x:c>
      <x:c r="AL53" s="61"/>
      <x:c r="AM53" s="61" t="s">
        <x:v>1437</x:v>
      </x:c>
      <x:c r="AN53" s="73" t="str">
        <x:f t="shared" si="5"/>
        <x:v>Belum Dinilai</x:v>
      </x:c>
      <x:c r="AO53" s="73" t="str">
        <x:f t="shared" si="6"/>
        <x:v>Belum Dinilai</x:v>
      </x:c>
      <x:c r="AP53" s="61"/>
      <x:c r="AQ53" s="64" t="str">
        <x:f t="shared" si="7"/>
      </x:c>
      <x:c r="AR53" s="64" t="str">
        <x:f t="shared" si="8"/>
      </x:c>
      <x:c r="AS53" s="64" t="str">
        <x:f t="shared" si="9"/>
      </x:c>
      <x:c r="AT53" s="62" t="str">
        <x:f t="shared" si="10"/>
        <x:v>Belum Dapat Ditentukan</x:v>
      </x:c>
      <x:c r="AU53" s="59" t="s">
        <x:v>1424</x:v>
      </x:c>
      <x:c r="AV53" s="59" t="s">
        <x:v>1425</x:v>
      </x:c>
      <x:c r="AW53" s="59" t="s">
        <x:v>1410</x:v>
      </x:c>
      <x:c r="AX53" s="59" t="s">
        <x:v>1411</x:v>
      </x:c>
      <x:c r="AY53" s="59"/>
      <x:c r="AZ53" s="59" t="s">
        <x:v>1409</x:v>
      </x:c>
      <x:c r="BA53" s="59"/>
      <x:c r="BB53" s="167"/>
      <x:c r="BC53" s="65">
        <x:v>2026</x:v>
      </x:c>
      <x:c r="BD53" s="59"/>
      <x:c r="BE53" s="167"/>
      <x:c r="BF53" s="59" t="s">
        <x:v>1501</x:v>
      </x:c>
    </x:row>
    <x:row r="54" ht="28">
      <x:c r="A54" s="59" t="s">
        <x:v>1720</x:v>
      </x:c>
      <x:c r="B54" s="59" t="s">
        <x:v>1721</x:v>
      </x:c>
      <x:c r="C54" s="59"/>
      <x:c r="D54" s="59"/>
      <x:c r="E54" s="59" t="s">
        <x:v>1722</x:v>
      </x:c>
      <x:c r="F54" s="59" t="s">
        <x:v>1603</x:v>
      </x:c>
      <x:c r="G54" s="59" t="s">
        <x:v>1512</x:v>
      </x:c>
      <x:c r="H54" s="59" t="s">
        <x:v>1399</x:v>
      </x:c>
      <x:c r="I54" s="59" t="s">
        <x:v>1723</x:v>
      </x:c>
      <x:c r="J54" s="59" t="s">
        <x:v>1485</x:v>
      </x:c>
      <x:c r="K54" s="59" t="s">
        <x:v>1516</x:v>
      </x:c>
      <x:c r="L54" s="59" t="s">
        <x:v>1437</x:v>
      </x:c>
      <x:c r="M54" s="59" t="s">
        <x:v>1522</x:v>
      </x:c>
      <x:c r="N54" s="59" t="s">
        <x:v>1437</x:v>
      </x:c>
      <x:c r="O54" s="59" t="s">
        <x:v>1435</x:v>
      </x:c>
      <x:c r="P54" s="59" t="s">
        <x:v>1437</x:v>
      </x:c>
      <x:c r="Q54" s="75" t="s">
        <x:v>1437</x:v>
      </x:c>
      <x:c r="R54" s="75" t="s">
        <x:v>1437</x:v>
      </x:c>
      <x:c r="S54" s="75" t="s">
        <x:v>1437</x:v>
      </x:c>
      <x:c r="T54" s="75" t="s">
        <x:v>1437</x:v>
      </x:c>
      <x:c r="U54" s="75" t="s">
        <x:v>1437</x:v>
      </x:c>
      <x:c r="V54" s="75" t="s">
        <x:v>1437</x:v>
      </x:c>
      <x:c r="W54" s="60"/>
      <x:c r="X54" s="73" t="str">
        <x:f t="shared" si="0"/>
        <x:v>Belum Dinilai</x:v>
      </x:c>
      <x:c r="Y54" s="73" t="str">
        <x:f t="shared" si="1"/>
        <x:v>Belum Dinilai</x:v>
      </x:c>
      <x:c r="Z54" s="74" t="str">
        <x:f t="shared" si="2"/>
      </x:c>
      <x:c r="AA54" s="74" t="str">
        <x:f t="shared" si="3"/>
      </x:c>
      <x:c r="AB54" s="74" t="str">
        <x:f t="shared" si="4"/>
      </x:c>
      <x:c r="AC54" s="61" t="s">
        <x:v>1437</x:v>
      </x:c>
      <x:c r="AD54" s="61" t="s">
        <x:v>1437</x:v>
      </x:c>
      <x:c r="AE54" s="61" t="s">
        <x:v>1437</x:v>
      </x:c>
      <x:c r="AF54" s="61" t="s">
        <x:v>1437</x:v>
      </x:c>
      <x:c r="AG54" s="61" t="s">
        <x:v>1437</x:v>
      </x:c>
      <x:c r="AH54" s="61" t="s">
        <x:v>1437</x:v>
      </x:c>
      <x:c r="AI54" s="61" t="s">
        <x:v>1437</x:v>
      </x:c>
      <x:c r="AJ54" s="61" t="s">
        <x:v>1437</x:v>
      </x:c>
      <x:c r="AK54" s="61" t="s">
        <x:v>1437</x:v>
      </x:c>
      <x:c r="AL54" s="61"/>
      <x:c r="AM54" s="61" t="s">
        <x:v>1437</x:v>
      </x:c>
      <x:c r="AN54" s="73" t="str">
        <x:f t="shared" si="5"/>
        <x:v>Belum Dinilai</x:v>
      </x:c>
      <x:c r="AO54" s="73" t="str">
        <x:f t="shared" si="6"/>
        <x:v>Belum Dinilai</x:v>
      </x:c>
      <x:c r="AP54" s="61"/>
      <x:c r="AQ54" s="64" t="str">
        <x:f t="shared" si="7"/>
      </x:c>
      <x:c r="AR54" s="64" t="str">
        <x:f t="shared" si="8"/>
      </x:c>
      <x:c r="AS54" s="64" t="str">
        <x:f t="shared" si="9"/>
      </x:c>
      <x:c r="AT54" s="62" t="str">
        <x:f t="shared" si="10"/>
        <x:v>Belum Dapat Ditentukan</x:v>
      </x:c>
      <x:c r="AU54" s="59" t="s">
        <x:v>1424</x:v>
      </x:c>
      <x:c r="AV54" s="59" t="s">
        <x:v>1425</x:v>
      </x:c>
      <x:c r="AW54" s="59" t="s">
        <x:v>1410</x:v>
      </x:c>
      <x:c r="AX54" s="59" t="s">
        <x:v>1411</x:v>
      </x:c>
      <x:c r="AY54" s="59"/>
      <x:c r="AZ54" s="59" t="s">
        <x:v>1409</x:v>
      </x:c>
      <x:c r="BA54" s="59"/>
      <x:c r="BB54" s="167"/>
      <x:c r="BC54" s="65">
        <x:v>2026</x:v>
      </x:c>
      <x:c r="BD54" s="59"/>
      <x:c r="BE54" s="167"/>
      <x:c r="BF54" s="59" t="s">
        <x:v>1501</x:v>
      </x:c>
    </x:row>
    <x:row r="55" ht="28">
      <x:c r="A55" s="59" t="s">
        <x:v>1724</x:v>
      </x:c>
      <x:c r="B55" s="59" t="s">
        <x:v>1725</x:v>
      </x:c>
      <x:c r="C55" s="59"/>
      <x:c r="D55" s="59"/>
      <x:c r="E55" s="59" t="s">
        <x:v>1726</x:v>
      </x:c>
      <x:c r="F55" s="59" t="s">
        <x:v>1727</x:v>
      </x:c>
      <x:c r="G55" s="59" t="s">
        <x:v>1512</x:v>
      </x:c>
      <x:c r="H55" s="59" t="s">
        <x:v>1415</x:v>
      </x:c>
      <x:c r="I55" s="59" t="s">
        <x:v>1728</x:v>
      </x:c>
      <x:c r="J55" s="59" t="s">
        <x:v>1400</x:v>
      </x:c>
      <x:c r="K55" s="59" t="s">
        <x:v>1522</x:v>
      </x:c>
      <x:c r="L55" s="59" t="s">
        <x:v>1437</x:v>
      </x:c>
      <x:c r="M55" s="59" t="s">
        <x:v>1488</x:v>
      </x:c>
      <x:c r="N55" s="59" t="s">
        <x:v>1437</x:v>
      </x:c>
      <x:c r="O55" s="59" t="s">
        <x:v>1522</x:v>
      </x:c>
      <x:c r="P55" s="59" t="s">
        <x:v>1437</x:v>
      </x:c>
      <x:c r="Q55" s="75" t="s">
        <x:v>1437</x:v>
      </x:c>
      <x:c r="R55" s="75" t="s">
        <x:v>1437</x:v>
      </x:c>
      <x:c r="S55" s="75" t="s">
        <x:v>1437</x:v>
      </x:c>
      <x:c r="T55" s="75" t="s">
        <x:v>1437</x:v>
      </x:c>
      <x:c r="U55" s="75" t="s">
        <x:v>1437</x:v>
      </x:c>
      <x:c r="V55" s="75" t="s">
        <x:v>1437</x:v>
      </x:c>
      <x:c r="W55" s="60"/>
      <x:c r="X55" s="73" t="str">
        <x:f t="shared" si="0"/>
        <x:v>Belum Dinilai</x:v>
      </x:c>
      <x:c r="Y55" s="73" t="str">
        <x:f t="shared" si="1"/>
        <x:v>Belum Dinilai</x:v>
      </x:c>
      <x:c r="Z55" s="74" t="str">
        <x:f t="shared" si="2"/>
      </x:c>
      <x:c r="AA55" s="74" t="str">
        <x:f t="shared" si="3"/>
      </x:c>
      <x:c r="AB55" s="74" t="str">
        <x:f t="shared" si="4"/>
      </x:c>
      <x:c r="AC55" s="61" t="s">
        <x:v>1437</x:v>
      </x:c>
      <x:c r="AD55" s="61" t="s">
        <x:v>1437</x:v>
      </x:c>
      <x:c r="AE55" s="61" t="s">
        <x:v>1437</x:v>
      </x:c>
      <x:c r="AF55" s="61" t="s">
        <x:v>1437</x:v>
      </x:c>
      <x:c r="AG55" s="61" t="s">
        <x:v>1437</x:v>
      </x:c>
      <x:c r="AH55" s="61" t="s">
        <x:v>1437</x:v>
      </x:c>
      <x:c r="AI55" s="61" t="s">
        <x:v>1437</x:v>
      </x:c>
      <x:c r="AJ55" s="61" t="s">
        <x:v>1437</x:v>
      </x:c>
      <x:c r="AK55" s="61" t="s">
        <x:v>1437</x:v>
      </x:c>
      <x:c r="AL55" s="61"/>
      <x:c r="AM55" s="61" t="s">
        <x:v>1437</x:v>
      </x:c>
      <x:c r="AN55" s="73" t="str">
        <x:f t="shared" si="5"/>
        <x:v>Belum Dinilai</x:v>
      </x:c>
      <x:c r="AO55" s="73" t="str">
        <x:f t="shared" si="6"/>
        <x:v>Belum Dinilai</x:v>
      </x:c>
      <x:c r="AP55" s="61"/>
      <x:c r="AQ55" s="64" t="str">
        <x:f t="shared" si="7"/>
      </x:c>
      <x:c r="AR55" s="64" t="str">
        <x:f t="shared" si="8"/>
      </x:c>
      <x:c r="AS55" s="64" t="str">
        <x:f t="shared" si="9"/>
      </x:c>
      <x:c r="AT55" s="62" t="str">
        <x:f t="shared" si="10"/>
        <x:v>Belum Dapat Ditentukan</x:v>
      </x:c>
      <x:c r="AU55" s="59" t="s">
        <x:v>1424</x:v>
      </x:c>
      <x:c r="AV55" s="59" t="s">
        <x:v>1425</x:v>
      </x:c>
      <x:c r="AW55" s="59" t="s">
        <x:v>1410</x:v>
      </x:c>
      <x:c r="AX55" s="59" t="s">
        <x:v>1411</x:v>
      </x:c>
      <x:c r="AY55" s="59"/>
      <x:c r="AZ55" s="59" t="s">
        <x:v>1409</x:v>
      </x:c>
      <x:c r="BA55" s="59"/>
      <x:c r="BB55" s="167"/>
      <x:c r="BC55" s="65">
        <x:v>2026</x:v>
      </x:c>
      <x:c r="BD55" s="59"/>
      <x:c r="BE55" s="167"/>
      <x:c r="BF55" s="59" t="s">
        <x:v>1501</x:v>
      </x:c>
    </x:row>
    <x:row r="56" ht="42">
      <x:c r="A56" s="59" t="s">
        <x:v>1729</x:v>
      </x:c>
      <x:c r="B56" s="59" t="s">
        <x:v>1730</x:v>
      </x:c>
      <x:c r="C56" s="59"/>
      <x:c r="D56" s="59"/>
      <x:c r="E56" s="59" t="s">
        <x:v>1731</x:v>
      </x:c>
      <x:c r="F56" s="59" t="s">
        <x:v>1727</x:v>
      </x:c>
      <x:c r="G56" s="59" t="s">
        <x:v>1512</x:v>
      </x:c>
      <x:c r="H56" s="59" t="s">
        <x:v>1415</x:v>
      </x:c>
      <x:c r="I56" s="59" t="s">
        <x:v>1732</x:v>
      </x:c>
      <x:c r="J56" s="59" t="s">
        <x:v>1416</x:v>
      </x:c>
      <x:c r="K56" s="59" t="s">
        <x:v>1401</x:v>
      </x:c>
      <x:c r="L56" s="59" t="s">
        <x:v>1433</x:v>
      </x:c>
      <x:c r="M56" s="59" t="s">
        <x:v>1489</x:v>
      </x:c>
      <x:c r="N56" s="59" t="s">
        <x:v>1433</x:v>
      </x:c>
      <x:c r="O56" s="59" t="s">
        <x:v>1435</x:v>
      </x:c>
      <x:c r="P56" s="59" t="s">
        <x:v>1418</x:v>
      </x:c>
      <x:c r="Q56" s="75" t="s">
        <x:v>1437</x:v>
      </x:c>
      <x:c r="R56" s="75" t="s">
        <x:v>1437</x:v>
      </x:c>
      <x:c r="S56" s="75" t="s">
        <x:v>1437</x:v>
      </x:c>
      <x:c r="T56" s="75" t="s">
        <x:v>1437</x:v>
      </x:c>
      <x:c r="U56" s="75" t="s">
        <x:v>1437</x:v>
      </x:c>
      <x:c r="V56" s="75" t="s">
        <x:v>1437</x:v>
      </x:c>
      <x:c r="W56" s="60"/>
      <x:c r="X56" s="73" t="str">
        <x:f t="shared" si="0"/>
        <x:v>Belum Dinilai</x:v>
      </x:c>
      <x:c r="Y56" s="73" t="str">
        <x:f t="shared" si="1"/>
        <x:v>Belum Dinilai</x:v>
      </x:c>
      <x:c r="Z56" s="74" t="str">
        <x:f t="shared" si="2"/>
      </x:c>
      <x:c r="AA56" s="74" t="str">
        <x:f t="shared" si="3"/>
      </x:c>
      <x:c r="AB56" s="74" t="str">
        <x:f t="shared" si="4"/>
      </x:c>
      <x:c r="AC56" s="61" t="s">
        <x:v>1437</x:v>
      </x:c>
      <x:c r="AD56" s="61" t="s">
        <x:v>1437</x:v>
      </x:c>
      <x:c r="AE56" s="61" t="s">
        <x:v>1437</x:v>
      </x:c>
      <x:c r="AF56" s="61" t="s">
        <x:v>1437</x:v>
      </x:c>
      <x:c r="AG56" s="61" t="s">
        <x:v>1437</x:v>
      </x:c>
      <x:c r="AH56" s="61" t="s">
        <x:v>1437</x:v>
      </x:c>
      <x:c r="AI56" s="61" t="s">
        <x:v>1437</x:v>
      </x:c>
      <x:c r="AJ56" s="61" t="s">
        <x:v>1437</x:v>
      </x:c>
      <x:c r="AK56" s="61" t="s">
        <x:v>1437</x:v>
      </x:c>
      <x:c r="AL56" s="61"/>
      <x:c r="AM56" s="61" t="s">
        <x:v>1437</x:v>
      </x:c>
      <x:c r="AN56" s="73" t="str">
        <x:f t="shared" si="5"/>
        <x:v>Belum Dinilai</x:v>
      </x:c>
      <x:c r="AO56" s="73" t="str">
        <x:f t="shared" si="6"/>
        <x:v>Belum Dinilai</x:v>
      </x:c>
      <x:c r="AP56" s="61"/>
      <x:c r="AQ56" s="64">
        <x:f t="shared" si="7"/>
        <x:v>32</x:v>
      </x:c>
      <x:c r="AR56" s="64" t="str">
        <x:f t="shared" si="8"/>
      </x:c>
      <x:c r="AS56" s="64" t="str">
        <x:f t="shared" si="9"/>
      </x:c>
      <x:c r="AT56" s="62" t="str">
        <x:f t="shared" si="10"/>
        <x:v>Belum Dapat Ditentukan</x:v>
      </x:c>
      <x:c r="AU56" s="59" t="s">
        <x:v>1408</x:v>
      </x:c>
      <x:c r="AV56" s="59" t="s">
        <x:v>1425</x:v>
      </x:c>
      <x:c r="AW56" s="59" t="s">
        <x:v>1410</x:v>
      </x:c>
      <x:c r="AX56" s="59" t="s">
        <x:v>1411</x:v>
      </x:c>
      <x:c r="AY56" s="59"/>
      <x:c r="AZ56" s="59" t="s">
        <x:v>1409</x:v>
      </x:c>
      <x:c r="BA56" s="59"/>
      <x:c r="BB56" s="167"/>
      <x:c r="BC56" s="65">
        <x:v>2026</x:v>
      </x:c>
      <x:c r="BD56" s="59"/>
      <x:c r="BE56" s="167"/>
      <x:c r="BF56" s="59" t="s">
        <x:v>1501</x:v>
      </x:c>
    </x:row>
    <x:row r="57" ht="56">
      <x:c r="A57" s="59" t="s">
        <x:v>1733</x:v>
      </x:c>
      <x:c r="B57" s="59" t="s">
        <x:v>1734</x:v>
      </x:c>
      <x:c r="C57" s="59"/>
      <x:c r="D57" s="59"/>
      <x:c r="E57" s="59" t="s">
        <x:v>1726</x:v>
      </x:c>
      <x:c r="F57" s="59" t="s">
        <x:v>1727</x:v>
      </x:c>
      <x:c r="G57" s="59" t="s">
        <x:v>1512</x:v>
      </x:c>
      <x:c r="H57" s="59" t="s">
        <x:v>1399</x:v>
      </x:c>
      <x:c r="I57" s="59" t="s">
        <x:v>1735</x:v>
      </x:c>
      <x:c r="J57" s="59" t="s">
        <x:v>1416</x:v>
      </x:c>
      <x:c r="K57" s="59" t="s">
        <x:v>1417</x:v>
      </x:c>
      <x:c r="L57" s="59" t="s">
        <x:v>1433</x:v>
      </x:c>
      <x:c r="M57" s="59" t="s">
        <x:v>1489</x:v>
      </x:c>
      <x:c r="N57" s="59" t="s">
        <x:v>1433</x:v>
      </x:c>
      <x:c r="O57" s="59" t="s">
        <x:v>1516</x:v>
      </x:c>
      <x:c r="P57" s="59" t="s">
        <x:v>1433</x:v>
      </x:c>
      <x:c r="Q57" s="75" t="s">
        <x:v>1437</x:v>
      </x:c>
      <x:c r="R57" s="75" t="s">
        <x:v>1437</x:v>
      </x:c>
      <x:c r="S57" s="75" t="s">
        <x:v>1437</x:v>
      </x:c>
      <x:c r="T57" s="75" t="s">
        <x:v>1437</x:v>
      </x:c>
      <x:c r="U57" s="75" t="s">
        <x:v>1437</x:v>
      </x:c>
      <x:c r="V57" s="75" t="s">
        <x:v>1437</x:v>
      </x:c>
      <x:c r="W57" s="60"/>
      <x:c r="X57" s="73" t="str">
        <x:f t="shared" si="0"/>
        <x:v>Belum Dinilai</x:v>
      </x:c>
      <x:c r="Y57" s="73" t="str">
        <x:f t="shared" si="1"/>
        <x:v>Belum Dinilai</x:v>
      </x:c>
      <x:c r="Z57" s="74" t="str">
        <x:f t="shared" si="2"/>
      </x:c>
      <x:c r="AA57" s="74" t="str">
        <x:f t="shared" si="3"/>
      </x:c>
      <x:c r="AB57" s="74" t="str">
        <x:f t="shared" si="4"/>
      </x:c>
      <x:c r="AC57" s="61" t="s">
        <x:v>1437</x:v>
      </x:c>
      <x:c r="AD57" s="61" t="s">
        <x:v>1437</x:v>
      </x:c>
      <x:c r="AE57" s="61" t="s">
        <x:v>1437</x:v>
      </x:c>
      <x:c r="AF57" s="61" t="s">
        <x:v>1437</x:v>
      </x:c>
      <x:c r="AG57" s="61" t="s">
        <x:v>1437</x:v>
      </x:c>
      <x:c r="AH57" s="61" t="s">
        <x:v>1437</x:v>
      </x:c>
      <x:c r="AI57" s="61" t="s">
        <x:v>1437</x:v>
      </x:c>
      <x:c r="AJ57" s="61" t="s">
        <x:v>1437</x:v>
      </x:c>
      <x:c r="AK57" s="61" t="s">
        <x:v>1437</x:v>
      </x:c>
      <x:c r="AL57" s="61"/>
      <x:c r="AM57" s="61" t="s">
        <x:v>1437</x:v>
      </x:c>
      <x:c r="AN57" s="73" t="str">
        <x:f t="shared" si="5"/>
        <x:v>Belum Dinilai</x:v>
      </x:c>
      <x:c r="AO57" s="73" t="str">
        <x:f t="shared" si="6"/>
        <x:v>Belum Dinilai</x:v>
      </x:c>
      <x:c r="AP57" s="61"/>
      <x:c r="AQ57" s="64">
        <x:f t="shared" si="7"/>
        <x:v>36</x:v>
      </x:c>
      <x:c r="AR57" s="64" t="str">
        <x:f t="shared" si="8"/>
      </x:c>
      <x:c r="AS57" s="64" t="str">
        <x:f t="shared" si="9"/>
      </x:c>
      <x:c r="AT57" s="62" t="str">
        <x:f t="shared" si="10"/>
        <x:v>Belum Dapat Ditentukan</x:v>
      </x:c>
      <x:c r="AU57" s="59" t="s">
        <x:v>1424</x:v>
      </x:c>
      <x:c r="AV57" s="59" t="s">
        <x:v>1425</x:v>
      </x:c>
      <x:c r="AW57" s="59" t="s">
        <x:v>1410</x:v>
      </x:c>
      <x:c r="AX57" s="59" t="s">
        <x:v>1411</x:v>
      </x:c>
      <x:c r="AY57" s="59"/>
      <x:c r="AZ57" s="59" t="s">
        <x:v>1409</x:v>
      </x:c>
      <x:c r="BA57" s="59"/>
      <x:c r="BB57" s="167"/>
      <x:c r="BC57" s="65">
        <x:v>2026</x:v>
      </x:c>
      <x:c r="BD57" s="59"/>
      <x:c r="BE57" s="167"/>
      <x:c r="BF57" s="59" t="s">
        <x:v>1501</x:v>
      </x:c>
    </x:row>
    <x:row r="58" ht="42">
      <x:c r="A58" s="59" t="s">
        <x:v>1736</x:v>
      </x:c>
      <x:c r="B58" s="59" t="s">
        <x:v>1737</x:v>
      </x:c>
      <x:c r="C58" s="59"/>
      <x:c r="D58" s="59"/>
      <x:c r="E58" s="59" t="s">
        <x:v>1524</x:v>
      </x:c>
      <x:c r="F58" s="59" t="s">
        <x:v>1727</x:v>
      </x:c>
      <x:c r="G58" s="59" t="s">
        <x:v>1512</x:v>
      </x:c>
      <x:c r="H58" s="59" t="s">
        <x:v>1399</x:v>
      </x:c>
      <x:c r="I58" s="59" t="s">
        <x:v>1738</x:v>
      </x:c>
      <x:c r="J58" s="59" t="s">
        <x:v>1416</x:v>
      </x:c>
      <x:c r="K58" s="59" t="s">
        <x:v>1432</x:v>
      </x:c>
      <x:c r="L58" s="59" t="s">
        <x:v>1433</x:v>
      </x:c>
      <x:c r="M58" s="59" t="s">
        <x:v>1489</x:v>
      </x:c>
      <x:c r="N58" s="59" t="s">
        <x:v>1433</x:v>
      </x:c>
      <x:c r="O58" s="59" t="s">
        <x:v>1522</x:v>
      </x:c>
      <x:c r="P58" s="59" t="s">
        <x:v>1437</x:v>
      </x:c>
      <x:c r="Q58" s="75" t="s">
        <x:v>1437</x:v>
      </x:c>
      <x:c r="R58" s="75" t="s">
        <x:v>1437</x:v>
      </x:c>
      <x:c r="S58" s="75" t="s">
        <x:v>1437</x:v>
      </x:c>
      <x:c r="T58" s="75" t="s">
        <x:v>1437</x:v>
      </x:c>
      <x:c r="U58" s="75" t="s">
        <x:v>1437</x:v>
      </x:c>
      <x:c r="V58" s="75" t="s">
        <x:v>1437</x:v>
      </x:c>
      <x:c r="W58" s="60"/>
      <x:c r="X58" s="73" t="str">
        <x:f t="shared" si="0"/>
        <x:v>Belum Dinilai</x:v>
      </x:c>
      <x:c r="Y58" s="73" t="str">
        <x:f t="shared" si="1"/>
        <x:v>Belum Dinilai</x:v>
      </x:c>
      <x:c r="Z58" s="74" t="str">
        <x:f t="shared" si="2"/>
      </x:c>
      <x:c r="AA58" s="74" t="str">
        <x:f t="shared" si="3"/>
      </x:c>
      <x:c r="AB58" s="74" t="str">
        <x:f t="shared" si="4"/>
      </x:c>
      <x:c r="AC58" s="61" t="s">
        <x:v>1437</x:v>
      </x:c>
      <x:c r="AD58" s="61" t="s">
        <x:v>1437</x:v>
      </x:c>
      <x:c r="AE58" s="61" t="s">
        <x:v>1437</x:v>
      </x:c>
      <x:c r="AF58" s="61" t="s">
        <x:v>1437</x:v>
      </x:c>
      <x:c r="AG58" s="61" t="s">
        <x:v>1437</x:v>
      </x:c>
      <x:c r="AH58" s="61" t="s">
        <x:v>1437</x:v>
      </x:c>
      <x:c r="AI58" s="61" t="s">
        <x:v>1437</x:v>
      </x:c>
      <x:c r="AJ58" s="61" t="s">
        <x:v>1437</x:v>
      </x:c>
      <x:c r="AK58" s="61" t="s">
        <x:v>1437</x:v>
      </x:c>
      <x:c r="AL58" s="61"/>
      <x:c r="AM58" s="61" t="s">
        <x:v>1437</x:v>
      </x:c>
      <x:c r="AN58" s="73" t="str">
        <x:f t="shared" si="5"/>
        <x:v>Belum Dinilai</x:v>
      </x:c>
      <x:c r="AO58" s="73" t="str">
        <x:f t="shared" si="6"/>
        <x:v>Belum Dinilai</x:v>
      </x:c>
      <x:c r="AP58" s="61"/>
      <x:c r="AQ58" s="64" t="str">
        <x:f t="shared" si="7"/>
      </x:c>
      <x:c r="AR58" s="64" t="str">
        <x:f t="shared" si="8"/>
      </x:c>
      <x:c r="AS58" s="64" t="str">
        <x:f t="shared" si="9"/>
      </x:c>
      <x:c r="AT58" s="62" t="str">
        <x:f t="shared" si="10"/>
        <x:v>Belum Dapat Ditentukan</x:v>
      </x:c>
      <x:c r="AU58" s="59" t="s">
        <x:v>1424</x:v>
      </x:c>
      <x:c r="AV58" s="59" t="s">
        <x:v>1425</x:v>
      </x:c>
      <x:c r="AW58" s="59" t="s">
        <x:v>1410</x:v>
      </x:c>
      <x:c r="AX58" s="59" t="s">
        <x:v>1411</x:v>
      </x:c>
      <x:c r="AY58" s="59"/>
      <x:c r="AZ58" s="59" t="s">
        <x:v>1409</x:v>
      </x:c>
      <x:c r="BA58" s="59"/>
      <x:c r="BB58" s="167"/>
      <x:c r="BC58" s="65">
        <x:v>2026</x:v>
      </x:c>
      <x:c r="BD58" s="59"/>
      <x:c r="BE58" s="167"/>
      <x:c r="BF58" s="59" t="s">
        <x:v>1501</x:v>
      </x:c>
    </x:row>
    <x:row r="59" ht="28">
      <x:c r="A59" s="59" t="s">
        <x:v>1739</x:v>
      </x:c>
      <x:c r="B59" s="59" t="s">
        <x:v>1740</x:v>
      </x:c>
      <x:c r="C59" s="59"/>
      <x:c r="D59" s="59"/>
      <x:c r="E59" s="59" t="s">
        <x:v>1741</x:v>
      </x:c>
      <x:c r="F59" s="59" t="s">
        <x:v>1742</x:v>
      </x:c>
      <x:c r="G59" s="59" t="s">
        <x:v>1549</x:v>
      </x:c>
      <x:c r="H59" s="59" t="s">
        <x:v>1415</x:v>
      </x:c>
      <x:c r="I59" s="59" t="s">
        <x:v>1743</x:v>
      </x:c>
      <x:c r="J59" s="59" t="s">
        <x:v>1485</x:v>
      </x:c>
      <x:c r="K59" s="59" t="s">
        <x:v>1432</x:v>
      </x:c>
      <x:c r="L59" s="59" t="s">
        <x:v>1437</x:v>
      </x:c>
      <x:c r="M59" s="59" t="s">
        <x:v>1522</x:v>
      </x:c>
      <x:c r="N59" s="59" t="s">
        <x:v>1437</x:v>
      </x:c>
      <x:c r="O59" s="59" t="s">
        <x:v>1522</x:v>
      </x:c>
      <x:c r="P59" s="59" t="s">
        <x:v>1437</x:v>
      </x:c>
      <x:c r="Q59" s="75" t="s">
        <x:v>1437</x:v>
      </x:c>
      <x:c r="R59" s="75" t="s">
        <x:v>1437</x:v>
      </x:c>
      <x:c r="S59" s="75" t="s">
        <x:v>1437</x:v>
      </x:c>
      <x:c r="T59" s="75" t="s">
        <x:v>1437</x:v>
      </x:c>
      <x:c r="U59" s="75" t="s">
        <x:v>1437</x:v>
      </x:c>
      <x:c r="V59" s="75" t="s">
        <x:v>1437</x:v>
      </x:c>
      <x:c r="W59" s="60"/>
      <x:c r="X59" s="73" t="str">
        <x:f t="shared" si="0"/>
        <x:v>Belum Dinilai</x:v>
      </x:c>
      <x:c r="Y59" s="73" t="str">
        <x:f t="shared" si="1"/>
        <x:v>Belum Dinilai</x:v>
      </x:c>
      <x:c r="Z59" s="74" t="str">
        <x:f t="shared" si="2"/>
      </x:c>
      <x:c r="AA59" s="74" t="str">
        <x:f t="shared" si="3"/>
      </x:c>
      <x:c r="AB59" s="74" t="str">
        <x:f t="shared" si="4"/>
      </x:c>
      <x:c r="AC59" s="61" t="s">
        <x:v>1437</x:v>
      </x:c>
      <x:c r="AD59" s="61" t="s">
        <x:v>1437</x:v>
      </x:c>
      <x:c r="AE59" s="61" t="s">
        <x:v>1437</x:v>
      </x:c>
      <x:c r="AF59" s="61" t="s">
        <x:v>1437</x:v>
      </x:c>
      <x:c r="AG59" s="61" t="s">
        <x:v>1437</x:v>
      </x:c>
      <x:c r="AH59" s="61" t="s">
        <x:v>1437</x:v>
      </x:c>
      <x:c r="AI59" s="61" t="s">
        <x:v>1437</x:v>
      </x:c>
      <x:c r="AJ59" s="61" t="s">
        <x:v>1437</x:v>
      </x:c>
      <x:c r="AK59" s="61" t="s">
        <x:v>1437</x:v>
      </x:c>
      <x:c r="AL59" s="61"/>
      <x:c r="AM59" s="61" t="s">
        <x:v>1437</x:v>
      </x:c>
      <x:c r="AN59" s="73" t="str">
        <x:f t="shared" si="5"/>
        <x:v>Belum Dinilai</x:v>
      </x:c>
      <x:c r="AO59" s="73" t="str">
        <x:f t="shared" si="6"/>
        <x:v>Belum Dinilai</x:v>
      </x:c>
      <x:c r="AP59" s="61"/>
      <x:c r="AQ59" s="64" t="str">
        <x:f t="shared" si="7"/>
      </x:c>
      <x:c r="AR59" s="64" t="str">
        <x:f t="shared" si="8"/>
      </x:c>
      <x:c r="AS59" s="64" t="str">
        <x:f t="shared" si="9"/>
      </x:c>
      <x:c r="AT59" s="62" t="str">
        <x:f t="shared" si="10"/>
        <x:v>Belum Dapat Ditentukan</x:v>
      </x:c>
      <x:c r="AU59" s="59" t="s">
        <x:v>1424</x:v>
      </x:c>
      <x:c r="AV59" s="59" t="s">
        <x:v>1425</x:v>
      </x:c>
      <x:c r="AW59" s="59" t="s">
        <x:v>1410</x:v>
      </x:c>
      <x:c r="AX59" s="59" t="s">
        <x:v>1411</x:v>
      </x:c>
      <x:c r="AY59" s="59"/>
      <x:c r="AZ59" s="59" t="s">
        <x:v>1409</x:v>
      </x:c>
      <x:c r="BA59" s="59"/>
      <x:c r="BB59" s="167"/>
      <x:c r="BC59" s="65">
        <x:v>2026</x:v>
      </x:c>
      <x:c r="BD59" s="59"/>
      <x:c r="BE59" s="167"/>
      <x:c r="BF59" s="59" t="s">
        <x:v>1501</x:v>
      </x:c>
    </x:row>
    <x:row r="60" ht="28">
      <x:c r="A60" s="59" t="s">
        <x:v>1744</x:v>
      </x:c>
      <x:c r="B60" s="59" t="s">
        <x:v>1745</x:v>
      </x:c>
      <x:c r="C60" s="59"/>
      <x:c r="D60" s="59"/>
      <x:c r="E60" s="59" t="s">
        <x:v>1746</x:v>
      </x:c>
      <x:c r="F60" s="59" t="s">
        <x:v>1636</x:v>
      </x:c>
      <x:c r="G60" s="59" t="s">
        <x:v>1585</x:v>
      </x:c>
      <x:c r="H60" s="59" t="s">
        <x:v>1415</x:v>
      </x:c>
      <x:c r="I60" s="59" t="s">
        <x:v>1747</x:v>
      </x:c>
      <x:c r="J60" s="59" t="s">
        <x:v>1485</x:v>
      </x:c>
      <x:c r="K60" s="59" t="s">
        <x:v>1432</x:v>
      </x:c>
      <x:c r="L60" s="59" t="s">
        <x:v>1487</x:v>
      </x:c>
      <x:c r="M60" s="59" t="s">
        <x:v>1522</x:v>
      </x:c>
      <x:c r="N60" s="59" t="s">
        <x:v>1487</x:v>
      </x:c>
      <x:c r="O60" s="59" t="s">
        <x:v>1522</x:v>
      </x:c>
      <x:c r="P60" s="59" t="s">
        <x:v>1437</x:v>
      </x:c>
      <x:c r="Q60" s="75" t="s">
        <x:v>1437</x:v>
      </x:c>
      <x:c r="R60" s="75" t="s">
        <x:v>1437</x:v>
      </x:c>
      <x:c r="S60" s="75" t="s">
        <x:v>1437</x:v>
      </x:c>
      <x:c r="T60" s="75" t="s">
        <x:v>1437</x:v>
      </x:c>
      <x:c r="U60" s="75" t="s">
        <x:v>1437</x:v>
      </x:c>
      <x:c r="V60" s="75" t="s">
        <x:v>1437</x:v>
      </x:c>
      <x:c r="W60" s="60"/>
      <x:c r="X60" s="73" t="str">
        <x:f t="shared" si="0"/>
        <x:v>Belum Dinilai</x:v>
      </x:c>
      <x:c r="Y60" s="73" t="str">
        <x:f t="shared" si="1"/>
        <x:v>Belum Dinilai</x:v>
      </x:c>
      <x:c r="Z60" s="74" t="str">
        <x:f t="shared" si="2"/>
      </x:c>
      <x:c r="AA60" s="74" t="str">
        <x:f t="shared" si="3"/>
      </x:c>
      <x:c r="AB60" s="74" t="str">
        <x:f t="shared" si="4"/>
      </x:c>
      <x:c r="AC60" s="61" t="s">
        <x:v>1437</x:v>
      </x:c>
      <x:c r="AD60" s="61" t="s">
        <x:v>1437</x:v>
      </x:c>
      <x:c r="AE60" s="61" t="s">
        <x:v>1437</x:v>
      </x:c>
      <x:c r="AF60" s="61" t="s">
        <x:v>1437</x:v>
      </x:c>
      <x:c r="AG60" s="61" t="s">
        <x:v>1437</x:v>
      </x:c>
      <x:c r="AH60" s="61" t="s">
        <x:v>1437</x:v>
      </x:c>
      <x:c r="AI60" s="61" t="s">
        <x:v>1437</x:v>
      </x:c>
      <x:c r="AJ60" s="61" t="s">
        <x:v>1437</x:v>
      </x:c>
      <x:c r="AK60" s="61" t="s">
        <x:v>1437</x:v>
      </x:c>
      <x:c r="AL60" s="61"/>
      <x:c r="AM60" s="61" t="s">
        <x:v>1437</x:v>
      </x:c>
      <x:c r="AN60" s="73" t="str">
        <x:f t="shared" si="5"/>
        <x:v>Belum Dinilai</x:v>
      </x:c>
      <x:c r="AO60" s="73" t="str">
        <x:f t="shared" si="6"/>
        <x:v>Belum Dinilai</x:v>
      </x:c>
      <x:c r="AP60" s="61"/>
      <x:c r="AQ60" s="64" t="str">
        <x:f t="shared" si="7"/>
      </x:c>
      <x:c r="AR60" s="64" t="str">
        <x:f t="shared" si="8"/>
      </x:c>
      <x:c r="AS60" s="64" t="str">
        <x:f t="shared" si="9"/>
      </x:c>
      <x:c r="AT60" s="62" t="str">
        <x:f t="shared" si="10"/>
        <x:v>Belum Dapat Ditentukan</x:v>
      </x:c>
      <x:c r="AU60" s="59" t="s">
        <x:v>1424</x:v>
      </x:c>
      <x:c r="AV60" s="59" t="s">
        <x:v>1425</x:v>
      </x:c>
      <x:c r="AW60" s="59" t="s">
        <x:v>1523</x:v>
      </x:c>
      <x:c r="AX60" s="59" t="s">
        <x:v>1427</x:v>
      </x:c>
      <x:c r="AY60" s="59">
        <x:v>2024</x:v>
      </x:c>
      <x:c r="AZ60" s="59" t="s">
        <x:v>1409</x:v>
      </x:c>
      <x:c r="BA60" s="59"/>
      <x:c r="BB60" s="167"/>
      <x:c r="BC60" s="65">
        <x:v>2026</x:v>
      </x:c>
      <x:c r="BD60" s="59"/>
      <x:c r="BE60" s="167"/>
      <x:c r="BF60" s="59" t="s">
        <x:v>1501</x:v>
      </x:c>
    </x:row>
    <x:row r="61" ht="28">
      <x:c r="A61" s="59" t="s">
        <x:v>1748</x:v>
      </x:c>
      <x:c r="B61" s="59" t="s">
        <x:v>1749</x:v>
      </x:c>
      <x:c r="C61" s="59"/>
      <x:c r="D61" s="59"/>
      <x:c r="E61" s="59" t="s">
        <x:v>1750</x:v>
      </x:c>
      <x:c r="F61" s="59" t="s">
        <x:v>1695</x:v>
      </x:c>
      <x:c r="G61" s="59" t="s">
        <x:v>1534</x:v>
      </x:c>
      <x:c r="H61" s="59" t="s">
        <x:v>1399</x:v>
      </x:c>
      <x:c r="I61" s="59" t="s">
        <x:v>1751</x:v>
      </x:c>
      <x:c r="J61" s="59" t="s">
        <x:v>1485</x:v>
      </x:c>
      <x:c r="K61" s="59" t="s">
        <x:v>1516</x:v>
      </x:c>
      <x:c r="L61" s="59" t="s">
        <x:v>1437</x:v>
      </x:c>
      <x:c r="M61" s="59" t="s">
        <x:v>1417</x:v>
      </x:c>
      <x:c r="N61" s="59" t="s">
        <x:v>1437</x:v>
      </x:c>
      <x:c r="O61" s="59" t="s">
        <x:v>1522</x:v>
      </x:c>
      <x:c r="P61" s="59" t="s">
        <x:v>1437</x:v>
      </x:c>
      <x:c r="Q61" s="75" t="s">
        <x:v>1437</x:v>
      </x:c>
      <x:c r="R61" s="75" t="s">
        <x:v>1437</x:v>
      </x:c>
      <x:c r="S61" s="75" t="s">
        <x:v>1437</x:v>
      </x:c>
      <x:c r="T61" s="75" t="s">
        <x:v>1437</x:v>
      </x:c>
      <x:c r="U61" s="75" t="s">
        <x:v>1437</x:v>
      </x:c>
      <x:c r="V61" s="75" t="s">
        <x:v>1437</x:v>
      </x:c>
      <x:c r="W61" s="60"/>
      <x:c r="X61" s="73" t="str">
        <x:f t="shared" si="0"/>
        <x:v>Belum Dinilai</x:v>
      </x:c>
      <x:c r="Y61" s="73" t="str">
        <x:f t="shared" si="1"/>
        <x:v>Belum Dinilai</x:v>
      </x:c>
      <x:c r="Z61" s="74" t="str">
        <x:f t="shared" si="2"/>
      </x:c>
      <x:c r="AA61" s="74" t="str">
        <x:f t="shared" si="3"/>
      </x:c>
      <x:c r="AB61" s="74" t="str">
        <x:f t="shared" si="4"/>
      </x:c>
      <x:c r="AC61" s="61" t="s">
        <x:v>1437</x:v>
      </x:c>
      <x:c r="AD61" s="61" t="s">
        <x:v>1437</x:v>
      </x:c>
      <x:c r="AE61" s="61" t="s">
        <x:v>1437</x:v>
      </x:c>
      <x:c r="AF61" s="61" t="s">
        <x:v>1437</x:v>
      </x:c>
      <x:c r="AG61" s="61" t="s">
        <x:v>1437</x:v>
      </x:c>
      <x:c r="AH61" s="61" t="s">
        <x:v>1437</x:v>
      </x:c>
      <x:c r="AI61" s="61" t="s">
        <x:v>1437</x:v>
      </x:c>
      <x:c r="AJ61" s="61" t="s">
        <x:v>1437</x:v>
      </x:c>
      <x:c r="AK61" s="61" t="s">
        <x:v>1437</x:v>
      </x:c>
      <x:c r="AL61" s="61"/>
      <x:c r="AM61" s="61" t="s">
        <x:v>1437</x:v>
      </x:c>
      <x:c r="AN61" s="73" t="str">
        <x:f t="shared" si="5"/>
        <x:v>Belum Dinilai</x:v>
      </x:c>
      <x:c r="AO61" s="73" t="str">
        <x:f t="shared" si="6"/>
        <x:v>Belum Dinilai</x:v>
      </x:c>
      <x:c r="AP61" s="61"/>
      <x:c r="AQ61" s="64" t="str">
        <x:f t="shared" si="7"/>
      </x:c>
      <x:c r="AR61" s="64" t="str">
        <x:f t="shared" si="8"/>
      </x:c>
      <x:c r="AS61" s="64" t="str">
        <x:f t="shared" si="9"/>
      </x:c>
      <x:c r="AT61" s="62" t="str">
        <x:f t="shared" si="10"/>
        <x:v>Belum Dapat Ditentukan</x:v>
      </x:c>
      <x:c r="AU61" s="59" t="s">
        <x:v>1424</x:v>
      </x:c>
      <x:c r="AV61" s="59" t="s">
        <x:v>1425</x:v>
      </x:c>
      <x:c r="AW61" s="59" t="s">
        <x:v>1410</x:v>
      </x:c>
      <x:c r="AX61" s="59" t="s">
        <x:v>1411</x:v>
      </x:c>
      <x:c r="AY61" s="59"/>
      <x:c r="AZ61" s="59" t="s">
        <x:v>1409</x:v>
      </x:c>
      <x:c r="BA61" s="59"/>
      <x:c r="BB61" s="167"/>
      <x:c r="BC61" s="65">
        <x:v>2026</x:v>
      </x:c>
      <x:c r="BD61" s="59"/>
      <x:c r="BE61" s="167"/>
      <x:c r="BF61" s="59" t="s">
        <x:v>1501</x:v>
      </x:c>
    </x:row>
    <x:row r="62" ht="28">
      <x:c r="A62" s="59" t="s">
        <x:v>1752</x:v>
      </x:c>
      <x:c r="B62" s="59" t="s">
        <x:v>1753</x:v>
      </x:c>
      <x:c r="C62" s="59"/>
      <x:c r="D62" s="59"/>
      <x:c r="E62" s="59" t="s">
        <x:v>1754</x:v>
      </x:c>
      <x:c r="F62" s="59" t="s">
        <x:v>1755</x:v>
      </x:c>
      <x:c r="G62" s="59" t="s">
        <x:v>1575</x:v>
      </x:c>
      <x:c r="H62" s="59" t="s">
        <x:v>1415</x:v>
      </x:c>
      <x:c r="I62" s="59" t="s">
        <x:v>1756</x:v>
      </x:c>
      <x:c r="J62" s="59" t="s">
        <x:v>1485</x:v>
      </x:c>
      <x:c r="K62" s="59" t="s">
        <x:v>1522</x:v>
      </x:c>
      <x:c r="L62" s="59" t="s">
        <x:v>1437</x:v>
      </x:c>
      <x:c r="M62" s="59" t="s">
        <x:v>1522</x:v>
      </x:c>
      <x:c r="N62" s="59" t="s">
        <x:v>1437</x:v>
      </x:c>
      <x:c r="O62" s="59" t="s">
        <x:v>1522</x:v>
      </x:c>
      <x:c r="P62" s="59" t="s">
        <x:v>1437</x:v>
      </x:c>
      <x:c r="Q62" s="75" t="s">
        <x:v>1437</x:v>
      </x:c>
      <x:c r="R62" s="75" t="s">
        <x:v>1437</x:v>
      </x:c>
      <x:c r="S62" s="75" t="s">
        <x:v>1437</x:v>
      </x:c>
      <x:c r="T62" s="75" t="s">
        <x:v>1437</x:v>
      </x:c>
      <x:c r="U62" s="75" t="s">
        <x:v>1437</x:v>
      </x:c>
      <x:c r="V62" s="75" t="s">
        <x:v>1437</x:v>
      </x:c>
      <x:c r="W62" s="60"/>
      <x:c r="X62" s="73" t="str">
        <x:f t="shared" si="0"/>
        <x:v>Belum Dinilai</x:v>
      </x:c>
      <x:c r="Y62" s="73" t="str">
        <x:f t="shared" si="1"/>
        <x:v>Belum Dinilai</x:v>
      </x:c>
      <x:c r="Z62" s="74" t="str">
        <x:f t="shared" si="2"/>
      </x:c>
      <x:c r="AA62" s="74" t="str">
        <x:f t="shared" si="3"/>
      </x:c>
      <x:c r="AB62" s="74" t="str">
        <x:f t="shared" si="4"/>
      </x:c>
      <x:c r="AC62" s="61" t="s">
        <x:v>1437</x:v>
      </x:c>
      <x:c r="AD62" s="61" t="s">
        <x:v>1437</x:v>
      </x:c>
      <x:c r="AE62" s="61" t="s">
        <x:v>1437</x:v>
      </x:c>
      <x:c r="AF62" s="61" t="s">
        <x:v>1437</x:v>
      </x:c>
      <x:c r="AG62" s="61" t="s">
        <x:v>1437</x:v>
      </x:c>
      <x:c r="AH62" s="61" t="s">
        <x:v>1437</x:v>
      </x:c>
      <x:c r="AI62" s="61" t="s">
        <x:v>1437</x:v>
      </x:c>
      <x:c r="AJ62" s="61" t="s">
        <x:v>1437</x:v>
      </x:c>
      <x:c r="AK62" s="61" t="s">
        <x:v>1437</x:v>
      </x:c>
      <x:c r="AL62" s="61"/>
      <x:c r="AM62" s="61" t="s">
        <x:v>1437</x:v>
      </x:c>
      <x:c r="AN62" s="73" t="str">
        <x:f t="shared" si="5"/>
        <x:v>Belum Dinilai</x:v>
      </x:c>
      <x:c r="AO62" s="73" t="str">
        <x:f t="shared" si="6"/>
        <x:v>Belum Dinilai</x:v>
      </x:c>
      <x:c r="AP62" s="61"/>
      <x:c r="AQ62" s="64" t="str">
        <x:f t="shared" si="7"/>
      </x:c>
      <x:c r="AR62" s="64" t="str">
        <x:f t="shared" si="8"/>
      </x:c>
      <x:c r="AS62" s="64" t="str">
        <x:f t="shared" si="9"/>
      </x:c>
      <x:c r="AT62" s="62" t="str">
        <x:f t="shared" si="10"/>
        <x:v>Belum Dapat Ditentukan</x:v>
      </x:c>
      <x:c r="AU62" s="59" t="s">
        <x:v>1424</x:v>
      </x:c>
      <x:c r="AV62" s="59" t="s">
        <x:v>1425</x:v>
      </x:c>
      <x:c r="AW62" s="59" t="s">
        <x:v>1410</x:v>
      </x:c>
      <x:c r="AX62" s="59" t="s">
        <x:v>1411</x:v>
      </x:c>
      <x:c r="AY62" s="59"/>
      <x:c r="AZ62" s="59" t="s">
        <x:v>1409</x:v>
      </x:c>
      <x:c r="BA62" s="59"/>
      <x:c r="BB62" s="167"/>
      <x:c r="BC62" s="65">
        <x:v>2026</x:v>
      </x:c>
      <x:c r="BD62" s="59"/>
      <x:c r="BE62" s="167"/>
      <x:c r="BF62" s="59" t="s">
        <x:v>1501</x:v>
      </x:c>
    </x:row>
    <x:row r="63" ht="28">
      <x:c r="A63" s="59" t="s">
        <x:v>1757</x:v>
      </x:c>
      <x:c r="B63" s="59" t="s">
        <x:v>1758</x:v>
      </x:c>
      <x:c r="C63" s="59"/>
      <x:c r="D63" s="59"/>
      <x:c r="E63" s="59" t="s">
        <x:v>1759</x:v>
      </x:c>
      <x:c r="F63" s="59" t="s">
        <x:v>1760</x:v>
      </x:c>
      <x:c r="G63" s="59" t="s">
        <x:v>1575</x:v>
      </x:c>
      <x:c r="H63" s="59" t="s">
        <x:v>1415</x:v>
      </x:c>
      <x:c r="I63" s="59" t="s">
        <x:v>1756</x:v>
      </x:c>
      <x:c r="J63" s="59" t="s">
        <x:v>1485</x:v>
      </x:c>
      <x:c r="K63" s="59" t="s">
        <x:v>1522</x:v>
      </x:c>
      <x:c r="L63" s="59" t="s">
        <x:v>1437</x:v>
      </x:c>
      <x:c r="M63" s="59" t="s">
        <x:v>1522</x:v>
      </x:c>
      <x:c r="N63" s="59" t="s">
        <x:v>1437</x:v>
      </x:c>
      <x:c r="O63" s="59" t="s">
        <x:v>1522</x:v>
      </x:c>
      <x:c r="P63" s="59" t="s">
        <x:v>1437</x:v>
      </x:c>
      <x:c r="Q63" s="75" t="s">
        <x:v>1437</x:v>
      </x:c>
      <x:c r="R63" s="75" t="s">
        <x:v>1437</x:v>
      </x:c>
      <x:c r="S63" s="75" t="s">
        <x:v>1437</x:v>
      </x:c>
      <x:c r="T63" s="75" t="s">
        <x:v>1437</x:v>
      </x:c>
      <x:c r="U63" s="75" t="s">
        <x:v>1437</x:v>
      </x:c>
      <x:c r="V63" s="75" t="s">
        <x:v>1437</x:v>
      </x:c>
      <x:c r="W63" s="60"/>
      <x:c r="X63" s="73" t="str">
        <x:f t="shared" si="0"/>
        <x:v>Belum Dinilai</x:v>
      </x:c>
      <x:c r="Y63" s="73" t="str">
        <x:f t="shared" si="1"/>
        <x:v>Belum Dinilai</x:v>
      </x:c>
      <x:c r="Z63" s="74" t="str">
        <x:f t="shared" si="2"/>
      </x:c>
      <x:c r="AA63" s="74" t="str">
        <x:f t="shared" si="3"/>
      </x:c>
      <x:c r="AB63" s="74" t="str">
        <x:f t="shared" si="4"/>
      </x:c>
      <x:c r="AC63" s="61" t="s">
        <x:v>1437</x:v>
      </x:c>
      <x:c r="AD63" s="61" t="s">
        <x:v>1437</x:v>
      </x:c>
      <x:c r="AE63" s="61" t="s">
        <x:v>1437</x:v>
      </x:c>
      <x:c r="AF63" s="61" t="s">
        <x:v>1437</x:v>
      </x:c>
      <x:c r="AG63" s="61" t="s">
        <x:v>1437</x:v>
      </x:c>
      <x:c r="AH63" s="61" t="s">
        <x:v>1437</x:v>
      </x:c>
      <x:c r="AI63" s="61" t="s">
        <x:v>1437</x:v>
      </x:c>
      <x:c r="AJ63" s="61" t="s">
        <x:v>1437</x:v>
      </x:c>
      <x:c r="AK63" s="61" t="s">
        <x:v>1437</x:v>
      </x:c>
      <x:c r="AL63" s="61"/>
      <x:c r="AM63" s="61" t="s">
        <x:v>1437</x:v>
      </x:c>
      <x:c r="AN63" s="73" t="str">
        <x:f t="shared" si="5"/>
        <x:v>Belum Dinilai</x:v>
      </x:c>
      <x:c r="AO63" s="73" t="str">
        <x:f t="shared" si="6"/>
        <x:v>Belum Dinilai</x:v>
      </x:c>
      <x:c r="AP63" s="61"/>
      <x:c r="AQ63" s="64" t="str">
        <x:f t="shared" si="7"/>
      </x:c>
      <x:c r="AR63" s="64" t="str">
        <x:f t="shared" si="8"/>
      </x:c>
      <x:c r="AS63" s="64" t="str">
        <x:f t="shared" si="9"/>
      </x:c>
      <x:c r="AT63" s="62" t="str">
        <x:f t="shared" si="10"/>
        <x:v>Belum Dapat Ditentukan</x:v>
      </x:c>
      <x:c r="AU63" s="59" t="s">
        <x:v>1424</x:v>
      </x:c>
      <x:c r="AV63" s="59" t="s">
        <x:v>1425</x:v>
      </x:c>
      <x:c r="AW63" s="59" t="s">
        <x:v>1410</x:v>
      </x:c>
      <x:c r="AX63" s="59" t="s">
        <x:v>1411</x:v>
      </x:c>
      <x:c r="AY63" s="59"/>
      <x:c r="AZ63" s="59" t="s">
        <x:v>1409</x:v>
      </x:c>
      <x:c r="BA63" s="59"/>
      <x:c r="BB63" s="167"/>
      <x:c r="BC63" s="65">
        <x:v>2026</x:v>
      </x:c>
      <x:c r="BD63" s="59"/>
      <x:c r="BE63" s="167"/>
      <x:c r="BF63" s="59" t="s">
        <x:v>1501</x:v>
      </x:c>
    </x:row>
    <x:row r="64" ht="28">
      <x:c r="A64" s="59" t="s">
        <x:v>1761</x:v>
      </x:c>
      <x:c r="B64" s="59" t="s">
        <x:v>1762</x:v>
      </x:c>
      <x:c r="C64" s="59"/>
      <x:c r="D64" s="59"/>
      <x:c r="E64" s="59" t="s">
        <x:v>1759</x:v>
      </x:c>
      <x:c r="F64" s="59" t="s">
        <x:v>1760</x:v>
      </x:c>
      <x:c r="G64" s="59" t="s">
        <x:v>1575</x:v>
      </x:c>
      <x:c r="H64" s="59" t="s">
        <x:v>1415</x:v>
      </x:c>
      <x:c r="I64" s="59" t="s">
        <x:v>1756</x:v>
      </x:c>
      <x:c r="J64" s="59" t="s">
        <x:v>1485</x:v>
      </x:c>
      <x:c r="K64" s="59" t="s">
        <x:v>1522</x:v>
      </x:c>
      <x:c r="L64" s="59" t="s">
        <x:v>1437</x:v>
      </x:c>
      <x:c r="M64" s="59" t="s">
        <x:v>1522</x:v>
      </x:c>
      <x:c r="N64" s="59" t="s">
        <x:v>1437</x:v>
      </x:c>
      <x:c r="O64" s="59" t="s">
        <x:v>1522</x:v>
      </x:c>
      <x:c r="P64" s="59" t="s">
        <x:v>1437</x:v>
      </x:c>
      <x:c r="Q64" s="75" t="s">
        <x:v>1437</x:v>
      </x:c>
      <x:c r="R64" s="75" t="s">
        <x:v>1437</x:v>
      </x:c>
      <x:c r="S64" s="75" t="s">
        <x:v>1437</x:v>
      </x:c>
      <x:c r="T64" s="75" t="s">
        <x:v>1437</x:v>
      </x:c>
      <x:c r="U64" s="75" t="s">
        <x:v>1437</x:v>
      </x:c>
      <x:c r="V64" s="75" t="s">
        <x:v>1437</x:v>
      </x:c>
      <x:c r="W64" s="60"/>
      <x:c r="X64" s="73" t="str">
        <x:f t="shared" si="0"/>
        <x:v>Belum Dinilai</x:v>
      </x:c>
      <x:c r="Y64" s="73" t="str">
        <x:f t="shared" si="1"/>
        <x:v>Belum Dinilai</x:v>
      </x:c>
      <x:c r="Z64" s="74" t="str">
        <x:f t="shared" si="2"/>
      </x:c>
      <x:c r="AA64" s="74" t="str">
        <x:f t="shared" si="3"/>
      </x:c>
      <x:c r="AB64" s="74" t="str">
        <x:f t="shared" si="4"/>
      </x:c>
      <x:c r="AC64" s="61" t="s">
        <x:v>1437</x:v>
      </x:c>
      <x:c r="AD64" s="61" t="s">
        <x:v>1437</x:v>
      </x:c>
      <x:c r="AE64" s="61" t="s">
        <x:v>1437</x:v>
      </x:c>
      <x:c r="AF64" s="61" t="s">
        <x:v>1437</x:v>
      </x:c>
      <x:c r="AG64" s="61" t="s">
        <x:v>1437</x:v>
      </x:c>
      <x:c r="AH64" s="61" t="s">
        <x:v>1437</x:v>
      </x:c>
      <x:c r="AI64" s="61" t="s">
        <x:v>1437</x:v>
      </x:c>
      <x:c r="AJ64" s="61" t="s">
        <x:v>1437</x:v>
      </x:c>
      <x:c r="AK64" s="61" t="s">
        <x:v>1437</x:v>
      </x:c>
      <x:c r="AL64" s="61"/>
      <x:c r="AM64" s="61" t="s">
        <x:v>1437</x:v>
      </x:c>
      <x:c r="AN64" s="73" t="str">
        <x:f t="shared" si="5"/>
        <x:v>Belum Dinilai</x:v>
      </x:c>
      <x:c r="AO64" s="73" t="str">
        <x:f t="shared" si="6"/>
        <x:v>Belum Dinilai</x:v>
      </x:c>
      <x:c r="AP64" s="61"/>
      <x:c r="AQ64" s="64" t="str">
        <x:f t="shared" si="7"/>
      </x:c>
      <x:c r="AR64" s="64" t="str">
        <x:f t="shared" si="8"/>
      </x:c>
      <x:c r="AS64" s="64" t="str">
        <x:f t="shared" si="9"/>
      </x:c>
      <x:c r="AT64" s="62" t="str">
        <x:f t="shared" si="10"/>
        <x:v>Belum Dapat Ditentukan</x:v>
      </x:c>
      <x:c r="AU64" s="59" t="s">
        <x:v>1424</x:v>
      </x:c>
      <x:c r="AV64" s="59" t="s">
        <x:v>1425</x:v>
      </x:c>
      <x:c r="AW64" s="59" t="s">
        <x:v>1410</x:v>
      </x:c>
      <x:c r="AX64" s="59" t="s">
        <x:v>1411</x:v>
      </x:c>
      <x:c r="AY64" s="59"/>
      <x:c r="AZ64" s="59" t="s">
        <x:v>1409</x:v>
      </x:c>
      <x:c r="BA64" s="59"/>
      <x:c r="BB64" s="167"/>
      <x:c r="BC64" s="65">
        <x:v>2026</x:v>
      </x:c>
      <x:c r="BD64" s="59"/>
      <x:c r="BE64" s="167"/>
      <x:c r="BF64" s="59" t="s">
        <x:v>1501</x:v>
      </x:c>
    </x:row>
    <x:row r="65" ht="42">
      <x:c r="A65" s="59" t="s">
        <x:v>1763</x:v>
      </x:c>
      <x:c r="B65" s="59" t="s">
        <x:v>1764</x:v>
      </x:c>
      <x:c r="C65" s="59"/>
      <x:c r="D65" s="59"/>
      <x:c r="E65" s="59" t="s">
        <x:v>1765</x:v>
      </x:c>
      <x:c r="F65" s="59" t="s">
        <x:v>1548</x:v>
      </x:c>
      <x:c r="G65" s="59" t="s">
        <x:v>1549</x:v>
      </x:c>
      <x:c r="H65" s="59" t="s">
        <x:v>1415</x:v>
      </x:c>
      <x:c r="I65" s="59" t="s">
        <x:v>1766</x:v>
      </x:c>
      <x:c r="J65" s="59" t="s">
        <x:v>1400</x:v>
      </x:c>
      <x:c r="K65" s="59" t="s">
        <x:v>1401</x:v>
      </x:c>
      <x:c r="L65" s="59" t="s">
        <x:v>1437</x:v>
      </x:c>
      <x:c r="M65" s="59" t="s">
        <x:v>1403</x:v>
      </x:c>
      <x:c r="N65" s="59" t="s">
        <x:v>1437</x:v>
      </x:c>
      <x:c r="O65" s="59" t="s">
        <x:v>1522</x:v>
      </x:c>
      <x:c r="P65" s="59" t="s">
        <x:v>1437</x:v>
      </x:c>
      <x:c r="Q65" s="75" t="s">
        <x:v>1437</x:v>
      </x:c>
      <x:c r="R65" s="75" t="s">
        <x:v>1437</x:v>
      </x:c>
      <x:c r="S65" s="75" t="s">
        <x:v>1437</x:v>
      </x:c>
      <x:c r="T65" s="75" t="s">
        <x:v>1437</x:v>
      </x:c>
      <x:c r="U65" s="75" t="s">
        <x:v>1437</x:v>
      </x:c>
      <x:c r="V65" s="75" t="s">
        <x:v>1437</x:v>
      </x:c>
      <x:c r="W65" s="60"/>
      <x:c r="X65" s="73" t="str">
        <x:f t="shared" si="0"/>
        <x:v>Belum Dinilai</x:v>
      </x:c>
      <x:c r="Y65" s="73" t="str">
        <x:f t="shared" si="1"/>
        <x:v>Belum Dinilai</x:v>
      </x:c>
      <x:c r="Z65" s="74" t="str">
        <x:f t="shared" si="2"/>
      </x:c>
      <x:c r="AA65" s="74" t="str">
        <x:f t="shared" si="3"/>
      </x:c>
      <x:c r="AB65" s="74" t="str">
        <x:f t="shared" si="4"/>
      </x:c>
      <x:c r="AC65" s="61" t="s">
        <x:v>1437</x:v>
      </x:c>
      <x:c r="AD65" s="61" t="s">
        <x:v>1437</x:v>
      </x:c>
      <x:c r="AE65" s="61" t="s">
        <x:v>1437</x:v>
      </x:c>
      <x:c r="AF65" s="61" t="s">
        <x:v>1437</x:v>
      </x:c>
      <x:c r="AG65" s="61" t="s">
        <x:v>1437</x:v>
      </x:c>
      <x:c r="AH65" s="61" t="s">
        <x:v>1437</x:v>
      </x:c>
      <x:c r="AI65" s="61" t="s">
        <x:v>1437</x:v>
      </x:c>
      <x:c r="AJ65" s="61" t="s">
        <x:v>1437</x:v>
      </x:c>
      <x:c r="AK65" s="61" t="s">
        <x:v>1437</x:v>
      </x:c>
      <x:c r="AL65" s="61"/>
      <x:c r="AM65" s="61" t="s">
        <x:v>1437</x:v>
      </x:c>
      <x:c r="AN65" s="73" t="str">
        <x:f t="shared" si="5"/>
        <x:v>Belum Dinilai</x:v>
      </x:c>
      <x:c r="AO65" s="73" t="str">
        <x:f t="shared" si="6"/>
        <x:v>Belum Dinilai</x:v>
      </x:c>
      <x:c r="AP65" s="61"/>
      <x:c r="AQ65" s="64" t="str">
        <x:f t="shared" si="7"/>
      </x:c>
      <x:c r="AR65" s="64" t="str">
        <x:f t="shared" si="8"/>
      </x:c>
      <x:c r="AS65" s="64" t="str">
        <x:f t="shared" si="9"/>
      </x:c>
      <x:c r="AT65" s="62" t="str">
        <x:f t="shared" si="10"/>
        <x:v>Belum Dapat Ditentukan</x:v>
      </x:c>
      <x:c r="AU65" s="59" t="s">
        <x:v>1408</x:v>
      </x:c>
      <x:c r="AV65" s="59" t="s">
        <x:v>1425</x:v>
      </x:c>
      <x:c r="AW65" s="59" t="s">
        <x:v>1410</x:v>
      </x:c>
      <x:c r="AX65" s="59" t="s">
        <x:v>1411</x:v>
      </x:c>
      <x:c r="AY65" s="59"/>
      <x:c r="AZ65" s="59" t="s">
        <x:v>1409</x:v>
      </x:c>
      <x:c r="BA65" s="59"/>
      <x:c r="BB65" s="167"/>
      <x:c r="BC65" s="65">
        <x:v>2026</x:v>
      </x:c>
      <x:c r="BD65" s="59"/>
      <x:c r="BE65" s="167"/>
      <x:c r="BF65" s="59" t="s">
        <x:v>1501</x:v>
      </x:c>
    </x:row>
    <x:row r="66" ht="28">
      <x:c r="A66" s="59" t="s">
        <x:v>1767</x:v>
      </x:c>
      <x:c r="B66" s="59" t="s">
        <x:v>1768</x:v>
      </x:c>
      <x:c r="C66" s="59"/>
      <x:c r="D66" s="59"/>
      <x:c r="E66" s="59" t="s">
        <x:v>1769</x:v>
      </x:c>
      <x:c r="F66" s="59" t="s">
        <x:v>1548</x:v>
      </x:c>
      <x:c r="G66" s="59" t="s">
        <x:v>1549</x:v>
      </x:c>
      <x:c r="H66" s="59" t="s">
        <x:v>1415</x:v>
      </x:c>
      <x:c r="I66" s="59" t="s">
        <x:v>1770</x:v>
      </x:c>
      <x:c r="J66" s="59" t="s">
        <x:v>1400</x:v>
      </x:c>
      <x:c r="K66" s="59" t="s">
        <x:v>1401</x:v>
      </x:c>
      <x:c r="L66" s="59" t="s">
        <x:v>1437</x:v>
      </x:c>
      <x:c r="M66" s="59" t="s">
        <x:v>1403</x:v>
      </x:c>
      <x:c r="N66" s="59" t="s">
        <x:v>1437</x:v>
      </x:c>
      <x:c r="O66" s="59" t="s">
        <x:v>1522</x:v>
      </x:c>
      <x:c r="P66" s="59" t="s">
        <x:v>1437</x:v>
      </x:c>
      <x:c r="Q66" s="75" t="s">
        <x:v>1437</x:v>
      </x:c>
      <x:c r="R66" s="75" t="s">
        <x:v>1437</x:v>
      </x:c>
      <x:c r="S66" s="75" t="s">
        <x:v>1437</x:v>
      </x:c>
      <x:c r="T66" s="75" t="s">
        <x:v>1437</x:v>
      </x:c>
      <x:c r="U66" s="75" t="s">
        <x:v>1437</x:v>
      </x:c>
      <x:c r="V66" s="75" t="s">
        <x:v>1437</x:v>
      </x:c>
      <x:c r="W66" s="60"/>
      <x:c r="X66" s="73" t="str">
        <x:f t="shared" si="0"/>
        <x:v>Belum Dinilai</x:v>
      </x:c>
      <x:c r="Y66" s="73" t="str">
        <x:f t="shared" si="1"/>
        <x:v>Belum Dinilai</x:v>
      </x:c>
      <x:c r="Z66" s="74" t="str">
        <x:f t="shared" si="2"/>
      </x:c>
      <x:c r="AA66" s="74" t="str">
        <x:f t="shared" si="3"/>
      </x:c>
      <x:c r="AB66" s="74" t="str">
        <x:f t="shared" si="4"/>
      </x:c>
      <x:c r="AC66" s="61" t="s">
        <x:v>1437</x:v>
      </x:c>
      <x:c r="AD66" s="61" t="s">
        <x:v>1437</x:v>
      </x:c>
      <x:c r="AE66" s="61" t="s">
        <x:v>1437</x:v>
      </x:c>
      <x:c r="AF66" s="61" t="s">
        <x:v>1437</x:v>
      </x:c>
      <x:c r="AG66" s="61" t="s">
        <x:v>1437</x:v>
      </x:c>
      <x:c r="AH66" s="61" t="s">
        <x:v>1437</x:v>
      </x:c>
      <x:c r="AI66" s="61" t="s">
        <x:v>1437</x:v>
      </x:c>
      <x:c r="AJ66" s="61" t="s">
        <x:v>1437</x:v>
      </x:c>
      <x:c r="AK66" s="61" t="s">
        <x:v>1437</x:v>
      </x:c>
      <x:c r="AL66" s="61"/>
      <x:c r="AM66" s="61" t="s">
        <x:v>1437</x:v>
      </x:c>
      <x:c r="AN66" s="73" t="str">
        <x:f t="shared" si="5"/>
        <x:v>Belum Dinilai</x:v>
      </x:c>
      <x:c r="AO66" s="73" t="str">
        <x:f t="shared" si="6"/>
        <x:v>Belum Dinilai</x:v>
      </x:c>
      <x:c r="AP66" s="61"/>
      <x:c r="AQ66" s="64" t="str">
        <x:f t="shared" si="7"/>
      </x:c>
      <x:c r="AR66" s="64" t="str">
        <x:f t="shared" si="8"/>
      </x:c>
      <x:c r="AS66" s="64" t="str">
        <x:f t="shared" si="9"/>
      </x:c>
      <x:c r="AT66" s="62" t="str">
        <x:f t="shared" si="10"/>
        <x:v>Belum Dapat Ditentukan</x:v>
      </x:c>
      <x:c r="AU66" s="59" t="s">
        <x:v>1408</x:v>
      </x:c>
      <x:c r="AV66" s="59" t="s">
        <x:v>1425</x:v>
      </x:c>
      <x:c r="AW66" s="59" t="s">
        <x:v>1410</x:v>
      </x:c>
      <x:c r="AX66" s="59" t="s">
        <x:v>1411</x:v>
      </x:c>
      <x:c r="AY66" s="59"/>
      <x:c r="AZ66" s="59" t="s">
        <x:v>1409</x:v>
      </x:c>
      <x:c r="BA66" s="59"/>
      <x:c r="BB66" s="167"/>
      <x:c r="BC66" s="65">
        <x:v>2026</x:v>
      </x:c>
      <x:c r="BD66" s="59"/>
      <x:c r="BE66" s="167"/>
      <x:c r="BF66" s="59" t="s">
        <x:v>1501</x:v>
      </x:c>
    </x:row>
    <x:row r="67" ht="28">
      <x:c r="A67" s="59" t="s">
        <x:v>1771</x:v>
      </x:c>
      <x:c r="B67" s="59" t="s">
        <x:v>1772</x:v>
      </x:c>
      <x:c r="C67" s="59"/>
      <x:c r="D67" s="59"/>
      <x:c r="E67" s="59" t="s">
        <x:v>1773</x:v>
      </x:c>
      <x:c r="F67" s="59" t="s">
        <x:v>1774</x:v>
      </x:c>
      <x:c r="G67" s="59" t="s">
        <x:v>1549</x:v>
      </x:c>
      <x:c r="H67" s="59" t="s">
        <x:v>1415</x:v>
      </x:c>
      <x:c r="I67" s="59" t="s">
        <x:v>1775</x:v>
      </x:c>
      <x:c r="J67" s="59" t="s">
        <x:v>1431</x:v>
      </x:c>
      <x:c r="K67" s="59" t="s">
        <x:v>1417</x:v>
      </x:c>
      <x:c r="L67" s="59" t="s">
        <x:v>1437</x:v>
      </x:c>
      <x:c r="M67" s="59" t="s">
        <x:v>1489</x:v>
      </x:c>
      <x:c r="N67" s="59" t="s">
        <x:v>1433</x:v>
      </x:c>
      <x:c r="O67" s="59" t="s">
        <x:v>1522</x:v>
      </x:c>
      <x:c r="P67" s="59" t="s">
        <x:v>1433</x:v>
      </x:c>
      <x:c r="Q67" s="75" t="s">
        <x:v>1437</x:v>
      </x:c>
      <x:c r="R67" s="75" t="s">
        <x:v>1437</x:v>
      </x:c>
      <x:c r="S67" s="75" t="s">
        <x:v>1437</x:v>
      </x:c>
      <x:c r="T67" s="75" t="s">
        <x:v>1437</x:v>
      </x:c>
      <x:c r="U67" s="75" t="s">
        <x:v>1437</x:v>
      </x:c>
      <x:c r="V67" s="75" t="s">
        <x:v>1437</x:v>
      </x:c>
      <x:c r="W67" s="60"/>
      <x:c r="X67" s="73" t="str">
        <x:f t="shared" si="0"/>
        <x:v>Belum Dinilai</x:v>
      </x:c>
      <x:c r="Y67" s="73" t="str">
        <x:f t="shared" si="1"/>
        <x:v>Belum Dinilai</x:v>
      </x:c>
      <x:c r="Z67" s="74" t="str">
        <x:f t="shared" si="2"/>
      </x:c>
      <x:c r="AA67" s="74" t="str">
        <x:f t="shared" si="3"/>
      </x:c>
      <x:c r="AB67" s="74" t="str">
        <x:f t="shared" si="4"/>
      </x:c>
      <x:c r="AC67" s="61" t="s">
        <x:v>1437</x:v>
      </x:c>
      <x:c r="AD67" s="61" t="s">
        <x:v>1437</x:v>
      </x:c>
      <x:c r="AE67" s="61" t="s">
        <x:v>1437</x:v>
      </x:c>
      <x:c r="AF67" s="61" t="s">
        <x:v>1437</x:v>
      </x:c>
      <x:c r="AG67" s="61" t="s">
        <x:v>1437</x:v>
      </x:c>
      <x:c r="AH67" s="61" t="s">
        <x:v>1437</x:v>
      </x:c>
      <x:c r="AI67" s="61" t="s">
        <x:v>1437</x:v>
      </x:c>
      <x:c r="AJ67" s="61" t="s">
        <x:v>1437</x:v>
      </x:c>
      <x:c r="AK67" s="61" t="s">
        <x:v>1437</x:v>
      </x:c>
      <x:c r="AL67" s="61"/>
      <x:c r="AM67" s="61" t="s">
        <x:v>1437</x:v>
      </x:c>
      <x:c r="AN67" s="73" t="str">
        <x:f t="shared" si="5"/>
        <x:v>Belum Dinilai</x:v>
      </x:c>
      <x:c r="AO67" s="73" t="str">
        <x:f t="shared" si="6"/>
        <x:v>Belum Dinilai</x:v>
      </x:c>
      <x:c r="AP67" s="61"/>
      <x:c r="AQ67" s="64" t="str">
        <x:f t="shared" si="7"/>
      </x:c>
      <x:c r="AR67" s="64" t="str">
        <x:f t="shared" si="8"/>
      </x:c>
      <x:c r="AS67" s="64" t="str">
        <x:f t="shared" si="9"/>
      </x:c>
      <x:c r="AT67" s="62" t="str">
        <x:f t="shared" si="10"/>
        <x:v>Belum Dapat Ditentukan</x:v>
      </x:c>
      <x:c r="AU67" s="59" t="s">
        <x:v>1408</x:v>
      </x:c>
      <x:c r="AV67" s="59" t="s">
        <x:v>1425</x:v>
      </x:c>
      <x:c r="AW67" s="59" t="s">
        <x:v>1523</x:v>
      </x:c>
      <x:c r="AX67" s="59" t="s">
        <x:v>1427</x:v>
      </x:c>
      <x:c r="AY67" s="59">
        <x:v>2024</x:v>
      </x:c>
      <x:c r="AZ67" s="59" t="s">
        <x:v>1409</x:v>
      </x:c>
      <x:c r="BA67" s="59"/>
      <x:c r="BB67" s="167"/>
      <x:c r="BC67" s="65">
        <x:v>2026</x:v>
      </x:c>
      <x:c r="BD67" s="59"/>
      <x:c r="BE67" s="167"/>
      <x:c r="BF67" s="59" t="s">
        <x:v>1501</x:v>
      </x:c>
    </x:row>
    <x:row r="68" ht="28">
      <x:c r="A68" s="59" t="s">
        <x:v>1776</x:v>
      </x:c>
      <x:c r="B68" s="59" t="s">
        <x:v>1777</x:v>
      </x:c>
      <x:c r="C68" s="59"/>
      <x:c r="D68" s="59"/>
      <x:c r="E68" s="59" t="s">
        <x:v>1778</x:v>
      </x:c>
      <x:c r="F68" s="59" t="s">
        <x:v>1574</x:v>
      </x:c>
      <x:c r="G68" s="59" t="s">
        <x:v>1575</x:v>
      </x:c>
      <x:c r="H68" s="59" t="s">
        <x:v>1415</x:v>
      </x:c>
      <x:c r="I68" s="59" t="s">
        <x:v>1779</x:v>
      </x:c>
      <x:c r="J68" s="59" t="s">
        <x:v>1400</x:v>
      </x:c>
      <x:c r="K68" s="59" t="s">
        <x:v>1417</x:v>
      </x:c>
      <x:c r="L68" s="59" t="s">
        <x:v>1433</x:v>
      </x:c>
      <x:c r="M68" s="59" t="s">
        <x:v>1434</x:v>
      </x:c>
      <x:c r="N68" s="59" t="s">
        <x:v>1433</x:v>
      </x:c>
      <x:c r="O68" s="59" t="s">
        <x:v>1522</x:v>
      </x:c>
      <x:c r="P68" s="59" t="s">
        <x:v>1433</x:v>
      </x:c>
      <x:c r="Q68" s="75" t="s">
        <x:v>1437</x:v>
      </x:c>
      <x:c r="R68" s="75" t="s">
        <x:v>1437</x:v>
      </x:c>
      <x:c r="S68" s="75" t="s">
        <x:v>1437</x:v>
      </x:c>
      <x:c r="T68" s="75" t="s">
        <x:v>1437</x:v>
      </x:c>
      <x:c r="U68" s="75" t="s">
        <x:v>1437</x:v>
      </x:c>
      <x:c r="V68" s="75" t="s">
        <x:v>1437</x:v>
      </x:c>
      <x:c r="W68" s="60"/>
      <x:c r="X68" s="73" t="str">
        <x:f t="shared" si="0"/>
        <x:v>Belum Dinilai</x:v>
      </x:c>
      <x:c r="Y68" s="73" t="str">
        <x:f t="shared" si="1"/>
        <x:v>Belum Dinilai</x:v>
      </x:c>
      <x:c r="Z68" s="74" t="str">
        <x:f t="shared" si="2"/>
      </x:c>
      <x:c r="AA68" s="74" t="str">
        <x:f t="shared" si="3"/>
      </x:c>
      <x:c r="AB68" s="74" t="str">
        <x:f t="shared" si="4"/>
      </x:c>
      <x:c r="AC68" s="61" t="s">
        <x:v>1437</x:v>
      </x:c>
      <x:c r="AD68" s="61" t="s">
        <x:v>1437</x:v>
      </x:c>
      <x:c r="AE68" s="61" t="s">
        <x:v>1437</x:v>
      </x:c>
      <x:c r="AF68" s="61" t="s">
        <x:v>1437</x:v>
      </x:c>
      <x:c r="AG68" s="61" t="s">
        <x:v>1437</x:v>
      </x:c>
      <x:c r="AH68" s="61" t="s">
        <x:v>1437</x:v>
      </x:c>
      <x:c r="AI68" s="61" t="s">
        <x:v>1437</x:v>
      </x:c>
      <x:c r="AJ68" s="61" t="s">
        <x:v>1437</x:v>
      </x:c>
      <x:c r="AK68" s="61" t="s">
        <x:v>1437</x:v>
      </x:c>
      <x:c r="AL68" s="61"/>
      <x:c r="AM68" s="61" t="s">
        <x:v>1437</x:v>
      </x:c>
      <x:c r="AN68" s="73" t="str">
        <x:f t="shared" si="5"/>
        <x:v>Belum Dinilai</x:v>
      </x:c>
      <x:c r="AO68" s="73" t="str">
        <x:f t="shared" si="6"/>
        <x:v>Belum Dinilai</x:v>
      </x:c>
      <x:c r="AP68" s="61"/>
      <x:c r="AQ68" s="64">
        <x:f t="shared" si="7"/>
        <x:v>28</x:v>
      </x:c>
      <x:c r="AR68" s="64" t="str">
        <x:f t="shared" si="8"/>
      </x:c>
      <x:c r="AS68" s="64" t="str">
        <x:f t="shared" si="9"/>
      </x:c>
      <x:c r="AT68" s="62" t="str">
        <x:f t="shared" si="10"/>
        <x:v>Belum Dapat Ditentukan</x:v>
      </x:c>
      <x:c r="AU68" s="59" t="s">
        <x:v>1408</x:v>
      </x:c>
      <x:c r="AV68" s="59" t="s">
        <x:v>1425</x:v>
      </x:c>
      <x:c r="AW68" s="59" t="s">
        <x:v>1410</x:v>
      </x:c>
      <x:c r="AX68" s="59" t="s">
        <x:v>1411</x:v>
      </x:c>
      <x:c r="AY68" s="59"/>
      <x:c r="AZ68" s="59" t="s">
        <x:v>1409</x:v>
      </x:c>
      <x:c r="BA68" s="59"/>
      <x:c r="BB68" s="167"/>
      <x:c r="BC68" s="65">
        <x:v>2026</x:v>
      </x:c>
      <x:c r="BD68" s="59"/>
      <x:c r="BE68" s="167"/>
      <x:c r="BF68" s="59" t="s">
        <x:v>1501</x:v>
      </x:c>
    </x:row>
    <x:row r="69" ht="56">
      <x:c r="A69" s="59" t="s">
        <x:v>1780</x:v>
      </x:c>
      <x:c r="B69" s="59" t="s">
        <x:v>1781</x:v>
      </x:c>
      <x:c r="C69" s="59"/>
      <x:c r="D69" s="59"/>
      <x:c r="E69" s="59" t="s">
        <x:v>1782</x:v>
      </x:c>
      <x:c r="F69" s="59" t="s">
        <x:v>1783</x:v>
      </x:c>
      <x:c r="G69" s="59" t="s">
        <x:v>1498</x:v>
      </x:c>
      <x:c r="H69" s="59" t="s">
        <x:v>1415</x:v>
      </x:c>
      <x:c r="I69" s="59" t="s">
        <x:v>1784</x:v>
      </x:c>
      <x:c r="J69" s="59" t="s">
        <x:v>1485</x:v>
      </x:c>
      <x:c r="K69" s="59" t="s">
        <x:v>1522</x:v>
      </x:c>
      <x:c r="L69" s="59" t="s">
        <x:v>1418</x:v>
      </x:c>
      <x:c r="M69" s="59" t="s">
        <x:v>1522</x:v>
      </x:c>
      <x:c r="N69" s="59" t="s">
        <x:v>1437</x:v>
      </x:c>
      <x:c r="O69" s="59" t="s">
        <x:v>1435</x:v>
      </x:c>
      <x:c r="P69" s="59" t="s">
        <x:v>1437</x:v>
      </x:c>
      <x:c r="Q69" s="75" t="s">
        <x:v>1437</x:v>
      </x:c>
      <x:c r="R69" s="75" t="s">
        <x:v>1437</x:v>
      </x:c>
      <x:c r="S69" s="75" t="s">
        <x:v>1437</x:v>
      </x:c>
      <x:c r="T69" s="75" t="s">
        <x:v>1437</x:v>
      </x:c>
      <x:c r="U69" s="75" t="s">
        <x:v>1437</x:v>
      </x:c>
      <x:c r="V69" s="75" t="s">
        <x:v>1437</x:v>
      </x:c>
      <x:c r="W69" s="60"/>
      <x:c r="X69" s="73" t="str">
        <x:f t="shared" si="0"/>
        <x:v>Belum Dinilai</x:v>
      </x:c>
      <x:c r="Y69" s="73" t="str">
        <x:f t="shared" si="1"/>
        <x:v>Belum Dinilai</x:v>
      </x:c>
      <x:c r="Z69" s="74" t="str">
        <x:f t="shared" si="2"/>
      </x:c>
      <x:c r="AA69" s="74" t="str">
        <x:f t="shared" si="3"/>
      </x:c>
      <x:c r="AB69" s="74" t="str">
        <x:f t="shared" si="4"/>
      </x:c>
      <x:c r="AC69" s="61" t="s">
        <x:v>1437</x:v>
      </x:c>
      <x:c r="AD69" s="61" t="s">
        <x:v>1437</x:v>
      </x:c>
      <x:c r="AE69" s="61" t="s">
        <x:v>1437</x:v>
      </x:c>
      <x:c r="AF69" s="61" t="s">
        <x:v>1437</x:v>
      </x:c>
      <x:c r="AG69" s="61" t="s">
        <x:v>1437</x:v>
      </x:c>
      <x:c r="AH69" s="61" t="s">
        <x:v>1437</x:v>
      </x:c>
      <x:c r="AI69" s="61" t="s">
        <x:v>1437</x:v>
      </x:c>
      <x:c r="AJ69" s="61" t="s">
        <x:v>1437</x:v>
      </x:c>
      <x:c r="AK69" s="61" t="s">
        <x:v>1437</x:v>
      </x:c>
      <x:c r="AL69" s="61"/>
      <x:c r="AM69" s="61" t="s">
        <x:v>1437</x:v>
      </x:c>
      <x:c r="AN69" s="73" t="str">
        <x:f t="shared" si="5"/>
        <x:v>Belum Dinilai</x:v>
      </x:c>
      <x:c r="AO69" s="73" t="str">
        <x:f t="shared" si="6"/>
        <x:v>Belum Dinilai</x:v>
      </x:c>
      <x:c r="AP69" s="61"/>
      <x:c r="AQ69" s="64" t="str">
        <x:f t="shared" si="7"/>
      </x:c>
      <x:c r="AR69" s="64" t="str">
        <x:f t="shared" si="8"/>
      </x:c>
      <x:c r="AS69" s="64" t="str">
        <x:f t="shared" si="9"/>
      </x:c>
      <x:c r="AT69" s="62" t="str">
        <x:f t="shared" si="10"/>
        <x:v>Belum Dapat Ditentukan</x:v>
      </x:c>
      <x:c r="AU69" s="59" t="s">
        <x:v>1408</x:v>
      </x:c>
      <x:c r="AV69" s="59" t="s">
        <x:v>1425</x:v>
      </x:c>
      <x:c r="AW69" s="59" t="s">
        <x:v>1410</x:v>
      </x:c>
      <x:c r="AX69" s="59" t="s">
        <x:v>1411</x:v>
      </x:c>
      <x:c r="AY69" s="59"/>
      <x:c r="AZ69" s="59" t="s">
        <x:v>1428</x:v>
      </x:c>
      <x:c r="BA69" s="59"/>
      <x:c r="BB69" s="167"/>
      <x:c r="BC69" s="65">
        <x:v>2026</x:v>
      </x:c>
      <x:c r="BD69" s="59"/>
      <x:c r="BE69" s="167"/>
      <x:c r="BF69" s="59" t="s">
        <x:v>1501</x:v>
      </x:c>
    </x:row>
    <x:row r="70" ht="42">
      <x:c r="A70" s="59" t="s">
        <x:v>1785</x:v>
      </x:c>
      <x:c r="B70" s="59" t="s">
        <x:v>1786</x:v>
      </x:c>
      <x:c r="C70" s="59"/>
      <x:c r="D70" s="59"/>
      <x:c r="E70" s="59" t="s">
        <x:v>1787</x:v>
      </x:c>
      <x:c r="F70" s="59" t="s">
        <x:v>1497</x:v>
      </x:c>
      <x:c r="G70" s="59" t="s">
        <x:v>1498</x:v>
      </x:c>
      <x:c r="H70" s="59" t="s">
        <x:v>1399</x:v>
      </x:c>
      <x:c r="I70" s="59" t="s">
        <x:v>1788</x:v>
      </x:c>
      <x:c r="J70" s="59" t="s">
        <x:v>1431</x:v>
      </x:c>
      <x:c r="K70" s="59" t="s">
        <x:v>1417</x:v>
      </x:c>
      <x:c r="L70" s="59" t="s">
        <x:v>1487</x:v>
      </x:c>
      <x:c r="M70" s="59" t="s">
        <x:v>1489</x:v>
      </x:c>
      <x:c r="N70" s="59" t="s">
        <x:v>1487</x:v>
      </x:c>
      <x:c r="O70" s="59" t="s">
        <x:v>1522</x:v>
      </x:c>
      <x:c r="P70" s="59" t="s">
        <x:v>1437</x:v>
      </x:c>
      <x:c r="Q70" s="75" t="s">
        <x:v>1437</x:v>
      </x:c>
      <x:c r="R70" s="75" t="s">
        <x:v>1437</x:v>
      </x:c>
      <x:c r="S70" s="75" t="s">
        <x:v>1437</x:v>
      </x:c>
      <x:c r="T70" s="75" t="s">
        <x:v>1437</x:v>
      </x:c>
      <x:c r="U70" s="75" t="s">
        <x:v>1437</x:v>
      </x:c>
      <x:c r="V70" s="75" t="s">
        <x:v>1437</x:v>
      </x:c>
      <x:c r="W70" s="60"/>
      <x:c r="X70" s="73" t="str">
        <x:f t="shared" ref="X70:X133" si="11">IF(COUNTIF(R70:V70,"Belum Dinilai")&gt;0,"Belum Dinilai",IF(COUNTIF(R70:V70,"Ya")=0,"Tidak ada faktor rentan",IF(R70="Ya","Lansia; ","")&amp;IF(S70="Ya","Penyandang disabilitas; ","")&amp;IF(T70="Ya","Kepala keluarga perempuan; ","")&amp;IF(U70="Ya","Balita; ","")&amp;IF(V70="Ya","Anggota keluarga dengan ketergantungan tinggi; ","")))</x:f>
        <x:v>Belum Dinilai</x:v>
      </x:c>
      <x:c r="Y70" s="73" t="str">
        <x:f t="shared" ref="Y70:Y133" si="12">IF(COUNTIF(R70:V70,"Belum Dinilai")&gt;0,"Belum Dinilai",IF(COUNTIF(R70:V70,"Ya")=0,"Tidak Ada Faktor Rentan",IF(COUNTIF(R70:V70,"Ya")=1,"1 Faktor Rentan","2 atau Lebih Faktor Rentan")))</x:f>
        <x:v>Belum Dinilai</x:v>
      </x:c>
      <x:c r="Z70" s="74" t="str">
        <x:f t="shared" ref="Z70:Z133" si="13">IF(OR(Q70="",Q70="Belum Dinilai"),"",IF(Q70="Terverifikasi DTKS/P3KE/MBR",10,IF(Q70="Diusulkan, Belum Terverifikasi",5,0)))</x:f>
      </x:c>
      <x:c r="AA70" s="74" t="str">
        <x:f t="shared" ref="AA70:AA133" si="14">IF(COUNTIF(R70:V70,"Belum Dinilai")&gt;0,"",IF(COUNTIF(R70:V70,"Ya")=0,0,IF(COUNTIF(R70:V70,"Ya")=1,5,10)))</x:f>
      </x:c>
      <x:c r="AB70" s="74" t="str">
        <x:f t="shared" ref="AB70:AB133" si="15">IF(OR(Z70="",AA70=""),"",Z70+AA70)</x:f>
      </x:c>
      <x:c r="AC70" s="61" t="s">
        <x:v>1437</x:v>
      </x:c>
      <x:c r="AD70" s="61" t="s">
        <x:v>1437</x:v>
      </x:c>
      <x:c r="AE70" s="61" t="s">
        <x:v>1437</x:v>
      </x:c>
      <x:c r="AF70" s="61" t="s">
        <x:v>1437</x:v>
      </x:c>
      <x:c r="AG70" s="61" t="s">
        <x:v>1437</x:v>
      </x:c>
      <x:c r="AH70" s="61" t="s">
        <x:v>1437</x:v>
      </x:c>
      <x:c r="AI70" s="61" t="s">
        <x:v>1437</x:v>
      </x:c>
      <x:c r="AJ70" s="61" t="s">
        <x:v>1437</x:v>
      </x:c>
      <x:c r="AK70" s="61" t="s">
        <x:v>1437</x:v>
      </x:c>
      <x:c r="AL70" s="61"/>
      <x:c r="AM70" s="61" t="s">
        <x:v>1437</x:v>
      </x:c>
      <x:c r="AN70" s="73" t="str">
        <x:f t="shared" ref="AN70:AN133" si="16">IF(AND(COUNTIF(AC70:AK70,"Ya")=0,AL70=""),IF(COUNTIF(AC70:AK70,"Belum Dinilai")&gt;0,"Belum Dinilai","Tidak ada risiko khusus"),IF(AC70="Ya","Bangunan berpotensi roboh; ","")&amp;IF(AD70="Ya","Bekas kebakaran dan tidak aman dihuni; ","")&amp;IF(AE70="Ya","Atap atau dinding utama hampir runtuh; ","")&amp;IF(AF70="Ya","Genangan yang membahayakan; ","")&amp;IF(AG70="Ya","Struktur rumah tidak stabil; ","")&amp;IF(AH70="Ya","Instalasi listrik berbahaya; ","")&amp;IF(AI70="Ya","Komponen bangunan lepas atau lapuk; ","")&amp;IF(AJ70="Ya","Akses keluar atau evakuasi terbatas; ","")&amp;IF(AK70="Ya","Lokasi rawan bencana; ","")&amp;IF(AL70&lt;&gt;"","Lainnya: "&amp;AL70,""))</x:f>
        <x:v>Belum Dinilai</x:v>
      </x:c>
      <x:c r="AO70" s="73" t="str">
        <x:f t="shared" ref="AO70:AO133" si="17">IF(AR70="","Belum Dinilai",IF(AR70=10,"Risiko Tinggi/Darurat",IF(AR70=5,"Risiko Sedang","Tidak Ada Risiko Khusus")))</x:f>
        <x:v>Belum Dinilai</x:v>
      </x:c>
      <x:c r="AP70" s="61"/>
      <x:c r="AQ70" s="64" t="str">
        <x:f t="shared" ref="AQ70:AQ133" si="18">IF(OR(J70="",J70="Belum Dapat Ditentukan",L70="",L70="Belum Dinilai",N70="",N70="Belum Dinilai",P70="",P70="Belum Dinilai"),"",IF(J70="Permanen",0,IF(J70="Semipermanen",8,IF(J70="Nonpermanen",15,0)))+IF(L70="Baik",0,IF(L70="Rusak Ringan",5,IF(L70="Rusak Sedang",10,IF(L70="Rusak Berat",15,IF(L70="Tidak Ada/Terbuka",20,0)))))+IF(N70="Baik",0,IF(N70="Rusak Ringan",5,IF(N70="Rusak Sedang",10,IF(N70="Rusak Berat",15,IF(N70="Tidak Ada/Terbuka",20,0)))))+IF(P70="Baik",0,IF(P70="Rusak Ringan",4,IF(P70="Rusak Sedang",8,IF(P70="Rusak Berat",12,IF(P70="Tidak Layak",15,0))))))</x:f>
      </x:c>
      <x:c r="AR70" s="64" t="str">
        <x:f t="shared" ref="AR70:AR133" si="19">IF(
 OR(
  COUNTIF(AC70:AH70,"Ya")&gt;0,
  AND(AL70&lt;&gt;"",AM70="Risiko Tinggi/Darurat"),
  COUNTIF(AI70:AK70,"Ya")+IF(AND(AL70&lt;&gt;"",AM70="Risiko Sedang"),1,0)&gt;=2
 ),
 10,
 IF(
  OR(
   COUNTIF(AC70:AK70,"Belum Dinilai")&gt;0,
   AND(AL70&lt;&gt;"",OR(AM70="",AM70="Belum Dinilai")),
   AND(AL70="",OR(AM70="Risiko Sedang",AM70="Risiko Tinggi/Darurat"))
  ),
  "",
  IF(
   COUNTIF(AI70:AK70,"Ya")+IF(AND(AL70&lt;&gt;"",AM70="Risiko Sedang"),1,0)=1,
   5,
   0
  )
 )
)</x:f>
      </x:c>
      <x:c r="AS70" s="64" t="str">
        <x:f t="shared" ref="AS70:AS133" si="20">IF(OR(AQ70="",AB70="",AR70=""),"",AQ70+AB70+AR70)</x:f>
      </x:c>
      <x:c r="AT70" s="62" t="str">
        <x:f t="shared" ref="AT70:AT133" si="21">IF(AS70="","Belum Dapat Ditentukan",IF(AS70&gt;=80,"Sangat Tinggi",IF(OR(AO70="Risiko Tinggi/Darurat",(IF(L70="Rusak Berat",1,0)+IF(L70="Tidak Ada/Terbuka",1,0)+IF(N70="Rusak Berat",1,0)+IF(N70="Tidak Ada/Terbuka",1,0)+IF(P70="Rusak Berat",1,0)+IF(P70="Tidak Layak",1,0))&gt;=2),"Tinggi",IF(AS70&gt;=65,"Tinggi",IF(AS70&gt;=50,"Sedang","Rendah")))))</x:f>
        <x:v>Belum Dapat Ditentukan</x:v>
      </x:c>
      <x:c r="AU70" s="59" t="s">
        <x:v>1408</x:v>
      </x:c>
      <x:c r="AV70" s="59" t="s">
        <x:v>1425</x:v>
      </x:c>
      <x:c r="AW70" s="59" t="s">
        <x:v>1410</x:v>
      </x:c>
      <x:c r="AX70" s="59" t="s">
        <x:v>1411</x:v>
      </x:c>
      <x:c r="AY70" s="59"/>
      <x:c r="AZ70" s="59" t="s">
        <x:v>1428</x:v>
      </x:c>
      <x:c r="BA70" s="59"/>
      <x:c r="BB70" s="167"/>
      <x:c r="BC70" s="65">
        <x:v>2026</x:v>
      </x:c>
      <x:c r="BD70" s="59"/>
      <x:c r="BE70" s="167"/>
      <x:c r="BF70" s="59" t="s">
        <x:v>1501</x:v>
      </x:c>
    </x:row>
    <x:row r="71" ht="56">
      <x:c r="A71" s="59" t="s">
        <x:v>1789</x:v>
      </x:c>
      <x:c r="B71" s="59" t="s">
        <x:v>1790</x:v>
      </x:c>
      <x:c r="C71" s="59"/>
      <x:c r="D71" s="59"/>
      <x:c r="E71" s="59" t="s">
        <x:v>1791</x:v>
      </x:c>
      <x:c r="F71" s="59" t="s">
        <x:v>1608</x:v>
      </x:c>
      <x:c r="G71" s="59" t="s">
        <x:v>1498</x:v>
      </x:c>
      <x:c r="H71" s="59" t="s">
        <x:v>1399</x:v>
      </x:c>
      <x:c r="I71" s="59" t="s">
        <x:v>1792</x:v>
      </x:c>
      <x:c r="J71" s="59" t="s">
        <x:v>1416</x:v>
      </x:c>
      <x:c r="K71" s="59" t="s">
        <x:v>1401</x:v>
      </x:c>
      <x:c r="L71" s="59" t="s">
        <x:v>1433</x:v>
      </x:c>
      <x:c r="M71" s="59" t="s">
        <x:v>1500</x:v>
      </x:c>
      <x:c r="N71" s="59" t="s">
        <x:v>1437</x:v>
      </x:c>
      <x:c r="O71" s="59" t="s">
        <x:v>1435</x:v>
      </x:c>
      <x:c r="P71" s="59" t="s">
        <x:v>1433</x:v>
      </x:c>
      <x:c r="Q71" s="75" t="s">
        <x:v>1437</x:v>
      </x:c>
      <x:c r="R71" s="75" t="s">
        <x:v>1437</x:v>
      </x:c>
      <x:c r="S71" s="75" t="s">
        <x:v>1437</x:v>
      </x:c>
      <x:c r="T71" s="75" t="s">
        <x:v>1437</x:v>
      </x:c>
      <x:c r="U71" s="75" t="s">
        <x:v>1437</x:v>
      </x:c>
      <x:c r="V71" s="75" t="s">
        <x:v>1437</x:v>
      </x:c>
      <x:c r="W71" s="60"/>
      <x:c r="X71" s="73" t="str">
        <x:f t="shared" si="11"/>
        <x:v>Belum Dinilai</x:v>
      </x:c>
      <x:c r="Y71" s="73" t="str">
        <x:f t="shared" si="12"/>
        <x:v>Belum Dinilai</x:v>
      </x:c>
      <x:c r="Z71" s="74" t="str">
        <x:f t="shared" si="13"/>
      </x:c>
      <x:c r="AA71" s="74" t="str">
        <x:f t="shared" si="14"/>
      </x:c>
      <x:c r="AB71" s="74" t="str">
        <x:f t="shared" si="15"/>
      </x:c>
      <x:c r="AC71" s="61" t="s">
        <x:v>1437</x:v>
      </x:c>
      <x:c r="AD71" s="61" t="s">
        <x:v>1437</x:v>
      </x:c>
      <x:c r="AE71" s="61" t="s">
        <x:v>1437</x:v>
      </x:c>
      <x:c r="AF71" s="61" t="s">
        <x:v>1437</x:v>
      </x:c>
      <x:c r="AG71" s="61" t="s">
        <x:v>1437</x:v>
      </x:c>
      <x:c r="AH71" s="61" t="s">
        <x:v>1437</x:v>
      </x:c>
      <x:c r="AI71" s="61" t="s">
        <x:v>1437</x:v>
      </x:c>
      <x:c r="AJ71" s="61" t="s">
        <x:v>1437</x:v>
      </x:c>
      <x:c r="AK71" s="61" t="s">
        <x:v>1437</x:v>
      </x:c>
      <x:c r="AL71" s="61"/>
      <x:c r="AM71" s="61" t="s">
        <x:v>1437</x:v>
      </x:c>
      <x:c r="AN71" s="73" t="str">
        <x:f t="shared" si="16"/>
        <x:v>Belum Dinilai</x:v>
      </x:c>
      <x:c r="AO71" s="73" t="str">
        <x:f t="shared" si="17"/>
        <x:v>Belum Dinilai</x:v>
      </x:c>
      <x:c r="AP71" s="61"/>
      <x:c r="AQ71" s="64" t="str">
        <x:f t="shared" si="18"/>
      </x:c>
      <x:c r="AR71" s="64" t="str">
        <x:f t="shared" si="19"/>
      </x:c>
      <x:c r="AS71" s="64" t="str">
        <x:f t="shared" si="20"/>
      </x:c>
      <x:c r="AT71" s="62" t="str">
        <x:f t="shared" si="21"/>
        <x:v>Belum Dapat Ditentukan</x:v>
      </x:c>
      <x:c r="AU71" s="59" t="s">
        <x:v>1408</x:v>
      </x:c>
      <x:c r="AV71" s="59" t="s">
        <x:v>1425</x:v>
      </x:c>
      <x:c r="AW71" s="59" t="s">
        <x:v>1410</x:v>
      </x:c>
      <x:c r="AX71" s="59" t="s">
        <x:v>1411</x:v>
      </x:c>
      <x:c r="AY71" s="59"/>
      <x:c r="AZ71" s="59" t="s">
        <x:v>1428</x:v>
      </x:c>
      <x:c r="BA71" s="59"/>
      <x:c r="BB71" s="167"/>
      <x:c r="BC71" s="65">
        <x:v>2026</x:v>
      </x:c>
      <x:c r="BD71" s="59"/>
      <x:c r="BE71" s="167"/>
      <x:c r="BF71" s="59" t="s">
        <x:v>1501</x:v>
      </x:c>
    </x:row>
    <x:row r="72" ht="56">
      <x:c r="A72" s="59" t="s">
        <x:v>1793</x:v>
      </x:c>
      <x:c r="B72" s="59" t="s">
        <x:v>1794</x:v>
      </x:c>
      <x:c r="C72" s="59"/>
      <x:c r="D72" s="59"/>
      <x:c r="E72" s="59" t="s">
        <x:v>1795</x:v>
      </x:c>
      <x:c r="F72" s="59" t="s">
        <x:v>1608</x:v>
      </x:c>
      <x:c r="G72" s="59" t="s">
        <x:v>1498</x:v>
      </x:c>
      <x:c r="H72" s="59" t="s">
        <x:v>1399</x:v>
      </x:c>
      <x:c r="I72" s="59" t="s">
        <x:v>1792</x:v>
      </x:c>
      <x:c r="J72" s="59" t="s">
        <x:v>1416</x:v>
      </x:c>
      <x:c r="K72" s="59" t="s">
        <x:v>1401</x:v>
      </x:c>
      <x:c r="L72" s="59" t="s">
        <x:v>1433</x:v>
      </x:c>
      <x:c r="M72" s="59" t="s">
        <x:v>1500</x:v>
      </x:c>
      <x:c r="N72" s="59" t="s">
        <x:v>1437</x:v>
      </x:c>
      <x:c r="O72" s="59" t="s">
        <x:v>1435</x:v>
      </x:c>
      <x:c r="P72" s="59" t="s">
        <x:v>1433</x:v>
      </x:c>
      <x:c r="Q72" s="75" t="s">
        <x:v>1437</x:v>
      </x:c>
      <x:c r="R72" s="75" t="s">
        <x:v>1437</x:v>
      </x:c>
      <x:c r="S72" s="75" t="s">
        <x:v>1437</x:v>
      </x:c>
      <x:c r="T72" s="75" t="s">
        <x:v>1437</x:v>
      </x:c>
      <x:c r="U72" s="75" t="s">
        <x:v>1437</x:v>
      </x:c>
      <x:c r="V72" s="75" t="s">
        <x:v>1437</x:v>
      </x:c>
      <x:c r="W72" s="60"/>
      <x:c r="X72" s="73" t="str">
        <x:f t="shared" si="11"/>
        <x:v>Belum Dinilai</x:v>
      </x:c>
      <x:c r="Y72" s="73" t="str">
        <x:f t="shared" si="12"/>
        <x:v>Belum Dinilai</x:v>
      </x:c>
      <x:c r="Z72" s="74" t="str">
        <x:f t="shared" si="13"/>
      </x:c>
      <x:c r="AA72" s="74" t="str">
        <x:f t="shared" si="14"/>
      </x:c>
      <x:c r="AB72" s="74" t="str">
        <x:f t="shared" si="15"/>
      </x:c>
      <x:c r="AC72" s="61" t="s">
        <x:v>1437</x:v>
      </x:c>
      <x:c r="AD72" s="61" t="s">
        <x:v>1437</x:v>
      </x:c>
      <x:c r="AE72" s="61" t="s">
        <x:v>1437</x:v>
      </x:c>
      <x:c r="AF72" s="61" t="s">
        <x:v>1437</x:v>
      </x:c>
      <x:c r="AG72" s="61" t="s">
        <x:v>1437</x:v>
      </x:c>
      <x:c r="AH72" s="61" t="s">
        <x:v>1437</x:v>
      </x:c>
      <x:c r="AI72" s="61" t="s">
        <x:v>1437</x:v>
      </x:c>
      <x:c r="AJ72" s="61" t="s">
        <x:v>1437</x:v>
      </x:c>
      <x:c r="AK72" s="61" t="s">
        <x:v>1437</x:v>
      </x:c>
      <x:c r="AL72" s="61"/>
      <x:c r="AM72" s="61" t="s">
        <x:v>1437</x:v>
      </x:c>
      <x:c r="AN72" s="73" t="str">
        <x:f t="shared" si="16"/>
        <x:v>Belum Dinilai</x:v>
      </x:c>
      <x:c r="AO72" s="73" t="str">
        <x:f t="shared" si="17"/>
        <x:v>Belum Dinilai</x:v>
      </x:c>
      <x:c r="AP72" s="61"/>
      <x:c r="AQ72" s="64" t="str">
        <x:f t="shared" si="18"/>
      </x:c>
      <x:c r="AR72" s="64" t="str">
        <x:f t="shared" si="19"/>
      </x:c>
      <x:c r="AS72" s="64" t="str">
        <x:f t="shared" si="20"/>
      </x:c>
      <x:c r="AT72" s="62" t="str">
        <x:f t="shared" si="21"/>
        <x:v>Belum Dapat Ditentukan</x:v>
      </x:c>
      <x:c r="AU72" s="59" t="s">
        <x:v>1408</x:v>
      </x:c>
      <x:c r="AV72" s="59" t="s">
        <x:v>1425</x:v>
      </x:c>
      <x:c r="AW72" s="59" t="s">
        <x:v>1523</x:v>
      </x:c>
      <x:c r="AX72" s="59" t="s">
        <x:v>1427</x:v>
      </x:c>
      <x:c r="AY72" s="59">
        <x:v>2024</x:v>
      </x:c>
      <x:c r="AZ72" s="59" t="s">
        <x:v>1428</x:v>
      </x:c>
      <x:c r="BA72" s="59"/>
      <x:c r="BB72" s="167"/>
      <x:c r="BC72" s="65">
        <x:v>2026</x:v>
      </x:c>
      <x:c r="BD72" s="59"/>
      <x:c r="BE72" s="167"/>
      <x:c r="BF72" s="59" t="s">
        <x:v>1501</x:v>
      </x:c>
    </x:row>
    <x:row r="73" ht="42">
      <x:c r="A73" s="59" t="s">
        <x:v>1796</x:v>
      </x:c>
      <x:c r="B73" s="59" t="s">
        <x:v>1797</x:v>
      </x:c>
      <x:c r="C73" s="59"/>
      <x:c r="D73" s="59"/>
      <x:c r="E73" s="59" t="s">
        <x:v>1798</x:v>
      </x:c>
      <x:c r="F73" s="59" t="s">
        <x:v>1497</x:v>
      </x:c>
      <x:c r="G73" s="59" t="s">
        <x:v>1498</x:v>
      </x:c>
      <x:c r="H73" s="59" t="s">
        <x:v>1415</x:v>
      </x:c>
      <x:c r="I73" s="59" t="s">
        <x:v>1799</x:v>
      </x:c>
      <x:c r="J73" s="59" t="s">
        <x:v>1400</x:v>
      </x:c>
      <x:c r="K73" s="59" t="s">
        <x:v>1417</x:v>
      </x:c>
      <x:c r="L73" s="59" t="s">
        <x:v>1433</x:v>
      </x:c>
      <x:c r="M73" s="59" t="s">
        <x:v>1488</x:v>
      </x:c>
      <x:c r="N73" s="59" t="s">
        <x:v>1437</x:v>
      </x:c>
      <x:c r="O73" s="59" t="s">
        <x:v>1522</x:v>
      </x:c>
      <x:c r="P73" s="59" t="s">
        <x:v>1433</x:v>
      </x:c>
      <x:c r="Q73" s="75" t="s">
        <x:v>1437</x:v>
      </x:c>
      <x:c r="R73" s="75" t="s">
        <x:v>1437</x:v>
      </x:c>
      <x:c r="S73" s="75" t="s">
        <x:v>1437</x:v>
      </x:c>
      <x:c r="T73" s="75" t="s">
        <x:v>1437</x:v>
      </x:c>
      <x:c r="U73" s="75" t="s">
        <x:v>1437</x:v>
      </x:c>
      <x:c r="V73" s="75" t="s">
        <x:v>1437</x:v>
      </x:c>
      <x:c r="W73" s="60"/>
      <x:c r="X73" s="73" t="str">
        <x:f t="shared" si="11"/>
        <x:v>Belum Dinilai</x:v>
      </x:c>
      <x:c r="Y73" s="73" t="str">
        <x:f t="shared" si="12"/>
        <x:v>Belum Dinilai</x:v>
      </x:c>
      <x:c r="Z73" s="74" t="str">
        <x:f t="shared" si="13"/>
      </x:c>
      <x:c r="AA73" s="74" t="str">
        <x:f t="shared" si="14"/>
      </x:c>
      <x:c r="AB73" s="74" t="str">
        <x:f t="shared" si="15"/>
      </x:c>
      <x:c r="AC73" s="61" t="s">
        <x:v>1437</x:v>
      </x:c>
      <x:c r="AD73" s="61" t="s">
        <x:v>1437</x:v>
      </x:c>
      <x:c r="AE73" s="61" t="s">
        <x:v>1437</x:v>
      </x:c>
      <x:c r="AF73" s="61" t="s">
        <x:v>1437</x:v>
      </x:c>
      <x:c r="AG73" s="61" t="s">
        <x:v>1437</x:v>
      </x:c>
      <x:c r="AH73" s="61" t="s">
        <x:v>1437</x:v>
      </x:c>
      <x:c r="AI73" s="61" t="s">
        <x:v>1437</x:v>
      </x:c>
      <x:c r="AJ73" s="61" t="s">
        <x:v>1437</x:v>
      </x:c>
      <x:c r="AK73" s="61" t="s">
        <x:v>1437</x:v>
      </x:c>
      <x:c r="AL73" s="61"/>
      <x:c r="AM73" s="61" t="s">
        <x:v>1437</x:v>
      </x:c>
      <x:c r="AN73" s="73" t="str">
        <x:f t="shared" si="16"/>
        <x:v>Belum Dinilai</x:v>
      </x:c>
      <x:c r="AO73" s="73" t="str">
        <x:f t="shared" si="17"/>
        <x:v>Belum Dinilai</x:v>
      </x:c>
      <x:c r="AP73" s="61"/>
      <x:c r="AQ73" s="64" t="str">
        <x:f t="shared" si="18"/>
      </x:c>
      <x:c r="AR73" s="64" t="str">
        <x:f t="shared" si="19"/>
      </x:c>
      <x:c r="AS73" s="64" t="str">
        <x:f t="shared" si="20"/>
      </x:c>
      <x:c r="AT73" s="62" t="str">
        <x:f t="shared" si="21"/>
        <x:v>Belum Dapat Ditentukan</x:v>
      </x:c>
      <x:c r="AU73" s="59" t="s">
        <x:v>1408</x:v>
      </x:c>
      <x:c r="AV73" s="59" t="s">
        <x:v>1425</x:v>
      </x:c>
      <x:c r="AW73" s="59" t="s">
        <x:v>1410</x:v>
      </x:c>
      <x:c r="AX73" s="59" t="s">
        <x:v>1411</x:v>
      </x:c>
      <x:c r="AY73" s="59"/>
      <x:c r="AZ73" s="59" t="s">
        <x:v>1409</x:v>
      </x:c>
      <x:c r="BA73" s="59"/>
      <x:c r="BB73" s="167"/>
      <x:c r="BC73" s="65">
        <x:v>2026</x:v>
      </x:c>
      <x:c r="BD73" s="59"/>
      <x:c r="BE73" s="167"/>
      <x:c r="BF73" s="59" t="s">
        <x:v>1501</x:v>
      </x:c>
    </x:row>
    <x:row r="74" ht="28">
      <x:c r="A74" s="59" t="s">
        <x:v>1800</x:v>
      </x:c>
      <x:c r="B74" s="59" t="s">
        <x:v>1801</x:v>
      </x:c>
      <x:c r="C74" s="59"/>
      <x:c r="D74" s="59"/>
      <x:c r="E74" s="59" t="s">
        <x:v>1802</x:v>
      </x:c>
      <x:c r="F74" s="59" t="s">
        <x:v>1580</x:v>
      </x:c>
      <x:c r="G74" s="59" t="s">
        <x:v>1512</x:v>
      </x:c>
      <x:c r="H74" s="59" t="s">
        <x:v>1415</x:v>
      </x:c>
      <x:c r="I74" s="59" t="s">
        <x:v>1803</x:v>
      </x:c>
      <x:c r="J74" s="59" t="s">
        <x:v>1400</x:v>
      </x:c>
      <x:c r="K74" s="59" t="s">
        <x:v>1522</x:v>
      </x:c>
      <x:c r="L74" s="59" t="s">
        <x:v>1437</x:v>
      </x:c>
      <x:c r="M74" s="59" t="s">
        <x:v>1488</x:v>
      </x:c>
      <x:c r="N74" s="59" t="s">
        <x:v>1437</x:v>
      </x:c>
      <x:c r="O74" s="59" t="s">
        <x:v>1522</x:v>
      </x:c>
      <x:c r="P74" s="59" t="s">
        <x:v>1437</x:v>
      </x:c>
      <x:c r="Q74" s="75" t="s">
        <x:v>1437</x:v>
      </x:c>
      <x:c r="R74" s="75" t="s">
        <x:v>1437</x:v>
      </x:c>
      <x:c r="S74" s="75" t="s">
        <x:v>1437</x:v>
      </x:c>
      <x:c r="T74" s="75" t="s">
        <x:v>1437</x:v>
      </x:c>
      <x:c r="U74" s="75" t="s">
        <x:v>1437</x:v>
      </x:c>
      <x:c r="V74" s="75" t="s">
        <x:v>1437</x:v>
      </x:c>
      <x:c r="W74" s="60"/>
      <x:c r="X74" s="73" t="str">
        <x:f t="shared" si="11"/>
        <x:v>Belum Dinilai</x:v>
      </x:c>
      <x:c r="Y74" s="73" t="str">
        <x:f t="shared" si="12"/>
        <x:v>Belum Dinilai</x:v>
      </x:c>
      <x:c r="Z74" s="74" t="str">
        <x:f t="shared" si="13"/>
      </x:c>
      <x:c r="AA74" s="74" t="str">
        <x:f t="shared" si="14"/>
      </x:c>
      <x:c r="AB74" s="74" t="str">
        <x:f t="shared" si="15"/>
      </x:c>
      <x:c r="AC74" s="61" t="s">
        <x:v>1437</x:v>
      </x:c>
      <x:c r="AD74" s="61" t="s">
        <x:v>1437</x:v>
      </x:c>
      <x:c r="AE74" s="61" t="s">
        <x:v>1437</x:v>
      </x:c>
      <x:c r="AF74" s="61" t="s">
        <x:v>1437</x:v>
      </x:c>
      <x:c r="AG74" s="61" t="s">
        <x:v>1437</x:v>
      </x:c>
      <x:c r="AH74" s="61" t="s">
        <x:v>1437</x:v>
      </x:c>
      <x:c r="AI74" s="61" t="s">
        <x:v>1437</x:v>
      </x:c>
      <x:c r="AJ74" s="61" t="s">
        <x:v>1437</x:v>
      </x:c>
      <x:c r="AK74" s="61" t="s">
        <x:v>1437</x:v>
      </x:c>
      <x:c r="AL74" s="61"/>
      <x:c r="AM74" s="61" t="s">
        <x:v>1437</x:v>
      </x:c>
      <x:c r="AN74" s="73" t="str">
        <x:f t="shared" si="16"/>
        <x:v>Belum Dinilai</x:v>
      </x:c>
      <x:c r="AO74" s="73" t="str">
        <x:f t="shared" si="17"/>
        <x:v>Belum Dinilai</x:v>
      </x:c>
      <x:c r="AP74" s="61"/>
      <x:c r="AQ74" s="64" t="str">
        <x:f t="shared" si="18"/>
      </x:c>
      <x:c r="AR74" s="64" t="str">
        <x:f t="shared" si="19"/>
      </x:c>
      <x:c r="AS74" s="64" t="str">
        <x:f t="shared" si="20"/>
      </x:c>
      <x:c r="AT74" s="62" t="str">
        <x:f t="shared" si="21"/>
        <x:v>Belum Dapat Ditentukan</x:v>
      </x:c>
      <x:c r="AU74" s="59" t="s">
        <x:v>1408</x:v>
      </x:c>
      <x:c r="AV74" s="59" t="s">
        <x:v>1425</x:v>
      </x:c>
      <x:c r="AW74" s="59" t="s">
        <x:v>1410</x:v>
      </x:c>
      <x:c r="AX74" s="59" t="s">
        <x:v>1411</x:v>
      </x:c>
      <x:c r="AY74" s="59"/>
      <x:c r="AZ74" s="59" t="s">
        <x:v>1409</x:v>
      </x:c>
      <x:c r="BA74" s="59"/>
      <x:c r="BB74" s="167"/>
      <x:c r="BC74" s="65">
        <x:v>2026</x:v>
      </x:c>
      <x:c r="BD74" s="59"/>
      <x:c r="BE74" s="167"/>
      <x:c r="BF74" s="59" t="s">
        <x:v>1501</x:v>
      </x:c>
    </x:row>
    <x:row r="75" ht="28">
      <x:c r="A75" s="59" t="s">
        <x:v>1804</x:v>
      </x:c>
      <x:c r="B75" s="59" t="s">
        <x:v>1805</x:v>
      </x:c>
      <x:c r="C75" s="59"/>
      <x:c r="D75" s="59"/>
      <x:c r="E75" s="59" t="s">
        <x:v>1806</x:v>
      </x:c>
      <x:c r="F75" s="59" t="s">
        <x:v>1580</x:v>
      </x:c>
      <x:c r="G75" s="59" t="s">
        <x:v>1512</x:v>
      </x:c>
      <x:c r="H75" s="59" t="s">
        <x:v>1399</x:v>
      </x:c>
      <x:c r="I75" s="59" t="s">
        <x:v>1807</x:v>
      </x:c>
      <x:c r="J75" s="59" t="s">
        <x:v>1431</x:v>
      </x:c>
      <x:c r="K75" s="59" t="s">
        <x:v>1432</x:v>
      </x:c>
      <x:c r="L75" s="59" t="s">
        <x:v>1487</x:v>
      </x:c>
      <x:c r="M75" s="59" t="s">
        <x:v>1489</x:v>
      </x:c>
      <x:c r="N75" s="59" t="s">
        <x:v>1487</x:v>
      </x:c>
      <x:c r="O75" s="59" t="s">
        <x:v>1522</x:v>
      </x:c>
      <x:c r="P75" s="59" t="s">
        <x:v>1437</x:v>
      </x:c>
      <x:c r="Q75" s="75" t="s">
        <x:v>1437</x:v>
      </x:c>
      <x:c r="R75" s="75" t="s">
        <x:v>1437</x:v>
      </x:c>
      <x:c r="S75" s="75" t="s">
        <x:v>1437</x:v>
      </x:c>
      <x:c r="T75" s="75" t="s">
        <x:v>1437</x:v>
      </x:c>
      <x:c r="U75" s="75" t="s">
        <x:v>1437</x:v>
      </x:c>
      <x:c r="V75" s="75" t="s">
        <x:v>1437</x:v>
      </x:c>
      <x:c r="W75" s="60"/>
      <x:c r="X75" s="73" t="str">
        <x:f t="shared" si="11"/>
        <x:v>Belum Dinilai</x:v>
      </x:c>
      <x:c r="Y75" s="73" t="str">
        <x:f t="shared" si="12"/>
        <x:v>Belum Dinilai</x:v>
      </x:c>
      <x:c r="Z75" s="74" t="str">
        <x:f t="shared" si="13"/>
      </x:c>
      <x:c r="AA75" s="74" t="str">
        <x:f t="shared" si="14"/>
      </x:c>
      <x:c r="AB75" s="74" t="str">
        <x:f t="shared" si="15"/>
      </x:c>
      <x:c r="AC75" s="61" t="s">
        <x:v>1437</x:v>
      </x:c>
      <x:c r="AD75" s="61" t="s">
        <x:v>1437</x:v>
      </x:c>
      <x:c r="AE75" s="61" t="s">
        <x:v>1437</x:v>
      </x:c>
      <x:c r="AF75" s="61" t="s">
        <x:v>1437</x:v>
      </x:c>
      <x:c r="AG75" s="61" t="s">
        <x:v>1437</x:v>
      </x:c>
      <x:c r="AH75" s="61" t="s">
        <x:v>1437</x:v>
      </x:c>
      <x:c r="AI75" s="61" t="s">
        <x:v>1437</x:v>
      </x:c>
      <x:c r="AJ75" s="61" t="s">
        <x:v>1437</x:v>
      </x:c>
      <x:c r="AK75" s="61" t="s">
        <x:v>1437</x:v>
      </x:c>
      <x:c r="AL75" s="61"/>
      <x:c r="AM75" s="61" t="s">
        <x:v>1437</x:v>
      </x:c>
      <x:c r="AN75" s="73" t="str">
        <x:f t="shared" si="16"/>
        <x:v>Belum Dinilai</x:v>
      </x:c>
      <x:c r="AO75" s="73" t="str">
        <x:f t="shared" si="17"/>
        <x:v>Belum Dinilai</x:v>
      </x:c>
      <x:c r="AP75" s="61"/>
      <x:c r="AQ75" s="64" t="str">
        <x:f t="shared" si="18"/>
      </x:c>
      <x:c r="AR75" s="64" t="str">
        <x:f t="shared" si="19"/>
      </x:c>
      <x:c r="AS75" s="64" t="str">
        <x:f t="shared" si="20"/>
      </x:c>
      <x:c r="AT75" s="62" t="str">
        <x:f t="shared" si="21"/>
        <x:v>Belum Dapat Ditentukan</x:v>
      </x:c>
      <x:c r="AU75" s="59" t="s">
        <x:v>1408</x:v>
      </x:c>
      <x:c r="AV75" s="59" t="s">
        <x:v>1425</x:v>
      </x:c>
      <x:c r="AW75" s="59" t="s">
        <x:v>1410</x:v>
      </x:c>
      <x:c r="AX75" s="59" t="s">
        <x:v>1411</x:v>
      </x:c>
      <x:c r="AY75" s="59"/>
      <x:c r="AZ75" s="59" t="s">
        <x:v>1409</x:v>
      </x:c>
      <x:c r="BA75" s="59"/>
      <x:c r="BB75" s="167"/>
      <x:c r="BC75" s="65">
        <x:v>2026</x:v>
      </x:c>
      <x:c r="BD75" s="59"/>
      <x:c r="BE75" s="167"/>
      <x:c r="BF75" s="59" t="s">
        <x:v>1501</x:v>
      </x:c>
    </x:row>
    <x:row r="76" ht="28">
      <x:c r="A76" s="59" t="s">
        <x:v>1808</x:v>
      </x:c>
      <x:c r="B76" s="59" t="s">
        <x:v>1809</x:v>
      </x:c>
      <x:c r="C76" s="59" t="s">
        <x:v>1810</x:v>
      </x:c>
      <x:c r="D76" s="59" t="s">
        <x:v>1811</x:v>
      </x:c>
      <x:c r="E76" s="59" t="s">
        <x:v>1812</x:v>
      </x:c>
      <x:c r="F76" s="59" t="s">
        <x:v>1580</x:v>
      </x:c>
      <x:c r="G76" s="59" t="s">
        <x:v>102</x:v>
      </x:c>
      <x:c r="H76" s="59" t="s">
        <x:v>1399</x:v>
      </x:c>
      <x:c r="I76" s="59"/>
      <x:c r="J76" s="59" t="s">
        <x:v>1431</x:v>
      </x:c>
      <x:c r="K76" s="59" t="s">
        <x:v>1432</x:v>
      </x:c>
      <x:c r="L76" s="59" t="s">
        <x:v>1418</x:v>
      </x:c>
      <x:c r="M76" s="59" t="s">
        <x:v>1489</x:v>
      </x:c>
      <x:c r="N76" s="59" t="s">
        <x:v>1418</x:v>
      </x:c>
      <x:c r="O76" s="59" t="s">
        <x:v>1435</x:v>
      </x:c>
      <x:c r="P76" s="59" t="s">
        <x:v>1418</x:v>
      </x:c>
      <x:c r="Q76" s="75" t="s">
        <x:v>1405</x:v>
      </x:c>
      <x:c r="R76" s="75" t="s">
        <x:v>1422</x:v>
      </x:c>
      <x:c r="S76" s="75" t="s">
        <x:v>1422</x:v>
      </x:c>
      <x:c r="T76" s="75" t="s">
        <x:v>1422</x:v>
      </x:c>
      <x:c r="U76" s="75" t="s">
        <x:v>1422</x:v>
      </x:c>
      <x:c r="V76" s="75" t="s">
        <x:v>1437</x:v>
      </x:c>
      <x:c r="W76" s="60"/>
      <x:c r="X76" s="73" t="str">
        <x:f t="shared" si="11"/>
        <x:v>Belum Dinilai</x:v>
      </x:c>
      <x:c r="Y76" s="73" t="str">
        <x:f t="shared" si="12"/>
        <x:v>Belum Dinilai</x:v>
      </x:c>
      <x:c r="Z76" s="74">
        <x:f t="shared" si="13"/>
        <x:v>10</x:v>
      </x:c>
      <x:c r="AA76" s="74" t="str">
        <x:f t="shared" si="14"/>
      </x:c>
      <x:c r="AB76" s="74" t="str">
        <x:f t="shared" si="15"/>
      </x:c>
      <x:c r="AC76" s="61" t="s">
        <x:v>1437</x:v>
      </x:c>
      <x:c r="AD76" s="61" t="s">
        <x:v>1422</x:v>
      </x:c>
      <x:c r="AE76" s="61" t="s">
        <x:v>1437</x:v>
      </x:c>
      <x:c r="AF76" s="61" t="s">
        <x:v>1437</x:v>
      </x:c>
      <x:c r="AG76" s="61" t="s">
        <x:v>1437</x:v>
      </x:c>
      <x:c r="AH76" s="61" t="s">
        <x:v>1406</x:v>
      </x:c>
      <x:c r="AI76" s="61" t="s">
        <x:v>1406</x:v>
      </x:c>
      <x:c r="AJ76" s="61" t="s">
        <x:v>1437</x:v>
      </x:c>
      <x:c r="AK76" s="61" t="s">
        <x:v>1437</x:v>
      </x:c>
      <x:c r="AL76" s="61"/>
      <x:c r="AM76" s="61" t="s">
        <x:v>1437</x:v>
      </x:c>
      <x:c r="AN76" s="73" t="str">
        <x:f t="shared" si="16"/>
        <x:v>Instalasi listrik berbahaya; Komponen bangunan lepas atau lapuk; </x:v>
      </x:c>
      <x:c r="AO76" s="73" t="str">
        <x:f t="shared" si="17"/>
        <x:v>Risiko Tinggi/Darurat</x:v>
      </x:c>
      <x:c r="AP76" s="61"/>
      <x:c r="AQ76" s="64">
        <x:f t="shared" si="18"/>
        <x:v>29</x:v>
      </x:c>
      <x:c r="AR76" s="64">
        <x:f t="shared" si="19"/>
        <x:v>10</x:v>
      </x:c>
      <x:c r="AS76" s="64" t="str">
        <x:f t="shared" si="20"/>
      </x:c>
      <x:c r="AT76" s="62" t="str">
        <x:f t="shared" si="21"/>
        <x:v>Belum Dapat Ditentukan</x:v>
      </x:c>
      <x:c r="AU76" s="59"/>
      <x:c r="AV76" s="59"/>
      <x:c r="AW76" s="59" t="s">
        <x:v>1410</x:v>
      </x:c>
      <x:c r="AX76" s="59" t="s">
        <x:v>1411</x:v>
      </x:c>
      <x:c r="AY76" s="59"/>
      <x:c r="AZ76" s="59" t="s">
        <x:v>1412</x:v>
      </x:c>
      <x:c r="BA76" s="59"/>
      <x:c r="BB76" s="167"/>
      <x:c r="BC76" s="65"/>
      <x:c r="BD76" s="59"/>
      <x:c r="BE76" s="167"/>
      <x:c r="BF76" s="59"/>
    </x:row>
    <x:row r="77" ht="42">
      <x:c r="A77" s="59" t="s">
        <x:v>1813</x:v>
      </x:c>
      <x:c r="B77" s="59" t="s">
        <x:v>1814</x:v>
      </x:c>
      <x:c r="C77" s="59"/>
      <x:c r="D77" s="59"/>
      <x:c r="E77" s="59" t="s">
        <x:v>1815</x:v>
      </x:c>
      <x:c r="F77" s="59" t="s">
        <x:v>1755</x:v>
      </x:c>
      <x:c r="G77" s="59" t="s">
        <x:v>1575</x:v>
      </x:c>
      <x:c r="H77" s="59" t="s">
        <x:v>1399</x:v>
      </x:c>
      <x:c r="I77" s="59" t="s">
        <x:v>1816</x:v>
      </x:c>
      <x:c r="J77" s="59" t="s">
        <x:v>1431</x:v>
      </x:c>
      <x:c r="K77" s="59" t="s">
        <x:v>1401</x:v>
      </x:c>
      <x:c r="L77" s="59" t="s">
        <x:v>1437</x:v>
      </x:c>
      <x:c r="M77" s="59" t="s">
        <x:v>1489</x:v>
      </x:c>
      <x:c r="N77" s="59" t="s">
        <x:v>1437</x:v>
      </x:c>
      <x:c r="O77" s="59" t="s">
        <x:v>1435</x:v>
      </x:c>
      <x:c r="P77" s="59" t="s">
        <x:v>1433</x:v>
      </x:c>
      <x:c r="Q77" s="75" t="s">
        <x:v>1437</x:v>
      </x:c>
      <x:c r="R77" s="75" t="s">
        <x:v>1437</x:v>
      </x:c>
      <x:c r="S77" s="75" t="s">
        <x:v>1437</x:v>
      </x:c>
      <x:c r="T77" s="75" t="s">
        <x:v>1437</x:v>
      </x:c>
      <x:c r="U77" s="75" t="s">
        <x:v>1437</x:v>
      </x:c>
      <x:c r="V77" s="75" t="s">
        <x:v>1437</x:v>
      </x:c>
      <x:c r="W77" s="60"/>
      <x:c r="X77" s="73" t="str">
        <x:f t="shared" si="11"/>
        <x:v>Belum Dinilai</x:v>
      </x:c>
      <x:c r="Y77" s="73" t="str">
        <x:f t="shared" si="12"/>
        <x:v>Belum Dinilai</x:v>
      </x:c>
      <x:c r="Z77" s="74" t="str">
        <x:f t="shared" si="13"/>
      </x:c>
      <x:c r="AA77" s="74" t="str">
        <x:f t="shared" si="14"/>
      </x:c>
      <x:c r="AB77" s="74" t="str">
        <x:f t="shared" si="15"/>
      </x:c>
      <x:c r="AC77" s="61" t="s">
        <x:v>1437</x:v>
      </x:c>
      <x:c r="AD77" s="61" t="s">
        <x:v>1437</x:v>
      </x:c>
      <x:c r="AE77" s="61" t="s">
        <x:v>1437</x:v>
      </x:c>
      <x:c r="AF77" s="61" t="s">
        <x:v>1437</x:v>
      </x:c>
      <x:c r="AG77" s="61" t="s">
        <x:v>1437</x:v>
      </x:c>
      <x:c r="AH77" s="61" t="s">
        <x:v>1437</x:v>
      </x:c>
      <x:c r="AI77" s="61" t="s">
        <x:v>1437</x:v>
      </x:c>
      <x:c r="AJ77" s="61" t="s">
        <x:v>1437</x:v>
      </x:c>
      <x:c r="AK77" s="61" t="s">
        <x:v>1437</x:v>
      </x:c>
      <x:c r="AL77" s="61"/>
      <x:c r="AM77" s="61" t="s">
        <x:v>1437</x:v>
      </x:c>
      <x:c r="AN77" s="73" t="str">
        <x:f t="shared" si="16"/>
        <x:v>Belum Dinilai</x:v>
      </x:c>
      <x:c r="AO77" s="73" t="str">
        <x:f t="shared" si="17"/>
        <x:v>Belum Dinilai</x:v>
      </x:c>
      <x:c r="AP77" s="61"/>
      <x:c r="AQ77" s="64" t="str">
        <x:f t="shared" si="18"/>
      </x:c>
      <x:c r="AR77" s="64" t="str">
        <x:f t="shared" si="19"/>
      </x:c>
      <x:c r="AS77" s="64" t="str">
        <x:f t="shared" si="20"/>
      </x:c>
      <x:c r="AT77" s="62" t="str">
        <x:f t="shared" si="21"/>
        <x:v>Belum Dapat Ditentukan</x:v>
      </x:c>
      <x:c r="AU77" s="59" t="s">
        <x:v>1408</x:v>
      </x:c>
      <x:c r="AV77" s="59" t="s">
        <x:v>1425</x:v>
      </x:c>
      <x:c r="AW77" s="59" t="s">
        <x:v>1410</x:v>
      </x:c>
      <x:c r="AX77" s="59" t="s">
        <x:v>1411</x:v>
      </x:c>
      <x:c r="AY77" s="59"/>
      <x:c r="AZ77" s="59" t="s">
        <x:v>1409</x:v>
      </x:c>
      <x:c r="BA77" s="59"/>
      <x:c r="BB77" s="167"/>
      <x:c r="BC77" s="65">
        <x:v>2026</x:v>
      </x:c>
      <x:c r="BD77" s="59"/>
      <x:c r="BE77" s="167"/>
      <x:c r="BF77" s="59" t="s">
        <x:v>1501</x:v>
      </x:c>
    </x:row>
    <x:row r="78" ht="28">
      <x:c r="A78" s="59" t="s">
        <x:v>1817</x:v>
      </x:c>
      <x:c r="B78" s="59" t="s">
        <x:v>1818</x:v>
      </x:c>
      <x:c r="C78" s="59" t="s">
        <x:v>1819</x:v>
      </x:c>
      <x:c r="D78" s="59" t="s">
        <x:v>1820</x:v>
      </x:c>
      <x:c r="E78" s="59" t="s">
        <x:v>1821</x:v>
      </x:c>
      <x:c r="F78" s="59" t="s">
        <x:v>1822</x:v>
      </x:c>
      <x:c r="G78" s="59" t="s">
        <x:v>1549</x:v>
      </x:c>
      <x:c r="H78" s="59" t="s">
        <x:v>1399</x:v>
      </x:c>
      <x:c r="I78" s="59" t="s">
        <x:v>1823</x:v>
      </x:c>
      <x:c r="J78" s="59" t="s">
        <x:v>1431</x:v>
      </x:c>
      <x:c r="K78" s="59" t="s">
        <x:v>1432</x:v>
      </x:c>
      <x:c r="L78" s="59" t="s">
        <x:v>1433</x:v>
      </x:c>
      <x:c r="M78" s="59" t="s">
        <x:v>1489</x:v>
      </x:c>
      <x:c r="N78" s="59" t="s">
        <x:v>1418</x:v>
      </x:c>
      <x:c r="O78" s="59" t="s">
        <x:v>1435</x:v>
      </x:c>
      <x:c r="P78" s="59" t="s">
        <x:v>1418</x:v>
      </x:c>
      <x:c r="Q78" s="75" t="s">
        <x:v>1405</x:v>
      </x:c>
      <x:c r="R78" s="75" t="s">
        <x:v>1406</x:v>
      </x:c>
      <x:c r="S78" s="75" t="s">
        <x:v>1422</x:v>
      </x:c>
      <x:c r="T78" s="75" t="s">
        <x:v>1422</x:v>
      </x:c>
      <x:c r="U78" s="75" t="s">
        <x:v>1422</x:v>
      </x:c>
      <x:c r="V78" s="75" t="s">
        <x:v>1422</x:v>
      </x:c>
      <x:c r="W78" s="60"/>
      <x:c r="X78" s="73" t="str">
        <x:f t="shared" si="11"/>
        <x:v>Lansia; </x:v>
      </x:c>
      <x:c r="Y78" s="73" t="str">
        <x:f t="shared" si="12"/>
        <x:v>1 Faktor Rentan</x:v>
      </x:c>
      <x:c r="Z78" s="74">
        <x:f t="shared" si="13"/>
        <x:v>10</x:v>
      </x:c>
      <x:c r="AA78" s="74">
        <x:f t="shared" si="14"/>
        <x:v>5</x:v>
      </x:c>
      <x:c r="AB78" s="74">
        <x:f t="shared" si="15"/>
        <x:v>15</x:v>
      </x:c>
      <x:c r="AC78" s="61" t="s">
        <x:v>1422</x:v>
      </x:c>
      <x:c r="AD78" s="61" t="s">
        <x:v>1422</x:v>
      </x:c>
      <x:c r="AE78" s="61" t="s">
        <x:v>1406</x:v>
      </x:c>
      <x:c r="AF78" s="61" t="s">
        <x:v>1422</x:v>
      </x:c>
      <x:c r="AG78" s="61" t="s">
        <x:v>1406</x:v>
      </x:c>
      <x:c r="AH78" s="61" t="s">
        <x:v>1406</x:v>
      </x:c>
      <x:c r="AI78" s="61" t="s">
        <x:v>1406</x:v>
      </x:c>
      <x:c r="AJ78" s="61" t="s">
        <x:v>1422</x:v>
      </x:c>
      <x:c r="AK78" s="61" t="s">
        <x:v>1422</x:v>
      </x:c>
      <x:c r="AL78" s="61"/>
      <x:c r="AM78" s="61" t="s">
        <x:v>1437</x:v>
      </x:c>
      <x:c r="AN78" s="73" t="str">
        <x:f t="shared" si="16"/>
        <x:v>Atap atau dinding utama hampir runtuh; Struktur rumah tidak stabil; Instalasi listrik berbahaya; Komponen bangunan lepas atau lapuk; </x:v>
      </x:c>
      <x:c r="AO78" s="73" t="str">
        <x:f t="shared" si="17"/>
        <x:v>Risiko Tinggi/Darurat</x:v>
      </x:c>
      <x:c r="AP78" s="61"/>
      <x:c r="AQ78" s="64">
        <x:f t="shared" si="18"/>
        <x:v>34</x:v>
      </x:c>
      <x:c r="AR78" s="64">
        <x:f t="shared" si="19"/>
        <x:v>10</x:v>
      </x:c>
      <x:c r="AS78" s="64">
        <x:f t="shared" si="20"/>
        <x:v>59</x:v>
      </x:c>
      <x:c r="AT78" s="62" t="str">
        <x:f t="shared" si="21"/>
        <x:v>Tinggi</x:v>
      </x:c>
      <x:c r="AU78" s="59" t="s">
        <x:v>1408</x:v>
      </x:c>
      <x:c r="AV78" s="59" t="s">
        <x:v>1425</x:v>
      </x:c>
      <x:c r="AW78" s="59" t="s">
        <x:v>1426</x:v>
      </x:c>
      <x:c r="AX78" s="59" t="s">
        <x:v>1506</x:v>
      </x:c>
      <x:c r="AY78" s="59">
        <x:v>2026</x:v>
      </x:c>
      <x:c r="AZ78" s="59" t="s">
        <x:v>1409</x:v>
      </x:c>
      <x:c r="BA78" s="59"/>
      <x:c r="BB78" s="167"/>
      <x:c r="BC78" s="65">
        <x:v>2026</x:v>
      </x:c>
      <x:c r="BD78" s="59"/>
      <x:c r="BE78" s="167"/>
      <x:c r="BF78" s="59" t="s">
        <x:v>1501</x:v>
      </x:c>
    </x:row>
    <x:row r="79" ht="28">
      <x:c r="A79" s="59" t="s">
        <x:v>1824</x:v>
      </x:c>
      <x:c r="B79" s="59" t="s">
        <x:v>1825</x:v>
      </x:c>
      <x:c r="C79" s="59"/>
      <x:c r="D79" s="59"/>
      <x:c r="E79" s="59" t="s">
        <x:v>1826</x:v>
      </x:c>
      <x:c r="F79" s="59" t="s">
        <x:v>1822</x:v>
      </x:c>
      <x:c r="G79" s="59" t="s">
        <x:v>1549</x:v>
      </x:c>
      <x:c r="H79" s="59" t="s">
        <x:v>1415</x:v>
      </x:c>
      <x:c r="I79" s="59" t="s">
        <x:v>1827</x:v>
      </x:c>
      <x:c r="J79" s="59" t="s">
        <x:v>1485</x:v>
      </x:c>
      <x:c r="K79" s="59" t="s">
        <x:v>1522</x:v>
      </x:c>
      <x:c r="L79" s="59" t="s">
        <x:v>1437</x:v>
      </x:c>
      <x:c r="M79" s="59" t="s">
        <x:v>1522</x:v>
      </x:c>
      <x:c r="N79" s="59" t="s">
        <x:v>1437</x:v>
      </x:c>
      <x:c r="O79" s="59" t="s">
        <x:v>1522</x:v>
      </x:c>
      <x:c r="P79" s="59" t="s">
        <x:v>1437</x:v>
      </x:c>
      <x:c r="Q79" s="75" t="s">
        <x:v>1437</x:v>
      </x:c>
      <x:c r="R79" s="75" t="s">
        <x:v>1437</x:v>
      </x:c>
      <x:c r="S79" s="75" t="s">
        <x:v>1437</x:v>
      </x:c>
      <x:c r="T79" s="75" t="s">
        <x:v>1437</x:v>
      </x:c>
      <x:c r="U79" s="75" t="s">
        <x:v>1437</x:v>
      </x:c>
      <x:c r="V79" s="75" t="s">
        <x:v>1437</x:v>
      </x:c>
      <x:c r="W79" s="60"/>
      <x:c r="X79" s="73" t="str">
        <x:f t="shared" si="11"/>
        <x:v>Belum Dinilai</x:v>
      </x:c>
      <x:c r="Y79" s="73" t="str">
        <x:f t="shared" si="12"/>
        <x:v>Belum Dinilai</x:v>
      </x:c>
      <x:c r="Z79" s="74" t="str">
        <x:f t="shared" si="13"/>
      </x:c>
      <x:c r="AA79" s="74" t="str">
        <x:f t="shared" si="14"/>
      </x:c>
      <x:c r="AB79" s="74" t="str">
        <x:f t="shared" si="15"/>
      </x:c>
      <x:c r="AC79" s="61" t="s">
        <x:v>1437</x:v>
      </x:c>
      <x:c r="AD79" s="61" t="s">
        <x:v>1437</x:v>
      </x:c>
      <x:c r="AE79" s="61" t="s">
        <x:v>1437</x:v>
      </x:c>
      <x:c r="AF79" s="61" t="s">
        <x:v>1437</x:v>
      </x:c>
      <x:c r="AG79" s="61" t="s">
        <x:v>1437</x:v>
      </x:c>
      <x:c r="AH79" s="61" t="s">
        <x:v>1437</x:v>
      </x:c>
      <x:c r="AI79" s="61" t="s">
        <x:v>1437</x:v>
      </x:c>
      <x:c r="AJ79" s="61" t="s">
        <x:v>1437</x:v>
      </x:c>
      <x:c r="AK79" s="61" t="s">
        <x:v>1437</x:v>
      </x:c>
      <x:c r="AL79" s="61"/>
      <x:c r="AM79" s="61" t="s">
        <x:v>1437</x:v>
      </x:c>
      <x:c r="AN79" s="73" t="str">
        <x:f t="shared" si="16"/>
        <x:v>Belum Dinilai</x:v>
      </x:c>
      <x:c r="AO79" s="73" t="str">
        <x:f t="shared" si="17"/>
        <x:v>Belum Dinilai</x:v>
      </x:c>
      <x:c r="AP79" s="61"/>
      <x:c r="AQ79" s="64" t="str">
        <x:f t="shared" si="18"/>
      </x:c>
      <x:c r="AR79" s="64" t="str">
        <x:f t="shared" si="19"/>
      </x:c>
      <x:c r="AS79" s="64" t="str">
        <x:f t="shared" si="20"/>
      </x:c>
      <x:c r="AT79" s="62" t="str">
        <x:f t="shared" si="21"/>
        <x:v>Belum Dapat Ditentukan</x:v>
      </x:c>
      <x:c r="AU79" s="59" t="s">
        <x:v>1408</x:v>
      </x:c>
      <x:c r="AV79" s="59" t="s">
        <x:v>1425</x:v>
      </x:c>
      <x:c r="AW79" s="59" t="s">
        <x:v>1410</x:v>
      </x:c>
      <x:c r="AX79" s="59" t="s">
        <x:v>1411</x:v>
      </x:c>
      <x:c r="AY79" s="59"/>
      <x:c r="AZ79" s="59" t="s">
        <x:v>1409</x:v>
      </x:c>
      <x:c r="BA79" s="59"/>
      <x:c r="BB79" s="167"/>
      <x:c r="BC79" s="65">
        <x:v>2026</x:v>
      </x:c>
      <x:c r="BD79" s="59"/>
      <x:c r="BE79" s="167"/>
      <x:c r="BF79" s="59" t="s">
        <x:v>1501</x:v>
      </x:c>
    </x:row>
    <x:row r="80" ht="28">
      <x:c r="A80" s="59" t="s">
        <x:v>1828</x:v>
      </x:c>
      <x:c r="B80" s="59" t="s">
        <x:v>1829</x:v>
      </x:c>
      <x:c r="C80" s="59"/>
      <x:c r="D80" s="59"/>
      <x:c r="E80" s="59" t="s">
        <x:v>1830</x:v>
      </x:c>
      <x:c r="F80" s="59" t="s">
        <x:v>1831</x:v>
      </x:c>
      <x:c r="G80" s="59" t="s">
        <x:v>1549</x:v>
      </x:c>
      <x:c r="H80" s="59" t="s">
        <x:v>1399</x:v>
      </x:c>
      <x:c r="I80" s="59" t="s">
        <x:v>1832</x:v>
      </x:c>
      <x:c r="J80" s="59" t="s">
        <x:v>1485</x:v>
      </x:c>
      <x:c r="K80" s="59" t="s">
        <x:v>1516</x:v>
      </x:c>
      <x:c r="L80" s="59" t="s">
        <x:v>1437</x:v>
      </x:c>
      <x:c r="M80" s="59" t="s">
        <x:v>1522</x:v>
      </x:c>
      <x:c r="N80" s="59" t="s">
        <x:v>1437</x:v>
      </x:c>
      <x:c r="O80" s="59" t="s">
        <x:v>1522</x:v>
      </x:c>
      <x:c r="P80" s="59" t="s">
        <x:v>1437</x:v>
      </x:c>
      <x:c r="Q80" s="75" t="s">
        <x:v>1437</x:v>
      </x:c>
      <x:c r="R80" s="75" t="s">
        <x:v>1437</x:v>
      </x:c>
      <x:c r="S80" s="75" t="s">
        <x:v>1437</x:v>
      </x:c>
      <x:c r="T80" s="75" t="s">
        <x:v>1437</x:v>
      </x:c>
      <x:c r="U80" s="75" t="s">
        <x:v>1437</x:v>
      </x:c>
      <x:c r="V80" s="75" t="s">
        <x:v>1437</x:v>
      </x:c>
      <x:c r="W80" s="60"/>
      <x:c r="X80" s="73" t="str">
        <x:f t="shared" si="11"/>
        <x:v>Belum Dinilai</x:v>
      </x:c>
      <x:c r="Y80" s="73" t="str">
        <x:f t="shared" si="12"/>
        <x:v>Belum Dinilai</x:v>
      </x:c>
      <x:c r="Z80" s="74" t="str">
        <x:f t="shared" si="13"/>
      </x:c>
      <x:c r="AA80" s="74" t="str">
        <x:f t="shared" si="14"/>
      </x:c>
      <x:c r="AB80" s="74" t="str">
        <x:f t="shared" si="15"/>
      </x:c>
      <x:c r="AC80" s="61" t="s">
        <x:v>1437</x:v>
      </x:c>
      <x:c r="AD80" s="61" t="s">
        <x:v>1437</x:v>
      </x:c>
      <x:c r="AE80" s="61" t="s">
        <x:v>1437</x:v>
      </x:c>
      <x:c r="AF80" s="61" t="s">
        <x:v>1437</x:v>
      </x:c>
      <x:c r="AG80" s="61" t="s">
        <x:v>1437</x:v>
      </x:c>
      <x:c r="AH80" s="61" t="s">
        <x:v>1437</x:v>
      </x:c>
      <x:c r="AI80" s="61" t="s">
        <x:v>1437</x:v>
      </x:c>
      <x:c r="AJ80" s="61" t="s">
        <x:v>1437</x:v>
      </x:c>
      <x:c r="AK80" s="61" t="s">
        <x:v>1437</x:v>
      </x:c>
      <x:c r="AL80" s="61"/>
      <x:c r="AM80" s="61" t="s">
        <x:v>1437</x:v>
      </x:c>
      <x:c r="AN80" s="73" t="str">
        <x:f t="shared" si="16"/>
        <x:v>Belum Dinilai</x:v>
      </x:c>
      <x:c r="AO80" s="73" t="str">
        <x:f t="shared" si="17"/>
        <x:v>Belum Dinilai</x:v>
      </x:c>
      <x:c r="AP80" s="61"/>
      <x:c r="AQ80" s="64" t="str">
        <x:f t="shared" si="18"/>
      </x:c>
      <x:c r="AR80" s="64" t="str">
        <x:f t="shared" si="19"/>
      </x:c>
      <x:c r="AS80" s="64" t="str">
        <x:f t="shared" si="20"/>
      </x:c>
      <x:c r="AT80" s="62" t="str">
        <x:f t="shared" si="21"/>
        <x:v>Belum Dapat Ditentukan</x:v>
      </x:c>
      <x:c r="AU80" s="59" t="s">
        <x:v>1424</x:v>
      </x:c>
      <x:c r="AV80" s="59" t="s">
        <x:v>1425</x:v>
      </x:c>
      <x:c r="AW80" s="59" t="s">
        <x:v>1523</x:v>
      </x:c>
      <x:c r="AX80" s="59" t="s">
        <x:v>1506</x:v>
      </x:c>
      <x:c r="AY80" s="59">
        <x:v>2024</x:v>
      </x:c>
      <x:c r="AZ80" s="59" t="s">
        <x:v>1409</x:v>
      </x:c>
      <x:c r="BA80" s="59"/>
      <x:c r="BB80" s="167"/>
      <x:c r="BC80" s="65">
        <x:v>2026</x:v>
      </x:c>
      <x:c r="BD80" s="59"/>
      <x:c r="BE80" s="167"/>
      <x:c r="BF80" s="59" t="s">
        <x:v>1501</x:v>
      </x:c>
    </x:row>
    <x:row r="81" ht="28">
      <x:c r="A81" s="59" t="s">
        <x:v>1833</x:v>
      </x:c>
      <x:c r="B81" s="59" t="s">
        <x:v>1834</x:v>
      </x:c>
      <x:c r="C81" s="59"/>
      <x:c r="D81" s="59"/>
      <x:c r="E81" s="59" t="s">
        <x:v>1750</x:v>
      </x:c>
      <x:c r="F81" s="59" t="s">
        <x:v>1695</x:v>
      </x:c>
      <x:c r="G81" s="59" t="s">
        <x:v>1534</x:v>
      </x:c>
      <x:c r="H81" s="59" t="s">
        <x:v>1415</x:v>
      </x:c>
      <x:c r="I81" s="59" t="s">
        <x:v>1835</x:v>
      </x:c>
      <x:c r="J81" s="59" t="s">
        <x:v>1485</x:v>
      </x:c>
      <x:c r="K81" s="59" t="s">
        <x:v>1522</x:v>
      </x:c>
      <x:c r="L81" s="59" t="s">
        <x:v>1437</x:v>
      </x:c>
      <x:c r="M81" s="59" t="s">
        <x:v>1522</x:v>
      </x:c>
      <x:c r="N81" s="59" t="s">
        <x:v>1437</x:v>
      </x:c>
      <x:c r="O81" s="59" t="s">
        <x:v>1404</x:v>
      </x:c>
      <x:c r="P81" s="59" t="s">
        <x:v>1437</x:v>
      </x:c>
      <x:c r="Q81" s="75" t="s">
        <x:v>1437</x:v>
      </x:c>
      <x:c r="R81" s="75" t="s">
        <x:v>1437</x:v>
      </x:c>
      <x:c r="S81" s="75" t="s">
        <x:v>1437</x:v>
      </x:c>
      <x:c r="T81" s="75" t="s">
        <x:v>1437</x:v>
      </x:c>
      <x:c r="U81" s="75" t="s">
        <x:v>1437</x:v>
      </x:c>
      <x:c r="V81" s="75" t="s">
        <x:v>1437</x:v>
      </x:c>
      <x:c r="W81" s="60"/>
      <x:c r="X81" s="73" t="str">
        <x:f t="shared" si="11"/>
        <x:v>Belum Dinilai</x:v>
      </x:c>
      <x:c r="Y81" s="73" t="str">
        <x:f t="shared" si="12"/>
        <x:v>Belum Dinilai</x:v>
      </x:c>
      <x:c r="Z81" s="74" t="str">
        <x:f t="shared" si="13"/>
      </x:c>
      <x:c r="AA81" s="74" t="str">
        <x:f t="shared" si="14"/>
      </x:c>
      <x:c r="AB81" s="74" t="str">
        <x:f t="shared" si="15"/>
      </x:c>
      <x:c r="AC81" s="61" t="s">
        <x:v>1437</x:v>
      </x:c>
      <x:c r="AD81" s="61" t="s">
        <x:v>1437</x:v>
      </x:c>
      <x:c r="AE81" s="61" t="s">
        <x:v>1437</x:v>
      </x:c>
      <x:c r="AF81" s="61" t="s">
        <x:v>1437</x:v>
      </x:c>
      <x:c r="AG81" s="61" t="s">
        <x:v>1437</x:v>
      </x:c>
      <x:c r="AH81" s="61" t="s">
        <x:v>1437</x:v>
      </x:c>
      <x:c r="AI81" s="61" t="s">
        <x:v>1437</x:v>
      </x:c>
      <x:c r="AJ81" s="61" t="s">
        <x:v>1437</x:v>
      </x:c>
      <x:c r="AK81" s="61" t="s">
        <x:v>1437</x:v>
      </x:c>
      <x:c r="AL81" s="61"/>
      <x:c r="AM81" s="61" t="s">
        <x:v>1437</x:v>
      </x:c>
      <x:c r="AN81" s="73" t="str">
        <x:f t="shared" si="16"/>
        <x:v>Belum Dinilai</x:v>
      </x:c>
      <x:c r="AO81" s="73" t="str">
        <x:f t="shared" si="17"/>
        <x:v>Belum Dinilai</x:v>
      </x:c>
      <x:c r="AP81" s="61"/>
      <x:c r="AQ81" s="64" t="str">
        <x:f t="shared" si="18"/>
      </x:c>
      <x:c r="AR81" s="64" t="str">
        <x:f t="shared" si="19"/>
      </x:c>
      <x:c r="AS81" s="64" t="str">
        <x:f t="shared" si="20"/>
      </x:c>
      <x:c r="AT81" s="62" t="str">
        <x:f t="shared" si="21"/>
        <x:v>Belum Dapat Ditentukan</x:v>
      </x:c>
      <x:c r="AU81" s="59" t="s">
        <x:v>1408</x:v>
      </x:c>
      <x:c r="AV81" s="59" t="s">
        <x:v>1425</x:v>
      </x:c>
      <x:c r="AW81" s="59" t="s">
        <x:v>1410</x:v>
      </x:c>
      <x:c r="AX81" s="59" t="s">
        <x:v>1411</x:v>
      </x:c>
      <x:c r="AY81" s="59"/>
      <x:c r="AZ81" s="59" t="s">
        <x:v>1409</x:v>
      </x:c>
      <x:c r="BA81" s="59"/>
      <x:c r="BB81" s="167"/>
      <x:c r="BC81" s="65">
        <x:v>2026</x:v>
      </x:c>
      <x:c r="BD81" s="59"/>
      <x:c r="BE81" s="167"/>
      <x:c r="BF81" s="59" t="s">
        <x:v>1501</x:v>
      </x:c>
    </x:row>
    <x:row r="82" ht="28">
      <x:c r="A82" s="59" t="s">
        <x:v>1836</x:v>
      </x:c>
      <x:c r="B82" s="59" t="s">
        <x:v>1837</x:v>
      </x:c>
      <x:c r="C82" s="59"/>
      <x:c r="D82" s="59"/>
      <x:c r="E82" s="59" t="s">
        <x:v>1838</x:v>
      </x:c>
      <x:c r="F82" s="59" t="s">
        <x:v>1695</x:v>
      </x:c>
      <x:c r="G82" s="59" t="s">
        <x:v>1534</x:v>
      </x:c>
      <x:c r="H82" s="59" t="s">
        <x:v>1415</x:v>
      </x:c>
      <x:c r="I82" s="59" t="s">
        <x:v>1839</x:v>
      </x:c>
      <x:c r="J82" s="59" t="s">
        <x:v>1400</x:v>
      </x:c>
      <x:c r="K82" s="59" t="s">
        <x:v>1522</x:v>
      </x:c>
      <x:c r="L82" s="59" t="s">
        <x:v>1437</x:v>
      </x:c>
      <x:c r="M82" s="59" t="s">
        <x:v>1434</x:v>
      </x:c>
      <x:c r="N82" s="59" t="s">
        <x:v>1437</x:v>
      </x:c>
      <x:c r="O82" s="59" t="s">
        <x:v>1435</x:v>
      </x:c>
      <x:c r="P82" s="59" t="s">
        <x:v>1437</x:v>
      </x:c>
      <x:c r="Q82" s="75" t="s">
        <x:v>1437</x:v>
      </x:c>
      <x:c r="R82" s="75" t="s">
        <x:v>1437</x:v>
      </x:c>
      <x:c r="S82" s="75" t="s">
        <x:v>1437</x:v>
      </x:c>
      <x:c r="T82" s="75" t="s">
        <x:v>1437</x:v>
      </x:c>
      <x:c r="U82" s="75" t="s">
        <x:v>1437</x:v>
      </x:c>
      <x:c r="V82" s="75" t="s">
        <x:v>1437</x:v>
      </x:c>
      <x:c r="W82" s="60"/>
      <x:c r="X82" s="73" t="str">
        <x:f t="shared" si="11"/>
        <x:v>Belum Dinilai</x:v>
      </x:c>
      <x:c r="Y82" s="73" t="str">
        <x:f t="shared" si="12"/>
        <x:v>Belum Dinilai</x:v>
      </x:c>
      <x:c r="Z82" s="74" t="str">
        <x:f t="shared" si="13"/>
      </x:c>
      <x:c r="AA82" s="74" t="str">
        <x:f t="shared" si="14"/>
      </x:c>
      <x:c r="AB82" s="74" t="str">
        <x:f t="shared" si="15"/>
      </x:c>
      <x:c r="AC82" s="61" t="s">
        <x:v>1437</x:v>
      </x:c>
      <x:c r="AD82" s="61" t="s">
        <x:v>1437</x:v>
      </x:c>
      <x:c r="AE82" s="61" t="s">
        <x:v>1437</x:v>
      </x:c>
      <x:c r="AF82" s="61" t="s">
        <x:v>1437</x:v>
      </x:c>
      <x:c r="AG82" s="61" t="s">
        <x:v>1437</x:v>
      </x:c>
      <x:c r="AH82" s="61" t="s">
        <x:v>1437</x:v>
      </x:c>
      <x:c r="AI82" s="61" t="s">
        <x:v>1437</x:v>
      </x:c>
      <x:c r="AJ82" s="61" t="s">
        <x:v>1437</x:v>
      </x:c>
      <x:c r="AK82" s="61" t="s">
        <x:v>1437</x:v>
      </x:c>
      <x:c r="AL82" s="61"/>
      <x:c r="AM82" s="61" t="s">
        <x:v>1437</x:v>
      </x:c>
      <x:c r="AN82" s="73" t="str">
        <x:f t="shared" si="16"/>
        <x:v>Belum Dinilai</x:v>
      </x:c>
      <x:c r="AO82" s="73" t="str">
        <x:f t="shared" si="17"/>
        <x:v>Belum Dinilai</x:v>
      </x:c>
      <x:c r="AP82" s="61"/>
      <x:c r="AQ82" s="64" t="str">
        <x:f t="shared" si="18"/>
      </x:c>
      <x:c r="AR82" s="64" t="str">
        <x:f t="shared" si="19"/>
      </x:c>
      <x:c r="AS82" s="64" t="str">
        <x:f t="shared" si="20"/>
      </x:c>
      <x:c r="AT82" s="62" t="str">
        <x:f t="shared" si="21"/>
        <x:v>Belum Dapat Ditentukan</x:v>
      </x:c>
      <x:c r="AU82" s="59" t="s">
        <x:v>1408</x:v>
      </x:c>
      <x:c r="AV82" s="59" t="s">
        <x:v>1425</x:v>
      </x:c>
      <x:c r="AW82" s="59" t="s">
        <x:v>1410</x:v>
      </x:c>
      <x:c r="AX82" s="59" t="s">
        <x:v>1411</x:v>
      </x:c>
      <x:c r="AY82" s="59"/>
      <x:c r="AZ82" s="59" t="s">
        <x:v>1409</x:v>
      </x:c>
      <x:c r="BA82" s="59"/>
      <x:c r="BB82" s="167"/>
      <x:c r="BC82" s="65">
        <x:v>2026</x:v>
      </x:c>
      <x:c r="BD82" s="59"/>
      <x:c r="BE82" s="167"/>
      <x:c r="BF82" s="59" t="s">
        <x:v>1501</x:v>
      </x:c>
    </x:row>
    <x:row r="83" ht="28">
      <x:c r="A83" s="59" t="s">
        <x:v>1840</x:v>
      </x:c>
      <x:c r="B83" s="59" t="s">
        <x:v>1588</x:v>
      </x:c>
      <x:c r="C83" s="59"/>
      <x:c r="D83" s="59"/>
      <x:c r="E83" s="59" t="s">
        <x:v>1838</x:v>
      </x:c>
      <x:c r="F83" s="59" t="s">
        <x:v>1695</x:v>
      </x:c>
      <x:c r="G83" s="59" t="s">
        <x:v>1534</x:v>
      </x:c>
      <x:c r="H83" s="59" t="s">
        <x:v>1399</x:v>
      </x:c>
      <x:c r="I83" s="59" t="s">
        <x:v>1841</x:v>
      </x:c>
      <x:c r="J83" s="59" t="s">
        <x:v>1431</x:v>
      </x:c>
      <x:c r="K83" s="59" t="s">
        <x:v>1522</x:v>
      </x:c>
      <x:c r="L83" s="59" t="s">
        <x:v>1487</x:v>
      </x:c>
      <x:c r="M83" s="59" t="s">
        <x:v>1489</x:v>
      </x:c>
      <x:c r="N83" s="59" t="s">
        <x:v>1487</x:v>
      </x:c>
      <x:c r="O83" s="59" t="s">
        <x:v>1435</x:v>
      </x:c>
      <x:c r="P83" s="59" t="s">
        <x:v>1487</x:v>
      </x:c>
      <x:c r="Q83" s="75" t="s">
        <x:v>1437</x:v>
      </x:c>
      <x:c r="R83" s="75" t="s">
        <x:v>1437</x:v>
      </x:c>
      <x:c r="S83" s="75" t="s">
        <x:v>1437</x:v>
      </x:c>
      <x:c r="T83" s="75" t="s">
        <x:v>1437</x:v>
      </x:c>
      <x:c r="U83" s="75" t="s">
        <x:v>1437</x:v>
      </x:c>
      <x:c r="V83" s="75" t="s">
        <x:v>1437</x:v>
      </x:c>
      <x:c r="W83" s="60"/>
      <x:c r="X83" s="73" t="str">
        <x:f t="shared" si="11"/>
        <x:v>Belum Dinilai</x:v>
      </x:c>
      <x:c r="Y83" s="73" t="str">
        <x:f t="shared" si="12"/>
        <x:v>Belum Dinilai</x:v>
      </x:c>
      <x:c r="Z83" s="74" t="str">
        <x:f t="shared" si="13"/>
      </x:c>
      <x:c r="AA83" s="74" t="str">
        <x:f t="shared" si="14"/>
      </x:c>
      <x:c r="AB83" s="74" t="str">
        <x:f t="shared" si="15"/>
      </x:c>
      <x:c r="AC83" s="61" t="s">
        <x:v>1437</x:v>
      </x:c>
      <x:c r="AD83" s="61" t="s">
        <x:v>1437</x:v>
      </x:c>
      <x:c r="AE83" s="61" t="s">
        <x:v>1437</x:v>
      </x:c>
      <x:c r="AF83" s="61" t="s">
        <x:v>1437</x:v>
      </x:c>
      <x:c r="AG83" s="61" t="s">
        <x:v>1437</x:v>
      </x:c>
      <x:c r="AH83" s="61" t="s">
        <x:v>1437</x:v>
      </x:c>
      <x:c r="AI83" s="61" t="s">
        <x:v>1437</x:v>
      </x:c>
      <x:c r="AJ83" s="61" t="s">
        <x:v>1437</x:v>
      </x:c>
      <x:c r="AK83" s="61" t="s">
        <x:v>1437</x:v>
      </x:c>
      <x:c r="AL83" s="61"/>
      <x:c r="AM83" s="61" t="s">
        <x:v>1437</x:v>
      </x:c>
      <x:c r="AN83" s="73" t="str">
        <x:f t="shared" si="16"/>
        <x:v>Belum Dinilai</x:v>
      </x:c>
      <x:c r="AO83" s="73" t="str">
        <x:f t="shared" si="17"/>
        <x:v>Belum Dinilai</x:v>
      </x:c>
      <x:c r="AP83" s="61"/>
      <x:c r="AQ83" s="64">
        <x:f t="shared" si="18"/>
        <x:v>57</x:v>
      </x:c>
      <x:c r="AR83" s="64" t="str">
        <x:f t="shared" si="19"/>
      </x:c>
      <x:c r="AS83" s="64" t="str">
        <x:f t="shared" si="20"/>
      </x:c>
      <x:c r="AT83" s="62" t="str">
        <x:f t="shared" si="21"/>
        <x:v>Belum Dapat Ditentukan</x:v>
      </x:c>
      <x:c r="AU83" s="59" t="s">
        <x:v>1408</x:v>
      </x:c>
      <x:c r="AV83" s="59" t="s">
        <x:v>1425</x:v>
      </x:c>
      <x:c r="AW83" s="59" t="s">
        <x:v>1523</x:v>
      </x:c>
      <x:c r="AX83" s="59" t="s">
        <x:v>1439</x:v>
      </x:c>
      <x:c r="AY83" s="59">
        <x:v>2023</x:v>
      </x:c>
      <x:c r="AZ83" s="59" t="s">
        <x:v>1409</x:v>
      </x:c>
      <x:c r="BA83" s="59"/>
      <x:c r="BB83" s="167"/>
      <x:c r="BC83" s="65">
        <x:v>2026</x:v>
      </x:c>
      <x:c r="BD83" s="59"/>
      <x:c r="BE83" s="167"/>
      <x:c r="BF83" s="59" t="s">
        <x:v>1501</x:v>
      </x:c>
    </x:row>
    <x:row r="84" ht="28">
      <x:c r="A84" s="59" t="s">
        <x:v>1842</x:v>
      </x:c>
      <x:c r="B84" s="59" t="s">
        <x:v>1843</x:v>
      </x:c>
      <x:c r="C84" s="59"/>
      <x:c r="D84" s="59"/>
      <x:c r="E84" s="59" t="s">
        <x:v>1844</x:v>
      </x:c>
      <x:c r="F84" s="59" t="s">
        <x:v>1695</x:v>
      </x:c>
      <x:c r="G84" s="59" t="s">
        <x:v>1534</x:v>
      </x:c>
      <x:c r="H84" s="59" t="s">
        <x:v>1399</x:v>
      </x:c>
      <x:c r="I84" s="59" t="s">
        <x:v>1845</x:v>
      </x:c>
      <x:c r="J84" s="59" t="s">
        <x:v>1431</x:v>
      </x:c>
      <x:c r="K84" s="59" t="s">
        <x:v>1522</x:v>
      </x:c>
      <x:c r="L84" s="59" t="s">
        <x:v>1437</x:v>
      </x:c>
      <x:c r="M84" s="59" t="s">
        <x:v>1489</x:v>
      </x:c>
      <x:c r="N84" s="59" t="s">
        <x:v>1487</x:v>
      </x:c>
      <x:c r="O84" s="59" t="s">
        <x:v>1435</x:v>
      </x:c>
      <x:c r="P84" s="59" t="s">
        <x:v>1487</x:v>
      </x:c>
      <x:c r="Q84" s="75" t="s">
        <x:v>1437</x:v>
      </x:c>
      <x:c r="R84" s="75" t="s">
        <x:v>1437</x:v>
      </x:c>
      <x:c r="S84" s="75" t="s">
        <x:v>1437</x:v>
      </x:c>
      <x:c r="T84" s="75" t="s">
        <x:v>1437</x:v>
      </x:c>
      <x:c r="U84" s="75" t="s">
        <x:v>1437</x:v>
      </x:c>
      <x:c r="V84" s="75" t="s">
        <x:v>1437</x:v>
      </x:c>
      <x:c r="W84" s="60"/>
      <x:c r="X84" s="73" t="str">
        <x:f t="shared" si="11"/>
        <x:v>Belum Dinilai</x:v>
      </x:c>
      <x:c r="Y84" s="73" t="str">
        <x:f t="shared" si="12"/>
        <x:v>Belum Dinilai</x:v>
      </x:c>
      <x:c r="Z84" s="74" t="str">
        <x:f t="shared" si="13"/>
      </x:c>
      <x:c r="AA84" s="74" t="str">
        <x:f t="shared" si="14"/>
      </x:c>
      <x:c r="AB84" s="74" t="str">
        <x:f t="shared" si="15"/>
      </x:c>
      <x:c r="AC84" s="61" t="s">
        <x:v>1437</x:v>
      </x:c>
      <x:c r="AD84" s="61" t="s">
        <x:v>1437</x:v>
      </x:c>
      <x:c r="AE84" s="61" t="s">
        <x:v>1437</x:v>
      </x:c>
      <x:c r="AF84" s="61" t="s">
        <x:v>1437</x:v>
      </x:c>
      <x:c r="AG84" s="61" t="s">
        <x:v>1437</x:v>
      </x:c>
      <x:c r="AH84" s="61" t="s">
        <x:v>1437</x:v>
      </x:c>
      <x:c r="AI84" s="61" t="s">
        <x:v>1437</x:v>
      </x:c>
      <x:c r="AJ84" s="61" t="s">
        <x:v>1437</x:v>
      </x:c>
      <x:c r="AK84" s="61" t="s">
        <x:v>1437</x:v>
      </x:c>
      <x:c r="AL84" s="61"/>
      <x:c r="AM84" s="61" t="s">
        <x:v>1437</x:v>
      </x:c>
      <x:c r="AN84" s="73" t="str">
        <x:f t="shared" si="16"/>
        <x:v>Belum Dinilai</x:v>
      </x:c>
      <x:c r="AO84" s="73" t="str">
        <x:f t="shared" si="17"/>
        <x:v>Belum Dinilai</x:v>
      </x:c>
      <x:c r="AP84" s="61"/>
      <x:c r="AQ84" s="64" t="str">
        <x:f t="shared" si="18"/>
      </x:c>
      <x:c r="AR84" s="64" t="str">
        <x:f t="shared" si="19"/>
      </x:c>
      <x:c r="AS84" s="64" t="str">
        <x:f t="shared" si="20"/>
      </x:c>
      <x:c r="AT84" s="62" t="str">
        <x:f t="shared" si="21"/>
        <x:v>Belum Dapat Ditentukan</x:v>
      </x:c>
      <x:c r="AU84" s="59" t="s">
        <x:v>1408</x:v>
      </x:c>
      <x:c r="AV84" s="59" t="s">
        <x:v>1425</x:v>
      </x:c>
      <x:c r="AW84" s="59" t="s">
        <x:v>1410</x:v>
      </x:c>
      <x:c r="AX84" s="59" t="s">
        <x:v>1411</x:v>
      </x:c>
      <x:c r="AY84" s="59"/>
      <x:c r="AZ84" s="59" t="s">
        <x:v>1409</x:v>
      </x:c>
      <x:c r="BA84" s="59"/>
      <x:c r="BB84" s="167"/>
      <x:c r="BC84" s="65">
        <x:v>2026</x:v>
      </x:c>
      <x:c r="BD84" s="59"/>
      <x:c r="BE84" s="167"/>
      <x:c r="BF84" s="59" t="s">
        <x:v>1501</x:v>
      </x:c>
    </x:row>
    <x:row r="85" ht="28">
      <x:c r="A85" s="59" t="s">
        <x:v>1846</x:v>
      </x:c>
      <x:c r="B85" s="59" t="s">
        <x:v>1847</x:v>
      </x:c>
      <x:c r="C85" s="59"/>
      <x:c r="D85" s="59"/>
      <x:c r="E85" s="59" t="s">
        <x:v>1848</x:v>
      </x:c>
      <x:c r="F85" s="59" t="s">
        <x:v>1849</x:v>
      </x:c>
      <x:c r="G85" s="59" t="s">
        <x:v>1534</x:v>
      </x:c>
      <x:c r="H85" s="59" t="s">
        <x:v>1399</x:v>
      </x:c>
      <x:c r="I85" s="59" t="s">
        <x:v>1845</x:v>
      </x:c>
      <x:c r="J85" s="59" t="s">
        <x:v>1431</x:v>
      </x:c>
      <x:c r="K85" s="59" t="s">
        <x:v>1522</x:v>
      </x:c>
      <x:c r="L85" s="59" t="s">
        <x:v>1437</x:v>
      </x:c>
      <x:c r="M85" s="59" t="s">
        <x:v>1489</x:v>
      </x:c>
      <x:c r="N85" s="59" t="s">
        <x:v>1487</x:v>
      </x:c>
      <x:c r="O85" s="59" t="s">
        <x:v>1435</x:v>
      </x:c>
      <x:c r="P85" s="59" t="s">
        <x:v>1487</x:v>
      </x:c>
      <x:c r="Q85" s="75" t="s">
        <x:v>1437</x:v>
      </x:c>
      <x:c r="R85" s="75" t="s">
        <x:v>1437</x:v>
      </x:c>
      <x:c r="S85" s="75" t="s">
        <x:v>1437</x:v>
      </x:c>
      <x:c r="T85" s="75" t="s">
        <x:v>1437</x:v>
      </x:c>
      <x:c r="U85" s="75" t="s">
        <x:v>1437</x:v>
      </x:c>
      <x:c r="V85" s="75" t="s">
        <x:v>1437</x:v>
      </x:c>
      <x:c r="W85" s="60"/>
      <x:c r="X85" s="73" t="str">
        <x:f t="shared" si="11"/>
        <x:v>Belum Dinilai</x:v>
      </x:c>
      <x:c r="Y85" s="73" t="str">
        <x:f t="shared" si="12"/>
        <x:v>Belum Dinilai</x:v>
      </x:c>
      <x:c r="Z85" s="74" t="str">
        <x:f t="shared" si="13"/>
      </x:c>
      <x:c r="AA85" s="74" t="str">
        <x:f t="shared" si="14"/>
      </x:c>
      <x:c r="AB85" s="74" t="str">
        <x:f t="shared" si="15"/>
      </x:c>
      <x:c r="AC85" s="61" t="s">
        <x:v>1437</x:v>
      </x:c>
      <x:c r="AD85" s="61" t="s">
        <x:v>1437</x:v>
      </x:c>
      <x:c r="AE85" s="61" t="s">
        <x:v>1437</x:v>
      </x:c>
      <x:c r="AF85" s="61" t="s">
        <x:v>1437</x:v>
      </x:c>
      <x:c r="AG85" s="61" t="s">
        <x:v>1437</x:v>
      </x:c>
      <x:c r="AH85" s="61" t="s">
        <x:v>1437</x:v>
      </x:c>
      <x:c r="AI85" s="61" t="s">
        <x:v>1437</x:v>
      </x:c>
      <x:c r="AJ85" s="61" t="s">
        <x:v>1437</x:v>
      </x:c>
      <x:c r="AK85" s="61" t="s">
        <x:v>1437</x:v>
      </x:c>
      <x:c r="AL85" s="61"/>
      <x:c r="AM85" s="61" t="s">
        <x:v>1437</x:v>
      </x:c>
      <x:c r="AN85" s="73" t="str">
        <x:f t="shared" si="16"/>
        <x:v>Belum Dinilai</x:v>
      </x:c>
      <x:c r="AO85" s="73" t="str">
        <x:f t="shared" si="17"/>
        <x:v>Belum Dinilai</x:v>
      </x:c>
      <x:c r="AP85" s="61"/>
      <x:c r="AQ85" s="64" t="str">
        <x:f t="shared" si="18"/>
      </x:c>
      <x:c r="AR85" s="64" t="str">
        <x:f t="shared" si="19"/>
      </x:c>
      <x:c r="AS85" s="64" t="str">
        <x:f t="shared" si="20"/>
      </x:c>
      <x:c r="AT85" s="62" t="str">
        <x:f t="shared" si="21"/>
        <x:v>Belum Dapat Ditentukan</x:v>
      </x:c>
      <x:c r="AU85" s="59" t="s">
        <x:v>1408</x:v>
      </x:c>
      <x:c r="AV85" s="59" t="s">
        <x:v>1425</x:v>
      </x:c>
      <x:c r="AW85" s="59" t="s">
        <x:v>1523</x:v>
      </x:c>
      <x:c r="AX85" s="59" t="s">
        <x:v>1427</x:v>
      </x:c>
      <x:c r="AY85" s="59">
        <x:v>2021</x:v>
      </x:c>
      <x:c r="AZ85" s="59" t="s">
        <x:v>1409</x:v>
      </x:c>
      <x:c r="BA85" s="59"/>
      <x:c r="BB85" s="167"/>
      <x:c r="BC85" s="65">
        <x:v>2026</x:v>
      </x:c>
      <x:c r="BD85" s="59"/>
      <x:c r="BE85" s="167"/>
      <x:c r="BF85" s="59" t="s">
        <x:v>1501</x:v>
      </x:c>
    </x:row>
    <x:row r="86" ht="28">
      <x:c r="A86" s="59" t="s">
        <x:v>1850</x:v>
      </x:c>
      <x:c r="B86" s="59" t="s">
        <x:v>1851</x:v>
      </x:c>
      <x:c r="C86" s="59"/>
      <x:c r="D86" s="59"/>
      <x:c r="E86" s="59" t="s">
        <x:v>1852</x:v>
      </x:c>
      <x:c r="F86" s="59" t="s">
        <x:v>1849</x:v>
      </x:c>
      <x:c r="G86" s="59" t="s">
        <x:v>1534</x:v>
      </x:c>
      <x:c r="H86" s="59" t="s">
        <x:v>1399</x:v>
      </x:c>
      <x:c r="I86" s="59" t="s">
        <x:v>1845</x:v>
      </x:c>
      <x:c r="J86" s="59" t="s">
        <x:v>1431</x:v>
      </x:c>
      <x:c r="K86" s="59" t="s">
        <x:v>1522</x:v>
      </x:c>
      <x:c r="L86" s="59" t="s">
        <x:v>1437</x:v>
      </x:c>
      <x:c r="M86" s="59" t="s">
        <x:v>1489</x:v>
      </x:c>
      <x:c r="N86" s="59" t="s">
        <x:v>1487</x:v>
      </x:c>
      <x:c r="O86" s="59" t="s">
        <x:v>1435</x:v>
      </x:c>
      <x:c r="P86" s="59" t="s">
        <x:v>1487</x:v>
      </x:c>
      <x:c r="Q86" s="75" t="s">
        <x:v>1437</x:v>
      </x:c>
      <x:c r="R86" s="75" t="s">
        <x:v>1437</x:v>
      </x:c>
      <x:c r="S86" s="75" t="s">
        <x:v>1437</x:v>
      </x:c>
      <x:c r="T86" s="75" t="s">
        <x:v>1437</x:v>
      </x:c>
      <x:c r="U86" s="75" t="s">
        <x:v>1437</x:v>
      </x:c>
      <x:c r="V86" s="75" t="s">
        <x:v>1437</x:v>
      </x:c>
      <x:c r="W86" s="60"/>
      <x:c r="X86" s="73" t="str">
        <x:f t="shared" si="11"/>
        <x:v>Belum Dinilai</x:v>
      </x:c>
      <x:c r="Y86" s="73" t="str">
        <x:f t="shared" si="12"/>
        <x:v>Belum Dinilai</x:v>
      </x:c>
      <x:c r="Z86" s="74" t="str">
        <x:f t="shared" si="13"/>
      </x:c>
      <x:c r="AA86" s="74" t="str">
        <x:f t="shared" si="14"/>
      </x:c>
      <x:c r="AB86" s="74" t="str">
        <x:f t="shared" si="15"/>
      </x:c>
      <x:c r="AC86" s="61" t="s">
        <x:v>1437</x:v>
      </x:c>
      <x:c r="AD86" s="61" t="s">
        <x:v>1437</x:v>
      </x:c>
      <x:c r="AE86" s="61" t="s">
        <x:v>1437</x:v>
      </x:c>
      <x:c r="AF86" s="61" t="s">
        <x:v>1437</x:v>
      </x:c>
      <x:c r="AG86" s="61" t="s">
        <x:v>1437</x:v>
      </x:c>
      <x:c r="AH86" s="61" t="s">
        <x:v>1437</x:v>
      </x:c>
      <x:c r="AI86" s="61" t="s">
        <x:v>1437</x:v>
      </x:c>
      <x:c r="AJ86" s="61" t="s">
        <x:v>1437</x:v>
      </x:c>
      <x:c r="AK86" s="61" t="s">
        <x:v>1437</x:v>
      </x:c>
      <x:c r="AL86" s="61"/>
      <x:c r="AM86" s="61" t="s">
        <x:v>1437</x:v>
      </x:c>
      <x:c r="AN86" s="73" t="str">
        <x:f t="shared" si="16"/>
        <x:v>Belum Dinilai</x:v>
      </x:c>
      <x:c r="AO86" s="73" t="str">
        <x:f t="shared" si="17"/>
        <x:v>Belum Dinilai</x:v>
      </x:c>
      <x:c r="AP86" s="61"/>
      <x:c r="AQ86" s="64" t="str">
        <x:f t="shared" si="18"/>
      </x:c>
      <x:c r="AR86" s="64" t="str">
        <x:f t="shared" si="19"/>
      </x:c>
      <x:c r="AS86" s="64" t="str">
        <x:f t="shared" si="20"/>
      </x:c>
      <x:c r="AT86" s="62" t="str">
        <x:f t="shared" si="21"/>
        <x:v>Belum Dapat Ditentukan</x:v>
      </x:c>
      <x:c r="AU86" s="59" t="s">
        <x:v>1408</x:v>
      </x:c>
      <x:c r="AV86" s="59" t="s">
        <x:v>1425</x:v>
      </x:c>
      <x:c r="AW86" s="59" t="s">
        <x:v>1523</x:v>
      </x:c>
      <x:c r="AX86" s="59" t="s">
        <x:v>1427</x:v>
      </x:c>
      <x:c r="AY86" s="59">
        <x:v>2022</x:v>
      </x:c>
      <x:c r="AZ86" s="59" t="s">
        <x:v>1409</x:v>
      </x:c>
      <x:c r="BA86" s="59"/>
      <x:c r="BB86" s="167"/>
      <x:c r="BC86" s="65">
        <x:v>2026</x:v>
      </x:c>
      <x:c r="BD86" s="59"/>
      <x:c r="BE86" s="167"/>
      <x:c r="BF86" s="59" t="s">
        <x:v>1501</x:v>
      </x:c>
    </x:row>
    <x:row r="87" ht="28">
      <x:c r="A87" s="59" t="s">
        <x:v>1853</x:v>
      </x:c>
      <x:c r="B87" s="59" t="s">
        <x:v>1854</x:v>
      </x:c>
      <x:c r="C87" s="59"/>
      <x:c r="D87" s="59"/>
      <x:c r="E87" s="59" t="s">
        <x:v>1855</x:v>
      </x:c>
      <x:c r="F87" s="59" t="s">
        <x:v>1849</x:v>
      </x:c>
      <x:c r="G87" s="59" t="s">
        <x:v>1534</x:v>
      </x:c>
      <x:c r="H87" s="59" t="s">
        <x:v>1399</x:v>
      </x:c>
      <x:c r="I87" s="59" t="s">
        <x:v>1856</x:v>
      </x:c>
      <x:c r="J87" s="59" t="s">
        <x:v>1431</x:v>
      </x:c>
      <x:c r="K87" s="59" t="s">
        <x:v>1522</x:v>
      </x:c>
      <x:c r="L87" s="59" t="s">
        <x:v>1437</x:v>
      </x:c>
      <x:c r="M87" s="59" t="s">
        <x:v>1489</x:v>
      </x:c>
      <x:c r="N87" s="59" t="s">
        <x:v>1437</x:v>
      </x:c>
      <x:c r="O87" s="59" t="s">
        <x:v>1504</x:v>
      </x:c>
      <x:c r="P87" s="59" t="s">
        <x:v>1505</x:v>
      </x:c>
      <x:c r="Q87" s="75" t="s">
        <x:v>1437</x:v>
      </x:c>
      <x:c r="R87" s="75" t="s">
        <x:v>1437</x:v>
      </x:c>
      <x:c r="S87" s="75" t="s">
        <x:v>1437</x:v>
      </x:c>
      <x:c r="T87" s="75" t="s">
        <x:v>1437</x:v>
      </x:c>
      <x:c r="U87" s="75" t="s">
        <x:v>1437</x:v>
      </x:c>
      <x:c r="V87" s="75" t="s">
        <x:v>1437</x:v>
      </x:c>
      <x:c r="W87" s="60"/>
      <x:c r="X87" s="73" t="str">
        <x:f t="shared" si="11"/>
        <x:v>Belum Dinilai</x:v>
      </x:c>
      <x:c r="Y87" s="73" t="str">
        <x:f t="shared" si="12"/>
        <x:v>Belum Dinilai</x:v>
      </x:c>
      <x:c r="Z87" s="74" t="str">
        <x:f t="shared" si="13"/>
      </x:c>
      <x:c r="AA87" s="74" t="str">
        <x:f t="shared" si="14"/>
      </x:c>
      <x:c r="AB87" s="74" t="str">
        <x:f t="shared" si="15"/>
      </x:c>
      <x:c r="AC87" s="61" t="s">
        <x:v>1437</x:v>
      </x:c>
      <x:c r="AD87" s="61" t="s">
        <x:v>1437</x:v>
      </x:c>
      <x:c r="AE87" s="61" t="s">
        <x:v>1437</x:v>
      </x:c>
      <x:c r="AF87" s="61" t="s">
        <x:v>1437</x:v>
      </x:c>
      <x:c r="AG87" s="61" t="s">
        <x:v>1437</x:v>
      </x:c>
      <x:c r="AH87" s="61" t="s">
        <x:v>1437</x:v>
      </x:c>
      <x:c r="AI87" s="61" t="s">
        <x:v>1437</x:v>
      </x:c>
      <x:c r="AJ87" s="61" t="s">
        <x:v>1437</x:v>
      </x:c>
      <x:c r="AK87" s="61" t="s">
        <x:v>1437</x:v>
      </x:c>
      <x:c r="AL87" s="61"/>
      <x:c r="AM87" s="61" t="s">
        <x:v>1437</x:v>
      </x:c>
      <x:c r="AN87" s="73" t="str">
        <x:f t="shared" si="16"/>
        <x:v>Belum Dinilai</x:v>
      </x:c>
      <x:c r="AO87" s="73" t="str">
        <x:f t="shared" si="17"/>
        <x:v>Belum Dinilai</x:v>
      </x:c>
      <x:c r="AP87" s="61"/>
      <x:c r="AQ87" s="64" t="str">
        <x:f t="shared" si="18"/>
      </x:c>
      <x:c r="AR87" s="64" t="str">
        <x:f t="shared" si="19"/>
      </x:c>
      <x:c r="AS87" s="64" t="str">
        <x:f t="shared" si="20"/>
      </x:c>
      <x:c r="AT87" s="62" t="str">
        <x:f t="shared" si="21"/>
        <x:v>Belum Dapat Ditentukan</x:v>
      </x:c>
      <x:c r="AU87" s="59" t="s">
        <x:v>1408</x:v>
      </x:c>
      <x:c r="AV87" s="59" t="s">
        <x:v>1425</x:v>
      </x:c>
      <x:c r="AW87" s="59" t="s">
        <x:v>1523</x:v>
      </x:c>
      <x:c r="AX87" s="59" t="s">
        <x:v>1427</x:v>
      </x:c>
      <x:c r="AY87" s="59">
        <x:v>2022</x:v>
      </x:c>
      <x:c r="AZ87" s="59" t="s">
        <x:v>1409</x:v>
      </x:c>
      <x:c r="BA87" s="59"/>
      <x:c r="BB87" s="167"/>
      <x:c r="BC87" s="65">
        <x:v>2026</x:v>
      </x:c>
      <x:c r="BD87" s="59"/>
      <x:c r="BE87" s="167"/>
      <x:c r="BF87" s="59" t="s">
        <x:v>1501</x:v>
      </x:c>
    </x:row>
    <x:row r="88" ht="28">
      <x:c r="A88" s="59" t="s">
        <x:v>1857</x:v>
      </x:c>
      <x:c r="B88" s="59" t="s">
        <x:v>1858</x:v>
      </x:c>
      <x:c r="C88" s="59"/>
      <x:c r="D88" s="59"/>
      <x:c r="E88" s="59" t="s">
        <x:v>1859</x:v>
      </x:c>
      <x:c r="F88" s="59" t="s">
        <x:v>1849</x:v>
      </x:c>
      <x:c r="G88" s="59" t="s">
        <x:v>1534</x:v>
      </x:c>
      <x:c r="H88" s="59" t="s">
        <x:v>1399</x:v>
      </x:c>
      <x:c r="I88" s="59" t="s">
        <x:v>1513</x:v>
      </x:c>
      <x:c r="J88" s="59" t="s">
        <x:v>1431</x:v>
      </x:c>
      <x:c r="K88" s="59" t="s">
        <x:v>1522</x:v>
      </x:c>
      <x:c r="L88" s="59" t="s">
        <x:v>1437</x:v>
      </x:c>
      <x:c r="M88" s="59" t="s">
        <x:v>1489</x:v>
      </x:c>
      <x:c r="N88" s="59" t="s">
        <x:v>1437</x:v>
      </x:c>
      <x:c r="O88" s="59" t="s">
        <x:v>1522</x:v>
      </x:c>
      <x:c r="P88" s="59" t="s">
        <x:v>1437</x:v>
      </x:c>
      <x:c r="Q88" s="75" t="s">
        <x:v>1437</x:v>
      </x:c>
      <x:c r="R88" s="75" t="s">
        <x:v>1437</x:v>
      </x:c>
      <x:c r="S88" s="75" t="s">
        <x:v>1437</x:v>
      </x:c>
      <x:c r="T88" s="75" t="s">
        <x:v>1437</x:v>
      </x:c>
      <x:c r="U88" s="75" t="s">
        <x:v>1437</x:v>
      </x:c>
      <x:c r="V88" s="75" t="s">
        <x:v>1437</x:v>
      </x:c>
      <x:c r="W88" s="60"/>
      <x:c r="X88" s="73" t="str">
        <x:f t="shared" si="11"/>
        <x:v>Belum Dinilai</x:v>
      </x:c>
      <x:c r="Y88" s="73" t="str">
        <x:f t="shared" si="12"/>
        <x:v>Belum Dinilai</x:v>
      </x:c>
      <x:c r="Z88" s="74" t="str">
        <x:f t="shared" si="13"/>
      </x:c>
      <x:c r="AA88" s="74" t="str">
        <x:f t="shared" si="14"/>
      </x:c>
      <x:c r="AB88" s="74" t="str">
        <x:f t="shared" si="15"/>
      </x:c>
      <x:c r="AC88" s="61" t="s">
        <x:v>1437</x:v>
      </x:c>
      <x:c r="AD88" s="61" t="s">
        <x:v>1437</x:v>
      </x:c>
      <x:c r="AE88" s="61" t="s">
        <x:v>1437</x:v>
      </x:c>
      <x:c r="AF88" s="61" t="s">
        <x:v>1437</x:v>
      </x:c>
      <x:c r="AG88" s="61" t="s">
        <x:v>1437</x:v>
      </x:c>
      <x:c r="AH88" s="61" t="s">
        <x:v>1437</x:v>
      </x:c>
      <x:c r="AI88" s="61" t="s">
        <x:v>1437</x:v>
      </x:c>
      <x:c r="AJ88" s="61" t="s">
        <x:v>1437</x:v>
      </x:c>
      <x:c r="AK88" s="61" t="s">
        <x:v>1437</x:v>
      </x:c>
      <x:c r="AL88" s="61"/>
      <x:c r="AM88" s="61" t="s">
        <x:v>1437</x:v>
      </x:c>
      <x:c r="AN88" s="73" t="str">
        <x:f t="shared" si="16"/>
        <x:v>Belum Dinilai</x:v>
      </x:c>
      <x:c r="AO88" s="73" t="str">
        <x:f t="shared" si="17"/>
        <x:v>Belum Dinilai</x:v>
      </x:c>
      <x:c r="AP88" s="61"/>
      <x:c r="AQ88" s="64" t="str">
        <x:f t="shared" si="18"/>
      </x:c>
      <x:c r="AR88" s="64" t="str">
        <x:f t="shared" si="19"/>
      </x:c>
      <x:c r="AS88" s="64" t="str">
        <x:f t="shared" si="20"/>
      </x:c>
      <x:c r="AT88" s="62" t="str">
        <x:f t="shared" si="21"/>
        <x:v>Belum Dapat Ditentukan</x:v>
      </x:c>
      <x:c r="AU88" s="59" t="s">
        <x:v>1408</x:v>
      </x:c>
      <x:c r="AV88" s="59" t="s">
        <x:v>1425</x:v>
      </x:c>
      <x:c r="AW88" s="59" t="s">
        <x:v>1410</x:v>
      </x:c>
      <x:c r="AX88" s="59" t="s">
        <x:v>1411</x:v>
      </x:c>
      <x:c r="AY88" s="59"/>
      <x:c r="AZ88" s="59" t="s">
        <x:v>1409</x:v>
      </x:c>
      <x:c r="BA88" s="59"/>
      <x:c r="BB88" s="167"/>
      <x:c r="BC88" s="65">
        <x:v>2026</x:v>
      </x:c>
      <x:c r="BD88" s="59"/>
      <x:c r="BE88" s="167"/>
      <x:c r="BF88" s="59" t="s">
        <x:v>1501</x:v>
      </x:c>
    </x:row>
    <x:row r="89" ht="28">
      <x:c r="A89" s="59" t="s">
        <x:v>1860</x:v>
      </x:c>
      <x:c r="B89" s="59" t="s">
        <x:v>1861</x:v>
      </x:c>
      <x:c r="C89" s="59"/>
      <x:c r="D89" s="59"/>
      <x:c r="E89" s="59" t="s">
        <x:v>1862</x:v>
      </x:c>
      <x:c r="F89" s="59" t="s">
        <x:v>1651</x:v>
      </x:c>
      <x:c r="G89" s="59" t="s">
        <x:v>1534</x:v>
      </x:c>
      <x:c r="H89" s="59" t="s">
        <x:v>1415</x:v>
      </x:c>
      <x:c r="I89" s="59" t="s">
        <x:v>1863</x:v>
      </x:c>
      <x:c r="J89" s="59" t="s">
        <x:v>1400</x:v>
      </x:c>
      <x:c r="K89" s="59" t="s">
        <x:v>1522</x:v>
      </x:c>
      <x:c r="L89" s="59" t="s">
        <x:v>1437</x:v>
      </x:c>
      <x:c r="M89" s="59" t="s">
        <x:v>1434</x:v>
      </x:c>
      <x:c r="N89" s="59" t="s">
        <x:v>1437</x:v>
      </x:c>
      <x:c r="O89" s="59" t="s">
        <x:v>1522</x:v>
      </x:c>
      <x:c r="P89" s="59" t="s">
        <x:v>1437</x:v>
      </x:c>
      <x:c r="Q89" s="75" t="s">
        <x:v>1437</x:v>
      </x:c>
      <x:c r="R89" s="75" t="s">
        <x:v>1437</x:v>
      </x:c>
      <x:c r="S89" s="75" t="s">
        <x:v>1437</x:v>
      </x:c>
      <x:c r="T89" s="75" t="s">
        <x:v>1437</x:v>
      </x:c>
      <x:c r="U89" s="75" t="s">
        <x:v>1437</x:v>
      </x:c>
      <x:c r="V89" s="75" t="s">
        <x:v>1437</x:v>
      </x:c>
      <x:c r="W89" s="60"/>
      <x:c r="X89" s="73" t="str">
        <x:f t="shared" si="11"/>
        <x:v>Belum Dinilai</x:v>
      </x:c>
      <x:c r="Y89" s="73" t="str">
        <x:f t="shared" si="12"/>
        <x:v>Belum Dinilai</x:v>
      </x:c>
      <x:c r="Z89" s="74" t="str">
        <x:f t="shared" si="13"/>
      </x:c>
      <x:c r="AA89" s="74" t="str">
        <x:f t="shared" si="14"/>
      </x:c>
      <x:c r="AB89" s="74" t="str">
        <x:f t="shared" si="15"/>
      </x:c>
      <x:c r="AC89" s="61" t="s">
        <x:v>1437</x:v>
      </x:c>
      <x:c r="AD89" s="61" t="s">
        <x:v>1437</x:v>
      </x:c>
      <x:c r="AE89" s="61" t="s">
        <x:v>1437</x:v>
      </x:c>
      <x:c r="AF89" s="61" t="s">
        <x:v>1437</x:v>
      </x:c>
      <x:c r="AG89" s="61" t="s">
        <x:v>1437</x:v>
      </x:c>
      <x:c r="AH89" s="61" t="s">
        <x:v>1437</x:v>
      </x:c>
      <x:c r="AI89" s="61" t="s">
        <x:v>1437</x:v>
      </x:c>
      <x:c r="AJ89" s="61" t="s">
        <x:v>1437</x:v>
      </x:c>
      <x:c r="AK89" s="61" t="s">
        <x:v>1437</x:v>
      </x:c>
      <x:c r="AL89" s="61"/>
      <x:c r="AM89" s="61" t="s">
        <x:v>1437</x:v>
      </x:c>
      <x:c r="AN89" s="73" t="str">
        <x:f t="shared" si="16"/>
        <x:v>Belum Dinilai</x:v>
      </x:c>
      <x:c r="AO89" s="73" t="str">
        <x:f t="shared" si="17"/>
        <x:v>Belum Dinilai</x:v>
      </x:c>
      <x:c r="AP89" s="61"/>
      <x:c r="AQ89" s="64" t="str">
        <x:f t="shared" si="18"/>
      </x:c>
      <x:c r="AR89" s="64" t="str">
        <x:f t="shared" si="19"/>
      </x:c>
      <x:c r="AS89" s="64" t="str">
        <x:f t="shared" si="20"/>
      </x:c>
      <x:c r="AT89" s="62" t="str">
        <x:f t="shared" si="21"/>
        <x:v>Belum Dapat Ditentukan</x:v>
      </x:c>
      <x:c r="AU89" s="59" t="s">
        <x:v>1408</x:v>
      </x:c>
      <x:c r="AV89" s="59" t="s">
        <x:v>1425</x:v>
      </x:c>
      <x:c r="AW89" s="59" t="s">
        <x:v>1410</x:v>
      </x:c>
      <x:c r="AX89" s="59" t="s">
        <x:v>1491</x:v>
      </x:c>
      <x:c r="AY89" s="59"/>
      <x:c r="AZ89" s="59" t="s">
        <x:v>1409</x:v>
      </x:c>
      <x:c r="BA89" s="59"/>
      <x:c r="BB89" s="167"/>
      <x:c r="BC89" s="65">
        <x:v>2026</x:v>
      </x:c>
      <x:c r="BD89" s="59"/>
      <x:c r="BE89" s="167"/>
      <x:c r="BF89" s="59" t="s">
        <x:v>1501</x:v>
      </x:c>
    </x:row>
    <x:row r="90" ht="42">
      <x:c r="A90" s="59" t="s">
        <x:v>1864</x:v>
      </x:c>
      <x:c r="B90" s="59" t="s">
        <x:v>1865</x:v>
      </x:c>
      <x:c r="C90" s="59"/>
      <x:c r="D90" s="59"/>
      <x:c r="E90" s="59" t="s">
        <x:v>1866</x:v>
      </x:c>
      <x:c r="F90" s="59" t="s">
        <x:v>1867</x:v>
      </x:c>
      <x:c r="G90" s="59" t="s">
        <x:v>1498</x:v>
      </x:c>
      <x:c r="H90" s="59" t="s">
        <x:v>1484</x:v>
      </x:c>
      <x:c r="I90" s="59" t="s">
        <x:v>1868</x:v>
      </x:c>
      <x:c r="J90" s="59" t="s">
        <x:v>1485</x:v>
      </x:c>
      <x:c r="K90" s="59" t="s">
        <x:v>1522</x:v>
      </x:c>
      <x:c r="L90" s="59" t="s">
        <x:v>1437</x:v>
      </x:c>
      <x:c r="M90" s="59" t="s">
        <x:v>1522</x:v>
      </x:c>
      <x:c r="N90" s="59" t="s">
        <x:v>1437</x:v>
      </x:c>
      <x:c r="O90" s="59" t="s">
        <x:v>1522</x:v>
      </x:c>
      <x:c r="P90" s="59" t="s">
        <x:v>1437</x:v>
      </x:c>
      <x:c r="Q90" s="75" t="s">
        <x:v>1437</x:v>
      </x:c>
      <x:c r="R90" s="75" t="s">
        <x:v>1437</x:v>
      </x:c>
      <x:c r="S90" s="75" t="s">
        <x:v>1437</x:v>
      </x:c>
      <x:c r="T90" s="75" t="s">
        <x:v>1437</x:v>
      </x:c>
      <x:c r="U90" s="75" t="s">
        <x:v>1437</x:v>
      </x:c>
      <x:c r="V90" s="75" t="s">
        <x:v>1437</x:v>
      </x:c>
      <x:c r="W90" s="60"/>
      <x:c r="X90" s="73" t="str">
        <x:f t="shared" si="11"/>
        <x:v>Belum Dinilai</x:v>
      </x:c>
      <x:c r="Y90" s="73" t="str">
        <x:f t="shared" si="12"/>
        <x:v>Belum Dinilai</x:v>
      </x:c>
      <x:c r="Z90" s="74" t="str">
        <x:f t="shared" si="13"/>
      </x:c>
      <x:c r="AA90" s="74" t="str">
        <x:f t="shared" si="14"/>
      </x:c>
      <x:c r="AB90" s="74" t="str">
        <x:f t="shared" si="15"/>
      </x:c>
      <x:c r="AC90" s="61" t="s">
        <x:v>1437</x:v>
      </x:c>
      <x:c r="AD90" s="61" t="s">
        <x:v>1437</x:v>
      </x:c>
      <x:c r="AE90" s="61" t="s">
        <x:v>1437</x:v>
      </x:c>
      <x:c r="AF90" s="61" t="s">
        <x:v>1437</x:v>
      </x:c>
      <x:c r="AG90" s="61" t="s">
        <x:v>1437</x:v>
      </x:c>
      <x:c r="AH90" s="61" t="s">
        <x:v>1437</x:v>
      </x:c>
      <x:c r="AI90" s="61" t="s">
        <x:v>1437</x:v>
      </x:c>
      <x:c r="AJ90" s="61" t="s">
        <x:v>1437</x:v>
      </x:c>
      <x:c r="AK90" s="61" t="s">
        <x:v>1437</x:v>
      </x:c>
      <x:c r="AL90" s="61"/>
      <x:c r="AM90" s="61" t="s">
        <x:v>1437</x:v>
      </x:c>
      <x:c r="AN90" s="73" t="str">
        <x:f t="shared" si="16"/>
        <x:v>Belum Dinilai</x:v>
      </x:c>
      <x:c r="AO90" s="73" t="str">
        <x:f t="shared" si="17"/>
        <x:v>Belum Dinilai</x:v>
      </x:c>
      <x:c r="AP90" s="61"/>
      <x:c r="AQ90" s="64" t="str">
        <x:f t="shared" si="18"/>
      </x:c>
      <x:c r="AR90" s="64" t="str">
        <x:f t="shared" si="19"/>
      </x:c>
      <x:c r="AS90" s="64" t="str">
        <x:f t="shared" si="20"/>
      </x:c>
      <x:c r="AT90" s="62" t="str">
        <x:f t="shared" si="21"/>
        <x:v>Belum Dapat Ditentukan</x:v>
      </x:c>
      <x:c r="AU90" s="59" t="s">
        <x:v>1408</x:v>
      </x:c>
      <x:c r="AV90" s="59" t="s">
        <x:v>1425</x:v>
      </x:c>
      <x:c r="AW90" s="59" t="s">
        <x:v>1410</x:v>
      </x:c>
      <x:c r="AX90" s="59" t="s">
        <x:v>1411</x:v>
      </x:c>
      <x:c r="AY90" s="59"/>
      <x:c r="AZ90" s="59" t="s">
        <x:v>1440</x:v>
      </x:c>
      <x:c r="BA90" s="59"/>
      <x:c r="BB90" s="167"/>
      <x:c r="BC90" s="65">
        <x:v>2026</x:v>
      </x:c>
      <x:c r="BD90" s="59"/>
      <x:c r="BE90" s="167"/>
      <x:c r="BF90" s="59" t="s">
        <x:v>1501</x:v>
      </x:c>
    </x:row>
    <x:row r="91" ht="42">
      <x:c r="A91" s="59" t="s">
        <x:v>1869</x:v>
      </x:c>
      <x:c r="B91" s="59" t="s">
        <x:v>1870</x:v>
      </x:c>
      <x:c r="C91" s="59"/>
      <x:c r="D91" s="59"/>
      <x:c r="E91" s="59" t="s">
        <x:v>1866</x:v>
      </x:c>
      <x:c r="F91" s="59" t="s">
        <x:v>1867</x:v>
      </x:c>
      <x:c r="G91" s="59" t="s">
        <x:v>1498</x:v>
      </x:c>
      <x:c r="H91" s="59" t="s">
        <x:v>1484</x:v>
      </x:c>
      <x:c r="I91" s="59" t="s">
        <x:v>1871</x:v>
      </x:c>
      <x:c r="J91" s="59" t="s">
        <x:v>1485</x:v>
      </x:c>
      <x:c r="K91" s="59" t="s">
        <x:v>1522</x:v>
      </x:c>
      <x:c r="L91" s="59" t="s">
        <x:v>1437</x:v>
      </x:c>
      <x:c r="M91" s="59" t="s">
        <x:v>1522</x:v>
      </x:c>
      <x:c r="N91" s="59" t="s">
        <x:v>1437</x:v>
      </x:c>
      <x:c r="O91" s="59" t="s">
        <x:v>1522</x:v>
      </x:c>
      <x:c r="P91" s="59" t="s">
        <x:v>1437</x:v>
      </x:c>
      <x:c r="Q91" s="75" t="s">
        <x:v>1437</x:v>
      </x:c>
      <x:c r="R91" s="75" t="s">
        <x:v>1437</x:v>
      </x:c>
      <x:c r="S91" s="75" t="s">
        <x:v>1437</x:v>
      </x:c>
      <x:c r="T91" s="75" t="s">
        <x:v>1437</x:v>
      </x:c>
      <x:c r="U91" s="75" t="s">
        <x:v>1437</x:v>
      </x:c>
      <x:c r="V91" s="75" t="s">
        <x:v>1437</x:v>
      </x:c>
      <x:c r="W91" s="60"/>
      <x:c r="X91" s="73" t="str">
        <x:f t="shared" si="11"/>
        <x:v>Belum Dinilai</x:v>
      </x:c>
      <x:c r="Y91" s="73" t="str">
        <x:f t="shared" si="12"/>
        <x:v>Belum Dinilai</x:v>
      </x:c>
      <x:c r="Z91" s="74" t="str">
        <x:f t="shared" si="13"/>
      </x:c>
      <x:c r="AA91" s="74" t="str">
        <x:f t="shared" si="14"/>
      </x:c>
      <x:c r="AB91" s="74" t="str">
        <x:f t="shared" si="15"/>
      </x:c>
      <x:c r="AC91" s="61" t="s">
        <x:v>1437</x:v>
      </x:c>
      <x:c r="AD91" s="61" t="s">
        <x:v>1437</x:v>
      </x:c>
      <x:c r="AE91" s="61" t="s">
        <x:v>1437</x:v>
      </x:c>
      <x:c r="AF91" s="61" t="s">
        <x:v>1437</x:v>
      </x:c>
      <x:c r="AG91" s="61" t="s">
        <x:v>1437</x:v>
      </x:c>
      <x:c r="AH91" s="61" t="s">
        <x:v>1437</x:v>
      </x:c>
      <x:c r="AI91" s="61" t="s">
        <x:v>1437</x:v>
      </x:c>
      <x:c r="AJ91" s="61" t="s">
        <x:v>1437</x:v>
      </x:c>
      <x:c r="AK91" s="61" t="s">
        <x:v>1437</x:v>
      </x:c>
      <x:c r="AL91" s="61"/>
      <x:c r="AM91" s="61" t="s">
        <x:v>1437</x:v>
      </x:c>
      <x:c r="AN91" s="73" t="str">
        <x:f t="shared" si="16"/>
        <x:v>Belum Dinilai</x:v>
      </x:c>
      <x:c r="AO91" s="73" t="str">
        <x:f t="shared" si="17"/>
        <x:v>Belum Dinilai</x:v>
      </x:c>
      <x:c r="AP91" s="61"/>
      <x:c r="AQ91" s="64" t="str">
        <x:f t="shared" si="18"/>
      </x:c>
      <x:c r="AR91" s="64" t="str">
        <x:f t="shared" si="19"/>
      </x:c>
      <x:c r="AS91" s="64" t="str">
        <x:f t="shared" si="20"/>
      </x:c>
      <x:c r="AT91" s="62" t="str">
        <x:f t="shared" si="21"/>
        <x:v>Belum Dapat Ditentukan</x:v>
      </x:c>
      <x:c r="AU91" s="59" t="s">
        <x:v>1408</x:v>
      </x:c>
      <x:c r="AV91" s="59" t="s">
        <x:v>1425</x:v>
      </x:c>
      <x:c r="AW91" s="59" t="s">
        <x:v>1410</x:v>
      </x:c>
      <x:c r="AX91" s="59" t="s">
        <x:v>1411</x:v>
      </x:c>
      <x:c r="AY91" s="59"/>
      <x:c r="AZ91" s="59" t="s">
        <x:v>1409</x:v>
      </x:c>
      <x:c r="BA91" s="59"/>
      <x:c r="BB91" s="167"/>
      <x:c r="BC91" s="65">
        <x:v>2026</x:v>
      </x:c>
      <x:c r="BD91" s="59"/>
      <x:c r="BE91" s="167"/>
      <x:c r="BF91" s="59" t="s">
        <x:v>1501</x:v>
      </x:c>
    </x:row>
    <x:row r="92" ht="28">
      <x:c r="A92" s="59" t="s">
        <x:v>1872</x:v>
      </x:c>
      <x:c r="B92" s="59" t="s">
        <x:v>1873</x:v>
      </x:c>
      <x:c r="C92" s="59"/>
      <x:c r="D92" s="59"/>
      <x:c r="E92" s="59" t="s">
        <x:v>1524</x:v>
      </x:c>
      <x:c r="F92" s="59" t="s">
        <x:v>1543</x:v>
      </x:c>
      <x:c r="G92" s="59" t="s">
        <x:v>1512</x:v>
      </x:c>
      <x:c r="H92" s="59" t="s">
        <x:v>1484</x:v>
      </x:c>
      <x:c r="I92" s="59" t="s">
        <x:v>1874</x:v>
      </x:c>
      <x:c r="J92" s="59" t="s">
        <x:v>1485</x:v>
      </x:c>
      <x:c r="K92" s="59" t="s">
        <x:v>1522</x:v>
      </x:c>
      <x:c r="L92" s="59" t="s">
        <x:v>1437</x:v>
      </x:c>
      <x:c r="M92" s="59" t="s">
        <x:v>1522</x:v>
      </x:c>
      <x:c r="N92" s="59" t="s">
        <x:v>1437</x:v>
      </x:c>
      <x:c r="O92" s="59" t="s">
        <x:v>1522</x:v>
      </x:c>
      <x:c r="P92" s="59" t="s">
        <x:v>1437</x:v>
      </x:c>
      <x:c r="Q92" s="75" t="s">
        <x:v>1437</x:v>
      </x:c>
      <x:c r="R92" s="75" t="s">
        <x:v>1437</x:v>
      </x:c>
      <x:c r="S92" s="75" t="s">
        <x:v>1437</x:v>
      </x:c>
      <x:c r="T92" s="75" t="s">
        <x:v>1437</x:v>
      </x:c>
      <x:c r="U92" s="75" t="s">
        <x:v>1437</x:v>
      </x:c>
      <x:c r="V92" s="75" t="s">
        <x:v>1437</x:v>
      </x:c>
      <x:c r="W92" s="60"/>
      <x:c r="X92" s="73" t="str">
        <x:f t="shared" si="11"/>
        <x:v>Belum Dinilai</x:v>
      </x:c>
      <x:c r="Y92" s="73" t="str">
        <x:f t="shared" si="12"/>
        <x:v>Belum Dinilai</x:v>
      </x:c>
      <x:c r="Z92" s="74" t="str">
        <x:f t="shared" si="13"/>
      </x:c>
      <x:c r="AA92" s="74" t="str">
        <x:f t="shared" si="14"/>
      </x:c>
      <x:c r="AB92" s="74" t="str">
        <x:f t="shared" si="15"/>
      </x:c>
      <x:c r="AC92" s="61" t="s">
        <x:v>1437</x:v>
      </x:c>
      <x:c r="AD92" s="61" t="s">
        <x:v>1437</x:v>
      </x:c>
      <x:c r="AE92" s="61" t="s">
        <x:v>1437</x:v>
      </x:c>
      <x:c r="AF92" s="61" t="s">
        <x:v>1437</x:v>
      </x:c>
      <x:c r="AG92" s="61" t="s">
        <x:v>1437</x:v>
      </x:c>
      <x:c r="AH92" s="61" t="s">
        <x:v>1437</x:v>
      </x:c>
      <x:c r="AI92" s="61" t="s">
        <x:v>1437</x:v>
      </x:c>
      <x:c r="AJ92" s="61" t="s">
        <x:v>1437</x:v>
      </x:c>
      <x:c r="AK92" s="61" t="s">
        <x:v>1437</x:v>
      </x:c>
      <x:c r="AL92" s="61"/>
      <x:c r="AM92" s="61" t="s">
        <x:v>1437</x:v>
      </x:c>
      <x:c r="AN92" s="73" t="str">
        <x:f t="shared" si="16"/>
        <x:v>Belum Dinilai</x:v>
      </x:c>
      <x:c r="AO92" s="73" t="str">
        <x:f t="shared" si="17"/>
        <x:v>Belum Dinilai</x:v>
      </x:c>
      <x:c r="AP92" s="61"/>
      <x:c r="AQ92" s="64" t="str">
        <x:f t="shared" si="18"/>
      </x:c>
      <x:c r="AR92" s="64" t="str">
        <x:f t="shared" si="19"/>
      </x:c>
      <x:c r="AS92" s="64" t="str">
        <x:f t="shared" si="20"/>
      </x:c>
      <x:c r="AT92" s="62" t="str">
        <x:f t="shared" si="21"/>
        <x:v>Belum Dapat Ditentukan</x:v>
      </x:c>
      <x:c r="AU92" s="59" t="s">
        <x:v>1408</x:v>
      </x:c>
      <x:c r="AV92" s="59" t="s">
        <x:v>1425</x:v>
      </x:c>
      <x:c r="AW92" s="59" t="s">
        <x:v>1410</x:v>
      </x:c>
      <x:c r="AX92" s="59" t="s">
        <x:v>1411</x:v>
      </x:c>
      <x:c r="AY92" s="59"/>
      <x:c r="AZ92" s="59" t="s">
        <x:v>1409</x:v>
      </x:c>
      <x:c r="BA92" s="59"/>
      <x:c r="BB92" s="167"/>
      <x:c r="BC92" s="65">
        <x:v>2026</x:v>
      </x:c>
      <x:c r="BD92" s="59"/>
      <x:c r="BE92" s="167"/>
      <x:c r="BF92" s="59" t="s">
        <x:v>1501</x:v>
      </x:c>
    </x:row>
    <x:row r="93" ht="28">
      <x:c r="A93" s="59" t="s">
        <x:v>1875</x:v>
      </x:c>
      <x:c r="B93" s="59" t="s">
        <x:v>1876</x:v>
      </x:c>
      <x:c r="C93" s="59"/>
      <x:c r="D93" s="59"/>
      <x:c r="E93" s="59" t="s">
        <x:v>1877</x:v>
      </x:c>
      <x:c r="F93" s="59" t="s">
        <x:v>1695</x:v>
      </x:c>
      <x:c r="G93" s="59" t="s">
        <x:v>1534</x:v>
      </x:c>
      <x:c r="H93" s="59" t="s">
        <x:v>1484</x:v>
      </x:c>
      <x:c r="I93" s="59" t="s">
        <x:v>1878</x:v>
      </x:c>
      <x:c r="J93" s="59" t="s">
        <x:v>1485</x:v>
      </x:c>
      <x:c r="K93" s="59" t="s">
        <x:v>1522</x:v>
      </x:c>
      <x:c r="L93" s="59" t="s">
        <x:v>1437</x:v>
      </x:c>
      <x:c r="M93" s="59" t="s">
        <x:v>1522</x:v>
      </x:c>
      <x:c r="N93" s="59" t="s">
        <x:v>1437</x:v>
      </x:c>
      <x:c r="O93" s="59" t="s">
        <x:v>1522</x:v>
      </x:c>
      <x:c r="P93" s="59" t="s">
        <x:v>1437</x:v>
      </x:c>
      <x:c r="Q93" s="75" t="s">
        <x:v>1437</x:v>
      </x:c>
      <x:c r="R93" s="75" t="s">
        <x:v>1437</x:v>
      </x:c>
      <x:c r="S93" s="75" t="s">
        <x:v>1437</x:v>
      </x:c>
      <x:c r="T93" s="75" t="s">
        <x:v>1437</x:v>
      </x:c>
      <x:c r="U93" s="75" t="s">
        <x:v>1437</x:v>
      </x:c>
      <x:c r="V93" s="75" t="s">
        <x:v>1437</x:v>
      </x:c>
      <x:c r="W93" s="60"/>
      <x:c r="X93" s="73" t="str">
        <x:f t="shared" si="11"/>
        <x:v>Belum Dinilai</x:v>
      </x:c>
      <x:c r="Y93" s="73" t="str">
        <x:f t="shared" si="12"/>
        <x:v>Belum Dinilai</x:v>
      </x:c>
      <x:c r="Z93" s="74" t="str">
        <x:f t="shared" si="13"/>
      </x:c>
      <x:c r="AA93" s="74" t="str">
        <x:f t="shared" si="14"/>
      </x:c>
      <x:c r="AB93" s="74" t="str">
        <x:f t="shared" si="15"/>
      </x:c>
      <x:c r="AC93" s="61" t="s">
        <x:v>1437</x:v>
      </x:c>
      <x:c r="AD93" s="61" t="s">
        <x:v>1437</x:v>
      </x:c>
      <x:c r="AE93" s="61" t="s">
        <x:v>1437</x:v>
      </x:c>
      <x:c r="AF93" s="61" t="s">
        <x:v>1437</x:v>
      </x:c>
      <x:c r="AG93" s="61" t="s">
        <x:v>1437</x:v>
      </x:c>
      <x:c r="AH93" s="61" t="s">
        <x:v>1437</x:v>
      </x:c>
      <x:c r="AI93" s="61" t="s">
        <x:v>1437</x:v>
      </x:c>
      <x:c r="AJ93" s="61" t="s">
        <x:v>1437</x:v>
      </x:c>
      <x:c r="AK93" s="61" t="s">
        <x:v>1437</x:v>
      </x:c>
      <x:c r="AL93" s="61"/>
      <x:c r="AM93" s="61" t="s">
        <x:v>1437</x:v>
      </x:c>
      <x:c r="AN93" s="73" t="str">
        <x:f t="shared" si="16"/>
        <x:v>Belum Dinilai</x:v>
      </x:c>
      <x:c r="AO93" s="73" t="str">
        <x:f t="shared" si="17"/>
        <x:v>Belum Dinilai</x:v>
      </x:c>
      <x:c r="AP93" s="61"/>
      <x:c r="AQ93" s="64" t="str">
        <x:f t="shared" si="18"/>
      </x:c>
      <x:c r="AR93" s="64" t="str">
        <x:f t="shared" si="19"/>
      </x:c>
      <x:c r="AS93" s="64" t="str">
        <x:f t="shared" si="20"/>
      </x:c>
      <x:c r="AT93" s="62" t="str">
        <x:f t="shared" si="21"/>
        <x:v>Belum Dapat Ditentukan</x:v>
      </x:c>
      <x:c r="AU93" s="59" t="s">
        <x:v>1408</x:v>
      </x:c>
      <x:c r="AV93" s="59" t="s">
        <x:v>1425</x:v>
      </x:c>
      <x:c r="AW93" s="59" t="s">
        <x:v>1410</x:v>
      </x:c>
      <x:c r="AX93" s="59" t="s">
        <x:v>1411</x:v>
      </x:c>
      <x:c r="AY93" s="59"/>
      <x:c r="AZ93" s="59" t="s">
        <x:v>1440</x:v>
      </x:c>
      <x:c r="BA93" s="59"/>
      <x:c r="BB93" s="167"/>
      <x:c r="BC93" s="65">
        <x:v>2026</x:v>
      </x:c>
      <x:c r="BD93" s="59"/>
      <x:c r="BE93" s="167"/>
      <x:c r="BF93" s="59" t="s">
        <x:v>1501</x:v>
      </x:c>
    </x:row>
    <x:row r="94" ht="42">
      <x:c r="A94" s="59" t="s">
        <x:v>1879</x:v>
      </x:c>
      <x:c r="B94" s="59" t="s">
        <x:v>1880</x:v>
      </x:c>
      <x:c r="C94" s="59"/>
      <x:c r="D94" s="59"/>
      <x:c r="E94" s="59" t="s">
        <x:v>1524</x:v>
      </x:c>
      <x:c r="F94" s="59" t="s">
        <x:v>1695</x:v>
      </x:c>
      <x:c r="G94" s="59" t="s">
        <x:v>1534</x:v>
      </x:c>
      <x:c r="H94" s="59" t="s">
        <x:v>1484</x:v>
      </x:c>
      <x:c r="I94" s="59" t="s">
        <x:v>1881</x:v>
      </x:c>
      <x:c r="J94" s="59" t="s">
        <x:v>1431</x:v>
      </x:c>
      <x:c r="K94" s="59" t="s">
        <x:v>1522</x:v>
      </x:c>
      <x:c r="L94" s="59" t="s">
        <x:v>1487</x:v>
      </x:c>
      <x:c r="M94" s="59" t="s">
        <x:v>1489</x:v>
      </x:c>
      <x:c r="N94" s="59" t="s">
        <x:v>1487</x:v>
      </x:c>
      <x:c r="O94" s="59" t="s">
        <x:v>1435</x:v>
      </x:c>
      <x:c r="P94" s="59" t="s">
        <x:v>1487</x:v>
      </x:c>
      <x:c r="Q94" s="75" t="s">
        <x:v>1437</x:v>
      </x:c>
      <x:c r="R94" s="75" t="s">
        <x:v>1437</x:v>
      </x:c>
      <x:c r="S94" s="75" t="s">
        <x:v>1437</x:v>
      </x:c>
      <x:c r="T94" s="75" t="s">
        <x:v>1437</x:v>
      </x:c>
      <x:c r="U94" s="75" t="s">
        <x:v>1437</x:v>
      </x:c>
      <x:c r="V94" s="75" t="s">
        <x:v>1437</x:v>
      </x:c>
      <x:c r="W94" s="60"/>
      <x:c r="X94" s="73" t="str">
        <x:f t="shared" si="11"/>
        <x:v>Belum Dinilai</x:v>
      </x:c>
      <x:c r="Y94" s="73" t="str">
        <x:f t="shared" si="12"/>
        <x:v>Belum Dinilai</x:v>
      </x:c>
      <x:c r="Z94" s="74" t="str">
        <x:f t="shared" si="13"/>
      </x:c>
      <x:c r="AA94" s="74" t="str">
        <x:f t="shared" si="14"/>
      </x:c>
      <x:c r="AB94" s="74" t="str">
        <x:f t="shared" si="15"/>
      </x:c>
      <x:c r="AC94" s="61" t="s">
        <x:v>1437</x:v>
      </x:c>
      <x:c r="AD94" s="61" t="s">
        <x:v>1437</x:v>
      </x:c>
      <x:c r="AE94" s="61" t="s">
        <x:v>1437</x:v>
      </x:c>
      <x:c r="AF94" s="61" t="s">
        <x:v>1437</x:v>
      </x:c>
      <x:c r="AG94" s="61" t="s">
        <x:v>1437</x:v>
      </x:c>
      <x:c r="AH94" s="61" t="s">
        <x:v>1437</x:v>
      </x:c>
      <x:c r="AI94" s="61" t="s">
        <x:v>1437</x:v>
      </x:c>
      <x:c r="AJ94" s="61" t="s">
        <x:v>1437</x:v>
      </x:c>
      <x:c r="AK94" s="61" t="s">
        <x:v>1437</x:v>
      </x:c>
      <x:c r="AL94" s="61"/>
      <x:c r="AM94" s="61" t="s">
        <x:v>1437</x:v>
      </x:c>
      <x:c r="AN94" s="73" t="str">
        <x:f t="shared" si="16"/>
        <x:v>Belum Dinilai</x:v>
      </x:c>
      <x:c r="AO94" s="73" t="str">
        <x:f t="shared" si="17"/>
        <x:v>Belum Dinilai</x:v>
      </x:c>
      <x:c r="AP94" s="61"/>
      <x:c r="AQ94" s="64">
        <x:f t="shared" si="18"/>
        <x:v>57</x:v>
      </x:c>
      <x:c r="AR94" s="64" t="str">
        <x:f t="shared" si="19"/>
      </x:c>
      <x:c r="AS94" s="64" t="str">
        <x:f t="shared" si="20"/>
      </x:c>
      <x:c r="AT94" s="62" t="str">
        <x:f t="shared" si="21"/>
        <x:v>Belum Dapat Ditentukan</x:v>
      </x:c>
      <x:c r="AU94" s="59" t="s">
        <x:v>1408</x:v>
      </x:c>
      <x:c r="AV94" s="59" t="s">
        <x:v>1425</x:v>
      </x:c>
      <x:c r="AW94" s="59" t="s">
        <x:v>1410</x:v>
      </x:c>
      <x:c r="AX94" s="59" t="s">
        <x:v>1411</x:v>
      </x:c>
      <x:c r="AY94" s="59"/>
      <x:c r="AZ94" s="59" t="s">
        <x:v>1428</x:v>
      </x:c>
      <x:c r="BA94" s="59"/>
      <x:c r="BB94" s="167"/>
      <x:c r="BC94" s="65">
        <x:v>2026</x:v>
      </x:c>
      <x:c r="BD94" s="59"/>
      <x:c r="BE94" s="167"/>
      <x:c r="BF94" s="59" t="s">
        <x:v>1501</x:v>
      </x:c>
    </x:row>
    <x:row r="95" ht="28">
      <x:c r="A95" s="59" t="s">
        <x:v>1882</x:v>
      </x:c>
      <x:c r="B95" s="59" t="s">
        <x:v>1883</x:v>
      </x:c>
      <x:c r="C95" s="59"/>
      <x:c r="D95" s="59"/>
      <x:c r="E95" s="59" t="s">
        <x:v>1884</x:v>
      </x:c>
      <x:c r="F95" s="59" t="s">
        <x:v>1695</x:v>
      </x:c>
      <x:c r="G95" s="59" t="s">
        <x:v>1534</x:v>
      </x:c>
      <x:c r="H95" s="59" t="s">
        <x:v>1399</x:v>
      </x:c>
      <x:c r="I95" s="59" t="s">
        <x:v>1885</x:v>
      </x:c>
      <x:c r="J95" s="59" t="s">
        <x:v>1431</x:v>
      </x:c>
      <x:c r="K95" s="59" t="s">
        <x:v>1522</x:v>
      </x:c>
      <x:c r="L95" s="59" t="s">
        <x:v>1437</x:v>
      </x:c>
      <x:c r="M95" s="59" t="s">
        <x:v>1489</x:v>
      </x:c>
      <x:c r="N95" s="59" t="s">
        <x:v>1437</x:v>
      </x:c>
      <x:c r="O95" s="59" t="s">
        <x:v>1435</x:v>
      </x:c>
      <x:c r="P95" s="59" t="s">
        <x:v>1437</x:v>
      </x:c>
      <x:c r="Q95" s="75" t="s">
        <x:v>1437</x:v>
      </x:c>
      <x:c r="R95" s="75" t="s">
        <x:v>1437</x:v>
      </x:c>
      <x:c r="S95" s="75" t="s">
        <x:v>1437</x:v>
      </x:c>
      <x:c r="T95" s="75" t="s">
        <x:v>1437</x:v>
      </x:c>
      <x:c r="U95" s="75" t="s">
        <x:v>1437</x:v>
      </x:c>
      <x:c r="V95" s="75" t="s">
        <x:v>1437</x:v>
      </x:c>
      <x:c r="W95" s="60"/>
      <x:c r="X95" s="73" t="str">
        <x:f t="shared" si="11"/>
        <x:v>Belum Dinilai</x:v>
      </x:c>
      <x:c r="Y95" s="73" t="str">
        <x:f t="shared" si="12"/>
        <x:v>Belum Dinilai</x:v>
      </x:c>
      <x:c r="Z95" s="74" t="str">
        <x:f t="shared" si="13"/>
      </x:c>
      <x:c r="AA95" s="74" t="str">
        <x:f t="shared" si="14"/>
      </x:c>
      <x:c r="AB95" s="74" t="str">
        <x:f t="shared" si="15"/>
      </x:c>
      <x:c r="AC95" s="61" t="s">
        <x:v>1437</x:v>
      </x:c>
      <x:c r="AD95" s="61" t="s">
        <x:v>1437</x:v>
      </x:c>
      <x:c r="AE95" s="61" t="s">
        <x:v>1437</x:v>
      </x:c>
      <x:c r="AF95" s="61" t="s">
        <x:v>1437</x:v>
      </x:c>
      <x:c r="AG95" s="61" t="s">
        <x:v>1437</x:v>
      </x:c>
      <x:c r="AH95" s="61" t="s">
        <x:v>1437</x:v>
      </x:c>
      <x:c r="AI95" s="61" t="s">
        <x:v>1437</x:v>
      </x:c>
      <x:c r="AJ95" s="61" t="s">
        <x:v>1437</x:v>
      </x:c>
      <x:c r="AK95" s="61" t="s">
        <x:v>1437</x:v>
      </x:c>
      <x:c r="AL95" s="61"/>
      <x:c r="AM95" s="61" t="s">
        <x:v>1437</x:v>
      </x:c>
      <x:c r="AN95" s="73" t="str">
        <x:f t="shared" si="16"/>
        <x:v>Belum Dinilai</x:v>
      </x:c>
      <x:c r="AO95" s="73" t="str">
        <x:f t="shared" si="17"/>
        <x:v>Belum Dinilai</x:v>
      </x:c>
      <x:c r="AP95" s="61"/>
      <x:c r="AQ95" s="64" t="str">
        <x:f t="shared" si="18"/>
      </x:c>
      <x:c r="AR95" s="64" t="str">
        <x:f t="shared" si="19"/>
      </x:c>
      <x:c r="AS95" s="64" t="str">
        <x:f t="shared" si="20"/>
      </x:c>
      <x:c r="AT95" s="62" t="str">
        <x:f t="shared" si="21"/>
        <x:v>Belum Dapat Ditentukan</x:v>
      </x:c>
      <x:c r="AU95" s="59" t="s">
        <x:v>1424</x:v>
      </x:c>
      <x:c r="AV95" s="59" t="s">
        <x:v>1425</x:v>
      </x:c>
      <x:c r="AW95" s="59" t="s">
        <x:v>1523</x:v>
      </x:c>
      <x:c r="AX95" s="59" t="s">
        <x:v>1439</x:v>
      </x:c>
      <x:c r="AY95" s="59">
        <x:v>2023</x:v>
      </x:c>
      <x:c r="AZ95" s="59" t="s">
        <x:v>1409</x:v>
      </x:c>
      <x:c r="BA95" s="59"/>
      <x:c r="BB95" s="167"/>
      <x:c r="BC95" s="65">
        <x:v>2026</x:v>
      </x:c>
      <x:c r="BD95" s="59"/>
      <x:c r="BE95" s="167"/>
      <x:c r="BF95" s="59" t="s">
        <x:v>1501</x:v>
      </x:c>
    </x:row>
    <x:row r="96" ht="28">
      <x:c r="A96" s="59" t="s">
        <x:v>1886</x:v>
      </x:c>
      <x:c r="B96" s="59" t="s">
        <x:v>1887</x:v>
      </x:c>
      <x:c r="C96" s="59"/>
      <x:c r="D96" s="59"/>
      <x:c r="E96" s="59" t="s">
        <x:v>1524</x:v>
      </x:c>
      <x:c r="F96" s="59" t="s">
        <x:v>1695</x:v>
      </x:c>
      <x:c r="G96" s="59" t="s">
        <x:v>1534</x:v>
      </x:c>
      <x:c r="H96" s="59" t="s">
        <x:v>1399</x:v>
      </x:c>
      <x:c r="I96" s="59" t="s">
        <x:v>1888</x:v>
      </x:c>
      <x:c r="J96" s="59" t="s">
        <x:v>1431</x:v>
      </x:c>
      <x:c r="K96" s="59" t="s">
        <x:v>1522</x:v>
      </x:c>
      <x:c r="L96" s="59" t="s">
        <x:v>1487</x:v>
      </x:c>
      <x:c r="M96" s="59" t="s">
        <x:v>1489</x:v>
      </x:c>
      <x:c r="N96" s="59" t="s">
        <x:v>1487</x:v>
      </x:c>
      <x:c r="O96" s="59" t="s">
        <x:v>1435</x:v>
      </x:c>
      <x:c r="P96" s="59" t="s">
        <x:v>1487</x:v>
      </x:c>
      <x:c r="Q96" s="75" t="s">
        <x:v>1437</x:v>
      </x:c>
      <x:c r="R96" s="75" t="s">
        <x:v>1437</x:v>
      </x:c>
      <x:c r="S96" s="75" t="s">
        <x:v>1437</x:v>
      </x:c>
      <x:c r="T96" s="75" t="s">
        <x:v>1437</x:v>
      </x:c>
      <x:c r="U96" s="75" t="s">
        <x:v>1437</x:v>
      </x:c>
      <x:c r="V96" s="75" t="s">
        <x:v>1437</x:v>
      </x:c>
      <x:c r="W96" s="60"/>
      <x:c r="X96" s="73" t="str">
        <x:f t="shared" si="11"/>
        <x:v>Belum Dinilai</x:v>
      </x:c>
      <x:c r="Y96" s="73" t="str">
        <x:f t="shared" si="12"/>
        <x:v>Belum Dinilai</x:v>
      </x:c>
      <x:c r="Z96" s="74" t="str">
        <x:f t="shared" si="13"/>
      </x:c>
      <x:c r="AA96" s="74" t="str">
        <x:f t="shared" si="14"/>
      </x:c>
      <x:c r="AB96" s="74" t="str">
        <x:f t="shared" si="15"/>
      </x:c>
      <x:c r="AC96" s="61" t="s">
        <x:v>1437</x:v>
      </x:c>
      <x:c r="AD96" s="61" t="s">
        <x:v>1437</x:v>
      </x:c>
      <x:c r="AE96" s="61" t="s">
        <x:v>1437</x:v>
      </x:c>
      <x:c r="AF96" s="61" t="s">
        <x:v>1437</x:v>
      </x:c>
      <x:c r="AG96" s="61" t="s">
        <x:v>1437</x:v>
      </x:c>
      <x:c r="AH96" s="61" t="s">
        <x:v>1437</x:v>
      </x:c>
      <x:c r="AI96" s="61" t="s">
        <x:v>1437</x:v>
      </x:c>
      <x:c r="AJ96" s="61" t="s">
        <x:v>1437</x:v>
      </x:c>
      <x:c r="AK96" s="61" t="s">
        <x:v>1437</x:v>
      </x:c>
      <x:c r="AL96" s="61"/>
      <x:c r="AM96" s="61" t="s">
        <x:v>1437</x:v>
      </x:c>
      <x:c r="AN96" s="73" t="str">
        <x:f t="shared" si="16"/>
        <x:v>Belum Dinilai</x:v>
      </x:c>
      <x:c r="AO96" s="73" t="str">
        <x:f t="shared" si="17"/>
        <x:v>Belum Dinilai</x:v>
      </x:c>
      <x:c r="AP96" s="61"/>
      <x:c r="AQ96" s="64">
        <x:f t="shared" si="18"/>
        <x:v>57</x:v>
      </x:c>
      <x:c r="AR96" s="64" t="str">
        <x:f t="shared" si="19"/>
      </x:c>
      <x:c r="AS96" s="64" t="str">
        <x:f t="shared" si="20"/>
      </x:c>
      <x:c r="AT96" s="62" t="str">
        <x:f t="shared" si="21"/>
        <x:v>Belum Dapat Ditentukan</x:v>
      </x:c>
      <x:c r="AU96" s="59" t="s">
        <x:v>1424</x:v>
      </x:c>
      <x:c r="AV96" s="59" t="s">
        <x:v>1425</x:v>
      </x:c>
      <x:c r="AW96" s="59" t="s">
        <x:v>1410</x:v>
      </x:c>
      <x:c r="AX96" s="59" t="s">
        <x:v>1411</x:v>
      </x:c>
      <x:c r="AY96" s="59"/>
      <x:c r="AZ96" s="59" t="s">
        <x:v>1409</x:v>
      </x:c>
      <x:c r="BA96" s="59"/>
      <x:c r="BB96" s="167"/>
      <x:c r="BC96" s="65">
        <x:v>2026</x:v>
      </x:c>
      <x:c r="BD96" s="59"/>
      <x:c r="BE96" s="167"/>
      <x:c r="BF96" s="59" t="s">
        <x:v>1501</x:v>
      </x:c>
    </x:row>
    <x:row r="97" ht="28">
      <x:c r="A97" s="59" t="s">
        <x:v>1889</x:v>
      </x:c>
      <x:c r="B97" s="59" t="s">
        <x:v>1786</x:v>
      </x:c>
      <x:c r="C97" s="59"/>
      <x:c r="D97" s="59"/>
      <x:c r="E97" s="59" t="s">
        <x:v>1890</x:v>
      </x:c>
      <x:c r="F97" s="59" t="s">
        <x:v>1580</x:v>
      </x:c>
      <x:c r="G97" s="59" t="s">
        <x:v>1512</x:v>
      </x:c>
      <x:c r="H97" s="59" t="s">
        <x:v>1415</x:v>
      </x:c>
      <x:c r="I97" s="59" t="s">
        <x:v>1891</x:v>
      </x:c>
      <x:c r="J97" s="59" t="s">
        <x:v>1400</x:v>
      </x:c>
      <x:c r="K97" s="59" t="s">
        <x:v>1522</x:v>
      </x:c>
      <x:c r="L97" s="59" t="s">
        <x:v>1437</x:v>
      </x:c>
      <x:c r="M97" s="59" t="s">
        <x:v>1434</x:v>
      </x:c>
      <x:c r="N97" s="59" t="s">
        <x:v>1437</x:v>
      </x:c>
      <x:c r="O97" s="59" t="s">
        <x:v>1435</x:v>
      </x:c>
      <x:c r="P97" s="59" t="s">
        <x:v>1437</x:v>
      </x:c>
      <x:c r="Q97" s="75" t="s">
        <x:v>1437</x:v>
      </x:c>
      <x:c r="R97" s="75" t="s">
        <x:v>1437</x:v>
      </x:c>
      <x:c r="S97" s="75" t="s">
        <x:v>1437</x:v>
      </x:c>
      <x:c r="T97" s="75" t="s">
        <x:v>1437</x:v>
      </x:c>
      <x:c r="U97" s="75" t="s">
        <x:v>1437</x:v>
      </x:c>
      <x:c r="V97" s="75" t="s">
        <x:v>1437</x:v>
      </x:c>
      <x:c r="W97" s="60"/>
      <x:c r="X97" s="73" t="str">
        <x:f t="shared" si="11"/>
        <x:v>Belum Dinilai</x:v>
      </x:c>
      <x:c r="Y97" s="73" t="str">
        <x:f t="shared" si="12"/>
        <x:v>Belum Dinilai</x:v>
      </x:c>
      <x:c r="Z97" s="74" t="str">
        <x:f t="shared" si="13"/>
      </x:c>
      <x:c r="AA97" s="74" t="str">
        <x:f t="shared" si="14"/>
      </x:c>
      <x:c r="AB97" s="74" t="str">
        <x:f t="shared" si="15"/>
      </x:c>
      <x:c r="AC97" s="61" t="s">
        <x:v>1437</x:v>
      </x:c>
      <x:c r="AD97" s="61" t="s">
        <x:v>1437</x:v>
      </x:c>
      <x:c r="AE97" s="61" t="s">
        <x:v>1437</x:v>
      </x:c>
      <x:c r="AF97" s="61" t="s">
        <x:v>1437</x:v>
      </x:c>
      <x:c r="AG97" s="61" t="s">
        <x:v>1437</x:v>
      </x:c>
      <x:c r="AH97" s="61" t="s">
        <x:v>1437</x:v>
      </x:c>
      <x:c r="AI97" s="61" t="s">
        <x:v>1437</x:v>
      </x:c>
      <x:c r="AJ97" s="61" t="s">
        <x:v>1437</x:v>
      </x:c>
      <x:c r="AK97" s="61" t="s">
        <x:v>1437</x:v>
      </x:c>
      <x:c r="AL97" s="61"/>
      <x:c r="AM97" s="61" t="s">
        <x:v>1437</x:v>
      </x:c>
      <x:c r="AN97" s="73" t="str">
        <x:f t="shared" si="16"/>
        <x:v>Belum Dinilai</x:v>
      </x:c>
      <x:c r="AO97" s="73" t="str">
        <x:f t="shared" si="17"/>
        <x:v>Belum Dinilai</x:v>
      </x:c>
      <x:c r="AP97" s="61"/>
      <x:c r="AQ97" s="64" t="str">
        <x:f t="shared" si="18"/>
      </x:c>
      <x:c r="AR97" s="64" t="str">
        <x:f t="shared" si="19"/>
      </x:c>
      <x:c r="AS97" s="64" t="str">
        <x:f t="shared" si="20"/>
      </x:c>
      <x:c r="AT97" s="62" t="str">
        <x:f t="shared" si="21"/>
        <x:v>Belum Dapat Ditentukan</x:v>
      </x:c>
      <x:c r="AU97" s="59" t="s">
        <x:v>1408</x:v>
      </x:c>
      <x:c r="AV97" s="59" t="s">
        <x:v>1425</x:v>
      </x:c>
      <x:c r="AW97" s="59" t="s">
        <x:v>1523</x:v>
      </x:c>
      <x:c r="AX97" s="59" t="s">
        <x:v>1427</x:v>
      </x:c>
      <x:c r="AY97" s="59">
        <x:v>2021</x:v>
      </x:c>
      <x:c r="AZ97" s="59" t="s">
        <x:v>1409</x:v>
      </x:c>
      <x:c r="BA97" s="59"/>
      <x:c r="BB97" s="167"/>
      <x:c r="BC97" s="65">
        <x:v>2026</x:v>
      </x:c>
      <x:c r="BD97" s="59"/>
      <x:c r="BE97" s="167"/>
      <x:c r="BF97" s="59" t="s">
        <x:v>1501</x:v>
      </x:c>
    </x:row>
    <x:row r="98" ht="28">
      <x:c r="A98" s="59" t="s">
        <x:v>1892</x:v>
      </x:c>
      <x:c r="B98" s="59" t="s">
        <x:v>1893</x:v>
      </x:c>
      <x:c r="C98" s="59"/>
      <x:c r="D98" s="59"/>
      <x:c r="E98" s="59" t="s">
        <x:v>1894</x:v>
      </x:c>
      <x:c r="F98" s="59" t="s">
        <x:v>1580</x:v>
      </x:c>
      <x:c r="G98" s="59" t="s">
        <x:v>1512</x:v>
      </x:c>
      <x:c r="H98" s="59" t="s">
        <x:v>1484</x:v>
      </x:c>
      <x:c r="I98" s="59" t="s">
        <x:v>1895</x:v>
      </x:c>
      <x:c r="J98" s="59" t="s">
        <x:v>1431</x:v>
      </x:c>
      <x:c r="K98" s="59" t="s">
        <x:v>1522</x:v>
      </x:c>
      <x:c r="L98" s="59" t="s">
        <x:v>1437</x:v>
      </x:c>
      <x:c r="M98" s="59" t="s">
        <x:v>1489</x:v>
      </x:c>
      <x:c r="N98" s="59" t="s">
        <x:v>1437</x:v>
      </x:c>
      <x:c r="O98" s="59" t="s">
        <x:v>1522</x:v>
      </x:c>
      <x:c r="P98" s="59" t="s">
        <x:v>1437</x:v>
      </x:c>
      <x:c r="Q98" s="75" t="s">
        <x:v>1437</x:v>
      </x:c>
      <x:c r="R98" s="75" t="s">
        <x:v>1437</x:v>
      </x:c>
      <x:c r="S98" s="75" t="s">
        <x:v>1437</x:v>
      </x:c>
      <x:c r="T98" s="75" t="s">
        <x:v>1437</x:v>
      </x:c>
      <x:c r="U98" s="75" t="s">
        <x:v>1437</x:v>
      </x:c>
      <x:c r="V98" s="75" t="s">
        <x:v>1437</x:v>
      </x:c>
      <x:c r="W98" s="60"/>
      <x:c r="X98" s="73" t="str">
        <x:f t="shared" si="11"/>
        <x:v>Belum Dinilai</x:v>
      </x:c>
      <x:c r="Y98" s="73" t="str">
        <x:f t="shared" si="12"/>
        <x:v>Belum Dinilai</x:v>
      </x:c>
      <x:c r="Z98" s="74" t="str">
        <x:f t="shared" si="13"/>
      </x:c>
      <x:c r="AA98" s="74" t="str">
        <x:f t="shared" si="14"/>
      </x:c>
      <x:c r="AB98" s="74" t="str">
        <x:f t="shared" si="15"/>
      </x:c>
      <x:c r="AC98" s="61" t="s">
        <x:v>1437</x:v>
      </x:c>
      <x:c r="AD98" s="61" t="s">
        <x:v>1437</x:v>
      </x:c>
      <x:c r="AE98" s="61" t="s">
        <x:v>1437</x:v>
      </x:c>
      <x:c r="AF98" s="61" t="s">
        <x:v>1437</x:v>
      </x:c>
      <x:c r="AG98" s="61" t="s">
        <x:v>1437</x:v>
      </x:c>
      <x:c r="AH98" s="61" t="s">
        <x:v>1437</x:v>
      </x:c>
      <x:c r="AI98" s="61" t="s">
        <x:v>1437</x:v>
      </x:c>
      <x:c r="AJ98" s="61" t="s">
        <x:v>1437</x:v>
      </x:c>
      <x:c r="AK98" s="61" t="s">
        <x:v>1437</x:v>
      </x:c>
      <x:c r="AL98" s="61"/>
      <x:c r="AM98" s="61" t="s">
        <x:v>1437</x:v>
      </x:c>
      <x:c r="AN98" s="73" t="str">
        <x:f t="shared" si="16"/>
        <x:v>Belum Dinilai</x:v>
      </x:c>
      <x:c r="AO98" s="73" t="str">
        <x:f t="shared" si="17"/>
        <x:v>Belum Dinilai</x:v>
      </x:c>
      <x:c r="AP98" s="61"/>
      <x:c r="AQ98" s="64" t="str">
        <x:f t="shared" si="18"/>
      </x:c>
      <x:c r="AR98" s="64" t="str">
        <x:f t="shared" si="19"/>
      </x:c>
      <x:c r="AS98" s="64" t="str">
        <x:f t="shared" si="20"/>
      </x:c>
      <x:c r="AT98" s="62" t="str">
        <x:f t="shared" si="21"/>
        <x:v>Belum Dapat Ditentukan</x:v>
      </x:c>
      <x:c r="AU98" s="59" t="s">
        <x:v>1424</x:v>
      </x:c>
      <x:c r="AV98" s="59" t="s">
        <x:v>1425</x:v>
      </x:c>
      <x:c r="AW98" s="59" t="s">
        <x:v>1410</x:v>
      </x:c>
      <x:c r="AX98" s="59" t="s">
        <x:v>1411</x:v>
      </x:c>
      <x:c r="AY98" s="59"/>
      <x:c r="AZ98" s="59" t="s">
        <x:v>1409</x:v>
      </x:c>
      <x:c r="BA98" s="59"/>
      <x:c r="BB98" s="167"/>
      <x:c r="BC98" s="65">
        <x:v>2026</x:v>
      </x:c>
      <x:c r="BD98" s="59"/>
      <x:c r="BE98" s="167"/>
      <x:c r="BF98" s="59" t="s">
        <x:v>1501</x:v>
      </x:c>
    </x:row>
    <x:row r="99" ht="28">
      <x:c r="A99" s="59" t="s">
        <x:v>1896</x:v>
      </x:c>
      <x:c r="B99" s="59" t="s">
        <x:v>1897</x:v>
      </x:c>
      <x:c r="C99" s="59"/>
      <x:c r="D99" s="59"/>
      <x:c r="E99" s="59" t="s">
        <x:v>1890</x:v>
      </x:c>
      <x:c r="F99" s="59" t="s">
        <x:v>1580</x:v>
      </x:c>
      <x:c r="G99" s="59" t="s">
        <x:v>1512</x:v>
      </x:c>
      <x:c r="H99" s="59" t="s">
        <x:v>1399</x:v>
      </x:c>
      <x:c r="I99" s="59" t="s">
        <x:v>1898</x:v>
      </x:c>
      <x:c r="J99" s="59" t="s">
        <x:v>1400</x:v>
      </x:c>
      <x:c r="K99" s="59" t="s">
        <x:v>1522</x:v>
      </x:c>
      <x:c r="L99" s="59" t="s">
        <x:v>1437</x:v>
      </x:c>
      <x:c r="M99" s="59" t="s">
        <x:v>1434</x:v>
      </x:c>
      <x:c r="N99" s="59" t="s">
        <x:v>1437</x:v>
      </x:c>
      <x:c r="O99" s="59" t="s">
        <x:v>1522</x:v>
      </x:c>
      <x:c r="P99" s="59" t="s">
        <x:v>1437</x:v>
      </x:c>
      <x:c r="Q99" s="75" t="s">
        <x:v>1437</x:v>
      </x:c>
      <x:c r="R99" s="75" t="s">
        <x:v>1437</x:v>
      </x:c>
      <x:c r="S99" s="75" t="s">
        <x:v>1437</x:v>
      </x:c>
      <x:c r="T99" s="75" t="s">
        <x:v>1437</x:v>
      </x:c>
      <x:c r="U99" s="75" t="s">
        <x:v>1437</x:v>
      </x:c>
      <x:c r="V99" s="75" t="s">
        <x:v>1437</x:v>
      </x:c>
      <x:c r="W99" s="60"/>
      <x:c r="X99" s="73" t="str">
        <x:f t="shared" si="11"/>
        <x:v>Belum Dinilai</x:v>
      </x:c>
      <x:c r="Y99" s="73" t="str">
        <x:f t="shared" si="12"/>
        <x:v>Belum Dinilai</x:v>
      </x:c>
      <x:c r="Z99" s="74" t="str">
        <x:f t="shared" si="13"/>
      </x:c>
      <x:c r="AA99" s="74" t="str">
        <x:f t="shared" si="14"/>
      </x:c>
      <x:c r="AB99" s="74" t="str">
        <x:f t="shared" si="15"/>
      </x:c>
      <x:c r="AC99" s="61" t="s">
        <x:v>1437</x:v>
      </x:c>
      <x:c r="AD99" s="61" t="s">
        <x:v>1437</x:v>
      </x:c>
      <x:c r="AE99" s="61" t="s">
        <x:v>1437</x:v>
      </x:c>
      <x:c r="AF99" s="61" t="s">
        <x:v>1437</x:v>
      </x:c>
      <x:c r="AG99" s="61" t="s">
        <x:v>1437</x:v>
      </x:c>
      <x:c r="AH99" s="61" t="s">
        <x:v>1437</x:v>
      </x:c>
      <x:c r="AI99" s="61" t="s">
        <x:v>1437</x:v>
      </x:c>
      <x:c r="AJ99" s="61" t="s">
        <x:v>1437</x:v>
      </x:c>
      <x:c r="AK99" s="61" t="s">
        <x:v>1437</x:v>
      </x:c>
      <x:c r="AL99" s="61"/>
      <x:c r="AM99" s="61" t="s">
        <x:v>1437</x:v>
      </x:c>
      <x:c r="AN99" s="73" t="str">
        <x:f t="shared" si="16"/>
        <x:v>Belum Dinilai</x:v>
      </x:c>
      <x:c r="AO99" s="73" t="str">
        <x:f t="shared" si="17"/>
        <x:v>Belum Dinilai</x:v>
      </x:c>
      <x:c r="AP99" s="61"/>
      <x:c r="AQ99" s="64" t="str">
        <x:f t="shared" si="18"/>
      </x:c>
      <x:c r="AR99" s="64" t="str">
        <x:f t="shared" si="19"/>
      </x:c>
      <x:c r="AS99" s="64" t="str">
        <x:f t="shared" si="20"/>
      </x:c>
      <x:c r="AT99" s="62" t="str">
        <x:f t="shared" si="21"/>
        <x:v>Belum Dapat Ditentukan</x:v>
      </x:c>
      <x:c r="AU99" s="59" t="s">
        <x:v>1408</x:v>
      </x:c>
      <x:c r="AV99" s="59" t="s">
        <x:v>1425</x:v>
      </x:c>
      <x:c r="AW99" s="59" t="s">
        <x:v>1523</x:v>
      </x:c>
      <x:c r="AX99" s="59" t="s">
        <x:v>1427</x:v>
      </x:c>
      <x:c r="AY99" s="59">
        <x:v>2021</x:v>
      </x:c>
      <x:c r="AZ99" s="59" t="s">
        <x:v>1409</x:v>
      </x:c>
      <x:c r="BA99" s="59"/>
      <x:c r="BB99" s="167"/>
      <x:c r="BC99" s="65">
        <x:v>2026</x:v>
      </x:c>
      <x:c r="BD99" s="59"/>
      <x:c r="BE99" s="167"/>
      <x:c r="BF99" s="59" t="s">
        <x:v>1501</x:v>
      </x:c>
    </x:row>
    <x:row r="100" ht="28">
      <x:c r="A100" s="59" t="s">
        <x:v>1899</x:v>
      </x:c>
      <x:c r="B100" s="59" t="s">
        <x:v>1900</x:v>
      </x:c>
      <x:c r="C100" s="59"/>
      <x:c r="D100" s="59"/>
      <x:c r="E100" s="59" t="s">
        <x:v>1901</x:v>
      </x:c>
      <x:c r="F100" s="59" t="s">
        <x:v>1580</x:v>
      </x:c>
      <x:c r="G100" s="59" t="s">
        <x:v>1512</x:v>
      </x:c>
      <x:c r="H100" s="59" t="s">
        <x:v>1415</x:v>
      </x:c>
      <x:c r="I100" s="59" t="s">
        <x:v>1895</x:v>
      </x:c>
      <x:c r="J100" s="59" t="s">
        <x:v>1431</x:v>
      </x:c>
      <x:c r="K100" s="59" t="s">
        <x:v>1522</x:v>
      </x:c>
      <x:c r="L100" s="59" t="s">
        <x:v>1437</x:v>
      </x:c>
      <x:c r="M100" s="59" t="s">
        <x:v>1489</x:v>
      </x:c>
      <x:c r="N100" s="59" t="s">
        <x:v>1437</x:v>
      </x:c>
      <x:c r="O100" s="59" t="s">
        <x:v>1522</x:v>
      </x:c>
      <x:c r="P100" s="59" t="s">
        <x:v>1437</x:v>
      </x:c>
      <x:c r="Q100" s="75" t="s">
        <x:v>1437</x:v>
      </x:c>
      <x:c r="R100" s="75" t="s">
        <x:v>1437</x:v>
      </x:c>
      <x:c r="S100" s="75" t="s">
        <x:v>1437</x:v>
      </x:c>
      <x:c r="T100" s="75" t="s">
        <x:v>1437</x:v>
      </x:c>
      <x:c r="U100" s="75" t="s">
        <x:v>1437</x:v>
      </x:c>
      <x:c r="V100" s="75" t="s">
        <x:v>1437</x:v>
      </x:c>
      <x:c r="W100" s="60"/>
      <x:c r="X100" s="73" t="str">
        <x:f t="shared" si="11"/>
        <x:v>Belum Dinilai</x:v>
      </x:c>
      <x:c r="Y100" s="73" t="str">
        <x:f t="shared" si="12"/>
        <x:v>Belum Dinilai</x:v>
      </x:c>
      <x:c r="Z100" s="74" t="str">
        <x:f t="shared" si="13"/>
      </x:c>
      <x:c r="AA100" s="74" t="str">
        <x:f t="shared" si="14"/>
      </x:c>
      <x:c r="AB100" s="74" t="str">
        <x:f t="shared" si="15"/>
      </x:c>
      <x:c r="AC100" s="61" t="s">
        <x:v>1437</x:v>
      </x:c>
      <x:c r="AD100" s="61" t="s">
        <x:v>1437</x:v>
      </x:c>
      <x:c r="AE100" s="61" t="s">
        <x:v>1437</x:v>
      </x:c>
      <x:c r="AF100" s="61" t="s">
        <x:v>1437</x:v>
      </x:c>
      <x:c r="AG100" s="61" t="s">
        <x:v>1437</x:v>
      </x:c>
      <x:c r="AH100" s="61" t="s">
        <x:v>1437</x:v>
      </x:c>
      <x:c r="AI100" s="61" t="s">
        <x:v>1437</x:v>
      </x:c>
      <x:c r="AJ100" s="61" t="s">
        <x:v>1437</x:v>
      </x:c>
      <x:c r="AK100" s="61" t="s">
        <x:v>1437</x:v>
      </x:c>
      <x:c r="AL100" s="61"/>
      <x:c r="AM100" s="61" t="s">
        <x:v>1437</x:v>
      </x:c>
      <x:c r="AN100" s="73" t="str">
        <x:f t="shared" si="16"/>
        <x:v>Belum Dinilai</x:v>
      </x:c>
      <x:c r="AO100" s="73" t="str">
        <x:f t="shared" si="17"/>
        <x:v>Belum Dinilai</x:v>
      </x:c>
      <x:c r="AP100" s="61"/>
      <x:c r="AQ100" s="64" t="str">
        <x:f t="shared" si="18"/>
      </x:c>
      <x:c r="AR100" s="64" t="str">
        <x:f t="shared" si="19"/>
      </x:c>
      <x:c r="AS100" s="64" t="str">
        <x:f t="shared" si="20"/>
      </x:c>
      <x:c r="AT100" s="62" t="str">
        <x:f t="shared" si="21"/>
        <x:v>Belum Dapat Ditentukan</x:v>
      </x:c>
      <x:c r="AU100" s="59" t="s">
        <x:v>1408</x:v>
      </x:c>
      <x:c r="AV100" s="59" t="s">
        <x:v>1425</x:v>
      </x:c>
      <x:c r="AW100" s="59" t="s">
        <x:v>1523</x:v>
      </x:c>
      <x:c r="AX100" s="59" t="s">
        <x:v>1427</x:v>
      </x:c>
      <x:c r="AY100" s="59">
        <x:v>2022</x:v>
      </x:c>
      <x:c r="AZ100" s="59" t="s">
        <x:v>1409</x:v>
      </x:c>
      <x:c r="BA100" s="59"/>
      <x:c r="BB100" s="167"/>
      <x:c r="BC100" s="65">
        <x:v>2026</x:v>
      </x:c>
      <x:c r="BD100" s="59"/>
      <x:c r="BE100" s="167"/>
      <x:c r="BF100" s="59" t="s">
        <x:v>1501</x:v>
      </x:c>
    </x:row>
    <x:row r="101" ht="28">
      <x:c r="A101" s="59" t="s">
        <x:v>1902</x:v>
      </x:c>
      <x:c r="B101" s="59" t="s">
        <x:v>1903</x:v>
      </x:c>
      <x:c r="C101" s="59"/>
      <x:c r="D101" s="59"/>
      <x:c r="E101" s="59" t="s">
        <x:v>1904</x:v>
      </x:c>
      <x:c r="F101" s="59" t="s">
        <x:v>1613</x:v>
      </x:c>
      <x:c r="G101" s="59" t="s">
        <x:v>1512</x:v>
      </x:c>
      <x:c r="H101" s="59" t="s">
        <x:v>1399</x:v>
      </x:c>
      <x:c r="I101" s="59" t="s">
        <x:v>1895</x:v>
      </x:c>
      <x:c r="J101" s="59" t="s">
        <x:v>1431</x:v>
      </x:c>
      <x:c r="K101" s="59" t="s">
        <x:v>1522</x:v>
      </x:c>
      <x:c r="L101" s="59" t="s">
        <x:v>1437</x:v>
      </x:c>
      <x:c r="M101" s="59" t="s">
        <x:v>1489</x:v>
      </x:c>
      <x:c r="N101" s="59" t="s">
        <x:v>1437</x:v>
      </x:c>
      <x:c r="O101" s="59" t="s">
        <x:v>1522</x:v>
      </x:c>
      <x:c r="P101" s="59" t="s">
        <x:v>1437</x:v>
      </x:c>
      <x:c r="Q101" s="75" t="s">
        <x:v>1437</x:v>
      </x:c>
      <x:c r="R101" s="75" t="s">
        <x:v>1437</x:v>
      </x:c>
      <x:c r="S101" s="75" t="s">
        <x:v>1437</x:v>
      </x:c>
      <x:c r="T101" s="75" t="s">
        <x:v>1437</x:v>
      </x:c>
      <x:c r="U101" s="75" t="s">
        <x:v>1437</x:v>
      </x:c>
      <x:c r="V101" s="75" t="s">
        <x:v>1437</x:v>
      </x:c>
      <x:c r="W101" s="60"/>
      <x:c r="X101" s="73" t="str">
        <x:f t="shared" si="11"/>
        <x:v>Belum Dinilai</x:v>
      </x:c>
      <x:c r="Y101" s="73" t="str">
        <x:f t="shared" si="12"/>
        <x:v>Belum Dinilai</x:v>
      </x:c>
      <x:c r="Z101" s="74" t="str">
        <x:f t="shared" si="13"/>
      </x:c>
      <x:c r="AA101" s="74" t="str">
        <x:f t="shared" si="14"/>
      </x:c>
      <x:c r="AB101" s="74" t="str">
        <x:f t="shared" si="15"/>
      </x:c>
      <x:c r="AC101" s="61" t="s">
        <x:v>1437</x:v>
      </x:c>
      <x:c r="AD101" s="61" t="s">
        <x:v>1437</x:v>
      </x:c>
      <x:c r="AE101" s="61" t="s">
        <x:v>1437</x:v>
      </x:c>
      <x:c r="AF101" s="61" t="s">
        <x:v>1437</x:v>
      </x:c>
      <x:c r="AG101" s="61" t="s">
        <x:v>1437</x:v>
      </x:c>
      <x:c r="AH101" s="61" t="s">
        <x:v>1437</x:v>
      </x:c>
      <x:c r="AI101" s="61" t="s">
        <x:v>1437</x:v>
      </x:c>
      <x:c r="AJ101" s="61" t="s">
        <x:v>1437</x:v>
      </x:c>
      <x:c r="AK101" s="61" t="s">
        <x:v>1437</x:v>
      </x:c>
      <x:c r="AL101" s="61"/>
      <x:c r="AM101" s="61" t="s">
        <x:v>1437</x:v>
      </x:c>
      <x:c r="AN101" s="73" t="str">
        <x:f t="shared" si="16"/>
        <x:v>Belum Dinilai</x:v>
      </x:c>
      <x:c r="AO101" s="73" t="str">
        <x:f t="shared" si="17"/>
        <x:v>Belum Dinilai</x:v>
      </x:c>
      <x:c r="AP101" s="61"/>
      <x:c r="AQ101" s="64" t="str">
        <x:f t="shared" si="18"/>
      </x:c>
      <x:c r="AR101" s="64" t="str">
        <x:f t="shared" si="19"/>
      </x:c>
      <x:c r="AS101" s="64" t="str">
        <x:f t="shared" si="20"/>
      </x:c>
      <x:c r="AT101" s="62" t="str">
        <x:f t="shared" si="21"/>
        <x:v>Belum Dapat Ditentukan</x:v>
      </x:c>
      <x:c r="AU101" s="59" t="s">
        <x:v>1408</x:v>
      </x:c>
      <x:c r="AV101" s="59" t="s">
        <x:v>1425</x:v>
      </x:c>
      <x:c r="AW101" s="59" t="s">
        <x:v>1523</x:v>
      </x:c>
      <x:c r="AX101" s="59" t="s">
        <x:v>1427</x:v>
      </x:c>
      <x:c r="AY101" s="59">
        <x:v>2023</x:v>
      </x:c>
      <x:c r="AZ101" s="59" t="s">
        <x:v>1409</x:v>
      </x:c>
      <x:c r="BA101" s="59"/>
      <x:c r="BB101" s="167"/>
      <x:c r="BC101" s="65">
        <x:v>2026</x:v>
      </x:c>
      <x:c r="BD101" s="59"/>
      <x:c r="BE101" s="167"/>
      <x:c r="BF101" s="59" t="s">
        <x:v>1501</x:v>
      </x:c>
    </x:row>
    <x:row r="102" ht="28">
      <x:c r="A102" s="59" t="s">
        <x:v>1905</x:v>
      </x:c>
      <x:c r="B102" s="59" t="s">
        <x:v>1906</x:v>
      </x:c>
      <x:c r="C102" s="59"/>
      <x:c r="D102" s="59"/>
      <x:c r="E102" s="59" t="s">
        <x:v>1907</x:v>
      </x:c>
      <x:c r="F102" s="59" t="s">
        <x:v>1613</x:v>
      </x:c>
      <x:c r="G102" s="59" t="s">
        <x:v>1512</x:v>
      </x:c>
      <x:c r="H102" s="59" t="s">
        <x:v>1415</x:v>
      </x:c>
      <x:c r="I102" s="59" t="s">
        <x:v>1908</x:v>
      </x:c>
      <x:c r="J102" s="59" t="s">
        <x:v>1485</x:v>
      </x:c>
      <x:c r="K102" s="59" t="s">
        <x:v>1522</x:v>
      </x:c>
      <x:c r="L102" s="59" t="s">
        <x:v>1487</x:v>
      </x:c>
      <x:c r="M102" s="59" t="s">
        <x:v>1522</x:v>
      </x:c>
      <x:c r="N102" s="59" t="s">
        <x:v>1437</x:v>
      </x:c>
      <x:c r="O102" s="59" t="s">
        <x:v>1522</x:v>
      </x:c>
      <x:c r="P102" s="59" t="s">
        <x:v>1437</x:v>
      </x:c>
      <x:c r="Q102" s="75" t="s">
        <x:v>1437</x:v>
      </x:c>
      <x:c r="R102" s="75" t="s">
        <x:v>1437</x:v>
      </x:c>
      <x:c r="S102" s="75" t="s">
        <x:v>1437</x:v>
      </x:c>
      <x:c r="T102" s="75" t="s">
        <x:v>1437</x:v>
      </x:c>
      <x:c r="U102" s="75" t="s">
        <x:v>1437</x:v>
      </x:c>
      <x:c r="V102" s="75" t="s">
        <x:v>1437</x:v>
      </x:c>
      <x:c r="W102" s="60"/>
      <x:c r="X102" s="73" t="str">
        <x:f t="shared" si="11"/>
        <x:v>Belum Dinilai</x:v>
      </x:c>
      <x:c r="Y102" s="73" t="str">
        <x:f t="shared" si="12"/>
        <x:v>Belum Dinilai</x:v>
      </x:c>
      <x:c r="Z102" s="74" t="str">
        <x:f t="shared" si="13"/>
      </x:c>
      <x:c r="AA102" s="74" t="str">
        <x:f t="shared" si="14"/>
      </x:c>
      <x:c r="AB102" s="74" t="str">
        <x:f t="shared" si="15"/>
      </x:c>
      <x:c r="AC102" s="61" t="s">
        <x:v>1437</x:v>
      </x:c>
      <x:c r="AD102" s="61" t="s">
        <x:v>1437</x:v>
      </x:c>
      <x:c r="AE102" s="61" t="s">
        <x:v>1437</x:v>
      </x:c>
      <x:c r="AF102" s="61" t="s">
        <x:v>1437</x:v>
      </x:c>
      <x:c r="AG102" s="61" t="s">
        <x:v>1437</x:v>
      </x:c>
      <x:c r="AH102" s="61" t="s">
        <x:v>1437</x:v>
      </x:c>
      <x:c r="AI102" s="61" t="s">
        <x:v>1437</x:v>
      </x:c>
      <x:c r="AJ102" s="61" t="s">
        <x:v>1437</x:v>
      </x:c>
      <x:c r="AK102" s="61" t="s">
        <x:v>1437</x:v>
      </x:c>
      <x:c r="AL102" s="61"/>
      <x:c r="AM102" s="61" t="s">
        <x:v>1437</x:v>
      </x:c>
      <x:c r="AN102" s="73" t="str">
        <x:f t="shared" si="16"/>
        <x:v>Belum Dinilai</x:v>
      </x:c>
      <x:c r="AO102" s="73" t="str">
        <x:f t="shared" si="17"/>
        <x:v>Belum Dinilai</x:v>
      </x:c>
      <x:c r="AP102" s="61"/>
      <x:c r="AQ102" s="64" t="str">
        <x:f t="shared" si="18"/>
      </x:c>
      <x:c r="AR102" s="64" t="str">
        <x:f t="shared" si="19"/>
      </x:c>
      <x:c r="AS102" s="64" t="str">
        <x:f t="shared" si="20"/>
      </x:c>
      <x:c r="AT102" s="62" t="str">
        <x:f t="shared" si="21"/>
        <x:v>Belum Dapat Ditentukan</x:v>
      </x:c>
      <x:c r="AU102" s="59" t="s">
        <x:v>1424</x:v>
      </x:c>
      <x:c r="AV102" s="59" t="s">
        <x:v>1425</x:v>
      </x:c>
      <x:c r="AW102" s="59" t="s">
        <x:v>1410</x:v>
      </x:c>
      <x:c r="AX102" s="59" t="s">
        <x:v>1411</x:v>
      </x:c>
      <x:c r="AY102" s="59"/>
      <x:c r="AZ102" s="59" t="s">
        <x:v>1409</x:v>
      </x:c>
      <x:c r="BA102" s="59"/>
      <x:c r="BB102" s="167"/>
      <x:c r="BC102" s="65">
        <x:v>2026</x:v>
      </x:c>
      <x:c r="BD102" s="59"/>
      <x:c r="BE102" s="167"/>
      <x:c r="BF102" s="59" t="s">
        <x:v>1501</x:v>
      </x:c>
    </x:row>
    <x:row r="103" ht="28">
      <x:c r="A103" s="59" t="s">
        <x:v>1909</x:v>
      </x:c>
      <x:c r="B103" s="59" t="s">
        <x:v>1910</x:v>
      </x:c>
      <x:c r="C103" s="59"/>
      <x:c r="D103" s="59"/>
      <x:c r="E103" s="59" t="s">
        <x:v>1524</x:v>
      </x:c>
      <x:c r="F103" s="59" t="s">
        <x:v>1613</x:v>
      </x:c>
      <x:c r="G103" s="59" t="s">
        <x:v>1512</x:v>
      </x:c>
      <x:c r="H103" s="59" t="s">
        <x:v>1484</x:v>
      </x:c>
      <x:c r="I103" s="59" t="s">
        <x:v>1637</x:v>
      </x:c>
      <x:c r="J103" s="59" t="s">
        <x:v>1400</x:v>
      </x:c>
      <x:c r="K103" s="59" t="s">
        <x:v>1522</x:v>
      </x:c>
      <x:c r="L103" s="59" t="s">
        <x:v>1437</x:v>
      </x:c>
      <x:c r="M103" s="59" t="s">
        <x:v>1488</x:v>
      </x:c>
      <x:c r="N103" s="59" t="s">
        <x:v>1437</x:v>
      </x:c>
      <x:c r="O103" s="59" t="s">
        <x:v>1522</x:v>
      </x:c>
      <x:c r="P103" s="59" t="s">
        <x:v>1437</x:v>
      </x:c>
      <x:c r="Q103" s="75" t="s">
        <x:v>1437</x:v>
      </x:c>
      <x:c r="R103" s="75" t="s">
        <x:v>1437</x:v>
      </x:c>
      <x:c r="S103" s="75" t="s">
        <x:v>1437</x:v>
      </x:c>
      <x:c r="T103" s="75" t="s">
        <x:v>1437</x:v>
      </x:c>
      <x:c r="U103" s="75" t="s">
        <x:v>1437</x:v>
      </x:c>
      <x:c r="V103" s="75" t="s">
        <x:v>1437</x:v>
      </x:c>
      <x:c r="W103" s="60"/>
      <x:c r="X103" s="73" t="str">
        <x:f t="shared" si="11"/>
        <x:v>Belum Dinilai</x:v>
      </x:c>
      <x:c r="Y103" s="73" t="str">
        <x:f t="shared" si="12"/>
        <x:v>Belum Dinilai</x:v>
      </x:c>
      <x:c r="Z103" s="74" t="str">
        <x:f t="shared" si="13"/>
      </x:c>
      <x:c r="AA103" s="74" t="str">
        <x:f t="shared" si="14"/>
      </x:c>
      <x:c r="AB103" s="74" t="str">
        <x:f t="shared" si="15"/>
      </x:c>
      <x:c r="AC103" s="61" t="s">
        <x:v>1437</x:v>
      </x:c>
      <x:c r="AD103" s="61" t="s">
        <x:v>1437</x:v>
      </x:c>
      <x:c r="AE103" s="61" t="s">
        <x:v>1437</x:v>
      </x:c>
      <x:c r="AF103" s="61" t="s">
        <x:v>1437</x:v>
      </x:c>
      <x:c r="AG103" s="61" t="s">
        <x:v>1437</x:v>
      </x:c>
      <x:c r="AH103" s="61" t="s">
        <x:v>1437</x:v>
      </x:c>
      <x:c r="AI103" s="61" t="s">
        <x:v>1437</x:v>
      </x:c>
      <x:c r="AJ103" s="61" t="s">
        <x:v>1437</x:v>
      </x:c>
      <x:c r="AK103" s="61" t="s">
        <x:v>1437</x:v>
      </x:c>
      <x:c r="AL103" s="61"/>
      <x:c r="AM103" s="61" t="s">
        <x:v>1437</x:v>
      </x:c>
      <x:c r="AN103" s="73" t="str">
        <x:f t="shared" si="16"/>
        <x:v>Belum Dinilai</x:v>
      </x:c>
      <x:c r="AO103" s="73" t="str">
        <x:f t="shared" si="17"/>
        <x:v>Belum Dinilai</x:v>
      </x:c>
      <x:c r="AP103" s="61"/>
      <x:c r="AQ103" s="64" t="str">
        <x:f t="shared" si="18"/>
      </x:c>
      <x:c r="AR103" s="64" t="str">
        <x:f t="shared" si="19"/>
      </x:c>
      <x:c r="AS103" s="64" t="str">
        <x:f t="shared" si="20"/>
      </x:c>
      <x:c r="AT103" s="62" t="str">
        <x:f t="shared" si="21"/>
        <x:v>Belum Dapat Ditentukan</x:v>
      </x:c>
      <x:c r="AU103" s="59" t="s">
        <x:v>1424</x:v>
      </x:c>
      <x:c r="AV103" s="59" t="s">
        <x:v>1425</x:v>
      </x:c>
      <x:c r="AW103" s="59" t="s">
        <x:v>1410</x:v>
      </x:c>
      <x:c r="AX103" s="59" t="s">
        <x:v>1411</x:v>
      </x:c>
      <x:c r="AY103" s="59"/>
      <x:c r="AZ103" s="59" t="s">
        <x:v>1409</x:v>
      </x:c>
      <x:c r="BA103" s="59"/>
      <x:c r="BB103" s="167"/>
      <x:c r="BC103" s="65">
        <x:v>2026</x:v>
      </x:c>
      <x:c r="BD103" s="59"/>
      <x:c r="BE103" s="167"/>
      <x:c r="BF103" s="59" t="s">
        <x:v>1501</x:v>
      </x:c>
    </x:row>
    <x:row r="104" ht="28">
      <x:c r="A104" s="59" t="s">
        <x:v>1911</x:v>
      </x:c>
      <x:c r="B104" s="59" t="s">
        <x:v>1912</x:v>
      </x:c>
      <x:c r="C104" s="59"/>
      <x:c r="D104" s="59"/>
      <x:c r="E104" s="59" t="s">
        <x:v>1524</x:v>
      </x:c>
      <x:c r="F104" s="59" t="s">
        <x:v>1539</x:v>
      </x:c>
      <x:c r="G104" s="59" t="s">
        <x:v>1512</x:v>
      </x:c>
      <x:c r="H104" s="59" t="s">
        <x:v>1484</x:v>
      </x:c>
      <x:c r="I104" s="59" t="s">
        <x:v>1913</x:v>
      </x:c>
      <x:c r="J104" s="59" t="s">
        <x:v>1431</x:v>
      </x:c>
      <x:c r="K104" s="59" t="s">
        <x:v>1522</x:v>
      </x:c>
      <x:c r="L104" s="59" t="s">
        <x:v>1437</x:v>
      </x:c>
      <x:c r="M104" s="59" t="s">
        <x:v>1489</x:v>
      </x:c>
      <x:c r="N104" s="59" t="s">
        <x:v>1437</x:v>
      </x:c>
      <x:c r="O104" s="59" t="s">
        <x:v>1504</x:v>
      </x:c>
      <x:c r="P104" s="59" t="s">
        <x:v>1505</x:v>
      </x:c>
      <x:c r="Q104" s="75" t="s">
        <x:v>1437</x:v>
      </x:c>
      <x:c r="R104" s="75" t="s">
        <x:v>1437</x:v>
      </x:c>
      <x:c r="S104" s="75" t="s">
        <x:v>1437</x:v>
      </x:c>
      <x:c r="T104" s="75" t="s">
        <x:v>1437</x:v>
      </x:c>
      <x:c r="U104" s="75" t="s">
        <x:v>1437</x:v>
      </x:c>
      <x:c r="V104" s="75" t="s">
        <x:v>1437</x:v>
      </x:c>
      <x:c r="W104" s="60"/>
      <x:c r="X104" s="73" t="str">
        <x:f t="shared" si="11"/>
        <x:v>Belum Dinilai</x:v>
      </x:c>
      <x:c r="Y104" s="73" t="str">
        <x:f t="shared" si="12"/>
        <x:v>Belum Dinilai</x:v>
      </x:c>
      <x:c r="Z104" s="74" t="str">
        <x:f t="shared" si="13"/>
      </x:c>
      <x:c r="AA104" s="74" t="str">
        <x:f t="shared" si="14"/>
      </x:c>
      <x:c r="AB104" s="74" t="str">
        <x:f t="shared" si="15"/>
      </x:c>
      <x:c r="AC104" s="61" t="s">
        <x:v>1437</x:v>
      </x:c>
      <x:c r="AD104" s="61" t="s">
        <x:v>1437</x:v>
      </x:c>
      <x:c r="AE104" s="61" t="s">
        <x:v>1437</x:v>
      </x:c>
      <x:c r="AF104" s="61" t="s">
        <x:v>1437</x:v>
      </x:c>
      <x:c r="AG104" s="61" t="s">
        <x:v>1437</x:v>
      </x:c>
      <x:c r="AH104" s="61" t="s">
        <x:v>1437</x:v>
      </x:c>
      <x:c r="AI104" s="61" t="s">
        <x:v>1437</x:v>
      </x:c>
      <x:c r="AJ104" s="61" t="s">
        <x:v>1437</x:v>
      </x:c>
      <x:c r="AK104" s="61" t="s">
        <x:v>1437</x:v>
      </x:c>
      <x:c r="AL104" s="61"/>
      <x:c r="AM104" s="61" t="s">
        <x:v>1437</x:v>
      </x:c>
      <x:c r="AN104" s="73" t="str">
        <x:f t="shared" si="16"/>
        <x:v>Belum Dinilai</x:v>
      </x:c>
      <x:c r="AO104" s="73" t="str">
        <x:f t="shared" si="17"/>
        <x:v>Belum Dinilai</x:v>
      </x:c>
      <x:c r="AP104" s="61"/>
      <x:c r="AQ104" s="64" t="str">
        <x:f t="shared" si="18"/>
      </x:c>
      <x:c r="AR104" s="64" t="str">
        <x:f t="shared" si="19"/>
      </x:c>
      <x:c r="AS104" s="64" t="str">
        <x:f t="shared" si="20"/>
      </x:c>
      <x:c r="AT104" s="62" t="str">
        <x:f t="shared" si="21"/>
        <x:v>Belum Dapat Ditentukan</x:v>
      </x:c>
      <x:c r="AU104" s="59" t="s">
        <x:v>1408</x:v>
      </x:c>
      <x:c r="AV104" s="59" t="s">
        <x:v>1425</x:v>
      </x:c>
      <x:c r="AW104" s="59" t="s">
        <x:v>1410</x:v>
      </x:c>
      <x:c r="AX104" s="59" t="s">
        <x:v>1411</x:v>
      </x:c>
      <x:c r="AY104" s="59"/>
      <x:c r="AZ104" s="59" t="s">
        <x:v>1409</x:v>
      </x:c>
      <x:c r="BA104" s="59"/>
      <x:c r="BB104" s="167"/>
      <x:c r="BC104" s="65">
        <x:v>2026</x:v>
      </x:c>
      <x:c r="BD104" s="59"/>
      <x:c r="BE104" s="167"/>
      <x:c r="BF104" s="59" t="s">
        <x:v>1501</x:v>
      </x:c>
    </x:row>
    <x:row r="105" ht="28">
      <x:c r="A105" s="59" t="s">
        <x:v>1914</x:v>
      </x:c>
      <x:c r="B105" s="59" t="s">
        <x:v>1912</x:v>
      </x:c>
      <x:c r="C105" s="59"/>
      <x:c r="D105" s="59"/>
      <x:c r="E105" s="59" t="s">
        <x:v>1524</x:v>
      </x:c>
      <x:c r="F105" s="59" t="s">
        <x:v>1539</x:v>
      </x:c>
      <x:c r="G105" s="59" t="s">
        <x:v>1512</x:v>
      </x:c>
      <x:c r="H105" s="59" t="s">
        <x:v>1484</x:v>
      </x:c>
      <x:c r="I105" s="59" t="s">
        <x:v>1915</x:v>
      </x:c>
      <x:c r="J105" s="59" t="s">
        <x:v>1485</x:v>
      </x:c>
      <x:c r="K105" s="59" t="s">
        <x:v>1522</x:v>
      </x:c>
      <x:c r="L105" s="59" t="s">
        <x:v>1437</x:v>
      </x:c>
      <x:c r="M105" s="59" t="s">
        <x:v>1522</x:v>
      </x:c>
      <x:c r="N105" s="59" t="s">
        <x:v>1437</x:v>
      </x:c>
      <x:c r="O105" s="59" t="s">
        <x:v>1522</x:v>
      </x:c>
      <x:c r="P105" s="59" t="s">
        <x:v>1437</x:v>
      </x:c>
      <x:c r="Q105" s="75" t="s">
        <x:v>1437</x:v>
      </x:c>
      <x:c r="R105" s="75" t="s">
        <x:v>1437</x:v>
      </x:c>
      <x:c r="S105" s="75" t="s">
        <x:v>1437</x:v>
      </x:c>
      <x:c r="T105" s="75" t="s">
        <x:v>1437</x:v>
      </x:c>
      <x:c r="U105" s="75" t="s">
        <x:v>1437</x:v>
      </x:c>
      <x:c r="V105" s="75" t="s">
        <x:v>1437</x:v>
      </x:c>
      <x:c r="W105" s="60"/>
      <x:c r="X105" s="73" t="str">
        <x:f t="shared" si="11"/>
        <x:v>Belum Dinilai</x:v>
      </x:c>
      <x:c r="Y105" s="73" t="str">
        <x:f t="shared" si="12"/>
        <x:v>Belum Dinilai</x:v>
      </x:c>
      <x:c r="Z105" s="74" t="str">
        <x:f t="shared" si="13"/>
      </x:c>
      <x:c r="AA105" s="74" t="str">
        <x:f t="shared" si="14"/>
      </x:c>
      <x:c r="AB105" s="74" t="str">
        <x:f t="shared" si="15"/>
      </x:c>
      <x:c r="AC105" s="61" t="s">
        <x:v>1437</x:v>
      </x:c>
      <x:c r="AD105" s="61" t="s">
        <x:v>1437</x:v>
      </x:c>
      <x:c r="AE105" s="61" t="s">
        <x:v>1437</x:v>
      </x:c>
      <x:c r="AF105" s="61" t="s">
        <x:v>1437</x:v>
      </x:c>
      <x:c r="AG105" s="61" t="s">
        <x:v>1437</x:v>
      </x:c>
      <x:c r="AH105" s="61" t="s">
        <x:v>1437</x:v>
      </x:c>
      <x:c r="AI105" s="61" t="s">
        <x:v>1437</x:v>
      </x:c>
      <x:c r="AJ105" s="61" t="s">
        <x:v>1437</x:v>
      </x:c>
      <x:c r="AK105" s="61" t="s">
        <x:v>1437</x:v>
      </x:c>
      <x:c r="AL105" s="61"/>
      <x:c r="AM105" s="61" t="s">
        <x:v>1437</x:v>
      </x:c>
      <x:c r="AN105" s="73" t="str">
        <x:f t="shared" si="16"/>
        <x:v>Belum Dinilai</x:v>
      </x:c>
      <x:c r="AO105" s="73" t="str">
        <x:f t="shared" si="17"/>
        <x:v>Belum Dinilai</x:v>
      </x:c>
      <x:c r="AP105" s="61"/>
      <x:c r="AQ105" s="64" t="str">
        <x:f t="shared" si="18"/>
      </x:c>
      <x:c r="AR105" s="64" t="str">
        <x:f t="shared" si="19"/>
      </x:c>
      <x:c r="AS105" s="64" t="str">
        <x:f t="shared" si="20"/>
      </x:c>
      <x:c r="AT105" s="62" t="str">
        <x:f t="shared" si="21"/>
        <x:v>Belum Dapat Ditentukan</x:v>
      </x:c>
      <x:c r="AU105" s="59" t="s">
        <x:v>1424</x:v>
      </x:c>
      <x:c r="AV105" s="59" t="s">
        <x:v>1425</x:v>
      </x:c>
      <x:c r="AW105" s="59" t="s">
        <x:v>1410</x:v>
      </x:c>
      <x:c r="AX105" s="59" t="s">
        <x:v>1411</x:v>
      </x:c>
      <x:c r="AY105" s="59"/>
      <x:c r="AZ105" s="59" t="s">
        <x:v>1409</x:v>
      </x:c>
      <x:c r="BA105" s="59"/>
      <x:c r="BB105" s="167"/>
      <x:c r="BC105" s="65">
        <x:v>2026</x:v>
      </x:c>
      <x:c r="BD105" s="59"/>
      <x:c r="BE105" s="167"/>
      <x:c r="BF105" s="59" t="s">
        <x:v>1501</x:v>
      </x:c>
    </x:row>
    <x:row r="106" ht="28">
      <x:c r="A106" s="59" t="s">
        <x:v>1916</x:v>
      </x:c>
      <x:c r="B106" s="59" t="s">
        <x:v>1917</x:v>
      </x:c>
      <x:c r="C106" s="59"/>
      <x:c r="D106" s="59"/>
      <x:c r="E106" s="59" t="s">
        <x:v>1918</x:v>
      </x:c>
      <x:c r="F106" s="59" t="s">
        <x:v>1695</x:v>
      </x:c>
      <x:c r="G106" s="59" t="s">
        <x:v>1534</x:v>
      </x:c>
      <x:c r="H106" s="59" t="s">
        <x:v>1415</x:v>
      </x:c>
      <x:c r="I106" s="59" t="s">
        <x:v>1919</x:v>
      </x:c>
      <x:c r="J106" s="59" t="s">
        <x:v>1400</x:v>
      </x:c>
      <x:c r="K106" s="59" t="s">
        <x:v>1522</x:v>
      </x:c>
      <x:c r="L106" s="59" t="s">
        <x:v>1437</x:v>
      </x:c>
      <x:c r="M106" s="59" t="s">
        <x:v>1434</x:v>
      </x:c>
      <x:c r="N106" s="59" t="s">
        <x:v>1437</x:v>
      </x:c>
      <x:c r="O106" s="59" t="s">
        <x:v>1435</x:v>
      </x:c>
      <x:c r="P106" s="59" t="s">
        <x:v>1437</x:v>
      </x:c>
      <x:c r="Q106" s="75" t="s">
        <x:v>1437</x:v>
      </x:c>
      <x:c r="R106" s="75" t="s">
        <x:v>1437</x:v>
      </x:c>
      <x:c r="S106" s="75" t="s">
        <x:v>1437</x:v>
      </x:c>
      <x:c r="T106" s="75" t="s">
        <x:v>1437</x:v>
      </x:c>
      <x:c r="U106" s="75" t="s">
        <x:v>1437</x:v>
      </x:c>
      <x:c r="V106" s="75" t="s">
        <x:v>1437</x:v>
      </x:c>
      <x:c r="W106" s="60"/>
      <x:c r="X106" s="73" t="str">
        <x:f t="shared" si="11"/>
        <x:v>Belum Dinilai</x:v>
      </x:c>
      <x:c r="Y106" s="73" t="str">
        <x:f t="shared" si="12"/>
        <x:v>Belum Dinilai</x:v>
      </x:c>
      <x:c r="Z106" s="74" t="str">
        <x:f t="shared" si="13"/>
      </x:c>
      <x:c r="AA106" s="74" t="str">
        <x:f t="shared" si="14"/>
      </x:c>
      <x:c r="AB106" s="74" t="str">
        <x:f t="shared" si="15"/>
      </x:c>
      <x:c r="AC106" s="61" t="s">
        <x:v>1437</x:v>
      </x:c>
      <x:c r="AD106" s="61" t="s">
        <x:v>1437</x:v>
      </x:c>
      <x:c r="AE106" s="61" t="s">
        <x:v>1437</x:v>
      </x:c>
      <x:c r="AF106" s="61" t="s">
        <x:v>1437</x:v>
      </x:c>
      <x:c r="AG106" s="61" t="s">
        <x:v>1437</x:v>
      </x:c>
      <x:c r="AH106" s="61" t="s">
        <x:v>1437</x:v>
      </x:c>
      <x:c r="AI106" s="61" t="s">
        <x:v>1437</x:v>
      </x:c>
      <x:c r="AJ106" s="61" t="s">
        <x:v>1437</x:v>
      </x:c>
      <x:c r="AK106" s="61" t="s">
        <x:v>1437</x:v>
      </x:c>
      <x:c r="AL106" s="61"/>
      <x:c r="AM106" s="61" t="s">
        <x:v>1437</x:v>
      </x:c>
      <x:c r="AN106" s="73" t="str">
        <x:f t="shared" si="16"/>
        <x:v>Belum Dinilai</x:v>
      </x:c>
      <x:c r="AO106" s="73" t="str">
        <x:f t="shared" si="17"/>
        <x:v>Belum Dinilai</x:v>
      </x:c>
      <x:c r="AP106" s="61"/>
      <x:c r="AQ106" s="64" t="str">
        <x:f t="shared" si="18"/>
      </x:c>
      <x:c r="AR106" s="64" t="str">
        <x:f t="shared" si="19"/>
      </x:c>
      <x:c r="AS106" s="64" t="str">
        <x:f t="shared" si="20"/>
      </x:c>
      <x:c r="AT106" s="62" t="str">
        <x:f t="shared" si="21"/>
        <x:v>Belum Dapat Ditentukan</x:v>
      </x:c>
      <x:c r="AU106" s="59" t="s">
        <x:v>1424</x:v>
      </x:c>
      <x:c r="AV106" s="59" t="s">
        <x:v>1425</x:v>
      </x:c>
      <x:c r="AW106" s="59" t="s">
        <x:v>1523</x:v>
      </x:c>
      <x:c r="AX106" s="59" t="s">
        <x:v>1439</x:v>
      </x:c>
      <x:c r="AY106" s="59">
        <x:v>2023</x:v>
      </x:c>
      <x:c r="AZ106" s="59" t="s">
        <x:v>1409</x:v>
      </x:c>
      <x:c r="BA106" s="59"/>
      <x:c r="BB106" s="167"/>
      <x:c r="BC106" s="65">
        <x:v>2026</x:v>
      </x:c>
      <x:c r="BD106" s="59"/>
      <x:c r="BE106" s="167"/>
      <x:c r="BF106" s="59" t="s">
        <x:v>1501</x:v>
      </x:c>
    </x:row>
    <x:row r="107" ht="28">
      <x:c r="A107" s="59" t="s">
        <x:v>1920</x:v>
      </x:c>
      <x:c r="B107" s="59" t="s">
        <x:v>1921</x:v>
      </x:c>
      <x:c r="C107" s="59"/>
      <x:c r="D107" s="59"/>
      <x:c r="E107" s="59" t="s">
        <x:v>1524</x:v>
      </x:c>
      <x:c r="F107" s="59" t="s">
        <x:v>1695</x:v>
      </x:c>
      <x:c r="G107" s="59" t="s">
        <x:v>1534</x:v>
      </x:c>
      <x:c r="H107" s="59" t="s">
        <x:v>1415</x:v>
      </x:c>
      <x:c r="I107" s="59" t="s">
        <x:v>1922</x:v>
      </x:c>
      <x:c r="J107" s="59" t="s">
        <x:v>1400</x:v>
      </x:c>
      <x:c r="K107" s="59" t="s">
        <x:v>1522</x:v>
      </x:c>
      <x:c r="L107" s="59" t="s">
        <x:v>1437</x:v>
      </x:c>
      <x:c r="M107" s="59" t="s">
        <x:v>1434</x:v>
      </x:c>
      <x:c r="N107" s="59" t="s">
        <x:v>1437</x:v>
      </x:c>
      <x:c r="O107" s="59" t="s">
        <x:v>1522</x:v>
      </x:c>
      <x:c r="P107" s="59" t="s">
        <x:v>1437</x:v>
      </x:c>
      <x:c r="Q107" s="75" t="s">
        <x:v>1437</x:v>
      </x:c>
      <x:c r="R107" s="75" t="s">
        <x:v>1437</x:v>
      </x:c>
      <x:c r="S107" s="75" t="s">
        <x:v>1437</x:v>
      </x:c>
      <x:c r="T107" s="75" t="s">
        <x:v>1437</x:v>
      </x:c>
      <x:c r="U107" s="75" t="s">
        <x:v>1437</x:v>
      </x:c>
      <x:c r="V107" s="75" t="s">
        <x:v>1437</x:v>
      </x:c>
      <x:c r="W107" s="60"/>
      <x:c r="X107" s="73" t="str">
        <x:f t="shared" si="11"/>
        <x:v>Belum Dinilai</x:v>
      </x:c>
      <x:c r="Y107" s="73" t="str">
        <x:f t="shared" si="12"/>
        <x:v>Belum Dinilai</x:v>
      </x:c>
      <x:c r="Z107" s="74" t="str">
        <x:f t="shared" si="13"/>
      </x:c>
      <x:c r="AA107" s="74" t="str">
        <x:f t="shared" si="14"/>
      </x:c>
      <x:c r="AB107" s="74" t="str">
        <x:f t="shared" si="15"/>
      </x:c>
      <x:c r="AC107" s="61" t="s">
        <x:v>1437</x:v>
      </x:c>
      <x:c r="AD107" s="61" t="s">
        <x:v>1437</x:v>
      </x:c>
      <x:c r="AE107" s="61" t="s">
        <x:v>1437</x:v>
      </x:c>
      <x:c r="AF107" s="61" t="s">
        <x:v>1437</x:v>
      </x:c>
      <x:c r="AG107" s="61" t="s">
        <x:v>1437</x:v>
      </x:c>
      <x:c r="AH107" s="61" t="s">
        <x:v>1437</x:v>
      </x:c>
      <x:c r="AI107" s="61" t="s">
        <x:v>1437</x:v>
      </x:c>
      <x:c r="AJ107" s="61" t="s">
        <x:v>1437</x:v>
      </x:c>
      <x:c r="AK107" s="61" t="s">
        <x:v>1437</x:v>
      </x:c>
      <x:c r="AL107" s="61"/>
      <x:c r="AM107" s="61" t="s">
        <x:v>1437</x:v>
      </x:c>
      <x:c r="AN107" s="73" t="str">
        <x:f t="shared" si="16"/>
        <x:v>Belum Dinilai</x:v>
      </x:c>
      <x:c r="AO107" s="73" t="str">
        <x:f t="shared" si="17"/>
        <x:v>Belum Dinilai</x:v>
      </x:c>
      <x:c r="AP107" s="61"/>
      <x:c r="AQ107" s="64" t="str">
        <x:f t="shared" si="18"/>
      </x:c>
      <x:c r="AR107" s="64" t="str">
        <x:f t="shared" si="19"/>
      </x:c>
      <x:c r="AS107" s="64" t="str">
        <x:f t="shared" si="20"/>
      </x:c>
      <x:c r="AT107" s="62" t="str">
        <x:f t="shared" si="21"/>
        <x:v>Belum Dapat Ditentukan</x:v>
      </x:c>
      <x:c r="AU107" s="59" t="s">
        <x:v>1408</x:v>
      </x:c>
      <x:c r="AV107" s="59" t="s">
        <x:v>1425</x:v>
      </x:c>
      <x:c r="AW107" s="59" t="s">
        <x:v>1410</x:v>
      </x:c>
      <x:c r="AX107" s="59" t="s">
        <x:v>1411</x:v>
      </x:c>
      <x:c r="AY107" s="59"/>
      <x:c r="AZ107" s="59" t="s">
        <x:v>1409</x:v>
      </x:c>
      <x:c r="BA107" s="59"/>
      <x:c r="BB107" s="167"/>
      <x:c r="BC107" s="65">
        <x:v>2026</x:v>
      </x:c>
      <x:c r="BD107" s="59"/>
      <x:c r="BE107" s="167"/>
      <x:c r="BF107" s="59" t="s">
        <x:v>1501</x:v>
      </x:c>
    </x:row>
    <x:row r="108" ht="28">
      <x:c r="A108" s="59" t="s">
        <x:v>1923</x:v>
      </x:c>
      <x:c r="B108" s="59" t="s">
        <x:v>1924</x:v>
      </x:c>
      <x:c r="C108" s="59"/>
      <x:c r="D108" s="59"/>
      <x:c r="E108" s="59" t="s">
        <x:v>1925</x:v>
      </x:c>
      <x:c r="F108" s="59" t="s">
        <x:v>1695</x:v>
      </x:c>
      <x:c r="G108" s="59" t="s">
        <x:v>1534</x:v>
      </x:c>
      <x:c r="H108" s="59" t="s">
        <x:v>1415</x:v>
      </x:c>
      <x:c r="I108" s="59" t="s">
        <x:v>1922</x:v>
      </x:c>
      <x:c r="J108" s="59" t="s">
        <x:v>1400</x:v>
      </x:c>
      <x:c r="K108" s="59" t="s">
        <x:v>1522</x:v>
      </x:c>
      <x:c r="L108" s="59" t="s">
        <x:v>1437</x:v>
      </x:c>
      <x:c r="M108" s="59" t="s">
        <x:v>1434</x:v>
      </x:c>
      <x:c r="N108" s="59" t="s">
        <x:v>1437</x:v>
      </x:c>
      <x:c r="O108" s="59" t="s">
        <x:v>1522</x:v>
      </x:c>
      <x:c r="P108" s="59" t="s">
        <x:v>1437</x:v>
      </x:c>
      <x:c r="Q108" s="75" t="s">
        <x:v>1437</x:v>
      </x:c>
      <x:c r="R108" s="75" t="s">
        <x:v>1437</x:v>
      </x:c>
      <x:c r="S108" s="75" t="s">
        <x:v>1437</x:v>
      </x:c>
      <x:c r="T108" s="75" t="s">
        <x:v>1437</x:v>
      </x:c>
      <x:c r="U108" s="75" t="s">
        <x:v>1437</x:v>
      </x:c>
      <x:c r="V108" s="75" t="s">
        <x:v>1437</x:v>
      </x:c>
      <x:c r="W108" s="60"/>
      <x:c r="X108" s="73" t="str">
        <x:f t="shared" si="11"/>
        <x:v>Belum Dinilai</x:v>
      </x:c>
      <x:c r="Y108" s="73" t="str">
        <x:f t="shared" si="12"/>
        <x:v>Belum Dinilai</x:v>
      </x:c>
      <x:c r="Z108" s="74" t="str">
        <x:f t="shared" si="13"/>
      </x:c>
      <x:c r="AA108" s="74" t="str">
        <x:f t="shared" si="14"/>
      </x:c>
      <x:c r="AB108" s="74" t="str">
        <x:f t="shared" si="15"/>
      </x:c>
      <x:c r="AC108" s="61" t="s">
        <x:v>1437</x:v>
      </x:c>
      <x:c r="AD108" s="61" t="s">
        <x:v>1437</x:v>
      </x:c>
      <x:c r="AE108" s="61" t="s">
        <x:v>1437</x:v>
      </x:c>
      <x:c r="AF108" s="61" t="s">
        <x:v>1437</x:v>
      </x:c>
      <x:c r="AG108" s="61" t="s">
        <x:v>1437</x:v>
      </x:c>
      <x:c r="AH108" s="61" t="s">
        <x:v>1437</x:v>
      </x:c>
      <x:c r="AI108" s="61" t="s">
        <x:v>1437</x:v>
      </x:c>
      <x:c r="AJ108" s="61" t="s">
        <x:v>1437</x:v>
      </x:c>
      <x:c r="AK108" s="61" t="s">
        <x:v>1437</x:v>
      </x:c>
      <x:c r="AL108" s="61"/>
      <x:c r="AM108" s="61" t="s">
        <x:v>1437</x:v>
      </x:c>
      <x:c r="AN108" s="73" t="str">
        <x:f t="shared" si="16"/>
        <x:v>Belum Dinilai</x:v>
      </x:c>
      <x:c r="AO108" s="73" t="str">
        <x:f t="shared" si="17"/>
        <x:v>Belum Dinilai</x:v>
      </x:c>
      <x:c r="AP108" s="61"/>
      <x:c r="AQ108" s="64" t="str">
        <x:f t="shared" si="18"/>
      </x:c>
      <x:c r="AR108" s="64" t="str">
        <x:f t="shared" si="19"/>
      </x:c>
      <x:c r="AS108" s="64" t="str">
        <x:f t="shared" si="20"/>
      </x:c>
      <x:c r="AT108" s="62" t="str">
        <x:f t="shared" si="21"/>
        <x:v>Belum Dapat Ditentukan</x:v>
      </x:c>
      <x:c r="AU108" s="59" t="s">
        <x:v>1424</x:v>
      </x:c>
      <x:c r="AV108" s="59" t="s">
        <x:v>1425</x:v>
      </x:c>
      <x:c r="AW108" s="59" t="s">
        <x:v>1410</x:v>
      </x:c>
      <x:c r="AX108" s="59" t="s">
        <x:v>1411</x:v>
      </x:c>
      <x:c r="AY108" s="59"/>
      <x:c r="AZ108" s="59" t="s">
        <x:v>1409</x:v>
      </x:c>
      <x:c r="BA108" s="59"/>
      <x:c r="BB108" s="167"/>
      <x:c r="BC108" s="65">
        <x:v>2026</x:v>
      </x:c>
      <x:c r="BD108" s="59"/>
      <x:c r="BE108" s="167"/>
      <x:c r="BF108" s="59" t="s">
        <x:v>1501</x:v>
      </x:c>
    </x:row>
    <x:row r="109" ht="28">
      <x:c r="A109" s="59" t="s">
        <x:v>1926</x:v>
      </x:c>
      <x:c r="B109" s="59" t="s">
        <x:v>1927</x:v>
      </x:c>
      <x:c r="C109" s="59"/>
      <x:c r="D109" s="59"/>
      <x:c r="E109" s="59" t="s">
        <x:v>1928</x:v>
      </x:c>
      <x:c r="F109" s="59" t="s">
        <x:v>1867</x:v>
      </x:c>
      <x:c r="G109" s="59" t="s">
        <x:v>1498</x:v>
      </x:c>
      <x:c r="H109" s="59" t="s">
        <x:v>1399</x:v>
      </x:c>
      <x:c r="I109" s="59" t="s">
        <x:v>1513</x:v>
      </x:c>
      <x:c r="J109" s="59" t="s">
        <x:v>1431</x:v>
      </x:c>
      <x:c r="K109" s="59" t="s">
        <x:v>1522</x:v>
      </x:c>
      <x:c r="L109" s="59" t="s">
        <x:v>1437</x:v>
      </x:c>
      <x:c r="M109" s="59" t="s">
        <x:v>1489</x:v>
      </x:c>
      <x:c r="N109" s="59" t="s">
        <x:v>1437</x:v>
      </x:c>
      <x:c r="O109" s="59" t="s">
        <x:v>1522</x:v>
      </x:c>
      <x:c r="P109" s="59" t="s">
        <x:v>1437</x:v>
      </x:c>
      <x:c r="Q109" s="75" t="s">
        <x:v>1437</x:v>
      </x:c>
      <x:c r="R109" s="75" t="s">
        <x:v>1437</x:v>
      </x:c>
      <x:c r="S109" s="75" t="s">
        <x:v>1437</x:v>
      </x:c>
      <x:c r="T109" s="75" t="s">
        <x:v>1437</x:v>
      </x:c>
      <x:c r="U109" s="75" t="s">
        <x:v>1437</x:v>
      </x:c>
      <x:c r="V109" s="75" t="s">
        <x:v>1437</x:v>
      </x:c>
      <x:c r="W109" s="60"/>
      <x:c r="X109" s="73" t="str">
        <x:f t="shared" si="11"/>
        <x:v>Belum Dinilai</x:v>
      </x:c>
      <x:c r="Y109" s="73" t="str">
        <x:f t="shared" si="12"/>
        <x:v>Belum Dinilai</x:v>
      </x:c>
      <x:c r="Z109" s="74" t="str">
        <x:f t="shared" si="13"/>
      </x:c>
      <x:c r="AA109" s="74" t="str">
        <x:f t="shared" si="14"/>
      </x:c>
      <x:c r="AB109" s="74" t="str">
        <x:f t="shared" si="15"/>
      </x:c>
      <x:c r="AC109" s="61" t="s">
        <x:v>1437</x:v>
      </x:c>
      <x:c r="AD109" s="61" t="s">
        <x:v>1437</x:v>
      </x:c>
      <x:c r="AE109" s="61" t="s">
        <x:v>1437</x:v>
      </x:c>
      <x:c r="AF109" s="61" t="s">
        <x:v>1437</x:v>
      </x:c>
      <x:c r="AG109" s="61" t="s">
        <x:v>1437</x:v>
      </x:c>
      <x:c r="AH109" s="61" t="s">
        <x:v>1437</x:v>
      </x:c>
      <x:c r="AI109" s="61" t="s">
        <x:v>1437</x:v>
      </x:c>
      <x:c r="AJ109" s="61" t="s">
        <x:v>1437</x:v>
      </x:c>
      <x:c r="AK109" s="61" t="s">
        <x:v>1437</x:v>
      </x:c>
      <x:c r="AL109" s="61"/>
      <x:c r="AM109" s="61" t="s">
        <x:v>1437</x:v>
      </x:c>
      <x:c r="AN109" s="73" t="str">
        <x:f t="shared" si="16"/>
        <x:v>Belum Dinilai</x:v>
      </x:c>
      <x:c r="AO109" s="73" t="str">
        <x:f t="shared" si="17"/>
        <x:v>Belum Dinilai</x:v>
      </x:c>
      <x:c r="AP109" s="61"/>
      <x:c r="AQ109" s="64" t="str">
        <x:f t="shared" si="18"/>
      </x:c>
      <x:c r="AR109" s="64" t="str">
        <x:f t="shared" si="19"/>
      </x:c>
      <x:c r="AS109" s="64" t="str">
        <x:f t="shared" si="20"/>
      </x:c>
      <x:c r="AT109" s="62" t="str">
        <x:f t="shared" si="21"/>
        <x:v>Belum Dapat Ditentukan</x:v>
      </x:c>
      <x:c r="AU109" s="59" t="s">
        <x:v>1424</x:v>
      </x:c>
      <x:c r="AV109" s="59" t="s">
        <x:v>1425</x:v>
      </x:c>
      <x:c r="AW109" s="59" t="s">
        <x:v>1410</x:v>
      </x:c>
      <x:c r="AX109" s="59" t="s">
        <x:v>1411</x:v>
      </x:c>
      <x:c r="AY109" s="59"/>
      <x:c r="AZ109" s="59" t="s">
        <x:v>1409</x:v>
      </x:c>
      <x:c r="BA109" s="59"/>
      <x:c r="BB109" s="167"/>
      <x:c r="BC109" s="65">
        <x:v>2026</x:v>
      </x:c>
      <x:c r="BD109" s="59"/>
      <x:c r="BE109" s="167"/>
      <x:c r="BF109" s="59" t="s">
        <x:v>1501</x:v>
      </x:c>
    </x:row>
    <x:row r="110" ht="28">
      <x:c r="A110" s="59" t="s">
        <x:v>1929</x:v>
      </x:c>
      <x:c r="B110" s="59" t="s">
        <x:v>1930</x:v>
      </x:c>
      <x:c r="C110" s="59"/>
      <x:c r="D110" s="59"/>
      <x:c r="E110" s="59" t="s">
        <x:v>1928</x:v>
      </x:c>
      <x:c r="F110" s="59" t="s">
        <x:v>1867</x:v>
      </x:c>
      <x:c r="G110" s="59" t="s">
        <x:v>1498</x:v>
      </x:c>
      <x:c r="H110" s="59" t="s">
        <x:v>1399</x:v>
      </x:c>
      <x:c r="I110" s="59" t="s">
        <x:v>1931</x:v>
      </x:c>
      <x:c r="J110" s="59" t="s">
        <x:v>1431</x:v>
      </x:c>
      <x:c r="K110" s="59" t="s">
        <x:v>1522</x:v>
      </x:c>
      <x:c r="L110" s="59" t="s">
        <x:v>1437</x:v>
      </x:c>
      <x:c r="M110" s="59" t="s">
        <x:v>1489</x:v>
      </x:c>
      <x:c r="N110" s="59" t="s">
        <x:v>1437</x:v>
      </x:c>
      <x:c r="O110" s="59" t="s">
        <x:v>1522</x:v>
      </x:c>
      <x:c r="P110" s="59" t="s">
        <x:v>1437</x:v>
      </x:c>
      <x:c r="Q110" s="75" t="s">
        <x:v>1437</x:v>
      </x:c>
      <x:c r="R110" s="75" t="s">
        <x:v>1437</x:v>
      </x:c>
      <x:c r="S110" s="75" t="s">
        <x:v>1437</x:v>
      </x:c>
      <x:c r="T110" s="75" t="s">
        <x:v>1437</x:v>
      </x:c>
      <x:c r="U110" s="75" t="s">
        <x:v>1437</x:v>
      </x:c>
      <x:c r="V110" s="75" t="s">
        <x:v>1437</x:v>
      </x:c>
      <x:c r="W110" s="60"/>
      <x:c r="X110" s="73" t="str">
        <x:f t="shared" si="11"/>
        <x:v>Belum Dinilai</x:v>
      </x:c>
      <x:c r="Y110" s="73" t="str">
        <x:f t="shared" si="12"/>
        <x:v>Belum Dinilai</x:v>
      </x:c>
      <x:c r="Z110" s="74" t="str">
        <x:f t="shared" si="13"/>
      </x:c>
      <x:c r="AA110" s="74" t="str">
        <x:f t="shared" si="14"/>
      </x:c>
      <x:c r="AB110" s="74" t="str">
        <x:f t="shared" si="15"/>
      </x:c>
      <x:c r="AC110" s="61" t="s">
        <x:v>1437</x:v>
      </x:c>
      <x:c r="AD110" s="61" t="s">
        <x:v>1437</x:v>
      </x:c>
      <x:c r="AE110" s="61" t="s">
        <x:v>1437</x:v>
      </x:c>
      <x:c r="AF110" s="61" t="s">
        <x:v>1437</x:v>
      </x:c>
      <x:c r="AG110" s="61" t="s">
        <x:v>1437</x:v>
      </x:c>
      <x:c r="AH110" s="61" t="s">
        <x:v>1437</x:v>
      </x:c>
      <x:c r="AI110" s="61" t="s">
        <x:v>1437</x:v>
      </x:c>
      <x:c r="AJ110" s="61" t="s">
        <x:v>1437</x:v>
      </x:c>
      <x:c r="AK110" s="61" t="s">
        <x:v>1437</x:v>
      </x:c>
      <x:c r="AL110" s="61"/>
      <x:c r="AM110" s="61" t="s">
        <x:v>1437</x:v>
      </x:c>
      <x:c r="AN110" s="73" t="str">
        <x:f t="shared" si="16"/>
        <x:v>Belum Dinilai</x:v>
      </x:c>
      <x:c r="AO110" s="73" t="str">
        <x:f t="shared" si="17"/>
        <x:v>Belum Dinilai</x:v>
      </x:c>
      <x:c r="AP110" s="61"/>
      <x:c r="AQ110" s="64" t="str">
        <x:f t="shared" si="18"/>
      </x:c>
      <x:c r="AR110" s="64" t="str">
        <x:f t="shared" si="19"/>
      </x:c>
      <x:c r="AS110" s="64" t="str">
        <x:f t="shared" si="20"/>
      </x:c>
      <x:c r="AT110" s="62" t="str">
        <x:f t="shared" si="21"/>
        <x:v>Belum Dapat Ditentukan</x:v>
      </x:c>
      <x:c r="AU110" s="59" t="s">
        <x:v>1424</x:v>
      </x:c>
      <x:c r="AV110" s="59" t="s">
        <x:v>1425</x:v>
      </x:c>
      <x:c r="AW110" s="59" t="s">
        <x:v>1410</x:v>
      </x:c>
      <x:c r="AX110" s="59" t="s">
        <x:v>1411</x:v>
      </x:c>
      <x:c r="AY110" s="59"/>
      <x:c r="AZ110" s="59" t="s">
        <x:v>1409</x:v>
      </x:c>
      <x:c r="BA110" s="59"/>
      <x:c r="BB110" s="167"/>
      <x:c r="BC110" s="65">
        <x:v>2026</x:v>
      </x:c>
      <x:c r="BD110" s="59"/>
      <x:c r="BE110" s="167"/>
      <x:c r="BF110" s="59" t="s">
        <x:v>1501</x:v>
      </x:c>
    </x:row>
    <x:row r="111" ht="28">
      <x:c r="A111" s="59" t="s">
        <x:v>1932</x:v>
      </x:c>
      <x:c r="B111" s="59" t="s">
        <x:v>1933</x:v>
      </x:c>
      <x:c r="C111" s="59"/>
      <x:c r="D111" s="59"/>
      <x:c r="E111" s="59" t="s">
        <x:v>1928</x:v>
      </x:c>
      <x:c r="F111" s="59" t="s">
        <x:v>1867</x:v>
      </x:c>
      <x:c r="G111" s="59" t="s">
        <x:v>1498</x:v>
      </x:c>
      <x:c r="H111" s="59" t="s">
        <x:v>1399</x:v>
      </x:c>
      <x:c r="I111" s="59" t="s">
        <x:v>1934</x:v>
      </x:c>
      <x:c r="J111" s="59" t="s">
        <x:v>1431</x:v>
      </x:c>
      <x:c r="K111" s="59" t="s">
        <x:v>1522</x:v>
      </x:c>
      <x:c r="L111" s="59" t="s">
        <x:v>1437</x:v>
      </x:c>
      <x:c r="M111" s="59" t="s">
        <x:v>1489</x:v>
      </x:c>
      <x:c r="N111" s="59" t="s">
        <x:v>1437</x:v>
      </x:c>
      <x:c r="O111" s="59" t="s">
        <x:v>1435</x:v>
      </x:c>
      <x:c r="P111" s="59" t="s">
        <x:v>1437</x:v>
      </x:c>
      <x:c r="Q111" s="75" t="s">
        <x:v>1437</x:v>
      </x:c>
      <x:c r="R111" s="75" t="s">
        <x:v>1437</x:v>
      </x:c>
      <x:c r="S111" s="75" t="s">
        <x:v>1437</x:v>
      </x:c>
      <x:c r="T111" s="75" t="s">
        <x:v>1437</x:v>
      </x:c>
      <x:c r="U111" s="75" t="s">
        <x:v>1437</x:v>
      </x:c>
      <x:c r="V111" s="75" t="s">
        <x:v>1437</x:v>
      </x:c>
      <x:c r="W111" s="60"/>
      <x:c r="X111" s="73" t="str">
        <x:f t="shared" si="11"/>
        <x:v>Belum Dinilai</x:v>
      </x:c>
      <x:c r="Y111" s="73" t="str">
        <x:f t="shared" si="12"/>
        <x:v>Belum Dinilai</x:v>
      </x:c>
      <x:c r="Z111" s="74" t="str">
        <x:f t="shared" si="13"/>
      </x:c>
      <x:c r="AA111" s="74" t="str">
        <x:f t="shared" si="14"/>
      </x:c>
      <x:c r="AB111" s="74" t="str">
        <x:f t="shared" si="15"/>
      </x:c>
      <x:c r="AC111" s="61" t="s">
        <x:v>1437</x:v>
      </x:c>
      <x:c r="AD111" s="61" t="s">
        <x:v>1437</x:v>
      </x:c>
      <x:c r="AE111" s="61" t="s">
        <x:v>1437</x:v>
      </x:c>
      <x:c r="AF111" s="61" t="s">
        <x:v>1437</x:v>
      </x:c>
      <x:c r="AG111" s="61" t="s">
        <x:v>1437</x:v>
      </x:c>
      <x:c r="AH111" s="61" t="s">
        <x:v>1437</x:v>
      </x:c>
      <x:c r="AI111" s="61" t="s">
        <x:v>1437</x:v>
      </x:c>
      <x:c r="AJ111" s="61" t="s">
        <x:v>1437</x:v>
      </x:c>
      <x:c r="AK111" s="61" t="s">
        <x:v>1437</x:v>
      </x:c>
      <x:c r="AL111" s="61"/>
      <x:c r="AM111" s="61" t="s">
        <x:v>1437</x:v>
      </x:c>
      <x:c r="AN111" s="73" t="str">
        <x:f t="shared" si="16"/>
        <x:v>Belum Dinilai</x:v>
      </x:c>
      <x:c r="AO111" s="73" t="str">
        <x:f t="shared" si="17"/>
        <x:v>Belum Dinilai</x:v>
      </x:c>
      <x:c r="AP111" s="61"/>
      <x:c r="AQ111" s="64" t="str">
        <x:f t="shared" si="18"/>
      </x:c>
      <x:c r="AR111" s="64" t="str">
        <x:f t="shared" si="19"/>
      </x:c>
      <x:c r="AS111" s="64" t="str">
        <x:f t="shared" si="20"/>
      </x:c>
      <x:c r="AT111" s="62" t="str">
        <x:f t="shared" si="21"/>
        <x:v>Belum Dapat Ditentukan</x:v>
      </x:c>
      <x:c r="AU111" s="59" t="s">
        <x:v>1408</x:v>
      </x:c>
      <x:c r="AV111" s="59" t="s">
        <x:v>1425</x:v>
      </x:c>
      <x:c r="AW111" s="59" t="s">
        <x:v>1523</x:v>
      </x:c>
      <x:c r="AX111" s="59" t="s">
        <x:v>1427</x:v>
      </x:c>
      <x:c r="AY111" s="59">
        <x:v>2021</x:v>
      </x:c>
      <x:c r="AZ111" s="59" t="s">
        <x:v>1409</x:v>
      </x:c>
      <x:c r="BA111" s="59"/>
      <x:c r="BB111" s="167"/>
      <x:c r="BC111" s="65">
        <x:v>2026</x:v>
      </x:c>
      <x:c r="BD111" s="59"/>
      <x:c r="BE111" s="167"/>
      <x:c r="BF111" s="59" t="s">
        <x:v>1501</x:v>
      </x:c>
    </x:row>
    <x:row r="112" ht="28">
      <x:c r="A112" s="59" t="s">
        <x:v>1935</x:v>
      </x:c>
      <x:c r="B112" s="59" t="s">
        <x:v>1936</x:v>
      </x:c>
      <x:c r="C112" s="59"/>
      <x:c r="D112" s="59"/>
      <x:c r="E112" s="59" t="s">
        <x:v>1928</x:v>
      </x:c>
      <x:c r="F112" s="59" t="s">
        <x:v>1867</x:v>
      </x:c>
      <x:c r="G112" s="59" t="s">
        <x:v>1498</x:v>
      </x:c>
      <x:c r="H112" s="59" t="s">
        <x:v>1399</x:v>
      </x:c>
      <x:c r="I112" s="59" t="s">
        <x:v>1934</x:v>
      </x:c>
      <x:c r="J112" s="59" t="s">
        <x:v>1431</x:v>
      </x:c>
      <x:c r="K112" s="59" t="s">
        <x:v>1522</x:v>
      </x:c>
      <x:c r="L112" s="59" t="s">
        <x:v>1437</x:v>
      </x:c>
      <x:c r="M112" s="59" t="s">
        <x:v>1489</x:v>
      </x:c>
      <x:c r="N112" s="59" t="s">
        <x:v>1437</x:v>
      </x:c>
      <x:c r="O112" s="59" t="s">
        <x:v>1435</x:v>
      </x:c>
      <x:c r="P112" s="59" t="s">
        <x:v>1437</x:v>
      </x:c>
      <x:c r="Q112" s="75" t="s">
        <x:v>1437</x:v>
      </x:c>
      <x:c r="R112" s="75" t="s">
        <x:v>1437</x:v>
      </x:c>
      <x:c r="S112" s="75" t="s">
        <x:v>1437</x:v>
      </x:c>
      <x:c r="T112" s="75" t="s">
        <x:v>1437</x:v>
      </x:c>
      <x:c r="U112" s="75" t="s">
        <x:v>1437</x:v>
      </x:c>
      <x:c r="V112" s="75" t="s">
        <x:v>1437</x:v>
      </x:c>
      <x:c r="W112" s="60"/>
      <x:c r="X112" s="73" t="str">
        <x:f t="shared" si="11"/>
        <x:v>Belum Dinilai</x:v>
      </x:c>
      <x:c r="Y112" s="73" t="str">
        <x:f t="shared" si="12"/>
        <x:v>Belum Dinilai</x:v>
      </x:c>
      <x:c r="Z112" s="74" t="str">
        <x:f t="shared" si="13"/>
      </x:c>
      <x:c r="AA112" s="74" t="str">
        <x:f t="shared" si="14"/>
      </x:c>
      <x:c r="AB112" s="74" t="str">
        <x:f t="shared" si="15"/>
      </x:c>
      <x:c r="AC112" s="61" t="s">
        <x:v>1437</x:v>
      </x:c>
      <x:c r="AD112" s="61" t="s">
        <x:v>1437</x:v>
      </x:c>
      <x:c r="AE112" s="61" t="s">
        <x:v>1437</x:v>
      </x:c>
      <x:c r="AF112" s="61" t="s">
        <x:v>1437</x:v>
      </x:c>
      <x:c r="AG112" s="61" t="s">
        <x:v>1437</x:v>
      </x:c>
      <x:c r="AH112" s="61" t="s">
        <x:v>1437</x:v>
      </x:c>
      <x:c r="AI112" s="61" t="s">
        <x:v>1437</x:v>
      </x:c>
      <x:c r="AJ112" s="61" t="s">
        <x:v>1437</x:v>
      </x:c>
      <x:c r="AK112" s="61" t="s">
        <x:v>1437</x:v>
      </x:c>
      <x:c r="AL112" s="61"/>
      <x:c r="AM112" s="61" t="s">
        <x:v>1437</x:v>
      </x:c>
      <x:c r="AN112" s="73" t="str">
        <x:f t="shared" si="16"/>
        <x:v>Belum Dinilai</x:v>
      </x:c>
      <x:c r="AO112" s="73" t="str">
        <x:f t="shared" si="17"/>
        <x:v>Belum Dinilai</x:v>
      </x:c>
      <x:c r="AP112" s="61"/>
      <x:c r="AQ112" s="64" t="str">
        <x:f t="shared" si="18"/>
      </x:c>
      <x:c r="AR112" s="64" t="str">
        <x:f t="shared" si="19"/>
      </x:c>
      <x:c r="AS112" s="64" t="str">
        <x:f t="shared" si="20"/>
      </x:c>
      <x:c r="AT112" s="62" t="str">
        <x:f t="shared" si="21"/>
        <x:v>Belum Dapat Ditentukan</x:v>
      </x:c>
      <x:c r="AU112" s="59" t="s">
        <x:v>1408</x:v>
      </x:c>
      <x:c r="AV112" s="59" t="s">
        <x:v>1425</x:v>
      </x:c>
      <x:c r="AW112" s="59" t="s">
        <x:v>1410</x:v>
      </x:c>
      <x:c r="AX112" s="59" t="s">
        <x:v>1411</x:v>
      </x:c>
      <x:c r="AY112" s="59"/>
      <x:c r="AZ112" s="59" t="s">
        <x:v>1409</x:v>
      </x:c>
      <x:c r="BA112" s="59"/>
      <x:c r="BB112" s="167"/>
      <x:c r="BC112" s="65">
        <x:v>2026</x:v>
      </x:c>
      <x:c r="BD112" s="59"/>
      <x:c r="BE112" s="167"/>
      <x:c r="BF112" s="59" t="s">
        <x:v>1501</x:v>
      </x:c>
    </x:row>
    <x:row r="113" ht="28">
      <x:c r="A113" s="59" t="s">
        <x:v>1937</x:v>
      </x:c>
      <x:c r="B113" s="59" t="s">
        <x:v>1938</x:v>
      </x:c>
      <x:c r="C113" s="59"/>
      <x:c r="D113" s="59"/>
      <x:c r="E113" s="59" t="s">
        <x:v>1928</x:v>
      </x:c>
      <x:c r="F113" s="59" t="s">
        <x:v>1867</x:v>
      </x:c>
      <x:c r="G113" s="59" t="s">
        <x:v>1498</x:v>
      </x:c>
      <x:c r="H113" s="59" t="s">
        <x:v>1399</x:v>
      </x:c>
      <x:c r="I113" s="59" t="s">
        <x:v>1939</x:v>
      </x:c>
      <x:c r="J113" s="59" t="s">
        <x:v>1431</x:v>
      </x:c>
      <x:c r="K113" s="59" t="s">
        <x:v>1522</x:v>
      </x:c>
      <x:c r="L113" s="59" t="s">
        <x:v>1437</x:v>
      </x:c>
      <x:c r="M113" s="59" t="s">
        <x:v>1489</x:v>
      </x:c>
      <x:c r="N113" s="59" t="s">
        <x:v>1437</x:v>
      </x:c>
      <x:c r="O113" s="59" t="s">
        <x:v>1489</x:v>
      </x:c>
      <x:c r="P113" s="59" t="s">
        <x:v>1437</x:v>
      </x:c>
      <x:c r="Q113" s="75" t="s">
        <x:v>1437</x:v>
      </x:c>
      <x:c r="R113" s="75" t="s">
        <x:v>1437</x:v>
      </x:c>
      <x:c r="S113" s="75" t="s">
        <x:v>1437</x:v>
      </x:c>
      <x:c r="T113" s="75" t="s">
        <x:v>1437</x:v>
      </x:c>
      <x:c r="U113" s="75" t="s">
        <x:v>1437</x:v>
      </x:c>
      <x:c r="V113" s="75" t="s">
        <x:v>1437</x:v>
      </x:c>
      <x:c r="W113" s="60"/>
      <x:c r="X113" s="73" t="str">
        <x:f t="shared" si="11"/>
        <x:v>Belum Dinilai</x:v>
      </x:c>
      <x:c r="Y113" s="73" t="str">
        <x:f t="shared" si="12"/>
        <x:v>Belum Dinilai</x:v>
      </x:c>
      <x:c r="Z113" s="74" t="str">
        <x:f t="shared" si="13"/>
      </x:c>
      <x:c r="AA113" s="74" t="str">
        <x:f t="shared" si="14"/>
      </x:c>
      <x:c r="AB113" s="74" t="str">
        <x:f t="shared" si="15"/>
      </x:c>
      <x:c r="AC113" s="61" t="s">
        <x:v>1437</x:v>
      </x:c>
      <x:c r="AD113" s="61" t="s">
        <x:v>1437</x:v>
      </x:c>
      <x:c r="AE113" s="61" t="s">
        <x:v>1437</x:v>
      </x:c>
      <x:c r="AF113" s="61" t="s">
        <x:v>1437</x:v>
      </x:c>
      <x:c r="AG113" s="61" t="s">
        <x:v>1437</x:v>
      </x:c>
      <x:c r="AH113" s="61" t="s">
        <x:v>1437</x:v>
      </x:c>
      <x:c r="AI113" s="61" t="s">
        <x:v>1437</x:v>
      </x:c>
      <x:c r="AJ113" s="61" t="s">
        <x:v>1437</x:v>
      </x:c>
      <x:c r="AK113" s="61" t="s">
        <x:v>1437</x:v>
      </x:c>
      <x:c r="AL113" s="61"/>
      <x:c r="AM113" s="61" t="s">
        <x:v>1437</x:v>
      </x:c>
      <x:c r="AN113" s="73" t="str">
        <x:f t="shared" si="16"/>
        <x:v>Belum Dinilai</x:v>
      </x:c>
      <x:c r="AO113" s="73" t="str">
        <x:f t="shared" si="17"/>
        <x:v>Belum Dinilai</x:v>
      </x:c>
      <x:c r="AP113" s="61"/>
      <x:c r="AQ113" s="64" t="str">
        <x:f t="shared" si="18"/>
      </x:c>
      <x:c r="AR113" s="64" t="str">
        <x:f t="shared" si="19"/>
      </x:c>
      <x:c r="AS113" s="64" t="str">
        <x:f t="shared" si="20"/>
      </x:c>
      <x:c r="AT113" s="62" t="str">
        <x:f t="shared" si="21"/>
        <x:v>Belum Dapat Ditentukan</x:v>
      </x:c>
      <x:c r="AU113" s="59" t="s">
        <x:v>1408</x:v>
      </x:c>
      <x:c r="AV113" s="59" t="s">
        <x:v>1425</x:v>
      </x:c>
      <x:c r="AW113" s="59" t="s">
        <x:v>1410</x:v>
      </x:c>
      <x:c r="AX113" s="59" t="s">
        <x:v>1411</x:v>
      </x:c>
      <x:c r="AY113" s="59"/>
      <x:c r="AZ113" s="59" t="s">
        <x:v>1409</x:v>
      </x:c>
      <x:c r="BA113" s="59"/>
      <x:c r="BB113" s="167"/>
      <x:c r="BC113" s="65">
        <x:v>2026</x:v>
      </x:c>
      <x:c r="BD113" s="59"/>
      <x:c r="BE113" s="167"/>
      <x:c r="BF113" s="59" t="s">
        <x:v>1501</x:v>
      </x:c>
    </x:row>
    <x:row r="114" ht="28">
      <x:c r="A114" s="59" t="s">
        <x:v>1940</x:v>
      </x:c>
      <x:c r="B114" s="59" t="s">
        <x:v>1941</x:v>
      </x:c>
      <x:c r="C114" s="59"/>
      <x:c r="D114" s="59"/>
      <x:c r="E114" s="59" t="s">
        <x:v>1942</x:v>
      </x:c>
      <x:c r="F114" s="59" t="s">
        <x:v>1497</x:v>
      </x:c>
      <x:c r="G114" s="59" t="s">
        <x:v>1498</x:v>
      </x:c>
      <x:c r="H114" s="59" t="s">
        <x:v>1399</x:v>
      </x:c>
      <x:c r="I114" s="59" t="s">
        <x:v>1943</x:v>
      </x:c>
      <x:c r="J114" s="59" t="s">
        <x:v>1485</x:v>
      </x:c>
      <x:c r="K114" s="59" t="s">
        <x:v>1522</x:v>
      </x:c>
      <x:c r="L114" s="59" t="s">
        <x:v>1437</x:v>
      </x:c>
      <x:c r="M114" s="59" t="s">
        <x:v>1522</x:v>
      </x:c>
      <x:c r="N114" s="59" t="s">
        <x:v>1437</x:v>
      </x:c>
      <x:c r="O114" s="59" t="s">
        <x:v>1435</x:v>
      </x:c>
      <x:c r="P114" s="59" t="s">
        <x:v>1437</x:v>
      </x:c>
      <x:c r="Q114" s="75" t="s">
        <x:v>1437</x:v>
      </x:c>
      <x:c r="R114" s="75" t="s">
        <x:v>1437</x:v>
      </x:c>
      <x:c r="S114" s="75" t="s">
        <x:v>1437</x:v>
      </x:c>
      <x:c r="T114" s="75" t="s">
        <x:v>1437</x:v>
      </x:c>
      <x:c r="U114" s="75" t="s">
        <x:v>1437</x:v>
      </x:c>
      <x:c r="V114" s="75" t="s">
        <x:v>1437</x:v>
      </x:c>
      <x:c r="W114" s="60"/>
      <x:c r="X114" s="73" t="str">
        <x:f t="shared" si="11"/>
        <x:v>Belum Dinilai</x:v>
      </x:c>
      <x:c r="Y114" s="73" t="str">
        <x:f t="shared" si="12"/>
        <x:v>Belum Dinilai</x:v>
      </x:c>
      <x:c r="Z114" s="74" t="str">
        <x:f t="shared" si="13"/>
      </x:c>
      <x:c r="AA114" s="74" t="str">
        <x:f t="shared" si="14"/>
      </x:c>
      <x:c r="AB114" s="74" t="str">
        <x:f t="shared" si="15"/>
      </x:c>
      <x:c r="AC114" s="61" t="s">
        <x:v>1437</x:v>
      </x:c>
      <x:c r="AD114" s="61" t="s">
        <x:v>1437</x:v>
      </x:c>
      <x:c r="AE114" s="61" t="s">
        <x:v>1437</x:v>
      </x:c>
      <x:c r="AF114" s="61" t="s">
        <x:v>1437</x:v>
      </x:c>
      <x:c r="AG114" s="61" t="s">
        <x:v>1437</x:v>
      </x:c>
      <x:c r="AH114" s="61" t="s">
        <x:v>1437</x:v>
      </x:c>
      <x:c r="AI114" s="61" t="s">
        <x:v>1437</x:v>
      </x:c>
      <x:c r="AJ114" s="61" t="s">
        <x:v>1437</x:v>
      </x:c>
      <x:c r="AK114" s="61" t="s">
        <x:v>1437</x:v>
      </x:c>
      <x:c r="AL114" s="61"/>
      <x:c r="AM114" s="61" t="s">
        <x:v>1437</x:v>
      </x:c>
      <x:c r="AN114" s="73" t="str">
        <x:f t="shared" si="16"/>
        <x:v>Belum Dinilai</x:v>
      </x:c>
      <x:c r="AO114" s="73" t="str">
        <x:f t="shared" si="17"/>
        <x:v>Belum Dinilai</x:v>
      </x:c>
      <x:c r="AP114" s="61"/>
      <x:c r="AQ114" s="64" t="str">
        <x:f t="shared" si="18"/>
      </x:c>
      <x:c r="AR114" s="64" t="str">
        <x:f t="shared" si="19"/>
      </x:c>
      <x:c r="AS114" s="64" t="str">
        <x:f t="shared" si="20"/>
      </x:c>
      <x:c r="AT114" s="62" t="str">
        <x:f t="shared" si="21"/>
        <x:v>Belum Dapat Ditentukan</x:v>
      </x:c>
      <x:c r="AU114" s="59" t="s">
        <x:v>1408</x:v>
      </x:c>
      <x:c r="AV114" s="59" t="s">
        <x:v>1425</x:v>
      </x:c>
      <x:c r="AW114" s="59" t="s">
        <x:v>1523</x:v>
      </x:c>
      <x:c r="AX114" s="59" t="s">
        <x:v>1427</x:v>
      </x:c>
      <x:c r="AY114" s="59">
        <x:v>2021</x:v>
      </x:c>
      <x:c r="AZ114" s="59" t="s">
        <x:v>1409</x:v>
      </x:c>
      <x:c r="BA114" s="59"/>
      <x:c r="BB114" s="167"/>
      <x:c r="BC114" s="65">
        <x:v>2026</x:v>
      </x:c>
      <x:c r="BD114" s="59"/>
      <x:c r="BE114" s="167"/>
      <x:c r="BF114" s="59" t="s">
        <x:v>1501</x:v>
      </x:c>
    </x:row>
    <x:row r="115" ht="28">
      <x:c r="A115" s="59" t="s">
        <x:v>1944</x:v>
      </x:c>
      <x:c r="B115" s="59" t="s">
        <x:v>1945</x:v>
      </x:c>
      <x:c r="C115" s="59"/>
      <x:c r="D115" s="59"/>
      <x:c r="E115" s="59" t="s">
        <x:v>1946</x:v>
      </x:c>
      <x:c r="F115" s="59" t="s">
        <x:v>1497</x:v>
      </x:c>
      <x:c r="G115" s="59" t="s">
        <x:v>1498</x:v>
      </x:c>
      <x:c r="H115" s="59" t="s">
        <x:v>1415</x:v>
      </x:c>
      <x:c r="I115" s="59" t="s">
        <x:v>1947</x:v>
      </x:c>
      <x:c r="J115" s="59" t="s">
        <x:v>1416</x:v>
      </x:c>
      <x:c r="K115" s="59" t="s">
        <x:v>1522</x:v>
      </x:c>
      <x:c r="L115" s="59" t="s">
        <x:v>1437</x:v>
      </x:c>
      <x:c r="M115" s="59" t="s">
        <x:v>1500</x:v>
      </x:c>
      <x:c r="N115" s="59" t="s">
        <x:v>1437</x:v>
      </x:c>
      <x:c r="O115" s="59" t="s">
        <x:v>1435</x:v>
      </x:c>
      <x:c r="P115" s="59" t="s">
        <x:v>1437</x:v>
      </x:c>
      <x:c r="Q115" s="75" t="s">
        <x:v>1437</x:v>
      </x:c>
      <x:c r="R115" s="75" t="s">
        <x:v>1437</x:v>
      </x:c>
      <x:c r="S115" s="75" t="s">
        <x:v>1437</x:v>
      </x:c>
      <x:c r="T115" s="75" t="s">
        <x:v>1437</x:v>
      </x:c>
      <x:c r="U115" s="75" t="s">
        <x:v>1437</x:v>
      </x:c>
      <x:c r="V115" s="75" t="s">
        <x:v>1437</x:v>
      </x:c>
      <x:c r="W115" s="60"/>
      <x:c r="X115" s="73" t="str">
        <x:f t="shared" si="11"/>
        <x:v>Belum Dinilai</x:v>
      </x:c>
      <x:c r="Y115" s="73" t="str">
        <x:f t="shared" si="12"/>
        <x:v>Belum Dinilai</x:v>
      </x:c>
      <x:c r="Z115" s="74" t="str">
        <x:f t="shared" si="13"/>
      </x:c>
      <x:c r="AA115" s="74" t="str">
        <x:f t="shared" si="14"/>
      </x:c>
      <x:c r="AB115" s="74" t="str">
        <x:f t="shared" si="15"/>
      </x:c>
      <x:c r="AC115" s="61" t="s">
        <x:v>1437</x:v>
      </x:c>
      <x:c r="AD115" s="61" t="s">
        <x:v>1437</x:v>
      </x:c>
      <x:c r="AE115" s="61" t="s">
        <x:v>1437</x:v>
      </x:c>
      <x:c r="AF115" s="61" t="s">
        <x:v>1437</x:v>
      </x:c>
      <x:c r="AG115" s="61" t="s">
        <x:v>1437</x:v>
      </x:c>
      <x:c r="AH115" s="61" t="s">
        <x:v>1437</x:v>
      </x:c>
      <x:c r="AI115" s="61" t="s">
        <x:v>1437</x:v>
      </x:c>
      <x:c r="AJ115" s="61" t="s">
        <x:v>1437</x:v>
      </x:c>
      <x:c r="AK115" s="61" t="s">
        <x:v>1437</x:v>
      </x:c>
      <x:c r="AL115" s="61"/>
      <x:c r="AM115" s="61" t="s">
        <x:v>1437</x:v>
      </x:c>
      <x:c r="AN115" s="73" t="str">
        <x:f t="shared" si="16"/>
        <x:v>Belum Dinilai</x:v>
      </x:c>
      <x:c r="AO115" s="73" t="str">
        <x:f t="shared" si="17"/>
        <x:v>Belum Dinilai</x:v>
      </x:c>
      <x:c r="AP115" s="61"/>
      <x:c r="AQ115" s="64" t="str">
        <x:f t="shared" si="18"/>
      </x:c>
      <x:c r="AR115" s="64" t="str">
        <x:f t="shared" si="19"/>
      </x:c>
      <x:c r="AS115" s="64" t="str">
        <x:f t="shared" si="20"/>
      </x:c>
      <x:c r="AT115" s="62" t="str">
        <x:f t="shared" si="21"/>
        <x:v>Belum Dapat Ditentukan</x:v>
      </x:c>
      <x:c r="AU115" s="59" t="s">
        <x:v>1408</x:v>
      </x:c>
      <x:c r="AV115" s="59" t="s">
        <x:v>1425</x:v>
      </x:c>
      <x:c r="AW115" s="59" t="s">
        <x:v>1523</x:v>
      </x:c>
      <x:c r="AX115" s="59" t="s">
        <x:v>1427</x:v>
      </x:c>
      <x:c r="AY115" s="59">
        <x:v>2021</x:v>
      </x:c>
      <x:c r="AZ115" s="59" t="s">
        <x:v>1409</x:v>
      </x:c>
      <x:c r="BA115" s="59"/>
      <x:c r="BB115" s="167"/>
      <x:c r="BC115" s="65">
        <x:v>2026</x:v>
      </x:c>
      <x:c r="BD115" s="59"/>
      <x:c r="BE115" s="167"/>
      <x:c r="BF115" s="59" t="s">
        <x:v>1501</x:v>
      </x:c>
    </x:row>
    <x:row r="116" ht="28">
      <x:c r="A116" s="59" t="s">
        <x:v>1948</x:v>
      </x:c>
      <x:c r="B116" s="59" t="s">
        <x:v>1949</x:v>
      </x:c>
      <x:c r="C116" s="59"/>
      <x:c r="D116" s="59"/>
      <x:c r="E116" s="59" t="s">
        <x:v>1950</x:v>
      </x:c>
      <x:c r="F116" s="59" t="s">
        <x:v>1497</x:v>
      </x:c>
      <x:c r="G116" s="59" t="s">
        <x:v>1498</x:v>
      </x:c>
      <x:c r="H116" s="59" t="s">
        <x:v>1399</x:v>
      </x:c>
      <x:c r="I116" s="59" t="s">
        <x:v>1951</x:v>
      </x:c>
      <x:c r="J116" s="59" t="s">
        <x:v>1416</x:v>
      </x:c>
      <x:c r="K116" s="59" t="s">
        <x:v>1522</x:v>
      </x:c>
      <x:c r="L116" s="59" t="s">
        <x:v>1437</x:v>
      </x:c>
      <x:c r="M116" s="59" t="s">
        <x:v>1500</x:v>
      </x:c>
      <x:c r="N116" s="59" t="s">
        <x:v>1437</x:v>
      </x:c>
      <x:c r="O116" s="59" t="s">
        <x:v>1435</x:v>
      </x:c>
      <x:c r="P116" s="59" t="s">
        <x:v>1437</x:v>
      </x:c>
      <x:c r="Q116" s="75" t="s">
        <x:v>1437</x:v>
      </x:c>
      <x:c r="R116" s="75" t="s">
        <x:v>1437</x:v>
      </x:c>
      <x:c r="S116" s="75" t="s">
        <x:v>1437</x:v>
      </x:c>
      <x:c r="T116" s="75" t="s">
        <x:v>1437</x:v>
      </x:c>
      <x:c r="U116" s="75" t="s">
        <x:v>1437</x:v>
      </x:c>
      <x:c r="V116" s="75" t="s">
        <x:v>1437</x:v>
      </x:c>
      <x:c r="W116" s="60"/>
      <x:c r="X116" s="73" t="str">
        <x:f t="shared" si="11"/>
        <x:v>Belum Dinilai</x:v>
      </x:c>
      <x:c r="Y116" s="73" t="str">
        <x:f t="shared" si="12"/>
        <x:v>Belum Dinilai</x:v>
      </x:c>
      <x:c r="Z116" s="74" t="str">
        <x:f t="shared" si="13"/>
      </x:c>
      <x:c r="AA116" s="74" t="str">
        <x:f t="shared" si="14"/>
      </x:c>
      <x:c r="AB116" s="74" t="str">
        <x:f t="shared" si="15"/>
      </x:c>
      <x:c r="AC116" s="61" t="s">
        <x:v>1437</x:v>
      </x:c>
      <x:c r="AD116" s="61" t="s">
        <x:v>1437</x:v>
      </x:c>
      <x:c r="AE116" s="61" t="s">
        <x:v>1437</x:v>
      </x:c>
      <x:c r="AF116" s="61" t="s">
        <x:v>1437</x:v>
      </x:c>
      <x:c r="AG116" s="61" t="s">
        <x:v>1437</x:v>
      </x:c>
      <x:c r="AH116" s="61" t="s">
        <x:v>1437</x:v>
      </x:c>
      <x:c r="AI116" s="61" t="s">
        <x:v>1437</x:v>
      </x:c>
      <x:c r="AJ116" s="61" t="s">
        <x:v>1437</x:v>
      </x:c>
      <x:c r="AK116" s="61" t="s">
        <x:v>1437</x:v>
      </x:c>
      <x:c r="AL116" s="61"/>
      <x:c r="AM116" s="61" t="s">
        <x:v>1437</x:v>
      </x:c>
      <x:c r="AN116" s="73" t="str">
        <x:f t="shared" si="16"/>
        <x:v>Belum Dinilai</x:v>
      </x:c>
      <x:c r="AO116" s="73" t="str">
        <x:f t="shared" si="17"/>
        <x:v>Belum Dinilai</x:v>
      </x:c>
      <x:c r="AP116" s="61"/>
      <x:c r="AQ116" s="64" t="str">
        <x:f t="shared" si="18"/>
      </x:c>
      <x:c r="AR116" s="64" t="str">
        <x:f t="shared" si="19"/>
      </x:c>
      <x:c r="AS116" s="64" t="str">
        <x:f t="shared" si="20"/>
      </x:c>
      <x:c r="AT116" s="62" t="str">
        <x:f t="shared" si="21"/>
        <x:v>Belum Dapat Ditentukan</x:v>
      </x:c>
      <x:c r="AU116" s="59" t="s">
        <x:v>1408</x:v>
      </x:c>
      <x:c r="AV116" s="59" t="s">
        <x:v>1425</x:v>
      </x:c>
      <x:c r="AW116" s="59" t="s">
        <x:v>1523</x:v>
      </x:c>
      <x:c r="AX116" s="59" t="s">
        <x:v>1427</x:v>
      </x:c>
      <x:c r="AY116" s="59">
        <x:v>2023</x:v>
      </x:c>
      <x:c r="AZ116" s="59" t="s">
        <x:v>1409</x:v>
      </x:c>
      <x:c r="BA116" s="59"/>
      <x:c r="BB116" s="167"/>
      <x:c r="BC116" s="65">
        <x:v>2026</x:v>
      </x:c>
      <x:c r="BD116" s="59"/>
      <x:c r="BE116" s="167"/>
      <x:c r="BF116" s="59" t="s">
        <x:v>1501</x:v>
      </x:c>
    </x:row>
    <x:row r="117" ht="28">
      <x:c r="A117" s="59" t="s">
        <x:v>1952</x:v>
      </x:c>
      <x:c r="B117" s="59" t="s">
        <x:v>1953</x:v>
      </x:c>
      <x:c r="C117" s="59"/>
      <x:c r="D117" s="59"/>
      <x:c r="E117" s="59" t="s">
        <x:v>1950</x:v>
      </x:c>
      <x:c r="F117" s="59" t="s">
        <x:v>1497</x:v>
      </x:c>
      <x:c r="G117" s="59" t="s">
        <x:v>1498</x:v>
      </x:c>
      <x:c r="H117" s="59" t="s">
        <x:v>1399</x:v>
      </x:c>
      <x:c r="I117" s="59" t="s">
        <x:v>1951</x:v>
      </x:c>
      <x:c r="J117" s="59" t="s">
        <x:v>1416</x:v>
      </x:c>
      <x:c r="K117" s="59" t="s">
        <x:v>1522</x:v>
      </x:c>
      <x:c r="L117" s="59" t="s">
        <x:v>1437</x:v>
      </x:c>
      <x:c r="M117" s="59" t="s">
        <x:v>1500</x:v>
      </x:c>
      <x:c r="N117" s="59" t="s">
        <x:v>1437</x:v>
      </x:c>
      <x:c r="O117" s="59" t="s">
        <x:v>1435</x:v>
      </x:c>
      <x:c r="P117" s="59" t="s">
        <x:v>1437</x:v>
      </x:c>
      <x:c r="Q117" s="75" t="s">
        <x:v>1437</x:v>
      </x:c>
      <x:c r="R117" s="75" t="s">
        <x:v>1437</x:v>
      </x:c>
      <x:c r="S117" s="75" t="s">
        <x:v>1437</x:v>
      </x:c>
      <x:c r="T117" s="75" t="s">
        <x:v>1437</x:v>
      </x:c>
      <x:c r="U117" s="75" t="s">
        <x:v>1437</x:v>
      </x:c>
      <x:c r="V117" s="75" t="s">
        <x:v>1437</x:v>
      </x:c>
      <x:c r="W117" s="60"/>
      <x:c r="X117" s="73" t="str">
        <x:f t="shared" si="11"/>
        <x:v>Belum Dinilai</x:v>
      </x:c>
      <x:c r="Y117" s="73" t="str">
        <x:f t="shared" si="12"/>
        <x:v>Belum Dinilai</x:v>
      </x:c>
      <x:c r="Z117" s="74" t="str">
        <x:f t="shared" si="13"/>
      </x:c>
      <x:c r="AA117" s="74" t="str">
        <x:f t="shared" si="14"/>
      </x:c>
      <x:c r="AB117" s="74" t="str">
        <x:f t="shared" si="15"/>
      </x:c>
      <x:c r="AC117" s="61" t="s">
        <x:v>1437</x:v>
      </x:c>
      <x:c r="AD117" s="61" t="s">
        <x:v>1437</x:v>
      </x:c>
      <x:c r="AE117" s="61" t="s">
        <x:v>1437</x:v>
      </x:c>
      <x:c r="AF117" s="61" t="s">
        <x:v>1437</x:v>
      </x:c>
      <x:c r="AG117" s="61" t="s">
        <x:v>1437</x:v>
      </x:c>
      <x:c r="AH117" s="61" t="s">
        <x:v>1437</x:v>
      </x:c>
      <x:c r="AI117" s="61" t="s">
        <x:v>1437</x:v>
      </x:c>
      <x:c r="AJ117" s="61" t="s">
        <x:v>1437</x:v>
      </x:c>
      <x:c r="AK117" s="61" t="s">
        <x:v>1437</x:v>
      </x:c>
      <x:c r="AL117" s="61"/>
      <x:c r="AM117" s="61" t="s">
        <x:v>1437</x:v>
      </x:c>
      <x:c r="AN117" s="73" t="str">
        <x:f t="shared" si="16"/>
        <x:v>Belum Dinilai</x:v>
      </x:c>
      <x:c r="AO117" s="73" t="str">
        <x:f t="shared" si="17"/>
        <x:v>Belum Dinilai</x:v>
      </x:c>
      <x:c r="AP117" s="61"/>
      <x:c r="AQ117" s="64" t="str">
        <x:f t="shared" si="18"/>
      </x:c>
      <x:c r="AR117" s="64" t="str">
        <x:f t="shared" si="19"/>
      </x:c>
      <x:c r="AS117" s="64" t="str">
        <x:f t="shared" si="20"/>
      </x:c>
      <x:c r="AT117" s="62" t="str">
        <x:f t="shared" si="21"/>
        <x:v>Belum Dapat Ditentukan</x:v>
      </x:c>
      <x:c r="AU117" s="59" t="s">
        <x:v>1408</x:v>
      </x:c>
      <x:c r="AV117" s="59" t="s">
        <x:v>1425</x:v>
      </x:c>
      <x:c r="AW117" s="59" t="s">
        <x:v>1523</x:v>
      </x:c>
      <x:c r="AX117" s="59" t="s">
        <x:v>1427</x:v>
      </x:c>
      <x:c r="AY117" s="59">
        <x:v>2023</x:v>
      </x:c>
      <x:c r="AZ117" s="59" t="s">
        <x:v>1409</x:v>
      </x:c>
      <x:c r="BA117" s="59"/>
      <x:c r="BB117" s="167"/>
      <x:c r="BC117" s="65">
        <x:v>2026</x:v>
      </x:c>
      <x:c r="BD117" s="59"/>
      <x:c r="BE117" s="167"/>
      <x:c r="BF117" s="59" t="s">
        <x:v>1501</x:v>
      </x:c>
    </x:row>
    <x:row r="118" ht="28">
      <x:c r="A118" s="59" t="s">
        <x:v>1954</x:v>
      </x:c>
      <x:c r="B118" s="59" t="s">
        <x:v>1955</x:v>
      </x:c>
      <x:c r="C118" s="59"/>
      <x:c r="D118" s="59"/>
      <x:c r="E118" s="59" t="s">
        <x:v>1956</x:v>
      </x:c>
      <x:c r="F118" s="59" t="s">
        <x:v>1783</x:v>
      </x:c>
      <x:c r="G118" s="59" t="s">
        <x:v>1498</x:v>
      </x:c>
      <x:c r="H118" s="59" t="s">
        <x:v>1399</x:v>
      </x:c>
      <x:c r="I118" s="59" t="s">
        <x:v>1957</x:v>
      </x:c>
      <x:c r="J118" s="59" t="s">
        <x:v>1431</x:v>
      </x:c>
      <x:c r="K118" s="59" t="s">
        <x:v>1522</x:v>
      </x:c>
      <x:c r="L118" s="59" t="s">
        <x:v>1437</x:v>
      </x:c>
      <x:c r="M118" s="59" t="s">
        <x:v>1489</x:v>
      </x:c>
      <x:c r="N118" s="59" t="s">
        <x:v>1437</x:v>
      </x:c>
      <x:c r="O118" s="59" t="s">
        <x:v>1435</x:v>
      </x:c>
      <x:c r="P118" s="59" t="s">
        <x:v>1437</x:v>
      </x:c>
      <x:c r="Q118" s="75" t="s">
        <x:v>1437</x:v>
      </x:c>
      <x:c r="R118" s="75" t="s">
        <x:v>1437</x:v>
      </x:c>
      <x:c r="S118" s="75" t="s">
        <x:v>1437</x:v>
      </x:c>
      <x:c r="T118" s="75" t="s">
        <x:v>1437</x:v>
      </x:c>
      <x:c r="U118" s="75" t="s">
        <x:v>1437</x:v>
      </x:c>
      <x:c r="V118" s="75" t="s">
        <x:v>1437</x:v>
      </x:c>
      <x:c r="W118" s="60"/>
      <x:c r="X118" s="73" t="str">
        <x:f t="shared" si="11"/>
        <x:v>Belum Dinilai</x:v>
      </x:c>
      <x:c r="Y118" s="73" t="str">
        <x:f t="shared" si="12"/>
        <x:v>Belum Dinilai</x:v>
      </x:c>
      <x:c r="Z118" s="74" t="str">
        <x:f t="shared" si="13"/>
      </x:c>
      <x:c r="AA118" s="74" t="str">
        <x:f t="shared" si="14"/>
      </x:c>
      <x:c r="AB118" s="74" t="str">
        <x:f t="shared" si="15"/>
      </x:c>
      <x:c r="AC118" s="61" t="s">
        <x:v>1437</x:v>
      </x:c>
      <x:c r="AD118" s="61" t="s">
        <x:v>1437</x:v>
      </x:c>
      <x:c r="AE118" s="61" t="s">
        <x:v>1437</x:v>
      </x:c>
      <x:c r="AF118" s="61" t="s">
        <x:v>1437</x:v>
      </x:c>
      <x:c r="AG118" s="61" t="s">
        <x:v>1437</x:v>
      </x:c>
      <x:c r="AH118" s="61" t="s">
        <x:v>1437</x:v>
      </x:c>
      <x:c r="AI118" s="61" t="s">
        <x:v>1437</x:v>
      </x:c>
      <x:c r="AJ118" s="61" t="s">
        <x:v>1437</x:v>
      </x:c>
      <x:c r="AK118" s="61" t="s">
        <x:v>1437</x:v>
      </x:c>
      <x:c r="AL118" s="61"/>
      <x:c r="AM118" s="61" t="s">
        <x:v>1437</x:v>
      </x:c>
      <x:c r="AN118" s="73" t="str">
        <x:f t="shared" si="16"/>
        <x:v>Belum Dinilai</x:v>
      </x:c>
      <x:c r="AO118" s="73" t="str">
        <x:f t="shared" si="17"/>
        <x:v>Belum Dinilai</x:v>
      </x:c>
      <x:c r="AP118" s="61"/>
      <x:c r="AQ118" s="64" t="str">
        <x:f t="shared" si="18"/>
      </x:c>
      <x:c r="AR118" s="64" t="str">
        <x:f t="shared" si="19"/>
      </x:c>
      <x:c r="AS118" s="64" t="str">
        <x:f t="shared" si="20"/>
      </x:c>
      <x:c r="AT118" s="62" t="str">
        <x:f t="shared" si="21"/>
        <x:v>Belum Dapat Ditentukan</x:v>
      </x:c>
      <x:c r="AU118" s="59" t="s">
        <x:v>1424</x:v>
      </x:c>
      <x:c r="AV118" s="59" t="s">
        <x:v>1425</x:v>
      </x:c>
      <x:c r="AW118" s="59" t="s">
        <x:v>1410</x:v>
      </x:c>
      <x:c r="AX118" s="59" t="s">
        <x:v>1411</x:v>
      </x:c>
      <x:c r="AY118" s="59"/>
      <x:c r="AZ118" s="59" t="s">
        <x:v>1409</x:v>
      </x:c>
      <x:c r="BA118" s="59"/>
      <x:c r="BB118" s="167"/>
      <x:c r="BC118" s="65">
        <x:v>2026</x:v>
      </x:c>
      <x:c r="BD118" s="59"/>
      <x:c r="BE118" s="167"/>
      <x:c r="BF118" s="59" t="s">
        <x:v>1501</x:v>
      </x:c>
    </x:row>
    <x:row r="119" ht="42">
      <x:c r="A119" s="59" t="s">
        <x:v>1958</x:v>
      </x:c>
      <x:c r="B119" s="59" t="s">
        <x:v>1959</x:v>
      </x:c>
      <x:c r="C119" s="59"/>
      <x:c r="D119" s="59"/>
      <x:c r="E119" s="59" t="s">
        <x:v>1960</x:v>
      </x:c>
      <x:c r="F119" s="59" t="s">
        <x:v>1783</x:v>
      </x:c>
      <x:c r="G119" s="59" t="s">
        <x:v>1498</x:v>
      </x:c>
      <x:c r="H119" s="59" t="s">
        <x:v>1399</x:v>
      </x:c>
      <x:c r="I119" s="59" t="s">
        <x:v>1961</x:v>
      </x:c>
      <x:c r="J119" s="59" t="s">
        <x:v>1431</x:v>
      </x:c>
      <x:c r="K119" s="59" t="s">
        <x:v>1417</x:v>
      </x:c>
      <x:c r="L119" s="59" t="s">
        <x:v>1437</x:v>
      </x:c>
      <x:c r="M119" s="59" t="s">
        <x:v>1489</x:v>
      </x:c>
      <x:c r="N119" s="59" t="s">
        <x:v>1437</x:v>
      </x:c>
      <x:c r="O119" s="59" t="s">
        <x:v>1522</x:v>
      </x:c>
      <x:c r="P119" s="59" t="s">
        <x:v>1437</x:v>
      </x:c>
      <x:c r="Q119" s="75" t="s">
        <x:v>1437</x:v>
      </x:c>
      <x:c r="R119" s="75" t="s">
        <x:v>1437</x:v>
      </x:c>
      <x:c r="S119" s="75" t="s">
        <x:v>1437</x:v>
      </x:c>
      <x:c r="T119" s="75" t="s">
        <x:v>1437</x:v>
      </x:c>
      <x:c r="U119" s="75" t="s">
        <x:v>1437</x:v>
      </x:c>
      <x:c r="V119" s="75" t="s">
        <x:v>1437</x:v>
      </x:c>
      <x:c r="W119" s="60"/>
      <x:c r="X119" s="73" t="str">
        <x:f t="shared" si="11"/>
        <x:v>Belum Dinilai</x:v>
      </x:c>
      <x:c r="Y119" s="73" t="str">
        <x:f t="shared" si="12"/>
        <x:v>Belum Dinilai</x:v>
      </x:c>
      <x:c r="Z119" s="74" t="str">
        <x:f t="shared" si="13"/>
      </x:c>
      <x:c r="AA119" s="74" t="str">
        <x:f t="shared" si="14"/>
      </x:c>
      <x:c r="AB119" s="74" t="str">
        <x:f t="shared" si="15"/>
      </x:c>
      <x:c r="AC119" s="61" t="s">
        <x:v>1437</x:v>
      </x:c>
      <x:c r="AD119" s="61" t="s">
        <x:v>1437</x:v>
      </x:c>
      <x:c r="AE119" s="61" t="s">
        <x:v>1437</x:v>
      </x:c>
      <x:c r="AF119" s="61" t="s">
        <x:v>1437</x:v>
      </x:c>
      <x:c r="AG119" s="61" t="s">
        <x:v>1437</x:v>
      </x:c>
      <x:c r="AH119" s="61" t="s">
        <x:v>1437</x:v>
      </x:c>
      <x:c r="AI119" s="61" t="s">
        <x:v>1437</x:v>
      </x:c>
      <x:c r="AJ119" s="61" t="s">
        <x:v>1437</x:v>
      </x:c>
      <x:c r="AK119" s="61" t="s">
        <x:v>1437</x:v>
      </x:c>
      <x:c r="AL119" s="61"/>
      <x:c r="AM119" s="61" t="s">
        <x:v>1437</x:v>
      </x:c>
      <x:c r="AN119" s="73" t="str">
        <x:f t="shared" si="16"/>
        <x:v>Belum Dinilai</x:v>
      </x:c>
      <x:c r="AO119" s="73" t="str">
        <x:f t="shared" si="17"/>
        <x:v>Belum Dinilai</x:v>
      </x:c>
      <x:c r="AP119" s="61"/>
      <x:c r="AQ119" s="64" t="str">
        <x:f t="shared" si="18"/>
      </x:c>
      <x:c r="AR119" s="64" t="str">
        <x:f t="shared" si="19"/>
      </x:c>
      <x:c r="AS119" s="64" t="str">
        <x:f t="shared" si="20"/>
      </x:c>
      <x:c r="AT119" s="62" t="str">
        <x:f t="shared" si="21"/>
        <x:v>Belum Dapat Ditentukan</x:v>
      </x:c>
      <x:c r="AU119" s="59" t="s">
        <x:v>1408</x:v>
      </x:c>
      <x:c r="AV119" s="59" t="s">
        <x:v>1425</x:v>
      </x:c>
      <x:c r="AW119" s="59" t="s">
        <x:v>1523</x:v>
      </x:c>
      <x:c r="AX119" s="59" t="s">
        <x:v>1427</x:v>
      </x:c>
      <x:c r="AY119" s="59">
        <x:v>2022</x:v>
      </x:c>
      <x:c r="AZ119" s="59" t="s">
        <x:v>1428</x:v>
      </x:c>
      <x:c r="BA119" s="59"/>
      <x:c r="BB119" s="167"/>
      <x:c r="BC119" s="65">
        <x:v>2026</x:v>
      </x:c>
      <x:c r="BD119" s="59"/>
      <x:c r="BE119" s="167"/>
      <x:c r="BF119" s="59" t="s">
        <x:v>1501</x:v>
      </x:c>
    </x:row>
    <x:row r="120" ht="28">
      <x:c r="A120" s="59" t="s">
        <x:v>1962</x:v>
      </x:c>
      <x:c r="B120" s="59" t="s">
        <x:v>1963</x:v>
      </x:c>
      <x:c r="C120" s="59"/>
      <x:c r="D120" s="59"/>
      <x:c r="E120" s="59" t="s">
        <x:v>1524</x:v>
      </x:c>
      <x:c r="F120" s="59" t="s">
        <x:v>1539</x:v>
      </x:c>
      <x:c r="G120" s="59" t="s">
        <x:v>1512</x:v>
      </x:c>
      <x:c r="H120" s="59" t="s">
        <x:v>1415</x:v>
      </x:c>
      <x:c r="I120" s="59" t="s">
        <x:v>1964</x:v>
      </x:c>
      <x:c r="J120" s="59" t="s">
        <x:v>1400</x:v>
      </x:c>
      <x:c r="K120" s="59" t="s">
        <x:v>1417</x:v>
      </x:c>
      <x:c r="L120" s="59" t="s">
        <x:v>1437</x:v>
      </x:c>
      <x:c r="M120" s="59" t="s">
        <x:v>1434</x:v>
      </x:c>
      <x:c r="N120" s="59" t="s">
        <x:v>1437</x:v>
      </x:c>
      <x:c r="O120" s="59" t="s">
        <x:v>1435</x:v>
      </x:c>
      <x:c r="P120" s="59" t="s">
        <x:v>1437</x:v>
      </x:c>
      <x:c r="Q120" s="75" t="s">
        <x:v>1437</x:v>
      </x:c>
      <x:c r="R120" s="75" t="s">
        <x:v>1437</x:v>
      </x:c>
      <x:c r="S120" s="75" t="s">
        <x:v>1437</x:v>
      </x:c>
      <x:c r="T120" s="75" t="s">
        <x:v>1437</x:v>
      </x:c>
      <x:c r="U120" s="75" t="s">
        <x:v>1437</x:v>
      </x:c>
      <x:c r="V120" s="75" t="s">
        <x:v>1437</x:v>
      </x:c>
      <x:c r="W120" s="60"/>
      <x:c r="X120" s="73" t="str">
        <x:f t="shared" si="11"/>
        <x:v>Belum Dinilai</x:v>
      </x:c>
      <x:c r="Y120" s="73" t="str">
        <x:f t="shared" si="12"/>
        <x:v>Belum Dinilai</x:v>
      </x:c>
      <x:c r="Z120" s="74" t="str">
        <x:f t="shared" si="13"/>
      </x:c>
      <x:c r="AA120" s="74" t="str">
        <x:f t="shared" si="14"/>
      </x:c>
      <x:c r="AB120" s="74" t="str">
        <x:f t="shared" si="15"/>
      </x:c>
      <x:c r="AC120" s="61" t="s">
        <x:v>1437</x:v>
      </x:c>
      <x:c r="AD120" s="61" t="s">
        <x:v>1437</x:v>
      </x:c>
      <x:c r="AE120" s="61" t="s">
        <x:v>1437</x:v>
      </x:c>
      <x:c r="AF120" s="61" t="s">
        <x:v>1437</x:v>
      </x:c>
      <x:c r="AG120" s="61" t="s">
        <x:v>1437</x:v>
      </x:c>
      <x:c r="AH120" s="61" t="s">
        <x:v>1437</x:v>
      </x:c>
      <x:c r="AI120" s="61" t="s">
        <x:v>1437</x:v>
      </x:c>
      <x:c r="AJ120" s="61" t="s">
        <x:v>1437</x:v>
      </x:c>
      <x:c r="AK120" s="61" t="s">
        <x:v>1437</x:v>
      </x:c>
      <x:c r="AL120" s="61"/>
      <x:c r="AM120" s="61" t="s">
        <x:v>1437</x:v>
      </x:c>
      <x:c r="AN120" s="73" t="str">
        <x:f t="shared" si="16"/>
        <x:v>Belum Dinilai</x:v>
      </x:c>
      <x:c r="AO120" s="73" t="str">
        <x:f t="shared" si="17"/>
        <x:v>Belum Dinilai</x:v>
      </x:c>
      <x:c r="AP120" s="61"/>
      <x:c r="AQ120" s="64" t="str">
        <x:f t="shared" si="18"/>
      </x:c>
      <x:c r="AR120" s="64" t="str">
        <x:f t="shared" si="19"/>
      </x:c>
      <x:c r="AS120" s="64" t="str">
        <x:f t="shared" si="20"/>
      </x:c>
      <x:c r="AT120" s="62" t="str">
        <x:f t="shared" si="21"/>
        <x:v>Belum Dapat Ditentukan</x:v>
      </x:c>
      <x:c r="AU120" s="59" t="s">
        <x:v>1408</x:v>
      </x:c>
      <x:c r="AV120" s="59" t="s">
        <x:v>1425</x:v>
      </x:c>
      <x:c r="AW120" s="59" t="s">
        <x:v>1523</x:v>
      </x:c>
      <x:c r="AX120" s="59" t="s">
        <x:v>1427</x:v>
      </x:c>
      <x:c r="AY120" s="59">
        <x:v>2021</x:v>
      </x:c>
      <x:c r="AZ120" s="59" t="s">
        <x:v>1409</x:v>
      </x:c>
      <x:c r="BA120" s="59"/>
      <x:c r="BB120" s="167"/>
      <x:c r="BC120" s="65">
        <x:v>2026</x:v>
      </x:c>
      <x:c r="BD120" s="59"/>
      <x:c r="BE120" s="167"/>
      <x:c r="BF120" s="59" t="s">
        <x:v>1501</x:v>
      </x:c>
    </x:row>
    <x:row r="121" ht="42">
      <x:c r="A121" s="59" t="s">
        <x:v>1965</x:v>
      </x:c>
      <x:c r="B121" s="59" t="s">
        <x:v>1966</x:v>
      </x:c>
      <x:c r="C121" s="59"/>
      <x:c r="D121" s="59"/>
      <x:c r="E121" s="59" t="s">
        <x:v>1967</x:v>
      </x:c>
      <x:c r="F121" s="59" t="s">
        <x:v>1511</x:v>
      </x:c>
      <x:c r="G121" s="59" t="s">
        <x:v>1512</x:v>
      </x:c>
      <x:c r="H121" s="59" t="s">
        <x:v>1399</x:v>
      </x:c>
      <x:c r="I121" s="59" t="s">
        <x:v>1968</x:v>
      </x:c>
      <x:c r="J121" s="59" t="s">
        <x:v>1431</x:v>
      </x:c>
      <x:c r="K121" s="59" t="s">
        <x:v>1522</x:v>
      </x:c>
      <x:c r="L121" s="59" t="s">
        <x:v>1418</x:v>
      </x:c>
      <x:c r="M121" s="59" t="s">
        <x:v>1489</x:v>
      </x:c>
      <x:c r="N121" s="59" t="s">
        <x:v>1418</x:v>
      </x:c>
      <x:c r="O121" s="59" t="s">
        <x:v>1435</x:v>
      </x:c>
      <x:c r="P121" s="59" t="s">
        <x:v>1418</x:v>
      </x:c>
      <x:c r="Q121" s="75" t="s">
        <x:v>1437</x:v>
      </x:c>
      <x:c r="R121" s="75" t="s">
        <x:v>1437</x:v>
      </x:c>
      <x:c r="S121" s="75" t="s">
        <x:v>1437</x:v>
      </x:c>
      <x:c r="T121" s="75" t="s">
        <x:v>1437</x:v>
      </x:c>
      <x:c r="U121" s="75" t="s">
        <x:v>1437</x:v>
      </x:c>
      <x:c r="V121" s="75" t="s">
        <x:v>1437</x:v>
      </x:c>
      <x:c r="W121" s="60"/>
      <x:c r="X121" s="73" t="str">
        <x:f t="shared" si="11"/>
        <x:v>Belum Dinilai</x:v>
      </x:c>
      <x:c r="Y121" s="73" t="str">
        <x:f t="shared" si="12"/>
        <x:v>Belum Dinilai</x:v>
      </x:c>
      <x:c r="Z121" s="74" t="str">
        <x:f t="shared" si="13"/>
      </x:c>
      <x:c r="AA121" s="74" t="str">
        <x:f t="shared" si="14"/>
      </x:c>
      <x:c r="AB121" s="74" t="str">
        <x:f t="shared" si="15"/>
      </x:c>
      <x:c r="AC121" s="61" t="s">
        <x:v>1437</x:v>
      </x:c>
      <x:c r="AD121" s="61" t="s">
        <x:v>1437</x:v>
      </x:c>
      <x:c r="AE121" s="61" t="s">
        <x:v>1437</x:v>
      </x:c>
      <x:c r="AF121" s="61" t="s">
        <x:v>1437</x:v>
      </x:c>
      <x:c r="AG121" s="61" t="s">
        <x:v>1437</x:v>
      </x:c>
      <x:c r="AH121" s="61" t="s">
        <x:v>1437</x:v>
      </x:c>
      <x:c r="AI121" s="61" t="s">
        <x:v>1437</x:v>
      </x:c>
      <x:c r="AJ121" s="61" t="s">
        <x:v>1437</x:v>
      </x:c>
      <x:c r="AK121" s="61" t="s">
        <x:v>1437</x:v>
      </x:c>
      <x:c r="AL121" s="61"/>
      <x:c r="AM121" s="61" t="s">
        <x:v>1437</x:v>
      </x:c>
      <x:c r="AN121" s="73" t="str">
        <x:f t="shared" si="16"/>
        <x:v>Belum Dinilai</x:v>
      </x:c>
      <x:c r="AO121" s="73" t="str">
        <x:f t="shared" si="17"/>
        <x:v>Belum Dinilai</x:v>
      </x:c>
      <x:c r="AP121" s="61"/>
      <x:c r="AQ121" s="64">
        <x:f t="shared" si="18"/>
        <x:v>29</x:v>
      </x:c>
      <x:c r="AR121" s="64" t="str">
        <x:f t="shared" si="19"/>
      </x:c>
      <x:c r="AS121" s="64" t="str">
        <x:f t="shared" si="20"/>
      </x:c>
      <x:c r="AT121" s="62" t="str">
        <x:f t="shared" si="21"/>
        <x:v>Belum Dapat Ditentukan</x:v>
      </x:c>
      <x:c r="AU121" s="59" t="s">
        <x:v>1408</x:v>
      </x:c>
      <x:c r="AV121" s="59" t="s">
        <x:v>1425</x:v>
      </x:c>
      <x:c r="AW121" s="59" t="s">
        <x:v>1523</x:v>
      </x:c>
      <x:c r="AX121" s="59" t="s">
        <x:v>1427</x:v>
      </x:c>
      <x:c r="AY121" s="59">
        <x:v>2022</x:v>
      </x:c>
      <x:c r="AZ121" s="59" t="s">
        <x:v>1409</x:v>
      </x:c>
      <x:c r="BA121" s="59"/>
      <x:c r="BB121" s="167"/>
      <x:c r="BC121" s="65">
        <x:v>2026</x:v>
      </x:c>
      <x:c r="BD121" s="59"/>
      <x:c r="BE121" s="167"/>
      <x:c r="BF121" s="59" t="s">
        <x:v>1501</x:v>
      </x:c>
    </x:row>
    <x:row r="122" ht="42">
      <x:c r="A122" s="59" t="s">
        <x:v>1969</x:v>
      </x:c>
      <x:c r="B122" s="59" t="s">
        <x:v>1970</x:v>
      </x:c>
      <x:c r="C122" s="59"/>
      <x:c r="D122" s="59"/>
      <x:c r="E122" s="59" t="s">
        <x:v>1971</x:v>
      </x:c>
      <x:c r="F122" s="59" t="s">
        <x:v>1511</x:v>
      </x:c>
      <x:c r="G122" s="59" t="s">
        <x:v>1512</x:v>
      </x:c>
      <x:c r="H122" s="59" t="s">
        <x:v>1415</x:v>
      </x:c>
      <x:c r="I122" s="59" t="s">
        <x:v>1972</x:v>
      </x:c>
      <x:c r="J122" s="59" t="s">
        <x:v>1416</x:v>
      </x:c>
      <x:c r="K122" s="59" t="s">
        <x:v>1417</x:v>
      </x:c>
      <x:c r="L122" s="59" t="s">
        <x:v>1418</x:v>
      </x:c>
      <x:c r="M122" s="59" t="s">
        <x:v>1489</x:v>
      </x:c>
      <x:c r="N122" s="59" t="s">
        <x:v>1418</x:v>
      </x:c>
      <x:c r="O122" s="59" t="s">
        <x:v>1522</x:v>
      </x:c>
      <x:c r="P122" s="59" t="s">
        <x:v>1437</x:v>
      </x:c>
      <x:c r="Q122" s="75" t="s">
        <x:v>1437</x:v>
      </x:c>
      <x:c r="R122" s="75" t="s">
        <x:v>1437</x:v>
      </x:c>
      <x:c r="S122" s="75" t="s">
        <x:v>1437</x:v>
      </x:c>
      <x:c r="T122" s="75" t="s">
        <x:v>1437</x:v>
      </x:c>
      <x:c r="U122" s="75" t="s">
        <x:v>1437</x:v>
      </x:c>
      <x:c r="V122" s="75" t="s">
        <x:v>1437</x:v>
      </x:c>
      <x:c r="W122" s="60"/>
      <x:c r="X122" s="73" t="str">
        <x:f t="shared" si="11"/>
        <x:v>Belum Dinilai</x:v>
      </x:c>
      <x:c r="Y122" s="73" t="str">
        <x:f t="shared" si="12"/>
        <x:v>Belum Dinilai</x:v>
      </x:c>
      <x:c r="Z122" s="74" t="str">
        <x:f t="shared" si="13"/>
      </x:c>
      <x:c r="AA122" s="74" t="str">
        <x:f t="shared" si="14"/>
      </x:c>
      <x:c r="AB122" s="74" t="str">
        <x:f t="shared" si="15"/>
      </x:c>
      <x:c r="AC122" s="61" t="s">
        <x:v>1437</x:v>
      </x:c>
      <x:c r="AD122" s="61" t="s">
        <x:v>1437</x:v>
      </x:c>
      <x:c r="AE122" s="61" t="s">
        <x:v>1437</x:v>
      </x:c>
      <x:c r="AF122" s="61" t="s">
        <x:v>1437</x:v>
      </x:c>
      <x:c r="AG122" s="61" t="s">
        <x:v>1437</x:v>
      </x:c>
      <x:c r="AH122" s="61" t="s">
        <x:v>1437</x:v>
      </x:c>
      <x:c r="AI122" s="61" t="s">
        <x:v>1437</x:v>
      </x:c>
      <x:c r="AJ122" s="61" t="s">
        <x:v>1437</x:v>
      </x:c>
      <x:c r="AK122" s="61" t="s">
        <x:v>1437</x:v>
      </x:c>
      <x:c r="AL122" s="61"/>
      <x:c r="AM122" s="61" t="s">
        <x:v>1437</x:v>
      </x:c>
      <x:c r="AN122" s="73" t="str">
        <x:f t="shared" si="16"/>
        <x:v>Belum Dinilai</x:v>
      </x:c>
      <x:c r="AO122" s="73" t="str">
        <x:f t="shared" si="17"/>
        <x:v>Belum Dinilai</x:v>
      </x:c>
      <x:c r="AP122" s="61"/>
      <x:c r="AQ122" s="64" t="str">
        <x:f t="shared" si="18"/>
      </x:c>
      <x:c r="AR122" s="64" t="str">
        <x:f t="shared" si="19"/>
      </x:c>
      <x:c r="AS122" s="64" t="str">
        <x:f t="shared" si="20"/>
      </x:c>
      <x:c r="AT122" s="62" t="str">
        <x:f t="shared" si="21"/>
        <x:v>Belum Dapat Ditentukan</x:v>
      </x:c>
      <x:c r="AU122" s="59" t="s">
        <x:v>1408</x:v>
      </x:c>
      <x:c r="AV122" s="59" t="s">
        <x:v>1425</x:v>
      </x:c>
      <x:c r="AW122" s="59" t="s">
        <x:v>1410</x:v>
      </x:c>
      <x:c r="AX122" s="59" t="s">
        <x:v>1411</x:v>
      </x:c>
      <x:c r="AY122" s="59"/>
      <x:c r="AZ122" s="59" t="s">
        <x:v>1409</x:v>
      </x:c>
      <x:c r="BA122" s="59"/>
      <x:c r="BB122" s="167"/>
      <x:c r="BC122" s="65">
        <x:v>2026</x:v>
      </x:c>
      <x:c r="BD122" s="59"/>
      <x:c r="BE122" s="167"/>
      <x:c r="BF122" s="59" t="s">
        <x:v>1501</x:v>
      </x:c>
    </x:row>
    <x:row r="123" ht="42">
      <x:c r="A123" s="59" t="s">
        <x:v>1973</x:v>
      </x:c>
      <x:c r="B123" s="59" t="s">
        <x:v>1974</x:v>
      </x:c>
      <x:c r="C123" s="59"/>
      <x:c r="D123" s="59"/>
      <x:c r="E123" s="59" t="s">
        <x:v>1975</x:v>
      </x:c>
      <x:c r="F123" s="59" t="s">
        <x:v>1543</x:v>
      </x:c>
      <x:c r="G123" s="59" t="s">
        <x:v>1512</x:v>
      </x:c>
      <x:c r="H123" s="59" t="s">
        <x:v>1399</x:v>
      </x:c>
      <x:c r="I123" s="59" t="s">
        <x:v>1976</x:v>
      </x:c>
      <x:c r="J123" s="59" t="s">
        <x:v>1431</x:v>
      </x:c>
      <x:c r="K123" s="59" t="s">
        <x:v>1417</x:v>
      </x:c>
      <x:c r="L123" s="59" t="s">
        <x:v>1418</x:v>
      </x:c>
      <x:c r="M123" s="59" t="s">
        <x:v>1489</x:v>
      </x:c>
      <x:c r="N123" s="59" t="s">
        <x:v>1418</x:v>
      </x:c>
      <x:c r="O123" s="59" t="s">
        <x:v>1404</x:v>
      </x:c>
      <x:c r="P123" s="59" t="s">
        <x:v>1418</x:v>
      </x:c>
      <x:c r="Q123" s="75" t="s">
        <x:v>1437</x:v>
      </x:c>
      <x:c r="R123" s="75" t="s">
        <x:v>1437</x:v>
      </x:c>
      <x:c r="S123" s="75" t="s">
        <x:v>1437</x:v>
      </x:c>
      <x:c r="T123" s="75" t="s">
        <x:v>1437</x:v>
      </x:c>
      <x:c r="U123" s="75" t="s">
        <x:v>1437</x:v>
      </x:c>
      <x:c r="V123" s="75" t="s">
        <x:v>1437</x:v>
      </x:c>
      <x:c r="W123" s="60"/>
      <x:c r="X123" s="73" t="str">
        <x:f t="shared" si="11"/>
        <x:v>Belum Dinilai</x:v>
      </x:c>
      <x:c r="Y123" s="73" t="str">
        <x:f t="shared" si="12"/>
        <x:v>Belum Dinilai</x:v>
      </x:c>
      <x:c r="Z123" s="74" t="str">
        <x:f t="shared" si="13"/>
      </x:c>
      <x:c r="AA123" s="74" t="str">
        <x:f t="shared" si="14"/>
      </x:c>
      <x:c r="AB123" s="74" t="str">
        <x:f t="shared" si="15"/>
      </x:c>
      <x:c r="AC123" s="61" t="s">
        <x:v>1437</x:v>
      </x:c>
      <x:c r="AD123" s="61" t="s">
        <x:v>1437</x:v>
      </x:c>
      <x:c r="AE123" s="61" t="s">
        <x:v>1437</x:v>
      </x:c>
      <x:c r="AF123" s="61" t="s">
        <x:v>1437</x:v>
      </x:c>
      <x:c r="AG123" s="61" t="s">
        <x:v>1437</x:v>
      </x:c>
      <x:c r="AH123" s="61" t="s">
        <x:v>1437</x:v>
      </x:c>
      <x:c r="AI123" s="61" t="s">
        <x:v>1437</x:v>
      </x:c>
      <x:c r="AJ123" s="61" t="s">
        <x:v>1437</x:v>
      </x:c>
      <x:c r="AK123" s="61" t="s">
        <x:v>1437</x:v>
      </x:c>
      <x:c r="AL123" s="61"/>
      <x:c r="AM123" s="61" t="s">
        <x:v>1437</x:v>
      </x:c>
      <x:c r="AN123" s="73" t="str">
        <x:f t="shared" si="16"/>
        <x:v>Belum Dinilai</x:v>
      </x:c>
      <x:c r="AO123" s="73" t="str">
        <x:f t="shared" si="17"/>
        <x:v>Belum Dinilai</x:v>
      </x:c>
      <x:c r="AP123" s="61"/>
      <x:c r="AQ123" s="64">
        <x:f t="shared" si="18"/>
        <x:v>29</x:v>
      </x:c>
      <x:c r="AR123" s="64" t="str">
        <x:f t="shared" si="19"/>
      </x:c>
      <x:c r="AS123" s="64" t="str">
        <x:f t="shared" si="20"/>
      </x:c>
      <x:c r="AT123" s="62" t="str">
        <x:f t="shared" si="21"/>
        <x:v>Belum Dapat Ditentukan</x:v>
      </x:c>
      <x:c r="AU123" s="59" t="s">
        <x:v>1408</x:v>
      </x:c>
      <x:c r="AV123" s="59" t="s">
        <x:v>1425</x:v>
      </x:c>
      <x:c r="AW123" s="59" t="s">
        <x:v>1410</x:v>
      </x:c>
      <x:c r="AX123" s="59" t="s">
        <x:v>1411</x:v>
      </x:c>
      <x:c r="AY123" s="59"/>
      <x:c r="AZ123" s="59" t="s">
        <x:v>1409</x:v>
      </x:c>
      <x:c r="BA123" s="59"/>
      <x:c r="BB123" s="167"/>
      <x:c r="BC123" s="65">
        <x:v>2026</x:v>
      </x:c>
      <x:c r="BD123" s="59"/>
      <x:c r="BE123" s="167"/>
      <x:c r="BF123" s="59" t="s">
        <x:v>1501</x:v>
      </x:c>
    </x:row>
    <x:row r="124" ht="56">
      <x:c r="A124" s="59" t="s">
        <x:v>1977</x:v>
      </x:c>
      <x:c r="B124" s="59" t="s">
        <x:v>1978</x:v>
      </x:c>
      <x:c r="C124" s="59"/>
      <x:c r="D124" s="59"/>
      <x:c r="E124" s="59" t="s">
        <x:v>1979</x:v>
      </x:c>
      <x:c r="F124" s="59" t="s">
        <x:v>1695</x:v>
      </x:c>
      <x:c r="G124" s="59" t="s">
        <x:v>1534</x:v>
      </x:c>
      <x:c r="H124" s="59" t="s">
        <x:v>1415</x:v>
      </x:c>
      <x:c r="I124" s="59" t="s">
        <x:v>1980</x:v>
      </x:c>
      <x:c r="J124" s="59" t="s">
        <x:v>1416</x:v>
      </x:c>
      <x:c r="K124" s="59" t="s">
        <x:v>1516</x:v>
      </x:c>
      <x:c r="L124" s="59" t="s">
        <x:v>1418</x:v>
      </x:c>
      <x:c r="M124" s="59" t="s">
        <x:v>1500</x:v>
      </x:c>
      <x:c r="N124" s="59" t="s">
        <x:v>1418</x:v>
      </x:c>
      <x:c r="O124" s="59" t="s">
        <x:v>1435</x:v>
      </x:c>
      <x:c r="P124" s="59" t="s">
        <x:v>1418</x:v>
      </x:c>
      <x:c r="Q124" s="75" t="s">
        <x:v>1437</x:v>
      </x:c>
      <x:c r="R124" s="75" t="s">
        <x:v>1437</x:v>
      </x:c>
      <x:c r="S124" s="75" t="s">
        <x:v>1437</x:v>
      </x:c>
      <x:c r="T124" s="75" t="s">
        <x:v>1437</x:v>
      </x:c>
      <x:c r="U124" s="75" t="s">
        <x:v>1437</x:v>
      </x:c>
      <x:c r="V124" s="75" t="s">
        <x:v>1437</x:v>
      </x:c>
      <x:c r="W124" s="60"/>
      <x:c r="X124" s="73" t="str">
        <x:f t="shared" si="11"/>
        <x:v>Belum Dinilai</x:v>
      </x:c>
      <x:c r="Y124" s="73" t="str">
        <x:f t="shared" si="12"/>
        <x:v>Belum Dinilai</x:v>
      </x:c>
      <x:c r="Z124" s="74" t="str">
        <x:f t="shared" si="13"/>
      </x:c>
      <x:c r="AA124" s="74" t="str">
        <x:f t="shared" si="14"/>
      </x:c>
      <x:c r="AB124" s="74" t="str">
        <x:f t="shared" si="15"/>
      </x:c>
      <x:c r="AC124" s="61" t="s">
        <x:v>1437</x:v>
      </x:c>
      <x:c r="AD124" s="61" t="s">
        <x:v>1437</x:v>
      </x:c>
      <x:c r="AE124" s="61" t="s">
        <x:v>1437</x:v>
      </x:c>
      <x:c r="AF124" s="61" t="s">
        <x:v>1437</x:v>
      </x:c>
      <x:c r="AG124" s="61" t="s">
        <x:v>1437</x:v>
      </x:c>
      <x:c r="AH124" s="61" t="s">
        <x:v>1437</x:v>
      </x:c>
      <x:c r="AI124" s="61" t="s">
        <x:v>1437</x:v>
      </x:c>
      <x:c r="AJ124" s="61" t="s">
        <x:v>1437</x:v>
      </x:c>
      <x:c r="AK124" s="61" t="s">
        <x:v>1437</x:v>
      </x:c>
      <x:c r="AL124" s="61"/>
      <x:c r="AM124" s="61" t="s">
        <x:v>1437</x:v>
      </x:c>
      <x:c r="AN124" s="73" t="str">
        <x:f t="shared" si="16"/>
        <x:v>Belum Dinilai</x:v>
      </x:c>
      <x:c r="AO124" s="73" t="str">
        <x:f t="shared" si="17"/>
        <x:v>Belum Dinilai</x:v>
      </x:c>
      <x:c r="AP124" s="61"/>
      <x:c r="AQ124" s="64">
        <x:f t="shared" si="18"/>
        <x:v>22</x:v>
      </x:c>
      <x:c r="AR124" s="64" t="str">
        <x:f t="shared" si="19"/>
      </x:c>
      <x:c r="AS124" s="64" t="str">
        <x:f t="shared" si="20"/>
      </x:c>
      <x:c r="AT124" s="62" t="str">
        <x:f t="shared" si="21"/>
        <x:v>Belum Dapat Ditentukan</x:v>
      </x:c>
      <x:c r="AU124" s="59" t="s">
        <x:v>1408</x:v>
      </x:c>
      <x:c r="AV124" s="59" t="s">
        <x:v>1425</x:v>
      </x:c>
      <x:c r="AW124" s="59" t="s">
        <x:v>1410</x:v>
      </x:c>
      <x:c r="AX124" s="59" t="s">
        <x:v>1411</x:v>
      </x:c>
      <x:c r="AY124" s="59"/>
      <x:c r="AZ124" s="59" t="s">
        <x:v>1409</x:v>
      </x:c>
      <x:c r="BA124" s="59"/>
      <x:c r="BB124" s="167"/>
      <x:c r="BC124" s="65">
        <x:v>2026</x:v>
      </x:c>
      <x:c r="BD124" s="59"/>
      <x:c r="BE124" s="167"/>
      <x:c r="BF124" s="59" t="s">
        <x:v>1501</x:v>
      </x:c>
    </x:row>
    <x:row r="125" ht="28">
      <x:c r="A125" s="59" t="s">
        <x:v>1981</x:v>
      </x:c>
      <x:c r="B125" s="59" t="s">
        <x:v>1982</x:v>
      </x:c>
      <x:c r="C125" s="59"/>
      <x:c r="D125" s="59"/>
      <x:c r="E125" s="59" t="s">
        <x:v>1983</x:v>
      </x:c>
      <x:c r="F125" s="59" t="s">
        <x:v>1695</x:v>
      </x:c>
      <x:c r="G125" s="59" t="s">
        <x:v>1534</x:v>
      </x:c>
      <x:c r="H125" s="59" t="s">
        <x:v>1415</x:v>
      </x:c>
      <x:c r="I125" s="59" t="s">
        <x:v>1984</x:v>
      </x:c>
      <x:c r="J125" s="59" t="s">
        <x:v>1416</x:v>
      </x:c>
      <x:c r="K125" s="59" t="s">
        <x:v>1522</x:v>
      </x:c>
      <x:c r="L125" s="59" t="s">
        <x:v>1437</x:v>
      </x:c>
      <x:c r="M125" s="59" t="s">
        <x:v>1500</x:v>
      </x:c>
      <x:c r="N125" s="59" t="s">
        <x:v>1437</x:v>
      </x:c>
      <x:c r="O125" s="59" t="s">
        <x:v>1522</x:v>
      </x:c>
      <x:c r="P125" s="59" t="s">
        <x:v>1437</x:v>
      </x:c>
      <x:c r="Q125" s="75" t="s">
        <x:v>1437</x:v>
      </x:c>
      <x:c r="R125" s="75" t="s">
        <x:v>1437</x:v>
      </x:c>
      <x:c r="S125" s="75" t="s">
        <x:v>1437</x:v>
      </x:c>
      <x:c r="T125" s="75" t="s">
        <x:v>1437</x:v>
      </x:c>
      <x:c r="U125" s="75" t="s">
        <x:v>1437</x:v>
      </x:c>
      <x:c r="V125" s="75" t="s">
        <x:v>1437</x:v>
      </x:c>
      <x:c r="W125" s="60"/>
      <x:c r="X125" s="73" t="str">
        <x:f t="shared" si="11"/>
        <x:v>Belum Dinilai</x:v>
      </x:c>
      <x:c r="Y125" s="73" t="str">
        <x:f t="shared" si="12"/>
        <x:v>Belum Dinilai</x:v>
      </x:c>
      <x:c r="Z125" s="74" t="str">
        <x:f t="shared" si="13"/>
      </x:c>
      <x:c r="AA125" s="74" t="str">
        <x:f t="shared" si="14"/>
      </x:c>
      <x:c r="AB125" s="74" t="str">
        <x:f t="shared" si="15"/>
      </x:c>
      <x:c r="AC125" s="61" t="s">
        <x:v>1437</x:v>
      </x:c>
      <x:c r="AD125" s="61" t="s">
        <x:v>1437</x:v>
      </x:c>
      <x:c r="AE125" s="61" t="s">
        <x:v>1437</x:v>
      </x:c>
      <x:c r="AF125" s="61" t="s">
        <x:v>1437</x:v>
      </x:c>
      <x:c r="AG125" s="61" t="s">
        <x:v>1437</x:v>
      </x:c>
      <x:c r="AH125" s="61" t="s">
        <x:v>1437</x:v>
      </x:c>
      <x:c r="AI125" s="61" t="s">
        <x:v>1437</x:v>
      </x:c>
      <x:c r="AJ125" s="61" t="s">
        <x:v>1437</x:v>
      </x:c>
      <x:c r="AK125" s="61" t="s">
        <x:v>1437</x:v>
      </x:c>
      <x:c r="AL125" s="61"/>
      <x:c r="AM125" s="61" t="s">
        <x:v>1437</x:v>
      </x:c>
      <x:c r="AN125" s="73" t="str">
        <x:f t="shared" si="16"/>
        <x:v>Belum Dinilai</x:v>
      </x:c>
      <x:c r="AO125" s="73" t="str">
        <x:f t="shared" si="17"/>
        <x:v>Belum Dinilai</x:v>
      </x:c>
      <x:c r="AP125" s="61"/>
      <x:c r="AQ125" s="64" t="str">
        <x:f t="shared" si="18"/>
      </x:c>
      <x:c r="AR125" s="64" t="str">
        <x:f t="shared" si="19"/>
      </x:c>
      <x:c r="AS125" s="64" t="str">
        <x:f t="shared" si="20"/>
      </x:c>
      <x:c r="AT125" s="62" t="str">
        <x:f t="shared" si="21"/>
        <x:v>Belum Dapat Ditentukan</x:v>
      </x:c>
      <x:c r="AU125" s="59" t="s">
        <x:v>1408</x:v>
      </x:c>
      <x:c r="AV125" s="59" t="s">
        <x:v>1425</x:v>
      </x:c>
      <x:c r="AW125" s="59" t="s">
        <x:v>1410</x:v>
      </x:c>
      <x:c r="AX125" s="59" t="s">
        <x:v>1411</x:v>
      </x:c>
      <x:c r="AY125" s="59"/>
      <x:c r="AZ125" s="59" t="s">
        <x:v>1409</x:v>
      </x:c>
      <x:c r="BA125" s="59"/>
      <x:c r="BB125" s="167"/>
      <x:c r="BC125" s="65">
        <x:v>2026</x:v>
      </x:c>
      <x:c r="BD125" s="59"/>
      <x:c r="BE125" s="167"/>
      <x:c r="BF125" s="59" t="s">
        <x:v>1501</x:v>
      </x:c>
    </x:row>
    <x:row r="126" ht="42">
      <x:c r="A126" s="59" t="s">
        <x:v>1985</x:v>
      </x:c>
      <x:c r="B126" s="59" t="s">
        <x:v>1986</x:v>
      </x:c>
      <x:c r="C126" s="59"/>
      <x:c r="D126" s="59"/>
      <x:c r="E126" s="59" t="s">
        <x:v>1987</x:v>
      </x:c>
      <x:c r="F126" s="59" t="s">
        <x:v>1695</x:v>
      </x:c>
      <x:c r="G126" s="59" t="s">
        <x:v>1534</x:v>
      </x:c>
      <x:c r="H126" s="59" t="s">
        <x:v>1399</x:v>
      </x:c>
      <x:c r="I126" s="59" t="s">
        <x:v>1988</x:v>
      </x:c>
      <x:c r="J126" s="59" t="s">
        <x:v>1416</x:v>
      </x:c>
      <x:c r="K126" s="59" t="s">
        <x:v>1417</x:v>
      </x:c>
      <x:c r="L126" s="59" t="s">
        <x:v>1418</x:v>
      </x:c>
      <x:c r="M126" s="59" t="s">
        <x:v>1489</x:v>
      </x:c>
      <x:c r="N126" s="59" t="s">
        <x:v>1418</x:v>
      </x:c>
      <x:c r="O126" s="59" t="s">
        <x:v>1404</x:v>
      </x:c>
      <x:c r="P126" s="59" t="s">
        <x:v>1418</x:v>
      </x:c>
      <x:c r="Q126" s="75" t="s">
        <x:v>1437</x:v>
      </x:c>
      <x:c r="R126" s="75" t="s">
        <x:v>1437</x:v>
      </x:c>
      <x:c r="S126" s="75" t="s">
        <x:v>1437</x:v>
      </x:c>
      <x:c r="T126" s="75" t="s">
        <x:v>1437</x:v>
      </x:c>
      <x:c r="U126" s="75" t="s">
        <x:v>1437</x:v>
      </x:c>
      <x:c r="V126" s="75" t="s">
        <x:v>1437</x:v>
      </x:c>
      <x:c r="W126" s="60"/>
      <x:c r="X126" s="73" t="str">
        <x:f t="shared" si="11"/>
        <x:v>Belum Dinilai</x:v>
      </x:c>
      <x:c r="Y126" s="73" t="str">
        <x:f t="shared" si="12"/>
        <x:v>Belum Dinilai</x:v>
      </x:c>
      <x:c r="Z126" s="74" t="str">
        <x:f t="shared" si="13"/>
      </x:c>
      <x:c r="AA126" s="74" t="str">
        <x:f t="shared" si="14"/>
      </x:c>
      <x:c r="AB126" s="74" t="str">
        <x:f t="shared" si="15"/>
      </x:c>
      <x:c r="AC126" s="61" t="s">
        <x:v>1437</x:v>
      </x:c>
      <x:c r="AD126" s="61" t="s">
        <x:v>1437</x:v>
      </x:c>
      <x:c r="AE126" s="61" t="s">
        <x:v>1437</x:v>
      </x:c>
      <x:c r="AF126" s="61" t="s">
        <x:v>1437</x:v>
      </x:c>
      <x:c r="AG126" s="61" t="s">
        <x:v>1437</x:v>
      </x:c>
      <x:c r="AH126" s="61" t="s">
        <x:v>1437</x:v>
      </x:c>
      <x:c r="AI126" s="61" t="s">
        <x:v>1437</x:v>
      </x:c>
      <x:c r="AJ126" s="61" t="s">
        <x:v>1437</x:v>
      </x:c>
      <x:c r="AK126" s="61" t="s">
        <x:v>1437</x:v>
      </x:c>
      <x:c r="AL126" s="61"/>
      <x:c r="AM126" s="61" t="s">
        <x:v>1437</x:v>
      </x:c>
      <x:c r="AN126" s="73" t="str">
        <x:f t="shared" si="16"/>
        <x:v>Belum Dinilai</x:v>
      </x:c>
      <x:c r="AO126" s="73" t="str">
        <x:f t="shared" si="17"/>
        <x:v>Belum Dinilai</x:v>
      </x:c>
      <x:c r="AP126" s="61"/>
      <x:c r="AQ126" s="64">
        <x:f t="shared" si="18"/>
        <x:v>22</x:v>
      </x:c>
      <x:c r="AR126" s="64" t="str">
        <x:f t="shared" si="19"/>
      </x:c>
      <x:c r="AS126" s="64" t="str">
        <x:f t="shared" si="20"/>
      </x:c>
      <x:c r="AT126" s="62" t="str">
        <x:f t="shared" si="21"/>
        <x:v>Belum Dapat Ditentukan</x:v>
      </x:c>
      <x:c r="AU126" s="59" t="s">
        <x:v>1408</x:v>
      </x:c>
      <x:c r="AV126" s="59" t="s">
        <x:v>1425</x:v>
      </x:c>
      <x:c r="AW126" s="59" t="s">
        <x:v>1410</x:v>
      </x:c>
      <x:c r="AX126" s="59" t="s">
        <x:v>1411</x:v>
      </x:c>
      <x:c r="AY126" s="59"/>
      <x:c r="AZ126" s="59" t="s">
        <x:v>1409</x:v>
      </x:c>
      <x:c r="BA126" s="59"/>
      <x:c r="BB126" s="167"/>
      <x:c r="BC126" s="65">
        <x:v>2026</x:v>
      </x:c>
      <x:c r="BD126" s="59"/>
      <x:c r="BE126" s="167"/>
      <x:c r="BF126" s="59" t="s">
        <x:v>1501</x:v>
      </x:c>
    </x:row>
    <x:row r="127" ht="28">
      <x:c r="A127" s="59" t="s">
        <x:v>1989</x:v>
      </x:c>
      <x:c r="B127" s="59" t="s">
        <x:v>1990</x:v>
      </x:c>
      <x:c r="C127" s="59"/>
      <x:c r="D127" s="59"/>
      <x:c r="E127" s="59" t="s">
        <x:v>1991</x:v>
      </x:c>
      <x:c r="F127" s="59" t="s">
        <x:v>1695</x:v>
      </x:c>
      <x:c r="G127" s="59" t="s">
        <x:v>1534</x:v>
      </x:c>
      <x:c r="H127" s="59" t="s">
        <x:v>1399</x:v>
      </x:c>
      <x:c r="I127" s="59" t="s">
        <x:v>1992</x:v>
      </x:c>
      <x:c r="J127" s="59" t="s">
        <x:v>1485</x:v>
      </x:c>
      <x:c r="K127" s="59" t="s">
        <x:v>1522</x:v>
      </x:c>
      <x:c r="L127" s="59" t="s">
        <x:v>1437</x:v>
      </x:c>
      <x:c r="M127" s="59" t="s">
        <x:v>1522</x:v>
      </x:c>
      <x:c r="N127" s="59" t="s">
        <x:v>1437</x:v>
      </x:c>
      <x:c r="O127" s="59" t="s">
        <x:v>1522</x:v>
      </x:c>
      <x:c r="P127" s="59" t="s">
        <x:v>1437</x:v>
      </x:c>
      <x:c r="Q127" s="75" t="s">
        <x:v>1437</x:v>
      </x:c>
      <x:c r="R127" s="75" t="s">
        <x:v>1437</x:v>
      </x:c>
      <x:c r="S127" s="75" t="s">
        <x:v>1437</x:v>
      </x:c>
      <x:c r="T127" s="75" t="s">
        <x:v>1437</x:v>
      </x:c>
      <x:c r="U127" s="75" t="s">
        <x:v>1437</x:v>
      </x:c>
      <x:c r="V127" s="75" t="s">
        <x:v>1437</x:v>
      </x:c>
      <x:c r="W127" s="60"/>
      <x:c r="X127" s="73" t="str">
        <x:f t="shared" si="11"/>
        <x:v>Belum Dinilai</x:v>
      </x:c>
      <x:c r="Y127" s="73" t="str">
        <x:f t="shared" si="12"/>
        <x:v>Belum Dinilai</x:v>
      </x:c>
      <x:c r="Z127" s="74" t="str">
        <x:f t="shared" si="13"/>
      </x:c>
      <x:c r="AA127" s="74" t="str">
        <x:f t="shared" si="14"/>
      </x:c>
      <x:c r="AB127" s="74" t="str">
        <x:f t="shared" si="15"/>
      </x:c>
      <x:c r="AC127" s="61" t="s">
        <x:v>1437</x:v>
      </x:c>
      <x:c r="AD127" s="61" t="s">
        <x:v>1437</x:v>
      </x:c>
      <x:c r="AE127" s="61" t="s">
        <x:v>1437</x:v>
      </x:c>
      <x:c r="AF127" s="61" t="s">
        <x:v>1437</x:v>
      </x:c>
      <x:c r="AG127" s="61" t="s">
        <x:v>1437</x:v>
      </x:c>
      <x:c r="AH127" s="61" t="s">
        <x:v>1437</x:v>
      </x:c>
      <x:c r="AI127" s="61" t="s">
        <x:v>1437</x:v>
      </x:c>
      <x:c r="AJ127" s="61" t="s">
        <x:v>1437</x:v>
      </x:c>
      <x:c r="AK127" s="61" t="s">
        <x:v>1437</x:v>
      </x:c>
      <x:c r="AL127" s="61"/>
      <x:c r="AM127" s="61" t="s">
        <x:v>1437</x:v>
      </x:c>
      <x:c r="AN127" s="73" t="str">
        <x:f t="shared" si="16"/>
        <x:v>Belum Dinilai</x:v>
      </x:c>
      <x:c r="AO127" s="73" t="str">
        <x:f t="shared" si="17"/>
        <x:v>Belum Dinilai</x:v>
      </x:c>
      <x:c r="AP127" s="61"/>
      <x:c r="AQ127" s="64" t="str">
        <x:f t="shared" si="18"/>
      </x:c>
      <x:c r="AR127" s="64" t="str">
        <x:f t="shared" si="19"/>
      </x:c>
      <x:c r="AS127" s="64" t="str">
        <x:f t="shared" si="20"/>
      </x:c>
      <x:c r="AT127" s="62" t="str">
        <x:f t="shared" si="21"/>
        <x:v>Belum Dapat Ditentukan</x:v>
      </x:c>
      <x:c r="AU127" s="59" t="s">
        <x:v>1408</x:v>
      </x:c>
      <x:c r="AV127" s="59" t="s">
        <x:v>1425</x:v>
      </x:c>
      <x:c r="AW127" s="59" t="s">
        <x:v>1523</x:v>
      </x:c>
      <x:c r="AX127" s="59" t="s">
        <x:v>1439</x:v>
      </x:c>
      <x:c r="AY127" s="59">
        <x:v>2023</x:v>
      </x:c>
      <x:c r="AZ127" s="59" t="s">
        <x:v>1409</x:v>
      </x:c>
      <x:c r="BA127" s="59"/>
      <x:c r="BB127" s="167"/>
      <x:c r="BC127" s="65">
        <x:v>2026</x:v>
      </x:c>
      <x:c r="BD127" s="59"/>
      <x:c r="BE127" s="167"/>
      <x:c r="BF127" s="59" t="s">
        <x:v>1501</x:v>
      </x:c>
    </x:row>
    <x:row r="128" ht="42">
      <x:c r="A128" s="59" t="s">
        <x:v>1993</x:v>
      </x:c>
      <x:c r="B128" s="59" t="s">
        <x:v>1994</x:v>
      </x:c>
      <x:c r="C128" s="59"/>
      <x:c r="D128" s="59"/>
      <x:c r="E128" s="59" t="s">
        <x:v>1995</x:v>
      </x:c>
      <x:c r="F128" s="59" t="s">
        <x:v>1695</x:v>
      </x:c>
      <x:c r="G128" s="59" t="s">
        <x:v>1534</x:v>
      </x:c>
      <x:c r="H128" s="59" t="s">
        <x:v>1415</x:v>
      </x:c>
      <x:c r="I128" s="59" t="s">
        <x:v>1996</x:v>
      </x:c>
      <x:c r="J128" s="59" t="s">
        <x:v>1416</x:v>
      </x:c>
      <x:c r="K128" s="59" t="s">
        <x:v>1432</x:v>
      </x:c>
      <x:c r="L128" s="59" t="s">
        <x:v>1418</x:v>
      </x:c>
      <x:c r="M128" s="59" t="s">
        <x:v>1500</x:v>
      </x:c>
      <x:c r="N128" s="59" t="s">
        <x:v>1418</x:v>
      </x:c>
      <x:c r="O128" s="59" t="s">
        <x:v>1435</x:v>
      </x:c>
      <x:c r="P128" s="59" t="s">
        <x:v>1418</x:v>
      </x:c>
      <x:c r="Q128" s="75" t="s">
        <x:v>1437</x:v>
      </x:c>
      <x:c r="R128" s="75" t="s">
        <x:v>1437</x:v>
      </x:c>
      <x:c r="S128" s="75" t="s">
        <x:v>1437</x:v>
      </x:c>
      <x:c r="T128" s="75" t="s">
        <x:v>1437</x:v>
      </x:c>
      <x:c r="U128" s="75" t="s">
        <x:v>1437</x:v>
      </x:c>
      <x:c r="V128" s="75" t="s">
        <x:v>1437</x:v>
      </x:c>
      <x:c r="W128" s="60"/>
      <x:c r="X128" s="73" t="str">
        <x:f t="shared" si="11"/>
        <x:v>Belum Dinilai</x:v>
      </x:c>
      <x:c r="Y128" s="73" t="str">
        <x:f t="shared" si="12"/>
        <x:v>Belum Dinilai</x:v>
      </x:c>
      <x:c r="Z128" s="74" t="str">
        <x:f t="shared" si="13"/>
      </x:c>
      <x:c r="AA128" s="74" t="str">
        <x:f t="shared" si="14"/>
      </x:c>
      <x:c r="AB128" s="74" t="str">
        <x:f t="shared" si="15"/>
      </x:c>
      <x:c r="AC128" s="61" t="s">
        <x:v>1437</x:v>
      </x:c>
      <x:c r="AD128" s="61" t="s">
        <x:v>1437</x:v>
      </x:c>
      <x:c r="AE128" s="61" t="s">
        <x:v>1437</x:v>
      </x:c>
      <x:c r="AF128" s="61" t="s">
        <x:v>1437</x:v>
      </x:c>
      <x:c r="AG128" s="61" t="s">
        <x:v>1437</x:v>
      </x:c>
      <x:c r="AH128" s="61" t="s">
        <x:v>1437</x:v>
      </x:c>
      <x:c r="AI128" s="61" t="s">
        <x:v>1437</x:v>
      </x:c>
      <x:c r="AJ128" s="61" t="s">
        <x:v>1437</x:v>
      </x:c>
      <x:c r="AK128" s="61" t="s">
        <x:v>1437</x:v>
      </x:c>
      <x:c r="AL128" s="61"/>
      <x:c r="AM128" s="61" t="s">
        <x:v>1437</x:v>
      </x:c>
      <x:c r="AN128" s="73" t="str">
        <x:f t="shared" si="16"/>
        <x:v>Belum Dinilai</x:v>
      </x:c>
      <x:c r="AO128" s="73" t="str">
        <x:f t="shared" si="17"/>
        <x:v>Belum Dinilai</x:v>
      </x:c>
      <x:c r="AP128" s="61"/>
      <x:c r="AQ128" s="64">
        <x:f t="shared" si="18"/>
        <x:v>22</x:v>
      </x:c>
      <x:c r="AR128" s="64" t="str">
        <x:f t="shared" si="19"/>
      </x:c>
      <x:c r="AS128" s="64" t="str">
        <x:f t="shared" si="20"/>
      </x:c>
      <x:c r="AT128" s="62" t="str">
        <x:f t="shared" si="21"/>
        <x:v>Belum Dapat Ditentukan</x:v>
      </x:c>
      <x:c r="AU128" s="59" t="s">
        <x:v>1408</x:v>
      </x:c>
      <x:c r="AV128" s="59" t="s">
        <x:v>1425</x:v>
      </x:c>
      <x:c r="AW128" s="59" t="s">
        <x:v>1410</x:v>
      </x:c>
      <x:c r="AX128" s="59" t="s">
        <x:v>1411</x:v>
      </x:c>
      <x:c r="AY128" s="59"/>
      <x:c r="AZ128" s="59" t="s">
        <x:v>1409</x:v>
      </x:c>
      <x:c r="BA128" s="59"/>
      <x:c r="BB128" s="167"/>
      <x:c r="BC128" s="65">
        <x:v>2026</x:v>
      </x:c>
      <x:c r="BD128" s="59"/>
      <x:c r="BE128" s="167"/>
      <x:c r="BF128" s="59" t="s">
        <x:v>1501</x:v>
      </x:c>
    </x:row>
    <x:row r="129" ht="56">
      <x:c r="A129" s="59" t="s">
        <x:v>1997</x:v>
      </x:c>
      <x:c r="B129" s="59" t="s">
        <x:v>1998</x:v>
      </x:c>
      <x:c r="C129" s="59"/>
      <x:c r="D129" s="59"/>
      <x:c r="E129" s="59" t="s">
        <x:v>1999</x:v>
      </x:c>
      <x:c r="F129" s="59" t="s">
        <x:v>1695</x:v>
      </x:c>
      <x:c r="G129" s="59" t="s">
        <x:v>1534</x:v>
      </x:c>
      <x:c r="H129" s="59" t="s">
        <x:v>1399</x:v>
      </x:c>
      <x:c r="I129" s="59" t="s">
        <x:v>2000</x:v>
      </x:c>
      <x:c r="J129" s="59" t="s">
        <x:v>1416</x:v>
      </x:c>
      <x:c r="K129" s="59" t="s">
        <x:v>1522</x:v>
      </x:c>
      <x:c r="L129" s="59" t="s">
        <x:v>1418</x:v>
      </x:c>
      <x:c r="M129" s="59" t="s">
        <x:v>1489</x:v>
      </x:c>
      <x:c r="N129" s="59" t="s">
        <x:v>1418</x:v>
      </x:c>
      <x:c r="O129" s="59" t="s">
        <x:v>1435</x:v>
      </x:c>
      <x:c r="P129" s="59" t="s">
        <x:v>1418</x:v>
      </x:c>
      <x:c r="Q129" s="75" t="s">
        <x:v>1437</x:v>
      </x:c>
      <x:c r="R129" s="75" t="s">
        <x:v>1437</x:v>
      </x:c>
      <x:c r="S129" s="75" t="s">
        <x:v>1437</x:v>
      </x:c>
      <x:c r="T129" s="75" t="s">
        <x:v>1437</x:v>
      </x:c>
      <x:c r="U129" s="75" t="s">
        <x:v>1437</x:v>
      </x:c>
      <x:c r="V129" s="75" t="s">
        <x:v>1437</x:v>
      </x:c>
      <x:c r="W129" s="60"/>
      <x:c r="X129" s="73" t="str">
        <x:f t="shared" si="11"/>
        <x:v>Belum Dinilai</x:v>
      </x:c>
      <x:c r="Y129" s="73" t="str">
        <x:f t="shared" si="12"/>
        <x:v>Belum Dinilai</x:v>
      </x:c>
      <x:c r="Z129" s="74" t="str">
        <x:f t="shared" si="13"/>
      </x:c>
      <x:c r="AA129" s="74" t="str">
        <x:f t="shared" si="14"/>
      </x:c>
      <x:c r="AB129" s="74" t="str">
        <x:f t="shared" si="15"/>
      </x:c>
      <x:c r="AC129" s="61" t="s">
        <x:v>1437</x:v>
      </x:c>
      <x:c r="AD129" s="61" t="s">
        <x:v>1437</x:v>
      </x:c>
      <x:c r="AE129" s="61" t="s">
        <x:v>1437</x:v>
      </x:c>
      <x:c r="AF129" s="61" t="s">
        <x:v>1437</x:v>
      </x:c>
      <x:c r="AG129" s="61" t="s">
        <x:v>1437</x:v>
      </x:c>
      <x:c r="AH129" s="61" t="s">
        <x:v>1437</x:v>
      </x:c>
      <x:c r="AI129" s="61" t="s">
        <x:v>1437</x:v>
      </x:c>
      <x:c r="AJ129" s="61" t="s">
        <x:v>1437</x:v>
      </x:c>
      <x:c r="AK129" s="61" t="s">
        <x:v>1437</x:v>
      </x:c>
      <x:c r="AL129" s="61"/>
      <x:c r="AM129" s="61" t="s">
        <x:v>1437</x:v>
      </x:c>
      <x:c r="AN129" s="73" t="str">
        <x:f t="shared" si="16"/>
        <x:v>Belum Dinilai</x:v>
      </x:c>
      <x:c r="AO129" s="73" t="str">
        <x:f t="shared" si="17"/>
        <x:v>Belum Dinilai</x:v>
      </x:c>
      <x:c r="AP129" s="61"/>
      <x:c r="AQ129" s="64">
        <x:f t="shared" si="18"/>
        <x:v>22</x:v>
      </x:c>
      <x:c r="AR129" s="64" t="str">
        <x:f t="shared" si="19"/>
      </x:c>
      <x:c r="AS129" s="64" t="str">
        <x:f t="shared" si="20"/>
      </x:c>
      <x:c r="AT129" s="62" t="str">
        <x:f t="shared" si="21"/>
        <x:v>Belum Dapat Ditentukan</x:v>
      </x:c>
      <x:c r="AU129" s="59" t="s">
        <x:v>1408</x:v>
      </x:c>
      <x:c r="AV129" s="59" t="s">
        <x:v>1425</x:v>
      </x:c>
      <x:c r="AW129" s="59" t="s">
        <x:v>1410</x:v>
      </x:c>
      <x:c r="AX129" s="59" t="s">
        <x:v>1411</x:v>
      </x:c>
      <x:c r="AY129" s="59"/>
      <x:c r="AZ129" s="59" t="s">
        <x:v>1409</x:v>
      </x:c>
      <x:c r="BA129" s="59"/>
      <x:c r="BB129" s="167"/>
      <x:c r="BC129" s="65">
        <x:v>2026</x:v>
      </x:c>
      <x:c r="BD129" s="59"/>
      <x:c r="BE129" s="167"/>
      <x:c r="BF129" s="59" t="s">
        <x:v>1501</x:v>
      </x:c>
    </x:row>
    <x:row r="130" ht="42">
      <x:c r="A130" s="59" t="s">
        <x:v>2001</x:v>
      </x:c>
      <x:c r="B130" s="59" t="s">
        <x:v>2002</x:v>
      </x:c>
      <x:c r="C130" s="59"/>
      <x:c r="D130" s="59"/>
      <x:c r="E130" s="59" t="s">
        <x:v>2003</x:v>
      </x:c>
      <x:c r="F130" s="59" t="s">
        <x:v>1695</x:v>
      </x:c>
      <x:c r="G130" s="59" t="s">
        <x:v>1534</x:v>
      </x:c>
      <x:c r="H130" s="59" t="s">
        <x:v>1399</x:v>
      </x:c>
      <x:c r="I130" s="59" t="s">
        <x:v>2004</x:v>
      </x:c>
      <x:c r="J130" s="59" t="s">
        <x:v>1431</x:v>
      </x:c>
      <x:c r="K130" s="59" t="s">
        <x:v>1417</x:v>
      </x:c>
      <x:c r="L130" s="59" t="s">
        <x:v>1418</x:v>
      </x:c>
      <x:c r="M130" s="59" t="s">
        <x:v>1489</x:v>
      </x:c>
      <x:c r="N130" s="59" t="s">
        <x:v>1418</x:v>
      </x:c>
      <x:c r="O130" s="59" t="s">
        <x:v>1522</x:v>
      </x:c>
      <x:c r="P130" s="59" t="s">
        <x:v>1418</x:v>
      </x:c>
      <x:c r="Q130" s="75" t="s">
        <x:v>1437</x:v>
      </x:c>
      <x:c r="R130" s="75" t="s">
        <x:v>1437</x:v>
      </x:c>
      <x:c r="S130" s="75" t="s">
        <x:v>1437</x:v>
      </x:c>
      <x:c r="T130" s="75" t="s">
        <x:v>1437</x:v>
      </x:c>
      <x:c r="U130" s="75" t="s">
        <x:v>1437</x:v>
      </x:c>
      <x:c r="V130" s="75" t="s">
        <x:v>1437</x:v>
      </x:c>
      <x:c r="W130" s="60"/>
      <x:c r="X130" s="73" t="str">
        <x:f t="shared" si="11"/>
        <x:v>Belum Dinilai</x:v>
      </x:c>
      <x:c r="Y130" s="73" t="str">
        <x:f t="shared" si="12"/>
        <x:v>Belum Dinilai</x:v>
      </x:c>
      <x:c r="Z130" s="74" t="str">
        <x:f t="shared" si="13"/>
      </x:c>
      <x:c r="AA130" s="74" t="str">
        <x:f t="shared" si="14"/>
      </x:c>
      <x:c r="AB130" s="74" t="str">
        <x:f t="shared" si="15"/>
      </x:c>
      <x:c r="AC130" s="61" t="s">
        <x:v>1437</x:v>
      </x:c>
      <x:c r="AD130" s="61" t="s">
        <x:v>1437</x:v>
      </x:c>
      <x:c r="AE130" s="61" t="s">
        <x:v>1437</x:v>
      </x:c>
      <x:c r="AF130" s="61" t="s">
        <x:v>1437</x:v>
      </x:c>
      <x:c r="AG130" s="61" t="s">
        <x:v>1437</x:v>
      </x:c>
      <x:c r="AH130" s="61" t="s">
        <x:v>1437</x:v>
      </x:c>
      <x:c r="AI130" s="61" t="s">
        <x:v>1437</x:v>
      </x:c>
      <x:c r="AJ130" s="61" t="s">
        <x:v>1437</x:v>
      </x:c>
      <x:c r="AK130" s="61" t="s">
        <x:v>1437</x:v>
      </x:c>
      <x:c r="AL130" s="61"/>
      <x:c r="AM130" s="61" t="s">
        <x:v>1437</x:v>
      </x:c>
      <x:c r="AN130" s="73" t="str">
        <x:f t="shared" si="16"/>
        <x:v>Belum Dinilai</x:v>
      </x:c>
      <x:c r="AO130" s="73" t="str">
        <x:f t="shared" si="17"/>
        <x:v>Belum Dinilai</x:v>
      </x:c>
      <x:c r="AP130" s="61"/>
      <x:c r="AQ130" s="64">
        <x:f t="shared" si="18"/>
        <x:v>29</x:v>
      </x:c>
      <x:c r="AR130" s="64" t="str">
        <x:f t="shared" si="19"/>
      </x:c>
      <x:c r="AS130" s="64" t="str">
        <x:f t="shared" si="20"/>
      </x:c>
      <x:c r="AT130" s="62" t="str">
        <x:f t="shared" si="21"/>
        <x:v>Belum Dapat Ditentukan</x:v>
      </x:c>
      <x:c r="AU130" s="59" t="s">
        <x:v>1408</x:v>
      </x:c>
      <x:c r="AV130" s="59" t="s">
        <x:v>1425</x:v>
      </x:c>
      <x:c r="AW130" s="59" t="s">
        <x:v>1410</x:v>
      </x:c>
      <x:c r="AX130" s="59" t="s">
        <x:v>1411</x:v>
      </x:c>
      <x:c r="AY130" s="59"/>
      <x:c r="AZ130" s="59" t="s">
        <x:v>1409</x:v>
      </x:c>
      <x:c r="BA130" s="59"/>
      <x:c r="BB130" s="167"/>
      <x:c r="BC130" s="65">
        <x:v>2026</x:v>
      </x:c>
      <x:c r="BD130" s="59"/>
      <x:c r="BE130" s="167"/>
      <x:c r="BF130" s="59" t="s">
        <x:v>1501</x:v>
      </x:c>
    </x:row>
    <x:row r="131" ht="42">
      <x:c r="A131" s="59" t="s">
        <x:v>2005</x:v>
      </x:c>
      <x:c r="B131" s="59" t="s">
        <x:v>2006</x:v>
      </x:c>
      <x:c r="C131" s="59"/>
      <x:c r="D131" s="59"/>
      <x:c r="E131" s="59" t="s">
        <x:v>2007</x:v>
      </x:c>
      <x:c r="F131" s="59" t="s">
        <x:v>1695</x:v>
      </x:c>
      <x:c r="G131" s="59" t="s">
        <x:v>1534</x:v>
      </x:c>
      <x:c r="H131" s="59" t="s">
        <x:v>1484</x:v>
      </x:c>
      <x:c r="I131" s="59" t="s">
        <x:v>2008</x:v>
      </x:c>
      <x:c r="J131" s="59" t="s">
        <x:v>1431</x:v>
      </x:c>
      <x:c r="K131" s="59" t="s">
        <x:v>1432</x:v>
      </x:c>
      <x:c r="L131" s="59" t="s">
        <x:v>1418</x:v>
      </x:c>
      <x:c r="M131" s="59" t="s">
        <x:v>1489</x:v>
      </x:c>
      <x:c r="N131" s="59" t="s">
        <x:v>1418</x:v>
      </x:c>
      <x:c r="O131" s="59" t="s">
        <x:v>1404</x:v>
      </x:c>
      <x:c r="P131" s="59" t="s">
        <x:v>1418</x:v>
      </x:c>
      <x:c r="Q131" s="75" t="s">
        <x:v>1437</x:v>
      </x:c>
      <x:c r="R131" s="75" t="s">
        <x:v>1437</x:v>
      </x:c>
      <x:c r="S131" s="75" t="s">
        <x:v>1437</x:v>
      </x:c>
      <x:c r="T131" s="75" t="s">
        <x:v>1437</x:v>
      </x:c>
      <x:c r="U131" s="75" t="s">
        <x:v>1437</x:v>
      </x:c>
      <x:c r="V131" s="75" t="s">
        <x:v>1437</x:v>
      </x:c>
      <x:c r="W131" s="60"/>
      <x:c r="X131" s="73" t="str">
        <x:f t="shared" si="11"/>
        <x:v>Belum Dinilai</x:v>
      </x:c>
      <x:c r="Y131" s="73" t="str">
        <x:f t="shared" si="12"/>
        <x:v>Belum Dinilai</x:v>
      </x:c>
      <x:c r="Z131" s="74" t="str">
        <x:f t="shared" si="13"/>
      </x:c>
      <x:c r="AA131" s="74" t="str">
        <x:f t="shared" si="14"/>
      </x:c>
      <x:c r="AB131" s="74" t="str">
        <x:f t="shared" si="15"/>
      </x:c>
      <x:c r="AC131" s="61" t="s">
        <x:v>1437</x:v>
      </x:c>
      <x:c r="AD131" s="61" t="s">
        <x:v>1437</x:v>
      </x:c>
      <x:c r="AE131" s="61" t="s">
        <x:v>1437</x:v>
      </x:c>
      <x:c r="AF131" s="61" t="s">
        <x:v>1437</x:v>
      </x:c>
      <x:c r="AG131" s="61" t="s">
        <x:v>1437</x:v>
      </x:c>
      <x:c r="AH131" s="61" t="s">
        <x:v>1437</x:v>
      </x:c>
      <x:c r="AI131" s="61" t="s">
        <x:v>1437</x:v>
      </x:c>
      <x:c r="AJ131" s="61" t="s">
        <x:v>1437</x:v>
      </x:c>
      <x:c r="AK131" s="61" t="s">
        <x:v>1437</x:v>
      </x:c>
      <x:c r="AL131" s="61"/>
      <x:c r="AM131" s="61" t="s">
        <x:v>1437</x:v>
      </x:c>
      <x:c r="AN131" s="73" t="str">
        <x:f t="shared" si="16"/>
        <x:v>Belum Dinilai</x:v>
      </x:c>
      <x:c r="AO131" s="73" t="str">
        <x:f t="shared" si="17"/>
        <x:v>Belum Dinilai</x:v>
      </x:c>
      <x:c r="AP131" s="61"/>
      <x:c r="AQ131" s="64">
        <x:f t="shared" si="18"/>
        <x:v>29</x:v>
      </x:c>
      <x:c r="AR131" s="64" t="str">
        <x:f t="shared" si="19"/>
      </x:c>
      <x:c r="AS131" s="64" t="str">
        <x:f t="shared" si="20"/>
      </x:c>
      <x:c r="AT131" s="62" t="str">
        <x:f t="shared" si="21"/>
        <x:v>Belum Dapat Ditentukan</x:v>
      </x:c>
      <x:c r="AU131" s="59" t="s">
        <x:v>1424</x:v>
      </x:c>
      <x:c r="AV131" s="59" t="s">
        <x:v>1425</x:v>
      </x:c>
      <x:c r="AW131" s="59" t="s">
        <x:v>1410</x:v>
      </x:c>
      <x:c r="AX131" s="59" t="s">
        <x:v>1411</x:v>
      </x:c>
      <x:c r="AY131" s="59"/>
      <x:c r="AZ131" s="59" t="s">
        <x:v>1409</x:v>
      </x:c>
      <x:c r="BA131" s="59"/>
      <x:c r="BB131" s="167"/>
      <x:c r="BC131" s="65">
        <x:v>2026</x:v>
      </x:c>
      <x:c r="BD131" s="59"/>
      <x:c r="BE131" s="167"/>
      <x:c r="BF131" s="59" t="s">
        <x:v>1501</x:v>
      </x:c>
    </x:row>
    <x:row r="132" ht="28">
      <x:c r="A132" s="59" t="s">
        <x:v>2009</x:v>
      </x:c>
      <x:c r="B132" s="59" t="s">
        <x:v>2010</x:v>
      </x:c>
      <x:c r="C132" s="59"/>
      <x:c r="D132" s="59"/>
      <x:c r="E132" s="59" t="s">
        <x:v>2011</x:v>
      </x:c>
      <x:c r="F132" s="59" t="s">
        <x:v>1783</x:v>
      </x:c>
      <x:c r="G132" s="59" t="s">
        <x:v>1498</x:v>
      </x:c>
      <x:c r="H132" s="59" t="s">
        <x:v>1484</x:v>
      </x:c>
      <x:c r="I132" s="59" t="s">
        <x:v>2012</x:v>
      </x:c>
      <x:c r="J132" s="59" t="s">
        <x:v>1400</x:v>
      </x:c>
      <x:c r="K132" s="59" t="s">
        <x:v>1522</x:v>
      </x:c>
      <x:c r="L132" s="59" t="s">
        <x:v>1437</x:v>
      </x:c>
      <x:c r="M132" s="59" t="s">
        <x:v>1488</x:v>
      </x:c>
      <x:c r="N132" s="59" t="s">
        <x:v>1437</x:v>
      </x:c>
      <x:c r="O132" s="59" t="s">
        <x:v>1522</x:v>
      </x:c>
      <x:c r="P132" s="59" t="s">
        <x:v>1437</x:v>
      </x:c>
      <x:c r="Q132" s="75" t="s">
        <x:v>1437</x:v>
      </x:c>
      <x:c r="R132" s="75" t="s">
        <x:v>1437</x:v>
      </x:c>
      <x:c r="S132" s="75" t="s">
        <x:v>1437</x:v>
      </x:c>
      <x:c r="T132" s="75" t="s">
        <x:v>1437</x:v>
      </x:c>
      <x:c r="U132" s="75" t="s">
        <x:v>1437</x:v>
      </x:c>
      <x:c r="V132" s="75" t="s">
        <x:v>1437</x:v>
      </x:c>
      <x:c r="W132" s="60"/>
      <x:c r="X132" s="73" t="str">
        <x:f t="shared" si="11"/>
        <x:v>Belum Dinilai</x:v>
      </x:c>
      <x:c r="Y132" s="73" t="str">
        <x:f t="shared" si="12"/>
        <x:v>Belum Dinilai</x:v>
      </x:c>
      <x:c r="Z132" s="74" t="str">
        <x:f t="shared" si="13"/>
      </x:c>
      <x:c r="AA132" s="74" t="str">
        <x:f t="shared" si="14"/>
      </x:c>
      <x:c r="AB132" s="74" t="str">
        <x:f t="shared" si="15"/>
      </x:c>
      <x:c r="AC132" s="61" t="s">
        <x:v>1437</x:v>
      </x:c>
      <x:c r="AD132" s="61" t="s">
        <x:v>1437</x:v>
      </x:c>
      <x:c r="AE132" s="61" t="s">
        <x:v>1437</x:v>
      </x:c>
      <x:c r="AF132" s="61" t="s">
        <x:v>1437</x:v>
      </x:c>
      <x:c r="AG132" s="61" t="s">
        <x:v>1437</x:v>
      </x:c>
      <x:c r="AH132" s="61" t="s">
        <x:v>1437</x:v>
      </x:c>
      <x:c r="AI132" s="61" t="s">
        <x:v>1437</x:v>
      </x:c>
      <x:c r="AJ132" s="61" t="s">
        <x:v>1437</x:v>
      </x:c>
      <x:c r="AK132" s="61" t="s">
        <x:v>1437</x:v>
      </x:c>
      <x:c r="AL132" s="61"/>
      <x:c r="AM132" s="61" t="s">
        <x:v>1437</x:v>
      </x:c>
      <x:c r="AN132" s="73" t="str">
        <x:f t="shared" si="16"/>
        <x:v>Belum Dinilai</x:v>
      </x:c>
      <x:c r="AO132" s="73" t="str">
        <x:f t="shared" si="17"/>
        <x:v>Belum Dinilai</x:v>
      </x:c>
      <x:c r="AP132" s="61"/>
      <x:c r="AQ132" s="64" t="str">
        <x:f t="shared" si="18"/>
      </x:c>
      <x:c r="AR132" s="64" t="str">
        <x:f t="shared" si="19"/>
      </x:c>
      <x:c r="AS132" s="64" t="str">
        <x:f t="shared" si="20"/>
      </x:c>
      <x:c r="AT132" s="62" t="str">
        <x:f t="shared" si="21"/>
        <x:v>Belum Dapat Ditentukan</x:v>
      </x:c>
      <x:c r="AU132" s="59" t="s">
        <x:v>1408</x:v>
      </x:c>
      <x:c r="AV132" s="59" t="s">
        <x:v>1425</x:v>
      </x:c>
      <x:c r="AW132" s="59" t="s">
        <x:v>1410</x:v>
      </x:c>
      <x:c r="AX132" s="59" t="s">
        <x:v>1411</x:v>
      </x:c>
      <x:c r="AY132" s="59"/>
      <x:c r="AZ132" s="59" t="s">
        <x:v>1409</x:v>
      </x:c>
      <x:c r="BA132" s="59"/>
      <x:c r="BB132" s="167"/>
      <x:c r="BC132" s="65">
        <x:v>2026</x:v>
      </x:c>
      <x:c r="BD132" s="59"/>
      <x:c r="BE132" s="167"/>
      <x:c r="BF132" s="59" t="s">
        <x:v>1501</x:v>
      </x:c>
    </x:row>
    <x:row r="133" ht="42">
      <x:c r="A133" s="59" t="s">
        <x:v>2013</x:v>
      </x:c>
      <x:c r="B133" s="59" t="s">
        <x:v>2014</x:v>
      </x:c>
      <x:c r="C133" s="59"/>
      <x:c r="D133" s="59"/>
      <x:c r="E133" s="59" t="s">
        <x:v>2015</x:v>
      </x:c>
      <x:c r="F133" s="59" t="s">
        <x:v>1783</x:v>
      </x:c>
      <x:c r="G133" s="59" t="s">
        <x:v>1498</x:v>
      </x:c>
      <x:c r="H133" s="59" t="s">
        <x:v>1484</x:v>
      </x:c>
      <x:c r="I133" s="59" t="s">
        <x:v>2016</x:v>
      </x:c>
      <x:c r="J133" s="59" t="s">
        <x:v>1416</x:v>
      </x:c>
      <x:c r="K133" s="59" t="s">
        <x:v>1432</x:v>
      </x:c>
      <x:c r="L133" s="59" t="s">
        <x:v>1418</x:v>
      </x:c>
      <x:c r="M133" s="59" t="s">
        <x:v>1500</x:v>
      </x:c>
      <x:c r="N133" s="59" t="s">
        <x:v>1437</x:v>
      </x:c>
      <x:c r="O133" s="59" t="s">
        <x:v>1435</x:v>
      </x:c>
      <x:c r="P133" s="59" t="s">
        <x:v>1418</x:v>
      </x:c>
      <x:c r="Q133" s="75" t="s">
        <x:v>1437</x:v>
      </x:c>
      <x:c r="R133" s="75" t="s">
        <x:v>1437</x:v>
      </x:c>
      <x:c r="S133" s="75" t="s">
        <x:v>1437</x:v>
      </x:c>
      <x:c r="T133" s="75" t="s">
        <x:v>1437</x:v>
      </x:c>
      <x:c r="U133" s="75" t="s">
        <x:v>1437</x:v>
      </x:c>
      <x:c r="V133" s="75" t="s">
        <x:v>1437</x:v>
      </x:c>
      <x:c r="W133" s="60"/>
      <x:c r="X133" s="73" t="str">
        <x:f t="shared" si="11"/>
        <x:v>Belum Dinilai</x:v>
      </x:c>
      <x:c r="Y133" s="73" t="str">
        <x:f t="shared" si="12"/>
        <x:v>Belum Dinilai</x:v>
      </x:c>
      <x:c r="Z133" s="74" t="str">
        <x:f t="shared" si="13"/>
      </x:c>
      <x:c r="AA133" s="74" t="str">
        <x:f t="shared" si="14"/>
      </x:c>
      <x:c r="AB133" s="74" t="str">
        <x:f t="shared" si="15"/>
      </x:c>
      <x:c r="AC133" s="61" t="s">
        <x:v>1437</x:v>
      </x:c>
      <x:c r="AD133" s="61" t="s">
        <x:v>1437</x:v>
      </x:c>
      <x:c r="AE133" s="61" t="s">
        <x:v>1437</x:v>
      </x:c>
      <x:c r="AF133" s="61" t="s">
        <x:v>1437</x:v>
      </x:c>
      <x:c r="AG133" s="61" t="s">
        <x:v>1437</x:v>
      </x:c>
      <x:c r="AH133" s="61" t="s">
        <x:v>1437</x:v>
      </x:c>
      <x:c r="AI133" s="61" t="s">
        <x:v>1437</x:v>
      </x:c>
      <x:c r="AJ133" s="61" t="s">
        <x:v>1437</x:v>
      </x:c>
      <x:c r="AK133" s="61" t="s">
        <x:v>1437</x:v>
      </x:c>
      <x:c r="AL133" s="61"/>
      <x:c r="AM133" s="61" t="s">
        <x:v>1437</x:v>
      </x:c>
      <x:c r="AN133" s="73" t="str">
        <x:f t="shared" si="16"/>
        <x:v>Belum Dinilai</x:v>
      </x:c>
      <x:c r="AO133" s="73" t="str">
        <x:f t="shared" si="17"/>
        <x:v>Belum Dinilai</x:v>
      </x:c>
      <x:c r="AP133" s="61"/>
      <x:c r="AQ133" s="64" t="str">
        <x:f t="shared" si="18"/>
      </x:c>
      <x:c r="AR133" s="64" t="str">
        <x:f t="shared" si="19"/>
      </x:c>
      <x:c r="AS133" s="64" t="str">
        <x:f t="shared" si="20"/>
      </x:c>
      <x:c r="AT133" s="62" t="str">
        <x:f t="shared" si="21"/>
        <x:v>Belum Dapat Ditentukan</x:v>
      </x:c>
      <x:c r="AU133" s="59" t="s">
        <x:v>1424</x:v>
      </x:c>
      <x:c r="AV133" s="59" t="s">
        <x:v>1425</x:v>
      </x:c>
      <x:c r="AW133" s="59" t="s">
        <x:v>1410</x:v>
      </x:c>
      <x:c r="AX133" s="59" t="s">
        <x:v>1411</x:v>
      </x:c>
      <x:c r="AY133" s="59"/>
      <x:c r="AZ133" s="59" t="s">
        <x:v>1409</x:v>
      </x:c>
      <x:c r="BA133" s="59"/>
      <x:c r="BB133" s="167"/>
      <x:c r="BC133" s="65">
        <x:v>2026</x:v>
      </x:c>
      <x:c r="BD133" s="59"/>
      <x:c r="BE133" s="167"/>
      <x:c r="BF133" s="59" t="s">
        <x:v>1501</x:v>
      </x:c>
    </x:row>
    <x:row r="134" ht="56">
      <x:c r="A134" s="59" t="s">
        <x:v>2017</x:v>
      </x:c>
      <x:c r="B134" s="59" t="s">
        <x:v>2018</x:v>
      </x:c>
      <x:c r="C134" s="59"/>
      <x:c r="D134" s="59"/>
      <x:c r="E134" s="59" t="s">
        <x:v>2015</x:v>
      </x:c>
      <x:c r="F134" s="59" t="s">
        <x:v>1783</x:v>
      </x:c>
      <x:c r="G134" s="59" t="s">
        <x:v>1498</x:v>
      </x:c>
      <x:c r="H134" s="59" t="s">
        <x:v>1484</x:v>
      </x:c>
      <x:c r="I134" s="59" t="s">
        <x:v>2019</x:v>
      </x:c>
      <x:c r="J134" s="59" t="s">
        <x:v>1431</x:v>
      </x:c>
      <x:c r="K134" s="59" t="s">
        <x:v>1417</x:v>
      </x:c>
      <x:c r="L134" s="59" t="s">
        <x:v>1418</x:v>
      </x:c>
      <x:c r="M134" s="59" t="s">
        <x:v>1489</x:v>
      </x:c>
      <x:c r="N134" s="59" t="s">
        <x:v>1418</x:v>
      </x:c>
      <x:c r="O134" s="59" t="s">
        <x:v>1435</x:v>
      </x:c>
      <x:c r="P134" s="59" t="s">
        <x:v>1418</x:v>
      </x:c>
      <x:c r="Q134" s="75" t="s">
        <x:v>1437</x:v>
      </x:c>
      <x:c r="R134" s="75" t="s">
        <x:v>1437</x:v>
      </x:c>
      <x:c r="S134" s="75" t="s">
        <x:v>1437</x:v>
      </x:c>
      <x:c r="T134" s="75" t="s">
        <x:v>1437</x:v>
      </x:c>
      <x:c r="U134" s="75" t="s">
        <x:v>1437</x:v>
      </x:c>
      <x:c r="V134" s="75" t="s">
        <x:v>1437</x:v>
      </x:c>
      <x:c r="W134" s="60"/>
      <x:c r="X134" s="73" t="str">
        <x:f t="shared" ref="X134:X197" si="22">IF(COUNTIF(R134:V134,"Belum Dinilai")&gt;0,"Belum Dinilai",IF(COUNTIF(R134:V134,"Ya")=0,"Tidak ada faktor rentan",IF(R134="Ya","Lansia; ","")&amp;IF(S134="Ya","Penyandang disabilitas; ","")&amp;IF(T134="Ya","Kepala keluarga perempuan; ","")&amp;IF(U134="Ya","Balita; ","")&amp;IF(V134="Ya","Anggota keluarga dengan ketergantungan tinggi; ","")))</x:f>
        <x:v>Belum Dinilai</x:v>
      </x:c>
      <x:c r="Y134" s="73" t="str">
        <x:f t="shared" ref="Y134:Y197" si="23">IF(COUNTIF(R134:V134,"Belum Dinilai")&gt;0,"Belum Dinilai",IF(COUNTIF(R134:V134,"Ya")=0,"Tidak Ada Faktor Rentan",IF(COUNTIF(R134:V134,"Ya")=1,"1 Faktor Rentan","2 atau Lebih Faktor Rentan")))</x:f>
        <x:v>Belum Dinilai</x:v>
      </x:c>
      <x:c r="Z134" s="74" t="str">
        <x:f t="shared" ref="Z134:Z197" si="24">IF(OR(Q134="",Q134="Belum Dinilai"),"",IF(Q134="Terverifikasi DTKS/P3KE/MBR",10,IF(Q134="Diusulkan, Belum Terverifikasi",5,0)))</x:f>
      </x:c>
      <x:c r="AA134" s="74" t="str">
        <x:f t="shared" ref="AA134:AA197" si="25">IF(COUNTIF(R134:V134,"Belum Dinilai")&gt;0,"",IF(COUNTIF(R134:V134,"Ya")=0,0,IF(COUNTIF(R134:V134,"Ya")=1,5,10)))</x:f>
      </x:c>
      <x:c r="AB134" s="74" t="str">
        <x:f t="shared" ref="AB134:AB197" si="26">IF(OR(Z134="",AA134=""),"",Z134+AA134)</x:f>
      </x:c>
      <x:c r="AC134" s="61" t="s">
        <x:v>1437</x:v>
      </x:c>
      <x:c r="AD134" s="61" t="s">
        <x:v>1437</x:v>
      </x:c>
      <x:c r="AE134" s="61" t="s">
        <x:v>1437</x:v>
      </x:c>
      <x:c r="AF134" s="61" t="s">
        <x:v>1437</x:v>
      </x:c>
      <x:c r="AG134" s="61" t="s">
        <x:v>1437</x:v>
      </x:c>
      <x:c r="AH134" s="61" t="s">
        <x:v>1437</x:v>
      </x:c>
      <x:c r="AI134" s="61" t="s">
        <x:v>1437</x:v>
      </x:c>
      <x:c r="AJ134" s="61" t="s">
        <x:v>1437</x:v>
      </x:c>
      <x:c r="AK134" s="61" t="s">
        <x:v>1437</x:v>
      </x:c>
      <x:c r="AL134" s="61"/>
      <x:c r="AM134" s="61" t="s">
        <x:v>1437</x:v>
      </x:c>
      <x:c r="AN134" s="73" t="str">
        <x:f t="shared" ref="AN134:AN197" si="27">IF(AND(COUNTIF(AC134:AK134,"Ya")=0,AL134=""),IF(COUNTIF(AC134:AK134,"Belum Dinilai")&gt;0,"Belum Dinilai","Tidak ada risiko khusus"),IF(AC134="Ya","Bangunan berpotensi roboh; ","")&amp;IF(AD134="Ya","Bekas kebakaran dan tidak aman dihuni; ","")&amp;IF(AE134="Ya","Atap atau dinding utama hampir runtuh; ","")&amp;IF(AF134="Ya","Genangan yang membahayakan; ","")&amp;IF(AG134="Ya","Struktur rumah tidak stabil; ","")&amp;IF(AH134="Ya","Instalasi listrik berbahaya; ","")&amp;IF(AI134="Ya","Komponen bangunan lepas atau lapuk; ","")&amp;IF(AJ134="Ya","Akses keluar atau evakuasi terbatas; ","")&amp;IF(AK134="Ya","Lokasi rawan bencana; ","")&amp;IF(AL134&lt;&gt;"","Lainnya: "&amp;AL134,""))</x:f>
        <x:v>Belum Dinilai</x:v>
      </x:c>
      <x:c r="AO134" s="73" t="str">
        <x:f t="shared" ref="AO134:AO197" si="28">IF(AR134="","Belum Dinilai",IF(AR134=10,"Risiko Tinggi/Darurat",IF(AR134=5,"Risiko Sedang","Tidak Ada Risiko Khusus")))</x:f>
        <x:v>Belum Dinilai</x:v>
      </x:c>
      <x:c r="AP134" s="61"/>
      <x:c r="AQ134" s="64" t="n">
        <x:f t="shared" ref="AQ134:AQ197" si="29">IF(OR(J134="",J134="Belum Dapat Ditentukan",L134="",L134="Belum Dinilai",N134="",N134="Belum Dinilai",P134="",P134="Belum Dinilai"),"",IF(J134="Permanen",0,IF(J134="Semipermanen",8,IF(J134="Nonpermanen",15,0)))+IF(L134="Baik",0,IF(L134="Rusak Ringan",5,IF(L134="Rusak Sedang",10,IF(L134="Rusak Berat",15,IF(L134="Tidak Ada/Terbuka",20,0)))))+IF(N134="Baik",0,IF(N134="Rusak Ringan",5,IF(N134="Rusak Sedang",10,IF(N134="Rusak Berat",15,IF(N134="Tidak Ada/Terbuka",20,0)))))+IF(P134="Baik",0,IF(P134="Rusak Ringan",4,IF(P134="Rusak Sedang",8,IF(P134="Rusak Berat",12,IF(P134="Tidak Layak",15,0))))))</x:f>
        <x:v>29</x:v>
      </x:c>
      <x:c r="AR134" s="64" t="str">
        <x:f t="shared" ref="AR134:AR197" si="30">IF(
 OR(
  COUNTIF(AC134:AH134,"Ya")&gt;0,
  AND(AL134&lt;&gt;"",AM134="Risiko Tinggi/Darurat"),
  COUNTIF(AI134:AK134,"Ya")+IF(AND(AL134&lt;&gt;"",AM134="Risiko Sedang"),1,0)&gt;=2
 ),
 10,
 IF(
  OR(
   COUNTIF(AC134:AK134,"Belum Dinilai")&gt;0,
   AND(AL134&lt;&gt;"",OR(AM134="",AM134="Belum Dinilai")),
   AND(AL134="",OR(AM134="Risiko Sedang",AM134="Risiko Tinggi/Darurat"))
  ),
  "",
  IF(
   COUNTIF(AI134:AK134,"Ya")+IF(AND(AL134&lt;&gt;"",AM134="Risiko Sedang"),1,0)=1,
   5,
   0
  )
 )
)</x:f>
      </x:c>
      <x:c r="AS134" s="64" t="str">
        <x:f t="shared" ref="AS134:AS197" si="31">IF(OR(AQ134="",AB134="",AR134=""),"",AQ134+AB134+AR134)</x:f>
      </x:c>
      <x:c r="AT134" s="62" t="str">
        <x:f t="shared" ref="AT134:AT197" si="32">IF(AS134="","Belum Dapat Ditentukan",IF(AS134&gt;=80,"Sangat Tinggi",IF(OR(AO134="Risiko Tinggi/Darurat",(IF(L134="Rusak Berat",1,0)+IF(L134="Tidak Ada/Terbuka",1,0)+IF(N134="Rusak Berat",1,0)+IF(N134="Tidak Ada/Terbuka",1,0)+IF(P134="Rusak Berat",1,0)+IF(P134="Tidak Layak",1,0))&gt;=2),"Tinggi",IF(AS134&gt;=65,"Tinggi",IF(AS134&gt;=50,"Sedang","Rendah")))))</x:f>
        <x:v>Belum Dapat Ditentukan</x:v>
      </x:c>
      <x:c r="AU134" s="59" t="s">
        <x:v>1408</x:v>
      </x:c>
      <x:c r="AV134" s="59" t="s">
        <x:v>1425</x:v>
      </x:c>
      <x:c r="AW134" s="59" t="s">
        <x:v>1410</x:v>
      </x:c>
      <x:c r="AX134" s="59" t="s">
        <x:v>1411</x:v>
      </x:c>
      <x:c r="AY134" s="59"/>
      <x:c r="AZ134" s="59" t="s">
        <x:v>1409</x:v>
      </x:c>
      <x:c r="BA134" s="59"/>
      <x:c r="BB134" s="167"/>
      <x:c r="BC134" s="65">
        <x:v>2026</x:v>
      </x:c>
      <x:c r="BD134" s="59"/>
      <x:c r="BE134" s="167"/>
      <x:c r="BF134" s="59" t="s">
        <x:v>1501</x:v>
      </x:c>
    </x:row>
    <x:row r="135" ht="56">
      <x:c r="A135" s="59" t="s">
        <x:v>2020</x:v>
      </x:c>
      <x:c r="B135" s="59" t="s">
        <x:v>2021</x:v>
      </x:c>
      <x:c r="C135" s="59"/>
      <x:c r="D135" s="59"/>
      <x:c r="E135" s="59" t="s">
        <x:v>1956</x:v>
      </x:c>
      <x:c r="F135" s="59" t="s">
        <x:v>1783</x:v>
      </x:c>
      <x:c r="G135" s="59" t="s">
        <x:v>1498</x:v>
      </x:c>
      <x:c r="H135" s="59" t="s">
        <x:v>1399</x:v>
      </x:c>
      <x:c r="I135" s="59" t="s">
        <x:v>2022</x:v>
      </x:c>
      <x:c r="J135" s="59" t="s">
        <x:v>1431</x:v>
      </x:c>
      <x:c r="K135" s="59" t="s">
        <x:v>1417</x:v>
      </x:c>
      <x:c r="L135" s="59" t="s">
        <x:v>1418</x:v>
      </x:c>
      <x:c r="M135" s="59" t="s">
        <x:v>1489</x:v>
      </x:c>
      <x:c r="N135" s="59" t="s">
        <x:v>1418</x:v>
      </x:c>
      <x:c r="O135" s="59" t="s">
        <x:v>1435</x:v>
      </x:c>
      <x:c r="P135" s="59" t="s">
        <x:v>1418</x:v>
      </x:c>
      <x:c r="Q135" s="75" t="s">
        <x:v>1437</x:v>
      </x:c>
      <x:c r="R135" s="75" t="s">
        <x:v>1437</x:v>
      </x:c>
      <x:c r="S135" s="75" t="s">
        <x:v>1437</x:v>
      </x:c>
      <x:c r="T135" s="75" t="s">
        <x:v>1437</x:v>
      </x:c>
      <x:c r="U135" s="75" t="s">
        <x:v>1437</x:v>
      </x:c>
      <x:c r="V135" s="75" t="s">
        <x:v>1437</x:v>
      </x:c>
      <x:c r="W135" s="60"/>
      <x:c r="X135" s="73" t="str">
        <x:f t="shared" si="22"/>
        <x:v>Belum Dinilai</x:v>
      </x:c>
      <x:c r="Y135" s="73" t="str">
        <x:f t="shared" si="23"/>
        <x:v>Belum Dinilai</x:v>
      </x:c>
      <x:c r="Z135" s="74" t="str">
        <x:f t="shared" si="24"/>
      </x:c>
      <x:c r="AA135" s="74" t="str">
        <x:f t="shared" si="25"/>
      </x:c>
      <x:c r="AB135" s="74" t="str">
        <x:f t="shared" si="26"/>
      </x:c>
      <x:c r="AC135" s="61" t="s">
        <x:v>1437</x:v>
      </x:c>
      <x:c r="AD135" s="61" t="s">
        <x:v>1437</x:v>
      </x:c>
      <x:c r="AE135" s="61" t="s">
        <x:v>1437</x:v>
      </x:c>
      <x:c r="AF135" s="61" t="s">
        <x:v>1437</x:v>
      </x:c>
      <x:c r="AG135" s="61" t="s">
        <x:v>1437</x:v>
      </x:c>
      <x:c r="AH135" s="61" t="s">
        <x:v>1437</x:v>
      </x:c>
      <x:c r="AI135" s="61" t="s">
        <x:v>1437</x:v>
      </x:c>
      <x:c r="AJ135" s="61" t="s">
        <x:v>1437</x:v>
      </x:c>
      <x:c r="AK135" s="61" t="s">
        <x:v>1437</x:v>
      </x:c>
      <x:c r="AL135" s="61"/>
      <x:c r="AM135" s="61" t="s">
        <x:v>1437</x:v>
      </x:c>
      <x:c r="AN135" s="73" t="str">
        <x:f t="shared" si="27"/>
        <x:v>Belum Dinilai</x:v>
      </x:c>
      <x:c r="AO135" s="73" t="str">
        <x:f t="shared" si="28"/>
        <x:v>Belum Dinilai</x:v>
      </x:c>
      <x:c r="AP135" s="61"/>
      <x:c r="AQ135" s="64">
        <x:f t="shared" si="29"/>
        <x:v>29</x:v>
      </x:c>
      <x:c r="AR135" s="64" t="str">
        <x:f t="shared" si="30"/>
      </x:c>
      <x:c r="AS135" s="64" t="str">
        <x:f t="shared" si="31"/>
      </x:c>
      <x:c r="AT135" s="62" t="str">
        <x:f t="shared" si="32"/>
        <x:v>Belum Dapat Ditentukan</x:v>
      </x:c>
      <x:c r="AU135" s="59" t="s">
        <x:v>1408</x:v>
      </x:c>
      <x:c r="AV135" s="59" t="s">
        <x:v>1425</x:v>
      </x:c>
      <x:c r="AW135" s="59" t="s">
        <x:v>1523</x:v>
      </x:c>
      <x:c r="AX135" s="59" t="s">
        <x:v>1427</x:v>
      </x:c>
      <x:c r="AY135" s="59">
        <x:v>2022</x:v>
      </x:c>
      <x:c r="AZ135" s="59" t="s">
        <x:v>1409</x:v>
      </x:c>
      <x:c r="BA135" s="59"/>
      <x:c r="BB135" s="167"/>
      <x:c r="BC135" s="65">
        <x:v>2026</x:v>
      </x:c>
      <x:c r="BD135" s="59"/>
      <x:c r="BE135" s="167"/>
      <x:c r="BF135" s="59" t="s">
        <x:v>1501</x:v>
      </x:c>
    </x:row>
    <x:row r="136" ht="70">
      <x:c r="A136" s="59" t="s">
        <x:v>2023</x:v>
      </x:c>
      <x:c r="B136" s="59" t="s">
        <x:v>2024</x:v>
      </x:c>
      <x:c r="C136" s="59"/>
      <x:c r="D136" s="59"/>
      <x:c r="E136" s="59" t="s">
        <x:v>2025</x:v>
      </x:c>
      <x:c r="F136" s="59" t="s">
        <x:v>1783</x:v>
      </x:c>
      <x:c r="G136" s="59" t="s">
        <x:v>1498</x:v>
      </x:c>
      <x:c r="H136" s="59" t="s">
        <x:v>1399</x:v>
      </x:c>
      <x:c r="I136" s="59" t="s">
        <x:v>2026</x:v>
      </x:c>
      <x:c r="J136" s="59" t="s">
        <x:v>1416</x:v>
      </x:c>
      <x:c r="K136" s="59" t="s">
        <x:v>1522</x:v>
      </x:c>
      <x:c r="L136" s="59" t="s">
        <x:v>1418</x:v>
      </x:c>
      <x:c r="M136" s="59" t="s">
        <x:v>1489</x:v>
      </x:c>
      <x:c r="N136" s="59" t="s">
        <x:v>1418</x:v>
      </x:c>
      <x:c r="O136" s="59" t="s">
        <x:v>1435</x:v>
      </x:c>
      <x:c r="P136" s="59" t="s">
        <x:v>1418</x:v>
      </x:c>
      <x:c r="Q136" s="75" t="s">
        <x:v>1437</x:v>
      </x:c>
      <x:c r="R136" s="75" t="s">
        <x:v>1437</x:v>
      </x:c>
      <x:c r="S136" s="75" t="s">
        <x:v>1437</x:v>
      </x:c>
      <x:c r="T136" s="75" t="s">
        <x:v>1437</x:v>
      </x:c>
      <x:c r="U136" s="75" t="s">
        <x:v>1437</x:v>
      </x:c>
      <x:c r="V136" s="75" t="s">
        <x:v>1437</x:v>
      </x:c>
      <x:c r="W136" s="60"/>
      <x:c r="X136" s="73" t="str">
        <x:f t="shared" si="22"/>
        <x:v>Belum Dinilai</x:v>
      </x:c>
      <x:c r="Y136" s="73" t="str">
        <x:f t="shared" si="23"/>
        <x:v>Belum Dinilai</x:v>
      </x:c>
      <x:c r="Z136" s="74" t="str">
        <x:f t="shared" si="24"/>
      </x:c>
      <x:c r="AA136" s="74" t="str">
        <x:f t="shared" si="25"/>
      </x:c>
      <x:c r="AB136" s="74" t="str">
        <x:f t="shared" si="26"/>
      </x:c>
      <x:c r="AC136" s="61" t="s">
        <x:v>1437</x:v>
      </x:c>
      <x:c r="AD136" s="61" t="s">
        <x:v>1437</x:v>
      </x:c>
      <x:c r="AE136" s="61" t="s">
        <x:v>1437</x:v>
      </x:c>
      <x:c r="AF136" s="61" t="s">
        <x:v>1437</x:v>
      </x:c>
      <x:c r="AG136" s="61" t="s">
        <x:v>1437</x:v>
      </x:c>
      <x:c r="AH136" s="61" t="s">
        <x:v>1437</x:v>
      </x:c>
      <x:c r="AI136" s="61" t="s">
        <x:v>1437</x:v>
      </x:c>
      <x:c r="AJ136" s="61" t="s">
        <x:v>1437</x:v>
      </x:c>
      <x:c r="AK136" s="61" t="s">
        <x:v>1437</x:v>
      </x:c>
      <x:c r="AL136" s="61"/>
      <x:c r="AM136" s="61" t="s">
        <x:v>1437</x:v>
      </x:c>
      <x:c r="AN136" s="73" t="str">
        <x:f t="shared" si="27"/>
        <x:v>Belum Dinilai</x:v>
      </x:c>
      <x:c r="AO136" s="73" t="str">
        <x:f t="shared" si="28"/>
        <x:v>Belum Dinilai</x:v>
      </x:c>
      <x:c r="AP136" s="61"/>
      <x:c r="AQ136" s="64">
        <x:f t="shared" si="29"/>
        <x:v>22</x:v>
      </x:c>
      <x:c r="AR136" s="64" t="str">
        <x:f t="shared" si="30"/>
      </x:c>
      <x:c r="AS136" s="64" t="str">
        <x:f t="shared" si="31"/>
      </x:c>
      <x:c r="AT136" s="62" t="str">
        <x:f t="shared" si="32"/>
        <x:v>Belum Dapat Ditentukan</x:v>
      </x:c>
      <x:c r="AU136" s="59" t="s">
        <x:v>1408</x:v>
      </x:c>
      <x:c r="AV136" s="59" t="s">
        <x:v>1425</x:v>
      </x:c>
      <x:c r="AW136" s="59" t="s">
        <x:v>1523</x:v>
      </x:c>
      <x:c r="AX136" s="59" t="s">
        <x:v>1427</x:v>
      </x:c>
      <x:c r="AY136" s="59">
        <x:v>2022</x:v>
      </x:c>
      <x:c r="AZ136" s="59" t="s">
        <x:v>1409</x:v>
      </x:c>
      <x:c r="BA136" s="59"/>
      <x:c r="BB136" s="167"/>
      <x:c r="BC136" s="65">
        <x:v>2026</x:v>
      </x:c>
      <x:c r="BD136" s="59"/>
      <x:c r="BE136" s="167"/>
      <x:c r="BF136" s="59" t="s">
        <x:v>1501</x:v>
      </x:c>
    </x:row>
    <x:row r="137" ht="42">
      <x:c r="A137" s="59" t="s">
        <x:v>2027</x:v>
      </x:c>
      <x:c r="B137" s="59" t="s">
        <x:v>2028</x:v>
      </x:c>
      <x:c r="C137" s="59"/>
      <x:c r="D137" s="59"/>
      <x:c r="E137" s="59" t="s">
        <x:v>2029</x:v>
      </x:c>
      <x:c r="F137" s="59" t="s">
        <x:v>1681</x:v>
      </x:c>
      <x:c r="G137" s="59" t="s">
        <x:v>1534</x:v>
      </x:c>
      <x:c r="H137" s="59" t="s">
        <x:v>1415</x:v>
      </x:c>
      <x:c r="I137" s="59" t="s">
        <x:v>2030</x:v>
      </x:c>
      <x:c r="J137" s="59" t="s">
        <x:v>1400</x:v>
      </x:c>
      <x:c r="K137" s="59" t="s">
        <x:v>1417</x:v>
      </x:c>
      <x:c r="L137" s="59" t="s">
        <x:v>1418</x:v>
      </x:c>
      <x:c r="M137" s="59" t="s">
        <x:v>1488</x:v>
      </x:c>
      <x:c r="N137" s="59" t="s">
        <x:v>1418</x:v>
      </x:c>
      <x:c r="O137" s="59" t="s">
        <x:v>1435</x:v>
      </x:c>
      <x:c r="P137" s="59" t="s">
        <x:v>1418</x:v>
      </x:c>
      <x:c r="Q137" s="75" t="s">
        <x:v>1437</x:v>
      </x:c>
      <x:c r="R137" s="75" t="s">
        <x:v>1437</x:v>
      </x:c>
      <x:c r="S137" s="75" t="s">
        <x:v>1437</x:v>
      </x:c>
      <x:c r="T137" s="75" t="s">
        <x:v>1437</x:v>
      </x:c>
      <x:c r="U137" s="75" t="s">
        <x:v>1437</x:v>
      </x:c>
      <x:c r="V137" s="75" t="s">
        <x:v>1437</x:v>
      </x:c>
      <x:c r="W137" s="60"/>
      <x:c r="X137" s="73" t="str">
        <x:f t="shared" si="22"/>
        <x:v>Belum Dinilai</x:v>
      </x:c>
      <x:c r="Y137" s="73" t="str">
        <x:f t="shared" si="23"/>
        <x:v>Belum Dinilai</x:v>
      </x:c>
      <x:c r="Z137" s="74" t="str">
        <x:f t="shared" si="24"/>
      </x:c>
      <x:c r="AA137" s="74" t="str">
        <x:f t="shared" si="25"/>
      </x:c>
      <x:c r="AB137" s="74" t="str">
        <x:f t="shared" si="26"/>
      </x:c>
      <x:c r="AC137" s="61" t="s">
        <x:v>1437</x:v>
      </x:c>
      <x:c r="AD137" s="61" t="s">
        <x:v>1437</x:v>
      </x:c>
      <x:c r="AE137" s="61" t="s">
        <x:v>1437</x:v>
      </x:c>
      <x:c r="AF137" s="61" t="s">
        <x:v>1437</x:v>
      </x:c>
      <x:c r="AG137" s="61" t="s">
        <x:v>1437</x:v>
      </x:c>
      <x:c r="AH137" s="61" t="s">
        <x:v>1437</x:v>
      </x:c>
      <x:c r="AI137" s="61" t="s">
        <x:v>1437</x:v>
      </x:c>
      <x:c r="AJ137" s="61" t="s">
        <x:v>1437</x:v>
      </x:c>
      <x:c r="AK137" s="61" t="s">
        <x:v>1437</x:v>
      </x:c>
      <x:c r="AL137" s="61"/>
      <x:c r="AM137" s="61" t="s">
        <x:v>1437</x:v>
      </x:c>
      <x:c r="AN137" s="73" t="str">
        <x:f t="shared" si="27"/>
        <x:v>Belum Dinilai</x:v>
      </x:c>
      <x:c r="AO137" s="73" t="str">
        <x:f t="shared" si="28"/>
        <x:v>Belum Dinilai</x:v>
      </x:c>
      <x:c r="AP137" s="61"/>
      <x:c r="AQ137" s="64">
        <x:f t="shared" si="29"/>
        <x:v>14</x:v>
      </x:c>
      <x:c r="AR137" s="64" t="str">
        <x:f t="shared" si="30"/>
      </x:c>
      <x:c r="AS137" s="64" t="str">
        <x:f t="shared" si="31"/>
      </x:c>
      <x:c r="AT137" s="62" t="str">
        <x:f t="shared" si="32"/>
        <x:v>Belum Dapat Ditentukan</x:v>
      </x:c>
      <x:c r="AU137" s="59" t="s">
        <x:v>1408</x:v>
      </x:c>
      <x:c r="AV137" s="59" t="s">
        <x:v>1425</x:v>
      </x:c>
      <x:c r="AW137" s="59" t="s">
        <x:v>1523</x:v>
      </x:c>
      <x:c r="AX137" s="59" t="s">
        <x:v>1427</x:v>
      </x:c>
      <x:c r="AY137" s="59">
        <x:v>2023</x:v>
      </x:c>
      <x:c r="AZ137" s="59" t="s">
        <x:v>1409</x:v>
      </x:c>
      <x:c r="BA137" s="59"/>
      <x:c r="BB137" s="167"/>
      <x:c r="BC137" s="65">
        <x:v>2026</x:v>
      </x:c>
      <x:c r="BD137" s="59"/>
      <x:c r="BE137" s="167"/>
      <x:c r="BF137" s="59" t="s">
        <x:v>1501</x:v>
      </x:c>
    </x:row>
    <x:row r="138" ht="28">
      <x:c r="A138" s="59" t="s">
        <x:v>2031</x:v>
      </x:c>
      <x:c r="B138" s="59" t="s">
        <x:v>2032</x:v>
      </x:c>
      <x:c r="C138" s="59"/>
      <x:c r="D138" s="59"/>
      <x:c r="E138" s="59" t="s">
        <x:v>2033</x:v>
      </x:c>
      <x:c r="F138" s="59" t="s">
        <x:v>1580</x:v>
      </x:c>
      <x:c r="G138" s="59" t="s">
        <x:v>1512</x:v>
      </x:c>
      <x:c r="H138" s="59" t="s">
        <x:v>1399</x:v>
      </x:c>
      <x:c r="I138" s="59" t="s">
        <x:v>2034</x:v>
      </x:c>
      <x:c r="J138" s="59" t="s">
        <x:v>1431</x:v>
      </x:c>
      <x:c r="K138" s="59" t="s">
        <x:v>1432</x:v>
      </x:c>
      <x:c r="L138" s="59" t="s">
        <x:v>1418</x:v>
      </x:c>
      <x:c r="M138" s="59" t="s">
        <x:v>1489</x:v>
      </x:c>
      <x:c r="N138" s="59" t="s">
        <x:v>1418</x:v>
      </x:c>
      <x:c r="O138" s="59" t="s">
        <x:v>1435</x:v>
      </x:c>
      <x:c r="P138" s="59" t="s">
        <x:v>1418</x:v>
      </x:c>
      <x:c r="Q138" s="75" t="s">
        <x:v>1437</x:v>
      </x:c>
      <x:c r="R138" s="75" t="s">
        <x:v>1437</x:v>
      </x:c>
      <x:c r="S138" s="75" t="s">
        <x:v>1437</x:v>
      </x:c>
      <x:c r="T138" s="75" t="s">
        <x:v>1437</x:v>
      </x:c>
      <x:c r="U138" s="75" t="s">
        <x:v>1437</x:v>
      </x:c>
      <x:c r="V138" s="75" t="s">
        <x:v>1437</x:v>
      </x:c>
      <x:c r="W138" s="60"/>
      <x:c r="X138" s="73" t="str">
        <x:f t="shared" si="22"/>
        <x:v>Belum Dinilai</x:v>
      </x:c>
      <x:c r="Y138" s="73" t="str">
        <x:f t="shared" si="23"/>
        <x:v>Belum Dinilai</x:v>
      </x:c>
      <x:c r="Z138" s="74" t="str">
        <x:f t="shared" si="24"/>
      </x:c>
      <x:c r="AA138" s="74" t="str">
        <x:f t="shared" si="25"/>
      </x:c>
      <x:c r="AB138" s="74" t="str">
        <x:f t="shared" si="26"/>
      </x:c>
      <x:c r="AC138" s="61" t="s">
        <x:v>1437</x:v>
      </x:c>
      <x:c r="AD138" s="61" t="s">
        <x:v>1437</x:v>
      </x:c>
      <x:c r="AE138" s="61" t="s">
        <x:v>1437</x:v>
      </x:c>
      <x:c r="AF138" s="61" t="s">
        <x:v>1437</x:v>
      </x:c>
      <x:c r="AG138" s="61" t="s">
        <x:v>1437</x:v>
      </x:c>
      <x:c r="AH138" s="61" t="s">
        <x:v>1437</x:v>
      </x:c>
      <x:c r="AI138" s="61" t="s">
        <x:v>1437</x:v>
      </x:c>
      <x:c r="AJ138" s="61" t="s">
        <x:v>1437</x:v>
      </x:c>
      <x:c r="AK138" s="61" t="s">
        <x:v>1437</x:v>
      </x:c>
      <x:c r="AL138" s="61"/>
      <x:c r="AM138" s="61" t="s">
        <x:v>1437</x:v>
      </x:c>
      <x:c r="AN138" s="73" t="str">
        <x:f t="shared" si="27"/>
        <x:v>Belum Dinilai</x:v>
      </x:c>
      <x:c r="AO138" s="73" t="str">
        <x:f t="shared" si="28"/>
        <x:v>Belum Dinilai</x:v>
      </x:c>
      <x:c r="AP138" s="61"/>
      <x:c r="AQ138" s="64">
        <x:f t="shared" si="29"/>
        <x:v>29</x:v>
      </x:c>
      <x:c r="AR138" s="64" t="str">
        <x:f t="shared" si="30"/>
      </x:c>
      <x:c r="AS138" s="64" t="str">
        <x:f t="shared" si="31"/>
      </x:c>
      <x:c r="AT138" s="62" t="str">
        <x:f t="shared" si="32"/>
        <x:v>Belum Dapat Ditentukan</x:v>
      </x:c>
      <x:c r="AU138" s="59" t="s">
        <x:v>1408</x:v>
      </x:c>
      <x:c r="AV138" s="59" t="s">
        <x:v>1425</x:v>
      </x:c>
      <x:c r="AW138" s="59" t="s">
        <x:v>1523</x:v>
      </x:c>
      <x:c r="AX138" s="59" t="s">
        <x:v>1427</x:v>
      </x:c>
      <x:c r="AY138" s="59">
        <x:v>2022</x:v>
      </x:c>
      <x:c r="AZ138" s="59" t="s">
        <x:v>1409</x:v>
      </x:c>
      <x:c r="BA138" s="59"/>
      <x:c r="BB138" s="167"/>
      <x:c r="BC138" s="65">
        <x:v>2026</x:v>
      </x:c>
      <x:c r="BD138" s="59"/>
      <x:c r="BE138" s="167"/>
      <x:c r="BF138" s="59" t="s">
        <x:v>1501</x:v>
      </x:c>
    </x:row>
    <x:row r="139" ht="28">
      <x:c r="A139" s="59" t="s">
        <x:v>2035</x:v>
      </x:c>
      <x:c r="B139" s="59" t="s">
        <x:v>2036</x:v>
      </x:c>
      <x:c r="C139" s="59"/>
      <x:c r="D139" s="59"/>
      <x:c r="E139" s="59" t="s">
        <x:v>2033</x:v>
      </x:c>
      <x:c r="F139" s="59" t="s">
        <x:v>1613</x:v>
      </x:c>
      <x:c r="G139" s="59" t="s">
        <x:v>1512</x:v>
      </x:c>
      <x:c r="H139" s="59" t="s">
        <x:v>1399</x:v>
      </x:c>
      <x:c r="I139" s="59" t="s">
        <x:v>2037</x:v>
      </x:c>
      <x:c r="J139" s="59" t="s">
        <x:v>1416</x:v>
      </x:c>
      <x:c r="K139" s="59" t="s">
        <x:v>1522</x:v>
      </x:c>
      <x:c r="L139" s="59" t="s">
        <x:v>1437</x:v>
      </x:c>
      <x:c r="M139" s="59" t="s">
        <x:v>1489</x:v>
      </x:c>
      <x:c r="N139" s="59" t="s">
        <x:v>1437</x:v>
      </x:c>
      <x:c r="O139" s="59" t="s">
        <x:v>1522</x:v>
      </x:c>
      <x:c r="P139" s="59" t="s">
        <x:v>1437</x:v>
      </x:c>
      <x:c r="Q139" s="75" t="s">
        <x:v>1437</x:v>
      </x:c>
      <x:c r="R139" s="75" t="s">
        <x:v>1437</x:v>
      </x:c>
      <x:c r="S139" s="75" t="s">
        <x:v>1437</x:v>
      </x:c>
      <x:c r="T139" s="75" t="s">
        <x:v>1437</x:v>
      </x:c>
      <x:c r="U139" s="75" t="s">
        <x:v>1437</x:v>
      </x:c>
      <x:c r="V139" s="75" t="s">
        <x:v>1437</x:v>
      </x:c>
      <x:c r="W139" s="60"/>
      <x:c r="X139" s="73" t="str">
        <x:f t="shared" si="22"/>
        <x:v>Belum Dinilai</x:v>
      </x:c>
      <x:c r="Y139" s="73" t="str">
        <x:f t="shared" si="23"/>
        <x:v>Belum Dinilai</x:v>
      </x:c>
      <x:c r="Z139" s="74" t="str">
        <x:f t="shared" si="24"/>
      </x:c>
      <x:c r="AA139" s="74" t="str">
        <x:f t="shared" si="25"/>
      </x:c>
      <x:c r="AB139" s="74" t="str">
        <x:f t="shared" si="26"/>
      </x:c>
      <x:c r="AC139" s="61" t="s">
        <x:v>1437</x:v>
      </x:c>
      <x:c r="AD139" s="61" t="s">
        <x:v>1437</x:v>
      </x:c>
      <x:c r="AE139" s="61" t="s">
        <x:v>1437</x:v>
      </x:c>
      <x:c r="AF139" s="61" t="s">
        <x:v>1437</x:v>
      </x:c>
      <x:c r="AG139" s="61" t="s">
        <x:v>1437</x:v>
      </x:c>
      <x:c r="AH139" s="61" t="s">
        <x:v>1437</x:v>
      </x:c>
      <x:c r="AI139" s="61" t="s">
        <x:v>1437</x:v>
      </x:c>
      <x:c r="AJ139" s="61" t="s">
        <x:v>1437</x:v>
      </x:c>
      <x:c r="AK139" s="61" t="s">
        <x:v>1437</x:v>
      </x:c>
      <x:c r="AL139" s="61"/>
      <x:c r="AM139" s="61" t="s">
        <x:v>1437</x:v>
      </x:c>
      <x:c r="AN139" s="73" t="str">
        <x:f t="shared" si="27"/>
        <x:v>Belum Dinilai</x:v>
      </x:c>
      <x:c r="AO139" s="73" t="str">
        <x:f t="shared" si="28"/>
        <x:v>Belum Dinilai</x:v>
      </x:c>
      <x:c r="AP139" s="61"/>
      <x:c r="AQ139" s="64" t="str">
        <x:f t="shared" si="29"/>
      </x:c>
      <x:c r="AR139" s="64" t="str">
        <x:f t="shared" si="30"/>
      </x:c>
      <x:c r="AS139" s="64" t="str">
        <x:f t="shared" si="31"/>
      </x:c>
      <x:c r="AT139" s="62" t="str">
        <x:f t="shared" si="32"/>
        <x:v>Belum Dapat Ditentukan</x:v>
      </x:c>
      <x:c r="AU139" s="59" t="s">
        <x:v>1408</x:v>
      </x:c>
      <x:c r="AV139" s="59" t="s">
        <x:v>1425</x:v>
      </x:c>
      <x:c r="AW139" s="59" t="s">
        <x:v>1410</x:v>
      </x:c>
      <x:c r="AX139" s="59" t="s">
        <x:v>1411</x:v>
      </x:c>
      <x:c r="AY139" s="59"/>
      <x:c r="AZ139" s="59" t="s">
        <x:v>1409</x:v>
      </x:c>
      <x:c r="BA139" s="59"/>
      <x:c r="BB139" s="167"/>
      <x:c r="BC139" s="65">
        <x:v>2026</x:v>
      </x:c>
      <x:c r="BD139" s="59"/>
      <x:c r="BE139" s="167"/>
      <x:c r="BF139" s="59" t="s">
        <x:v>1501</x:v>
      </x:c>
    </x:row>
    <x:row r="140" ht="42">
      <x:c r="A140" s="59" t="s">
        <x:v>2038</x:v>
      </x:c>
      <x:c r="B140" s="59" t="s">
        <x:v>2039</x:v>
      </x:c>
      <x:c r="C140" s="59"/>
      <x:c r="D140" s="59"/>
      <x:c r="E140" s="59" t="s">
        <x:v>2040</x:v>
      </x:c>
      <x:c r="F140" s="59" t="s">
        <x:v>1580</x:v>
      </x:c>
      <x:c r="G140" s="59" t="s">
        <x:v>1512</x:v>
      </x:c>
      <x:c r="H140" s="59" t="s">
        <x:v>1415</x:v>
      </x:c>
      <x:c r="I140" s="59" t="s">
        <x:v>2041</x:v>
      </x:c>
      <x:c r="J140" s="59" t="s">
        <x:v>1416</x:v>
      </x:c>
      <x:c r="K140" s="59" t="s">
        <x:v>1522</x:v>
      </x:c>
      <x:c r="L140" s="59" t="s">
        <x:v>1437</x:v>
      </x:c>
      <x:c r="M140" s="59" t="s">
        <x:v>1489</x:v>
      </x:c>
      <x:c r="N140" s="59" t="s">
        <x:v>1437</x:v>
      </x:c>
      <x:c r="O140" s="59" t="s">
        <x:v>1522</x:v>
      </x:c>
      <x:c r="P140" s="59" t="s">
        <x:v>1437</x:v>
      </x:c>
      <x:c r="Q140" s="75" t="s">
        <x:v>1437</x:v>
      </x:c>
      <x:c r="R140" s="75" t="s">
        <x:v>1437</x:v>
      </x:c>
      <x:c r="S140" s="75" t="s">
        <x:v>1437</x:v>
      </x:c>
      <x:c r="T140" s="75" t="s">
        <x:v>1437</x:v>
      </x:c>
      <x:c r="U140" s="75" t="s">
        <x:v>1437</x:v>
      </x:c>
      <x:c r="V140" s="75" t="s">
        <x:v>1437</x:v>
      </x:c>
      <x:c r="W140" s="60"/>
      <x:c r="X140" s="73" t="str">
        <x:f t="shared" si="22"/>
        <x:v>Belum Dinilai</x:v>
      </x:c>
      <x:c r="Y140" s="73" t="str">
        <x:f t="shared" si="23"/>
        <x:v>Belum Dinilai</x:v>
      </x:c>
      <x:c r="Z140" s="74" t="str">
        <x:f t="shared" si="24"/>
      </x:c>
      <x:c r="AA140" s="74" t="str">
        <x:f t="shared" si="25"/>
      </x:c>
      <x:c r="AB140" s="74" t="str">
        <x:f t="shared" si="26"/>
      </x:c>
      <x:c r="AC140" s="61" t="s">
        <x:v>1437</x:v>
      </x:c>
      <x:c r="AD140" s="61" t="s">
        <x:v>1437</x:v>
      </x:c>
      <x:c r="AE140" s="61" t="s">
        <x:v>1437</x:v>
      </x:c>
      <x:c r="AF140" s="61" t="s">
        <x:v>1437</x:v>
      </x:c>
      <x:c r="AG140" s="61" t="s">
        <x:v>1437</x:v>
      </x:c>
      <x:c r="AH140" s="61" t="s">
        <x:v>1437</x:v>
      </x:c>
      <x:c r="AI140" s="61" t="s">
        <x:v>1437</x:v>
      </x:c>
      <x:c r="AJ140" s="61" t="s">
        <x:v>1437</x:v>
      </x:c>
      <x:c r="AK140" s="61" t="s">
        <x:v>1437</x:v>
      </x:c>
      <x:c r="AL140" s="61"/>
      <x:c r="AM140" s="61" t="s">
        <x:v>1437</x:v>
      </x:c>
      <x:c r="AN140" s="73" t="str">
        <x:f t="shared" si="27"/>
        <x:v>Belum Dinilai</x:v>
      </x:c>
      <x:c r="AO140" s="73" t="str">
        <x:f t="shared" si="28"/>
        <x:v>Belum Dinilai</x:v>
      </x:c>
      <x:c r="AP140" s="61"/>
      <x:c r="AQ140" s="64" t="str">
        <x:f t="shared" si="29"/>
      </x:c>
      <x:c r="AR140" s="64" t="str">
        <x:f t="shared" si="30"/>
      </x:c>
      <x:c r="AS140" s="64" t="str">
        <x:f t="shared" si="31"/>
      </x:c>
      <x:c r="AT140" s="62" t="str">
        <x:f t="shared" si="32"/>
        <x:v>Belum Dapat Ditentukan</x:v>
      </x:c>
      <x:c r="AU140" s="59" t="s">
        <x:v>1424</x:v>
      </x:c>
      <x:c r="AV140" s="59" t="s">
        <x:v>1425</x:v>
      </x:c>
      <x:c r="AW140" s="59" t="s">
        <x:v>1410</x:v>
      </x:c>
      <x:c r="AX140" s="59" t="s">
        <x:v>1411</x:v>
      </x:c>
      <x:c r="AY140" s="59"/>
      <x:c r="AZ140" s="59" t="s">
        <x:v>1428</x:v>
      </x:c>
      <x:c r="BA140" s="59"/>
      <x:c r="BB140" s="167"/>
      <x:c r="BC140" s="65">
        <x:v>2026</x:v>
      </x:c>
      <x:c r="BD140" s="59"/>
      <x:c r="BE140" s="167"/>
      <x:c r="BF140" s="59" t="s">
        <x:v>1501</x:v>
      </x:c>
    </x:row>
    <x:row r="141" ht="42">
      <x:c r="A141" s="59" t="s">
        <x:v>2042</x:v>
      </x:c>
      <x:c r="B141" s="59" t="s">
        <x:v>2043</x:v>
      </x:c>
      <x:c r="C141" s="59"/>
      <x:c r="D141" s="59"/>
      <x:c r="E141" s="59" t="s">
        <x:v>2044</x:v>
      </x:c>
      <x:c r="F141" s="59" t="s">
        <x:v>1849</x:v>
      </x:c>
      <x:c r="G141" s="59" t="s">
        <x:v>1534</x:v>
      </x:c>
      <x:c r="H141" s="59" t="s">
        <x:v>1399</x:v>
      </x:c>
      <x:c r="I141" s="59" t="s">
        <x:v>2045</x:v>
      </x:c>
      <x:c r="J141" s="59" t="s">
        <x:v>1400</x:v>
      </x:c>
      <x:c r="K141" s="59" t="s">
        <x:v>1417</x:v>
      </x:c>
      <x:c r="L141" s="59" t="s">
        <x:v>1437</x:v>
      </x:c>
      <x:c r="M141" s="59" t="s">
        <x:v>1488</x:v>
      </x:c>
      <x:c r="N141" s="59" t="s">
        <x:v>1437</x:v>
      </x:c>
      <x:c r="O141" s="59" t="s">
        <x:v>1435</x:v>
      </x:c>
      <x:c r="P141" s="59" t="s">
        <x:v>1437</x:v>
      </x:c>
      <x:c r="Q141" s="75" t="s">
        <x:v>1437</x:v>
      </x:c>
      <x:c r="R141" s="75" t="s">
        <x:v>1437</x:v>
      </x:c>
      <x:c r="S141" s="75" t="s">
        <x:v>1437</x:v>
      </x:c>
      <x:c r="T141" s="75" t="s">
        <x:v>1437</x:v>
      </x:c>
      <x:c r="U141" s="75" t="s">
        <x:v>1437</x:v>
      </x:c>
      <x:c r="V141" s="75" t="s">
        <x:v>1437</x:v>
      </x:c>
      <x:c r="W141" s="60"/>
      <x:c r="X141" s="73" t="str">
        <x:f t="shared" si="22"/>
        <x:v>Belum Dinilai</x:v>
      </x:c>
      <x:c r="Y141" s="73" t="str">
        <x:f t="shared" si="23"/>
        <x:v>Belum Dinilai</x:v>
      </x:c>
      <x:c r="Z141" s="74" t="str">
        <x:f t="shared" si="24"/>
      </x:c>
      <x:c r="AA141" s="74" t="str">
        <x:f t="shared" si="25"/>
      </x:c>
      <x:c r="AB141" s="74" t="str">
        <x:f t="shared" si="26"/>
      </x:c>
      <x:c r="AC141" s="61" t="s">
        <x:v>1437</x:v>
      </x:c>
      <x:c r="AD141" s="61" t="s">
        <x:v>1437</x:v>
      </x:c>
      <x:c r="AE141" s="61" t="s">
        <x:v>1437</x:v>
      </x:c>
      <x:c r="AF141" s="61" t="s">
        <x:v>1437</x:v>
      </x:c>
      <x:c r="AG141" s="61" t="s">
        <x:v>1437</x:v>
      </x:c>
      <x:c r="AH141" s="61" t="s">
        <x:v>1437</x:v>
      </x:c>
      <x:c r="AI141" s="61" t="s">
        <x:v>1437</x:v>
      </x:c>
      <x:c r="AJ141" s="61" t="s">
        <x:v>1437</x:v>
      </x:c>
      <x:c r="AK141" s="61" t="s">
        <x:v>1437</x:v>
      </x:c>
      <x:c r="AL141" s="61"/>
      <x:c r="AM141" s="61" t="s">
        <x:v>1437</x:v>
      </x:c>
      <x:c r="AN141" s="73" t="str">
        <x:f t="shared" si="27"/>
        <x:v>Belum Dinilai</x:v>
      </x:c>
      <x:c r="AO141" s="73" t="str">
        <x:f t="shared" si="28"/>
        <x:v>Belum Dinilai</x:v>
      </x:c>
      <x:c r="AP141" s="61"/>
      <x:c r="AQ141" s="64" t="str">
        <x:f t="shared" si="29"/>
      </x:c>
      <x:c r="AR141" s="64" t="str">
        <x:f t="shared" si="30"/>
      </x:c>
      <x:c r="AS141" s="64" t="str">
        <x:f t="shared" si="31"/>
      </x:c>
      <x:c r="AT141" s="62" t="str">
        <x:f t="shared" si="32"/>
        <x:v>Belum Dapat Ditentukan</x:v>
      </x:c>
      <x:c r="AU141" s="59" t="s">
        <x:v>1408</x:v>
      </x:c>
      <x:c r="AV141" s="59" t="s">
        <x:v>1425</x:v>
      </x:c>
      <x:c r="AW141" s="59" t="s">
        <x:v>1410</x:v>
      </x:c>
      <x:c r="AX141" s="59" t="s">
        <x:v>1411</x:v>
      </x:c>
      <x:c r="AY141" s="59"/>
      <x:c r="AZ141" s="59" t="s">
        <x:v>1409</x:v>
      </x:c>
      <x:c r="BA141" s="59"/>
      <x:c r="BB141" s="167"/>
      <x:c r="BC141" s="65">
        <x:v>2026</x:v>
      </x:c>
      <x:c r="BD141" s="59"/>
      <x:c r="BE141" s="167"/>
      <x:c r="BF141" s="59" t="s">
        <x:v>1501</x:v>
      </x:c>
    </x:row>
    <x:row r="142" ht="28">
      <x:c r="A142" s="59" t="s">
        <x:v>2046</x:v>
      </x:c>
      <x:c r="B142" s="59" t="s">
        <x:v>2047</x:v>
      </x:c>
      <x:c r="C142" s="59"/>
      <x:c r="D142" s="59"/>
      <x:c r="E142" s="59" t="s">
        <x:v>2048</x:v>
      </x:c>
      <x:c r="F142" s="59" t="s">
        <x:v>1580</x:v>
      </x:c>
      <x:c r="G142" s="59" t="s">
        <x:v>1512</x:v>
      </x:c>
      <x:c r="H142" s="59" t="s">
        <x:v>1399</x:v>
      </x:c>
      <x:c r="I142" s="59" t="s">
        <x:v>2049</x:v>
      </x:c>
      <x:c r="J142" s="59" t="s">
        <x:v>1431</x:v>
      </x:c>
      <x:c r="K142" s="59" t="s">
        <x:v>1417</x:v>
      </x:c>
      <x:c r="L142" s="59" t="s">
        <x:v>1437</x:v>
      </x:c>
      <x:c r="M142" s="59" t="s">
        <x:v>1489</x:v>
      </x:c>
      <x:c r="N142" s="59" t="s">
        <x:v>1437</x:v>
      </x:c>
      <x:c r="O142" s="59" t="s">
        <x:v>1435</x:v>
      </x:c>
      <x:c r="P142" s="59" t="s">
        <x:v>1437</x:v>
      </x:c>
      <x:c r="Q142" s="75" t="s">
        <x:v>1437</x:v>
      </x:c>
      <x:c r="R142" s="75" t="s">
        <x:v>1437</x:v>
      </x:c>
      <x:c r="S142" s="75" t="s">
        <x:v>1437</x:v>
      </x:c>
      <x:c r="T142" s="75" t="s">
        <x:v>1437</x:v>
      </x:c>
      <x:c r="U142" s="75" t="s">
        <x:v>1437</x:v>
      </x:c>
      <x:c r="V142" s="75" t="s">
        <x:v>1437</x:v>
      </x:c>
      <x:c r="W142" s="60"/>
      <x:c r="X142" s="73" t="str">
        <x:f t="shared" si="22"/>
        <x:v>Belum Dinilai</x:v>
      </x:c>
      <x:c r="Y142" s="73" t="str">
        <x:f t="shared" si="23"/>
        <x:v>Belum Dinilai</x:v>
      </x:c>
      <x:c r="Z142" s="74" t="str">
        <x:f t="shared" si="24"/>
      </x:c>
      <x:c r="AA142" s="74" t="str">
        <x:f t="shared" si="25"/>
      </x:c>
      <x:c r="AB142" s="74" t="str">
        <x:f t="shared" si="26"/>
      </x:c>
      <x:c r="AC142" s="61" t="s">
        <x:v>1437</x:v>
      </x:c>
      <x:c r="AD142" s="61" t="s">
        <x:v>1437</x:v>
      </x:c>
      <x:c r="AE142" s="61" t="s">
        <x:v>1437</x:v>
      </x:c>
      <x:c r="AF142" s="61" t="s">
        <x:v>1437</x:v>
      </x:c>
      <x:c r="AG142" s="61" t="s">
        <x:v>1437</x:v>
      </x:c>
      <x:c r="AH142" s="61" t="s">
        <x:v>1437</x:v>
      </x:c>
      <x:c r="AI142" s="61" t="s">
        <x:v>1437</x:v>
      </x:c>
      <x:c r="AJ142" s="61" t="s">
        <x:v>1437</x:v>
      </x:c>
      <x:c r="AK142" s="61" t="s">
        <x:v>1437</x:v>
      </x:c>
      <x:c r="AL142" s="61"/>
      <x:c r="AM142" s="61" t="s">
        <x:v>1437</x:v>
      </x:c>
      <x:c r="AN142" s="73" t="str">
        <x:f t="shared" si="27"/>
        <x:v>Belum Dinilai</x:v>
      </x:c>
      <x:c r="AO142" s="73" t="str">
        <x:f t="shared" si="28"/>
        <x:v>Belum Dinilai</x:v>
      </x:c>
      <x:c r="AP142" s="61"/>
      <x:c r="AQ142" s="64" t="str">
        <x:f t="shared" si="29"/>
      </x:c>
      <x:c r="AR142" s="64" t="str">
        <x:f t="shared" si="30"/>
      </x:c>
      <x:c r="AS142" s="64" t="str">
        <x:f t="shared" si="31"/>
      </x:c>
      <x:c r="AT142" s="62" t="str">
        <x:f t="shared" si="32"/>
        <x:v>Belum Dapat Ditentukan</x:v>
      </x:c>
      <x:c r="AU142" s="59" t="s">
        <x:v>1408</x:v>
      </x:c>
      <x:c r="AV142" s="59" t="s">
        <x:v>1425</x:v>
      </x:c>
      <x:c r="AW142" s="59" t="s">
        <x:v>1523</x:v>
      </x:c>
      <x:c r="AX142" s="59" t="s">
        <x:v>1427</x:v>
      </x:c>
      <x:c r="AY142" s="59">
        <x:v>2023</x:v>
      </x:c>
      <x:c r="AZ142" s="59" t="s">
        <x:v>1409</x:v>
      </x:c>
      <x:c r="BA142" s="59"/>
      <x:c r="BB142" s="167"/>
      <x:c r="BC142" s="65">
        <x:v>2026</x:v>
      </x:c>
      <x:c r="BD142" s="59"/>
      <x:c r="BE142" s="167"/>
      <x:c r="BF142" s="59" t="s">
        <x:v>1501</x:v>
      </x:c>
    </x:row>
    <x:row r="143" ht="28">
      <x:c r="A143" s="59" t="s">
        <x:v>2050</x:v>
      </x:c>
      <x:c r="B143" s="59" t="s">
        <x:v>2051</x:v>
      </x:c>
      <x:c r="C143" s="59"/>
      <x:c r="D143" s="59"/>
      <x:c r="E143" s="59" t="s">
        <x:v>1524</x:v>
      </x:c>
      <x:c r="F143" s="59" t="s">
        <x:v>1580</x:v>
      </x:c>
      <x:c r="G143" s="59" t="s">
        <x:v>1512</x:v>
      </x:c>
      <x:c r="H143" s="59" t="s">
        <x:v>1399</x:v>
      </x:c>
      <x:c r="I143" s="59" t="s">
        <x:v>2052</x:v>
      </x:c>
      <x:c r="J143" s="59" t="s">
        <x:v>1431</x:v>
      </x:c>
      <x:c r="K143" s="59" t="s">
        <x:v>1417</x:v>
      </x:c>
      <x:c r="L143" s="59" t="s">
        <x:v>1437</x:v>
      </x:c>
      <x:c r="M143" s="59" t="s">
        <x:v>1489</x:v>
      </x:c>
      <x:c r="N143" s="59" t="s">
        <x:v>1437</x:v>
      </x:c>
      <x:c r="O143" s="59" t="s">
        <x:v>1435</x:v>
      </x:c>
      <x:c r="P143" s="59" t="s">
        <x:v>1437</x:v>
      </x:c>
      <x:c r="Q143" s="75" t="s">
        <x:v>1437</x:v>
      </x:c>
      <x:c r="R143" s="75" t="s">
        <x:v>1437</x:v>
      </x:c>
      <x:c r="S143" s="75" t="s">
        <x:v>1437</x:v>
      </x:c>
      <x:c r="T143" s="75" t="s">
        <x:v>1437</x:v>
      </x:c>
      <x:c r="U143" s="75" t="s">
        <x:v>1437</x:v>
      </x:c>
      <x:c r="V143" s="75" t="s">
        <x:v>1437</x:v>
      </x:c>
      <x:c r="W143" s="60"/>
      <x:c r="X143" s="73" t="str">
        <x:f t="shared" si="22"/>
        <x:v>Belum Dinilai</x:v>
      </x:c>
      <x:c r="Y143" s="73" t="str">
        <x:f t="shared" si="23"/>
        <x:v>Belum Dinilai</x:v>
      </x:c>
      <x:c r="Z143" s="74" t="str">
        <x:f t="shared" si="24"/>
      </x:c>
      <x:c r="AA143" s="74" t="str">
        <x:f t="shared" si="25"/>
      </x:c>
      <x:c r="AB143" s="74" t="str">
        <x:f t="shared" si="26"/>
      </x:c>
      <x:c r="AC143" s="61" t="s">
        <x:v>1437</x:v>
      </x:c>
      <x:c r="AD143" s="61" t="s">
        <x:v>1437</x:v>
      </x:c>
      <x:c r="AE143" s="61" t="s">
        <x:v>1437</x:v>
      </x:c>
      <x:c r="AF143" s="61" t="s">
        <x:v>1437</x:v>
      </x:c>
      <x:c r="AG143" s="61" t="s">
        <x:v>1437</x:v>
      </x:c>
      <x:c r="AH143" s="61" t="s">
        <x:v>1437</x:v>
      </x:c>
      <x:c r="AI143" s="61" t="s">
        <x:v>1437</x:v>
      </x:c>
      <x:c r="AJ143" s="61" t="s">
        <x:v>1437</x:v>
      </x:c>
      <x:c r="AK143" s="61" t="s">
        <x:v>1437</x:v>
      </x:c>
      <x:c r="AL143" s="61"/>
      <x:c r="AM143" s="61" t="s">
        <x:v>1437</x:v>
      </x:c>
      <x:c r="AN143" s="73" t="str">
        <x:f t="shared" si="27"/>
        <x:v>Belum Dinilai</x:v>
      </x:c>
      <x:c r="AO143" s="73" t="str">
        <x:f t="shared" si="28"/>
        <x:v>Belum Dinilai</x:v>
      </x:c>
      <x:c r="AP143" s="61"/>
      <x:c r="AQ143" s="64" t="str">
        <x:f t="shared" si="29"/>
      </x:c>
      <x:c r="AR143" s="64" t="str">
        <x:f t="shared" si="30"/>
      </x:c>
      <x:c r="AS143" s="64" t="str">
        <x:f t="shared" si="31"/>
      </x:c>
      <x:c r="AT143" s="62" t="str">
        <x:f t="shared" si="32"/>
        <x:v>Belum Dapat Ditentukan</x:v>
      </x:c>
      <x:c r="AU143" s="59" t="s">
        <x:v>1408</x:v>
      </x:c>
      <x:c r="AV143" s="59" t="s">
        <x:v>1425</x:v>
      </x:c>
      <x:c r="AW143" s="59" t="s">
        <x:v>1523</x:v>
      </x:c>
      <x:c r="AX143" s="59" t="s">
        <x:v>1427</x:v>
      </x:c>
      <x:c r="AY143" s="59">
        <x:v>2024</x:v>
      </x:c>
      <x:c r="AZ143" s="59" t="s">
        <x:v>1409</x:v>
      </x:c>
      <x:c r="BA143" s="59"/>
      <x:c r="BB143" s="167"/>
      <x:c r="BC143" s="65">
        <x:v>2026</x:v>
      </x:c>
      <x:c r="BD143" s="59"/>
      <x:c r="BE143" s="167"/>
      <x:c r="BF143" s="59" t="s">
        <x:v>1501</x:v>
      </x:c>
    </x:row>
    <x:row r="144" ht="28">
      <x:c r="A144" s="59" t="s">
        <x:v>2053</x:v>
      </x:c>
      <x:c r="B144" s="59" t="s">
        <x:v>2054</x:v>
      </x:c>
      <x:c r="C144" s="59" t="s">
        <x:v>2055</x:v>
      </x:c>
      <x:c r="D144" s="59" t="s">
        <x:v>2056</x:v>
      </x:c>
      <x:c r="E144" s="59" t="s">
        <x:v>2057</x:v>
      </x:c>
      <x:c r="F144" s="59" t="s">
        <x:v>1580</x:v>
      </x:c>
      <x:c r="G144" s="59" t="s">
        <x:v>1512</x:v>
      </x:c>
      <x:c r="H144" s="59" t="s">
        <x:v>1399</x:v>
      </x:c>
      <x:c r="I144" s="59" t="s">
        <x:v>2058</x:v>
      </x:c>
      <x:c r="J144" s="59" t="s">
        <x:v>1416</x:v>
      </x:c>
      <x:c r="K144" s="59" t="s">
        <x:v>1401</x:v>
      </x:c>
      <x:c r="L144" s="59" t="s">
        <x:v>1433</x:v>
      </x:c>
      <x:c r="M144" s="59" t="s">
        <x:v>1489</x:v>
      </x:c>
      <x:c r="N144" s="59" t="s">
        <x:v>1433</x:v>
      </x:c>
      <x:c r="O144" s="59" t="s">
        <x:v>1435</x:v>
      </x:c>
      <x:c r="P144" s="59" t="s">
        <x:v>1433</x:v>
      </x:c>
      <x:c r="Q144" s="75" t="s">
        <x:v>1405</x:v>
      </x:c>
      <x:c r="R144" s="75" t="s">
        <x:v>1422</x:v>
      </x:c>
      <x:c r="S144" s="75" t="s">
        <x:v>1422</x:v>
      </x:c>
      <x:c r="T144" s="75" t="s">
        <x:v>1422</x:v>
      </x:c>
      <x:c r="U144" s="75" t="s">
        <x:v>1422</x:v>
      </x:c>
      <x:c r="V144" s="75" t="s">
        <x:v>1422</x:v>
      </x:c>
      <x:c r="W144" s="60"/>
      <x:c r="X144" s="73" t="str">
        <x:f t="shared" si="22"/>
        <x:v>Tidak ada faktor rentan</x:v>
      </x:c>
      <x:c r="Y144" s="73" t="str">
        <x:f t="shared" si="23"/>
        <x:v>Tidak Ada Faktor Rentan</x:v>
      </x:c>
      <x:c r="Z144" s="74">
        <x:f t="shared" si="24"/>
        <x:v>10</x:v>
      </x:c>
      <x:c r="AA144" s="74">
        <x:f t="shared" si="25"/>
        <x:v>0</x:v>
      </x:c>
      <x:c r="AB144" s="74">
        <x:f t="shared" si="26"/>
        <x:v>10</x:v>
      </x:c>
      <x:c r="AC144" s="61" t="s">
        <x:v>1422</x:v>
      </x:c>
      <x:c r="AD144" s="61" t="s">
        <x:v>1422</x:v>
      </x:c>
      <x:c r="AE144" s="61" t="s">
        <x:v>1406</x:v>
      </x:c>
      <x:c r="AF144" s="61" t="s">
        <x:v>1422</x:v>
      </x:c>
      <x:c r="AG144" s="61" t="s">
        <x:v>1406</x:v>
      </x:c>
      <x:c r="AH144" s="61" t="s">
        <x:v>1406</x:v>
      </x:c>
      <x:c r="AI144" s="61" t="s">
        <x:v>1406</x:v>
      </x:c>
      <x:c r="AJ144" s="61" t="s">
        <x:v>1422</x:v>
      </x:c>
      <x:c r="AK144" s="61" t="s">
        <x:v>1422</x:v>
      </x:c>
      <x:c r="AL144" s="61"/>
      <x:c r="AM144" s="61" t="s">
        <x:v>1437</x:v>
      </x:c>
      <x:c r="AN144" s="73" t="str">
        <x:f t="shared" si="27"/>
        <x:v>Atap atau dinding utama hampir runtuh; Struktur rumah tidak stabil; Instalasi listrik berbahaya; Komponen bangunan lepas atau lapuk; </x:v>
      </x:c>
      <x:c r="AO144" s="73" t="str">
        <x:f t="shared" si="28"/>
        <x:v>Risiko Tinggi/Darurat</x:v>
      </x:c>
      <x:c r="AP144" s="61"/>
      <x:c r="AQ144" s="64">
        <x:f t="shared" si="29"/>
        <x:v>36</x:v>
      </x:c>
      <x:c r="AR144" s="64">
        <x:f t="shared" si="30"/>
        <x:v>10</x:v>
      </x:c>
      <x:c r="AS144" s="64">
        <x:f t="shared" si="31"/>
        <x:v>56</x:v>
      </x:c>
      <x:c r="AT144" s="62" t="str">
        <x:f t="shared" si="32"/>
        <x:v>Tinggi</x:v>
      </x:c>
      <x:c r="AU144" s="59" t="s">
        <x:v>1408</x:v>
      </x:c>
      <x:c r="AV144" s="59" t="s">
        <x:v>1425</x:v>
      </x:c>
      <x:c r="AW144" s="59" t="s">
        <x:v>1426</x:v>
      </x:c>
      <x:c r="AX144" s="59" t="s">
        <x:v>1506</x:v>
      </x:c>
      <x:c r="AY144" s="59">
        <x:v>2026</x:v>
      </x:c>
      <x:c r="AZ144" s="59" t="s">
        <x:v>1409</x:v>
      </x:c>
      <x:c r="BA144" s="59"/>
      <x:c r="BB144" s="167"/>
      <x:c r="BC144" s="65">
        <x:v>2026</x:v>
      </x:c>
      <x:c r="BD144" s="59"/>
      <x:c r="BE144" s="167"/>
      <x:c r="BF144" s="59" t="s">
        <x:v>1501</x:v>
      </x:c>
    </x:row>
    <x:row r="145" ht="28">
      <x:c r="A145" s="59" t="s">
        <x:v>2059</x:v>
      </x:c>
      <x:c r="B145" s="59" t="s">
        <x:v>2060</x:v>
      </x:c>
      <x:c r="C145" s="59"/>
      <x:c r="D145" s="59"/>
      <x:c r="E145" s="59" t="s">
        <x:v>2061</x:v>
      </x:c>
      <x:c r="F145" s="59" t="s">
        <x:v>1580</x:v>
      </x:c>
      <x:c r="G145" s="59" t="s">
        <x:v>1512</x:v>
      </x:c>
      <x:c r="H145" s="59" t="s">
        <x:v>1484</x:v>
      </x:c>
      <x:c r="I145" s="59" t="s">
        <x:v>2062</x:v>
      </x:c>
      <x:c r="J145" s="59" t="s">
        <x:v>1400</x:v>
      </x:c>
      <x:c r="K145" s="59" t="s">
        <x:v>1522</x:v>
      </x:c>
      <x:c r="L145" s="59" t="s">
        <x:v>1437</x:v>
      </x:c>
      <x:c r="M145" s="59" t="s">
        <x:v>1488</x:v>
      </x:c>
      <x:c r="N145" s="59" t="s">
        <x:v>1437</x:v>
      </x:c>
      <x:c r="O145" s="59" t="s">
        <x:v>1522</x:v>
      </x:c>
      <x:c r="P145" s="59" t="s">
        <x:v>1437</x:v>
      </x:c>
      <x:c r="Q145" s="75" t="s">
        <x:v>1437</x:v>
      </x:c>
      <x:c r="R145" s="75" t="s">
        <x:v>1437</x:v>
      </x:c>
      <x:c r="S145" s="75" t="s">
        <x:v>1437</x:v>
      </x:c>
      <x:c r="T145" s="75" t="s">
        <x:v>1437</x:v>
      </x:c>
      <x:c r="U145" s="75" t="s">
        <x:v>1437</x:v>
      </x:c>
      <x:c r="V145" s="75" t="s">
        <x:v>1437</x:v>
      </x:c>
      <x:c r="W145" s="60"/>
      <x:c r="X145" s="73" t="str">
        <x:f t="shared" si="22"/>
        <x:v>Belum Dinilai</x:v>
      </x:c>
      <x:c r="Y145" s="73" t="str">
        <x:f t="shared" si="23"/>
        <x:v>Belum Dinilai</x:v>
      </x:c>
      <x:c r="Z145" s="74" t="str">
        <x:f t="shared" si="24"/>
      </x:c>
      <x:c r="AA145" s="74" t="str">
        <x:f t="shared" si="25"/>
      </x:c>
      <x:c r="AB145" s="74" t="str">
        <x:f t="shared" si="26"/>
      </x:c>
      <x:c r="AC145" s="61" t="s">
        <x:v>1437</x:v>
      </x:c>
      <x:c r="AD145" s="61" t="s">
        <x:v>1437</x:v>
      </x:c>
      <x:c r="AE145" s="61" t="s">
        <x:v>1437</x:v>
      </x:c>
      <x:c r="AF145" s="61" t="s">
        <x:v>1437</x:v>
      </x:c>
      <x:c r="AG145" s="61" t="s">
        <x:v>1437</x:v>
      </x:c>
      <x:c r="AH145" s="61" t="s">
        <x:v>1437</x:v>
      </x:c>
      <x:c r="AI145" s="61" t="s">
        <x:v>1437</x:v>
      </x:c>
      <x:c r="AJ145" s="61" t="s">
        <x:v>1437</x:v>
      </x:c>
      <x:c r="AK145" s="61" t="s">
        <x:v>1437</x:v>
      </x:c>
      <x:c r="AL145" s="61"/>
      <x:c r="AM145" s="61" t="s">
        <x:v>1437</x:v>
      </x:c>
      <x:c r="AN145" s="73" t="str">
        <x:f t="shared" si="27"/>
        <x:v>Belum Dinilai</x:v>
      </x:c>
      <x:c r="AO145" s="73" t="str">
        <x:f t="shared" si="28"/>
        <x:v>Belum Dinilai</x:v>
      </x:c>
      <x:c r="AP145" s="61"/>
      <x:c r="AQ145" s="64" t="str">
        <x:f t="shared" si="29"/>
      </x:c>
      <x:c r="AR145" s="64" t="str">
        <x:f t="shared" si="30"/>
      </x:c>
      <x:c r="AS145" s="64" t="str">
        <x:f t="shared" si="31"/>
      </x:c>
      <x:c r="AT145" s="62" t="str">
        <x:f t="shared" si="32"/>
        <x:v>Belum Dapat Ditentukan</x:v>
      </x:c>
      <x:c r="AU145" s="59" t="s">
        <x:v>1408</x:v>
      </x:c>
      <x:c r="AV145" s="59" t="s">
        <x:v>1425</x:v>
      </x:c>
      <x:c r="AW145" s="59" t="s">
        <x:v>1410</x:v>
      </x:c>
      <x:c r="AX145" s="59" t="s">
        <x:v>1411</x:v>
      </x:c>
      <x:c r="AY145" s="59"/>
      <x:c r="AZ145" s="59" t="s">
        <x:v>1409</x:v>
      </x:c>
      <x:c r="BA145" s="59"/>
      <x:c r="BB145" s="167"/>
      <x:c r="BC145" s="65">
        <x:v>2026</x:v>
      </x:c>
      <x:c r="BD145" s="59"/>
      <x:c r="BE145" s="167"/>
      <x:c r="BF145" s="59" t="s">
        <x:v>1501</x:v>
      </x:c>
    </x:row>
    <x:row r="146" ht="28">
      <x:c r="A146" s="59" t="s">
        <x:v>2063</x:v>
      </x:c>
      <x:c r="B146" s="59" t="s">
        <x:v>2064</x:v>
      </x:c>
      <x:c r="C146" s="59"/>
      <x:c r="D146" s="59"/>
      <x:c r="E146" s="59" t="s">
        <x:v>2065</x:v>
      </x:c>
      <x:c r="F146" s="59" t="s">
        <x:v>1511</x:v>
      </x:c>
      <x:c r="G146" s="59" t="s">
        <x:v>1512</x:v>
      </x:c>
      <x:c r="H146" s="59" t="s">
        <x:v>1484</x:v>
      </x:c>
      <x:c r="I146" s="59" t="s">
        <x:v>1637</x:v>
      </x:c>
      <x:c r="J146" s="59" t="s">
        <x:v>1400</x:v>
      </x:c>
      <x:c r="K146" s="59" t="s">
        <x:v>1522</x:v>
      </x:c>
      <x:c r="L146" s="59" t="s">
        <x:v>1437</x:v>
      </x:c>
      <x:c r="M146" s="59" t="s">
        <x:v>1488</x:v>
      </x:c>
      <x:c r="N146" s="59" t="s">
        <x:v>1437</x:v>
      </x:c>
      <x:c r="O146" s="59" t="s">
        <x:v>1522</x:v>
      </x:c>
      <x:c r="P146" s="59" t="s">
        <x:v>1437</x:v>
      </x:c>
      <x:c r="Q146" s="75" t="s">
        <x:v>1437</x:v>
      </x:c>
      <x:c r="R146" s="75" t="s">
        <x:v>1437</x:v>
      </x:c>
      <x:c r="S146" s="75" t="s">
        <x:v>1437</x:v>
      </x:c>
      <x:c r="T146" s="75" t="s">
        <x:v>1437</x:v>
      </x:c>
      <x:c r="U146" s="75" t="s">
        <x:v>1437</x:v>
      </x:c>
      <x:c r="V146" s="75" t="s">
        <x:v>1437</x:v>
      </x:c>
      <x:c r="W146" s="60"/>
      <x:c r="X146" s="73" t="str">
        <x:f t="shared" si="22"/>
        <x:v>Belum Dinilai</x:v>
      </x:c>
      <x:c r="Y146" s="73" t="str">
        <x:f t="shared" si="23"/>
        <x:v>Belum Dinilai</x:v>
      </x:c>
      <x:c r="Z146" s="74" t="str">
        <x:f t="shared" si="24"/>
      </x:c>
      <x:c r="AA146" s="74" t="str">
        <x:f t="shared" si="25"/>
      </x:c>
      <x:c r="AB146" s="74" t="str">
        <x:f t="shared" si="26"/>
      </x:c>
      <x:c r="AC146" s="61" t="s">
        <x:v>1437</x:v>
      </x:c>
      <x:c r="AD146" s="61" t="s">
        <x:v>1437</x:v>
      </x:c>
      <x:c r="AE146" s="61" t="s">
        <x:v>1437</x:v>
      </x:c>
      <x:c r="AF146" s="61" t="s">
        <x:v>1437</x:v>
      </x:c>
      <x:c r="AG146" s="61" t="s">
        <x:v>1437</x:v>
      </x:c>
      <x:c r="AH146" s="61" t="s">
        <x:v>1437</x:v>
      </x:c>
      <x:c r="AI146" s="61" t="s">
        <x:v>1437</x:v>
      </x:c>
      <x:c r="AJ146" s="61" t="s">
        <x:v>1437</x:v>
      </x:c>
      <x:c r="AK146" s="61" t="s">
        <x:v>1437</x:v>
      </x:c>
      <x:c r="AL146" s="61"/>
      <x:c r="AM146" s="61" t="s">
        <x:v>1437</x:v>
      </x:c>
      <x:c r="AN146" s="73" t="str">
        <x:f t="shared" si="27"/>
        <x:v>Belum Dinilai</x:v>
      </x:c>
      <x:c r="AO146" s="73" t="str">
        <x:f t="shared" si="28"/>
        <x:v>Belum Dinilai</x:v>
      </x:c>
      <x:c r="AP146" s="61"/>
      <x:c r="AQ146" s="64" t="str">
        <x:f t="shared" si="29"/>
      </x:c>
      <x:c r="AR146" s="64" t="str">
        <x:f t="shared" si="30"/>
      </x:c>
      <x:c r="AS146" s="64" t="str">
        <x:f t="shared" si="31"/>
      </x:c>
      <x:c r="AT146" s="62" t="str">
        <x:f t="shared" si="32"/>
        <x:v>Belum Dapat Ditentukan</x:v>
      </x:c>
      <x:c r="AU146" s="59" t="s">
        <x:v>1424</x:v>
      </x:c>
      <x:c r="AV146" s="59" t="s">
        <x:v>1425</x:v>
      </x:c>
      <x:c r="AW146" s="59" t="s">
        <x:v>1410</x:v>
      </x:c>
      <x:c r="AX146" s="59" t="s">
        <x:v>1411</x:v>
      </x:c>
      <x:c r="AY146" s="59"/>
      <x:c r="AZ146" s="59" t="s">
        <x:v>1409</x:v>
      </x:c>
      <x:c r="BA146" s="59"/>
      <x:c r="BB146" s="167"/>
      <x:c r="BC146" s="65">
        <x:v>2026</x:v>
      </x:c>
      <x:c r="BD146" s="59"/>
      <x:c r="BE146" s="167"/>
      <x:c r="BF146" s="59" t="s">
        <x:v>1501</x:v>
      </x:c>
    </x:row>
    <x:row r="147" ht="28">
      <x:c r="A147" s="59" t="s">
        <x:v>2066</x:v>
      </x:c>
      <x:c r="B147" s="59" t="s">
        <x:v>2067</x:v>
      </x:c>
      <x:c r="C147" s="59"/>
      <x:c r="D147" s="59"/>
      <x:c r="E147" s="59" t="s">
        <x:v>2068</x:v>
      </x:c>
      <x:c r="F147" s="59" t="s">
        <x:v>1681</x:v>
      </x:c>
      <x:c r="G147" s="59" t="s">
        <x:v>1534</x:v>
      </x:c>
      <x:c r="H147" s="59" t="s">
        <x:v>1484</x:v>
      </x:c>
      <x:c r="I147" s="59" t="s">
        <x:v>1637</x:v>
      </x:c>
      <x:c r="J147" s="59" t="s">
        <x:v>1400</x:v>
      </x:c>
      <x:c r="K147" s="59" t="s">
        <x:v>1522</x:v>
      </x:c>
      <x:c r="L147" s="59" t="s">
        <x:v>1437</x:v>
      </x:c>
      <x:c r="M147" s="59" t="s">
        <x:v>1488</x:v>
      </x:c>
      <x:c r="N147" s="59" t="s">
        <x:v>1437</x:v>
      </x:c>
      <x:c r="O147" s="59" t="s">
        <x:v>1522</x:v>
      </x:c>
      <x:c r="P147" s="59" t="s">
        <x:v>1437</x:v>
      </x:c>
      <x:c r="Q147" s="75" t="s">
        <x:v>1437</x:v>
      </x:c>
      <x:c r="R147" s="75" t="s">
        <x:v>1437</x:v>
      </x:c>
      <x:c r="S147" s="75" t="s">
        <x:v>1437</x:v>
      </x:c>
      <x:c r="T147" s="75" t="s">
        <x:v>1437</x:v>
      </x:c>
      <x:c r="U147" s="75" t="s">
        <x:v>1437</x:v>
      </x:c>
      <x:c r="V147" s="75" t="s">
        <x:v>1437</x:v>
      </x:c>
      <x:c r="W147" s="60"/>
      <x:c r="X147" s="73" t="str">
        <x:f t="shared" si="22"/>
        <x:v>Belum Dinilai</x:v>
      </x:c>
      <x:c r="Y147" s="73" t="str">
        <x:f t="shared" si="23"/>
        <x:v>Belum Dinilai</x:v>
      </x:c>
      <x:c r="Z147" s="74" t="str">
        <x:f t="shared" si="24"/>
      </x:c>
      <x:c r="AA147" s="74" t="str">
        <x:f t="shared" si="25"/>
      </x:c>
      <x:c r="AB147" s="74" t="str">
        <x:f t="shared" si="26"/>
      </x:c>
      <x:c r="AC147" s="61" t="s">
        <x:v>1437</x:v>
      </x:c>
      <x:c r="AD147" s="61" t="s">
        <x:v>1437</x:v>
      </x:c>
      <x:c r="AE147" s="61" t="s">
        <x:v>1437</x:v>
      </x:c>
      <x:c r="AF147" s="61" t="s">
        <x:v>1437</x:v>
      </x:c>
      <x:c r="AG147" s="61" t="s">
        <x:v>1437</x:v>
      </x:c>
      <x:c r="AH147" s="61" t="s">
        <x:v>1437</x:v>
      </x:c>
      <x:c r="AI147" s="61" t="s">
        <x:v>1437</x:v>
      </x:c>
      <x:c r="AJ147" s="61" t="s">
        <x:v>1437</x:v>
      </x:c>
      <x:c r="AK147" s="61" t="s">
        <x:v>1437</x:v>
      </x:c>
      <x:c r="AL147" s="61"/>
      <x:c r="AM147" s="61" t="s">
        <x:v>1437</x:v>
      </x:c>
      <x:c r="AN147" s="73" t="str">
        <x:f t="shared" si="27"/>
        <x:v>Belum Dinilai</x:v>
      </x:c>
      <x:c r="AO147" s="73" t="str">
        <x:f t="shared" si="28"/>
        <x:v>Belum Dinilai</x:v>
      </x:c>
      <x:c r="AP147" s="61"/>
      <x:c r="AQ147" s="64" t="str">
        <x:f t="shared" si="29"/>
      </x:c>
      <x:c r="AR147" s="64" t="str">
        <x:f t="shared" si="30"/>
      </x:c>
      <x:c r="AS147" s="64" t="str">
        <x:f t="shared" si="31"/>
      </x:c>
      <x:c r="AT147" s="62" t="str">
        <x:f t="shared" si="32"/>
        <x:v>Belum Dapat Ditentukan</x:v>
      </x:c>
      <x:c r="AU147" s="59" t="s">
        <x:v>1408</x:v>
      </x:c>
      <x:c r="AV147" s="59" t="s">
        <x:v>1425</x:v>
      </x:c>
      <x:c r="AW147" s="59" t="s">
        <x:v>1410</x:v>
      </x:c>
      <x:c r="AX147" s="59" t="s">
        <x:v>1411</x:v>
      </x:c>
      <x:c r="AY147" s="59"/>
      <x:c r="AZ147" s="59" t="s">
        <x:v>1409</x:v>
      </x:c>
      <x:c r="BA147" s="59"/>
      <x:c r="BB147" s="167"/>
      <x:c r="BC147" s="65">
        <x:v>2026</x:v>
      </x:c>
      <x:c r="BD147" s="59"/>
      <x:c r="BE147" s="167"/>
      <x:c r="BF147" s="59" t="s">
        <x:v>1501</x:v>
      </x:c>
    </x:row>
    <x:row r="148" ht="28">
      <x:c r="A148" s="59" t="s">
        <x:v>2069</x:v>
      </x:c>
      <x:c r="B148" s="59" t="s">
        <x:v>2070</x:v>
      </x:c>
      <x:c r="C148" s="59"/>
      <x:c r="D148" s="59"/>
      <x:c r="E148" s="59" t="s">
        <x:v>2068</x:v>
      </x:c>
      <x:c r="F148" s="59" t="s">
        <x:v>1681</x:v>
      </x:c>
      <x:c r="G148" s="59" t="s">
        <x:v>1534</x:v>
      </x:c>
      <x:c r="H148" s="59" t="s">
        <x:v>1415</x:v>
      </x:c>
      <x:c r="I148" s="59" t="s">
        <x:v>2071</x:v>
      </x:c>
      <x:c r="J148" s="59" t="s">
        <x:v>1416</x:v>
      </x:c>
      <x:c r="K148" s="59" t="s">
        <x:v>1522</x:v>
      </x:c>
      <x:c r="L148" s="59" t="s">
        <x:v>1437</x:v>
      </x:c>
      <x:c r="M148" s="59" t="s">
        <x:v>1489</x:v>
      </x:c>
      <x:c r="N148" s="59" t="s">
        <x:v>1437</x:v>
      </x:c>
      <x:c r="O148" s="59" t="s">
        <x:v>1522</x:v>
      </x:c>
      <x:c r="P148" s="59" t="s">
        <x:v>1437</x:v>
      </x:c>
      <x:c r="Q148" s="75" t="s">
        <x:v>1437</x:v>
      </x:c>
      <x:c r="R148" s="75" t="s">
        <x:v>1437</x:v>
      </x:c>
      <x:c r="S148" s="75" t="s">
        <x:v>1437</x:v>
      </x:c>
      <x:c r="T148" s="75" t="s">
        <x:v>1437</x:v>
      </x:c>
      <x:c r="U148" s="75" t="s">
        <x:v>1437</x:v>
      </x:c>
      <x:c r="V148" s="75" t="s">
        <x:v>1437</x:v>
      </x:c>
      <x:c r="W148" s="60"/>
      <x:c r="X148" s="73" t="str">
        <x:f t="shared" si="22"/>
        <x:v>Belum Dinilai</x:v>
      </x:c>
      <x:c r="Y148" s="73" t="str">
        <x:f t="shared" si="23"/>
        <x:v>Belum Dinilai</x:v>
      </x:c>
      <x:c r="Z148" s="74" t="str">
        <x:f t="shared" si="24"/>
      </x:c>
      <x:c r="AA148" s="74" t="str">
        <x:f t="shared" si="25"/>
      </x:c>
      <x:c r="AB148" s="74" t="str">
        <x:f t="shared" si="26"/>
      </x:c>
      <x:c r="AC148" s="61" t="s">
        <x:v>1437</x:v>
      </x:c>
      <x:c r="AD148" s="61" t="s">
        <x:v>1437</x:v>
      </x:c>
      <x:c r="AE148" s="61" t="s">
        <x:v>1437</x:v>
      </x:c>
      <x:c r="AF148" s="61" t="s">
        <x:v>1437</x:v>
      </x:c>
      <x:c r="AG148" s="61" t="s">
        <x:v>1437</x:v>
      </x:c>
      <x:c r="AH148" s="61" t="s">
        <x:v>1437</x:v>
      </x:c>
      <x:c r="AI148" s="61" t="s">
        <x:v>1437</x:v>
      </x:c>
      <x:c r="AJ148" s="61" t="s">
        <x:v>1437</x:v>
      </x:c>
      <x:c r="AK148" s="61" t="s">
        <x:v>1437</x:v>
      </x:c>
      <x:c r="AL148" s="61"/>
      <x:c r="AM148" s="61" t="s">
        <x:v>1437</x:v>
      </x:c>
      <x:c r="AN148" s="73" t="str">
        <x:f t="shared" si="27"/>
        <x:v>Belum Dinilai</x:v>
      </x:c>
      <x:c r="AO148" s="73" t="str">
        <x:f t="shared" si="28"/>
        <x:v>Belum Dinilai</x:v>
      </x:c>
      <x:c r="AP148" s="61"/>
      <x:c r="AQ148" s="64" t="str">
        <x:f t="shared" si="29"/>
      </x:c>
      <x:c r="AR148" s="64" t="str">
        <x:f t="shared" si="30"/>
      </x:c>
      <x:c r="AS148" s="64" t="str">
        <x:f t="shared" si="31"/>
      </x:c>
      <x:c r="AT148" s="62" t="str">
        <x:f t="shared" si="32"/>
        <x:v>Belum Dapat Ditentukan</x:v>
      </x:c>
      <x:c r="AU148" s="59" t="s">
        <x:v>1408</x:v>
      </x:c>
      <x:c r="AV148" s="59" t="s">
        <x:v>1425</x:v>
      </x:c>
      <x:c r="AW148" s="59" t="s">
        <x:v>1523</x:v>
      </x:c>
      <x:c r="AX148" s="59" t="s">
        <x:v>1427</x:v>
      </x:c>
      <x:c r="AY148" s="59">
        <x:v>2024</x:v>
      </x:c>
      <x:c r="AZ148" s="59" t="s">
        <x:v>1409</x:v>
      </x:c>
      <x:c r="BA148" s="59"/>
      <x:c r="BB148" s="167"/>
      <x:c r="BC148" s="65">
        <x:v>2026</x:v>
      </x:c>
      <x:c r="BD148" s="59"/>
      <x:c r="BE148" s="167"/>
      <x:c r="BF148" s="59" t="s">
        <x:v>1501</x:v>
      </x:c>
    </x:row>
    <x:row r="149" ht="28">
      <x:c r="A149" s="59" t="s">
        <x:v>2072</x:v>
      </x:c>
      <x:c r="B149" s="59" t="s">
        <x:v>2073</x:v>
      </x:c>
      <x:c r="C149" s="59"/>
      <x:c r="D149" s="59"/>
      <x:c r="E149" s="59" t="s">
        <x:v>2074</x:v>
      </x:c>
      <x:c r="F149" s="59" t="s">
        <x:v>1511</x:v>
      </x:c>
      <x:c r="G149" s="59" t="s">
        <x:v>1512</x:v>
      </x:c>
      <x:c r="H149" s="59" t="s">
        <x:v>1399</x:v>
      </x:c>
      <x:c r="I149" s="59" t="s">
        <x:v>1513</x:v>
      </x:c>
      <x:c r="J149" s="59" t="s">
        <x:v>1431</x:v>
      </x:c>
      <x:c r="K149" s="59" t="s">
        <x:v>1522</x:v>
      </x:c>
      <x:c r="L149" s="59" t="s">
        <x:v>1437</x:v>
      </x:c>
      <x:c r="M149" s="59" t="s">
        <x:v>1489</x:v>
      </x:c>
      <x:c r="N149" s="59" t="s">
        <x:v>1437</x:v>
      </x:c>
      <x:c r="O149" s="59" t="s">
        <x:v>1522</x:v>
      </x:c>
      <x:c r="P149" s="59" t="s">
        <x:v>1437</x:v>
      </x:c>
      <x:c r="Q149" s="75" t="s">
        <x:v>1437</x:v>
      </x:c>
      <x:c r="R149" s="75" t="s">
        <x:v>1437</x:v>
      </x:c>
      <x:c r="S149" s="75" t="s">
        <x:v>1437</x:v>
      </x:c>
      <x:c r="T149" s="75" t="s">
        <x:v>1437</x:v>
      </x:c>
      <x:c r="U149" s="75" t="s">
        <x:v>1437</x:v>
      </x:c>
      <x:c r="V149" s="75" t="s">
        <x:v>1437</x:v>
      </x:c>
      <x:c r="W149" s="60"/>
      <x:c r="X149" s="73" t="str">
        <x:f t="shared" si="22"/>
        <x:v>Belum Dinilai</x:v>
      </x:c>
      <x:c r="Y149" s="73" t="str">
        <x:f t="shared" si="23"/>
        <x:v>Belum Dinilai</x:v>
      </x:c>
      <x:c r="Z149" s="74" t="str">
        <x:f t="shared" si="24"/>
      </x:c>
      <x:c r="AA149" s="74" t="str">
        <x:f t="shared" si="25"/>
      </x:c>
      <x:c r="AB149" s="74" t="str">
        <x:f t="shared" si="26"/>
      </x:c>
      <x:c r="AC149" s="61" t="s">
        <x:v>1437</x:v>
      </x:c>
      <x:c r="AD149" s="61" t="s">
        <x:v>1437</x:v>
      </x:c>
      <x:c r="AE149" s="61" t="s">
        <x:v>1437</x:v>
      </x:c>
      <x:c r="AF149" s="61" t="s">
        <x:v>1437</x:v>
      </x:c>
      <x:c r="AG149" s="61" t="s">
        <x:v>1437</x:v>
      </x:c>
      <x:c r="AH149" s="61" t="s">
        <x:v>1437</x:v>
      </x:c>
      <x:c r="AI149" s="61" t="s">
        <x:v>1437</x:v>
      </x:c>
      <x:c r="AJ149" s="61" t="s">
        <x:v>1437</x:v>
      </x:c>
      <x:c r="AK149" s="61" t="s">
        <x:v>1437</x:v>
      </x:c>
      <x:c r="AL149" s="61"/>
      <x:c r="AM149" s="61" t="s">
        <x:v>1437</x:v>
      </x:c>
      <x:c r="AN149" s="73" t="str">
        <x:f t="shared" si="27"/>
        <x:v>Belum Dinilai</x:v>
      </x:c>
      <x:c r="AO149" s="73" t="str">
        <x:f t="shared" si="28"/>
        <x:v>Belum Dinilai</x:v>
      </x:c>
      <x:c r="AP149" s="61"/>
      <x:c r="AQ149" s="64" t="str">
        <x:f t="shared" si="29"/>
      </x:c>
      <x:c r="AR149" s="64" t="str">
        <x:f t="shared" si="30"/>
      </x:c>
      <x:c r="AS149" s="64" t="str">
        <x:f t="shared" si="31"/>
      </x:c>
      <x:c r="AT149" s="62" t="str">
        <x:f t="shared" si="32"/>
        <x:v>Belum Dapat Ditentukan</x:v>
      </x:c>
      <x:c r="AU149" s="59" t="s">
        <x:v>1408</x:v>
      </x:c>
      <x:c r="AV149" s="59" t="s">
        <x:v>1425</x:v>
      </x:c>
      <x:c r="AW149" s="59" t="s">
        <x:v>1523</x:v>
      </x:c>
      <x:c r="AX149" s="59" t="s">
        <x:v>1427</x:v>
      </x:c>
      <x:c r="AY149" s="59">
        <x:v>2022</x:v>
      </x:c>
      <x:c r="AZ149" s="59" t="s">
        <x:v>1409</x:v>
      </x:c>
      <x:c r="BA149" s="59"/>
      <x:c r="BB149" s="167"/>
      <x:c r="BC149" s="65">
        <x:v>2026</x:v>
      </x:c>
      <x:c r="BD149" s="59"/>
      <x:c r="BE149" s="167"/>
      <x:c r="BF149" s="59" t="s">
        <x:v>1501</x:v>
      </x:c>
    </x:row>
    <x:row r="150" ht="42">
      <x:c r="A150" s="59" t="s">
        <x:v>2075</x:v>
      </x:c>
      <x:c r="B150" s="59" t="s">
        <x:v>2076</x:v>
      </x:c>
      <x:c r="C150" s="59"/>
      <x:c r="D150" s="59"/>
      <x:c r="E150" s="59" t="s">
        <x:v>1524</x:v>
      </x:c>
      <x:c r="F150" s="59" t="s">
        <x:v>1574</x:v>
      </x:c>
      <x:c r="G150" s="59" t="s">
        <x:v>1575</x:v>
      </x:c>
      <x:c r="H150" s="59" t="s">
        <x:v>1484</x:v>
      </x:c>
      <x:c r="I150" s="59" t="s">
        <x:v>2077</x:v>
      </x:c>
      <x:c r="J150" s="59" t="s">
        <x:v>1431</x:v>
      </x:c>
      <x:c r="K150" s="59" t="s">
        <x:v>1522</x:v>
      </x:c>
      <x:c r="L150" s="59" t="s">
        <x:v>1418</x:v>
      </x:c>
      <x:c r="M150" s="59" t="s">
        <x:v>1489</x:v>
      </x:c>
      <x:c r="N150" s="59" t="s">
        <x:v>1418</x:v>
      </x:c>
      <x:c r="O150" s="59" t="s">
        <x:v>1435</x:v>
      </x:c>
      <x:c r="P150" s="59" t="s">
        <x:v>1418</x:v>
      </x:c>
      <x:c r="Q150" s="75" t="s">
        <x:v>1437</x:v>
      </x:c>
      <x:c r="R150" s="75" t="s">
        <x:v>1437</x:v>
      </x:c>
      <x:c r="S150" s="75" t="s">
        <x:v>1437</x:v>
      </x:c>
      <x:c r="T150" s="75" t="s">
        <x:v>1437</x:v>
      </x:c>
      <x:c r="U150" s="75" t="s">
        <x:v>1437</x:v>
      </x:c>
      <x:c r="V150" s="75" t="s">
        <x:v>1437</x:v>
      </x:c>
      <x:c r="W150" s="60"/>
      <x:c r="X150" s="73" t="str">
        <x:f t="shared" si="22"/>
        <x:v>Belum Dinilai</x:v>
      </x:c>
      <x:c r="Y150" s="73" t="str">
        <x:f t="shared" si="23"/>
        <x:v>Belum Dinilai</x:v>
      </x:c>
      <x:c r="Z150" s="74" t="str">
        <x:f t="shared" si="24"/>
      </x:c>
      <x:c r="AA150" s="74" t="str">
        <x:f t="shared" si="25"/>
      </x:c>
      <x:c r="AB150" s="74" t="str">
        <x:f t="shared" si="26"/>
      </x:c>
      <x:c r="AC150" s="61" t="s">
        <x:v>1437</x:v>
      </x:c>
      <x:c r="AD150" s="61" t="s">
        <x:v>1437</x:v>
      </x:c>
      <x:c r="AE150" s="61" t="s">
        <x:v>1437</x:v>
      </x:c>
      <x:c r="AF150" s="61" t="s">
        <x:v>1437</x:v>
      </x:c>
      <x:c r="AG150" s="61" t="s">
        <x:v>1437</x:v>
      </x:c>
      <x:c r="AH150" s="61" t="s">
        <x:v>1437</x:v>
      </x:c>
      <x:c r="AI150" s="61" t="s">
        <x:v>1437</x:v>
      </x:c>
      <x:c r="AJ150" s="61" t="s">
        <x:v>1437</x:v>
      </x:c>
      <x:c r="AK150" s="61" t="s">
        <x:v>1437</x:v>
      </x:c>
      <x:c r="AL150" s="61"/>
      <x:c r="AM150" s="61" t="s">
        <x:v>1437</x:v>
      </x:c>
      <x:c r="AN150" s="73" t="str">
        <x:f t="shared" si="27"/>
        <x:v>Belum Dinilai</x:v>
      </x:c>
      <x:c r="AO150" s="73" t="str">
        <x:f t="shared" si="28"/>
        <x:v>Belum Dinilai</x:v>
      </x:c>
      <x:c r="AP150" s="61"/>
      <x:c r="AQ150" s="64">
        <x:f t="shared" si="29"/>
        <x:v>29</x:v>
      </x:c>
      <x:c r="AR150" s="64" t="str">
        <x:f t="shared" si="30"/>
      </x:c>
      <x:c r="AS150" s="64" t="str">
        <x:f t="shared" si="31"/>
      </x:c>
      <x:c r="AT150" s="62" t="str">
        <x:f t="shared" si="32"/>
        <x:v>Belum Dapat Ditentukan</x:v>
      </x:c>
      <x:c r="AU150" s="59" t="s">
        <x:v>1424</x:v>
      </x:c>
      <x:c r="AV150" s="59" t="s">
        <x:v>1425</x:v>
      </x:c>
      <x:c r="AW150" s="59" t="s">
        <x:v>1410</x:v>
      </x:c>
      <x:c r="AX150" s="59" t="s">
        <x:v>1411</x:v>
      </x:c>
      <x:c r="AY150" s="59"/>
      <x:c r="AZ150" s="59" t="s">
        <x:v>1409</x:v>
      </x:c>
      <x:c r="BA150" s="59"/>
      <x:c r="BB150" s="167"/>
      <x:c r="BC150" s="65">
        <x:v>2026</x:v>
      </x:c>
      <x:c r="BD150" s="59"/>
      <x:c r="BE150" s="167"/>
      <x:c r="BF150" s="59" t="s">
        <x:v>1501</x:v>
      </x:c>
    </x:row>
    <x:row r="151" ht="28">
      <x:c r="A151" s="59" t="s">
        <x:v>2078</x:v>
      </x:c>
      <x:c r="B151" s="59" t="s">
        <x:v>2079</x:v>
      </x:c>
      <x:c r="C151" s="59"/>
      <x:c r="D151" s="59"/>
      <x:c r="E151" s="59" t="s">
        <x:v>2080</x:v>
      </x:c>
      <x:c r="F151" s="59" t="s">
        <x:v>1533</x:v>
      </x:c>
      <x:c r="G151" s="59" t="s">
        <x:v>1534</x:v>
      </x:c>
      <x:c r="H151" s="59" t="s">
        <x:v>1484</x:v>
      </x:c>
      <x:c r="I151" s="59" t="s">
        <x:v>2081</x:v>
      </x:c>
      <x:c r="J151" s="59" t="s">
        <x:v>1400</x:v>
      </x:c>
      <x:c r="K151" s="59" t="s">
        <x:v>1522</x:v>
      </x:c>
      <x:c r="L151" s="59" t="s">
        <x:v>1437</x:v>
      </x:c>
      <x:c r="M151" s="59" t="s">
        <x:v>1488</x:v>
      </x:c>
      <x:c r="N151" s="59" t="s">
        <x:v>1437</x:v>
      </x:c>
      <x:c r="O151" s="59" t="s">
        <x:v>1522</x:v>
      </x:c>
      <x:c r="P151" s="59" t="s">
        <x:v>1437</x:v>
      </x:c>
      <x:c r="Q151" s="75" t="s">
        <x:v>1437</x:v>
      </x:c>
      <x:c r="R151" s="75" t="s">
        <x:v>1437</x:v>
      </x:c>
      <x:c r="S151" s="75" t="s">
        <x:v>1437</x:v>
      </x:c>
      <x:c r="T151" s="75" t="s">
        <x:v>1437</x:v>
      </x:c>
      <x:c r="U151" s="75" t="s">
        <x:v>1437</x:v>
      </x:c>
      <x:c r="V151" s="75" t="s">
        <x:v>1437</x:v>
      </x:c>
      <x:c r="W151" s="60"/>
      <x:c r="X151" s="73" t="str">
        <x:f t="shared" si="22"/>
        <x:v>Belum Dinilai</x:v>
      </x:c>
      <x:c r="Y151" s="73" t="str">
        <x:f t="shared" si="23"/>
        <x:v>Belum Dinilai</x:v>
      </x:c>
      <x:c r="Z151" s="74" t="str">
        <x:f t="shared" si="24"/>
      </x:c>
      <x:c r="AA151" s="74" t="str">
        <x:f t="shared" si="25"/>
      </x:c>
      <x:c r="AB151" s="74" t="str">
        <x:f t="shared" si="26"/>
      </x:c>
      <x:c r="AC151" s="61" t="s">
        <x:v>1437</x:v>
      </x:c>
      <x:c r="AD151" s="61" t="s">
        <x:v>1437</x:v>
      </x:c>
      <x:c r="AE151" s="61" t="s">
        <x:v>1437</x:v>
      </x:c>
      <x:c r="AF151" s="61" t="s">
        <x:v>1437</x:v>
      </x:c>
      <x:c r="AG151" s="61" t="s">
        <x:v>1437</x:v>
      </x:c>
      <x:c r="AH151" s="61" t="s">
        <x:v>1437</x:v>
      </x:c>
      <x:c r="AI151" s="61" t="s">
        <x:v>1437</x:v>
      </x:c>
      <x:c r="AJ151" s="61" t="s">
        <x:v>1437</x:v>
      </x:c>
      <x:c r="AK151" s="61" t="s">
        <x:v>1437</x:v>
      </x:c>
      <x:c r="AL151" s="61"/>
      <x:c r="AM151" s="61" t="s">
        <x:v>1437</x:v>
      </x:c>
      <x:c r="AN151" s="73" t="str">
        <x:f t="shared" si="27"/>
        <x:v>Belum Dinilai</x:v>
      </x:c>
      <x:c r="AO151" s="73" t="str">
        <x:f t="shared" si="28"/>
        <x:v>Belum Dinilai</x:v>
      </x:c>
      <x:c r="AP151" s="61"/>
      <x:c r="AQ151" s="64" t="str">
        <x:f t="shared" si="29"/>
      </x:c>
      <x:c r="AR151" s="64" t="str">
        <x:f t="shared" si="30"/>
      </x:c>
      <x:c r="AS151" s="64" t="str">
        <x:f t="shared" si="31"/>
      </x:c>
      <x:c r="AT151" s="62" t="str">
        <x:f t="shared" si="32"/>
        <x:v>Belum Dapat Ditentukan</x:v>
      </x:c>
      <x:c r="AU151" s="59" t="s">
        <x:v>1408</x:v>
      </x:c>
      <x:c r="AV151" s="59" t="s">
        <x:v>1425</x:v>
      </x:c>
      <x:c r="AW151" s="59" t="s">
        <x:v>1410</x:v>
      </x:c>
      <x:c r="AX151" s="59" t="s">
        <x:v>1411</x:v>
      </x:c>
      <x:c r="AY151" s="59"/>
      <x:c r="AZ151" s="59" t="s">
        <x:v>1409</x:v>
      </x:c>
      <x:c r="BA151" s="59"/>
      <x:c r="BB151" s="167"/>
      <x:c r="BC151" s="65">
        <x:v>2026</x:v>
      </x:c>
      <x:c r="BD151" s="59"/>
      <x:c r="BE151" s="167"/>
      <x:c r="BF151" s="59" t="s">
        <x:v>1501</x:v>
      </x:c>
    </x:row>
    <x:row r="152" ht="28">
      <x:c r="A152" s="59" t="s">
        <x:v>2082</x:v>
      </x:c>
      <x:c r="B152" s="59" t="s">
        <x:v>2083</x:v>
      </x:c>
      <x:c r="C152" s="59"/>
      <x:c r="D152" s="59"/>
      <x:c r="E152" s="59" t="s">
        <x:v>2084</x:v>
      </x:c>
      <x:c r="F152" s="59" t="s">
        <x:v>1533</x:v>
      </x:c>
      <x:c r="G152" s="59" t="s">
        <x:v>1534</x:v>
      </x:c>
      <x:c r="H152" s="59" t="s">
        <x:v>1415</x:v>
      </x:c>
      <x:c r="I152" s="59" t="s">
        <x:v>2085</x:v>
      </x:c>
      <x:c r="J152" s="59" t="s">
        <x:v>1416</x:v>
      </x:c>
      <x:c r="K152" s="59" t="s">
        <x:v>1522</x:v>
      </x:c>
      <x:c r="L152" s="59" t="s">
        <x:v>1437</x:v>
      </x:c>
      <x:c r="M152" s="59" t="s">
        <x:v>1500</x:v>
      </x:c>
      <x:c r="N152" s="59" t="s">
        <x:v>1437</x:v>
      </x:c>
      <x:c r="O152" s="59" t="s">
        <x:v>1522</x:v>
      </x:c>
      <x:c r="P152" s="59" t="s">
        <x:v>1437</x:v>
      </x:c>
      <x:c r="Q152" s="75" t="s">
        <x:v>1437</x:v>
      </x:c>
      <x:c r="R152" s="75" t="s">
        <x:v>1437</x:v>
      </x:c>
      <x:c r="S152" s="75" t="s">
        <x:v>1437</x:v>
      </x:c>
      <x:c r="T152" s="75" t="s">
        <x:v>1437</x:v>
      </x:c>
      <x:c r="U152" s="75" t="s">
        <x:v>1437</x:v>
      </x:c>
      <x:c r="V152" s="75" t="s">
        <x:v>1437</x:v>
      </x:c>
      <x:c r="W152" s="60"/>
      <x:c r="X152" s="73" t="str">
        <x:f t="shared" si="22"/>
        <x:v>Belum Dinilai</x:v>
      </x:c>
      <x:c r="Y152" s="73" t="str">
        <x:f t="shared" si="23"/>
        <x:v>Belum Dinilai</x:v>
      </x:c>
      <x:c r="Z152" s="74" t="str">
        <x:f t="shared" si="24"/>
      </x:c>
      <x:c r="AA152" s="74" t="str">
        <x:f t="shared" si="25"/>
      </x:c>
      <x:c r="AB152" s="74" t="str">
        <x:f t="shared" si="26"/>
      </x:c>
      <x:c r="AC152" s="61" t="s">
        <x:v>1437</x:v>
      </x:c>
      <x:c r="AD152" s="61" t="s">
        <x:v>1437</x:v>
      </x:c>
      <x:c r="AE152" s="61" t="s">
        <x:v>1437</x:v>
      </x:c>
      <x:c r="AF152" s="61" t="s">
        <x:v>1437</x:v>
      </x:c>
      <x:c r="AG152" s="61" t="s">
        <x:v>1437</x:v>
      </x:c>
      <x:c r="AH152" s="61" t="s">
        <x:v>1437</x:v>
      </x:c>
      <x:c r="AI152" s="61" t="s">
        <x:v>1437</x:v>
      </x:c>
      <x:c r="AJ152" s="61" t="s">
        <x:v>1437</x:v>
      </x:c>
      <x:c r="AK152" s="61" t="s">
        <x:v>1437</x:v>
      </x:c>
      <x:c r="AL152" s="61"/>
      <x:c r="AM152" s="61" t="s">
        <x:v>1437</x:v>
      </x:c>
      <x:c r="AN152" s="73" t="str">
        <x:f t="shared" si="27"/>
        <x:v>Belum Dinilai</x:v>
      </x:c>
      <x:c r="AO152" s="73" t="str">
        <x:f t="shared" si="28"/>
        <x:v>Belum Dinilai</x:v>
      </x:c>
      <x:c r="AP152" s="61"/>
      <x:c r="AQ152" s="64" t="str">
        <x:f t="shared" si="29"/>
      </x:c>
      <x:c r="AR152" s="64" t="str">
        <x:f t="shared" si="30"/>
      </x:c>
      <x:c r="AS152" s="64" t="str">
        <x:f t="shared" si="31"/>
      </x:c>
      <x:c r="AT152" s="62" t="str">
        <x:f t="shared" si="32"/>
        <x:v>Belum Dapat Ditentukan</x:v>
      </x:c>
      <x:c r="AU152" s="59" t="s">
        <x:v>1408</x:v>
      </x:c>
      <x:c r="AV152" s="59" t="s">
        <x:v>1425</x:v>
      </x:c>
      <x:c r="AW152" s="59" t="s">
        <x:v>1523</x:v>
      </x:c>
      <x:c r="AX152" s="59" t="s">
        <x:v>1427</x:v>
      </x:c>
      <x:c r="AY152" s="59"/>
      <x:c r="AZ152" s="59" t="s">
        <x:v>1409</x:v>
      </x:c>
      <x:c r="BA152" s="59"/>
      <x:c r="BB152" s="167"/>
      <x:c r="BC152" s="65">
        <x:v>2026</x:v>
      </x:c>
      <x:c r="BD152" s="59"/>
      <x:c r="BE152" s="167"/>
      <x:c r="BF152" s="59" t="s">
        <x:v>1501</x:v>
      </x:c>
    </x:row>
    <x:row r="153" ht="28">
      <x:c r="A153" s="59" t="s">
        <x:v>2086</x:v>
      </x:c>
      <x:c r="B153" s="59" t="s">
        <x:v>2087</x:v>
      </x:c>
      <x:c r="C153" s="59"/>
      <x:c r="D153" s="59"/>
      <x:c r="E153" s="59" t="s">
        <x:v>1524</x:v>
      </x:c>
      <x:c r="F153" s="59" t="s">
        <x:v>1533</x:v>
      </x:c>
      <x:c r="G153" s="59" t="s">
        <x:v>1534</x:v>
      </x:c>
      <x:c r="H153" s="59" t="s">
        <x:v>1399</x:v>
      </x:c>
      <x:c r="I153" s="59" t="s">
        <x:v>2088</x:v>
      </x:c>
      <x:c r="J153" s="59" t="s">
        <x:v>1416</x:v>
      </x:c>
      <x:c r="K153" s="59" t="s">
        <x:v>1522</x:v>
      </x:c>
      <x:c r="L153" s="59" t="s">
        <x:v>1437</x:v>
      </x:c>
      <x:c r="M153" s="59" t="s">
        <x:v>1500</x:v>
      </x:c>
      <x:c r="N153" s="59" t="s">
        <x:v>1437</x:v>
      </x:c>
      <x:c r="O153" s="59" t="s">
        <x:v>1435</x:v>
      </x:c>
      <x:c r="P153" s="59" t="s">
        <x:v>1437</x:v>
      </x:c>
      <x:c r="Q153" s="75" t="s">
        <x:v>1437</x:v>
      </x:c>
      <x:c r="R153" s="75" t="s">
        <x:v>1437</x:v>
      </x:c>
      <x:c r="S153" s="75" t="s">
        <x:v>1437</x:v>
      </x:c>
      <x:c r="T153" s="75" t="s">
        <x:v>1437</x:v>
      </x:c>
      <x:c r="U153" s="75" t="s">
        <x:v>1437</x:v>
      </x:c>
      <x:c r="V153" s="75" t="s">
        <x:v>1437</x:v>
      </x:c>
      <x:c r="W153" s="60"/>
      <x:c r="X153" s="73" t="str">
        <x:f t="shared" si="22"/>
        <x:v>Belum Dinilai</x:v>
      </x:c>
      <x:c r="Y153" s="73" t="str">
        <x:f t="shared" si="23"/>
        <x:v>Belum Dinilai</x:v>
      </x:c>
      <x:c r="Z153" s="74" t="str">
        <x:f t="shared" si="24"/>
      </x:c>
      <x:c r="AA153" s="74" t="str">
        <x:f t="shared" si="25"/>
      </x:c>
      <x:c r="AB153" s="74" t="str">
        <x:f t="shared" si="26"/>
      </x:c>
      <x:c r="AC153" s="61" t="s">
        <x:v>1437</x:v>
      </x:c>
      <x:c r="AD153" s="61" t="s">
        <x:v>1437</x:v>
      </x:c>
      <x:c r="AE153" s="61" t="s">
        <x:v>1437</x:v>
      </x:c>
      <x:c r="AF153" s="61" t="s">
        <x:v>1437</x:v>
      </x:c>
      <x:c r="AG153" s="61" t="s">
        <x:v>1437</x:v>
      </x:c>
      <x:c r="AH153" s="61" t="s">
        <x:v>1437</x:v>
      </x:c>
      <x:c r="AI153" s="61" t="s">
        <x:v>1437</x:v>
      </x:c>
      <x:c r="AJ153" s="61" t="s">
        <x:v>1437</x:v>
      </x:c>
      <x:c r="AK153" s="61" t="s">
        <x:v>1437</x:v>
      </x:c>
      <x:c r="AL153" s="61"/>
      <x:c r="AM153" s="61" t="s">
        <x:v>1437</x:v>
      </x:c>
      <x:c r="AN153" s="73" t="str">
        <x:f t="shared" si="27"/>
        <x:v>Belum Dinilai</x:v>
      </x:c>
      <x:c r="AO153" s="73" t="str">
        <x:f t="shared" si="28"/>
        <x:v>Belum Dinilai</x:v>
      </x:c>
      <x:c r="AP153" s="61"/>
      <x:c r="AQ153" s="64" t="str">
        <x:f t="shared" si="29"/>
      </x:c>
      <x:c r="AR153" s="64" t="str">
        <x:f t="shared" si="30"/>
      </x:c>
      <x:c r="AS153" s="64" t="str">
        <x:f t="shared" si="31"/>
      </x:c>
      <x:c r="AT153" s="62" t="str">
        <x:f t="shared" si="32"/>
        <x:v>Belum Dapat Ditentukan</x:v>
      </x:c>
      <x:c r="AU153" s="59" t="s">
        <x:v>1408</x:v>
      </x:c>
      <x:c r="AV153" s="59" t="s">
        <x:v>1425</x:v>
      </x:c>
      <x:c r="AW153" s="59" t="s">
        <x:v>1523</x:v>
      </x:c>
      <x:c r="AX153" s="59" t="s">
        <x:v>1427</x:v>
      </x:c>
      <x:c r="AY153" s="59"/>
      <x:c r="AZ153" s="59" t="s">
        <x:v>1409</x:v>
      </x:c>
      <x:c r="BA153" s="59"/>
      <x:c r="BB153" s="167"/>
      <x:c r="BC153" s="65">
        <x:v>2026</x:v>
      </x:c>
      <x:c r="BD153" s="59"/>
      <x:c r="BE153" s="167"/>
      <x:c r="BF153" s="59" t="s">
        <x:v>1501</x:v>
      </x:c>
    </x:row>
    <x:row r="154" ht="42">
      <x:c r="A154" s="59" t="s">
        <x:v>2089</x:v>
      </x:c>
      <x:c r="B154" s="59" t="s">
        <x:v>2090</x:v>
      </x:c>
      <x:c r="C154" s="59"/>
      <x:c r="D154" s="59"/>
      <x:c r="E154" s="59" t="s">
        <x:v>2091</x:v>
      </x:c>
      <x:c r="F154" s="59" t="s">
        <x:v>1565</x:v>
      </x:c>
      <x:c r="G154" s="59" t="s">
        <x:v>1555</x:v>
      </x:c>
      <x:c r="H154" s="59" t="s">
        <x:v>1484</x:v>
      </x:c>
      <x:c r="I154" s="59" t="s">
        <x:v>2092</x:v>
      </x:c>
      <x:c r="J154" s="59" t="s">
        <x:v>1400</x:v>
      </x:c>
      <x:c r="K154" s="59" t="s">
        <x:v>1417</x:v>
      </x:c>
      <x:c r="L154" s="59" t="s">
        <x:v>1437</x:v>
      </x:c>
      <x:c r="M154" s="59" t="s">
        <x:v>1488</x:v>
      </x:c>
      <x:c r="N154" s="59" t="s">
        <x:v>1437</x:v>
      </x:c>
      <x:c r="O154" s="59" t="s">
        <x:v>1435</x:v>
      </x:c>
      <x:c r="P154" s="59" t="s">
        <x:v>1437</x:v>
      </x:c>
      <x:c r="Q154" s="75" t="s">
        <x:v>1437</x:v>
      </x:c>
      <x:c r="R154" s="75" t="s">
        <x:v>1437</x:v>
      </x:c>
      <x:c r="S154" s="75" t="s">
        <x:v>1437</x:v>
      </x:c>
      <x:c r="T154" s="75" t="s">
        <x:v>1437</x:v>
      </x:c>
      <x:c r="U154" s="75" t="s">
        <x:v>1437</x:v>
      </x:c>
      <x:c r="V154" s="75" t="s">
        <x:v>1437</x:v>
      </x:c>
      <x:c r="W154" s="60"/>
      <x:c r="X154" s="73" t="str">
        <x:f t="shared" si="22"/>
        <x:v>Belum Dinilai</x:v>
      </x:c>
      <x:c r="Y154" s="73" t="str">
        <x:f t="shared" si="23"/>
        <x:v>Belum Dinilai</x:v>
      </x:c>
      <x:c r="Z154" s="74" t="str">
        <x:f t="shared" si="24"/>
      </x:c>
      <x:c r="AA154" s="74" t="str">
        <x:f t="shared" si="25"/>
      </x:c>
      <x:c r="AB154" s="74" t="str">
        <x:f t="shared" si="26"/>
      </x:c>
      <x:c r="AC154" s="61" t="s">
        <x:v>1437</x:v>
      </x:c>
      <x:c r="AD154" s="61" t="s">
        <x:v>1437</x:v>
      </x:c>
      <x:c r="AE154" s="61" t="s">
        <x:v>1437</x:v>
      </x:c>
      <x:c r="AF154" s="61" t="s">
        <x:v>1437</x:v>
      </x:c>
      <x:c r="AG154" s="61" t="s">
        <x:v>1437</x:v>
      </x:c>
      <x:c r="AH154" s="61" t="s">
        <x:v>1437</x:v>
      </x:c>
      <x:c r="AI154" s="61" t="s">
        <x:v>1437</x:v>
      </x:c>
      <x:c r="AJ154" s="61" t="s">
        <x:v>1437</x:v>
      </x:c>
      <x:c r="AK154" s="61" t="s">
        <x:v>1437</x:v>
      </x:c>
      <x:c r="AL154" s="61"/>
      <x:c r="AM154" s="61" t="s">
        <x:v>1437</x:v>
      </x:c>
      <x:c r="AN154" s="73" t="str">
        <x:f t="shared" si="27"/>
        <x:v>Belum Dinilai</x:v>
      </x:c>
      <x:c r="AO154" s="73" t="str">
        <x:f t="shared" si="28"/>
        <x:v>Belum Dinilai</x:v>
      </x:c>
      <x:c r="AP154" s="61"/>
      <x:c r="AQ154" s="64" t="str">
        <x:f t="shared" si="29"/>
      </x:c>
      <x:c r="AR154" s="64" t="str">
        <x:f t="shared" si="30"/>
      </x:c>
      <x:c r="AS154" s="64" t="str">
        <x:f t="shared" si="31"/>
      </x:c>
      <x:c r="AT154" s="62" t="str">
        <x:f t="shared" si="32"/>
        <x:v>Belum Dapat Ditentukan</x:v>
      </x:c>
      <x:c r="AU154" s="59" t="s">
        <x:v>1408</x:v>
      </x:c>
      <x:c r="AV154" s="59" t="s">
        <x:v>1425</x:v>
      </x:c>
      <x:c r="AW154" s="59" t="s">
        <x:v>1410</x:v>
      </x:c>
      <x:c r="AX154" s="59" t="s">
        <x:v>1411</x:v>
      </x:c>
      <x:c r="AY154" s="59"/>
      <x:c r="AZ154" s="59" t="s">
        <x:v>1409</x:v>
      </x:c>
      <x:c r="BA154" s="59"/>
      <x:c r="BB154" s="167"/>
      <x:c r="BC154" s="65">
        <x:v>2026</x:v>
      </x:c>
      <x:c r="BD154" s="59"/>
      <x:c r="BE154" s="167"/>
      <x:c r="BF154" s="59" t="s">
        <x:v>1501</x:v>
      </x:c>
    </x:row>
    <x:row r="155" ht="42">
      <x:c r="A155" s="59" t="s">
        <x:v>2093</x:v>
      </x:c>
      <x:c r="B155" s="59" t="s">
        <x:v>2094</x:v>
      </x:c>
      <x:c r="C155" s="59"/>
      <x:c r="D155" s="59"/>
      <x:c r="E155" s="59" t="s">
        <x:v>2095</x:v>
      </x:c>
      <x:c r="F155" s="59" t="s">
        <x:v>1565</x:v>
      </x:c>
      <x:c r="G155" s="59" t="s">
        <x:v>1555</x:v>
      </x:c>
      <x:c r="H155" s="59" t="s">
        <x:v>1399</x:v>
      </x:c>
      <x:c r="I155" s="59" t="s">
        <x:v>2096</x:v>
      </x:c>
      <x:c r="J155" s="59" t="s">
        <x:v>1431</x:v>
      </x:c>
      <x:c r="K155" s="59" t="s">
        <x:v>1417</x:v>
      </x:c>
      <x:c r="L155" s="59" t="s">
        <x:v>1418</x:v>
      </x:c>
      <x:c r="M155" s="59" t="s">
        <x:v>1489</x:v>
      </x:c>
      <x:c r="N155" s="59" t="s">
        <x:v>1418</x:v>
      </x:c>
      <x:c r="O155" s="59" t="s">
        <x:v>1435</x:v>
      </x:c>
      <x:c r="P155" s="59" t="s">
        <x:v>1418</x:v>
      </x:c>
      <x:c r="Q155" s="75" t="s">
        <x:v>1437</x:v>
      </x:c>
      <x:c r="R155" s="75" t="s">
        <x:v>1437</x:v>
      </x:c>
      <x:c r="S155" s="75" t="s">
        <x:v>1437</x:v>
      </x:c>
      <x:c r="T155" s="75" t="s">
        <x:v>1437</x:v>
      </x:c>
      <x:c r="U155" s="75" t="s">
        <x:v>1437</x:v>
      </x:c>
      <x:c r="V155" s="75" t="s">
        <x:v>1437</x:v>
      </x:c>
      <x:c r="W155" s="60"/>
      <x:c r="X155" s="73" t="str">
        <x:f t="shared" si="22"/>
        <x:v>Belum Dinilai</x:v>
      </x:c>
      <x:c r="Y155" s="73" t="str">
        <x:f t="shared" si="23"/>
        <x:v>Belum Dinilai</x:v>
      </x:c>
      <x:c r="Z155" s="74" t="str">
        <x:f t="shared" si="24"/>
      </x:c>
      <x:c r="AA155" s="74" t="str">
        <x:f t="shared" si="25"/>
      </x:c>
      <x:c r="AB155" s="74" t="str">
        <x:f t="shared" si="26"/>
      </x:c>
      <x:c r="AC155" s="61" t="s">
        <x:v>1437</x:v>
      </x:c>
      <x:c r="AD155" s="61" t="s">
        <x:v>1437</x:v>
      </x:c>
      <x:c r="AE155" s="61" t="s">
        <x:v>1437</x:v>
      </x:c>
      <x:c r="AF155" s="61" t="s">
        <x:v>1437</x:v>
      </x:c>
      <x:c r="AG155" s="61" t="s">
        <x:v>1437</x:v>
      </x:c>
      <x:c r="AH155" s="61" t="s">
        <x:v>1437</x:v>
      </x:c>
      <x:c r="AI155" s="61" t="s">
        <x:v>1437</x:v>
      </x:c>
      <x:c r="AJ155" s="61" t="s">
        <x:v>1437</x:v>
      </x:c>
      <x:c r="AK155" s="61" t="s">
        <x:v>1437</x:v>
      </x:c>
      <x:c r="AL155" s="61"/>
      <x:c r="AM155" s="61" t="s">
        <x:v>1437</x:v>
      </x:c>
      <x:c r="AN155" s="73" t="str">
        <x:f t="shared" si="27"/>
        <x:v>Belum Dinilai</x:v>
      </x:c>
      <x:c r="AO155" s="73" t="str">
        <x:f t="shared" si="28"/>
        <x:v>Belum Dinilai</x:v>
      </x:c>
      <x:c r="AP155" s="61"/>
      <x:c r="AQ155" s="64">
        <x:f t="shared" si="29"/>
        <x:v>29</x:v>
      </x:c>
      <x:c r="AR155" s="64" t="str">
        <x:f t="shared" si="30"/>
      </x:c>
      <x:c r="AS155" s="64" t="str">
        <x:f t="shared" si="31"/>
      </x:c>
      <x:c r="AT155" s="62" t="str">
        <x:f t="shared" si="32"/>
        <x:v>Belum Dapat Ditentukan</x:v>
      </x:c>
      <x:c r="AU155" s="59" t="s">
        <x:v>1408</x:v>
      </x:c>
      <x:c r="AV155" s="59" t="s">
        <x:v>1425</x:v>
      </x:c>
      <x:c r="AW155" s="59" t="s">
        <x:v>1410</x:v>
      </x:c>
      <x:c r="AX155" s="59" t="s">
        <x:v>1411</x:v>
      </x:c>
      <x:c r="AY155" s="59"/>
      <x:c r="AZ155" s="59" t="s">
        <x:v>1409</x:v>
      </x:c>
      <x:c r="BA155" s="59"/>
      <x:c r="BB155" s="167"/>
      <x:c r="BC155" s="65">
        <x:v>2026</x:v>
      </x:c>
      <x:c r="BD155" s="59"/>
      <x:c r="BE155" s="167"/>
      <x:c r="BF155" s="59" t="s">
        <x:v>1501</x:v>
      </x:c>
    </x:row>
    <x:row r="156" ht="28">
      <x:c r="A156" s="59" t="s">
        <x:v>2097</x:v>
      </x:c>
      <x:c r="B156" s="59" t="s">
        <x:v>2098</x:v>
      </x:c>
      <x:c r="C156" s="59"/>
      <x:c r="D156" s="59"/>
      <x:c r="E156" s="59" t="s">
        <x:v>2099</x:v>
      </x:c>
      <x:c r="F156" s="59" t="s">
        <x:v>1681</x:v>
      </x:c>
      <x:c r="G156" s="59" t="s">
        <x:v>1534</x:v>
      </x:c>
      <x:c r="H156" s="59" t="s">
        <x:v>1399</x:v>
      </x:c>
      <x:c r="I156" s="59" t="s">
        <x:v>1513</x:v>
      </x:c>
      <x:c r="J156" s="59" t="s">
        <x:v>1431</x:v>
      </x:c>
      <x:c r="K156" s="59" t="s">
        <x:v>1522</x:v>
      </x:c>
      <x:c r="L156" s="59" t="s">
        <x:v>1437</x:v>
      </x:c>
      <x:c r="M156" s="59" t="s">
        <x:v>1489</x:v>
      </x:c>
      <x:c r="N156" s="59" t="s">
        <x:v>1437</x:v>
      </x:c>
      <x:c r="O156" s="59" t="s">
        <x:v>1522</x:v>
      </x:c>
      <x:c r="P156" s="59" t="s">
        <x:v>1437</x:v>
      </x:c>
      <x:c r="Q156" s="75" t="s">
        <x:v>1437</x:v>
      </x:c>
      <x:c r="R156" s="75" t="s">
        <x:v>1437</x:v>
      </x:c>
      <x:c r="S156" s="75" t="s">
        <x:v>1437</x:v>
      </x:c>
      <x:c r="T156" s="75" t="s">
        <x:v>1437</x:v>
      </x:c>
      <x:c r="U156" s="75" t="s">
        <x:v>1437</x:v>
      </x:c>
      <x:c r="V156" s="75" t="s">
        <x:v>1437</x:v>
      </x:c>
      <x:c r="W156" s="60"/>
      <x:c r="X156" s="73" t="str">
        <x:f t="shared" si="22"/>
        <x:v>Belum Dinilai</x:v>
      </x:c>
      <x:c r="Y156" s="73" t="str">
        <x:f t="shared" si="23"/>
        <x:v>Belum Dinilai</x:v>
      </x:c>
      <x:c r="Z156" s="74" t="str">
        <x:f t="shared" si="24"/>
      </x:c>
      <x:c r="AA156" s="74" t="str">
        <x:f t="shared" si="25"/>
      </x:c>
      <x:c r="AB156" s="74" t="str">
        <x:f t="shared" si="26"/>
      </x:c>
      <x:c r="AC156" s="61" t="s">
        <x:v>1437</x:v>
      </x:c>
      <x:c r="AD156" s="61" t="s">
        <x:v>1437</x:v>
      </x:c>
      <x:c r="AE156" s="61" t="s">
        <x:v>1437</x:v>
      </x:c>
      <x:c r="AF156" s="61" t="s">
        <x:v>1437</x:v>
      </x:c>
      <x:c r="AG156" s="61" t="s">
        <x:v>1437</x:v>
      </x:c>
      <x:c r="AH156" s="61" t="s">
        <x:v>1437</x:v>
      </x:c>
      <x:c r="AI156" s="61" t="s">
        <x:v>1437</x:v>
      </x:c>
      <x:c r="AJ156" s="61" t="s">
        <x:v>1437</x:v>
      </x:c>
      <x:c r="AK156" s="61" t="s">
        <x:v>1437</x:v>
      </x:c>
      <x:c r="AL156" s="61"/>
      <x:c r="AM156" s="61" t="s">
        <x:v>1437</x:v>
      </x:c>
      <x:c r="AN156" s="73" t="str">
        <x:f t="shared" si="27"/>
        <x:v>Belum Dinilai</x:v>
      </x:c>
      <x:c r="AO156" s="73" t="str">
        <x:f t="shared" si="28"/>
        <x:v>Belum Dinilai</x:v>
      </x:c>
      <x:c r="AP156" s="61"/>
      <x:c r="AQ156" s="64" t="str">
        <x:f t="shared" si="29"/>
      </x:c>
      <x:c r="AR156" s="64" t="str">
        <x:f t="shared" si="30"/>
      </x:c>
      <x:c r="AS156" s="64" t="str">
        <x:f t="shared" si="31"/>
      </x:c>
      <x:c r="AT156" s="62" t="str">
        <x:f t="shared" si="32"/>
        <x:v>Belum Dapat Ditentukan</x:v>
      </x:c>
      <x:c r="AU156" s="59" t="s">
        <x:v>1408</x:v>
      </x:c>
      <x:c r="AV156" s="59" t="s">
        <x:v>1425</x:v>
      </x:c>
      <x:c r="AW156" s="59" t="s">
        <x:v>1523</x:v>
      </x:c>
      <x:c r="AX156" s="59" t="s">
        <x:v>1506</x:v>
      </x:c>
      <x:c r="AY156" s="59"/>
      <x:c r="AZ156" s="59" t="s">
        <x:v>1409</x:v>
      </x:c>
      <x:c r="BA156" s="59"/>
      <x:c r="BB156" s="167"/>
      <x:c r="BC156" s="65">
        <x:v>2026</x:v>
      </x:c>
      <x:c r="BD156" s="59"/>
      <x:c r="BE156" s="167"/>
      <x:c r="BF156" s="59" t="s">
        <x:v>1501</x:v>
      </x:c>
    </x:row>
    <x:row r="157" ht="56">
      <x:c r="A157" s="59" t="s">
        <x:v>2100</x:v>
      </x:c>
      <x:c r="B157" s="59" t="s">
        <x:v>1861</x:v>
      </x:c>
      <x:c r="C157" s="59"/>
      <x:c r="D157" s="59"/>
      <x:c r="E157" s="59" t="s">
        <x:v>2101</x:v>
      </x:c>
      <x:c r="F157" s="59" t="s">
        <x:v>1681</x:v>
      </x:c>
      <x:c r="G157" s="59" t="s">
        <x:v>1534</x:v>
      </x:c>
      <x:c r="H157" s="59" t="s">
        <x:v>1399</x:v>
      </x:c>
      <x:c r="I157" s="59" t="s">
        <x:v>2102</x:v>
      </x:c>
      <x:c r="J157" s="59" t="s">
        <x:v>1416</x:v>
      </x:c>
      <x:c r="K157" s="59" t="s">
        <x:v>1522</x:v>
      </x:c>
      <x:c r="L157" s="59" t="s">
        <x:v>1418</x:v>
      </x:c>
      <x:c r="M157" s="59" t="s">
        <x:v>1500</x:v>
      </x:c>
      <x:c r="N157" s="59" t="s">
        <x:v>1418</x:v>
      </x:c>
      <x:c r="O157" s="59" t="s">
        <x:v>1522</x:v>
      </x:c>
      <x:c r="P157" s="59" t="s">
        <x:v>1418</x:v>
      </x:c>
      <x:c r="Q157" s="75" t="s">
        <x:v>1437</x:v>
      </x:c>
      <x:c r="R157" s="75" t="s">
        <x:v>1437</x:v>
      </x:c>
      <x:c r="S157" s="75" t="s">
        <x:v>1437</x:v>
      </x:c>
      <x:c r="T157" s="75" t="s">
        <x:v>1437</x:v>
      </x:c>
      <x:c r="U157" s="75" t="s">
        <x:v>1437</x:v>
      </x:c>
      <x:c r="V157" s="75" t="s">
        <x:v>1437</x:v>
      </x:c>
      <x:c r="W157" s="60"/>
      <x:c r="X157" s="73" t="str">
        <x:f t="shared" si="22"/>
        <x:v>Belum Dinilai</x:v>
      </x:c>
      <x:c r="Y157" s="73" t="str">
        <x:f t="shared" si="23"/>
        <x:v>Belum Dinilai</x:v>
      </x:c>
      <x:c r="Z157" s="74" t="str">
        <x:f t="shared" si="24"/>
      </x:c>
      <x:c r="AA157" s="74" t="str">
        <x:f t="shared" si="25"/>
      </x:c>
      <x:c r="AB157" s="74" t="str">
        <x:f t="shared" si="26"/>
      </x:c>
      <x:c r="AC157" s="61" t="s">
        <x:v>1437</x:v>
      </x:c>
      <x:c r="AD157" s="61" t="s">
        <x:v>1437</x:v>
      </x:c>
      <x:c r="AE157" s="61" t="s">
        <x:v>1437</x:v>
      </x:c>
      <x:c r="AF157" s="61" t="s">
        <x:v>1437</x:v>
      </x:c>
      <x:c r="AG157" s="61" t="s">
        <x:v>1437</x:v>
      </x:c>
      <x:c r="AH157" s="61" t="s">
        <x:v>1437</x:v>
      </x:c>
      <x:c r="AI157" s="61" t="s">
        <x:v>1437</x:v>
      </x:c>
      <x:c r="AJ157" s="61" t="s">
        <x:v>1437</x:v>
      </x:c>
      <x:c r="AK157" s="61" t="s">
        <x:v>1437</x:v>
      </x:c>
      <x:c r="AL157" s="61"/>
      <x:c r="AM157" s="61" t="s">
        <x:v>1437</x:v>
      </x:c>
      <x:c r="AN157" s="73" t="str">
        <x:f t="shared" si="27"/>
        <x:v>Belum Dinilai</x:v>
      </x:c>
      <x:c r="AO157" s="73" t="str">
        <x:f t="shared" si="28"/>
        <x:v>Belum Dinilai</x:v>
      </x:c>
      <x:c r="AP157" s="61"/>
      <x:c r="AQ157" s="64">
        <x:f t="shared" si="29"/>
        <x:v>22</x:v>
      </x:c>
      <x:c r="AR157" s="64" t="str">
        <x:f t="shared" si="30"/>
      </x:c>
      <x:c r="AS157" s="64" t="str">
        <x:f t="shared" si="31"/>
      </x:c>
      <x:c r="AT157" s="62" t="str">
        <x:f t="shared" si="32"/>
        <x:v>Belum Dapat Ditentukan</x:v>
      </x:c>
      <x:c r="AU157" s="59" t="s">
        <x:v>1408</x:v>
      </x:c>
      <x:c r="AV157" s="59" t="s">
        <x:v>1425</x:v>
      </x:c>
      <x:c r="AW157" s="59" t="s">
        <x:v>1523</x:v>
      </x:c>
      <x:c r="AX157" s="59" t="s">
        <x:v>1427</x:v>
      </x:c>
      <x:c r="AY157" s="59">
        <x:v>2022</x:v>
      </x:c>
      <x:c r="AZ157" s="59" t="s">
        <x:v>1409</x:v>
      </x:c>
      <x:c r="BA157" s="59"/>
      <x:c r="BB157" s="167"/>
      <x:c r="BC157" s="65">
        <x:v>2026</x:v>
      </x:c>
      <x:c r="BD157" s="59"/>
      <x:c r="BE157" s="167"/>
      <x:c r="BF157" s="59" t="s">
        <x:v>1501</x:v>
      </x:c>
    </x:row>
    <x:row r="158" ht="28">
      <x:c r="A158" s="59" t="s">
        <x:v>2103</x:v>
      </x:c>
      <x:c r="B158" s="59" t="s">
        <x:v>2104</x:v>
      </x:c>
      <x:c r="C158" s="59"/>
      <x:c r="D158" s="59"/>
      <x:c r="E158" s="59" t="s">
        <x:v>2105</x:v>
      </x:c>
      <x:c r="F158" s="59" t="s">
        <x:v>1681</x:v>
      </x:c>
      <x:c r="G158" s="59" t="s">
        <x:v>1534</x:v>
      </x:c>
      <x:c r="H158" s="59" t="s">
        <x:v>1484</x:v>
      </x:c>
      <x:c r="I158" s="59" t="s">
        <x:v>2106</x:v>
      </x:c>
      <x:c r="J158" s="59" t="s">
        <x:v>1416</x:v>
      </x:c>
      <x:c r="K158" s="59" t="s">
        <x:v>1522</x:v>
      </x:c>
      <x:c r="L158" s="59" t="s">
        <x:v>1437</x:v>
      </x:c>
      <x:c r="M158" s="59" t="s">
        <x:v>1500</x:v>
      </x:c>
      <x:c r="N158" s="59" t="s">
        <x:v>1437</x:v>
      </x:c>
      <x:c r="O158" s="59" t="s">
        <x:v>1522</x:v>
      </x:c>
      <x:c r="P158" s="59" t="s">
        <x:v>1437</x:v>
      </x:c>
      <x:c r="Q158" s="75" t="s">
        <x:v>1437</x:v>
      </x:c>
      <x:c r="R158" s="75" t="s">
        <x:v>1437</x:v>
      </x:c>
      <x:c r="S158" s="75" t="s">
        <x:v>1437</x:v>
      </x:c>
      <x:c r="T158" s="75" t="s">
        <x:v>1437</x:v>
      </x:c>
      <x:c r="U158" s="75" t="s">
        <x:v>1437</x:v>
      </x:c>
      <x:c r="V158" s="75" t="s">
        <x:v>1437</x:v>
      </x:c>
      <x:c r="W158" s="60"/>
      <x:c r="X158" s="73" t="str">
        <x:f t="shared" si="22"/>
        <x:v>Belum Dinilai</x:v>
      </x:c>
      <x:c r="Y158" s="73" t="str">
        <x:f t="shared" si="23"/>
        <x:v>Belum Dinilai</x:v>
      </x:c>
      <x:c r="Z158" s="74" t="str">
        <x:f t="shared" si="24"/>
      </x:c>
      <x:c r="AA158" s="74" t="str">
        <x:f t="shared" si="25"/>
      </x:c>
      <x:c r="AB158" s="74" t="str">
        <x:f t="shared" si="26"/>
      </x:c>
      <x:c r="AC158" s="61" t="s">
        <x:v>1437</x:v>
      </x:c>
      <x:c r="AD158" s="61" t="s">
        <x:v>1437</x:v>
      </x:c>
      <x:c r="AE158" s="61" t="s">
        <x:v>1437</x:v>
      </x:c>
      <x:c r="AF158" s="61" t="s">
        <x:v>1437</x:v>
      </x:c>
      <x:c r="AG158" s="61" t="s">
        <x:v>1437</x:v>
      </x:c>
      <x:c r="AH158" s="61" t="s">
        <x:v>1437</x:v>
      </x:c>
      <x:c r="AI158" s="61" t="s">
        <x:v>1437</x:v>
      </x:c>
      <x:c r="AJ158" s="61" t="s">
        <x:v>1437</x:v>
      </x:c>
      <x:c r="AK158" s="61" t="s">
        <x:v>1437</x:v>
      </x:c>
      <x:c r="AL158" s="61"/>
      <x:c r="AM158" s="61" t="s">
        <x:v>1437</x:v>
      </x:c>
      <x:c r="AN158" s="73" t="str">
        <x:f t="shared" si="27"/>
        <x:v>Belum Dinilai</x:v>
      </x:c>
      <x:c r="AO158" s="73" t="str">
        <x:f t="shared" si="28"/>
        <x:v>Belum Dinilai</x:v>
      </x:c>
      <x:c r="AP158" s="61"/>
      <x:c r="AQ158" s="64" t="str">
        <x:f t="shared" si="29"/>
      </x:c>
      <x:c r="AR158" s="64" t="str">
        <x:f t="shared" si="30"/>
      </x:c>
      <x:c r="AS158" s="64" t="str">
        <x:f t="shared" si="31"/>
      </x:c>
      <x:c r="AT158" s="62" t="str">
        <x:f t="shared" si="32"/>
        <x:v>Belum Dapat Ditentukan</x:v>
      </x:c>
      <x:c r="AU158" s="59" t="s">
        <x:v>1408</x:v>
      </x:c>
      <x:c r="AV158" s="59" t="s">
        <x:v>1425</x:v>
      </x:c>
      <x:c r="AW158" s="59" t="s">
        <x:v>1410</x:v>
      </x:c>
      <x:c r="AX158" s="59" t="s">
        <x:v>1411</x:v>
      </x:c>
      <x:c r="AY158" s="59"/>
      <x:c r="AZ158" s="59" t="s">
        <x:v>1409</x:v>
      </x:c>
      <x:c r="BA158" s="59"/>
      <x:c r="BB158" s="167"/>
      <x:c r="BC158" s="65">
        <x:v>2026</x:v>
      </x:c>
      <x:c r="BD158" s="59"/>
      <x:c r="BE158" s="167"/>
      <x:c r="BF158" s="59" t="s">
        <x:v>1501</x:v>
      </x:c>
    </x:row>
    <x:row r="159" ht="28">
      <x:c r="A159" s="59" t="s">
        <x:v>2107</x:v>
      </x:c>
      <x:c r="B159" s="59" t="s">
        <x:v>2108</x:v>
      </x:c>
      <x:c r="C159" s="59"/>
      <x:c r="D159" s="59"/>
      <x:c r="E159" s="59" t="s">
        <x:v>2105</x:v>
      </x:c>
      <x:c r="F159" s="59" t="s">
        <x:v>1681</x:v>
      </x:c>
      <x:c r="G159" s="59" t="s">
        <x:v>1534</x:v>
      </x:c>
      <x:c r="H159" s="59" t="s">
        <x:v>1399</x:v>
      </x:c>
      <x:c r="I159" s="59" t="s">
        <x:v>2109</x:v>
      </x:c>
      <x:c r="J159" s="59" t="s">
        <x:v>1416</x:v>
      </x:c>
      <x:c r="K159" s="59" t="s">
        <x:v>1522</x:v>
      </x:c>
      <x:c r="L159" s="59" t="s">
        <x:v>1437</x:v>
      </x:c>
      <x:c r="M159" s="59" t="s">
        <x:v>1500</x:v>
      </x:c>
      <x:c r="N159" s="59" t="s">
        <x:v>1437</x:v>
      </x:c>
      <x:c r="O159" s="59" t="s">
        <x:v>1522</x:v>
      </x:c>
      <x:c r="P159" s="59" t="s">
        <x:v>1437</x:v>
      </x:c>
      <x:c r="Q159" s="75" t="s">
        <x:v>1437</x:v>
      </x:c>
      <x:c r="R159" s="75" t="s">
        <x:v>1437</x:v>
      </x:c>
      <x:c r="S159" s="75" t="s">
        <x:v>1437</x:v>
      </x:c>
      <x:c r="T159" s="75" t="s">
        <x:v>1437</x:v>
      </x:c>
      <x:c r="U159" s="75" t="s">
        <x:v>1437</x:v>
      </x:c>
      <x:c r="V159" s="75" t="s">
        <x:v>1437</x:v>
      </x:c>
      <x:c r="W159" s="60"/>
      <x:c r="X159" s="73" t="str">
        <x:f t="shared" si="22"/>
        <x:v>Belum Dinilai</x:v>
      </x:c>
      <x:c r="Y159" s="73" t="str">
        <x:f t="shared" si="23"/>
        <x:v>Belum Dinilai</x:v>
      </x:c>
      <x:c r="Z159" s="74" t="str">
        <x:f t="shared" si="24"/>
      </x:c>
      <x:c r="AA159" s="74" t="str">
        <x:f t="shared" si="25"/>
      </x:c>
      <x:c r="AB159" s="74" t="str">
        <x:f t="shared" si="26"/>
      </x:c>
      <x:c r="AC159" s="61" t="s">
        <x:v>1437</x:v>
      </x:c>
      <x:c r="AD159" s="61" t="s">
        <x:v>1437</x:v>
      </x:c>
      <x:c r="AE159" s="61" t="s">
        <x:v>1437</x:v>
      </x:c>
      <x:c r="AF159" s="61" t="s">
        <x:v>1437</x:v>
      </x:c>
      <x:c r="AG159" s="61" t="s">
        <x:v>1437</x:v>
      </x:c>
      <x:c r="AH159" s="61" t="s">
        <x:v>1437</x:v>
      </x:c>
      <x:c r="AI159" s="61" t="s">
        <x:v>1437</x:v>
      </x:c>
      <x:c r="AJ159" s="61" t="s">
        <x:v>1437</x:v>
      </x:c>
      <x:c r="AK159" s="61" t="s">
        <x:v>1437</x:v>
      </x:c>
      <x:c r="AL159" s="61"/>
      <x:c r="AM159" s="61" t="s">
        <x:v>1437</x:v>
      </x:c>
      <x:c r="AN159" s="73" t="str">
        <x:f t="shared" si="27"/>
        <x:v>Belum Dinilai</x:v>
      </x:c>
      <x:c r="AO159" s="73" t="str">
        <x:f t="shared" si="28"/>
        <x:v>Belum Dinilai</x:v>
      </x:c>
      <x:c r="AP159" s="61"/>
      <x:c r="AQ159" s="64" t="str">
        <x:f t="shared" si="29"/>
      </x:c>
      <x:c r="AR159" s="64" t="str">
        <x:f t="shared" si="30"/>
      </x:c>
      <x:c r="AS159" s="64" t="str">
        <x:f t="shared" si="31"/>
      </x:c>
      <x:c r="AT159" s="62" t="str">
        <x:f t="shared" si="32"/>
        <x:v>Belum Dapat Ditentukan</x:v>
      </x:c>
      <x:c r="AU159" s="59" t="s">
        <x:v>1408</x:v>
      </x:c>
      <x:c r="AV159" s="59" t="s">
        <x:v>1425</x:v>
      </x:c>
      <x:c r="AW159" s="59" t="s">
        <x:v>1410</x:v>
      </x:c>
      <x:c r="AX159" s="59" t="s">
        <x:v>1411</x:v>
      </x:c>
      <x:c r="AY159" s="59"/>
      <x:c r="AZ159" s="59" t="s">
        <x:v>1409</x:v>
      </x:c>
      <x:c r="BA159" s="59"/>
      <x:c r="BB159" s="167"/>
      <x:c r="BC159" s="65">
        <x:v>2026</x:v>
      </x:c>
      <x:c r="BD159" s="59"/>
      <x:c r="BE159" s="167"/>
      <x:c r="BF159" s="59" t="s">
        <x:v>1501</x:v>
      </x:c>
    </x:row>
    <x:row r="160" ht="28">
      <x:c r="A160" s="59" t="s">
        <x:v>2110</x:v>
      </x:c>
      <x:c r="B160" s="59" t="s">
        <x:v>2111</x:v>
      </x:c>
      <x:c r="C160" s="59"/>
      <x:c r="D160" s="59"/>
      <x:c r="E160" s="59" t="s">
        <x:v>2112</x:v>
      </x:c>
      <x:c r="F160" s="59" t="s">
        <x:v>1681</x:v>
      </x:c>
      <x:c r="G160" s="59" t="s">
        <x:v>1534</x:v>
      </x:c>
      <x:c r="H160" s="59" t="s">
        <x:v>1415</x:v>
      </x:c>
      <x:c r="I160" s="59" t="s">
        <x:v>2113</x:v>
      </x:c>
      <x:c r="J160" s="59" t="s">
        <x:v>1416</x:v>
      </x:c>
      <x:c r="K160" s="59" t="s">
        <x:v>1417</x:v>
      </x:c>
      <x:c r="L160" s="59" t="s">
        <x:v>1437</x:v>
      </x:c>
      <x:c r="M160" s="59" t="s">
        <x:v>1500</x:v>
      </x:c>
      <x:c r="N160" s="59" t="s">
        <x:v>1437</x:v>
      </x:c>
      <x:c r="O160" s="59" t="s">
        <x:v>1435</x:v>
      </x:c>
      <x:c r="P160" s="59" t="s">
        <x:v>1437</x:v>
      </x:c>
      <x:c r="Q160" s="75" t="s">
        <x:v>1437</x:v>
      </x:c>
      <x:c r="R160" s="75" t="s">
        <x:v>1437</x:v>
      </x:c>
      <x:c r="S160" s="75" t="s">
        <x:v>1437</x:v>
      </x:c>
      <x:c r="T160" s="75" t="s">
        <x:v>1437</x:v>
      </x:c>
      <x:c r="U160" s="75" t="s">
        <x:v>1437</x:v>
      </x:c>
      <x:c r="V160" s="75" t="s">
        <x:v>1437</x:v>
      </x:c>
      <x:c r="W160" s="60"/>
      <x:c r="X160" s="73" t="str">
        <x:f t="shared" si="22"/>
        <x:v>Belum Dinilai</x:v>
      </x:c>
      <x:c r="Y160" s="73" t="str">
        <x:f t="shared" si="23"/>
        <x:v>Belum Dinilai</x:v>
      </x:c>
      <x:c r="Z160" s="74" t="str">
        <x:f t="shared" si="24"/>
      </x:c>
      <x:c r="AA160" s="74" t="str">
        <x:f t="shared" si="25"/>
      </x:c>
      <x:c r="AB160" s="74" t="str">
        <x:f t="shared" si="26"/>
      </x:c>
      <x:c r="AC160" s="61" t="s">
        <x:v>1437</x:v>
      </x:c>
      <x:c r="AD160" s="61" t="s">
        <x:v>1437</x:v>
      </x:c>
      <x:c r="AE160" s="61" t="s">
        <x:v>1437</x:v>
      </x:c>
      <x:c r="AF160" s="61" t="s">
        <x:v>1437</x:v>
      </x:c>
      <x:c r="AG160" s="61" t="s">
        <x:v>1437</x:v>
      </x:c>
      <x:c r="AH160" s="61" t="s">
        <x:v>1437</x:v>
      </x:c>
      <x:c r="AI160" s="61" t="s">
        <x:v>1437</x:v>
      </x:c>
      <x:c r="AJ160" s="61" t="s">
        <x:v>1437</x:v>
      </x:c>
      <x:c r="AK160" s="61" t="s">
        <x:v>1437</x:v>
      </x:c>
      <x:c r="AL160" s="61"/>
      <x:c r="AM160" s="61" t="s">
        <x:v>1437</x:v>
      </x:c>
      <x:c r="AN160" s="73" t="str">
        <x:f t="shared" si="27"/>
        <x:v>Belum Dinilai</x:v>
      </x:c>
      <x:c r="AO160" s="73" t="str">
        <x:f t="shared" si="28"/>
        <x:v>Belum Dinilai</x:v>
      </x:c>
      <x:c r="AP160" s="61"/>
      <x:c r="AQ160" s="64" t="str">
        <x:f t="shared" si="29"/>
      </x:c>
      <x:c r="AR160" s="64" t="str">
        <x:f t="shared" si="30"/>
      </x:c>
      <x:c r="AS160" s="64" t="str">
        <x:f t="shared" si="31"/>
      </x:c>
      <x:c r="AT160" s="62" t="str">
        <x:f t="shared" si="32"/>
        <x:v>Belum Dapat Ditentukan</x:v>
      </x:c>
      <x:c r="AU160" s="59" t="s">
        <x:v>1408</x:v>
      </x:c>
      <x:c r="AV160" s="59" t="s">
        <x:v>1425</x:v>
      </x:c>
      <x:c r="AW160" s="59" t="s">
        <x:v>1523</x:v>
      </x:c>
      <x:c r="AX160" s="59" t="s">
        <x:v>1427</x:v>
      </x:c>
      <x:c r="AY160" s="59">
        <x:v>2022</x:v>
      </x:c>
      <x:c r="AZ160" s="59" t="s">
        <x:v>1409</x:v>
      </x:c>
      <x:c r="BA160" s="59"/>
      <x:c r="BB160" s="167"/>
      <x:c r="BC160" s="65">
        <x:v>2026</x:v>
      </x:c>
      <x:c r="BD160" s="59"/>
      <x:c r="BE160" s="167"/>
      <x:c r="BF160" s="59" t="s">
        <x:v>1501</x:v>
      </x:c>
    </x:row>
    <x:row r="161" ht="28">
      <x:c r="A161" s="59" t="s">
        <x:v>2114</x:v>
      </x:c>
      <x:c r="B161" s="59" t="s">
        <x:v>2115</x:v>
      </x:c>
      <x:c r="C161" s="59"/>
      <x:c r="D161" s="59"/>
      <x:c r="E161" s="59" t="s">
        <x:v>2116</x:v>
      </x:c>
      <x:c r="F161" s="59" t="s">
        <x:v>1681</x:v>
      </x:c>
      <x:c r="G161" s="59" t="s">
        <x:v>1534</x:v>
      </x:c>
      <x:c r="H161" s="59" t="s">
        <x:v>1415</x:v>
      </x:c>
      <x:c r="I161" s="59" t="s">
        <x:v>2113</x:v>
      </x:c>
      <x:c r="J161" s="59" t="s">
        <x:v>1416</x:v>
      </x:c>
      <x:c r="K161" s="59" t="s">
        <x:v>1417</x:v>
      </x:c>
      <x:c r="L161" s="59" t="s">
        <x:v>1437</x:v>
      </x:c>
      <x:c r="M161" s="59" t="s">
        <x:v>1500</x:v>
      </x:c>
      <x:c r="N161" s="59" t="s">
        <x:v>1437</x:v>
      </x:c>
      <x:c r="O161" s="59" t="s">
        <x:v>1435</x:v>
      </x:c>
      <x:c r="P161" s="59" t="s">
        <x:v>1437</x:v>
      </x:c>
      <x:c r="Q161" s="75" t="s">
        <x:v>1437</x:v>
      </x:c>
      <x:c r="R161" s="75" t="s">
        <x:v>1437</x:v>
      </x:c>
      <x:c r="S161" s="75" t="s">
        <x:v>1437</x:v>
      </x:c>
      <x:c r="T161" s="75" t="s">
        <x:v>1437</x:v>
      </x:c>
      <x:c r="U161" s="75" t="s">
        <x:v>1437</x:v>
      </x:c>
      <x:c r="V161" s="75" t="s">
        <x:v>1437</x:v>
      </x:c>
      <x:c r="W161" s="60"/>
      <x:c r="X161" s="73" t="str">
        <x:f t="shared" si="22"/>
        <x:v>Belum Dinilai</x:v>
      </x:c>
      <x:c r="Y161" s="73" t="str">
        <x:f t="shared" si="23"/>
        <x:v>Belum Dinilai</x:v>
      </x:c>
      <x:c r="Z161" s="74" t="str">
        <x:f t="shared" si="24"/>
      </x:c>
      <x:c r="AA161" s="74" t="str">
        <x:f t="shared" si="25"/>
      </x:c>
      <x:c r="AB161" s="74" t="str">
        <x:f t="shared" si="26"/>
      </x:c>
      <x:c r="AC161" s="61" t="s">
        <x:v>1437</x:v>
      </x:c>
      <x:c r="AD161" s="61" t="s">
        <x:v>1437</x:v>
      </x:c>
      <x:c r="AE161" s="61" t="s">
        <x:v>1437</x:v>
      </x:c>
      <x:c r="AF161" s="61" t="s">
        <x:v>1437</x:v>
      </x:c>
      <x:c r="AG161" s="61" t="s">
        <x:v>1437</x:v>
      </x:c>
      <x:c r="AH161" s="61" t="s">
        <x:v>1437</x:v>
      </x:c>
      <x:c r="AI161" s="61" t="s">
        <x:v>1437</x:v>
      </x:c>
      <x:c r="AJ161" s="61" t="s">
        <x:v>1437</x:v>
      </x:c>
      <x:c r="AK161" s="61" t="s">
        <x:v>1437</x:v>
      </x:c>
      <x:c r="AL161" s="61"/>
      <x:c r="AM161" s="61" t="s">
        <x:v>1437</x:v>
      </x:c>
      <x:c r="AN161" s="73" t="str">
        <x:f t="shared" si="27"/>
        <x:v>Belum Dinilai</x:v>
      </x:c>
      <x:c r="AO161" s="73" t="str">
        <x:f t="shared" si="28"/>
        <x:v>Belum Dinilai</x:v>
      </x:c>
      <x:c r="AP161" s="61"/>
      <x:c r="AQ161" s="64" t="str">
        <x:f t="shared" si="29"/>
      </x:c>
      <x:c r="AR161" s="64" t="str">
        <x:f t="shared" si="30"/>
      </x:c>
      <x:c r="AS161" s="64" t="str">
        <x:f t="shared" si="31"/>
      </x:c>
      <x:c r="AT161" s="62" t="str">
        <x:f t="shared" si="32"/>
        <x:v>Belum Dapat Ditentukan</x:v>
      </x:c>
      <x:c r="AU161" s="59" t="s">
        <x:v>1408</x:v>
      </x:c>
      <x:c r="AV161" s="59" t="s">
        <x:v>1425</x:v>
      </x:c>
      <x:c r="AW161" s="59" t="s">
        <x:v>1523</x:v>
      </x:c>
      <x:c r="AX161" s="59" t="s">
        <x:v>1427</x:v>
      </x:c>
      <x:c r="AY161" s="59">
        <x:v>2022</x:v>
      </x:c>
      <x:c r="AZ161" s="59" t="s">
        <x:v>1409</x:v>
      </x:c>
      <x:c r="BA161" s="59"/>
      <x:c r="BB161" s="167"/>
      <x:c r="BC161" s="65">
        <x:v>2026</x:v>
      </x:c>
      <x:c r="BD161" s="59"/>
      <x:c r="BE161" s="167"/>
      <x:c r="BF161" s="59" t="s">
        <x:v>1501</x:v>
      </x:c>
    </x:row>
    <x:row r="162" ht="42">
      <x:c r="A162" s="59" t="s">
        <x:v>2117</x:v>
      </x:c>
      <x:c r="B162" s="59" t="s">
        <x:v>2118</x:v>
      </x:c>
      <x:c r="C162" s="59"/>
      <x:c r="D162" s="59"/>
      <x:c r="E162" s="59" t="s">
        <x:v>2119</x:v>
      </x:c>
      <x:c r="F162" s="59" t="s">
        <x:v>1681</x:v>
      </x:c>
      <x:c r="G162" s="59" t="s">
        <x:v>1534</x:v>
      </x:c>
      <x:c r="H162" s="59" t="s">
        <x:v>1484</x:v>
      </x:c>
      <x:c r="I162" s="59" t="s">
        <x:v>2120</x:v>
      </x:c>
      <x:c r="J162" s="59" t="s">
        <x:v>1431</x:v>
      </x:c>
      <x:c r="K162" s="59" t="s">
        <x:v>1417</x:v>
      </x:c>
      <x:c r="L162" s="59" t="s">
        <x:v>1437</x:v>
      </x:c>
      <x:c r="M162" s="59" t="s">
        <x:v>1489</x:v>
      </x:c>
      <x:c r="N162" s="59" t="s">
        <x:v>1437</x:v>
      </x:c>
      <x:c r="O162" s="59" t="s">
        <x:v>1435</x:v>
      </x:c>
      <x:c r="P162" s="59" t="s">
        <x:v>1437</x:v>
      </x:c>
      <x:c r="Q162" s="75" t="s">
        <x:v>1437</x:v>
      </x:c>
      <x:c r="R162" s="75" t="s">
        <x:v>1437</x:v>
      </x:c>
      <x:c r="S162" s="75" t="s">
        <x:v>1437</x:v>
      </x:c>
      <x:c r="T162" s="75" t="s">
        <x:v>1437</x:v>
      </x:c>
      <x:c r="U162" s="75" t="s">
        <x:v>1437</x:v>
      </x:c>
      <x:c r="V162" s="75" t="s">
        <x:v>1437</x:v>
      </x:c>
      <x:c r="W162" s="60"/>
      <x:c r="X162" s="73" t="str">
        <x:f t="shared" si="22"/>
        <x:v>Belum Dinilai</x:v>
      </x:c>
      <x:c r="Y162" s="73" t="str">
        <x:f t="shared" si="23"/>
        <x:v>Belum Dinilai</x:v>
      </x:c>
      <x:c r="Z162" s="74" t="str">
        <x:f t="shared" si="24"/>
      </x:c>
      <x:c r="AA162" s="74" t="str">
        <x:f t="shared" si="25"/>
      </x:c>
      <x:c r="AB162" s="74" t="str">
        <x:f t="shared" si="26"/>
      </x:c>
      <x:c r="AC162" s="61" t="s">
        <x:v>1437</x:v>
      </x:c>
      <x:c r="AD162" s="61" t="s">
        <x:v>1437</x:v>
      </x:c>
      <x:c r="AE162" s="61" t="s">
        <x:v>1437</x:v>
      </x:c>
      <x:c r="AF162" s="61" t="s">
        <x:v>1437</x:v>
      </x:c>
      <x:c r="AG162" s="61" t="s">
        <x:v>1437</x:v>
      </x:c>
      <x:c r="AH162" s="61" t="s">
        <x:v>1437</x:v>
      </x:c>
      <x:c r="AI162" s="61" t="s">
        <x:v>1437</x:v>
      </x:c>
      <x:c r="AJ162" s="61" t="s">
        <x:v>1437</x:v>
      </x:c>
      <x:c r="AK162" s="61" t="s">
        <x:v>1437</x:v>
      </x:c>
      <x:c r="AL162" s="61"/>
      <x:c r="AM162" s="61" t="s">
        <x:v>1437</x:v>
      </x:c>
      <x:c r="AN162" s="73" t="str">
        <x:f t="shared" si="27"/>
        <x:v>Belum Dinilai</x:v>
      </x:c>
      <x:c r="AO162" s="73" t="str">
        <x:f t="shared" si="28"/>
        <x:v>Belum Dinilai</x:v>
      </x:c>
      <x:c r="AP162" s="61"/>
      <x:c r="AQ162" s="64" t="str">
        <x:f t="shared" si="29"/>
      </x:c>
      <x:c r="AR162" s="64" t="str">
        <x:f t="shared" si="30"/>
      </x:c>
      <x:c r="AS162" s="64" t="str">
        <x:f t="shared" si="31"/>
      </x:c>
      <x:c r="AT162" s="62" t="str">
        <x:f t="shared" si="32"/>
        <x:v>Belum Dapat Ditentukan</x:v>
      </x:c>
      <x:c r="AU162" s="59" t="s">
        <x:v>1408</x:v>
      </x:c>
      <x:c r="AV162" s="59" t="s">
        <x:v>1425</x:v>
      </x:c>
      <x:c r="AW162" s="59" t="s">
        <x:v>1410</x:v>
      </x:c>
      <x:c r="AX162" s="59" t="s">
        <x:v>1411</x:v>
      </x:c>
      <x:c r="AY162" s="59"/>
      <x:c r="AZ162" s="59" t="s">
        <x:v>1409</x:v>
      </x:c>
      <x:c r="BA162" s="59"/>
      <x:c r="BB162" s="167"/>
      <x:c r="BC162" s="65">
        <x:v>2026</x:v>
      </x:c>
      <x:c r="BD162" s="59"/>
      <x:c r="BE162" s="167"/>
      <x:c r="BF162" s="59" t="s">
        <x:v>1501</x:v>
      </x:c>
    </x:row>
    <x:row r="163" ht="28">
      <x:c r="A163" s="59" t="s">
        <x:v>2121</x:v>
      </x:c>
      <x:c r="B163" s="59" t="s">
        <x:v>2122</x:v>
      </x:c>
      <x:c r="C163" s="59"/>
      <x:c r="D163" s="59"/>
      <x:c r="E163" s="59" t="s">
        <x:v>2123</x:v>
      </x:c>
      <x:c r="F163" s="59" t="s">
        <x:v>1681</x:v>
      </x:c>
      <x:c r="G163" s="59" t="s">
        <x:v>1534</x:v>
      </x:c>
      <x:c r="H163" s="59" t="s">
        <x:v>1399</x:v>
      </x:c>
      <x:c r="I163" s="59" t="s">
        <x:v>2124</x:v>
      </x:c>
      <x:c r="J163" s="59" t="s">
        <x:v>1431</x:v>
      </x:c>
      <x:c r="K163" s="59" t="s">
        <x:v>1417</x:v>
      </x:c>
      <x:c r="L163" s="59" t="s">
        <x:v>1437</x:v>
      </x:c>
      <x:c r="M163" s="59" t="s">
        <x:v>1489</x:v>
      </x:c>
      <x:c r="N163" s="59" t="s">
        <x:v>1437</x:v>
      </x:c>
      <x:c r="O163" s="59" t="s">
        <x:v>1435</x:v>
      </x:c>
      <x:c r="P163" s="59" t="s">
        <x:v>1437</x:v>
      </x:c>
      <x:c r="Q163" s="75" t="s">
        <x:v>1437</x:v>
      </x:c>
      <x:c r="R163" s="75" t="s">
        <x:v>1437</x:v>
      </x:c>
      <x:c r="S163" s="75" t="s">
        <x:v>1437</x:v>
      </x:c>
      <x:c r="T163" s="75" t="s">
        <x:v>1437</x:v>
      </x:c>
      <x:c r="U163" s="75" t="s">
        <x:v>1437</x:v>
      </x:c>
      <x:c r="V163" s="75" t="s">
        <x:v>1437</x:v>
      </x:c>
      <x:c r="W163" s="60"/>
      <x:c r="X163" s="73" t="str">
        <x:f t="shared" si="22"/>
        <x:v>Belum Dinilai</x:v>
      </x:c>
      <x:c r="Y163" s="73" t="str">
        <x:f t="shared" si="23"/>
        <x:v>Belum Dinilai</x:v>
      </x:c>
      <x:c r="Z163" s="74" t="str">
        <x:f t="shared" si="24"/>
      </x:c>
      <x:c r="AA163" s="74" t="str">
        <x:f t="shared" si="25"/>
      </x:c>
      <x:c r="AB163" s="74" t="str">
        <x:f t="shared" si="26"/>
      </x:c>
      <x:c r="AC163" s="61" t="s">
        <x:v>1437</x:v>
      </x:c>
      <x:c r="AD163" s="61" t="s">
        <x:v>1437</x:v>
      </x:c>
      <x:c r="AE163" s="61" t="s">
        <x:v>1437</x:v>
      </x:c>
      <x:c r="AF163" s="61" t="s">
        <x:v>1437</x:v>
      </x:c>
      <x:c r="AG163" s="61" t="s">
        <x:v>1437</x:v>
      </x:c>
      <x:c r="AH163" s="61" t="s">
        <x:v>1437</x:v>
      </x:c>
      <x:c r="AI163" s="61" t="s">
        <x:v>1437</x:v>
      </x:c>
      <x:c r="AJ163" s="61" t="s">
        <x:v>1437</x:v>
      </x:c>
      <x:c r="AK163" s="61" t="s">
        <x:v>1437</x:v>
      </x:c>
      <x:c r="AL163" s="61"/>
      <x:c r="AM163" s="61" t="s">
        <x:v>1437</x:v>
      </x:c>
      <x:c r="AN163" s="73" t="str">
        <x:f t="shared" si="27"/>
        <x:v>Belum Dinilai</x:v>
      </x:c>
      <x:c r="AO163" s="73" t="str">
        <x:f t="shared" si="28"/>
        <x:v>Belum Dinilai</x:v>
      </x:c>
      <x:c r="AP163" s="61"/>
      <x:c r="AQ163" s="64" t="str">
        <x:f t="shared" si="29"/>
      </x:c>
      <x:c r="AR163" s="64" t="str">
        <x:f t="shared" si="30"/>
      </x:c>
      <x:c r="AS163" s="64" t="str">
        <x:f t="shared" si="31"/>
      </x:c>
      <x:c r="AT163" s="62" t="str">
        <x:f t="shared" si="32"/>
        <x:v>Belum Dapat Ditentukan</x:v>
      </x:c>
      <x:c r="AU163" s="59" t="s">
        <x:v>1408</x:v>
      </x:c>
      <x:c r="AV163" s="59" t="s">
        <x:v>1425</x:v>
      </x:c>
      <x:c r="AW163" s="59" t="s">
        <x:v>1410</x:v>
      </x:c>
      <x:c r="AX163" s="59" t="s">
        <x:v>1411</x:v>
      </x:c>
      <x:c r="AY163" s="59"/>
      <x:c r="AZ163" s="59" t="s">
        <x:v>1428</x:v>
      </x:c>
      <x:c r="BA163" s="59"/>
      <x:c r="BB163" s="167"/>
      <x:c r="BC163" s="65">
        <x:v>2026</x:v>
      </x:c>
      <x:c r="BD163" s="59"/>
      <x:c r="BE163" s="167"/>
      <x:c r="BF163" s="59" t="s">
        <x:v>1501</x:v>
      </x:c>
    </x:row>
    <x:row r="164" ht="42">
      <x:c r="A164" s="59" t="s">
        <x:v>2125</x:v>
      </x:c>
      <x:c r="B164" s="59" t="s">
        <x:v>2126</x:v>
      </x:c>
      <x:c r="C164" s="59"/>
      <x:c r="D164" s="59"/>
      <x:c r="E164" s="59" t="s">
        <x:v>2127</x:v>
      </x:c>
      <x:c r="F164" s="59" t="s">
        <x:v>1497</x:v>
      </x:c>
      <x:c r="G164" s="59" t="s">
        <x:v>1498</x:v>
      </x:c>
      <x:c r="H164" s="59" t="s">
        <x:v>1399</x:v>
      </x:c>
      <x:c r="I164" s="59" t="s">
        <x:v>2128</x:v>
      </x:c>
      <x:c r="J164" s="59" t="s">
        <x:v>1416</x:v>
      </x:c>
      <x:c r="K164" s="59" t="s">
        <x:v>1522</x:v>
      </x:c>
      <x:c r="L164" s="59" t="s">
        <x:v>1437</x:v>
      </x:c>
      <x:c r="M164" s="59" t="s">
        <x:v>1489</x:v>
      </x:c>
      <x:c r="N164" s="59" t="s">
        <x:v>1437</x:v>
      </x:c>
      <x:c r="O164" s="59" t="s">
        <x:v>1522</x:v>
      </x:c>
      <x:c r="P164" s="59" t="s">
        <x:v>1437</x:v>
      </x:c>
      <x:c r="Q164" s="75" t="s">
        <x:v>1437</x:v>
      </x:c>
      <x:c r="R164" s="75" t="s">
        <x:v>1437</x:v>
      </x:c>
      <x:c r="S164" s="75" t="s">
        <x:v>1437</x:v>
      </x:c>
      <x:c r="T164" s="75" t="s">
        <x:v>1437</x:v>
      </x:c>
      <x:c r="U164" s="75" t="s">
        <x:v>1437</x:v>
      </x:c>
      <x:c r="V164" s="75" t="s">
        <x:v>1437</x:v>
      </x:c>
      <x:c r="W164" s="60"/>
      <x:c r="X164" s="73" t="str">
        <x:f t="shared" si="22"/>
        <x:v>Belum Dinilai</x:v>
      </x:c>
      <x:c r="Y164" s="73" t="str">
        <x:f t="shared" si="23"/>
        <x:v>Belum Dinilai</x:v>
      </x:c>
      <x:c r="Z164" s="74" t="str">
        <x:f t="shared" si="24"/>
      </x:c>
      <x:c r="AA164" s="74" t="str">
        <x:f t="shared" si="25"/>
      </x:c>
      <x:c r="AB164" s="74" t="str">
        <x:f t="shared" si="26"/>
      </x:c>
      <x:c r="AC164" s="61" t="s">
        <x:v>1437</x:v>
      </x:c>
      <x:c r="AD164" s="61" t="s">
        <x:v>1437</x:v>
      </x:c>
      <x:c r="AE164" s="61" t="s">
        <x:v>1437</x:v>
      </x:c>
      <x:c r="AF164" s="61" t="s">
        <x:v>1437</x:v>
      </x:c>
      <x:c r="AG164" s="61" t="s">
        <x:v>1437</x:v>
      </x:c>
      <x:c r="AH164" s="61" t="s">
        <x:v>1437</x:v>
      </x:c>
      <x:c r="AI164" s="61" t="s">
        <x:v>1437</x:v>
      </x:c>
      <x:c r="AJ164" s="61" t="s">
        <x:v>1437</x:v>
      </x:c>
      <x:c r="AK164" s="61" t="s">
        <x:v>1437</x:v>
      </x:c>
      <x:c r="AL164" s="61"/>
      <x:c r="AM164" s="61" t="s">
        <x:v>1437</x:v>
      </x:c>
      <x:c r="AN164" s="73" t="str">
        <x:f t="shared" si="27"/>
        <x:v>Belum Dinilai</x:v>
      </x:c>
      <x:c r="AO164" s="73" t="str">
        <x:f t="shared" si="28"/>
        <x:v>Belum Dinilai</x:v>
      </x:c>
      <x:c r="AP164" s="61"/>
      <x:c r="AQ164" s="64" t="str">
        <x:f t="shared" si="29"/>
      </x:c>
      <x:c r="AR164" s="64" t="str">
        <x:f t="shared" si="30"/>
      </x:c>
      <x:c r="AS164" s="64" t="str">
        <x:f t="shared" si="31"/>
      </x:c>
      <x:c r="AT164" s="62" t="str">
        <x:f t="shared" si="32"/>
        <x:v>Belum Dapat Ditentukan</x:v>
      </x:c>
      <x:c r="AU164" s="59" t="s">
        <x:v>1408</x:v>
      </x:c>
      <x:c r="AV164" s="59" t="s">
        <x:v>1425</x:v>
      </x:c>
      <x:c r="AW164" s="59" t="s">
        <x:v>1410</x:v>
      </x:c>
      <x:c r="AX164" s="59" t="s">
        <x:v>1411</x:v>
      </x:c>
      <x:c r="AY164" s="59"/>
      <x:c r="AZ164" s="59" t="s">
        <x:v>1428</x:v>
      </x:c>
      <x:c r="BA164" s="59"/>
      <x:c r="BB164" s="167"/>
      <x:c r="BC164" s="65">
        <x:v>2026</x:v>
      </x:c>
      <x:c r="BD164" s="59"/>
      <x:c r="BE164" s="167"/>
      <x:c r="BF164" s="59" t="s">
        <x:v>1501</x:v>
      </x:c>
    </x:row>
    <x:row r="165" ht="42">
      <x:c r="A165" s="59" t="s">
        <x:v>2129</x:v>
      </x:c>
      <x:c r="B165" s="59" t="s">
        <x:v>2130</x:v>
      </x:c>
      <x:c r="C165" s="59" t="s">
        <x:v>2131</x:v>
      </x:c>
      <x:c r="D165" s="59" t="s">
        <x:v>2132</x:v>
      </x:c>
      <x:c r="E165" s="59" t="s">
        <x:v>2133</x:v>
      </x:c>
      <x:c r="F165" s="59" t="s">
        <x:v>1755</x:v>
      </x:c>
      <x:c r="G165" s="59" t="s">
        <x:v>1575</x:v>
      </x:c>
      <x:c r="H165" s="59" t="s">
        <x:v>1399</x:v>
      </x:c>
      <x:c r="I165" s="59"/>
      <x:c r="J165" s="59" t="s">
        <x:v>1431</x:v>
      </x:c>
      <x:c r="K165" s="59" t="s">
        <x:v>1417</x:v>
      </x:c>
      <x:c r="L165" s="59" t="s">
        <x:v>1487</x:v>
      </x:c>
      <x:c r="M165" s="59" t="s">
        <x:v>1489</x:v>
      </x:c>
      <x:c r="N165" s="59" t="s">
        <x:v>1487</x:v>
      </x:c>
      <x:c r="O165" s="59" t="s">
        <x:v>1435</x:v>
      </x:c>
      <x:c r="P165" s="59" t="s">
        <x:v>1487</x:v>
      </x:c>
      <x:c r="Q165" s="75" t="s">
        <x:v>1405</x:v>
      </x:c>
      <x:c r="R165" s="75" t="s">
        <x:v>1406</x:v>
      </x:c>
      <x:c r="S165" s="75" t="s">
        <x:v>1422</x:v>
      </x:c>
      <x:c r="T165" s="75" t="s">
        <x:v>1422</x:v>
      </x:c>
      <x:c r="U165" s="75" t="s">
        <x:v>1422</x:v>
      </x:c>
      <x:c r="V165" s="75" t="s">
        <x:v>1422</x:v>
      </x:c>
      <x:c r="W165" s="60"/>
      <x:c r="X165" s="73" t="str">
        <x:f t="shared" si="22"/>
        <x:v>Lansia; </x:v>
      </x:c>
      <x:c r="Y165" s="73" t="str">
        <x:f t="shared" si="23"/>
        <x:v>1 Faktor Rentan</x:v>
      </x:c>
      <x:c r="Z165" s="74">
        <x:f t="shared" si="24"/>
        <x:v>10</x:v>
      </x:c>
      <x:c r="AA165" s="74">
        <x:f t="shared" si="25"/>
        <x:v>5</x:v>
      </x:c>
      <x:c r="AB165" s="74">
        <x:f t="shared" si="26"/>
        <x:v>15</x:v>
      </x:c>
      <x:c r="AC165" s="61" t="s">
        <x:v>1406</x:v>
      </x:c>
      <x:c r="AD165" s="61" t="s">
        <x:v>1422</x:v>
      </x:c>
      <x:c r="AE165" s="61" t="s">
        <x:v>1406</x:v>
      </x:c>
      <x:c r="AF165" s="61" t="s">
        <x:v>1422</x:v>
      </x:c>
      <x:c r="AG165" s="61" t="s">
        <x:v>1406</x:v>
      </x:c>
      <x:c r="AH165" s="61" t="s">
        <x:v>1406</x:v>
      </x:c>
      <x:c r="AI165" s="61" t="s">
        <x:v>1406</x:v>
      </x:c>
      <x:c r="AJ165" s="61" t="s">
        <x:v>1437</x:v>
      </x:c>
      <x:c r="AK165" s="61" t="s">
        <x:v>1437</x:v>
      </x:c>
      <x:c r="AL165" s="61"/>
      <x:c r="AM165" s="61" t="s">
        <x:v>1437</x:v>
      </x:c>
      <x:c r="AN165" s="73" t="str">
        <x:f t="shared" si="27"/>
        <x:v>Bangunan berpotensi roboh; Atap atau dinding utama hampir runtuh; Struktur rumah tidak stabil; Instalasi listrik berbahaya; Komponen bangunan lepas atau lapuk; </x:v>
      </x:c>
      <x:c r="AO165" s="73" t="str">
        <x:f t="shared" si="28"/>
        <x:v>Risiko Tinggi/Darurat</x:v>
      </x:c>
      <x:c r="AP165" s="61"/>
      <x:c r="AQ165" s="64">
        <x:f t="shared" si="29"/>
        <x:v>57</x:v>
      </x:c>
      <x:c r="AR165" s="64">
        <x:f t="shared" si="30"/>
        <x:v>10</x:v>
      </x:c>
      <x:c r="AS165" s="64">
        <x:f t="shared" si="31"/>
        <x:v>82</x:v>
      </x:c>
      <x:c r="AT165" s="62" t="str">
        <x:f t="shared" si="32"/>
        <x:v>Sangat Tinggi</x:v>
      </x:c>
      <x:c r="AU165" s="59" t="s">
        <x:v>1408</x:v>
      </x:c>
      <x:c r="AV165" s="59" t="s">
        <x:v>1425</x:v>
      </x:c>
      <x:c r="AW165" s="59" t="s">
        <x:v>1426</x:v>
      </x:c>
      <x:c r="AX165" s="59" t="s">
        <x:v>1506</x:v>
      </x:c>
      <x:c r="AY165" s="59">
        <x:v>2026</x:v>
      </x:c>
      <x:c r="AZ165" s="59" t="s">
        <x:v>1428</x:v>
      </x:c>
      <x:c r="BA165" s="59"/>
      <x:c r="BB165" s="167"/>
      <x:c r="BC165" s="65">
        <x:v>2026</x:v>
      </x:c>
      <x:c r="BD165" s="59"/>
      <x:c r="BE165" s="167"/>
      <x:c r="BF165" s="59" t="s">
        <x:v>1501</x:v>
      </x:c>
    </x:row>
    <x:row r="166" ht="28">
      <x:c r="A166" s="59" t="s">
        <x:v>2134</x:v>
      </x:c>
      <x:c r="B166" s="59" t="s">
        <x:v>2135</x:v>
      </x:c>
      <x:c r="C166" s="59" t="s">
        <x:v>2136</x:v>
      </x:c>
      <x:c r="D166" s="59" t="s">
        <x:v>2137</x:v>
      </x:c>
      <x:c r="E166" s="59" t="s">
        <x:v>2138</x:v>
      </x:c>
      <x:c r="F166" s="59" t="s">
        <x:v>1755</x:v>
      </x:c>
      <x:c r="G166" s="59" t="s">
        <x:v>1575</x:v>
      </x:c>
      <x:c r="H166" s="59" t="s">
        <x:v>1484</x:v>
      </x:c>
      <x:c r="I166" s="59"/>
      <x:c r="J166" s="59" t="s">
        <x:v>1400</x:v>
      </x:c>
      <x:c r="K166" s="59" t="s">
        <x:v>1432</x:v>
      </x:c>
      <x:c r="L166" s="59" t="s">
        <x:v>1437</x:v>
      </x:c>
      <x:c r="M166" s="59" t="s">
        <x:v>1419</x:v>
      </x:c>
      <x:c r="N166" s="59" t="s">
        <x:v>1437</x:v>
      </x:c>
      <x:c r="O166" s="59" t="s">
        <x:v>1522</x:v>
      </x:c>
      <x:c r="P166" s="59" t="s">
        <x:v>1437</x:v>
      </x:c>
      <x:c r="Q166" s="75" t="s">
        <x:v>1405</x:v>
      </x:c>
      <x:c r="R166" s="75" t="s">
        <x:v>1437</x:v>
      </x:c>
      <x:c r="S166" s="75" t="s">
        <x:v>1437</x:v>
      </x:c>
      <x:c r="T166" s="75" t="s">
        <x:v>1437</x:v>
      </x:c>
      <x:c r="U166" s="75" t="s">
        <x:v>1437</x:v>
      </x:c>
      <x:c r="V166" s="75" t="s">
        <x:v>1437</x:v>
      </x:c>
      <x:c r="W166" s="60"/>
      <x:c r="X166" s="73" t="str">
        <x:f t="shared" si="22"/>
        <x:v>Belum Dinilai</x:v>
      </x:c>
      <x:c r="Y166" s="73" t="str">
        <x:f t="shared" si="23"/>
        <x:v>Belum Dinilai</x:v>
      </x:c>
      <x:c r="Z166" s="74">
        <x:f t="shared" si="24"/>
        <x:v>10</x:v>
      </x:c>
      <x:c r="AA166" s="74" t="str">
        <x:f t="shared" si="25"/>
      </x:c>
      <x:c r="AB166" s="74" t="str">
        <x:f t="shared" si="26"/>
      </x:c>
      <x:c r="AC166" s="61" t="s">
        <x:v>1437</x:v>
      </x:c>
      <x:c r="AD166" s="61" t="s">
        <x:v>1437</x:v>
      </x:c>
      <x:c r="AE166" s="61" t="s">
        <x:v>1437</x:v>
      </x:c>
      <x:c r="AF166" s="61" t="s">
        <x:v>1437</x:v>
      </x:c>
      <x:c r="AG166" s="61" t="s">
        <x:v>1437</x:v>
      </x:c>
      <x:c r="AH166" s="61" t="s">
        <x:v>1437</x:v>
      </x:c>
      <x:c r="AI166" s="61" t="s">
        <x:v>1437</x:v>
      </x:c>
      <x:c r="AJ166" s="61" t="s">
        <x:v>1437</x:v>
      </x:c>
      <x:c r="AK166" s="61" t="s">
        <x:v>1437</x:v>
      </x:c>
      <x:c r="AL166" s="61"/>
      <x:c r="AM166" s="61" t="s">
        <x:v>1437</x:v>
      </x:c>
      <x:c r="AN166" s="73" t="str">
        <x:f t="shared" si="27"/>
        <x:v>Belum Dinilai</x:v>
      </x:c>
      <x:c r="AO166" s="73" t="str">
        <x:f t="shared" si="28"/>
        <x:v>Belum Dinilai</x:v>
      </x:c>
      <x:c r="AP166" s="61"/>
      <x:c r="AQ166" s="64" t="str">
        <x:f t="shared" si="29"/>
      </x:c>
      <x:c r="AR166" s="64" t="str">
        <x:f t="shared" si="30"/>
      </x:c>
      <x:c r="AS166" s="64" t="str">
        <x:f t="shared" si="31"/>
      </x:c>
      <x:c r="AT166" s="62" t="str">
        <x:f t="shared" si="32"/>
        <x:v>Belum Dapat Ditentukan</x:v>
      </x:c>
      <x:c r="AU166" s="59" t="s">
        <x:v>1424</x:v>
      </x:c>
      <x:c r="AV166" s="59" t="s">
        <x:v>1425</x:v>
      </x:c>
      <x:c r="AW166" s="59" t="s">
        <x:v>1410</x:v>
      </x:c>
      <x:c r="AX166" s="59" t="s">
        <x:v>1411</x:v>
      </x:c>
      <x:c r="AY166" s="59"/>
      <x:c r="AZ166" s="59"/>
      <x:c r="BA166" s="59"/>
      <x:c r="BB166" s="167"/>
      <x:c r="BC166" s="65"/>
      <x:c r="BD166" s="59"/>
      <x:c r="BE166" s="167"/>
      <x:c r="BF166" s="59" t="s">
        <x:v>1501</x:v>
      </x:c>
    </x:row>
    <x:row r="167" ht="28">
      <x:c r="A167" s="59" t="s">
        <x:v>2139</x:v>
      </x:c>
      <x:c r="B167" s="59" t="s">
        <x:v>2140</x:v>
      </x:c>
      <x:c r="C167" s="59" t="s">
        <x:v>2141</x:v>
      </x:c>
      <x:c r="D167" s="59" t="s">
        <x:v>2142</x:v>
      </x:c>
      <x:c r="E167" s="59" t="s">
        <x:v>2143</x:v>
      </x:c>
      <x:c r="F167" s="59" t="s">
        <x:v>1580</x:v>
      </x:c>
      <x:c r="G167" s="59" t="s">
        <x:v>1512</x:v>
      </x:c>
      <x:c r="H167" s="59" t="s">
        <x:v>1484</x:v>
      </x:c>
      <x:c r="I167" s="59"/>
      <x:c r="J167" s="59" t="s">
        <x:v>1485</x:v>
      </x:c>
      <x:c r="K167" s="59"/>
      <x:c r="L167" s="59" t="s">
        <x:v>1437</x:v>
      </x:c>
      <x:c r="M167" s="59"/>
      <x:c r="N167" s="59" t="s">
        <x:v>1437</x:v>
      </x:c>
      <x:c r="O167" s="59"/>
      <x:c r="P167" s="59" t="s">
        <x:v>1437</x:v>
      </x:c>
      <x:c r="Q167" s="75" t="s">
        <x:v>1437</x:v>
      </x:c>
      <x:c r="R167" s="75" t="s">
        <x:v>1437</x:v>
      </x:c>
      <x:c r="S167" s="75" t="s">
        <x:v>1437</x:v>
      </x:c>
      <x:c r="T167" s="75" t="s">
        <x:v>1437</x:v>
      </x:c>
      <x:c r="U167" s="75" t="s">
        <x:v>1437</x:v>
      </x:c>
      <x:c r="V167" s="75" t="s">
        <x:v>1437</x:v>
      </x:c>
      <x:c r="W167" s="60"/>
      <x:c r="X167" s="73" t="str">
        <x:f t="shared" si="22"/>
        <x:v>Belum Dinilai</x:v>
      </x:c>
      <x:c r="Y167" s="73" t="str">
        <x:f t="shared" si="23"/>
        <x:v>Belum Dinilai</x:v>
      </x:c>
      <x:c r="Z167" s="74" t="str">
        <x:f t="shared" si="24"/>
      </x:c>
      <x:c r="AA167" s="74" t="str">
        <x:f t="shared" si="25"/>
      </x:c>
      <x:c r="AB167" s="74" t="str">
        <x:f t="shared" si="26"/>
      </x:c>
      <x:c r="AC167" s="61" t="s">
        <x:v>1437</x:v>
      </x:c>
      <x:c r="AD167" s="61" t="s">
        <x:v>1437</x:v>
      </x:c>
      <x:c r="AE167" s="61" t="s">
        <x:v>1437</x:v>
      </x:c>
      <x:c r="AF167" s="61" t="s">
        <x:v>1437</x:v>
      </x:c>
      <x:c r="AG167" s="61" t="s">
        <x:v>1437</x:v>
      </x:c>
      <x:c r="AH167" s="61" t="s">
        <x:v>1437</x:v>
      </x:c>
      <x:c r="AI167" s="61" t="s">
        <x:v>1437</x:v>
      </x:c>
      <x:c r="AJ167" s="61" t="s">
        <x:v>1437</x:v>
      </x:c>
      <x:c r="AK167" s="61" t="s">
        <x:v>1437</x:v>
      </x:c>
      <x:c r="AL167" s="61"/>
      <x:c r="AM167" s="61" t="s">
        <x:v>1437</x:v>
      </x:c>
      <x:c r="AN167" s="73" t="str">
        <x:f t="shared" si="27"/>
        <x:v>Belum Dinilai</x:v>
      </x:c>
      <x:c r="AO167" s="73" t="str">
        <x:f t="shared" si="28"/>
        <x:v>Belum Dinilai</x:v>
      </x:c>
      <x:c r="AP167" s="61"/>
      <x:c r="AQ167" s="64" t="str">
        <x:f t="shared" si="29"/>
      </x:c>
      <x:c r="AR167" s="64" t="str">
        <x:f t="shared" si="30"/>
      </x:c>
      <x:c r="AS167" s="64" t="str">
        <x:f t="shared" si="31"/>
      </x:c>
      <x:c r="AT167" s="62" t="str">
        <x:f t="shared" si="32"/>
        <x:v>Belum Dapat Ditentukan</x:v>
      </x:c>
      <x:c r="AU167" s="59" t="s">
        <x:v>1424</x:v>
      </x:c>
      <x:c r="AV167" s="59" t="s">
        <x:v>1425</x:v>
      </x:c>
      <x:c r="AW167" s="59" t="s">
        <x:v>1410</x:v>
      </x:c>
      <x:c r="AX167" s="59" t="s">
        <x:v>1411</x:v>
      </x:c>
      <x:c r="AY167" s="59"/>
      <x:c r="AZ167" s="59"/>
      <x:c r="BA167" s="59"/>
      <x:c r="BB167" s="167"/>
      <x:c r="BC167" s="65"/>
      <x:c r="BD167" s="59"/>
      <x:c r="BE167" s="167"/>
      <x:c r="BF167" s="59" t="s">
        <x:v>1501</x:v>
      </x:c>
    </x:row>
    <x:row r="168" ht="28">
      <x:c r="A168" s="59" t="s">
        <x:v>2144</x:v>
      </x:c>
      <x:c r="B168" s="59" t="s">
        <x:v>2145</x:v>
      </x:c>
      <x:c r="C168" s="59" t="s">
        <x:v>2146</x:v>
      </x:c>
      <x:c r="D168" s="59" t="s">
        <x:v>2147</x:v>
      </x:c>
      <x:c r="E168" s="59" t="s">
        <x:v>2148</x:v>
      </x:c>
      <x:c r="F168" s="59" t="s">
        <x:v>1867</x:v>
      </x:c>
      <x:c r="G168" s="59" t="s">
        <x:v>1498</x:v>
      </x:c>
      <x:c r="H168" s="59" t="s">
        <x:v>1484</x:v>
      </x:c>
      <x:c r="I168" s="59"/>
      <x:c r="J168" s="59" t="s">
        <x:v>1416</x:v>
      </x:c>
      <x:c r="K168" s="59" t="s">
        <x:v>1417</x:v>
      </x:c>
      <x:c r="L168" s="59" t="s">
        <x:v>1433</x:v>
      </x:c>
      <x:c r="M168" s="59" t="s">
        <x:v>1489</x:v>
      </x:c>
      <x:c r="N168" s="59" t="s">
        <x:v>1433</x:v>
      </x:c>
      <x:c r="O168" s="59" t="s">
        <x:v>1435</x:v>
      </x:c>
      <x:c r="P168" s="59" t="s">
        <x:v>1418</x:v>
      </x:c>
      <x:c r="Q168" s="75" t="s">
        <x:v>1437</x:v>
      </x:c>
      <x:c r="R168" s="75" t="s">
        <x:v>1437</x:v>
      </x:c>
      <x:c r="S168" s="75" t="s">
        <x:v>1437</x:v>
      </x:c>
      <x:c r="T168" s="75" t="s">
        <x:v>1437</x:v>
      </x:c>
      <x:c r="U168" s="75" t="s">
        <x:v>1437</x:v>
      </x:c>
      <x:c r="V168" s="75" t="s">
        <x:v>1437</x:v>
      </x:c>
      <x:c r="W168" s="60"/>
      <x:c r="X168" s="73" t="str">
        <x:f t="shared" si="22"/>
        <x:v>Belum Dinilai</x:v>
      </x:c>
      <x:c r="Y168" s="73" t="str">
        <x:f t="shared" si="23"/>
        <x:v>Belum Dinilai</x:v>
      </x:c>
      <x:c r="Z168" s="74" t="str">
        <x:f t="shared" si="24"/>
      </x:c>
      <x:c r="AA168" s="74" t="str">
        <x:f t="shared" si="25"/>
      </x:c>
      <x:c r="AB168" s="74" t="str">
        <x:f t="shared" si="26"/>
      </x:c>
      <x:c r="AC168" s="61"/>
      <x:c r="AD168" s="61"/>
      <x:c r="AE168" s="61"/>
      <x:c r="AF168" s="61"/>
      <x:c r="AG168" s="61"/>
      <x:c r="AH168" s="61"/>
      <x:c r="AI168" s="61"/>
      <x:c r="AJ168" s="61"/>
      <x:c r="AK168" s="61"/>
      <x:c r="AL168" s="61"/>
      <x:c r="AM168" s="61"/>
      <x:c r="AN168" s="73" t="str">
        <x:f t="shared" si="27"/>
        <x:v>Tidak ada risiko khusus</x:v>
      </x:c>
      <x:c r="AO168" s="73" t="str">
        <x:f t="shared" si="28"/>
        <x:v>Tidak Ada Risiko Khusus</x:v>
      </x:c>
      <x:c r="AP168" s="61"/>
      <x:c r="AQ168" s="64">
        <x:f t="shared" si="29"/>
        <x:v>32</x:v>
      </x:c>
      <x:c r="AR168" s="64">
        <x:f t="shared" si="30"/>
        <x:v>0</x:v>
      </x:c>
      <x:c r="AS168" s="64" t="str">
        <x:f t="shared" si="31"/>
      </x:c>
      <x:c r="AT168" s="62" t="str">
        <x:f t="shared" si="32"/>
        <x:v>Belum Dapat Ditentukan</x:v>
      </x:c>
      <x:c r="AU168" s="59"/>
      <x:c r="AV168" s="59" t="s">
        <x:v>1425</x:v>
      </x:c>
      <x:c r="AW168" s="59" t="s">
        <x:v>1410</x:v>
      </x:c>
      <x:c r="AX168" s="59" t="s">
        <x:v>1411</x:v>
      </x:c>
      <x:c r="AY168" s="59"/>
      <x:c r="AZ168" s="59" t="s">
        <x:v>1412</x:v>
      </x:c>
      <x:c r="BA168" s="59"/>
      <x:c r="BB168" s="167"/>
      <x:c r="BC168" s="65"/>
      <x:c r="BD168" s="59"/>
      <x:c r="BE168" s="167"/>
      <x:c r="BF168" s="59" t="s">
        <x:v>1501</x:v>
      </x:c>
    </x:row>
    <x:row r="169" ht="28">
      <x:c r="A169" s="59" t="s">
        <x:v>2149</x:v>
      </x:c>
      <x:c r="B169" s="59" t="s">
        <x:v>2150</x:v>
      </x:c>
      <x:c r="C169" s="59" t="s">
        <x:v>2151</x:v>
      </x:c>
      <x:c r="D169" s="59" t="s">
        <x:v>2152</x:v>
      </x:c>
      <x:c r="E169" s="59" t="s">
        <x:v>2153</x:v>
      </x:c>
      <x:c r="F169" s="59" t="s">
        <x:v>2154</x:v>
      </x:c>
      <x:c r="G169" s="59" t="s">
        <x:v>1575</x:v>
      </x:c>
      <x:c r="H169" s="59" t="s">
        <x:v>1484</x:v>
      </x:c>
      <x:c r="I169" s="59"/>
      <x:c r="J169" s="59" t="s">
        <x:v>1416</x:v>
      </x:c>
      <x:c r="K169" s="59" t="s">
        <x:v>1417</x:v>
      </x:c>
      <x:c r="L169" s="59" t="s">
        <x:v>1487</x:v>
      </x:c>
      <x:c r="M169" s="59" t="s">
        <x:v>1489</x:v>
      </x:c>
      <x:c r="N169" s="59" t="s">
        <x:v>1433</x:v>
      </x:c>
      <x:c r="O169" s="59" t="s">
        <x:v>1435</x:v>
      </x:c>
      <x:c r="P169" s="59" t="s">
        <x:v>1418</x:v>
      </x:c>
      <x:c r="Q169" s="75" t="s">
        <x:v>1405</x:v>
      </x:c>
      <x:c r="R169" s="75" t="s">
        <x:v>1406</x:v>
      </x:c>
      <x:c r="S169" s="75" t="s">
        <x:v>1422</x:v>
      </x:c>
      <x:c r="T169" s="75" t="s">
        <x:v>1406</x:v>
      </x:c>
      <x:c r="U169" s="75" t="s">
        <x:v>1422</x:v>
      </x:c>
      <x:c r="V169" s="75" t="s">
        <x:v>1437</x:v>
      </x:c>
      <x:c r="W169" s="60"/>
      <x:c r="X169" s="73" t="str">
        <x:f t="shared" si="22"/>
        <x:v>Belum Dinilai</x:v>
      </x:c>
      <x:c r="Y169" s="73" t="str">
        <x:f t="shared" si="23"/>
        <x:v>Belum Dinilai</x:v>
      </x:c>
      <x:c r="Z169" s="74">
        <x:f t="shared" si="24"/>
        <x:v>10</x:v>
      </x:c>
      <x:c r="AA169" s="74" t="str">
        <x:f t="shared" si="25"/>
      </x:c>
      <x:c r="AB169" s="74" t="str">
        <x:f t="shared" si="26"/>
      </x:c>
      <x:c r="AC169" s="61" t="s">
        <x:v>1422</x:v>
      </x:c>
      <x:c r="AD169" s="61" t="s">
        <x:v>1422</x:v>
      </x:c>
      <x:c r="AE169" s="61" t="s">
        <x:v>1406</x:v>
      </x:c>
      <x:c r="AF169" s="61" t="s">
        <x:v>1422</x:v>
      </x:c>
      <x:c r="AG169" s="61" t="s">
        <x:v>1422</x:v>
      </x:c>
      <x:c r="AH169" s="61" t="s">
        <x:v>1406</x:v>
      </x:c>
      <x:c r="AI169" s="61" t="s">
        <x:v>1406</x:v>
      </x:c>
      <x:c r="AJ169" s="61" t="s">
        <x:v>1422</x:v>
      </x:c>
      <x:c r="AK169" s="61" t="s">
        <x:v>1422</x:v>
      </x:c>
      <x:c r="AL169" s="61"/>
      <x:c r="AM169" s="61" t="s">
        <x:v>1437</x:v>
      </x:c>
      <x:c r="AN169" s="73" t="str">
        <x:f t="shared" si="27"/>
        <x:v>Atap atau dinding utama hampir runtuh; Instalasi listrik berbahaya; Komponen bangunan lepas atau lapuk; </x:v>
      </x:c>
      <x:c r="AO169" s="73" t="str">
        <x:f t="shared" si="28"/>
        <x:v>Risiko Tinggi/Darurat</x:v>
      </x:c>
      <x:c r="AP169" s="61"/>
      <x:c r="AQ169" s="64">
        <x:f t="shared" si="29"/>
        <x:v>37</x:v>
      </x:c>
      <x:c r="AR169" s="64">
        <x:f t="shared" si="30"/>
        <x:v>10</x:v>
      </x:c>
      <x:c r="AS169" s="64" t="str">
        <x:f t="shared" si="31"/>
      </x:c>
      <x:c r="AT169" s="62" t="str">
        <x:f t="shared" si="32"/>
        <x:v>Belum Dapat Ditentukan</x:v>
      </x:c>
      <x:c r="AU169" s="59"/>
      <x:c r="AV169" s="59" t="s">
        <x:v>1425</x:v>
      </x:c>
      <x:c r="AW169" s="59" t="s">
        <x:v>1410</x:v>
      </x:c>
      <x:c r="AX169" s="59" t="s">
        <x:v>1411</x:v>
      </x:c>
      <x:c r="AY169" s="59"/>
      <x:c r="AZ169" s="59"/>
      <x:c r="BA169" s="59"/>
      <x:c r="BB169" s="167"/>
      <x:c r="BC169" s="65"/>
      <x:c r="BD169" s="59"/>
      <x:c r="BE169" s="167"/>
      <x:c r="BF169" s="59" t="s">
        <x:v>1501</x:v>
      </x:c>
    </x:row>
    <x:row r="170" ht="28">
      <x:c r="A170" s="59" t="s">
        <x:v>2155</x:v>
      </x:c>
      <x:c r="B170" s="59" t="s">
        <x:v>2156</x:v>
      </x:c>
      <x:c r="C170" s="59" t="s">
        <x:v>2157</x:v>
      </x:c>
      <x:c r="D170" s="59" t="s">
        <x:v>2158</x:v>
      </x:c>
      <x:c r="E170" s="59" t="s">
        <x:v>2159</x:v>
      </x:c>
      <x:c r="F170" s="59" t="s">
        <x:v>1755</x:v>
      </x:c>
      <x:c r="G170" s="59" t="s">
        <x:v>1575</x:v>
      </x:c>
      <x:c r="H170" s="59" t="s">
        <x:v>1484</x:v>
      </x:c>
      <x:c r="I170" s="59"/>
      <x:c r="J170" s="59" t="s">
        <x:v>1400</x:v>
      </x:c>
      <x:c r="K170" s="59" t="s">
        <x:v>1432</x:v>
      </x:c>
      <x:c r="L170" s="59" t="s">
        <x:v>1402</x:v>
      </x:c>
      <x:c r="M170" s="59" t="s">
        <x:v>1403</x:v>
      </x:c>
      <x:c r="N170" s="59" t="s">
        <x:v>1402</x:v>
      </x:c>
      <x:c r="O170" s="59" t="s">
        <x:v>1404</x:v>
      </x:c>
      <x:c r="P170" s="59" t="s">
        <x:v>1402</x:v>
      </x:c>
      <x:c r="Q170" s="75" t="s">
        <x:v>1405</x:v>
      </x:c>
      <x:c r="R170" s="75" t="s">
        <x:v>1406</x:v>
      </x:c>
      <x:c r="S170" s="75" t="s">
        <x:v>1422</x:v>
      </x:c>
      <x:c r="T170" s="75" t="s">
        <x:v>1422</x:v>
      </x:c>
      <x:c r="U170" s="75" t="s">
        <x:v>1422</x:v>
      </x:c>
      <x:c r="V170" s="75" t="s">
        <x:v>1437</x:v>
      </x:c>
      <x:c r="W170" s="60"/>
      <x:c r="X170" s="73" t="str">
        <x:f t="shared" si="22"/>
        <x:v>Belum Dinilai</x:v>
      </x:c>
      <x:c r="Y170" s="73" t="str">
        <x:f t="shared" si="23"/>
        <x:v>Belum Dinilai</x:v>
      </x:c>
      <x:c r="Z170" s="74">
        <x:f t="shared" si="24"/>
        <x:v>10</x:v>
      </x:c>
      <x:c r="AA170" s="74" t="str">
        <x:f t="shared" si="25"/>
      </x:c>
      <x:c r="AB170" s="74" t="str">
        <x:f t="shared" si="26"/>
      </x:c>
      <x:c r="AC170" s="61" t="s">
        <x:v>1422</x:v>
      </x:c>
      <x:c r="AD170" s="61" t="s">
        <x:v>1422</x:v>
      </x:c>
      <x:c r="AE170" s="61" t="s">
        <x:v>1422</x:v>
      </x:c>
      <x:c r="AF170" s="61" t="s">
        <x:v>1422</x:v>
      </x:c>
      <x:c r="AG170" s="61" t="s">
        <x:v>1422</x:v>
      </x:c>
      <x:c r="AH170" s="61" t="s">
        <x:v>1422</x:v>
      </x:c>
      <x:c r="AI170" s="61" t="s">
        <x:v>1422</x:v>
      </x:c>
      <x:c r="AJ170" s="61" t="s">
        <x:v>1422</x:v>
      </x:c>
      <x:c r="AK170" s="61" t="s">
        <x:v>1422</x:v>
      </x:c>
      <x:c r="AL170" s="61"/>
      <x:c r="AM170" s="61" t="s">
        <x:v>1437</x:v>
      </x:c>
      <x:c r="AN170" s="73" t="str">
        <x:f t="shared" si="27"/>
        <x:v>Tidak ada risiko khusus</x:v>
      </x:c>
      <x:c r="AO170" s="73" t="str">
        <x:f t="shared" si="28"/>
        <x:v>Tidak Ada Risiko Khusus</x:v>
      </x:c>
      <x:c r="AP170" s="61"/>
      <x:c r="AQ170" s="64">
        <x:f t="shared" si="29"/>
        <x:v>0</x:v>
      </x:c>
      <x:c r="AR170" s="64">
        <x:f t="shared" si="30"/>
        <x:v>0</x:v>
      </x:c>
      <x:c r="AS170" s="64" t="str">
        <x:f t="shared" si="31"/>
      </x:c>
      <x:c r="AT170" s="62" t="str">
        <x:f t="shared" si="32"/>
        <x:v>Belum Dapat Ditentukan</x:v>
      </x:c>
      <x:c r="AU170" s="59"/>
      <x:c r="AV170" s="59" t="s">
        <x:v>1425</x:v>
      </x:c>
      <x:c r="AW170" s="59" t="s">
        <x:v>1410</x:v>
      </x:c>
      <x:c r="AX170" s="59" t="s">
        <x:v>1411</x:v>
      </x:c>
      <x:c r="AY170" s="59"/>
      <x:c r="AZ170" s="59" t="s">
        <x:v>1409</x:v>
      </x:c>
      <x:c r="BA170" s="59"/>
      <x:c r="BB170" s="167"/>
      <x:c r="BC170" s="65"/>
      <x:c r="BD170" s="59"/>
      <x:c r="BE170" s="167"/>
      <x:c r="BF170" s="59" t="s">
        <x:v>1501</x:v>
      </x:c>
    </x:row>
    <x:row r="171" ht="28">
      <x:c r="A171" s="59" t="s">
        <x:v>2160</x:v>
      </x:c>
      <x:c r="B171" s="59" t="s">
        <x:v>2161</x:v>
      </x:c>
      <x:c r="C171" s="59" t="s">
        <x:v>2162</x:v>
      </x:c>
      <x:c r="D171" s="59" t="s">
        <x:v>2163</x:v>
      </x:c>
      <x:c r="E171" s="59" t="s">
        <x:v>2164</x:v>
      </x:c>
      <x:c r="F171" s="59" t="s">
        <x:v>1755</x:v>
      </x:c>
      <x:c r="G171" s="59" t="s">
        <x:v>1575</x:v>
      </x:c>
      <x:c r="H171" s="59" t="s">
        <x:v>1484</x:v>
      </x:c>
      <x:c r="I171" s="59"/>
      <x:c r="J171" s="59" t="s">
        <x:v>1400</x:v>
      </x:c>
      <x:c r="K171" s="59" t="s">
        <x:v>1432</x:v>
      </x:c>
      <x:c r="L171" s="59" t="s">
        <x:v>1487</x:v>
      </x:c>
      <x:c r="M171" s="59" t="s">
        <x:v>1403</x:v>
      </x:c>
      <x:c r="N171" s="59" t="s">
        <x:v>1402</x:v>
      </x:c>
      <x:c r="O171" s="59" t="s">
        <x:v>1404</x:v>
      </x:c>
      <x:c r="P171" s="59" t="s">
        <x:v>1418</x:v>
      </x:c>
      <x:c r="Q171" s="75" t="s">
        <x:v>1405</x:v>
      </x:c>
      <x:c r="R171" s="75" t="s">
        <x:v>1422</x:v>
      </x:c>
      <x:c r="S171" s="75" t="s">
        <x:v>1422</x:v>
      </x:c>
      <x:c r="T171" s="75" t="s">
        <x:v>1406</x:v>
      </x:c>
      <x:c r="U171" s="75" t="s">
        <x:v>1406</x:v>
      </x:c>
      <x:c r="V171" s="75" t="s">
        <x:v>1437</x:v>
      </x:c>
      <x:c r="W171" s="60"/>
      <x:c r="X171" s="73" t="str">
        <x:f t="shared" si="22"/>
        <x:v>Belum Dinilai</x:v>
      </x:c>
      <x:c r="Y171" s="73" t="str">
        <x:f t="shared" si="23"/>
        <x:v>Belum Dinilai</x:v>
      </x:c>
      <x:c r="Z171" s="74">
        <x:f t="shared" si="24"/>
        <x:v>10</x:v>
      </x:c>
      <x:c r="AA171" s="74" t="str">
        <x:f t="shared" si="25"/>
      </x:c>
      <x:c r="AB171" s="74" t="str">
        <x:f t="shared" si="26"/>
      </x:c>
      <x:c r="AC171" s="61" t="s">
        <x:v>1422</x:v>
      </x:c>
      <x:c r="AD171" s="61" t="s">
        <x:v>1422</x:v>
      </x:c>
      <x:c r="AE171" s="61" t="s">
        <x:v>1422</x:v>
      </x:c>
      <x:c r="AF171" s="61" t="s">
        <x:v>1422</x:v>
      </x:c>
      <x:c r="AG171" s="61" t="s">
        <x:v>1422</x:v>
      </x:c>
      <x:c r="AH171" s="61" t="s">
        <x:v>1422</x:v>
      </x:c>
      <x:c r="AI171" s="61" t="s">
        <x:v>1422</x:v>
      </x:c>
      <x:c r="AJ171" s="61" t="s">
        <x:v>1422</x:v>
      </x:c>
      <x:c r="AK171" s="61" t="s">
        <x:v>1422</x:v>
      </x:c>
      <x:c r="AL171" s="61"/>
      <x:c r="AM171" s="61" t="s">
        <x:v>1437</x:v>
      </x:c>
      <x:c r="AN171" s="73" t="str">
        <x:f t="shared" si="27"/>
        <x:v>Tidak ada risiko khusus</x:v>
      </x:c>
      <x:c r="AO171" s="73" t="str">
        <x:f t="shared" si="28"/>
        <x:v>Tidak Ada Risiko Khusus</x:v>
      </x:c>
      <x:c r="AP171" s="61"/>
      <x:c r="AQ171" s="64">
        <x:f t="shared" si="29"/>
        <x:v>19</x:v>
      </x:c>
      <x:c r="AR171" s="64">
        <x:f t="shared" si="30"/>
        <x:v>0</x:v>
      </x:c>
      <x:c r="AS171" s="64" t="str">
        <x:f t="shared" si="31"/>
      </x:c>
      <x:c r="AT171" s="62" t="str">
        <x:f t="shared" si="32"/>
        <x:v>Belum Dapat Ditentukan</x:v>
      </x:c>
      <x:c r="AU171" s="59" t="s">
        <x:v>1424</x:v>
      </x:c>
      <x:c r="AV171" s="59" t="s">
        <x:v>1425</x:v>
      </x:c>
      <x:c r="AW171" s="59" t="s">
        <x:v>1410</x:v>
      </x:c>
      <x:c r="AX171" s="59" t="s">
        <x:v>1411</x:v>
      </x:c>
      <x:c r="AY171" s="59"/>
      <x:c r="AZ171" s="59"/>
      <x:c r="BA171" s="59"/>
      <x:c r="BB171" s="167"/>
      <x:c r="BC171" s="65"/>
      <x:c r="BD171" s="59"/>
      <x:c r="BE171" s="167"/>
      <x:c r="BF171" s="59" t="s">
        <x:v>1501</x:v>
      </x:c>
    </x:row>
    <x:row r="172" ht="28">
      <x:c r="A172" s="59" t="s">
        <x:v>2165</x:v>
      </x:c>
      <x:c r="B172" s="59" t="s">
        <x:v>2166</x:v>
      </x:c>
      <x:c r="C172" s="59"/>
      <x:c r="D172" s="59" t="s">
        <x:v>2167</x:v>
      </x:c>
      <x:c r="E172" s="59" t="s">
        <x:v>2168</x:v>
      </x:c>
      <x:c r="F172" s="59" t="s">
        <x:v>1755</x:v>
      </x:c>
      <x:c r="G172" s="59" t="s">
        <x:v>1575</x:v>
      </x:c>
      <x:c r="H172" s="59" t="s">
        <x:v>1484</x:v>
      </x:c>
      <x:c r="I172" s="59"/>
      <x:c r="J172" s="59" t="s">
        <x:v>1400</x:v>
      </x:c>
      <x:c r="K172" s="59" t="s">
        <x:v>1432</x:v>
      </x:c>
      <x:c r="L172" s="59" t="s">
        <x:v>1402</x:v>
      </x:c>
      <x:c r="M172" s="59" t="s">
        <x:v>1403</x:v>
      </x:c>
      <x:c r="N172" s="59" t="s">
        <x:v>1402</x:v>
      </x:c>
      <x:c r="O172" s="59" t="s">
        <x:v>1435</x:v>
      </x:c>
      <x:c r="P172" s="59" t="s">
        <x:v>1402</x:v>
      </x:c>
      <x:c r="Q172" s="75" t="s">
        <x:v>1405</x:v>
      </x:c>
      <x:c r="R172" s="75" t="s">
        <x:v>1422</x:v>
      </x:c>
      <x:c r="S172" s="75" t="s">
        <x:v>1422</x:v>
      </x:c>
      <x:c r="T172" s="75" t="s">
        <x:v>1422</x:v>
      </x:c>
      <x:c r="U172" s="75" t="s">
        <x:v>1422</x:v>
      </x:c>
      <x:c r="V172" s="75" t="s">
        <x:v>1437</x:v>
      </x:c>
      <x:c r="W172" s="60"/>
      <x:c r="X172" s="73" t="str">
        <x:f t="shared" si="22"/>
        <x:v>Belum Dinilai</x:v>
      </x:c>
      <x:c r="Y172" s="73" t="str">
        <x:f t="shared" si="23"/>
        <x:v>Belum Dinilai</x:v>
      </x:c>
      <x:c r="Z172" s="74">
        <x:f t="shared" si="24"/>
        <x:v>10</x:v>
      </x:c>
      <x:c r="AA172" s="74" t="str">
        <x:f t="shared" si="25"/>
      </x:c>
      <x:c r="AB172" s="74" t="str">
        <x:f t="shared" si="26"/>
      </x:c>
      <x:c r="AC172" s="61" t="s">
        <x:v>1422</x:v>
      </x:c>
      <x:c r="AD172" s="61" t="s">
        <x:v>1422</x:v>
      </x:c>
      <x:c r="AE172" s="61" t="s">
        <x:v>1422</x:v>
      </x:c>
      <x:c r="AF172" s="61" t="s">
        <x:v>1422</x:v>
      </x:c>
      <x:c r="AG172" s="61" t="s">
        <x:v>1422</x:v>
      </x:c>
      <x:c r="AH172" s="61" t="s">
        <x:v>1422</x:v>
      </x:c>
      <x:c r="AI172" s="61" t="s">
        <x:v>1422</x:v>
      </x:c>
      <x:c r="AJ172" s="61" t="s">
        <x:v>1422</x:v>
      </x:c>
      <x:c r="AK172" s="61" t="s">
        <x:v>1422</x:v>
      </x:c>
      <x:c r="AL172" s="61"/>
      <x:c r="AM172" s="61" t="s">
        <x:v>1437</x:v>
      </x:c>
      <x:c r="AN172" s="73" t="str">
        <x:f t="shared" si="27"/>
        <x:v>Tidak ada risiko khusus</x:v>
      </x:c>
      <x:c r="AO172" s="73" t="str">
        <x:f t="shared" si="28"/>
        <x:v>Tidak Ada Risiko Khusus</x:v>
      </x:c>
      <x:c r="AP172" s="61"/>
      <x:c r="AQ172" s="64">
        <x:f t="shared" si="29"/>
        <x:v>0</x:v>
      </x:c>
      <x:c r="AR172" s="64">
        <x:f t="shared" si="30"/>
        <x:v>0</x:v>
      </x:c>
      <x:c r="AS172" s="64" t="str">
        <x:f t="shared" si="31"/>
      </x:c>
      <x:c r="AT172" s="62" t="str">
        <x:f t="shared" si="32"/>
        <x:v>Belum Dapat Ditentukan</x:v>
      </x:c>
      <x:c r="AU172" s="59" t="s">
        <x:v>1424</x:v>
      </x:c>
      <x:c r="AV172" s="59" t="s">
        <x:v>1425</x:v>
      </x:c>
      <x:c r="AW172" s="59" t="s">
        <x:v>1410</x:v>
      </x:c>
      <x:c r="AX172" s="59" t="s">
        <x:v>1411</x:v>
      </x:c>
      <x:c r="AY172" s="59"/>
      <x:c r="AZ172" s="59"/>
      <x:c r="BA172" s="59"/>
      <x:c r="BB172" s="167"/>
      <x:c r="BC172" s="65"/>
      <x:c r="BD172" s="59"/>
      <x:c r="BE172" s="167"/>
      <x:c r="BF172" s="59" t="s">
        <x:v>1501</x:v>
      </x:c>
    </x:row>
    <x:row r="173" ht="28">
      <x:c r="A173" s="59" t="s">
        <x:v>2169</x:v>
      </x:c>
      <x:c r="B173" s="59" t="s">
        <x:v>2170</x:v>
      </x:c>
      <x:c r="C173" s="59" t="s">
        <x:v>2171</x:v>
      </x:c>
      <x:c r="D173" s="59" t="s">
        <x:v>2172</x:v>
      </x:c>
      <x:c r="E173" s="59" t="s">
        <x:v>2173</x:v>
      </x:c>
      <x:c r="F173" s="59" t="s">
        <x:v>1755</x:v>
      </x:c>
      <x:c r="G173" s="59" t="s">
        <x:v>1575</x:v>
      </x:c>
      <x:c r="H173" s="59" t="s">
        <x:v>1484</x:v>
      </x:c>
      <x:c r="I173" s="59"/>
      <x:c r="J173" s="59" t="s">
        <x:v>1400</x:v>
      </x:c>
      <x:c r="K173" s="59" t="s">
        <x:v>1432</x:v>
      </x:c>
      <x:c r="L173" s="59" t="s">
        <x:v>1402</x:v>
      </x:c>
      <x:c r="M173" s="59" t="s">
        <x:v>1403</x:v>
      </x:c>
      <x:c r="N173" s="59" t="s">
        <x:v>1402</x:v>
      </x:c>
      <x:c r="O173" s="59" t="s">
        <x:v>1404</x:v>
      </x:c>
      <x:c r="P173" s="59" t="s">
        <x:v>1402</x:v>
      </x:c>
      <x:c r="Q173" s="75" t="s">
        <x:v>1405</x:v>
      </x:c>
      <x:c r="R173" s="75" t="s">
        <x:v>1422</x:v>
      </x:c>
      <x:c r="S173" s="75" t="s">
        <x:v>1422</x:v>
      </x:c>
      <x:c r="T173" s="75" t="s">
        <x:v>1422</x:v>
      </x:c>
      <x:c r="U173" s="75" t="s">
        <x:v>1422</x:v>
      </x:c>
      <x:c r="V173" s="75" t="s">
        <x:v>1437</x:v>
      </x:c>
      <x:c r="W173" s="60"/>
      <x:c r="X173" s="73" t="str">
        <x:f t="shared" si="22"/>
        <x:v>Belum Dinilai</x:v>
      </x:c>
      <x:c r="Y173" s="73" t="str">
        <x:f t="shared" si="23"/>
        <x:v>Belum Dinilai</x:v>
      </x:c>
      <x:c r="Z173" s="74">
        <x:f t="shared" si="24"/>
        <x:v>10</x:v>
      </x:c>
      <x:c r="AA173" s="74" t="str">
        <x:f t="shared" si="25"/>
      </x:c>
      <x:c r="AB173" s="74" t="str">
        <x:f t="shared" si="26"/>
      </x:c>
      <x:c r="AC173" s="61" t="s">
        <x:v>1422</x:v>
      </x:c>
      <x:c r="AD173" s="61" t="s">
        <x:v>1422</x:v>
      </x:c>
      <x:c r="AE173" s="61" t="s">
        <x:v>1422</x:v>
      </x:c>
      <x:c r="AF173" s="61" t="s">
        <x:v>1422</x:v>
      </x:c>
      <x:c r="AG173" s="61" t="s">
        <x:v>1422</x:v>
      </x:c>
      <x:c r="AH173" s="61" t="s">
        <x:v>1422</x:v>
      </x:c>
      <x:c r="AI173" s="61" t="s">
        <x:v>1422</x:v>
      </x:c>
      <x:c r="AJ173" s="61" t="s">
        <x:v>1422</x:v>
      </x:c>
      <x:c r="AK173" s="61" t="s">
        <x:v>1422</x:v>
      </x:c>
      <x:c r="AL173" s="61"/>
      <x:c r="AM173" s="61" t="s">
        <x:v>1437</x:v>
      </x:c>
      <x:c r="AN173" s="73" t="str">
        <x:f t="shared" si="27"/>
        <x:v>Tidak ada risiko khusus</x:v>
      </x:c>
      <x:c r="AO173" s="73" t="str">
        <x:f t="shared" si="28"/>
        <x:v>Tidak Ada Risiko Khusus</x:v>
      </x:c>
      <x:c r="AP173" s="61"/>
      <x:c r="AQ173" s="64">
        <x:f t="shared" si="29"/>
        <x:v>0</x:v>
      </x:c>
      <x:c r="AR173" s="64">
        <x:f t="shared" si="30"/>
        <x:v>0</x:v>
      </x:c>
      <x:c r="AS173" s="64" t="str">
        <x:f t="shared" si="31"/>
      </x:c>
      <x:c r="AT173" s="62" t="str">
        <x:f t="shared" si="32"/>
        <x:v>Belum Dapat Ditentukan</x:v>
      </x:c>
      <x:c r="AU173" s="59"/>
      <x:c r="AV173" s="59" t="s">
        <x:v>1425</x:v>
      </x:c>
      <x:c r="AW173" s="59" t="s">
        <x:v>1410</x:v>
      </x:c>
      <x:c r="AX173" s="59" t="s">
        <x:v>1411</x:v>
      </x:c>
      <x:c r="AY173" s="59"/>
      <x:c r="AZ173" s="59"/>
      <x:c r="BA173" s="59"/>
      <x:c r="BB173" s="167"/>
      <x:c r="BC173" s="65"/>
      <x:c r="BD173" s="59"/>
      <x:c r="BE173" s="167"/>
      <x:c r="BF173" s="59" t="s">
        <x:v>1501</x:v>
      </x:c>
    </x:row>
    <x:row r="174" ht="28">
      <x:c r="A174" s="59" t="s">
        <x:v>2174</x:v>
      </x:c>
      <x:c r="B174" s="59" t="s">
        <x:v>2175</x:v>
      </x:c>
      <x:c r="C174" s="59" t="s">
        <x:v>2176</x:v>
      </x:c>
      <x:c r="D174" s="59" t="s">
        <x:v>2177</x:v>
      </x:c>
      <x:c r="E174" s="59" t="s">
        <x:v>2178</x:v>
      </x:c>
      <x:c r="F174" s="59" t="s">
        <x:v>1755</x:v>
      </x:c>
      <x:c r="G174" s="59" t="s">
        <x:v>1575</x:v>
      </x:c>
      <x:c r="H174" s="59" t="s">
        <x:v>1484</x:v>
      </x:c>
      <x:c r="I174" s="59"/>
      <x:c r="J174" s="59" t="s">
        <x:v>1400</x:v>
      </x:c>
      <x:c r="K174" s="59" t="s">
        <x:v>1432</x:v>
      </x:c>
      <x:c r="L174" s="59" t="s">
        <x:v>1402</x:v>
      </x:c>
      <x:c r="M174" s="59" t="s">
        <x:v>1403</x:v>
      </x:c>
      <x:c r="N174" s="59" t="s">
        <x:v>1402</x:v>
      </x:c>
      <x:c r="O174" s="59" t="s">
        <x:v>1404</x:v>
      </x:c>
      <x:c r="P174" s="59" t="s">
        <x:v>1402</x:v>
      </x:c>
      <x:c r="Q174" s="75" t="s">
        <x:v>1405</x:v>
      </x:c>
      <x:c r="R174" s="75" t="s">
        <x:v>1422</x:v>
      </x:c>
      <x:c r="S174" s="75" t="s">
        <x:v>1422</x:v>
      </x:c>
      <x:c r="T174" s="75" t="s">
        <x:v>1422</x:v>
      </x:c>
      <x:c r="U174" s="75" t="s">
        <x:v>1422</x:v>
      </x:c>
      <x:c r="V174" s="75" t="s">
        <x:v>1437</x:v>
      </x:c>
      <x:c r="W174" s="60"/>
      <x:c r="X174" s="73" t="str">
        <x:f t="shared" si="22"/>
        <x:v>Belum Dinilai</x:v>
      </x:c>
      <x:c r="Y174" s="73" t="str">
        <x:f t="shared" si="23"/>
        <x:v>Belum Dinilai</x:v>
      </x:c>
      <x:c r="Z174" s="74">
        <x:f t="shared" si="24"/>
        <x:v>10</x:v>
      </x:c>
      <x:c r="AA174" s="74" t="str">
        <x:f t="shared" si="25"/>
      </x:c>
      <x:c r="AB174" s="74" t="str">
        <x:f t="shared" si="26"/>
      </x:c>
      <x:c r="AC174" s="61" t="s">
        <x:v>1422</x:v>
      </x:c>
      <x:c r="AD174" s="61" t="s">
        <x:v>1422</x:v>
      </x:c>
      <x:c r="AE174" s="61" t="s">
        <x:v>1422</x:v>
      </x:c>
      <x:c r="AF174" s="61" t="s">
        <x:v>1422</x:v>
      </x:c>
      <x:c r="AG174" s="61" t="s">
        <x:v>1422</x:v>
      </x:c>
      <x:c r="AH174" s="61" t="s">
        <x:v>1422</x:v>
      </x:c>
      <x:c r="AI174" s="61" t="s">
        <x:v>1422</x:v>
      </x:c>
      <x:c r="AJ174" s="61" t="s">
        <x:v>1422</x:v>
      </x:c>
      <x:c r="AK174" s="61" t="s">
        <x:v>1422</x:v>
      </x:c>
      <x:c r="AL174" s="61"/>
      <x:c r="AM174" s="61" t="s">
        <x:v>1437</x:v>
      </x:c>
      <x:c r="AN174" s="73" t="str">
        <x:f t="shared" si="27"/>
        <x:v>Tidak ada risiko khusus</x:v>
      </x:c>
      <x:c r="AO174" s="73" t="str">
        <x:f t="shared" si="28"/>
        <x:v>Tidak Ada Risiko Khusus</x:v>
      </x:c>
      <x:c r="AP174" s="61"/>
      <x:c r="AQ174" s="64">
        <x:f t="shared" si="29"/>
        <x:v>0</x:v>
      </x:c>
      <x:c r="AR174" s="64">
        <x:f t="shared" si="30"/>
        <x:v>0</x:v>
      </x:c>
      <x:c r="AS174" s="64" t="str">
        <x:f t="shared" si="31"/>
      </x:c>
      <x:c r="AT174" s="62" t="str">
        <x:f t="shared" si="32"/>
        <x:v>Belum Dapat Ditentukan</x:v>
      </x:c>
      <x:c r="AU174" s="59"/>
      <x:c r="AV174" s="59" t="s">
        <x:v>1425</x:v>
      </x:c>
      <x:c r="AW174" s="59" t="s">
        <x:v>1410</x:v>
      </x:c>
      <x:c r="AX174" s="59" t="s">
        <x:v>1411</x:v>
      </x:c>
      <x:c r="AY174" s="59"/>
      <x:c r="AZ174" s="59"/>
      <x:c r="BA174" s="59"/>
      <x:c r="BB174" s="167"/>
      <x:c r="BC174" s="65"/>
      <x:c r="BD174" s="59"/>
      <x:c r="BE174" s="167"/>
      <x:c r="BF174" s="59" t="s">
        <x:v>1501</x:v>
      </x:c>
    </x:row>
    <x:row r="175" ht="28">
      <x:c r="A175" s="59" t="s">
        <x:v>2179</x:v>
      </x:c>
      <x:c r="B175" s="59" t="s">
        <x:v>2180</x:v>
      </x:c>
      <x:c r="C175" s="59"/>
      <x:c r="D175" s="59" t="s">
        <x:v>2181</x:v>
      </x:c>
      <x:c r="E175" s="59" t="s">
        <x:v>2182</x:v>
      </x:c>
      <x:c r="F175" s="59" t="s">
        <x:v>1755</x:v>
      </x:c>
      <x:c r="G175" s="59" t="s">
        <x:v>1575</x:v>
      </x:c>
      <x:c r="H175" s="59" t="s">
        <x:v>1484</x:v>
      </x:c>
      <x:c r="I175" s="59"/>
      <x:c r="J175" s="59" t="s">
        <x:v>1400</x:v>
      </x:c>
      <x:c r="K175" s="59" t="s">
        <x:v>1432</x:v>
      </x:c>
      <x:c r="L175" s="59" t="s">
        <x:v>1402</x:v>
      </x:c>
      <x:c r="M175" s="59" t="s">
        <x:v>1403</x:v>
      </x:c>
      <x:c r="N175" s="59" t="s">
        <x:v>1402</x:v>
      </x:c>
      <x:c r="O175" s="59" t="s">
        <x:v>1404</x:v>
      </x:c>
      <x:c r="P175" s="59" t="s">
        <x:v>1402</x:v>
      </x:c>
      <x:c r="Q175" s="75" t="s">
        <x:v>1405</x:v>
      </x:c>
      <x:c r="R175" s="75" t="s">
        <x:v>1422</x:v>
      </x:c>
      <x:c r="S175" s="75" t="s">
        <x:v>1422</x:v>
      </x:c>
      <x:c r="T175" s="75" t="s">
        <x:v>1422</x:v>
      </x:c>
      <x:c r="U175" s="75" t="s">
        <x:v>1422</x:v>
      </x:c>
      <x:c r="V175" s="75" t="s">
        <x:v>1437</x:v>
      </x:c>
      <x:c r="W175" s="60"/>
      <x:c r="X175" s="73" t="str">
        <x:f t="shared" si="22"/>
        <x:v>Belum Dinilai</x:v>
      </x:c>
      <x:c r="Y175" s="73" t="str">
        <x:f t="shared" si="23"/>
        <x:v>Belum Dinilai</x:v>
      </x:c>
      <x:c r="Z175" s="74">
        <x:f t="shared" si="24"/>
        <x:v>10</x:v>
      </x:c>
      <x:c r="AA175" s="74" t="str">
        <x:f t="shared" si="25"/>
      </x:c>
      <x:c r="AB175" s="74" t="str">
        <x:f t="shared" si="26"/>
      </x:c>
      <x:c r="AC175" s="61" t="s">
        <x:v>1422</x:v>
      </x:c>
      <x:c r="AD175" s="61" t="s">
        <x:v>1422</x:v>
      </x:c>
      <x:c r="AE175" s="61" t="s">
        <x:v>1422</x:v>
      </x:c>
      <x:c r="AF175" s="61" t="s">
        <x:v>1422</x:v>
      </x:c>
      <x:c r="AG175" s="61" t="s">
        <x:v>1422</x:v>
      </x:c>
      <x:c r="AH175" s="61" t="s">
        <x:v>1422</x:v>
      </x:c>
      <x:c r="AI175" s="61" t="s">
        <x:v>1422</x:v>
      </x:c>
      <x:c r="AJ175" s="61" t="s">
        <x:v>1422</x:v>
      </x:c>
      <x:c r="AK175" s="61" t="s">
        <x:v>1422</x:v>
      </x:c>
      <x:c r="AL175" s="61"/>
      <x:c r="AM175" s="61" t="s">
        <x:v>1437</x:v>
      </x:c>
      <x:c r="AN175" s="73" t="str">
        <x:f t="shared" si="27"/>
        <x:v>Tidak ada risiko khusus</x:v>
      </x:c>
      <x:c r="AO175" s="73" t="str">
        <x:f t="shared" si="28"/>
        <x:v>Tidak Ada Risiko Khusus</x:v>
      </x:c>
      <x:c r="AP175" s="61"/>
      <x:c r="AQ175" s="64">
        <x:f t="shared" si="29"/>
        <x:v>0</x:v>
      </x:c>
      <x:c r="AR175" s="64">
        <x:f t="shared" si="30"/>
        <x:v>0</x:v>
      </x:c>
      <x:c r="AS175" s="64" t="str">
        <x:f t="shared" si="31"/>
      </x:c>
      <x:c r="AT175" s="62" t="str">
        <x:f t="shared" si="32"/>
        <x:v>Belum Dapat Ditentukan</x:v>
      </x:c>
      <x:c r="AU175" s="59"/>
      <x:c r="AV175" s="59" t="s">
        <x:v>1425</x:v>
      </x:c>
      <x:c r="AW175" s="59" t="s">
        <x:v>1410</x:v>
      </x:c>
      <x:c r="AX175" s="59" t="s">
        <x:v>1411</x:v>
      </x:c>
      <x:c r="AY175" s="59"/>
      <x:c r="AZ175" s="59" t="s">
        <x:v>1409</x:v>
      </x:c>
      <x:c r="BA175" s="59"/>
      <x:c r="BB175" s="167"/>
      <x:c r="BC175" s="65"/>
      <x:c r="BD175" s="59"/>
      <x:c r="BE175" s="167"/>
      <x:c r="BF175" s="59" t="s">
        <x:v>1501</x:v>
      </x:c>
    </x:row>
    <x:row r="176" ht="28">
      <x:c r="A176" s="59" t="s">
        <x:v>2183</x:v>
      </x:c>
      <x:c r="B176" s="59" t="s">
        <x:v>2184</x:v>
      </x:c>
      <x:c r="C176" s="59" t="s">
        <x:v>2185</x:v>
      </x:c>
      <x:c r="D176" s="59" t="s">
        <x:v>2186</x:v>
      </x:c>
      <x:c r="E176" s="59" t="s">
        <x:v>2187</x:v>
      </x:c>
      <x:c r="F176" s="59" t="s">
        <x:v>1755</x:v>
      </x:c>
      <x:c r="G176" s="59" t="s">
        <x:v>1575</x:v>
      </x:c>
      <x:c r="H176" s="59" t="s">
        <x:v>1484</x:v>
      </x:c>
      <x:c r="I176" s="59"/>
      <x:c r="J176" s="59" t="s">
        <x:v>1400</x:v>
      </x:c>
      <x:c r="K176" s="59" t="s">
        <x:v>1432</x:v>
      </x:c>
      <x:c r="L176" s="59" t="s">
        <x:v>1433</x:v>
      </x:c>
      <x:c r="M176" s="59" t="s">
        <x:v>1403</x:v>
      </x:c>
      <x:c r="N176" s="59" t="s">
        <x:v>1433</x:v>
      </x:c>
      <x:c r="O176" s="59" t="s">
        <x:v>1404</x:v>
      </x:c>
      <x:c r="P176" s="59" t="s">
        <x:v>1418</x:v>
      </x:c>
      <x:c r="Q176" s="75" t="s">
        <x:v>1405</x:v>
      </x:c>
      <x:c r="R176" s="75" t="s">
        <x:v>1422</x:v>
      </x:c>
      <x:c r="S176" s="75" t="s">
        <x:v>1422</x:v>
      </x:c>
      <x:c r="T176" s="75" t="s">
        <x:v>1422</x:v>
      </x:c>
      <x:c r="U176" s="75" t="s">
        <x:v>1422</x:v>
      </x:c>
      <x:c r="V176" s="75" t="s">
        <x:v>1437</x:v>
      </x:c>
      <x:c r="W176" s="60"/>
      <x:c r="X176" s="73" t="str">
        <x:f t="shared" si="22"/>
        <x:v>Belum Dinilai</x:v>
      </x:c>
      <x:c r="Y176" s="73" t="str">
        <x:f t="shared" si="23"/>
        <x:v>Belum Dinilai</x:v>
      </x:c>
      <x:c r="Z176" s="74">
        <x:f t="shared" si="24"/>
        <x:v>10</x:v>
      </x:c>
      <x:c r="AA176" s="74" t="str">
        <x:f t="shared" si="25"/>
      </x:c>
      <x:c r="AB176" s="74" t="str">
        <x:f t="shared" si="26"/>
      </x:c>
      <x:c r="AC176" s="61" t="s">
        <x:v>1422</x:v>
      </x:c>
      <x:c r="AD176" s="61" t="s">
        <x:v>1422</x:v>
      </x:c>
      <x:c r="AE176" s="61" t="s">
        <x:v>1422</x:v>
      </x:c>
      <x:c r="AF176" s="61" t="s">
        <x:v>1422</x:v>
      </x:c>
      <x:c r="AG176" s="61" t="s">
        <x:v>1422</x:v>
      </x:c>
      <x:c r="AH176" s="61" t="s">
        <x:v>1422</x:v>
      </x:c>
      <x:c r="AI176" s="61" t="s">
        <x:v>1422</x:v>
      </x:c>
      <x:c r="AJ176" s="61" t="s">
        <x:v>1422</x:v>
      </x:c>
      <x:c r="AK176" s="61" t="s">
        <x:v>1422</x:v>
      </x:c>
      <x:c r="AL176" s="61"/>
      <x:c r="AM176" s="61" t="s">
        <x:v>1437</x:v>
      </x:c>
      <x:c r="AN176" s="73" t="str">
        <x:f t="shared" si="27"/>
        <x:v>Tidak ada risiko khusus</x:v>
      </x:c>
      <x:c r="AO176" s="73" t="str">
        <x:f t="shared" si="28"/>
        <x:v>Tidak Ada Risiko Khusus</x:v>
      </x:c>
      <x:c r="AP176" s="61"/>
      <x:c r="AQ176" s="64">
        <x:f t="shared" si="29"/>
        <x:v>24</x:v>
      </x:c>
      <x:c r="AR176" s="64">
        <x:f t="shared" si="30"/>
        <x:v>0</x:v>
      </x:c>
      <x:c r="AS176" s="64" t="str">
        <x:f t="shared" si="31"/>
      </x:c>
      <x:c r="AT176" s="62" t="str">
        <x:f t="shared" si="32"/>
        <x:v>Belum Dapat Ditentukan</x:v>
      </x:c>
      <x:c r="AU176" s="59"/>
      <x:c r="AV176" s="59" t="s">
        <x:v>1425</x:v>
      </x:c>
      <x:c r="AW176" s="59" t="s">
        <x:v>1410</x:v>
      </x:c>
      <x:c r="AX176" s="59" t="s">
        <x:v>1411</x:v>
      </x:c>
      <x:c r="AY176" s="59"/>
      <x:c r="AZ176" s="59"/>
      <x:c r="BA176" s="59"/>
      <x:c r="BB176" s="167"/>
      <x:c r="BC176" s="65"/>
      <x:c r="BD176" s="59"/>
      <x:c r="BE176" s="167"/>
      <x:c r="BF176" s="59" t="s">
        <x:v>1501</x:v>
      </x:c>
    </x:row>
    <x:row r="177" ht="28">
      <x:c r="A177" s="59" t="s">
        <x:v>2188</x:v>
      </x:c>
      <x:c r="B177" s="59" t="s">
        <x:v>2189</x:v>
      </x:c>
      <x:c r="C177" s="59" t="s">
        <x:v>2190</x:v>
      </x:c>
      <x:c r="D177" s="59" t="s">
        <x:v>2191</x:v>
      </x:c>
      <x:c r="E177" s="59" t="s">
        <x:v>2192</x:v>
      </x:c>
      <x:c r="F177" s="59" t="s">
        <x:v>1681</x:v>
      </x:c>
      <x:c r="G177" s="59" t="s">
        <x:v>1534</x:v>
      </x:c>
      <x:c r="H177" s="59" t="s">
        <x:v>1399</x:v>
      </x:c>
      <x:c r="I177" s="59"/>
      <x:c r="J177" s="59" t="s">
        <x:v>1416</x:v>
      </x:c>
      <x:c r="K177" s="59" t="s">
        <x:v>1401</x:v>
      </x:c>
      <x:c r="L177" s="59" t="s">
        <x:v>1433</x:v>
      </x:c>
      <x:c r="M177" s="59" t="s">
        <x:v>1500</x:v>
      </x:c>
      <x:c r="N177" s="59" t="s">
        <x:v>1418</x:v>
      </x:c>
      <x:c r="O177" s="59" t="s">
        <x:v>1435</x:v>
      </x:c>
      <x:c r="P177" s="59" t="s">
        <x:v>1418</x:v>
      </x:c>
      <x:c r="Q177" s="75" t="s">
        <x:v>1405</x:v>
      </x:c>
      <x:c r="R177" s="75" t="s">
        <x:v>1422</x:v>
      </x:c>
      <x:c r="S177" s="75" t="s">
        <x:v>1422</x:v>
      </x:c>
      <x:c r="T177" s="75" t="s">
        <x:v>1422</x:v>
      </x:c>
      <x:c r="U177" s="75" t="s">
        <x:v>1422</x:v>
      </x:c>
      <x:c r="V177" s="75" t="s">
        <x:v>1422</x:v>
      </x:c>
      <x:c r="W177" s="60"/>
      <x:c r="X177" s="73" t="str">
        <x:f t="shared" si="22"/>
        <x:v>Tidak ada faktor rentan</x:v>
      </x:c>
      <x:c r="Y177" s="73" t="str">
        <x:f t="shared" si="23"/>
        <x:v>Tidak Ada Faktor Rentan</x:v>
      </x:c>
      <x:c r="Z177" s="74">
        <x:f t="shared" si="24"/>
        <x:v>10</x:v>
      </x:c>
      <x:c r="AA177" s="74">
        <x:f t="shared" si="25"/>
        <x:v>0</x:v>
      </x:c>
      <x:c r="AB177" s="74">
        <x:f t="shared" si="26"/>
        <x:v>10</x:v>
      </x:c>
      <x:c r="AC177" s="61" t="s">
        <x:v>1422</x:v>
      </x:c>
      <x:c r="AD177" s="61" t="s">
        <x:v>1422</x:v>
      </x:c>
      <x:c r="AE177" s="61" t="s">
        <x:v>1406</x:v>
      </x:c>
      <x:c r="AF177" s="61" t="s">
        <x:v>1422</x:v>
      </x:c>
      <x:c r="AG177" s="61" t="s">
        <x:v>1406</x:v>
      </x:c>
      <x:c r="AH177" s="61" t="s">
        <x:v>1406</x:v>
      </x:c>
      <x:c r="AI177" s="61" t="s">
        <x:v>1406</x:v>
      </x:c>
      <x:c r="AJ177" s="61" t="s">
        <x:v>1422</x:v>
      </x:c>
      <x:c r="AK177" s="61" t="s">
        <x:v>1422</x:v>
      </x:c>
      <x:c r="AL177" s="61"/>
      <x:c r="AM177" s="61" t="s">
        <x:v>1437</x:v>
      </x:c>
      <x:c r="AN177" s="73" t="str">
        <x:f t="shared" si="27"/>
        <x:v>Atap atau dinding utama hampir runtuh; Struktur rumah tidak stabil; Instalasi listrik berbahaya; Komponen bangunan lepas atau lapuk; </x:v>
      </x:c>
      <x:c r="AO177" s="73" t="str">
        <x:f t="shared" si="28"/>
        <x:v>Risiko Tinggi/Darurat</x:v>
      </x:c>
      <x:c r="AP177" s="61"/>
      <x:c r="AQ177" s="64">
        <x:f t="shared" si="29"/>
        <x:v>27</x:v>
      </x:c>
      <x:c r="AR177" s="64">
        <x:f t="shared" si="30"/>
        <x:v>10</x:v>
      </x:c>
      <x:c r="AS177" s="64">
        <x:f t="shared" si="31"/>
        <x:v>47</x:v>
      </x:c>
      <x:c r="AT177" s="62" t="str">
        <x:f t="shared" si="32"/>
        <x:v>Tinggi</x:v>
      </x:c>
      <x:c r="AU177" s="59" t="s">
        <x:v>1408</x:v>
      </x:c>
      <x:c r="AV177" s="59" t="s">
        <x:v>1425</x:v>
      </x:c>
      <x:c r="AW177" s="59" t="s">
        <x:v>1426</x:v>
      </x:c>
      <x:c r="AX177" s="59" t="s">
        <x:v>1506</x:v>
      </x:c>
      <x:c r="AY177" s="59">
        <x:v>2026</x:v>
      </x:c>
      <x:c r="AZ177" s="59" t="s">
        <x:v>1428</x:v>
      </x:c>
      <x:c r="BA177" s="59"/>
      <x:c r="BB177" s="167"/>
      <x:c r="BC177" s="65">
        <x:v>2026</x:v>
      </x:c>
      <x:c r="BD177" s="59" t="s">
        <x:v>1441</x:v>
      </x:c>
      <x:c r="BE177" s="167"/>
      <x:c r="BF177" s="59" t="s">
        <x:v>1501</x:v>
      </x:c>
    </x:row>
    <x:row r="178" ht="28">
      <x:c r="A178" s="59" t="s">
        <x:v>2193</x:v>
      </x:c>
      <x:c r="B178" s="59" t="s">
        <x:v>2194</x:v>
      </x:c>
      <x:c r="C178" s="59" t="s">
        <x:v>2195</x:v>
      </x:c>
      <x:c r="D178" s="59" t="s">
        <x:v>2196</x:v>
      </x:c>
      <x:c r="E178" s="59" t="s">
        <x:v>2197</x:v>
      </x:c>
      <x:c r="F178" s="59" t="s">
        <x:v>1574</x:v>
      </x:c>
      <x:c r="G178" s="59" t="s">
        <x:v>1575</x:v>
      </x:c>
      <x:c r="H178" s="59" t="s">
        <x:v>1484</x:v>
      </x:c>
      <x:c r="I178" s="59"/>
      <x:c r="J178" s="59" t="s">
        <x:v>1431</x:v>
      </x:c>
      <x:c r="K178" s="59" t="s">
        <x:v>1432</x:v>
      </x:c>
      <x:c r="L178" s="59" t="s">
        <x:v>1418</x:v>
      </x:c>
      <x:c r="M178" s="59" t="s">
        <x:v>1489</x:v>
      </x:c>
      <x:c r="N178" s="59" t="s">
        <x:v>1433</x:v>
      </x:c>
      <x:c r="O178" s="59" t="s">
        <x:v>1435</x:v>
      </x:c>
      <x:c r="P178" s="59" t="s">
        <x:v>1418</x:v>
      </x:c>
      <x:c r="Q178" s="75" t="s">
        <x:v>1405</x:v>
      </x:c>
      <x:c r="R178" s="75" t="s">
        <x:v>1422</x:v>
      </x:c>
      <x:c r="S178" s="75" t="s">
        <x:v>1422</x:v>
      </x:c>
      <x:c r="T178" s="75" t="s">
        <x:v>1406</x:v>
      </x:c>
      <x:c r="U178" s="75" t="s">
        <x:v>1422</x:v>
      </x:c>
      <x:c r="V178" s="75" t="s">
        <x:v>1437</x:v>
      </x:c>
      <x:c r="W178" s="60"/>
      <x:c r="X178" s="73" t="str">
        <x:f t="shared" si="22"/>
        <x:v>Belum Dinilai</x:v>
      </x:c>
      <x:c r="Y178" s="73" t="str">
        <x:f t="shared" si="23"/>
        <x:v>Belum Dinilai</x:v>
      </x:c>
      <x:c r="Z178" s="74">
        <x:f t="shared" si="24"/>
        <x:v>10</x:v>
      </x:c>
      <x:c r="AA178" s="74" t="str">
        <x:f t="shared" si="25"/>
      </x:c>
      <x:c r="AB178" s="74" t="str">
        <x:f t="shared" si="26"/>
      </x:c>
      <x:c r="AC178" s="61" t="s">
        <x:v>1422</x:v>
      </x:c>
      <x:c r="AD178" s="61" t="s">
        <x:v>1422</x:v>
      </x:c>
      <x:c r="AE178" s="61" t="s">
        <x:v>1422</x:v>
      </x:c>
      <x:c r="AF178" s="61" t="s">
        <x:v>1422</x:v>
      </x:c>
      <x:c r="AG178" s="61" t="s">
        <x:v>1422</x:v>
      </x:c>
      <x:c r="AH178" s="61" t="s">
        <x:v>1422</x:v>
      </x:c>
      <x:c r="AI178" s="61" t="s">
        <x:v>1422</x:v>
      </x:c>
      <x:c r="AJ178" s="61" t="s">
        <x:v>1422</x:v>
      </x:c>
      <x:c r="AK178" s="61" t="s">
        <x:v>1422</x:v>
      </x:c>
      <x:c r="AL178" s="61"/>
      <x:c r="AM178" s="61" t="s">
        <x:v>1437</x:v>
      </x:c>
      <x:c r="AN178" s="73" t="str">
        <x:f t="shared" si="27"/>
        <x:v>Tidak ada risiko khusus</x:v>
      </x:c>
      <x:c r="AO178" s="73" t="str">
        <x:f t="shared" si="28"/>
        <x:v>Tidak Ada Risiko Khusus</x:v>
      </x:c>
      <x:c r="AP178" s="61"/>
      <x:c r="AQ178" s="64">
        <x:f t="shared" si="29"/>
        <x:v>34</x:v>
      </x:c>
      <x:c r="AR178" s="64">
        <x:f t="shared" si="30"/>
        <x:v>0</x:v>
      </x:c>
      <x:c r="AS178" s="64" t="str">
        <x:f t="shared" si="31"/>
      </x:c>
      <x:c r="AT178" s="62" t="str">
        <x:f t="shared" si="32"/>
        <x:v>Belum Dapat Ditentukan</x:v>
      </x:c>
      <x:c r="AU178" s="59" t="s">
        <x:v>1408</x:v>
      </x:c>
      <x:c r="AV178" s="59" t="s">
        <x:v>1425</x:v>
      </x:c>
      <x:c r="AW178" s="59" t="s">
        <x:v>1438</x:v>
      </x:c>
      <x:c r="AX178" s="59" t="s">
        <x:v>1491</x:v>
      </x:c>
      <x:c r="AY178" s="59">
        <x:v>2026</x:v>
      </x:c>
      <x:c r="AZ178" s="59" t="s">
        <x:v>1412</x:v>
      </x:c>
      <x:c r="BA178" s="59"/>
      <x:c r="BB178" s="167"/>
      <x:c r="BC178" s="65">
        <x:v>2025</x:v>
      </x:c>
      <x:c r="BD178" s="59" t="s">
        <x:v>1429</x:v>
      </x:c>
      <x:c r="BE178" s="167"/>
      <x:c r="BF178" s="59" t="s">
        <x:v>1501</x:v>
      </x:c>
    </x:row>
    <x:row r="179" ht="28">
      <x:c r="A179" s="59" t="s">
        <x:v>2198</x:v>
      </x:c>
      <x:c r="B179" s="59" t="s">
        <x:v>2199</x:v>
      </x:c>
      <x:c r="C179" s="59" t="s">
        <x:v>2200</x:v>
      </x:c>
      <x:c r="D179" s="59" t="s">
        <x:v>2201</x:v>
      </x:c>
      <x:c r="E179" s="59" t="s">
        <x:v>2202</x:v>
      </x:c>
      <x:c r="F179" s="59" t="s">
        <x:v>1565</x:v>
      </x:c>
      <x:c r="G179" s="59" t="s">
        <x:v>1555</x:v>
      </x:c>
      <x:c r="H179" s="59" t="s">
        <x:v>1484</x:v>
      </x:c>
      <x:c r="I179" s="59"/>
      <x:c r="J179" s="59"/>
      <x:c r="K179" s="59"/>
      <x:c r="L179" s="59" t="s">
        <x:v>1437</x:v>
      </x:c>
      <x:c r="M179" s="59"/>
      <x:c r="N179" s="59" t="s">
        <x:v>1437</x:v>
      </x:c>
      <x:c r="O179" s="59"/>
      <x:c r="P179" s="59" t="s">
        <x:v>1437</x:v>
      </x:c>
      <x:c r="Q179" s="75"/>
      <x:c r="R179" s="75"/>
      <x:c r="S179" s="75"/>
      <x:c r="T179" s="75"/>
      <x:c r="U179" s="75"/>
      <x:c r="V179" s="75"/>
      <x:c r="W179" s="60"/>
      <x:c r="X179" s="73" t="str">
        <x:f t="shared" si="22"/>
        <x:v>Tidak ada faktor rentan</x:v>
      </x:c>
      <x:c r="Y179" s="73" t="str">
        <x:f t="shared" si="23"/>
        <x:v>Tidak Ada Faktor Rentan</x:v>
      </x:c>
      <x:c r="Z179" s="74" t="str">
        <x:f t="shared" si="24"/>
      </x:c>
      <x:c r="AA179" s="74">
        <x:f t="shared" si="25"/>
        <x:v>0</x:v>
      </x:c>
      <x:c r="AB179" s="74" t="str">
        <x:f t="shared" si="26"/>
      </x:c>
      <x:c r="AC179" s="61" t="s">
        <x:v>1422</x:v>
      </x:c>
      <x:c r="AD179" s="61" t="s">
        <x:v>1422</x:v>
      </x:c>
      <x:c r="AE179" s="61" t="s">
        <x:v>1422</x:v>
      </x:c>
      <x:c r="AF179" s="61" t="s">
        <x:v>1422</x:v>
      </x:c>
      <x:c r="AG179" s="61" t="s">
        <x:v>1422</x:v>
      </x:c>
      <x:c r="AH179" s="61" t="s">
        <x:v>1422</x:v>
      </x:c>
      <x:c r="AI179" s="61" t="s">
        <x:v>1422</x:v>
      </x:c>
      <x:c r="AJ179" s="61" t="s">
        <x:v>1422</x:v>
      </x:c>
      <x:c r="AK179" s="61" t="s">
        <x:v>1422</x:v>
      </x:c>
      <x:c r="AL179" s="61"/>
      <x:c r="AM179" s="61" t="s">
        <x:v>1437</x:v>
      </x:c>
      <x:c r="AN179" s="73" t="str">
        <x:f t="shared" si="27"/>
        <x:v>Tidak ada risiko khusus</x:v>
      </x:c>
      <x:c r="AO179" s="73" t="str">
        <x:f t="shared" si="28"/>
        <x:v>Tidak Ada Risiko Khusus</x:v>
      </x:c>
      <x:c r="AP179" s="61"/>
      <x:c r="AQ179" s="64" t="str">
        <x:f t="shared" si="29"/>
      </x:c>
      <x:c r="AR179" s="64">
        <x:f t="shared" si="30"/>
        <x:v>0</x:v>
      </x:c>
      <x:c r="AS179" s="64" t="str">
        <x:f t="shared" si="31"/>
      </x:c>
      <x:c r="AT179" s="62" t="str">
        <x:f t="shared" si="32"/>
        <x:v>Belum Dapat Ditentukan</x:v>
      </x:c>
      <x:c r="AU179" s="59"/>
      <x:c r="AV179" s="59" t="s">
        <x:v>1425</x:v>
      </x:c>
      <x:c r="AW179" s="59" t="s">
        <x:v>1410</x:v>
      </x:c>
      <x:c r="AX179" s="59" t="s">
        <x:v>1411</x:v>
      </x:c>
      <x:c r="AY179" s="59"/>
      <x:c r="AZ179" s="59"/>
      <x:c r="BA179" s="59"/>
      <x:c r="BB179" s="167"/>
      <x:c r="BC179" s="65"/>
      <x:c r="BD179" s="59"/>
      <x:c r="BE179" s="167"/>
      <x:c r="BF179" s="59" t="s">
        <x:v>1501</x:v>
      </x:c>
    </x:row>
    <x:row r="180" ht="28">
      <x:c r="A180" s="59" t="s">
        <x:v>2203</x:v>
      </x:c>
      <x:c r="B180" s="59" t="s">
        <x:v>2204</x:v>
      </x:c>
      <x:c r="C180" s="59" t="s">
        <x:v>2205</x:v>
      </x:c>
      <x:c r="D180" s="59" t="s">
        <x:v>2206</x:v>
      </x:c>
      <x:c r="E180" s="59" t="s">
        <x:v>2207</x:v>
      </x:c>
      <x:c r="F180" s="59" t="s">
        <x:v>1565</x:v>
      </x:c>
      <x:c r="G180" s="59" t="s">
        <x:v>1555</x:v>
      </x:c>
      <x:c r="H180" s="59" t="s">
        <x:v>1484</x:v>
      </x:c>
      <x:c r="I180" s="59"/>
      <x:c r="J180" s="59" t="s">
        <x:v>1416</x:v>
      </x:c>
      <x:c r="K180" s="59" t="s">
        <x:v>1432</x:v>
      </x:c>
      <x:c r="L180" s="59" t="s">
        <x:v>1418</x:v>
      </x:c>
      <x:c r="M180" s="59" t="s">
        <x:v>1500</x:v>
      </x:c>
      <x:c r="N180" s="59" t="s">
        <x:v>1418</x:v>
      </x:c>
      <x:c r="O180" s="59" t="s">
        <x:v>1435</x:v>
      </x:c>
      <x:c r="P180" s="59" t="s">
        <x:v>1418</x:v>
      </x:c>
      <x:c r="Q180" s="75" t="s">
        <x:v>1405</x:v>
      </x:c>
      <x:c r="R180" s="75" t="s">
        <x:v>1422</x:v>
      </x:c>
      <x:c r="S180" s="75" t="s">
        <x:v>1422</x:v>
      </x:c>
      <x:c r="T180" s="75" t="s">
        <x:v>1406</x:v>
      </x:c>
      <x:c r="U180" s="75" t="s">
        <x:v>1422</x:v>
      </x:c>
      <x:c r="V180" s="75" t="s">
        <x:v>1422</x:v>
      </x:c>
      <x:c r="W180" s="60"/>
      <x:c r="X180" s="73" t="str">
        <x:f t="shared" si="22"/>
        <x:v>Kepala keluarga perempuan; </x:v>
      </x:c>
      <x:c r="Y180" s="73" t="str">
        <x:f t="shared" si="23"/>
        <x:v>1 Faktor Rentan</x:v>
      </x:c>
      <x:c r="Z180" s="74">
        <x:f t="shared" si="24"/>
        <x:v>10</x:v>
      </x:c>
      <x:c r="AA180" s="74">
        <x:f t="shared" si="25"/>
        <x:v>5</x:v>
      </x:c>
      <x:c r="AB180" s="74">
        <x:f t="shared" si="26"/>
        <x:v>15</x:v>
      </x:c>
      <x:c r="AC180" s="61" t="s">
        <x:v>1422</x:v>
      </x:c>
      <x:c r="AD180" s="61" t="s">
        <x:v>1422</x:v>
      </x:c>
      <x:c r="AE180" s="61" t="s">
        <x:v>1422</x:v>
      </x:c>
      <x:c r="AF180" s="61" t="s">
        <x:v>1422</x:v>
      </x:c>
      <x:c r="AG180" s="61" t="s">
        <x:v>1422</x:v>
      </x:c>
      <x:c r="AH180" s="61" t="s">
        <x:v>1422</x:v>
      </x:c>
      <x:c r="AI180" s="61" t="s">
        <x:v>1406</x:v>
      </x:c>
      <x:c r="AJ180" s="61" t="s">
        <x:v>1422</x:v>
      </x:c>
      <x:c r="AK180" s="61" t="s">
        <x:v>1422</x:v>
      </x:c>
      <x:c r="AL180" s="61"/>
      <x:c r="AM180" s="61" t="s">
        <x:v>1437</x:v>
      </x:c>
      <x:c r="AN180" s="73" t="str">
        <x:f t="shared" si="27"/>
        <x:v>Komponen bangunan lepas atau lapuk; </x:v>
      </x:c>
      <x:c r="AO180" s="73" t="str">
        <x:f t="shared" si="28"/>
        <x:v>Risiko Sedang</x:v>
      </x:c>
      <x:c r="AP180" s="61"/>
      <x:c r="AQ180" s="64">
        <x:f t="shared" si="29"/>
        <x:v>22</x:v>
      </x:c>
      <x:c r="AR180" s="64">
        <x:f t="shared" si="30"/>
        <x:v>5</x:v>
      </x:c>
      <x:c r="AS180" s="64">
        <x:f t="shared" si="31"/>
        <x:v>42</x:v>
      </x:c>
      <x:c r="AT180" s="62" t="str">
        <x:f t="shared" si="32"/>
        <x:v>Rendah</x:v>
      </x:c>
      <x:c r="AU180" s="59" t="s">
        <x:v>1408</x:v>
      </x:c>
      <x:c r="AV180" s="59" t="s">
        <x:v>1425</x:v>
      </x:c>
      <x:c r="AW180" s="59" t="s">
        <x:v>1410</x:v>
      </x:c>
      <x:c r="AX180" s="59" t="s">
        <x:v>1506</x:v>
      </x:c>
      <x:c r="AY180" s="59">
        <x:v>2026</x:v>
      </x:c>
      <x:c r="AZ180" s="59" t="s">
        <x:v>1412</x:v>
      </x:c>
      <x:c r="BA180" s="59"/>
      <x:c r="BB180" s="167"/>
      <x:c r="BC180" s="65">
        <x:v>2026</x:v>
      </x:c>
      <x:c r="BD180" s="59" t="s">
        <x:v>1429</x:v>
      </x:c>
      <x:c r="BE180" s="167"/>
      <x:c r="BF180" s="59" t="s">
        <x:v>1501</x:v>
      </x:c>
    </x:row>
    <x:row r="181" ht="28">
      <x:c r="A181" s="59" t="s">
        <x:v>2208</x:v>
      </x:c>
      <x:c r="B181" s="59" t="s">
        <x:v>2209</x:v>
      </x:c>
      <x:c r="C181" s="59" t="s">
        <x:v>2210</x:v>
      </x:c>
      <x:c r="D181" s="59" t="s">
        <x:v>2211</x:v>
      </x:c>
      <x:c r="E181" s="59" t="s">
        <x:v>1662</x:v>
      </x:c>
      <x:c r="F181" s="59" t="s">
        <x:v>1655</x:v>
      </x:c>
      <x:c r="G181" s="59" t="s">
        <x:v>1534</x:v>
      </x:c>
      <x:c r="H181" s="59" t="s">
        <x:v>1484</x:v>
      </x:c>
      <x:c r="I181" s="59"/>
      <x:c r="J181" s="59"/>
      <x:c r="K181" s="59"/>
      <x:c r="L181" s="59" t="s">
        <x:v>1437</x:v>
      </x:c>
      <x:c r="M181" s="59"/>
      <x:c r="N181" s="59" t="s">
        <x:v>1437</x:v>
      </x:c>
      <x:c r="O181" s="59"/>
      <x:c r="P181" s="59" t="s">
        <x:v>1437</x:v>
      </x:c>
      <x:c r="Q181" s="75"/>
      <x:c r="R181" s="75"/>
      <x:c r="S181" s="75"/>
      <x:c r="T181" s="75"/>
      <x:c r="U181" s="75"/>
      <x:c r="V181" s="75"/>
      <x:c r="W181" s="60"/>
      <x:c r="X181" s="73" t="str">
        <x:f t="shared" si="22"/>
        <x:v>Tidak ada faktor rentan</x:v>
      </x:c>
      <x:c r="Y181" s="73" t="str">
        <x:f t="shared" si="23"/>
        <x:v>Tidak Ada Faktor Rentan</x:v>
      </x:c>
      <x:c r="Z181" s="74" t="str">
        <x:f t="shared" si="24"/>
      </x:c>
      <x:c r="AA181" s="74">
        <x:f t="shared" si="25"/>
        <x:v>0</x:v>
      </x:c>
      <x:c r="AB181" s="74" t="str">
        <x:f t="shared" si="26"/>
      </x:c>
      <x:c r="AC181" s="61" t="s">
        <x:v>1422</x:v>
      </x:c>
      <x:c r="AD181" s="61" t="s">
        <x:v>1422</x:v>
      </x:c>
      <x:c r="AE181" s="61" t="s">
        <x:v>1422</x:v>
      </x:c>
      <x:c r="AF181" s="61" t="s">
        <x:v>1422</x:v>
      </x:c>
      <x:c r="AG181" s="61" t="s">
        <x:v>1422</x:v>
      </x:c>
      <x:c r="AH181" s="61" t="s">
        <x:v>1422</x:v>
      </x:c>
      <x:c r="AI181" s="61" t="s">
        <x:v>1422</x:v>
      </x:c>
      <x:c r="AJ181" s="61" t="s">
        <x:v>1422</x:v>
      </x:c>
      <x:c r="AK181" s="61" t="s">
        <x:v>1422</x:v>
      </x:c>
      <x:c r="AL181" s="61"/>
      <x:c r="AM181" s="61" t="s">
        <x:v>1437</x:v>
      </x:c>
      <x:c r="AN181" s="73" t="str">
        <x:f t="shared" si="27"/>
        <x:v>Tidak ada risiko khusus</x:v>
      </x:c>
      <x:c r="AO181" s="73" t="str">
        <x:f t="shared" si="28"/>
        <x:v>Tidak Ada Risiko Khusus</x:v>
      </x:c>
      <x:c r="AP181" s="61"/>
      <x:c r="AQ181" s="64" t="str">
        <x:f t="shared" si="29"/>
      </x:c>
      <x:c r="AR181" s="64">
        <x:f t="shared" si="30"/>
        <x:v>0</x:v>
      </x:c>
      <x:c r="AS181" s="64" t="str">
        <x:f t="shared" si="31"/>
      </x:c>
      <x:c r="AT181" s="62" t="str">
        <x:f t="shared" si="32"/>
        <x:v>Belum Dapat Ditentukan</x:v>
      </x:c>
      <x:c r="AU181" s="59"/>
      <x:c r="AV181" s="59" t="s">
        <x:v>1425</x:v>
      </x:c>
      <x:c r="AW181" s="59" t="s">
        <x:v>1410</x:v>
      </x:c>
      <x:c r="AX181" s="59" t="s">
        <x:v>1411</x:v>
      </x:c>
      <x:c r="AY181" s="59"/>
      <x:c r="AZ181" s="59"/>
      <x:c r="BA181" s="59"/>
      <x:c r="BB181" s="167"/>
      <x:c r="BC181" s="65"/>
      <x:c r="BD181" s="59"/>
      <x:c r="BE181" s="167"/>
      <x:c r="BF181" s="59" t="s">
        <x:v>1501</x:v>
      </x:c>
    </x:row>
    <x:row r="182" ht="28">
      <x:c r="A182" s="59" t="s">
        <x:v>2212</x:v>
      </x:c>
      <x:c r="B182" s="59" t="s">
        <x:v>2213</x:v>
      </x:c>
      <x:c r="C182" s="59" t="s">
        <x:v>2214</x:v>
      </x:c>
      <x:c r="D182" s="59" t="s">
        <x:v>2215</x:v>
      </x:c>
      <x:c r="E182" s="59" t="s">
        <x:v>2216</x:v>
      </x:c>
      <x:c r="F182" s="59" t="s">
        <x:v>1655</x:v>
      </x:c>
      <x:c r="G182" s="59" t="s">
        <x:v>1534</x:v>
      </x:c>
      <x:c r="H182" s="59" t="s">
        <x:v>1484</x:v>
      </x:c>
      <x:c r="I182" s="59"/>
      <x:c r="J182" s="59"/>
      <x:c r="K182" s="59"/>
      <x:c r="L182" s="59" t="s">
        <x:v>1437</x:v>
      </x:c>
      <x:c r="M182" s="59"/>
      <x:c r="N182" s="59" t="s">
        <x:v>1437</x:v>
      </x:c>
      <x:c r="O182" s="59"/>
      <x:c r="P182" s="59" t="s">
        <x:v>1437</x:v>
      </x:c>
      <x:c r="Q182" s="75"/>
      <x:c r="R182" s="75"/>
      <x:c r="S182" s="75"/>
      <x:c r="T182" s="75"/>
      <x:c r="U182" s="75"/>
      <x:c r="V182" s="75"/>
      <x:c r="W182" s="60"/>
      <x:c r="X182" s="73" t="str">
        <x:f t="shared" si="22"/>
        <x:v>Tidak ada faktor rentan</x:v>
      </x:c>
      <x:c r="Y182" s="73" t="str">
        <x:f t="shared" si="23"/>
        <x:v>Tidak Ada Faktor Rentan</x:v>
      </x:c>
      <x:c r="Z182" s="74" t="str">
        <x:f t="shared" si="24"/>
      </x:c>
      <x:c r="AA182" s="74">
        <x:f t="shared" si="25"/>
        <x:v>0</x:v>
      </x:c>
      <x:c r="AB182" s="74" t="str">
        <x:f t="shared" si="26"/>
      </x:c>
      <x:c r="AC182" s="61" t="s">
        <x:v>1422</x:v>
      </x:c>
      <x:c r="AD182" s="61" t="s">
        <x:v>1422</x:v>
      </x:c>
      <x:c r="AE182" s="61" t="s">
        <x:v>1422</x:v>
      </x:c>
      <x:c r="AF182" s="61" t="s">
        <x:v>1422</x:v>
      </x:c>
      <x:c r="AG182" s="61" t="s">
        <x:v>1422</x:v>
      </x:c>
      <x:c r="AH182" s="61" t="s">
        <x:v>1422</x:v>
      </x:c>
      <x:c r="AI182" s="61" t="s">
        <x:v>1422</x:v>
      </x:c>
      <x:c r="AJ182" s="61" t="s">
        <x:v>1422</x:v>
      </x:c>
      <x:c r="AK182" s="61" t="s">
        <x:v>1422</x:v>
      </x:c>
      <x:c r="AL182" s="61"/>
      <x:c r="AM182" s="61" t="s">
        <x:v>1437</x:v>
      </x:c>
      <x:c r="AN182" s="73" t="str">
        <x:f t="shared" si="27"/>
        <x:v>Tidak ada risiko khusus</x:v>
      </x:c>
      <x:c r="AO182" s="73" t="str">
        <x:f t="shared" si="28"/>
        <x:v>Tidak Ada Risiko Khusus</x:v>
      </x:c>
      <x:c r="AP182" s="61"/>
      <x:c r="AQ182" s="64" t="str">
        <x:f t="shared" si="29"/>
      </x:c>
      <x:c r="AR182" s="64">
        <x:f t="shared" si="30"/>
        <x:v>0</x:v>
      </x:c>
      <x:c r="AS182" s="64" t="str">
        <x:f t="shared" si="31"/>
      </x:c>
      <x:c r="AT182" s="62" t="str">
        <x:f t="shared" si="32"/>
        <x:v>Belum Dapat Ditentukan</x:v>
      </x:c>
      <x:c r="AU182" s="59"/>
      <x:c r="AV182" s="59" t="s">
        <x:v>1425</x:v>
      </x:c>
      <x:c r="AW182" s="59" t="s">
        <x:v>1410</x:v>
      </x:c>
      <x:c r="AX182" s="59" t="s">
        <x:v>1411</x:v>
      </x:c>
      <x:c r="AY182" s="59"/>
      <x:c r="AZ182" s="59"/>
      <x:c r="BA182" s="59"/>
      <x:c r="BB182" s="167"/>
      <x:c r="BC182" s="65"/>
      <x:c r="BD182" s="59"/>
      <x:c r="BE182" s="167"/>
      <x:c r="BF182" s="59" t="s">
        <x:v>1501</x:v>
      </x:c>
    </x:row>
    <x:row r="183" ht="28">
      <x:c r="A183" s="59" t="s">
        <x:v>2217</x:v>
      </x:c>
      <x:c r="B183" s="59" t="s">
        <x:v>2218</x:v>
      </x:c>
      <x:c r="C183" s="59" t="s">
        <x:v>2219</x:v>
      </x:c>
      <x:c r="D183" s="59" t="s">
        <x:v>2220</x:v>
      </x:c>
      <x:c r="E183" s="59" t="s">
        <x:v>1662</x:v>
      </x:c>
      <x:c r="F183" s="59" t="s">
        <x:v>1655</x:v>
      </x:c>
      <x:c r="G183" s="59" t="s">
        <x:v>1534</x:v>
      </x:c>
      <x:c r="H183" s="59" t="s">
        <x:v>1484</x:v>
      </x:c>
      <x:c r="I183" s="59"/>
      <x:c r="J183" s="59"/>
      <x:c r="K183" s="59"/>
      <x:c r="L183" s="59" t="s">
        <x:v>1437</x:v>
      </x:c>
      <x:c r="M183" s="59"/>
      <x:c r="N183" s="59" t="s">
        <x:v>1437</x:v>
      </x:c>
      <x:c r="O183" s="59"/>
      <x:c r="P183" s="59" t="s">
        <x:v>1437</x:v>
      </x:c>
      <x:c r="Q183" s="75"/>
      <x:c r="R183" s="75"/>
      <x:c r="S183" s="75"/>
      <x:c r="T183" s="75"/>
      <x:c r="U183" s="75"/>
      <x:c r="V183" s="75"/>
      <x:c r="W183" s="60"/>
      <x:c r="X183" s="73" t="str">
        <x:f t="shared" si="22"/>
        <x:v>Tidak ada faktor rentan</x:v>
      </x:c>
      <x:c r="Y183" s="73" t="str">
        <x:f t="shared" si="23"/>
        <x:v>Tidak Ada Faktor Rentan</x:v>
      </x:c>
      <x:c r="Z183" s="74" t="str">
        <x:f t="shared" si="24"/>
      </x:c>
      <x:c r="AA183" s="74">
        <x:f t="shared" si="25"/>
        <x:v>0</x:v>
      </x:c>
      <x:c r="AB183" s="74" t="str">
        <x:f t="shared" si="26"/>
      </x:c>
      <x:c r="AC183" s="61" t="s">
        <x:v>1422</x:v>
      </x:c>
      <x:c r="AD183" s="61" t="s">
        <x:v>1422</x:v>
      </x:c>
      <x:c r="AE183" s="61" t="s">
        <x:v>1422</x:v>
      </x:c>
      <x:c r="AF183" s="61" t="s">
        <x:v>1422</x:v>
      </x:c>
      <x:c r="AG183" s="61" t="s">
        <x:v>1422</x:v>
      </x:c>
      <x:c r="AH183" s="61" t="s">
        <x:v>1422</x:v>
      </x:c>
      <x:c r="AI183" s="61" t="s">
        <x:v>1422</x:v>
      </x:c>
      <x:c r="AJ183" s="61" t="s">
        <x:v>1422</x:v>
      </x:c>
      <x:c r="AK183" s="61" t="s">
        <x:v>1422</x:v>
      </x:c>
      <x:c r="AL183" s="61"/>
      <x:c r="AM183" s="61" t="s">
        <x:v>1437</x:v>
      </x:c>
      <x:c r="AN183" s="73" t="str">
        <x:f t="shared" si="27"/>
        <x:v>Tidak ada risiko khusus</x:v>
      </x:c>
      <x:c r="AO183" s="73" t="str">
        <x:f t="shared" si="28"/>
        <x:v>Tidak Ada Risiko Khusus</x:v>
      </x:c>
      <x:c r="AP183" s="61"/>
      <x:c r="AQ183" s="64" t="str">
        <x:f t="shared" si="29"/>
      </x:c>
      <x:c r="AR183" s="64">
        <x:f t="shared" si="30"/>
        <x:v>0</x:v>
      </x:c>
      <x:c r="AS183" s="64" t="str">
        <x:f t="shared" si="31"/>
      </x:c>
      <x:c r="AT183" s="62" t="str">
        <x:f t="shared" si="32"/>
        <x:v>Belum Dapat Ditentukan</x:v>
      </x:c>
      <x:c r="AU183" s="59"/>
      <x:c r="AV183" s="59" t="s">
        <x:v>1425</x:v>
      </x:c>
      <x:c r="AW183" s="59" t="s">
        <x:v>1410</x:v>
      </x:c>
      <x:c r="AX183" s="59" t="s">
        <x:v>1411</x:v>
      </x:c>
      <x:c r="AY183" s="59"/>
      <x:c r="AZ183" s="59"/>
      <x:c r="BA183" s="59"/>
      <x:c r="BB183" s="167"/>
      <x:c r="BC183" s="65"/>
      <x:c r="BD183" s="59"/>
      <x:c r="BE183" s="167"/>
      <x:c r="BF183" s="59" t="s">
        <x:v>1501</x:v>
      </x:c>
    </x:row>
    <x:row r="184" s="168" customFormat="1" ht="28">
      <x:c r="A184" s="59" t="s">
        <x:v>2221</x:v>
      </x:c>
      <x:c r="B184" s="59" t="s">
        <x:v>2222</x:v>
      </x:c>
      <x:c r="C184" s="59" t="s">
        <x:v>2223</x:v>
      </x:c>
      <x:c r="D184" s="59" t="s">
        <x:v>2224</x:v>
      </x:c>
      <x:c r="E184" s="59" t="s">
        <x:v>2225</x:v>
      </x:c>
      <x:c r="F184" s="59" t="s">
        <x:v>2226</x:v>
      </x:c>
      <x:c r="G184" s="59" t="s">
        <x:v>1549</x:v>
      </x:c>
      <x:c r="H184" s="59" t="s">
        <x:v>1484</x:v>
      </x:c>
      <x:c r="I184" s="59"/>
      <x:c r="J184" s="59"/>
      <x:c r="K184" s="59"/>
      <x:c r="L184" s="59" t="s">
        <x:v>1437</x:v>
      </x:c>
      <x:c r="M184" s="59"/>
      <x:c r="N184" s="59" t="s">
        <x:v>1437</x:v>
      </x:c>
      <x:c r="O184" s="59"/>
      <x:c r="P184" s="59" t="s">
        <x:v>1437</x:v>
      </x:c>
      <x:c r="Q184" s="75"/>
      <x:c r="R184" s="75"/>
      <x:c r="S184" s="75"/>
      <x:c r="T184" s="75"/>
      <x:c r="U184" s="75"/>
      <x:c r="V184" s="75"/>
      <x:c r="W184" s="60"/>
      <x:c r="X184" s="73" t="str">
        <x:f t="shared" si="22"/>
        <x:v>Tidak ada faktor rentan</x:v>
      </x:c>
      <x:c r="Y184" s="73" t="str">
        <x:f t="shared" si="23"/>
        <x:v>Tidak Ada Faktor Rentan</x:v>
      </x:c>
      <x:c r="Z184" s="74" t="str">
        <x:f t="shared" si="24"/>
      </x:c>
      <x:c r="AA184" s="74">
        <x:f t="shared" si="25"/>
        <x:v>0</x:v>
      </x:c>
      <x:c r="AB184" s="74" t="str">
        <x:f t="shared" si="26"/>
      </x:c>
      <x:c r="AC184" s="61" t="s">
        <x:v>1422</x:v>
      </x:c>
      <x:c r="AD184" s="61" t="s">
        <x:v>1422</x:v>
      </x:c>
      <x:c r="AE184" s="61" t="s">
        <x:v>1422</x:v>
      </x:c>
      <x:c r="AF184" s="61" t="s">
        <x:v>1422</x:v>
      </x:c>
      <x:c r="AG184" s="61" t="s">
        <x:v>1422</x:v>
      </x:c>
      <x:c r="AH184" s="61" t="s">
        <x:v>1422</x:v>
      </x:c>
      <x:c r="AI184" s="61" t="s">
        <x:v>1422</x:v>
      </x:c>
      <x:c r="AJ184" s="61" t="s">
        <x:v>1422</x:v>
      </x:c>
      <x:c r="AK184" s="61" t="s">
        <x:v>1422</x:v>
      </x:c>
      <x:c r="AL184" s="61"/>
      <x:c r="AM184" s="61" t="s">
        <x:v>1437</x:v>
      </x:c>
      <x:c r="AN184" s="73" t="str">
        <x:f t="shared" si="27"/>
        <x:v>Tidak ada risiko khusus</x:v>
      </x:c>
      <x:c r="AO184" s="73" t="str">
        <x:f t="shared" si="28"/>
        <x:v>Tidak Ada Risiko Khusus</x:v>
      </x:c>
      <x:c r="AP184" s="61"/>
      <x:c r="AQ184" s="64" t="str">
        <x:f t="shared" si="29"/>
      </x:c>
      <x:c r="AR184" s="64">
        <x:f t="shared" si="30"/>
        <x:v>0</x:v>
      </x:c>
      <x:c r="AS184" s="64" t="str">
        <x:f t="shared" si="31"/>
      </x:c>
      <x:c r="AT184" s="62" t="str">
        <x:f t="shared" si="32"/>
        <x:v>Belum Dapat Ditentukan</x:v>
      </x:c>
      <x:c r="AU184" s="59"/>
      <x:c r="AV184" s="59" t="s">
        <x:v>1425</x:v>
      </x:c>
      <x:c r="AW184" s="59" t="s">
        <x:v>1410</x:v>
      </x:c>
      <x:c r="AX184" s="59" t="s">
        <x:v>1411</x:v>
      </x:c>
      <x:c r="AY184" s="59"/>
      <x:c r="AZ184" s="59"/>
      <x:c r="BA184" s="59"/>
      <x:c r="BB184" s="167"/>
      <x:c r="BC184" s="65"/>
      <x:c r="BD184" s="59"/>
      <x:c r="BE184" s="167"/>
      <x:c r="BF184" s="59" t="s">
        <x:v>1501</x:v>
      </x:c>
    </x:row>
    <x:row r="185" s="168" customFormat="1" ht="28">
      <x:c r="A185" s="59" t="s">
        <x:v>2227</x:v>
      </x:c>
      <x:c r="B185" s="59" t="s">
        <x:v>2228</x:v>
      </x:c>
      <x:c r="C185" s="59"/>
      <x:c r="D185" s="59" t="s">
        <x:v>2229</x:v>
      </x:c>
      <x:c r="E185" s="59" t="s">
        <x:v>2164</x:v>
      </x:c>
      <x:c r="F185" s="59" t="s">
        <x:v>1755</x:v>
      </x:c>
      <x:c r="G185" s="59" t="s">
        <x:v>1575</x:v>
      </x:c>
      <x:c r="H185" s="59" t="s">
        <x:v>1484</x:v>
      </x:c>
      <x:c r="I185" s="59"/>
      <x:c r="J185" s="59" t="s">
        <x:v>1416</x:v>
      </x:c>
      <x:c r="K185" s="59" t="s">
        <x:v>1432</x:v>
      </x:c>
      <x:c r="L185" s="59" t="s">
        <x:v>1402</x:v>
      </x:c>
      <x:c r="M185" s="59" t="s">
        <x:v>1500</x:v>
      </x:c>
      <x:c r="N185" s="59" t="s">
        <x:v>1402</x:v>
      </x:c>
      <x:c r="O185" s="59" t="s">
        <x:v>1404</x:v>
      </x:c>
      <x:c r="P185" s="59" t="s">
        <x:v>1418</x:v>
      </x:c>
      <x:c r="Q185" s="75" t="s">
        <x:v>1405</x:v>
      </x:c>
      <x:c r="R185" s="75" t="s">
        <x:v>1422</x:v>
      </x:c>
      <x:c r="S185" s="75" t="s">
        <x:v>1422</x:v>
      </x:c>
      <x:c r="T185" s="75" t="s">
        <x:v>1422</x:v>
      </x:c>
      <x:c r="U185" s="75" t="s">
        <x:v>1422</x:v>
      </x:c>
      <x:c r="V185" s="75" t="s">
        <x:v>1437</x:v>
      </x:c>
      <x:c r="W185" s="60"/>
      <x:c r="X185" s="73" t="str">
        <x:f t="shared" si="22"/>
        <x:v>Belum Dinilai</x:v>
      </x:c>
      <x:c r="Y185" s="73" t="str">
        <x:f t="shared" si="23"/>
        <x:v>Belum Dinilai</x:v>
      </x:c>
      <x:c r="Z185" s="74">
        <x:f t="shared" si="24"/>
        <x:v>10</x:v>
      </x:c>
      <x:c r="AA185" s="74" t="str">
        <x:f t="shared" si="25"/>
      </x:c>
      <x:c r="AB185" s="74" t="str">
        <x:f t="shared" si="26"/>
      </x:c>
      <x:c r="AC185" s="61" t="s">
        <x:v>1422</x:v>
      </x:c>
      <x:c r="AD185" s="61" t="s">
        <x:v>1422</x:v>
      </x:c>
      <x:c r="AE185" s="61" t="s">
        <x:v>1422</x:v>
      </x:c>
      <x:c r="AF185" s="61" t="s">
        <x:v>1422</x:v>
      </x:c>
      <x:c r="AG185" s="61" t="s">
        <x:v>1422</x:v>
      </x:c>
      <x:c r="AH185" s="61" t="s">
        <x:v>1422</x:v>
      </x:c>
      <x:c r="AI185" s="61" t="s">
        <x:v>1422</x:v>
      </x:c>
      <x:c r="AJ185" s="61" t="s">
        <x:v>1422</x:v>
      </x:c>
      <x:c r="AK185" s="61" t="s">
        <x:v>1422</x:v>
      </x:c>
      <x:c r="AL185" s="61"/>
      <x:c r="AM185" s="61" t="s">
        <x:v>1437</x:v>
      </x:c>
      <x:c r="AN185" s="73" t="str">
        <x:f t="shared" si="27"/>
        <x:v>Tidak ada risiko khusus</x:v>
      </x:c>
      <x:c r="AO185" s="73" t="str">
        <x:f t="shared" si="28"/>
        <x:v>Tidak Ada Risiko Khusus</x:v>
      </x:c>
      <x:c r="AP185" s="61"/>
      <x:c r="AQ185" s="64">
        <x:f t="shared" si="29"/>
        <x:v>12</x:v>
      </x:c>
      <x:c r="AR185" s="64">
        <x:f t="shared" si="30"/>
        <x:v>0</x:v>
      </x:c>
      <x:c r="AS185" s="64" t="str">
        <x:f t="shared" si="31"/>
      </x:c>
      <x:c r="AT185" s="62" t="str">
        <x:f t="shared" si="32"/>
        <x:v>Belum Dapat Ditentukan</x:v>
      </x:c>
      <x:c r="AU185" s="59"/>
      <x:c r="AV185" s="59" t="s">
        <x:v>1425</x:v>
      </x:c>
      <x:c r="AW185" s="59" t="s">
        <x:v>1410</x:v>
      </x:c>
      <x:c r="AX185" s="59" t="s">
        <x:v>1411</x:v>
      </x:c>
      <x:c r="AY185" s="59"/>
      <x:c r="AZ185" s="59"/>
      <x:c r="BA185" s="59"/>
      <x:c r="BB185" s="167"/>
      <x:c r="BC185" s="65"/>
      <x:c r="BD185" s="59"/>
      <x:c r="BE185" s="167"/>
      <x:c r="BF185" s="59" t="s">
        <x:v>1501</x:v>
      </x:c>
    </x:row>
    <x:row r="186" s="168" customFormat="1" ht="28">
      <x:c r="A186" s="59" t="s">
        <x:v>2230</x:v>
      </x:c>
      <x:c r="B186" s="59" t="s">
        <x:v>2231</x:v>
      </x:c>
      <x:c r="C186" s="59" t="s">
        <x:v>2232</x:v>
      </x:c>
      <x:c r="D186" s="59" t="s">
        <x:v>2233</x:v>
      </x:c>
      <x:c r="E186" s="59" t="s">
        <x:v>2168</x:v>
      </x:c>
      <x:c r="F186" s="59" t="s">
        <x:v>1755</x:v>
      </x:c>
      <x:c r="G186" s="59" t="s">
        <x:v>1575</x:v>
      </x:c>
      <x:c r="H186" s="59" t="s">
        <x:v>1484</x:v>
      </x:c>
      <x:c r="I186" s="59"/>
      <x:c r="J186" s="59" t="s">
        <x:v>1400</x:v>
      </x:c>
      <x:c r="K186" s="59" t="s">
        <x:v>1432</x:v>
      </x:c>
      <x:c r="L186" s="59" t="s">
        <x:v>1402</x:v>
      </x:c>
      <x:c r="M186" s="59" t="s">
        <x:v>1403</x:v>
      </x:c>
      <x:c r="N186" s="59" t="s">
        <x:v>1402</x:v>
      </x:c>
      <x:c r="O186" s="59" t="s">
        <x:v>1404</x:v>
      </x:c>
      <x:c r="P186" s="59" t="s">
        <x:v>1402</x:v>
      </x:c>
      <x:c r="Q186" s="75" t="s">
        <x:v>1405</x:v>
      </x:c>
      <x:c r="R186" s="75" t="s">
        <x:v>1422</x:v>
      </x:c>
      <x:c r="S186" s="75" t="s">
        <x:v>1422</x:v>
      </x:c>
      <x:c r="T186" s="75" t="s">
        <x:v>1422</x:v>
      </x:c>
      <x:c r="U186" s="75" t="s">
        <x:v>1422</x:v>
      </x:c>
      <x:c r="V186" s="75" t="s">
        <x:v>1437</x:v>
      </x:c>
      <x:c r="W186" s="60"/>
      <x:c r="X186" s="73" t="str">
        <x:f t="shared" si="22"/>
        <x:v>Belum Dinilai</x:v>
      </x:c>
      <x:c r="Y186" s="73" t="str">
        <x:f t="shared" si="23"/>
        <x:v>Belum Dinilai</x:v>
      </x:c>
      <x:c r="Z186" s="74">
        <x:f t="shared" si="24"/>
        <x:v>10</x:v>
      </x:c>
      <x:c r="AA186" s="74" t="str">
        <x:f t="shared" si="25"/>
      </x:c>
      <x:c r="AB186" s="74" t="str">
        <x:f t="shared" si="26"/>
      </x:c>
      <x:c r="AC186" s="61" t="s">
        <x:v>1422</x:v>
      </x:c>
      <x:c r="AD186" s="61" t="s">
        <x:v>1422</x:v>
      </x:c>
      <x:c r="AE186" s="61" t="s">
        <x:v>1422</x:v>
      </x:c>
      <x:c r="AF186" s="61" t="s">
        <x:v>1422</x:v>
      </x:c>
      <x:c r="AG186" s="61" t="s">
        <x:v>1422</x:v>
      </x:c>
      <x:c r="AH186" s="61" t="s">
        <x:v>1422</x:v>
      </x:c>
      <x:c r="AI186" s="61" t="s">
        <x:v>1422</x:v>
      </x:c>
      <x:c r="AJ186" s="61" t="s">
        <x:v>1422</x:v>
      </x:c>
      <x:c r="AK186" s="61" t="s">
        <x:v>1422</x:v>
      </x:c>
      <x:c r="AL186" s="61"/>
      <x:c r="AM186" s="61" t="s">
        <x:v>1437</x:v>
      </x:c>
      <x:c r="AN186" s="73" t="str">
        <x:f t="shared" si="27"/>
        <x:v>Tidak ada risiko khusus</x:v>
      </x:c>
      <x:c r="AO186" s="73" t="str">
        <x:f t="shared" si="28"/>
        <x:v>Tidak Ada Risiko Khusus</x:v>
      </x:c>
      <x:c r="AP186" s="61"/>
      <x:c r="AQ186" s="64">
        <x:f t="shared" si="29"/>
        <x:v>0</x:v>
      </x:c>
      <x:c r="AR186" s="64">
        <x:f t="shared" si="30"/>
        <x:v>0</x:v>
      </x:c>
      <x:c r="AS186" s="64" t="str">
        <x:f t="shared" si="31"/>
      </x:c>
      <x:c r="AT186" s="62" t="str">
        <x:f t="shared" si="32"/>
        <x:v>Belum Dapat Ditentukan</x:v>
      </x:c>
      <x:c r="AU186" s="59"/>
      <x:c r="AV186" s="59" t="s">
        <x:v>1425</x:v>
      </x:c>
      <x:c r="AW186" s="59" t="s">
        <x:v>1410</x:v>
      </x:c>
      <x:c r="AX186" s="59" t="s">
        <x:v>1411</x:v>
      </x:c>
      <x:c r="AY186" s="59"/>
      <x:c r="AZ186" s="59"/>
      <x:c r="BA186" s="59"/>
      <x:c r="BB186" s="167"/>
      <x:c r="BC186" s="65"/>
      <x:c r="BD186" s="59"/>
      <x:c r="BE186" s="167"/>
      <x:c r="BF186" s="59" t="s">
        <x:v>1501</x:v>
      </x:c>
    </x:row>
    <x:row r="187" s="168" customFormat="1" ht="28">
      <x:c r="A187" s="59" t="s">
        <x:v>2234</x:v>
      </x:c>
      <x:c r="B187" s="59" t="s">
        <x:v>2235</x:v>
      </x:c>
      <x:c r="C187" s="59" t="s">
        <x:v>2236</x:v>
      </x:c>
      <x:c r="D187" s="59" t="s">
        <x:v>2237</x:v>
      </x:c>
      <x:c r="E187" s="59" t="s">
        <x:v>2164</x:v>
      </x:c>
      <x:c r="F187" s="59" t="s">
        <x:v>1755</x:v>
      </x:c>
      <x:c r="G187" s="59" t="s">
        <x:v>1575</x:v>
      </x:c>
      <x:c r="H187" s="59" t="s">
        <x:v>1484</x:v>
      </x:c>
      <x:c r="I187" s="59"/>
      <x:c r="J187" s="59" t="s">
        <x:v>1400</x:v>
      </x:c>
      <x:c r="K187" s="59" t="s">
        <x:v>1432</x:v>
      </x:c>
      <x:c r="L187" s="59" t="s">
        <x:v>1402</x:v>
      </x:c>
      <x:c r="M187" s="59" t="s">
        <x:v>1419</x:v>
      </x:c>
      <x:c r="N187" s="59" t="s">
        <x:v>1402</x:v>
      </x:c>
      <x:c r="O187" s="59" t="s">
        <x:v>1404</x:v>
      </x:c>
      <x:c r="P187" s="59" t="s">
        <x:v>1402</x:v>
      </x:c>
      <x:c r="Q187" s="75" t="s">
        <x:v>1405</x:v>
      </x:c>
      <x:c r="R187" s="75" t="s">
        <x:v>1422</x:v>
      </x:c>
      <x:c r="S187" s="75" t="s">
        <x:v>1422</x:v>
      </x:c>
      <x:c r="T187" s="75" t="s">
        <x:v>1422</x:v>
      </x:c>
      <x:c r="U187" s="75" t="s">
        <x:v>1406</x:v>
      </x:c>
      <x:c r="V187" s="75" t="s">
        <x:v>1437</x:v>
      </x:c>
      <x:c r="W187" s="60"/>
      <x:c r="X187" s="73" t="str">
        <x:f t="shared" si="22"/>
        <x:v>Belum Dinilai</x:v>
      </x:c>
      <x:c r="Y187" s="73" t="str">
        <x:f t="shared" si="23"/>
        <x:v>Belum Dinilai</x:v>
      </x:c>
      <x:c r="Z187" s="74">
        <x:f t="shared" si="24"/>
        <x:v>10</x:v>
      </x:c>
      <x:c r="AA187" s="74" t="str">
        <x:f t="shared" si="25"/>
      </x:c>
      <x:c r="AB187" s="74" t="str">
        <x:f t="shared" si="26"/>
      </x:c>
      <x:c r="AC187" s="61" t="s">
        <x:v>1422</x:v>
      </x:c>
      <x:c r="AD187" s="61" t="s">
        <x:v>1422</x:v>
      </x:c>
      <x:c r="AE187" s="61" t="s">
        <x:v>1422</x:v>
      </x:c>
      <x:c r="AF187" s="61" t="s">
        <x:v>1422</x:v>
      </x:c>
      <x:c r="AG187" s="61" t="s">
        <x:v>1422</x:v>
      </x:c>
      <x:c r="AH187" s="61" t="s">
        <x:v>1422</x:v>
      </x:c>
      <x:c r="AI187" s="61" t="s">
        <x:v>1422</x:v>
      </x:c>
      <x:c r="AJ187" s="61" t="s">
        <x:v>1422</x:v>
      </x:c>
      <x:c r="AK187" s="61" t="s">
        <x:v>1422</x:v>
      </x:c>
      <x:c r="AL187" s="61"/>
      <x:c r="AM187" s="61"/>
      <x:c r="AN187" s="73" t="str">
        <x:f t="shared" si="27"/>
        <x:v>Tidak ada risiko khusus</x:v>
      </x:c>
      <x:c r="AO187" s="73" t="str">
        <x:f t="shared" si="28"/>
        <x:v>Tidak Ada Risiko Khusus</x:v>
      </x:c>
      <x:c r="AP187" s="61"/>
      <x:c r="AQ187" s="64">
        <x:f t="shared" si="29"/>
        <x:v>0</x:v>
      </x:c>
      <x:c r="AR187" s="64">
        <x:f t="shared" si="30"/>
        <x:v>0</x:v>
      </x:c>
      <x:c r="AS187" s="64" t="str">
        <x:f t="shared" si="31"/>
      </x:c>
      <x:c r="AT187" s="62" t="str">
        <x:f t="shared" si="32"/>
        <x:v>Belum Dapat Ditentukan</x:v>
      </x:c>
      <x:c r="AU187" s="59"/>
      <x:c r="AV187" s="59" t="s">
        <x:v>1425</x:v>
      </x:c>
      <x:c r="AW187" s="59" t="s">
        <x:v>1410</x:v>
      </x:c>
      <x:c r="AX187" s="59" t="s">
        <x:v>1411</x:v>
      </x:c>
      <x:c r="AY187" s="59"/>
      <x:c r="AZ187" s="59"/>
      <x:c r="BA187" s="59"/>
      <x:c r="BB187" s="167"/>
      <x:c r="BC187" s="65"/>
      <x:c r="BD187" s="59"/>
      <x:c r="BE187" s="167"/>
      <x:c r="BF187" s="59" t="s">
        <x:v>1501</x:v>
      </x:c>
    </x:row>
    <x:row r="188" ht="28">
      <x:c r="A188" s="169" t="s">
        <x:v>2238</x:v>
      </x:c>
      <x:c r="B188" s="169" t="s">
        <x:v>2239</x:v>
      </x:c>
      <x:c r="C188" s="169"/>
      <x:c r="D188" s="169"/>
      <x:c r="E188" s="169" t="s">
        <x:v>2240</x:v>
      </x:c>
      <x:c r="F188" s="169" t="s">
        <x:v>1681</x:v>
      </x:c>
      <x:c r="G188" s="169" t="s">
        <x:v>1534</x:v>
      </x:c>
      <x:c r="H188" s="169" t="s">
        <x:v>1399</x:v>
      </x:c>
      <x:c r="I188" s="169"/>
      <x:c r="J188" s="169" t="s">
        <x:v>1416</x:v>
      </x:c>
      <x:c r="K188" s="169" t="s">
        <x:v>1417</x:v>
      </x:c>
      <x:c r="L188" s="169" t="s">
        <x:v>1402</x:v>
      </x:c>
      <x:c r="M188" s="169" t="s">
        <x:v>1489</x:v>
      </x:c>
      <x:c r="N188" s="169" t="s">
        <x:v>1402</x:v>
      </x:c>
      <x:c r="O188" s="169" t="s">
        <x:v>1435</x:v>
      </x:c>
      <x:c r="P188" s="169" t="s">
        <x:v>1402</x:v>
      </x:c>
      <x:c r="Q188" s="169" t="s">
        <x:v>1437</x:v>
      </x:c>
      <x:c r="R188" s="169" t="s">
        <x:v>1437</x:v>
      </x:c>
      <x:c r="S188" s="169" t="s">
        <x:v>1437</x:v>
      </x:c>
      <x:c r="T188" s="169" t="s">
        <x:v>1437</x:v>
      </x:c>
      <x:c r="U188" s="169" t="s">
        <x:v>1437</x:v>
      </x:c>
      <x:c r="V188" s="169" t="s">
        <x:v>1437</x:v>
      </x:c>
      <x:c r="W188" s="169"/>
      <x:c r="X188" s="169" t="str">
        <x:f t="shared" si="22"/>
        <x:v>Belum Dinilai</x:v>
      </x:c>
      <x:c r="Y188" s="169" t="str">
        <x:f t="shared" si="23"/>
        <x:v>Belum Dinilai</x:v>
      </x:c>
      <x:c r="Z188" s="170" t="str">
        <x:f t="shared" si="24"/>
      </x:c>
      <x:c r="AA188" s="170" t="str">
        <x:f t="shared" si="25"/>
      </x:c>
      <x:c r="AB188" s="170" t="str">
        <x:f t="shared" si="26"/>
      </x:c>
      <x:c r="AC188" s="169" t="s">
        <x:v>1422</x:v>
      </x:c>
      <x:c r="AD188" s="169" t="s">
        <x:v>1422</x:v>
      </x:c>
      <x:c r="AE188" s="169" t="s">
        <x:v>1422</x:v>
      </x:c>
      <x:c r="AF188" s="169" t="s">
        <x:v>1422</x:v>
      </x:c>
      <x:c r="AG188" s="169" t="s">
        <x:v>1406</x:v>
      </x:c>
      <x:c r="AH188" s="169" t="s">
        <x:v>1422</x:v>
      </x:c>
      <x:c r="AI188" s="169" t="s">
        <x:v>1406</x:v>
      </x:c>
      <x:c r="AJ188" s="169" t="s">
        <x:v>1422</x:v>
      </x:c>
      <x:c r="AK188" s="169" t="s">
        <x:v>1422</x:v>
      </x:c>
      <x:c r="AL188" s="169"/>
      <x:c r="AM188" s="169"/>
      <x:c r="AN188" s="169" t="str">
        <x:f t="shared" si="27"/>
        <x:v>Struktur rumah tidak stabil; Komponen bangunan lepas atau lapuk; </x:v>
      </x:c>
      <x:c r="AO188" s="169" t="str">
        <x:f t="shared" si="28"/>
        <x:v>Risiko Tinggi/Darurat</x:v>
      </x:c>
      <x:c r="AP188" s="169"/>
      <x:c r="AQ188" s="170">
        <x:f t="shared" si="29"/>
        <x:v>8</x:v>
      </x:c>
      <x:c r="AR188" s="170">
        <x:f t="shared" si="30"/>
        <x:v>10</x:v>
      </x:c>
      <x:c r="AS188" s="170" t="str">
        <x:f t="shared" si="31"/>
      </x:c>
      <x:c r="AT188" s="169" t="str">
        <x:f t="shared" si="32"/>
        <x:v>Belum Dapat Ditentukan</x:v>
      </x:c>
      <x:c r="AU188" s="169"/>
      <x:c r="AV188" s="169" t="s">
        <x:v>1425</x:v>
      </x:c>
      <x:c r="AW188" s="169" t="s">
        <x:v>1410</x:v>
      </x:c>
      <x:c r="AX188" s="59" t="s">
        <x:v>1411</x:v>
      </x:c>
      <x:c r="AY188" s="169"/>
      <x:c r="AZ188" s="169" t="s">
        <x:v>1428</x:v>
      </x:c>
      <x:c r="BA188" s="169"/>
      <x:c r="BB188" s="171"/>
      <x:c r="BC188" s="170">
        <x:v>2025</x:v>
      </x:c>
      <x:c r="BD188" s="169" t="s">
        <x:v>1429</x:v>
      </x:c>
      <x:c r="BE188" s="171"/>
      <x:c r="BF188" s="169" t="s">
        <x:v>1501</x:v>
      </x:c>
    </x:row>
    <x:row r="189" ht="28">
      <x:c r="A189" s="169" t="s">
        <x:v>2241</x:v>
      </x:c>
      <x:c r="B189" s="169" t="s">
        <x:v>2242</x:v>
      </x:c>
      <x:c r="C189" s="169"/>
      <x:c r="D189" s="169"/>
      <x:c r="E189" s="169" t="s">
        <x:v>2243</x:v>
      </x:c>
      <x:c r="F189" s="169" t="s">
        <x:v>1681</x:v>
      </x:c>
      <x:c r="G189" s="169" t="s">
        <x:v>1534</x:v>
      </x:c>
      <x:c r="H189" s="169" t="s">
        <x:v>1399</x:v>
      </x:c>
      <x:c r="I189" s="169"/>
      <x:c r="J189" s="169" t="s">
        <x:v>1416</x:v>
      </x:c>
      <x:c r="K189" s="169" t="s">
        <x:v>1417</x:v>
      </x:c>
      <x:c r="L189" s="169" t="s">
        <x:v>1418</x:v>
      </x:c>
      <x:c r="M189" s="169" t="s">
        <x:v>1500</x:v>
      </x:c>
      <x:c r="N189" s="169" t="s">
        <x:v>1433</x:v>
      </x:c>
      <x:c r="O189" s="169" t="s">
        <x:v>1435</x:v>
      </x:c>
      <x:c r="P189" s="169" t="s">
        <x:v>1418</x:v>
      </x:c>
      <x:c r="Q189" s="169" t="s">
        <x:v>1405</x:v>
      </x:c>
      <x:c r="R189" s="169" t="s">
        <x:v>1422</x:v>
      </x:c>
      <x:c r="S189" s="169" t="s">
        <x:v>1422</x:v>
      </x:c>
      <x:c r="T189" s="169" t="s">
        <x:v>1422</x:v>
      </x:c>
      <x:c r="U189" s="169" t="s">
        <x:v>1422</x:v>
      </x:c>
      <x:c r="V189" s="169" t="s">
        <x:v>1422</x:v>
      </x:c>
      <x:c r="W189" s="169"/>
      <x:c r="X189" s="169" t="str">
        <x:f t="shared" si="22"/>
        <x:v>Tidak ada faktor rentan</x:v>
      </x:c>
      <x:c r="Y189" s="169" t="str">
        <x:f t="shared" si="23"/>
        <x:v>Tidak Ada Faktor Rentan</x:v>
      </x:c>
      <x:c r="Z189" s="170">
        <x:f t="shared" si="24"/>
        <x:v>10</x:v>
      </x:c>
      <x:c r="AA189" s="170">
        <x:f t="shared" si="25"/>
        <x:v>0</x:v>
      </x:c>
      <x:c r="AB189" s="170">
        <x:f t="shared" si="26"/>
        <x:v>10</x:v>
      </x:c>
      <x:c r="AC189" s="169" t="s">
        <x:v>1422</x:v>
      </x:c>
      <x:c r="AD189" s="169" t="s">
        <x:v>1422</x:v>
      </x:c>
      <x:c r="AE189" s="169" t="s">
        <x:v>1406</x:v>
      </x:c>
      <x:c r="AF189" s="169" t="s">
        <x:v>1422</x:v>
      </x:c>
      <x:c r="AG189" s="169" t="s">
        <x:v>1406</x:v>
      </x:c>
      <x:c r="AH189" s="169" t="s">
        <x:v>1406</x:v>
      </x:c>
      <x:c r="AI189" s="169" t="s">
        <x:v>1406</x:v>
      </x:c>
      <x:c r="AJ189" s="169" t="s">
        <x:v>1422</x:v>
      </x:c>
      <x:c r="AK189" s="169" t="s">
        <x:v>1422</x:v>
      </x:c>
      <x:c r="AL189" s="169"/>
      <x:c r="AM189" s="169"/>
      <x:c r="AN189" s="169" t="str">
        <x:f t="shared" si="27"/>
        <x:v>Atap atau dinding utama hampir runtuh; Struktur rumah tidak stabil; Instalasi listrik berbahaya; Komponen bangunan lepas atau lapuk; </x:v>
      </x:c>
      <x:c r="AO189" s="169" t="str">
        <x:f t="shared" si="28"/>
        <x:v>Risiko Tinggi/Darurat</x:v>
      </x:c>
      <x:c r="AP189" s="169"/>
      <x:c r="AQ189" s="170">
        <x:f t="shared" si="29"/>
        <x:v>27</x:v>
      </x:c>
      <x:c r="AR189" s="170">
        <x:f t="shared" si="30"/>
        <x:v>10</x:v>
      </x:c>
      <x:c r="AS189" s="170">
        <x:f t="shared" si="31"/>
        <x:v>47</x:v>
      </x:c>
      <x:c r="AT189" s="169" t="str">
        <x:f t="shared" si="32"/>
        <x:v>Tinggi</x:v>
      </x:c>
      <x:c r="AU189" s="169"/>
      <x:c r="AV189" s="169" t="s">
        <x:v>1425</x:v>
      </x:c>
      <x:c r="AW189" s="169" t="s">
        <x:v>1410</x:v>
      </x:c>
      <x:c r="AX189" s="59" t="s">
        <x:v>1411</x:v>
      </x:c>
      <x:c r="AY189" s="169"/>
      <x:c r="AZ189" s="169" t="s">
        <x:v>1428</x:v>
      </x:c>
      <x:c r="BA189" s="169"/>
      <x:c r="BB189" s="171"/>
      <x:c r="BC189" s="170">
        <x:v>2025</x:v>
      </x:c>
      <x:c r="BD189" s="169" t="s">
        <x:v>1429</x:v>
      </x:c>
      <x:c r="BE189" s="171"/>
      <x:c r="BF189" s="169" t="s">
        <x:v>1501</x:v>
      </x:c>
    </x:row>
    <x:row r="190" ht="28">
      <x:c r="A190" s="169" t="s">
        <x:v>2244</x:v>
      </x:c>
      <x:c r="B190" s="169" t="s">
        <x:v>2245</x:v>
      </x:c>
      <x:c r="C190" s="169" t="s">
        <x:v>2246</x:v>
      </x:c>
      <x:c r="D190" s="169" t="s">
        <x:v>2247</x:v>
      </x:c>
      <x:c r="E190" s="169" t="s">
        <x:v>2248</x:v>
      </x:c>
      <x:c r="F190" s="169" t="s">
        <x:v>1681</x:v>
      </x:c>
      <x:c r="G190" s="169" t="s">
        <x:v>1534</x:v>
      </x:c>
      <x:c r="H190" s="169" t="s">
        <x:v>1415</x:v>
      </x:c>
      <x:c r="I190" s="169"/>
      <x:c r="J190" s="169" t="s">
        <x:v>1416</x:v>
      </x:c>
      <x:c r="K190" s="169" t="s">
        <x:v>1417</x:v>
      </x:c>
      <x:c r="L190" s="169" t="s">
        <x:v>1418</x:v>
      </x:c>
      <x:c r="M190" s="169" t="s">
        <x:v>1500</x:v>
      </x:c>
      <x:c r="N190" s="169" t="s">
        <x:v>1418</x:v>
      </x:c>
      <x:c r="O190" s="169" t="s">
        <x:v>1435</x:v>
      </x:c>
      <x:c r="P190" s="169" t="s">
        <x:v>1402</x:v>
      </x:c>
      <x:c r="Q190" s="169" t="s">
        <x:v>1405</x:v>
      </x:c>
      <x:c r="R190" s="169" t="s">
        <x:v>1422</x:v>
      </x:c>
      <x:c r="S190" s="169" t="s">
        <x:v>1422</x:v>
      </x:c>
      <x:c r="T190" s="169" t="s">
        <x:v>1422</x:v>
      </x:c>
      <x:c r="U190" s="169" t="s">
        <x:v>1422</x:v>
      </x:c>
      <x:c r="V190" s="169" t="s">
        <x:v>1422</x:v>
      </x:c>
      <x:c r="W190" s="169"/>
      <x:c r="X190" s="169" t="str">
        <x:f t="shared" si="22"/>
        <x:v>Tidak ada faktor rentan</x:v>
      </x:c>
      <x:c r="Y190" s="169" t="str">
        <x:f t="shared" si="23"/>
        <x:v>Tidak Ada Faktor Rentan</x:v>
      </x:c>
      <x:c r="Z190" s="170">
        <x:f t="shared" si="24"/>
        <x:v>10</x:v>
      </x:c>
      <x:c r="AA190" s="170">
        <x:f t="shared" si="25"/>
        <x:v>0</x:v>
      </x:c>
      <x:c r="AB190" s="170">
        <x:f t="shared" si="26"/>
        <x:v>10</x:v>
      </x:c>
      <x:c r="AC190" s="169" t="s">
        <x:v>1406</x:v>
      </x:c>
      <x:c r="AD190" s="169" t="s">
        <x:v>1422</x:v>
      </x:c>
      <x:c r="AE190" s="169" t="s">
        <x:v>1406</x:v>
      </x:c>
      <x:c r="AF190" s="169" t="s">
        <x:v>1422</x:v>
      </x:c>
      <x:c r="AG190" s="169" t="s">
        <x:v>1406</x:v>
      </x:c>
      <x:c r="AH190" s="169" t="s">
        <x:v>1406</x:v>
      </x:c>
      <x:c r="AI190" s="169" t="s">
        <x:v>1422</x:v>
      </x:c>
      <x:c r="AJ190" s="169" t="s">
        <x:v>1422</x:v>
      </x:c>
      <x:c r="AK190" s="169" t="s">
        <x:v>1422</x:v>
      </x:c>
      <x:c r="AL190" s="169"/>
      <x:c r="AM190" s="169"/>
      <x:c r="AN190" s="169" t="str">
        <x:f t="shared" si="27"/>
        <x:v>Bangunan berpotensi roboh; Atap atau dinding utama hampir runtuh; Struktur rumah tidak stabil; Instalasi listrik berbahaya; </x:v>
      </x:c>
      <x:c r="AO190" s="169" t="str">
        <x:f t="shared" si="28"/>
        <x:v>Risiko Tinggi/Darurat</x:v>
      </x:c>
      <x:c r="AP190" s="169"/>
      <x:c r="AQ190" s="170">
        <x:f t="shared" si="29"/>
        <x:v>18</x:v>
      </x:c>
      <x:c r="AR190" s="170">
        <x:f t="shared" si="30"/>
        <x:v>10</x:v>
      </x:c>
      <x:c r="AS190" s="170">
        <x:f t="shared" si="31"/>
        <x:v>38</x:v>
      </x:c>
      <x:c r="AT190" s="169" t="str">
        <x:f t="shared" si="32"/>
        <x:v>Tinggi</x:v>
      </x:c>
      <x:c r="AU190" s="169" t="s">
        <x:v>1408</x:v>
      </x:c>
      <x:c r="AV190" s="169" t="s">
        <x:v>1425</x:v>
      </x:c>
      <x:c r="AW190" s="169" t="s">
        <x:v>1490</x:v>
      </x:c>
      <x:c r="AX190" s="169" t="s">
        <x:v>1427</x:v>
      </x:c>
      <x:c r="AY190" s="169">
        <x:v>2026</x:v>
      </x:c>
      <x:c r="AZ190" s="169" t="s">
        <x:v>1412</x:v>
      </x:c>
      <x:c r="BA190" s="169"/>
      <x:c r="BB190" s="171"/>
      <x:c r="BC190" s="170">
        <x:v>2025</x:v>
      </x:c>
      <x:c r="BD190" s="169" t="s">
        <x:v>1429</x:v>
      </x:c>
      <x:c r="BE190" s="171"/>
      <x:c r="BF190" s="169" t="s">
        <x:v>1501</x:v>
      </x:c>
    </x:row>
    <x:row r="191" ht="28">
      <x:c r="A191" s="169" t="s">
        <x:v>2249</x:v>
      </x:c>
      <x:c r="B191" s="169" t="s">
        <x:v>2250</x:v>
      </x:c>
      <x:c r="C191" s="169" t="s">
        <x:v>2251</x:v>
      </x:c>
      <x:c r="D191" s="169" t="s">
        <x:v>2252</x:v>
      </x:c>
      <x:c r="E191" s="169" t="s">
        <x:v>2253</x:v>
      </x:c>
      <x:c r="F191" s="169" t="s">
        <x:v>1574</x:v>
      </x:c>
      <x:c r="G191" s="169" t="s">
        <x:v>1575</x:v>
      </x:c>
      <x:c r="H191" s="169" t="s">
        <x:v>1415</x:v>
      </x:c>
      <x:c r="I191" s="169"/>
      <x:c r="J191" s="169" t="s">
        <x:v>1416</x:v>
      </x:c>
      <x:c r="K191" s="169" t="s">
        <x:v>1417</x:v>
      </x:c>
      <x:c r="L191" s="169" t="s">
        <x:v>1418</x:v>
      </x:c>
      <x:c r="M191" s="169" t="s">
        <x:v>1500</x:v>
      </x:c>
      <x:c r="N191" s="169" t="s">
        <x:v>1418</x:v>
      </x:c>
      <x:c r="O191" s="169" t="s">
        <x:v>1435</x:v>
      </x:c>
      <x:c r="P191" s="169" t="s">
        <x:v>1418</x:v>
      </x:c>
      <x:c r="Q191" s="169" t="s">
        <x:v>1405</x:v>
      </x:c>
      <x:c r="R191" s="169" t="s">
        <x:v>1422</x:v>
      </x:c>
      <x:c r="S191" s="169" t="s">
        <x:v>1422</x:v>
      </x:c>
      <x:c r="T191" s="169" t="s">
        <x:v>1422</x:v>
      </x:c>
      <x:c r="U191" s="169" t="s">
        <x:v>1422</x:v>
      </x:c>
      <x:c r="V191" s="169" t="s">
        <x:v>1422</x:v>
      </x:c>
      <x:c r="W191" s="169"/>
      <x:c r="X191" s="169" t="str">
        <x:f t="shared" si="22"/>
        <x:v>Tidak ada faktor rentan</x:v>
      </x:c>
      <x:c r="Y191" s="169" t="str">
        <x:f t="shared" si="23"/>
        <x:v>Tidak Ada Faktor Rentan</x:v>
      </x:c>
      <x:c r="Z191" s="170">
        <x:f t="shared" si="24"/>
        <x:v>10</x:v>
      </x:c>
      <x:c r="AA191" s="170">
        <x:f t="shared" si="25"/>
        <x:v>0</x:v>
      </x:c>
      <x:c r="AB191" s="170">
        <x:f t="shared" si="26"/>
        <x:v>10</x:v>
      </x:c>
      <x:c r="AC191" s="169" t="s">
        <x:v>1422</x:v>
      </x:c>
      <x:c r="AD191" s="169" t="s">
        <x:v>1422</x:v>
      </x:c>
      <x:c r="AE191" s="169" t="s">
        <x:v>1422</x:v>
      </x:c>
      <x:c r="AF191" s="169" t="s">
        <x:v>1406</x:v>
      </x:c>
      <x:c r="AG191" s="169" t="s">
        <x:v>1406</x:v>
      </x:c>
      <x:c r="AH191" s="169" t="s">
        <x:v>1406</x:v>
      </x:c>
      <x:c r="AI191" s="169" t="s">
        <x:v>1406</x:v>
      </x:c>
      <x:c r="AJ191" s="169" t="s">
        <x:v>1422</x:v>
      </x:c>
      <x:c r="AK191" s="169" t="s">
        <x:v>1422</x:v>
      </x:c>
      <x:c r="AL191" s="169"/>
      <x:c r="AM191" s="169"/>
      <x:c r="AN191" s="169" t="str">
        <x:f t="shared" si="27"/>
        <x:v>Genangan yang membahayakan; Struktur rumah tidak stabil; Instalasi listrik berbahaya; Komponen bangunan lepas atau lapuk; </x:v>
      </x:c>
      <x:c r="AO191" s="169" t="str">
        <x:f t="shared" si="28"/>
        <x:v>Risiko Tinggi/Darurat</x:v>
      </x:c>
      <x:c r="AP191" s="169"/>
      <x:c r="AQ191" s="170">
        <x:f t="shared" si="29"/>
        <x:v>22</x:v>
      </x:c>
      <x:c r="AR191" s="170">
        <x:f t="shared" si="30"/>
        <x:v>10</x:v>
      </x:c>
      <x:c r="AS191" s="170">
        <x:f t="shared" si="31"/>
        <x:v>42</x:v>
      </x:c>
      <x:c r="AT191" s="169" t="str">
        <x:f t="shared" si="32"/>
        <x:v>Tinggi</x:v>
      </x:c>
      <x:c r="AU191" s="169" t="s">
        <x:v>1408</x:v>
      </x:c>
      <x:c r="AV191" s="169" t="s">
        <x:v>1425</x:v>
      </x:c>
      <x:c r="AW191" s="169" t="s">
        <x:v>1490</x:v>
      </x:c>
      <x:c r="AX191" s="169" t="s">
        <x:v>1427</x:v>
      </x:c>
      <x:c r="AY191" s="169">
        <x:v>2026</x:v>
      </x:c>
      <x:c r="AZ191" s="169" t="s">
        <x:v>1412</x:v>
      </x:c>
      <x:c r="BA191" s="169"/>
      <x:c r="BB191" s="171"/>
      <x:c r="BC191" s="170">
        <x:v>2025</x:v>
      </x:c>
      <x:c r="BD191" s="169" t="s">
        <x:v>1429</x:v>
      </x:c>
      <x:c r="BE191" s="171"/>
      <x:c r="BF191" s="169" t="s">
        <x:v>1501</x:v>
      </x:c>
    </x:row>
    <x:row r="192" ht="28">
      <x:c r="A192" s="169" t="s">
        <x:v>2254</x:v>
      </x:c>
      <x:c r="B192" s="169" t="s">
        <x:v>2255</x:v>
      </x:c>
      <x:c r="C192" s="169"/>
      <x:c r="D192" s="169"/>
      <x:c r="E192" s="169" t="s">
        <x:v>2256</x:v>
      </x:c>
      <x:c r="F192" s="169" t="s">
        <x:v>1574</x:v>
      </x:c>
      <x:c r="G192" s="169" t="s">
        <x:v>1575</x:v>
      </x:c>
      <x:c r="H192" s="169" t="s">
        <x:v>1399</x:v>
      </x:c>
      <x:c r="I192" s="169"/>
      <x:c r="J192" s="169" t="s">
        <x:v>1416</x:v>
      </x:c>
      <x:c r="K192" s="169" t="s">
        <x:v>1432</x:v>
      </x:c>
      <x:c r="L192" s="169" t="s">
        <x:v>1418</x:v>
      </x:c>
      <x:c r="M192" s="169" t="s">
        <x:v>1500</x:v>
      </x:c>
      <x:c r="N192" s="169" t="s">
        <x:v>1418</x:v>
      </x:c>
      <x:c r="O192" s="169" t="s">
        <x:v>1435</x:v>
      </x:c>
      <x:c r="P192" s="169" t="s">
        <x:v>1418</x:v>
      </x:c>
      <x:c r="Q192" s="169" t="s">
        <x:v>1405</x:v>
      </x:c>
      <x:c r="R192" s="169" t="s">
        <x:v>1422</x:v>
      </x:c>
      <x:c r="S192" s="169" t="s">
        <x:v>1422</x:v>
      </x:c>
      <x:c r="T192" s="169" t="s">
        <x:v>1422</x:v>
      </x:c>
      <x:c r="U192" s="169" t="s">
        <x:v>1422</x:v>
      </x:c>
      <x:c r="V192" s="169" t="s">
        <x:v>1422</x:v>
      </x:c>
      <x:c r="W192" s="169"/>
      <x:c r="X192" s="169" t="str">
        <x:f t="shared" si="22"/>
        <x:v>Tidak ada faktor rentan</x:v>
      </x:c>
      <x:c r="Y192" s="169" t="str">
        <x:f t="shared" si="23"/>
        <x:v>Tidak Ada Faktor Rentan</x:v>
      </x:c>
      <x:c r="Z192" s="170">
        <x:f t="shared" si="24"/>
        <x:v>10</x:v>
      </x:c>
      <x:c r="AA192" s="170">
        <x:f t="shared" si="25"/>
        <x:v>0</x:v>
      </x:c>
      <x:c r="AB192" s="170">
        <x:f t="shared" si="26"/>
        <x:v>10</x:v>
      </x:c>
      <x:c r="AC192" s="169" t="s">
        <x:v>1422</x:v>
      </x:c>
      <x:c r="AD192" s="169" t="s">
        <x:v>1422</x:v>
      </x:c>
      <x:c r="AE192" s="169" t="s">
        <x:v>1422</x:v>
      </x:c>
      <x:c r="AF192" s="169" t="s">
        <x:v>1422</x:v>
      </x:c>
      <x:c r="AG192" s="169" t="s">
        <x:v>1406</x:v>
      </x:c>
      <x:c r="AH192" s="169" t="s">
        <x:v>1406</x:v>
      </x:c>
      <x:c r="AI192" s="169" t="s">
        <x:v>1406</x:v>
      </x:c>
      <x:c r="AJ192" s="169" t="s">
        <x:v>1422</x:v>
      </x:c>
      <x:c r="AK192" s="169" t="s">
        <x:v>1422</x:v>
      </x:c>
      <x:c r="AL192" s="169"/>
      <x:c r="AM192" s="169"/>
      <x:c r="AN192" s="169" t="str">
        <x:f t="shared" si="27"/>
        <x:v>Struktur rumah tidak stabil; Instalasi listrik berbahaya; Komponen bangunan lepas atau lapuk; </x:v>
      </x:c>
      <x:c r="AO192" s="169" t="str">
        <x:f t="shared" si="28"/>
        <x:v>Risiko Tinggi/Darurat</x:v>
      </x:c>
      <x:c r="AP192" s="169"/>
      <x:c r="AQ192" s="170">
        <x:f t="shared" si="29"/>
        <x:v>22</x:v>
      </x:c>
      <x:c r="AR192" s="170">
        <x:f t="shared" si="30"/>
        <x:v>10</x:v>
      </x:c>
      <x:c r="AS192" s="170">
        <x:f t="shared" si="31"/>
        <x:v>42</x:v>
      </x:c>
      <x:c r="AT192" s="169" t="str">
        <x:f t="shared" si="32"/>
        <x:v>Tinggi</x:v>
      </x:c>
      <x:c r="AU192" s="169" t="s">
        <x:v>1424</x:v>
      </x:c>
      <x:c r="AV192" s="169" t="s">
        <x:v>1425</x:v>
      </x:c>
      <x:c r="AW192" s="169" t="s">
        <x:v>1410</x:v>
      </x:c>
      <x:c r="AX192" s="59" t="s">
        <x:v>1411</x:v>
      </x:c>
      <x:c r="AY192" s="169"/>
      <x:c r="AZ192" s="169" t="s">
        <x:v>1409</x:v>
      </x:c>
      <x:c r="BA192" s="169"/>
      <x:c r="BB192" s="171"/>
      <x:c r="BC192" s="170">
        <x:v>2025</x:v>
      </x:c>
      <x:c r="BD192" s="169" t="s">
        <x:v>1429</x:v>
      </x:c>
      <x:c r="BE192" s="171"/>
      <x:c r="BF192" s="169" t="s">
        <x:v>1501</x:v>
      </x:c>
    </x:row>
    <x:row r="193" ht="28">
      <x:c r="A193" s="169" t="s">
        <x:v>2257</x:v>
      </x:c>
      <x:c r="B193" s="169" t="s">
        <x:v>2258</x:v>
      </x:c>
      <x:c r="C193" s="169"/>
      <x:c r="D193" s="169"/>
      <x:c r="E193" s="169" t="s">
        <x:v>2259</x:v>
      </x:c>
      <x:c r="F193" s="169" t="s">
        <x:v>1574</x:v>
      </x:c>
      <x:c r="G193" s="169" t="s">
        <x:v>1575</x:v>
      </x:c>
      <x:c r="H193" s="169" t="s">
        <x:v>1415</x:v>
      </x:c>
      <x:c r="I193" s="169"/>
      <x:c r="J193" s="169" t="s">
        <x:v>1416</x:v>
      </x:c>
      <x:c r="K193" s="169" t="s">
        <x:v>1417</x:v>
      </x:c>
      <x:c r="L193" s="169" t="s">
        <x:v>1402</x:v>
      </x:c>
      <x:c r="M193" s="169" t="s">
        <x:v>1500</x:v>
      </x:c>
      <x:c r="N193" s="169" t="s">
        <x:v>1402</x:v>
      </x:c>
      <x:c r="O193" s="169" t="s">
        <x:v>1435</x:v>
      </x:c>
      <x:c r="P193" s="169" t="s">
        <x:v>1402</x:v>
      </x:c>
      <x:c r="Q193" s="169" t="s">
        <x:v>1437</x:v>
      </x:c>
      <x:c r="R193" s="169" t="s">
        <x:v>1422</x:v>
      </x:c>
      <x:c r="S193" s="169" t="s">
        <x:v>1422</x:v>
      </x:c>
      <x:c r="T193" s="169" t="s">
        <x:v>1422</x:v>
      </x:c>
      <x:c r="U193" s="169"/>
      <x:c r="V193" s="169"/>
      <x:c r="W193" s="169"/>
      <x:c r="X193" s="169" t="str">
        <x:f t="shared" si="22"/>
        <x:v>Tidak ada faktor rentan</x:v>
      </x:c>
      <x:c r="Y193" s="169" t="str">
        <x:f t="shared" si="23"/>
        <x:v>Tidak Ada Faktor Rentan</x:v>
      </x:c>
      <x:c r="Z193" s="170" t="str">
        <x:f t="shared" si="24"/>
      </x:c>
      <x:c r="AA193" s="170">
        <x:f t="shared" si="25"/>
        <x:v>0</x:v>
      </x:c>
      <x:c r="AB193" s="170" t="str">
        <x:f t="shared" si="26"/>
      </x:c>
      <x:c r="AC193" s="169" t="s">
        <x:v>1422</x:v>
      </x:c>
      <x:c r="AD193" s="169" t="s">
        <x:v>1422</x:v>
      </x:c>
      <x:c r="AE193" s="169" t="s">
        <x:v>1422</x:v>
      </x:c>
      <x:c r="AF193" s="169" t="s">
        <x:v>1422</x:v>
      </x:c>
      <x:c r="AG193" s="169" t="s">
        <x:v>1422</x:v>
      </x:c>
      <x:c r="AH193" s="169" t="s">
        <x:v>1422</x:v>
      </x:c>
      <x:c r="AI193" s="169" t="s">
        <x:v>1406</x:v>
      </x:c>
      <x:c r="AJ193" s="169" t="s">
        <x:v>1422</x:v>
      </x:c>
      <x:c r="AK193" s="169" t="s">
        <x:v>1422</x:v>
      </x:c>
      <x:c r="AL193" s="169"/>
      <x:c r="AM193" s="169"/>
      <x:c r="AN193" s="169" t="str">
        <x:f t="shared" si="27"/>
        <x:v>Komponen bangunan lepas atau lapuk; </x:v>
      </x:c>
      <x:c r="AO193" s="169" t="str">
        <x:f t="shared" si="28"/>
        <x:v>Risiko Sedang</x:v>
      </x:c>
      <x:c r="AP193" s="169"/>
      <x:c r="AQ193" s="170">
        <x:f t="shared" si="29"/>
        <x:v>8</x:v>
      </x:c>
      <x:c r="AR193" s="170">
        <x:f t="shared" si="30"/>
        <x:v>5</x:v>
      </x:c>
      <x:c r="AS193" s="170" t="str">
        <x:f t="shared" si="31"/>
      </x:c>
      <x:c r="AT193" s="169" t="str">
        <x:f t="shared" si="32"/>
        <x:v>Belum Dapat Ditentukan</x:v>
      </x:c>
      <x:c r="AU193" s="169" t="s">
        <x:v>1408</x:v>
      </x:c>
      <x:c r="AV193" s="169" t="s">
        <x:v>1425</x:v>
      </x:c>
      <x:c r="AW193" s="169" t="s">
        <x:v>1410</x:v>
      </x:c>
      <x:c r="AX193" s="59" t="s">
        <x:v>1411</x:v>
      </x:c>
      <x:c r="AY193" s="169"/>
      <x:c r="AZ193" s="169" t="s">
        <x:v>1412</x:v>
      </x:c>
      <x:c r="BA193" s="169"/>
      <x:c r="BB193" s="171"/>
      <x:c r="BC193" s="170">
        <x:v>2025</x:v>
      </x:c>
      <x:c r="BD193" s="169" t="s">
        <x:v>1429</x:v>
      </x:c>
      <x:c r="BE193" s="171"/>
      <x:c r="BF193" s="169" t="s">
        <x:v>1501</x:v>
      </x:c>
    </x:row>
    <x:row r="194" ht="28">
      <x:c r="A194" s="169" t="s">
        <x:v>2260</x:v>
      </x:c>
      <x:c r="B194" s="169" t="s">
        <x:v>2261</x:v>
      </x:c>
      <x:c r="C194" s="169" t="s">
        <x:v>2262</x:v>
      </x:c>
      <x:c r="D194" s="169" t="s">
        <x:v>2263</x:v>
      </x:c>
      <x:c r="E194" s="169" t="s">
        <x:v>2264</x:v>
      </x:c>
      <x:c r="F194" s="169" t="s">
        <x:v>1574</x:v>
      </x:c>
      <x:c r="G194" s="169" t="s">
        <x:v>1575</x:v>
      </x:c>
      <x:c r="H194" s="169" t="s">
        <x:v>1415</x:v>
      </x:c>
      <x:c r="I194" s="169"/>
      <x:c r="J194" s="169" t="s">
        <x:v>1416</x:v>
      </x:c>
      <x:c r="K194" s="169" t="s">
        <x:v>1417</x:v>
      </x:c>
      <x:c r="L194" s="169" t="s">
        <x:v>1418</x:v>
      </x:c>
      <x:c r="M194" s="169" t="s">
        <x:v>1419</x:v>
      </x:c>
      <x:c r="N194" s="169" t="s">
        <x:v>1418</x:v>
      </x:c>
      <x:c r="O194" s="169" t="s">
        <x:v>1435</x:v>
      </x:c>
      <x:c r="P194" s="169" t="s">
        <x:v>1418</x:v>
      </x:c>
      <x:c r="Q194" s="169" t="s">
        <x:v>1405</x:v>
      </x:c>
      <x:c r="R194" s="169" t="s">
        <x:v>1406</x:v>
      </x:c>
      <x:c r="S194" s="169" t="s">
        <x:v>1422</x:v>
      </x:c>
      <x:c r="T194" s="169" t="s">
        <x:v>1406</x:v>
      </x:c>
      <x:c r="U194" s="169" t="s">
        <x:v>1422</x:v>
      </x:c>
      <x:c r="V194" s="169" t="s">
        <x:v>1422</x:v>
      </x:c>
      <x:c r="W194" s="169"/>
      <x:c r="X194" s="169" t="str">
        <x:f t="shared" si="22"/>
        <x:v>Lansia; Kepala keluarga perempuan; </x:v>
      </x:c>
      <x:c r="Y194" s="169" t="str">
        <x:f t="shared" si="23"/>
        <x:v>2 atau Lebih Faktor Rentan</x:v>
      </x:c>
      <x:c r="Z194" s="170">
        <x:f t="shared" si="24"/>
        <x:v>10</x:v>
      </x:c>
      <x:c r="AA194" s="170">
        <x:f t="shared" si="25"/>
        <x:v>10</x:v>
      </x:c>
      <x:c r="AB194" s="170">
        <x:f t="shared" si="26"/>
        <x:v>20</x:v>
      </x:c>
      <x:c r="AC194" s="169" t="s">
        <x:v>1422</x:v>
      </x:c>
      <x:c r="AD194" s="169" t="s">
        <x:v>1422</x:v>
      </x:c>
      <x:c r="AE194" s="169" t="s">
        <x:v>1406</x:v>
      </x:c>
      <x:c r="AF194" s="169" t="s">
        <x:v>1422</x:v>
      </x:c>
      <x:c r="AG194" s="169" t="s">
        <x:v>1406</x:v>
      </x:c>
      <x:c r="AH194" s="169" t="s">
        <x:v>1406</x:v>
      </x:c>
      <x:c r="AI194" s="169" t="s">
        <x:v>1406</x:v>
      </x:c>
      <x:c r="AJ194" s="169" t="s">
        <x:v>1422</x:v>
      </x:c>
      <x:c r="AK194" s="169" t="s">
        <x:v>1422</x:v>
      </x:c>
      <x:c r="AL194" s="169"/>
      <x:c r="AM194" s="169"/>
      <x:c r="AN194" s="169" t="str">
        <x:f t="shared" si="27"/>
        <x:v>Atap atau dinding utama hampir runtuh; Struktur rumah tidak stabil; Instalasi listrik berbahaya; Komponen bangunan lepas atau lapuk; </x:v>
      </x:c>
      <x:c r="AO194" s="169" t="str">
        <x:f t="shared" si="28"/>
        <x:v>Risiko Tinggi/Darurat</x:v>
      </x:c>
      <x:c r="AP194" s="169"/>
      <x:c r="AQ194" s="170">
        <x:f t="shared" si="29"/>
        <x:v>22</x:v>
      </x:c>
      <x:c r="AR194" s="170">
        <x:f t="shared" si="30"/>
        <x:v>10</x:v>
      </x:c>
      <x:c r="AS194" s="170">
        <x:f t="shared" si="31"/>
        <x:v>52</x:v>
      </x:c>
      <x:c r="AT194" s="169" t="str">
        <x:f t="shared" si="32"/>
        <x:v>Tinggi</x:v>
      </x:c>
      <x:c r="AU194" s="169" t="s">
        <x:v>1408</x:v>
      </x:c>
      <x:c r="AV194" s="169" t="s">
        <x:v>1425</x:v>
      </x:c>
      <x:c r="AW194" s="169" t="s">
        <x:v>1490</x:v>
      </x:c>
      <x:c r="AX194" s="169" t="s">
        <x:v>1427</x:v>
      </x:c>
      <x:c r="AY194" s="169">
        <x:v>2026</x:v>
      </x:c>
      <x:c r="AZ194" s="169" t="s">
        <x:v>1412</x:v>
      </x:c>
      <x:c r="BA194" s="169"/>
      <x:c r="BB194" s="171"/>
      <x:c r="BC194" s="170">
        <x:v>2025</x:v>
      </x:c>
      <x:c r="BD194" s="169" t="s">
        <x:v>1413</x:v>
      </x:c>
      <x:c r="BE194" s="171"/>
      <x:c r="BF194" s="169" t="s">
        <x:v>1501</x:v>
      </x:c>
    </x:row>
    <x:row r="195" ht="28">
      <x:c r="A195" s="169" t="s">
        <x:v>2265</x:v>
      </x:c>
      <x:c r="B195" s="169" t="s">
        <x:v>2266</x:v>
      </x:c>
      <x:c r="C195" s="169"/>
      <x:c r="D195" s="169"/>
      <x:c r="E195" s="169" t="s">
        <x:v>2267</x:v>
      </x:c>
      <x:c r="F195" s="169" t="s">
        <x:v>1574</x:v>
      </x:c>
      <x:c r="G195" s="169" t="s">
        <x:v>1575</x:v>
      </x:c>
      <x:c r="H195" s="169" t="s">
        <x:v>1399</x:v>
      </x:c>
      <x:c r="I195" s="169"/>
      <x:c r="J195" s="169" t="s">
        <x:v>1400</x:v>
      </x:c>
      <x:c r="K195" s="169" t="s">
        <x:v>1417</x:v>
      </x:c>
      <x:c r="L195" s="169" t="s">
        <x:v>1418</x:v>
      </x:c>
      <x:c r="M195" s="169" t="s">
        <x:v>1419</x:v>
      </x:c>
      <x:c r="N195" s="169" t="s">
        <x:v>1418</x:v>
      </x:c>
      <x:c r="O195" s="169" t="s">
        <x:v>1404</x:v>
      </x:c>
      <x:c r="P195" s="169" t="s">
        <x:v>1402</x:v>
      </x:c>
      <x:c r="Q195" s="169" t="s">
        <x:v>1405</x:v>
      </x:c>
      <x:c r="R195" s="169" t="s">
        <x:v>1422</x:v>
      </x:c>
      <x:c r="S195" s="169" t="s">
        <x:v>1422</x:v>
      </x:c>
      <x:c r="T195" s="169" t="s">
        <x:v>1422</x:v>
      </x:c>
      <x:c r="U195" s="169" t="s">
        <x:v>1422</x:v>
      </x:c>
      <x:c r="V195" s="169" t="s">
        <x:v>1422</x:v>
      </x:c>
      <x:c r="W195" s="169"/>
      <x:c r="X195" s="169" t="str">
        <x:f t="shared" si="22"/>
        <x:v>Tidak ada faktor rentan</x:v>
      </x:c>
      <x:c r="Y195" s="169" t="str">
        <x:f t="shared" si="23"/>
        <x:v>Tidak Ada Faktor Rentan</x:v>
      </x:c>
      <x:c r="Z195" s="170">
        <x:f t="shared" si="24"/>
        <x:v>10</x:v>
      </x:c>
      <x:c r="AA195" s="170">
        <x:f t="shared" si="25"/>
        <x:v>0</x:v>
      </x:c>
      <x:c r="AB195" s="170">
        <x:f t="shared" si="26"/>
        <x:v>10</x:v>
      </x:c>
      <x:c r="AC195" s="169" t="s">
        <x:v>1422</x:v>
      </x:c>
      <x:c r="AD195" s="169" t="s">
        <x:v>1422</x:v>
      </x:c>
      <x:c r="AE195" s="169" t="s">
        <x:v>1422</x:v>
      </x:c>
      <x:c r="AF195" s="169" t="s">
        <x:v>1437</x:v>
      </x:c>
      <x:c r="AG195" s="169" t="s">
        <x:v>1437</x:v>
      </x:c>
      <x:c r="AH195" s="169" t="s">
        <x:v>1437</x:v>
      </x:c>
      <x:c r="AI195" s="169" t="s">
        <x:v>1437</x:v>
      </x:c>
      <x:c r="AJ195" s="169" t="s">
        <x:v>1422</x:v>
      </x:c>
      <x:c r="AK195" s="169" t="s">
        <x:v>1422</x:v>
      </x:c>
      <x:c r="AL195" s="169"/>
      <x:c r="AM195" s="169"/>
      <x:c r="AN195" s="169" t="str">
        <x:f t="shared" si="27"/>
        <x:v>Belum Dinilai</x:v>
      </x:c>
      <x:c r="AO195" s="169" t="str">
        <x:f t="shared" si="28"/>
        <x:v>Belum Dinilai</x:v>
      </x:c>
      <x:c r="AP195" s="169"/>
      <x:c r="AQ195" s="170">
        <x:f t="shared" si="29"/>
        <x:v>10</x:v>
      </x:c>
      <x:c r="AR195" s="170" t="str">
        <x:f t="shared" si="30"/>
      </x:c>
      <x:c r="AS195" s="170" t="str">
        <x:f t="shared" si="31"/>
      </x:c>
      <x:c r="AT195" s="169" t="str">
        <x:f t="shared" si="32"/>
        <x:v>Belum Dapat Ditentukan</x:v>
      </x:c>
      <x:c r="AU195" s="169"/>
      <x:c r="AV195" s="169"/>
      <x:c r="AW195" s="169"/>
      <x:c r="AX195" s="59" t="s">
        <x:v>1411</x:v>
      </x:c>
      <x:c r="AY195" s="169"/>
      <x:c r="AZ195" s="169"/>
      <x:c r="BA195" s="169"/>
      <x:c r="BB195" s="171"/>
      <x:c r="BC195" s="170"/>
      <x:c r="BD195" s="169"/>
      <x:c r="BE195" s="171"/>
      <x:c r="BF195" s="169" t="s">
        <x:v>1501</x:v>
      </x:c>
    </x:row>
    <x:row r="196" ht="28">
      <x:c r="A196" s="169" t="s">
        <x:v>2268</x:v>
      </x:c>
      <x:c r="B196" s="169" t="s">
        <x:v>2269</x:v>
      </x:c>
      <x:c r="C196" s="169"/>
      <x:c r="D196" s="169"/>
      <x:c r="E196" s="169"/>
      <x:c r="F196" s="169" t="s">
        <x:v>2270</x:v>
      </x:c>
      <x:c r="G196" s="169" t="s">
        <x:v>1534</x:v>
      </x:c>
      <x:c r="H196" s="169" t="s">
        <x:v>1399</x:v>
      </x:c>
      <x:c r="I196" s="169"/>
      <x:c r="J196" s="169" t="s">
        <x:v>1416</x:v>
      </x:c>
      <x:c r="K196" s="169" t="s">
        <x:v>1417</x:v>
      </x:c>
      <x:c r="L196" s="169" t="s">
        <x:v>1433</x:v>
      </x:c>
      <x:c r="M196" s="169" t="s">
        <x:v>1500</x:v>
      </x:c>
      <x:c r="N196" s="169" t="s">
        <x:v>1418</x:v>
      </x:c>
      <x:c r="O196" s="169" t="s">
        <x:v>1435</x:v>
      </x:c>
      <x:c r="P196" s="169" t="s">
        <x:v>1418</x:v>
      </x:c>
      <x:c r="Q196" s="169" t="s">
        <x:v>1405</x:v>
      </x:c>
      <x:c r="R196" s="169"/>
      <x:c r="S196" s="169"/>
      <x:c r="T196" s="169"/>
      <x:c r="U196" s="169"/>
      <x:c r="V196" s="169"/>
      <x:c r="W196" s="169"/>
      <x:c r="X196" s="169" t="str">
        <x:f t="shared" si="22"/>
        <x:v>Tidak ada faktor rentan</x:v>
      </x:c>
      <x:c r="Y196" s="169" t="str">
        <x:f t="shared" si="23"/>
        <x:v>Tidak Ada Faktor Rentan</x:v>
      </x:c>
      <x:c r="Z196" s="170">
        <x:f t="shared" si="24"/>
        <x:v>10</x:v>
      </x:c>
      <x:c r="AA196" s="170">
        <x:f t="shared" si="25"/>
        <x:v>0</x:v>
      </x:c>
      <x:c r="AB196" s="170">
        <x:f t="shared" si="26"/>
        <x:v>10</x:v>
      </x:c>
      <x:c r="AC196" s="169" t="s">
        <x:v>1422</x:v>
      </x:c>
      <x:c r="AD196" s="169" t="s">
        <x:v>1422</x:v>
      </x:c>
      <x:c r="AE196" s="169" t="s">
        <x:v>1406</x:v>
      </x:c>
      <x:c r="AF196" s="169" t="s">
        <x:v>1422</x:v>
      </x:c>
      <x:c r="AG196" s="169" t="s">
        <x:v>1422</x:v>
      </x:c>
      <x:c r="AH196" s="169" t="s">
        <x:v>1422</x:v>
      </x:c>
      <x:c r="AI196" s="169" t="s">
        <x:v>1406</x:v>
      </x:c>
      <x:c r="AJ196" s="169" t="s">
        <x:v>1422</x:v>
      </x:c>
      <x:c r="AK196" s="169" t="s">
        <x:v>1422</x:v>
      </x:c>
      <x:c r="AL196" s="169"/>
      <x:c r="AM196" s="169"/>
      <x:c r="AN196" s="169" t="str">
        <x:f t="shared" si="27"/>
        <x:v>Atap atau dinding utama hampir runtuh; Komponen bangunan lepas atau lapuk; </x:v>
      </x:c>
      <x:c r="AO196" s="169" t="str">
        <x:f t="shared" si="28"/>
        <x:v>Risiko Tinggi/Darurat</x:v>
      </x:c>
      <x:c r="AP196" s="169"/>
      <x:c r="AQ196" s="170">
        <x:f t="shared" si="29"/>
        <x:v>27</x:v>
      </x:c>
      <x:c r="AR196" s="170">
        <x:f t="shared" si="30"/>
        <x:v>10</x:v>
      </x:c>
      <x:c r="AS196" s="170">
        <x:f t="shared" si="31"/>
        <x:v>47</x:v>
      </x:c>
      <x:c r="AT196" s="169" t="str">
        <x:f t="shared" si="32"/>
        <x:v>Tinggi</x:v>
      </x:c>
      <x:c r="AU196" s="169" t="s">
        <x:v>1424</x:v>
      </x:c>
      <x:c r="AV196" s="169" t="s">
        <x:v>1425</x:v>
      </x:c>
      <x:c r="AW196" s="169" t="s">
        <x:v>1410</x:v>
      </x:c>
      <x:c r="AX196" s="59" t="s">
        <x:v>1411</x:v>
      </x:c>
      <x:c r="AY196" s="169"/>
      <x:c r="AZ196" s="169"/>
      <x:c r="BA196" s="169"/>
      <x:c r="BB196" s="171"/>
      <x:c r="BC196" s="170">
        <x:v>2025</x:v>
      </x:c>
      <x:c r="BD196" s="169" t="s">
        <x:v>1429</x:v>
      </x:c>
      <x:c r="BE196" s="171"/>
      <x:c r="BF196" s="169" t="s">
        <x:v>1501</x:v>
      </x:c>
    </x:row>
    <x:row r="197" ht="28">
      <x:c r="A197" s="169" t="s">
        <x:v>2271</x:v>
      </x:c>
      <x:c r="B197" s="169" t="s">
        <x:v>2272</x:v>
      </x:c>
      <x:c r="C197" s="169"/>
      <x:c r="D197" s="169"/>
      <x:c r="E197" s="169"/>
      <x:c r="F197" s="169" t="s">
        <x:v>2270</x:v>
      </x:c>
      <x:c r="G197" s="169" t="s">
        <x:v>1534</x:v>
      </x:c>
      <x:c r="H197" s="169" t="s">
        <x:v>1399</x:v>
      </x:c>
      <x:c r="I197" s="169"/>
      <x:c r="J197" s="169" t="s">
        <x:v>1431</x:v>
      </x:c>
      <x:c r="K197" s="169" t="s">
        <x:v>1417</x:v>
      </x:c>
      <x:c r="L197" s="169" t="s">
        <x:v>1418</x:v>
      </x:c>
      <x:c r="M197" s="169" t="s">
        <x:v>1489</x:v>
      </x:c>
      <x:c r="N197" s="169" t="s">
        <x:v>1418</x:v>
      </x:c>
      <x:c r="O197" s="169" t="s">
        <x:v>1435</x:v>
      </x:c>
      <x:c r="P197" s="169" t="s">
        <x:v>1418</x:v>
      </x:c>
      <x:c r="Q197" s="169" t="s">
        <x:v>1405</x:v>
      </x:c>
      <x:c r="R197" s="169"/>
      <x:c r="S197" s="169"/>
      <x:c r="T197" s="169"/>
      <x:c r="U197" s="169"/>
      <x:c r="V197" s="169"/>
      <x:c r="W197" s="169"/>
      <x:c r="X197" s="169" t="str">
        <x:f t="shared" si="22"/>
        <x:v>Tidak ada faktor rentan</x:v>
      </x:c>
      <x:c r="Y197" s="169" t="str">
        <x:f t="shared" si="23"/>
        <x:v>Tidak Ada Faktor Rentan</x:v>
      </x:c>
      <x:c r="Z197" s="170">
        <x:f t="shared" si="24"/>
        <x:v>10</x:v>
      </x:c>
      <x:c r="AA197" s="170">
        <x:f t="shared" si="25"/>
        <x:v>0</x:v>
      </x:c>
      <x:c r="AB197" s="170">
        <x:f t="shared" si="26"/>
        <x:v>10</x:v>
      </x:c>
      <x:c r="AC197" s="169" t="s">
        <x:v>1422</x:v>
      </x:c>
      <x:c r="AD197" s="169" t="s">
        <x:v>1422</x:v>
      </x:c>
      <x:c r="AE197" s="169" t="s">
        <x:v>1422</x:v>
      </x:c>
      <x:c r="AF197" s="169" t="s">
        <x:v>1422</x:v>
      </x:c>
      <x:c r="AG197" s="169" t="s">
        <x:v>1422</x:v>
      </x:c>
      <x:c r="AH197" s="169" t="s">
        <x:v>1422</x:v>
      </x:c>
      <x:c r="AI197" s="169" t="s">
        <x:v>1406</x:v>
      </x:c>
      <x:c r="AJ197" s="169" t="s">
        <x:v>1422</x:v>
      </x:c>
      <x:c r="AK197" s="169" t="s">
        <x:v>1422</x:v>
      </x:c>
      <x:c r="AL197" s="169"/>
      <x:c r="AM197" s="169"/>
      <x:c r="AN197" s="169" t="str">
        <x:f t="shared" si="27"/>
        <x:v>Komponen bangunan lepas atau lapuk; </x:v>
      </x:c>
      <x:c r="AO197" s="169" t="str">
        <x:f t="shared" si="28"/>
        <x:v>Risiko Sedang</x:v>
      </x:c>
      <x:c r="AP197" s="169"/>
      <x:c r="AQ197" s="170">
        <x:f t="shared" si="29"/>
        <x:v>29</x:v>
      </x:c>
      <x:c r="AR197" s="170">
        <x:f t="shared" si="30"/>
        <x:v>5</x:v>
      </x:c>
      <x:c r="AS197" s="170">
        <x:f t="shared" si="31"/>
        <x:v>44</x:v>
      </x:c>
      <x:c r="AT197" s="169" t="str">
        <x:f t="shared" si="32"/>
        <x:v>Rendah</x:v>
      </x:c>
      <x:c r="AU197" s="169"/>
      <x:c r="AV197" s="169"/>
      <x:c r="AW197" s="169"/>
      <x:c r="AX197" s="59" t="s">
        <x:v>1411</x:v>
      </x:c>
      <x:c r="AY197" s="169"/>
      <x:c r="AZ197" s="169"/>
      <x:c r="BA197" s="169"/>
      <x:c r="BB197" s="171"/>
      <x:c r="BC197" s="170"/>
      <x:c r="BD197" s="169"/>
      <x:c r="BE197" s="171"/>
      <x:c r="BF197" s="169" t="s">
        <x:v>1501</x:v>
      </x:c>
    </x:row>
    <x:row r="198" ht="28">
      <x:c r="A198" s="169" t="s">
        <x:v>2273</x:v>
      </x:c>
      <x:c r="B198" s="169" t="s">
        <x:v>2274</x:v>
      </x:c>
      <x:c r="C198" s="169"/>
      <x:c r="D198" s="169"/>
      <x:c r="E198" s="169" t="s">
        <x:v>2275</x:v>
      </x:c>
      <x:c r="F198" s="169" t="s">
        <x:v>2270</x:v>
      </x:c>
      <x:c r="G198" s="169" t="s">
        <x:v>1534</x:v>
      </x:c>
      <x:c r="H198" s="169"/>
      <x:c r="I198" s="169"/>
      <x:c r="J198" s="169" t="s">
        <x:v>1416</x:v>
      </x:c>
      <x:c r="K198" s="169" t="s">
        <x:v>1401</x:v>
      </x:c>
      <x:c r="L198" s="169" t="s">
        <x:v>1418</x:v>
      </x:c>
      <x:c r="M198" s="169" t="s">
        <x:v>1500</x:v>
      </x:c>
      <x:c r="N198" s="169" t="s">
        <x:v>1418</x:v>
      </x:c>
      <x:c r="O198" s="169" t="s">
        <x:v>1435</x:v>
      </x:c>
      <x:c r="P198" s="169" t="s">
        <x:v>1418</x:v>
      </x:c>
      <x:c r="Q198" s="169" t="s">
        <x:v>1405</x:v>
      </x:c>
      <x:c r="R198" s="169"/>
      <x:c r="S198" s="169"/>
      <x:c r="T198" s="169"/>
      <x:c r="U198" s="169"/>
      <x:c r="V198" s="169"/>
      <x:c r="W198" s="169"/>
      <x:c r="X198" s="169" t="str">
        <x:f t="shared" ref="X198:X261" si="33">IF(COUNTIF(R198:V198,"Belum Dinilai")&gt;0,"Belum Dinilai",IF(COUNTIF(R198:V198,"Ya")=0,"Tidak ada faktor rentan",IF(R198="Ya","Lansia; ","")&amp;IF(S198="Ya","Penyandang disabilitas; ","")&amp;IF(T198="Ya","Kepala keluarga perempuan; ","")&amp;IF(U198="Ya","Balita; ","")&amp;IF(V198="Ya","Anggota keluarga dengan ketergantungan tinggi; ","")))</x:f>
        <x:v>Tidak ada faktor rentan</x:v>
      </x:c>
      <x:c r="Y198" s="169" t="str">
        <x:f t="shared" ref="Y198:Y261" si="34">IF(COUNTIF(R198:V198,"Belum Dinilai")&gt;0,"Belum Dinilai",IF(COUNTIF(R198:V198,"Ya")=0,"Tidak Ada Faktor Rentan",IF(COUNTIF(R198:V198,"Ya")=1,"1 Faktor Rentan","2 atau Lebih Faktor Rentan")))</x:f>
        <x:v>Tidak Ada Faktor Rentan</x:v>
      </x:c>
      <x:c r="Z198" s="170" t="n">
        <x:f t="shared" ref="Z198:Z261" si="35">IF(OR(Q198="",Q198="Belum Dinilai"),"",IF(Q198="Terverifikasi DTKS/P3KE/MBR",10,IF(Q198="Diusulkan, Belum Terverifikasi",5,0)))</x:f>
        <x:v>10</x:v>
      </x:c>
      <x:c r="AA198" s="170" t="n">
        <x:f t="shared" ref="AA198:AA261" si="36">IF(COUNTIF(R198:V198,"Belum Dinilai")&gt;0,"",IF(COUNTIF(R198:V198,"Ya")=0,0,IF(COUNTIF(R198:V198,"Ya")=1,5,10)))</x:f>
        <x:v>0</x:v>
      </x:c>
      <x:c r="AB198" s="170" t="str">
        <x:f t="shared" ref="AB198:AB261" si="37">IF(OR(Z198="",AA198=""),"",Z198+AA198)</x:f>
      </x:c>
      <x:c r="AC198" s="169" t="s">
        <x:v>1422</x:v>
      </x:c>
      <x:c r="AD198" s="169" t="s">
        <x:v>1422</x:v>
      </x:c>
      <x:c r="AE198" s="169" t="s">
        <x:v>1422</x:v>
      </x:c>
      <x:c r="AF198" s="169" t="s">
        <x:v>1422</x:v>
      </x:c>
      <x:c r="AG198" s="169" t="s">
        <x:v>1422</x:v>
      </x:c>
      <x:c r="AH198" s="169" t="s">
        <x:v>1422</x:v>
      </x:c>
      <x:c r="AI198" s="169" t="s">
        <x:v>1406</x:v>
      </x:c>
      <x:c r="AJ198" s="169" t="s">
        <x:v>1422</x:v>
      </x:c>
      <x:c r="AK198" s="169" t="s">
        <x:v>1422</x:v>
      </x:c>
      <x:c r="AL198" s="169"/>
      <x:c r="AM198" s="169"/>
      <x:c r="AN198" s="169" t="str">
        <x:f t="shared" ref="AN198:AN261" si="38">IF(AND(COUNTIF(AC198:AK198,"Ya")=0,AL198=""),IF(COUNTIF(AC198:AK198,"Belum Dinilai")&gt;0,"Belum Dinilai","Tidak ada risiko khusus"),IF(AC198="Ya","Bangunan berpotensi roboh; ","")&amp;IF(AD198="Ya","Bekas kebakaran dan tidak aman dihuni; ","")&amp;IF(AE198="Ya","Atap atau dinding utama hampir runtuh; ","")&amp;IF(AF198="Ya","Genangan yang membahayakan; ","")&amp;IF(AG198="Ya","Struktur rumah tidak stabil; ","")&amp;IF(AH198="Ya","Instalasi listrik berbahaya; ","")&amp;IF(AI198="Ya","Komponen bangunan lepas atau lapuk; ","")&amp;IF(AJ198="Ya","Akses keluar atau evakuasi terbatas; ","")&amp;IF(AK198="Ya","Lokasi rawan bencana; ","")&amp;IF(AL198&lt;&gt;"","Lainnya: "&amp;AL198,""))</x:f>
        <x:v>Komponen bangunan lepas atau lapuk; </x:v>
      </x:c>
      <x:c r="AO198" s="169" t="str">
        <x:f t="shared" ref="AO198:AO261" si="39">IF(AR198="","Belum Dinilai",IF(AR198=10,"Risiko Tinggi/Darurat",IF(AR198=5,"Risiko Sedang","Tidak Ada Risiko Khusus")))</x:f>
        <x:v>Risiko Sedang</x:v>
      </x:c>
      <x:c r="AP198" s="169"/>
      <x:c r="AQ198" s="170" t="n">
        <x:f t="shared" ref="AQ198:AQ261" si="40">IF(OR(J198="",J198="Belum Dapat Ditentukan",L198="",L198="Belum Dinilai",N198="",N198="Belum Dinilai",P198="",P198="Belum Dinilai"),"",IF(J198="Permanen",0,IF(J198="Semipermanen",8,IF(J198="Nonpermanen",15,0)))+IF(L198="Baik",0,IF(L198="Rusak Ringan",5,IF(L198="Rusak Sedang",10,IF(L198="Rusak Berat",15,IF(L198="Tidak Ada/Terbuka",20,0)))))+IF(N198="Baik",0,IF(N198="Rusak Ringan",5,IF(N198="Rusak Sedang",10,IF(N198="Rusak Berat",15,IF(N198="Tidak Ada/Terbuka",20,0)))))+IF(P198="Baik",0,IF(P198="Rusak Ringan",4,IF(P198="Rusak Sedang",8,IF(P198="Rusak Berat",12,IF(P198="Tidak Layak",15,0))))))</x:f>
        <x:v>22</x:v>
      </x:c>
      <x:c r="AR198" s="170" t="n">
        <x:f t="shared" ref="AR198:AR261" si="41">IF(
 OR(
  COUNTIF(AC198:AH198,"Ya")&gt;0,
  AND(AL198&lt;&gt;"",AM198="Risiko Tinggi/Darurat"),
  COUNTIF(AI198:AK198,"Ya")+IF(AND(AL198&lt;&gt;"",AM198="Risiko Sedang"),1,0)&gt;=2
 ),
 10,
 IF(
  OR(
   COUNTIF(AC198:AK198,"Belum Dinilai")&gt;0,
   AND(AL198&lt;&gt;"",OR(AM198="",AM198="Belum Dinilai")),
   AND(AL198="",OR(AM198="Risiko Sedang",AM198="Risiko Tinggi/Darurat"))
  ),
  "",
  IF(
   COUNTIF(AI198:AK198,"Ya")+IF(AND(AL198&lt;&gt;"",AM198="Risiko Sedang"),1,0)=1,
   5,
   0
  )
 )
)</x:f>
        <x:v>5</x:v>
      </x:c>
      <x:c r="AS198" s="170" t="str">
        <x:f t="shared" ref="AS198:AS261" si="42">IF(OR(AQ198="",AB198="",AR198=""),"",AQ198+AB198+AR198)</x:f>
      </x:c>
      <x:c r="AT198" s="169" t="str">
        <x:f t="shared" ref="AT198:AT261" si="43">IF(AS198="","Belum Dapat Ditentukan",IF(AS198&gt;=80,"Sangat Tinggi",IF(OR(AO198="Risiko Tinggi/Darurat",(IF(L198="Rusak Berat",1,0)+IF(L198="Tidak Ada/Terbuka",1,0)+IF(N198="Rusak Berat",1,0)+IF(N198="Tidak Ada/Terbuka",1,0)+IF(P198="Rusak Berat",1,0)+IF(P198="Tidak Layak",1,0))&gt;=2),"Tinggi",IF(AS198&gt;=65,"Tinggi",IF(AS198&gt;=50,"Sedang","Rendah")))))</x:f>
        <x:v>Belum Dapat Ditentukan</x:v>
      </x:c>
      <x:c r="AU198" s="169" t="s">
        <x:v>1424</x:v>
      </x:c>
      <x:c r="AV198" s="169" t="s">
        <x:v>1425</x:v>
      </x:c>
      <x:c r="AW198" s="169" t="s">
        <x:v>1410</x:v>
      </x:c>
      <x:c r="AX198" s="59" t="s">
        <x:v>1411</x:v>
      </x:c>
      <x:c r="AY198" s="169"/>
      <x:c r="AZ198" s="169"/>
      <x:c r="BA198" s="169"/>
      <x:c r="BB198" s="171"/>
      <x:c r="BC198" s="170">
        <x:v>2025</x:v>
      </x:c>
      <x:c r="BD198" s="169" t="s">
        <x:v>1429</x:v>
      </x:c>
      <x:c r="BE198" s="171"/>
      <x:c r="BF198" s="169" t="s">
        <x:v>1501</x:v>
      </x:c>
    </x:row>
    <x:row r="199" ht="28">
      <x:c r="A199" s="169" t="s">
        <x:v>2276</x:v>
      </x:c>
      <x:c r="B199" s="169" t="s">
        <x:v>2277</x:v>
      </x:c>
      <x:c r="C199" s="169"/>
      <x:c r="D199" s="169"/>
      <x:c r="E199" s="169" t="s">
        <x:v>2278</x:v>
      </x:c>
      <x:c r="F199" s="169" t="s">
        <x:v>2270</x:v>
      </x:c>
      <x:c r="G199" s="169" t="s">
        <x:v>1534</x:v>
      </x:c>
      <x:c r="H199" s="169" t="s">
        <x:v>1399</x:v>
      </x:c>
      <x:c r="I199" s="169"/>
      <x:c r="J199" s="169" t="s">
        <x:v>1416</x:v>
      </x:c>
      <x:c r="K199" s="169" t="s">
        <x:v>1417</x:v>
      </x:c>
      <x:c r="L199" s="169" t="s">
        <x:v>1418</x:v>
      </x:c>
      <x:c r="M199" s="169" t="s">
        <x:v>1489</x:v>
      </x:c>
      <x:c r="N199" s="169" t="s">
        <x:v>1433</x:v>
      </x:c>
      <x:c r="O199" s="169" t="s">
        <x:v>1435</x:v>
      </x:c>
      <x:c r="P199" s="169" t="s">
        <x:v>1402</x:v>
      </x:c>
      <x:c r="Q199" s="169" t="s">
        <x:v>1405</x:v>
      </x:c>
      <x:c r="R199" s="169"/>
      <x:c r="S199" s="169"/>
      <x:c r="T199" s="169"/>
      <x:c r="U199" s="169"/>
      <x:c r="V199" s="169"/>
      <x:c r="W199" s="169"/>
      <x:c r="X199" s="169" t="str">
        <x:f t="shared" si="33"/>
        <x:v>Tidak ada faktor rentan</x:v>
      </x:c>
      <x:c r="Y199" s="169" t="str">
        <x:f t="shared" si="34"/>
        <x:v>Tidak Ada Faktor Rentan</x:v>
      </x:c>
      <x:c r="Z199" s="170">
        <x:f t="shared" si="35"/>
        <x:v>10</x:v>
      </x:c>
      <x:c r="AA199" s="170">
        <x:f t="shared" si="36"/>
        <x:v>0</x:v>
      </x:c>
      <x:c r="AB199" s="170">
        <x:f t="shared" si="37"/>
        <x:v>10</x:v>
      </x:c>
      <x:c r="AC199" s="169" t="s">
        <x:v>1422</x:v>
      </x:c>
      <x:c r="AD199" s="169" t="s">
        <x:v>1422</x:v>
      </x:c>
      <x:c r="AE199" s="169" t="s">
        <x:v>1422</x:v>
      </x:c>
      <x:c r="AF199" s="169" t="s">
        <x:v>1422</x:v>
      </x:c>
      <x:c r="AG199" s="169" t="s">
        <x:v>1422</x:v>
      </x:c>
      <x:c r="AH199" s="169" t="s">
        <x:v>1422</x:v>
      </x:c>
      <x:c r="AI199" s="169" t="s">
        <x:v>1422</x:v>
      </x:c>
      <x:c r="AJ199" s="169" t="s">
        <x:v>1422</x:v>
      </x:c>
      <x:c r="AK199" s="169" t="s">
        <x:v>1422</x:v>
      </x:c>
      <x:c r="AL199" s="169"/>
      <x:c r="AM199" s="169"/>
      <x:c r="AN199" s="169" t="str">
        <x:f t="shared" si="38"/>
        <x:v>Tidak ada risiko khusus</x:v>
      </x:c>
      <x:c r="AO199" s="169" t="str">
        <x:f t="shared" si="39"/>
        <x:v>Tidak Ada Risiko Khusus</x:v>
      </x:c>
      <x:c r="AP199" s="169"/>
      <x:c r="AQ199" s="170">
        <x:f t="shared" si="40"/>
        <x:v>23</x:v>
      </x:c>
      <x:c r="AR199" s="170">
        <x:f t="shared" si="41"/>
        <x:v>0</x:v>
      </x:c>
      <x:c r="AS199" s="170">
        <x:f t="shared" si="42"/>
        <x:v>33</x:v>
      </x:c>
      <x:c r="AT199" s="169" t="str">
        <x:f t="shared" si="43"/>
        <x:v>Rendah</x:v>
      </x:c>
      <x:c r="AU199" s="169" t="s">
        <x:v>1408</x:v>
      </x:c>
      <x:c r="AV199" s="169" t="s">
        <x:v>1425</x:v>
      </x:c>
      <x:c r="AW199" s="169" t="s">
        <x:v>1410</x:v>
      </x:c>
      <x:c r="AX199" s="59" t="s">
        <x:v>1411</x:v>
      </x:c>
      <x:c r="AY199" s="169"/>
      <x:c r="AZ199" s="169"/>
      <x:c r="BA199" s="169"/>
      <x:c r="BB199" s="171"/>
      <x:c r="BC199" s="170">
        <x:v>2025</x:v>
      </x:c>
      <x:c r="BD199" s="169" t="s">
        <x:v>1429</x:v>
      </x:c>
      <x:c r="BE199" s="171"/>
      <x:c r="BF199" s="169" t="s">
        <x:v>1501</x:v>
      </x:c>
    </x:row>
    <x:row r="200" ht="28">
      <x:c r="A200" s="169" t="s">
        <x:v>2279</x:v>
      </x:c>
      <x:c r="B200" s="169" t="s">
        <x:v>2280</x:v>
      </x:c>
      <x:c r="C200" s="169"/>
      <x:c r="D200" s="169"/>
      <x:c r="E200" s="169" t="s">
        <x:v>2281</x:v>
      </x:c>
      <x:c r="F200" s="169" t="s">
        <x:v>2270</x:v>
      </x:c>
      <x:c r="G200" s="169" t="s">
        <x:v>1534</x:v>
      </x:c>
      <x:c r="H200" s="169" t="s">
        <x:v>1399</x:v>
      </x:c>
      <x:c r="I200" s="169"/>
      <x:c r="J200" s="169" t="s">
        <x:v>1431</x:v>
      </x:c>
      <x:c r="K200" s="169" t="s">
        <x:v>1432</x:v>
      </x:c>
      <x:c r="L200" s="169" t="s">
        <x:v>1418</x:v>
      </x:c>
      <x:c r="M200" s="169" t="s">
        <x:v>1489</x:v>
      </x:c>
      <x:c r="N200" s="169" t="s">
        <x:v>1418</x:v>
      </x:c>
      <x:c r="O200" s="169" t="s">
        <x:v>1435</x:v>
      </x:c>
      <x:c r="P200" s="169" t="s">
        <x:v>1418</x:v>
      </x:c>
      <x:c r="Q200" s="169" t="s">
        <x:v>1405</x:v>
      </x:c>
      <x:c r="R200" s="169"/>
      <x:c r="S200" s="169"/>
      <x:c r="T200" s="169"/>
      <x:c r="U200" s="169"/>
      <x:c r="V200" s="169"/>
      <x:c r="W200" s="169"/>
      <x:c r="X200" s="169" t="str">
        <x:f t="shared" si="33"/>
        <x:v>Tidak ada faktor rentan</x:v>
      </x:c>
      <x:c r="Y200" s="169" t="str">
        <x:f t="shared" si="34"/>
        <x:v>Tidak Ada Faktor Rentan</x:v>
      </x:c>
      <x:c r="Z200" s="170">
        <x:f t="shared" si="35"/>
        <x:v>10</x:v>
      </x:c>
      <x:c r="AA200" s="170">
        <x:f t="shared" si="36"/>
        <x:v>0</x:v>
      </x:c>
      <x:c r="AB200" s="170">
        <x:f t="shared" si="37"/>
        <x:v>10</x:v>
      </x:c>
      <x:c r="AC200" s="169"/>
      <x:c r="AD200" s="169" t="s">
        <x:v>1422</x:v>
      </x:c>
      <x:c r="AE200" s="169" t="s">
        <x:v>1422</x:v>
      </x:c>
      <x:c r="AF200" s="169" t="s">
        <x:v>1422</x:v>
      </x:c>
      <x:c r="AG200" s="169" t="s">
        <x:v>1422</x:v>
      </x:c>
      <x:c r="AH200" s="169" t="s">
        <x:v>1422</x:v>
      </x:c>
      <x:c r="AI200" s="169" t="s">
        <x:v>1406</x:v>
      </x:c>
      <x:c r="AJ200" s="169" t="s">
        <x:v>1422</x:v>
      </x:c>
      <x:c r="AK200" s="169" t="s">
        <x:v>1422</x:v>
      </x:c>
      <x:c r="AL200" s="169"/>
      <x:c r="AM200" s="169"/>
      <x:c r="AN200" s="169" t="str">
        <x:f t="shared" si="38"/>
        <x:v>Komponen bangunan lepas atau lapuk; </x:v>
      </x:c>
      <x:c r="AO200" s="169" t="str">
        <x:f t="shared" si="39"/>
        <x:v>Risiko Sedang</x:v>
      </x:c>
      <x:c r="AP200" s="169"/>
      <x:c r="AQ200" s="170">
        <x:f t="shared" si="40"/>
        <x:v>29</x:v>
      </x:c>
      <x:c r="AR200" s="170">
        <x:f t="shared" si="41"/>
        <x:v>5</x:v>
      </x:c>
      <x:c r="AS200" s="170">
        <x:f t="shared" si="42"/>
        <x:v>44</x:v>
      </x:c>
      <x:c r="AT200" s="169" t="str">
        <x:f t="shared" si="43"/>
        <x:v>Rendah</x:v>
      </x:c>
      <x:c r="AU200" s="169" t="s">
        <x:v>1424</x:v>
      </x:c>
      <x:c r="AV200" s="169" t="s">
        <x:v>1425</x:v>
      </x:c>
      <x:c r="AW200" s="169" t="s">
        <x:v>1410</x:v>
      </x:c>
      <x:c r="AX200" s="59" t="s">
        <x:v>1411</x:v>
      </x:c>
      <x:c r="AY200" s="169"/>
      <x:c r="AZ200" s="169" t="s">
        <x:v>1428</x:v>
      </x:c>
      <x:c r="BA200" s="169"/>
      <x:c r="BB200" s="171"/>
      <x:c r="BC200" s="170">
        <x:v>2025</x:v>
      </x:c>
      <x:c r="BD200" s="169" t="s">
        <x:v>1429</x:v>
      </x:c>
      <x:c r="BE200" s="171"/>
      <x:c r="BF200" s="169" t="s">
        <x:v>1501</x:v>
      </x:c>
    </x:row>
    <x:row r="201" ht="28">
      <x:c r="A201" s="169" t="s">
        <x:v>2282</x:v>
      </x:c>
      <x:c r="B201" s="169" t="s">
        <x:v>2283</x:v>
      </x:c>
      <x:c r="C201" s="169"/>
      <x:c r="D201" s="169"/>
      <x:c r="E201" s="169" t="s">
        <x:v>2284</x:v>
      </x:c>
      <x:c r="F201" s="169" t="s">
        <x:v>1580</x:v>
      </x:c>
      <x:c r="G201" s="169" t="s">
        <x:v>1512</x:v>
      </x:c>
      <x:c r="H201" s="169" t="s">
        <x:v>1399</x:v>
      </x:c>
      <x:c r="I201" s="169"/>
      <x:c r="J201" s="169" t="s">
        <x:v>1431</x:v>
      </x:c>
      <x:c r="K201" s="169" t="s">
        <x:v>1417</x:v>
      </x:c>
      <x:c r="L201" s="169" t="s">
        <x:v>1402</x:v>
      </x:c>
      <x:c r="M201" s="169" t="s">
        <x:v>1489</x:v>
      </x:c>
      <x:c r="N201" s="169" t="s">
        <x:v>1402</x:v>
      </x:c>
      <x:c r="O201" s="169" t="s">
        <x:v>1435</x:v>
      </x:c>
      <x:c r="P201" s="169" t="s">
        <x:v>1402</x:v>
      </x:c>
      <x:c r="Q201" s="169" t="s">
        <x:v>1437</x:v>
      </x:c>
      <x:c r="R201" s="169"/>
      <x:c r="S201" s="169"/>
      <x:c r="T201" s="169"/>
      <x:c r="U201" s="169"/>
      <x:c r="V201" s="169"/>
      <x:c r="W201" s="169"/>
      <x:c r="X201" s="169" t="str">
        <x:f t="shared" si="33"/>
        <x:v>Tidak ada faktor rentan</x:v>
      </x:c>
      <x:c r="Y201" s="169" t="str">
        <x:f t="shared" si="34"/>
        <x:v>Tidak Ada Faktor Rentan</x:v>
      </x:c>
      <x:c r="Z201" s="170" t="str">
        <x:f t="shared" si="35"/>
      </x:c>
      <x:c r="AA201" s="170">
        <x:f t="shared" si="36"/>
        <x:v>0</x:v>
      </x:c>
      <x:c r="AB201" s="170" t="str">
        <x:f t="shared" si="37"/>
      </x:c>
      <x:c r="AC201" s="169" t="s">
        <x:v>1422</x:v>
      </x:c>
      <x:c r="AD201" s="169" t="s">
        <x:v>1422</x:v>
      </x:c>
      <x:c r="AE201" s="169" t="s">
        <x:v>1422</x:v>
      </x:c>
      <x:c r="AF201" s="169" t="s">
        <x:v>1422</x:v>
      </x:c>
      <x:c r="AG201" s="169" t="s">
        <x:v>1422</x:v>
      </x:c>
      <x:c r="AH201" s="169" t="s">
        <x:v>1422</x:v>
      </x:c>
      <x:c r="AI201" s="169" t="s">
        <x:v>1406</x:v>
      </x:c>
      <x:c r="AJ201" s="169" t="s">
        <x:v>1422</x:v>
      </x:c>
      <x:c r="AK201" s="169" t="s">
        <x:v>1422</x:v>
      </x:c>
      <x:c r="AL201" s="169"/>
      <x:c r="AM201" s="169"/>
      <x:c r="AN201" s="169" t="str">
        <x:f t="shared" si="38"/>
        <x:v>Komponen bangunan lepas atau lapuk; </x:v>
      </x:c>
      <x:c r="AO201" s="169" t="str">
        <x:f t="shared" si="39"/>
        <x:v>Risiko Sedang</x:v>
      </x:c>
      <x:c r="AP201" s="169"/>
      <x:c r="AQ201" s="170">
        <x:f t="shared" si="40"/>
        <x:v>15</x:v>
      </x:c>
      <x:c r="AR201" s="170">
        <x:f t="shared" si="41"/>
        <x:v>5</x:v>
      </x:c>
      <x:c r="AS201" s="170" t="str">
        <x:f t="shared" si="42"/>
      </x:c>
      <x:c r="AT201" s="169" t="str">
        <x:f t="shared" si="43"/>
        <x:v>Belum Dapat Ditentukan</x:v>
      </x:c>
      <x:c r="AU201" s="169" t="s">
        <x:v>1408</x:v>
      </x:c>
      <x:c r="AV201" s="169" t="s">
        <x:v>1425</x:v>
      </x:c>
      <x:c r="AW201" s="169" t="s">
        <x:v>1410</x:v>
      </x:c>
      <x:c r="AX201" s="59" t="s">
        <x:v>1411</x:v>
      </x:c>
      <x:c r="AY201" s="169"/>
      <x:c r="AZ201" s="169" t="s">
        <x:v>1412</x:v>
      </x:c>
      <x:c r="BA201" s="169"/>
      <x:c r="BB201" s="171"/>
      <x:c r="BC201" s="170">
        <x:v>2025</x:v>
      </x:c>
      <x:c r="BD201" s="169" t="s">
        <x:v>1441</x:v>
      </x:c>
      <x:c r="BE201" s="171"/>
      <x:c r="BF201" s="169" t="s">
        <x:v>1501</x:v>
      </x:c>
    </x:row>
    <x:row r="202" ht="28">
      <x:c r="A202" s="169" t="s">
        <x:v>2285</x:v>
      </x:c>
      <x:c r="B202" s="169" t="s">
        <x:v>2286</x:v>
      </x:c>
      <x:c r="C202" s="169"/>
      <x:c r="D202" s="169"/>
      <x:c r="E202" s="169" t="s">
        <x:v>2287</x:v>
      </x:c>
      <x:c r="F202" s="169" t="s">
        <x:v>1603</x:v>
      </x:c>
      <x:c r="G202" s="169" t="s">
        <x:v>1512</x:v>
      </x:c>
      <x:c r="H202" s="169" t="s">
        <x:v>1415</x:v>
      </x:c>
      <x:c r="I202" s="169"/>
      <x:c r="J202" s="169" t="s">
        <x:v>1431</x:v>
      </x:c>
      <x:c r="K202" s="169"/>
      <x:c r="L202" s="169" t="s">
        <x:v>1433</x:v>
      </x:c>
      <x:c r="M202" s="169" t="s">
        <x:v>1489</x:v>
      </x:c>
      <x:c r="N202" s="169" t="s">
        <x:v>1418</x:v>
      </x:c>
      <x:c r="O202" s="169" t="s">
        <x:v>1435</x:v>
      </x:c>
      <x:c r="P202" s="169" t="s">
        <x:v>1418</x:v>
      </x:c>
      <x:c r="Q202" s="169" t="s">
        <x:v>1405</x:v>
      </x:c>
      <x:c r="R202" s="169"/>
      <x:c r="S202" s="169"/>
      <x:c r="T202" s="169"/>
      <x:c r="U202" s="169"/>
      <x:c r="V202" s="169"/>
      <x:c r="W202" s="169"/>
      <x:c r="X202" s="169" t="str">
        <x:f t="shared" si="33"/>
        <x:v>Tidak ada faktor rentan</x:v>
      </x:c>
      <x:c r="Y202" s="169" t="str">
        <x:f t="shared" si="34"/>
        <x:v>Tidak Ada Faktor Rentan</x:v>
      </x:c>
      <x:c r="Z202" s="170">
        <x:f t="shared" si="35"/>
        <x:v>10</x:v>
      </x:c>
      <x:c r="AA202" s="170">
        <x:f t="shared" si="36"/>
        <x:v>0</x:v>
      </x:c>
      <x:c r="AB202" s="170">
        <x:f t="shared" si="37"/>
        <x:v>10</x:v>
      </x:c>
      <x:c r="AC202" s="169" t="s">
        <x:v>1422</x:v>
      </x:c>
      <x:c r="AD202" s="169" t="s">
        <x:v>1422</x:v>
      </x:c>
      <x:c r="AE202" s="169" t="s">
        <x:v>1422</x:v>
      </x:c>
      <x:c r="AF202" s="169" t="s">
        <x:v>1422</x:v>
      </x:c>
      <x:c r="AG202" s="169" t="s">
        <x:v>1406</x:v>
      </x:c>
      <x:c r="AH202" s="169" t="s">
        <x:v>1406</x:v>
      </x:c>
      <x:c r="AI202" s="169" t="s">
        <x:v>1406</x:v>
      </x:c>
      <x:c r="AJ202" s="169" t="s">
        <x:v>1422</x:v>
      </x:c>
      <x:c r="AK202" s="169" t="s">
        <x:v>1422</x:v>
      </x:c>
      <x:c r="AL202" s="169"/>
      <x:c r="AM202" s="169"/>
      <x:c r="AN202" s="169" t="str">
        <x:f t="shared" si="38"/>
        <x:v>Struktur rumah tidak stabil; Instalasi listrik berbahaya; Komponen bangunan lepas atau lapuk; </x:v>
      </x:c>
      <x:c r="AO202" s="169" t="str">
        <x:f t="shared" si="39"/>
        <x:v>Risiko Tinggi/Darurat</x:v>
      </x:c>
      <x:c r="AP202" s="169"/>
      <x:c r="AQ202" s="170">
        <x:f t="shared" si="40"/>
        <x:v>34</x:v>
      </x:c>
      <x:c r="AR202" s="170">
        <x:f t="shared" si="41"/>
        <x:v>10</x:v>
      </x:c>
      <x:c r="AS202" s="170">
        <x:f t="shared" si="42"/>
        <x:v>54</x:v>
      </x:c>
      <x:c r="AT202" s="169" t="str">
        <x:f t="shared" si="43"/>
        <x:v>Tinggi</x:v>
      </x:c>
      <x:c r="AU202" s="169" t="s">
        <x:v>1408</x:v>
      </x:c>
      <x:c r="AV202" s="169" t="s">
        <x:v>1425</x:v>
      </x:c>
      <x:c r="AW202" s="169" t="s">
        <x:v>1410</x:v>
      </x:c>
      <x:c r="AX202" s="59" t="s">
        <x:v>1411</x:v>
      </x:c>
      <x:c r="AY202" s="169"/>
      <x:c r="AZ202" s="169" t="s">
        <x:v>1412</x:v>
      </x:c>
      <x:c r="BA202" s="169"/>
      <x:c r="BB202" s="171"/>
      <x:c r="BC202" s="170">
        <x:v>2025</x:v>
      </x:c>
      <x:c r="BD202" s="169" t="s">
        <x:v>1441</x:v>
      </x:c>
      <x:c r="BE202" s="171"/>
      <x:c r="BF202" s="169" t="s">
        <x:v>1501</x:v>
      </x:c>
    </x:row>
    <x:row r="203" ht="42">
      <x:c r="A203" s="169" t="s">
        <x:v>2288</x:v>
      </x:c>
      <x:c r="B203" s="169" t="s">
        <x:v>2289</x:v>
      </x:c>
      <x:c r="C203" s="169"/>
      <x:c r="D203" s="169"/>
      <x:c r="E203" s="169" t="s">
        <x:v>2290</x:v>
      </x:c>
      <x:c r="F203" s="169" t="s">
        <x:v>1497</x:v>
      </x:c>
      <x:c r="G203" s="169" t="s">
        <x:v>1498</x:v>
      </x:c>
      <x:c r="H203" s="169" t="s">
        <x:v>1415</x:v>
      </x:c>
      <x:c r="I203" s="169"/>
      <x:c r="J203" s="169" t="s">
        <x:v>1400</x:v>
      </x:c>
      <x:c r="K203" s="169" t="s">
        <x:v>1432</x:v>
      </x:c>
      <x:c r="L203" s="169" t="s">
        <x:v>1433</x:v>
      </x:c>
      <x:c r="M203" s="169" t="s">
        <x:v>1419</x:v>
      </x:c>
      <x:c r="N203" s="169" t="s">
        <x:v>1433</x:v>
      </x:c>
      <x:c r="O203" s="169" t="s">
        <x:v>1435</x:v>
      </x:c>
      <x:c r="P203" s="169" t="s">
        <x:v>1418</x:v>
      </x:c>
      <x:c r="Q203" s="169" t="s">
        <x:v>1405</x:v>
      </x:c>
      <x:c r="R203" s="169" t="s">
        <x:v>1422</x:v>
      </x:c>
      <x:c r="S203" s="169" t="s">
        <x:v>1422</x:v>
      </x:c>
      <x:c r="T203" s="169" t="s">
        <x:v>1422</x:v>
      </x:c>
      <x:c r="U203" s="169" t="s">
        <x:v>1422</x:v>
      </x:c>
      <x:c r="V203" s="169" t="s">
        <x:v>1422</x:v>
      </x:c>
      <x:c r="W203" s="169"/>
      <x:c r="X203" s="169" t="str">
        <x:f t="shared" si="33"/>
        <x:v>Tidak ada faktor rentan</x:v>
      </x:c>
      <x:c r="Y203" s="169" t="str">
        <x:f t="shared" si="34"/>
        <x:v>Tidak Ada Faktor Rentan</x:v>
      </x:c>
      <x:c r="Z203" s="170">
        <x:f t="shared" si="35"/>
        <x:v>10</x:v>
      </x:c>
      <x:c r="AA203" s="170">
        <x:f t="shared" si="36"/>
        <x:v>0</x:v>
      </x:c>
      <x:c r="AB203" s="170">
        <x:f t="shared" si="37"/>
        <x:v>10</x:v>
      </x:c>
      <x:c r="AC203" s="169" t="s">
        <x:v>1422</x:v>
      </x:c>
      <x:c r="AD203" s="169" t="s">
        <x:v>1422</x:v>
      </x:c>
      <x:c r="AE203" s="169" t="s">
        <x:v>1422</x:v>
      </x:c>
      <x:c r="AF203" s="169" t="s">
        <x:v>1422</x:v>
      </x:c>
      <x:c r="AG203" s="169" t="s">
        <x:v>1422</x:v>
      </x:c>
      <x:c r="AH203" s="169" t="s">
        <x:v>1422</x:v>
      </x:c>
      <x:c r="AI203" s="169" t="s">
        <x:v>1406</x:v>
      </x:c>
      <x:c r="AJ203" s="169" t="s">
        <x:v>1422</x:v>
      </x:c>
      <x:c r="AK203" s="169" t="s">
        <x:v>1422</x:v>
      </x:c>
      <x:c r="AL203" s="169"/>
      <x:c r="AM203" s="169"/>
      <x:c r="AN203" s="169" t="str">
        <x:f t="shared" si="38"/>
        <x:v>Komponen bangunan lepas atau lapuk; </x:v>
      </x:c>
      <x:c r="AO203" s="169" t="str">
        <x:f t="shared" si="39"/>
        <x:v>Risiko Sedang</x:v>
      </x:c>
      <x:c r="AP203" s="169"/>
      <x:c r="AQ203" s="170">
        <x:f t="shared" si="40"/>
        <x:v>24</x:v>
      </x:c>
      <x:c r="AR203" s="170">
        <x:f t="shared" si="41"/>
        <x:v>5</x:v>
      </x:c>
      <x:c r="AS203" s="170">
        <x:f t="shared" si="42"/>
        <x:v>39</x:v>
      </x:c>
      <x:c r="AT203" s="169" t="str">
        <x:f t="shared" si="43"/>
        <x:v>Rendah</x:v>
      </x:c>
      <x:c r="AU203" s="169" t="s">
        <x:v>1408</x:v>
      </x:c>
      <x:c r="AV203" s="169" t="s">
        <x:v>1425</x:v>
      </x:c>
      <x:c r="AW203" s="169" t="s">
        <x:v>1490</x:v>
      </x:c>
      <x:c r="AX203" s="169" t="s">
        <x:v>1427</x:v>
      </x:c>
      <x:c r="AY203" s="169">
        <x:v>2025</x:v>
      </x:c>
      <x:c r="AZ203" s="169" t="s">
        <x:v>1412</x:v>
      </x:c>
      <x:c r="BA203" s="169"/>
      <x:c r="BB203" s="171"/>
      <x:c r="BC203" s="170">
        <x:v>2025</x:v>
      </x:c>
      <x:c r="BD203" s="169" t="s">
        <x:v>1441</x:v>
      </x:c>
      <x:c r="BE203" s="171"/>
      <x:c r="BF203" s="169" t="s">
        <x:v>1501</x:v>
      </x:c>
    </x:row>
    <x:row r="204" ht="56">
      <x:c r="A204" s="169" t="s">
        <x:v>2291</x:v>
      </x:c>
      <x:c r="B204" s="169" t="s">
        <x:v>2292</x:v>
      </x:c>
      <x:c r="C204" s="169" t="s">
        <x:v>2293</x:v>
      </x:c>
      <x:c r="D204" s="169" t="s">
        <x:v>2294</x:v>
      </x:c>
      <x:c r="E204" s="169" t="s">
        <x:v>1866</x:v>
      </x:c>
      <x:c r="F204" s="169" t="s">
        <x:v>1867</x:v>
      </x:c>
      <x:c r="G204" s="169" t="s">
        <x:v>1498</x:v>
      </x:c>
      <x:c r="H204" s="169" t="s">
        <x:v>1399</x:v>
      </x:c>
      <x:c r="I204" s="169"/>
      <x:c r="J204" s="169" t="s">
        <x:v>1431</x:v>
      </x:c>
      <x:c r="K204" s="169" t="s">
        <x:v>1417</x:v>
      </x:c>
      <x:c r="L204" s="169" t="s">
        <x:v>1418</x:v>
      </x:c>
      <x:c r="M204" s="169" t="s">
        <x:v>1489</x:v>
      </x:c>
      <x:c r="N204" s="169" t="s">
        <x:v>1433</x:v>
      </x:c>
      <x:c r="O204" s="169" t="s">
        <x:v>1489</x:v>
      </x:c>
      <x:c r="P204" s="169" t="s">
        <x:v>1418</x:v>
      </x:c>
      <x:c r="Q204" s="169" t="s">
        <x:v>1405</x:v>
      </x:c>
      <x:c r="R204" s="169" t="s">
        <x:v>1422</x:v>
      </x:c>
      <x:c r="S204" s="169" t="s">
        <x:v>1406</x:v>
      </x:c>
      <x:c r="T204" s="169" t="s">
        <x:v>1422</x:v>
      </x:c>
      <x:c r="U204" s="169" t="s">
        <x:v>1422</x:v>
      </x:c>
      <x:c r="V204" s="169" t="s">
        <x:v>1422</x:v>
      </x:c>
      <x:c r="W204" s="169"/>
      <x:c r="X204" s="169" t="str">
        <x:f t="shared" si="33"/>
        <x:v>Penyandang disabilitas; </x:v>
      </x:c>
      <x:c r="Y204" s="169" t="str">
        <x:f t="shared" si="34"/>
        <x:v>1 Faktor Rentan</x:v>
      </x:c>
      <x:c r="Z204" s="170">
        <x:f t="shared" si="35"/>
        <x:v>10</x:v>
      </x:c>
      <x:c r="AA204" s="170">
        <x:f t="shared" si="36"/>
        <x:v>5</x:v>
      </x:c>
      <x:c r="AB204" s="170">
        <x:f t="shared" si="37"/>
        <x:v>15</x:v>
      </x:c>
      <x:c r="AC204" s="169" t="s">
        <x:v>1406</x:v>
      </x:c>
      <x:c r="AD204" s="169" t="s">
        <x:v>1422</x:v>
      </x:c>
      <x:c r="AE204" s="169" t="s">
        <x:v>1406</x:v>
      </x:c>
      <x:c r="AF204" s="169" t="s">
        <x:v>1406</x:v>
      </x:c>
      <x:c r="AG204" s="169" t="s">
        <x:v>1406</x:v>
      </x:c>
      <x:c r="AH204" s="169" t="s">
        <x:v>1406</x:v>
      </x:c>
      <x:c r="AI204" s="169" t="s">
        <x:v>1406</x:v>
      </x:c>
      <x:c r="AJ204" s="169" t="s">
        <x:v>1422</x:v>
      </x:c>
      <x:c r="AK204" s="169" t="s">
        <x:v>1406</x:v>
      </x:c>
      <x:c r="AL204" s="169"/>
      <x:c r="AM204" s="169"/>
      <x:c r="AN204" s="169" t="str">
        <x:f t="shared" si="38"/>
        <x:v>Bangunan berpotensi roboh; Atap atau dinding utama hampir runtuh; Genangan yang membahayakan; Struktur rumah tidak stabil; Instalasi listrik berbahaya; Komponen bangunan lepas atau lapuk; Lokasi rawan bencana; </x:v>
      </x:c>
      <x:c r="AO204" s="169" t="str">
        <x:f t="shared" si="39"/>
        <x:v>Risiko Tinggi/Darurat</x:v>
      </x:c>
      <x:c r="AP204" s="169"/>
      <x:c r="AQ204" s="170">
        <x:f t="shared" si="40"/>
        <x:v>34</x:v>
      </x:c>
      <x:c r="AR204" s="170">
        <x:f t="shared" si="41"/>
        <x:v>10</x:v>
      </x:c>
      <x:c r="AS204" s="170">
        <x:f t="shared" si="42"/>
        <x:v>59</x:v>
      </x:c>
      <x:c r="AT204" s="169" t="str">
        <x:f t="shared" si="43"/>
        <x:v>Tinggi</x:v>
      </x:c>
      <x:c r="AU204" s="169" t="s">
        <x:v>1408</x:v>
      </x:c>
      <x:c r="AV204" s="169" t="s">
        <x:v>1425</x:v>
      </x:c>
      <x:c r="AW204" s="169" t="s">
        <x:v>1490</x:v>
      </x:c>
      <x:c r="AX204" s="169" t="s">
        <x:v>1427</x:v>
      </x:c>
      <x:c r="AY204" s="169">
        <x:v>2026</x:v>
      </x:c>
      <x:c r="AZ204" s="169" t="s">
        <x:v>1412</x:v>
      </x:c>
      <x:c r="BA204" s="169"/>
      <x:c r="BB204" s="171"/>
      <x:c r="BC204" s="170">
        <x:v>2025</x:v>
      </x:c>
      <x:c r="BD204" s="169" t="s">
        <x:v>1441</x:v>
      </x:c>
      <x:c r="BE204" s="171"/>
      <x:c r="BF204" s="169" t="s">
        <x:v>1501</x:v>
      </x:c>
    </x:row>
    <x:row r="205" ht="28">
      <x:c r="A205" s="169" t="s">
        <x:v>2295</x:v>
      </x:c>
      <x:c r="B205" s="169" t="s">
        <x:v>2296</x:v>
      </x:c>
      <x:c r="C205" s="169"/>
      <x:c r="D205" s="169"/>
      <x:c r="E205" s="169" t="s">
        <x:v>2297</x:v>
      </x:c>
      <x:c r="F205" s="169" t="s">
        <x:v>2298</x:v>
      </x:c>
      <x:c r="G205" s="169" t="s">
        <x:v>1512</x:v>
      </x:c>
      <x:c r="H205" s="169" t="s">
        <x:v>1399</x:v>
      </x:c>
      <x:c r="I205" s="169"/>
      <x:c r="J205" s="169" t="s">
        <x:v>1416</x:v>
      </x:c>
      <x:c r="K205" s="169" t="s">
        <x:v>1432</x:v>
      </x:c>
      <x:c r="L205" s="169" t="s">
        <x:v>1402</x:v>
      </x:c>
      <x:c r="M205" s="169" t="s">
        <x:v>1489</x:v>
      </x:c>
      <x:c r="N205" s="169" t="s">
        <x:v>1402</x:v>
      </x:c>
      <x:c r="O205" s="169" t="s">
        <x:v>1489</x:v>
      </x:c>
      <x:c r="P205" s="169" t="s">
        <x:v>1402</x:v>
      </x:c>
      <x:c r="Q205" s="169" t="s">
        <x:v>1437</x:v>
      </x:c>
      <x:c r="R205" s="169" t="s">
        <x:v>1422</x:v>
      </x:c>
      <x:c r="S205" s="169" t="s">
        <x:v>1422</x:v>
      </x:c>
      <x:c r="T205" s="169" t="s">
        <x:v>1422</x:v>
      </x:c>
      <x:c r="U205" s="169" t="s">
        <x:v>1422</x:v>
      </x:c>
      <x:c r="V205" s="169" t="s">
        <x:v>1422</x:v>
      </x:c>
      <x:c r="W205" s="169"/>
      <x:c r="X205" s="169" t="str">
        <x:f t="shared" si="33"/>
        <x:v>Tidak ada faktor rentan</x:v>
      </x:c>
      <x:c r="Y205" s="169" t="str">
        <x:f t="shared" si="34"/>
        <x:v>Tidak Ada Faktor Rentan</x:v>
      </x:c>
      <x:c r="Z205" s="170" t="str">
        <x:f t="shared" si="35"/>
      </x:c>
      <x:c r="AA205" s="170">
        <x:f t="shared" si="36"/>
        <x:v>0</x:v>
      </x:c>
      <x:c r="AB205" s="170" t="str">
        <x:f t="shared" si="37"/>
      </x:c>
      <x:c r="AC205" s="169"/>
      <x:c r="AD205" s="169"/>
      <x:c r="AE205" s="169" t="s">
        <x:v>1422</x:v>
      </x:c>
      <x:c r="AF205" s="169" t="s">
        <x:v>1422</x:v>
      </x:c>
      <x:c r="AG205" s="169" t="s">
        <x:v>1422</x:v>
      </x:c>
      <x:c r="AH205" s="169" t="s">
        <x:v>1422</x:v>
      </x:c>
      <x:c r="AI205" s="169" t="s">
        <x:v>1422</x:v>
      </x:c>
      <x:c r="AJ205" s="169" t="s">
        <x:v>1422</x:v>
      </x:c>
      <x:c r="AK205" s="169" t="s">
        <x:v>1422</x:v>
      </x:c>
      <x:c r="AL205" s="169"/>
      <x:c r="AM205" s="169"/>
      <x:c r="AN205" s="169" t="str">
        <x:f t="shared" si="38"/>
        <x:v>Tidak ada risiko khusus</x:v>
      </x:c>
      <x:c r="AO205" s="169" t="str">
        <x:f t="shared" si="39"/>
        <x:v>Tidak Ada Risiko Khusus</x:v>
      </x:c>
      <x:c r="AP205" s="169"/>
      <x:c r="AQ205" s="170">
        <x:f t="shared" si="40"/>
        <x:v>8</x:v>
      </x:c>
      <x:c r="AR205" s="170">
        <x:f t="shared" si="41"/>
        <x:v>0</x:v>
      </x:c>
      <x:c r="AS205" s="170" t="str">
        <x:f t="shared" si="42"/>
      </x:c>
      <x:c r="AT205" s="169" t="str">
        <x:f t="shared" si="43"/>
        <x:v>Belum Dapat Ditentukan</x:v>
      </x:c>
      <x:c r="AU205" s="169" t="s">
        <x:v>1424</x:v>
      </x:c>
      <x:c r="AV205" s="169" t="s">
        <x:v>1425</x:v>
      </x:c>
      <x:c r="AW205" s="169" t="s">
        <x:v>1410</x:v>
      </x:c>
      <x:c r="AX205" s="59" t="s">
        <x:v>1411</x:v>
      </x:c>
      <x:c r="AY205" s="169"/>
      <x:c r="AZ205" s="169"/>
      <x:c r="BA205" s="169"/>
      <x:c r="BB205" s="171"/>
      <x:c r="BC205" s="170">
        <x:v>2025</x:v>
      </x:c>
      <x:c r="BD205" s="169" t="s">
        <x:v>1441</x:v>
      </x:c>
      <x:c r="BE205" s="171"/>
      <x:c r="BF205" s="169" t="s">
        <x:v>1501</x:v>
      </x:c>
    </x:row>
    <x:row r="206" ht="28">
      <x:c r="A206" s="169" t="s">
        <x:v>2299</x:v>
      </x:c>
      <x:c r="B206" s="169" t="s">
        <x:v>2300</x:v>
      </x:c>
      <x:c r="C206" s="169" t="s">
        <x:v>2301</x:v>
      </x:c>
      <x:c r="D206" s="169" t="s">
        <x:v>2302</x:v>
      </x:c>
      <x:c r="E206" s="169" t="s">
        <x:v>1787</x:v>
      </x:c>
      <x:c r="F206" s="169" t="s">
        <x:v>1497</x:v>
      </x:c>
      <x:c r="G206" s="169" t="s">
        <x:v>1498</x:v>
      </x:c>
      <x:c r="H206" s="169" t="s">
        <x:v>1399</x:v>
      </x:c>
      <x:c r="I206" s="169"/>
      <x:c r="J206" s="169" t="s">
        <x:v>1431</x:v>
      </x:c>
      <x:c r="K206" s="169" t="s">
        <x:v>1417</x:v>
      </x:c>
      <x:c r="L206" s="169" t="s">
        <x:v>1418</x:v>
      </x:c>
      <x:c r="M206" s="169" t="s">
        <x:v>1489</x:v>
      </x:c>
      <x:c r="N206" s="169" t="s">
        <x:v>1433</x:v>
      </x:c>
      <x:c r="O206" s="169" t="s">
        <x:v>1435</x:v>
      </x:c>
      <x:c r="P206" s="169" t="s">
        <x:v>1418</x:v>
      </x:c>
      <x:c r="Q206" s="169" t="s">
        <x:v>1405</x:v>
      </x:c>
      <x:c r="R206" s="169" t="s">
        <x:v>1406</x:v>
      </x:c>
      <x:c r="S206" s="169" t="s">
        <x:v>1422</x:v>
      </x:c>
      <x:c r="T206" s="169" t="s">
        <x:v>1406</x:v>
      </x:c>
      <x:c r="U206" s="169" t="s">
        <x:v>1422</x:v>
      </x:c>
      <x:c r="V206" s="169" t="s">
        <x:v>1422</x:v>
      </x:c>
      <x:c r="W206" s="169"/>
      <x:c r="X206" s="169" t="str">
        <x:f t="shared" si="33"/>
        <x:v>Lansia; Kepala keluarga perempuan; </x:v>
      </x:c>
      <x:c r="Y206" s="169" t="str">
        <x:f t="shared" si="34"/>
        <x:v>2 atau Lebih Faktor Rentan</x:v>
      </x:c>
      <x:c r="Z206" s="170">
        <x:f t="shared" si="35"/>
        <x:v>10</x:v>
      </x:c>
      <x:c r="AA206" s="170">
        <x:f t="shared" si="36"/>
        <x:v>10</x:v>
      </x:c>
      <x:c r="AB206" s="170">
        <x:f t="shared" si="37"/>
        <x:v>20</x:v>
      </x:c>
      <x:c r="AC206" s="169" t="s">
        <x:v>1422</x:v>
      </x:c>
      <x:c r="AD206" s="169" t="s">
        <x:v>1422</x:v>
      </x:c>
      <x:c r="AE206" s="169" t="s">
        <x:v>1406</x:v>
      </x:c>
      <x:c r="AF206" s="169" t="s">
        <x:v>1422</x:v>
      </x:c>
      <x:c r="AG206" s="169" t="s">
        <x:v>1406</x:v>
      </x:c>
      <x:c r="AH206" s="169" t="s">
        <x:v>1406</x:v>
      </x:c>
      <x:c r="AI206" s="169" t="s">
        <x:v>1406</x:v>
      </x:c>
      <x:c r="AJ206" s="169" t="s">
        <x:v>1422</x:v>
      </x:c>
      <x:c r="AK206" s="169" t="s">
        <x:v>1422</x:v>
      </x:c>
      <x:c r="AL206" s="169"/>
      <x:c r="AM206" s="169"/>
      <x:c r="AN206" s="169" t="str">
        <x:f t="shared" si="38"/>
        <x:v>Atap atau dinding utama hampir runtuh; Struktur rumah tidak stabil; Instalasi listrik berbahaya; Komponen bangunan lepas atau lapuk; </x:v>
      </x:c>
      <x:c r="AO206" s="169" t="str">
        <x:f t="shared" si="39"/>
        <x:v>Risiko Tinggi/Darurat</x:v>
      </x:c>
      <x:c r="AP206" s="169"/>
      <x:c r="AQ206" s="170">
        <x:f t="shared" si="40"/>
        <x:v>34</x:v>
      </x:c>
      <x:c r="AR206" s="170">
        <x:f t="shared" si="41"/>
        <x:v>10</x:v>
      </x:c>
      <x:c r="AS206" s="170">
        <x:f t="shared" si="42"/>
        <x:v>64</x:v>
      </x:c>
      <x:c r="AT206" s="169" t="str">
        <x:f t="shared" si="43"/>
        <x:v>Tinggi</x:v>
      </x:c>
      <x:c r="AU206" s="169" t="s">
        <x:v>1408</x:v>
      </x:c>
      <x:c r="AV206" s="169" t="s">
        <x:v>1425</x:v>
      </x:c>
      <x:c r="AW206" s="169" t="s">
        <x:v>1490</x:v>
      </x:c>
      <x:c r="AX206" s="169" t="s">
        <x:v>1427</x:v>
      </x:c>
      <x:c r="AY206" s="169">
        <x:v>2026</x:v>
      </x:c>
      <x:c r="AZ206" s="169" t="s">
        <x:v>1412</x:v>
      </x:c>
      <x:c r="BA206" s="169"/>
      <x:c r="BB206" s="171"/>
      <x:c r="BC206" s="170">
        <x:v>2025</x:v>
      </x:c>
      <x:c r="BD206" s="169"/>
      <x:c r="BE206" s="171"/>
      <x:c r="BF206" s="169" t="s">
        <x:v>1501</x:v>
      </x:c>
    </x:row>
    <x:row r="207" ht="28">
      <x:c r="A207" s="169" t="s">
        <x:v>2303</x:v>
      </x:c>
      <x:c r="B207" s="169" t="s">
        <x:v>2304</x:v>
      </x:c>
      <x:c r="C207" s="169" t="s">
        <x:v>2305</x:v>
      </x:c>
      <x:c r="D207" s="169" t="s">
        <x:v>2306</x:v>
      </x:c>
      <x:c r="E207" s="169" t="s">
        <x:v>2307</x:v>
      </x:c>
      <x:c r="F207" s="169" t="s">
        <x:v>1512</x:v>
      </x:c>
      <x:c r="G207" s="169" t="s">
        <x:v>1512</x:v>
      </x:c>
      <x:c r="H207" s="169" t="s">
        <x:v>1399</x:v>
      </x:c>
      <x:c r="I207" s="169"/>
      <x:c r="J207" s="169" t="s">
        <x:v>1431</x:v>
      </x:c>
      <x:c r="K207" s="169" t="s">
        <x:v>1432</x:v>
      </x:c>
      <x:c r="L207" s="169" t="s">
        <x:v>1433</x:v>
      </x:c>
      <x:c r="M207" s="169" t="s">
        <x:v>1489</x:v>
      </x:c>
      <x:c r="N207" s="169" t="s">
        <x:v>1433</x:v>
      </x:c>
      <x:c r="O207" s="169" t="s">
        <x:v>1435</x:v>
      </x:c>
      <x:c r="P207" s="169" t="s">
        <x:v>1418</x:v>
      </x:c>
      <x:c r="Q207" s="169" t="s">
        <x:v>1405</x:v>
      </x:c>
      <x:c r="R207" s="169" t="s">
        <x:v>1422</x:v>
      </x:c>
      <x:c r="S207" s="169" t="s">
        <x:v>1422</x:v>
      </x:c>
      <x:c r="T207" s="169" t="s">
        <x:v>1422</x:v>
      </x:c>
      <x:c r="U207" s="169" t="s">
        <x:v>1422</x:v>
      </x:c>
      <x:c r="V207" s="169" t="s">
        <x:v>1422</x:v>
      </x:c>
      <x:c r="W207" s="169"/>
      <x:c r="X207" s="169" t="str">
        <x:f t="shared" si="33"/>
        <x:v>Tidak ada faktor rentan</x:v>
      </x:c>
      <x:c r="Y207" s="169" t="str">
        <x:f t="shared" si="34"/>
        <x:v>Tidak Ada Faktor Rentan</x:v>
      </x:c>
      <x:c r="Z207" s="170">
        <x:f t="shared" si="35"/>
        <x:v>10</x:v>
      </x:c>
      <x:c r="AA207" s="170">
        <x:f t="shared" si="36"/>
        <x:v>0</x:v>
      </x:c>
      <x:c r="AB207" s="170">
        <x:f t="shared" si="37"/>
        <x:v>10</x:v>
      </x:c>
      <x:c r="AC207" s="169" t="s">
        <x:v>1422</x:v>
      </x:c>
      <x:c r="AD207" s="169" t="s">
        <x:v>1422</x:v>
      </x:c>
      <x:c r="AE207" s="169" t="s">
        <x:v>1406</x:v>
      </x:c>
      <x:c r="AF207" s="169" t="s">
        <x:v>1422</x:v>
      </x:c>
      <x:c r="AG207" s="169" t="s">
        <x:v>1406</x:v>
      </x:c>
      <x:c r="AH207" s="169" t="s">
        <x:v>1406</x:v>
      </x:c>
      <x:c r="AI207" s="169" t="s">
        <x:v>1406</x:v>
      </x:c>
      <x:c r="AJ207" s="169" t="s">
        <x:v>1422</x:v>
      </x:c>
      <x:c r="AK207" s="169" t="s">
        <x:v>1422</x:v>
      </x:c>
      <x:c r="AL207" s="169"/>
      <x:c r="AM207" s="169"/>
      <x:c r="AN207" s="169" t="str">
        <x:f t="shared" si="38"/>
        <x:v>Atap atau dinding utama hampir runtuh; Struktur rumah tidak stabil; Instalasi listrik berbahaya; Komponen bangunan lepas atau lapuk; </x:v>
      </x:c>
      <x:c r="AO207" s="169" t="str">
        <x:f t="shared" si="39"/>
        <x:v>Risiko Tinggi/Darurat</x:v>
      </x:c>
      <x:c r="AP207" s="169"/>
      <x:c r="AQ207" s="170">
        <x:f t="shared" si="40"/>
        <x:v>39</x:v>
      </x:c>
      <x:c r="AR207" s="170">
        <x:f t="shared" si="41"/>
        <x:v>10</x:v>
      </x:c>
      <x:c r="AS207" s="170">
        <x:f t="shared" si="42"/>
        <x:v>59</x:v>
      </x:c>
      <x:c r="AT207" s="169" t="str">
        <x:f t="shared" si="43"/>
        <x:v>Tinggi</x:v>
      </x:c>
      <x:c r="AU207" s="169" t="s">
        <x:v>1408</x:v>
      </x:c>
      <x:c r="AV207" s="169" t="s">
        <x:v>1425</x:v>
      </x:c>
      <x:c r="AW207" s="169" t="s">
        <x:v>1490</x:v>
      </x:c>
      <x:c r="AX207" s="169" t="s">
        <x:v>1427</x:v>
      </x:c>
      <x:c r="AY207" s="169">
        <x:v>2026</x:v>
      </x:c>
      <x:c r="AZ207" s="169" t="s">
        <x:v>1412</x:v>
      </x:c>
      <x:c r="BA207" s="169"/>
      <x:c r="BB207" s="171"/>
      <x:c r="BC207" s="170">
        <x:v>2025</x:v>
      </x:c>
      <x:c r="BD207" s="169" t="s">
        <x:v>1441</x:v>
      </x:c>
      <x:c r="BE207" s="171"/>
      <x:c r="BF207" s="169" t="s">
        <x:v>1501</x:v>
      </x:c>
    </x:row>
    <x:row r="208" ht="28">
      <x:c r="A208" s="169" t="s">
        <x:v>2308</x:v>
      </x:c>
      <x:c r="B208" s="169" t="s">
        <x:v>2309</x:v>
      </x:c>
      <x:c r="C208" s="169" t="s">
        <x:v>2310</x:v>
      </x:c>
      <x:c r="D208" s="169" t="s">
        <x:v>2311</x:v>
      </x:c>
      <x:c r="E208" s="169" t="s">
        <x:v>2307</x:v>
      </x:c>
      <x:c r="F208" s="169" t="s">
        <x:v>1512</x:v>
      </x:c>
      <x:c r="G208" s="169" t="s">
        <x:v>1512</x:v>
      </x:c>
      <x:c r="H208" s="169" t="s">
        <x:v>1415</x:v>
      </x:c>
      <x:c r="I208" s="169"/>
      <x:c r="J208" s="169" t="s">
        <x:v>1431</x:v>
      </x:c>
      <x:c r="K208" s="169" t="s">
        <x:v>1417</x:v>
      </x:c>
      <x:c r="L208" s="169" t="s">
        <x:v>1433</x:v>
      </x:c>
      <x:c r="M208" s="169" t="s">
        <x:v>1489</x:v>
      </x:c>
      <x:c r="N208" s="169" t="s">
        <x:v>1433</x:v>
      </x:c>
      <x:c r="O208" s="169" t="s">
        <x:v>1435</x:v>
      </x:c>
      <x:c r="P208" s="169" t="s">
        <x:v>1418</x:v>
      </x:c>
      <x:c r="Q208" s="169" t="s">
        <x:v>1405</x:v>
      </x:c>
      <x:c r="R208" s="169" t="s">
        <x:v>1422</x:v>
      </x:c>
      <x:c r="S208" s="169" t="s">
        <x:v>1422</x:v>
      </x:c>
      <x:c r="T208" s="169" t="s">
        <x:v>1422</x:v>
      </x:c>
      <x:c r="U208" s="169" t="s">
        <x:v>1422</x:v>
      </x:c>
      <x:c r="V208" s="169" t="s">
        <x:v>1422</x:v>
      </x:c>
      <x:c r="W208" s="169"/>
      <x:c r="X208" s="169" t="str">
        <x:f t="shared" si="33"/>
        <x:v>Tidak ada faktor rentan</x:v>
      </x:c>
      <x:c r="Y208" s="169" t="str">
        <x:f t="shared" si="34"/>
        <x:v>Tidak Ada Faktor Rentan</x:v>
      </x:c>
      <x:c r="Z208" s="170">
        <x:f t="shared" si="35"/>
        <x:v>10</x:v>
      </x:c>
      <x:c r="AA208" s="170">
        <x:f t="shared" si="36"/>
        <x:v>0</x:v>
      </x:c>
      <x:c r="AB208" s="170">
        <x:f t="shared" si="37"/>
        <x:v>10</x:v>
      </x:c>
      <x:c r="AC208" s="169" t="s">
        <x:v>1422</x:v>
      </x:c>
      <x:c r="AD208" s="169" t="s">
        <x:v>1422</x:v>
      </x:c>
      <x:c r="AE208" s="169" t="s">
        <x:v>1406</x:v>
      </x:c>
      <x:c r="AF208" s="169" t="s">
        <x:v>1422</x:v>
      </x:c>
      <x:c r="AG208" s="169" t="s">
        <x:v>1406</x:v>
      </x:c>
      <x:c r="AH208" s="169" t="s">
        <x:v>1406</x:v>
      </x:c>
      <x:c r="AI208" s="169" t="s">
        <x:v>1406</x:v>
      </x:c>
      <x:c r="AJ208" s="169" t="s">
        <x:v>1422</x:v>
      </x:c>
      <x:c r="AK208" s="169" t="s">
        <x:v>1422</x:v>
      </x:c>
      <x:c r="AL208" s="169"/>
      <x:c r="AM208" s="169"/>
      <x:c r="AN208" s="169" t="str">
        <x:f t="shared" si="38"/>
        <x:v>Atap atau dinding utama hampir runtuh; Struktur rumah tidak stabil; Instalasi listrik berbahaya; Komponen bangunan lepas atau lapuk; </x:v>
      </x:c>
      <x:c r="AO208" s="169" t="str">
        <x:f t="shared" si="39"/>
        <x:v>Risiko Tinggi/Darurat</x:v>
      </x:c>
      <x:c r="AP208" s="169"/>
      <x:c r="AQ208" s="170">
        <x:f t="shared" si="40"/>
        <x:v>39</x:v>
      </x:c>
      <x:c r="AR208" s="170">
        <x:f t="shared" si="41"/>
        <x:v>10</x:v>
      </x:c>
      <x:c r="AS208" s="170">
        <x:f t="shared" si="42"/>
        <x:v>59</x:v>
      </x:c>
      <x:c r="AT208" s="169" t="str">
        <x:f t="shared" si="43"/>
        <x:v>Tinggi</x:v>
      </x:c>
      <x:c r="AU208" s="169" t="s">
        <x:v>1408</x:v>
      </x:c>
      <x:c r="AV208" s="169" t="s">
        <x:v>1425</x:v>
      </x:c>
      <x:c r="AW208" s="169" t="s">
        <x:v>1490</x:v>
      </x:c>
      <x:c r="AX208" s="169" t="s">
        <x:v>1427</x:v>
      </x:c>
      <x:c r="AY208" s="169">
        <x:v>2026</x:v>
      </x:c>
      <x:c r="AZ208" s="169" t="s">
        <x:v>1412</x:v>
      </x:c>
      <x:c r="BA208" s="169"/>
      <x:c r="BB208" s="171"/>
      <x:c r="BC208" s="170">
        <x:v>2025</x:v>
      </x:c>
      <x:c r="BD208" s="169" t="s">
        <x:v>1441</x:v>
      </x:c>
      <x:c r="BE208" s="171"/>
      <x:c r="BF208" s="169" t="s">
        <x:v>1501</x:v>
      </x:c>
    </x:row>
    <x:row r="209" ht="28">
      <x:c r="A209" s="169" t="s">
        <x:v>2312</x:v>
      </x:c>
      <x:c r="B209" s="169" t="s">
        <x:v>2313</x:v>
      </x:c>
      <x:c r="C209" s="169"/>
      <x:c r="D209" s="169"/>
      <x:c r="E209" s="169"/>
      <x:c r="F209" s="169" t="s">
        <x:v>1512</x:v>
      </x:c>
      <x:c r="G209" s="169" t="s">
        <x:v>1512</x:v>
      </x:c>
      <x:c r="H209" s="169" t="s">
        <x:v>1415</x:v>
      </x:c>
      <x:c r="I209" s="169"/>
      <x:c r="J209" s="169" t="s">
        <x:v>1416</x:v>
      </x:c>
      <x:c r="K209" s="169" t="s">
        <x:v>1417</x:v>
      </x:c>
      <x:c r="L209" s="169" t="s">
        <x:v>1418</x:v>
      </x:c>
      <x:c r="M209" s="169" t="s">
        <x:v>1489</x:v>
      </x:c>
      <x:c r="N209" s="169" t="s">
        <x:v>1418</x:v>
      </x:c>
      <x:c r="O209" s="169" t="s">
        <x:v>1435</x:v>
      </x:c>
      <x:c r="P209" s="169" t="s">
        <x:v>1418</x:v>
      </x:c>
      <x:c r="Q209" s="169" t="s">
        <x:v>1405</x:v>
      </x:c>
      <x:c r="R209" s="169" t="s">
        <x:v>1422</x:v>
      </x:c>
      <x:c r="S209" s="169" t="s">
        <x:v>1422</x:v>
      </x:c>
      <x:c r="T209" s="169" t="s">
        <x:v>1422</x:v>
      </x:c>
      <x:c r="U209" s="169" t="s">
        <x:v>1422</x:v>
      </x:c>
      <x:c r="V209" s="169" t="s">
        <x:v>1422</x:v>
      </x:c>
      <x:c r="W209" s="169"/>
      <x:c r="X209" s="169" t="str">
        <x:f t="shared" si="33"/>
        <x:v>Tidak ada faktor rentan</x:v>
      </x:c>
      <x:c r="Y209" s="169" t="str">
        <x:f t="shared" si="34"/>
        <x:v>Tidak Ada Faktor Rentan</x:v>
      </x:c>
      <x:c r="Z209" s="170">
        <x:f t="shared" si="35"/>
        <x:v>10</x:v>
      </x:c>
      <x:c r="AA209" s="170">
        <x:f t="shared" si="36"/>
        <x:v>0</x:v>
      </x:c>
      <x:c r="AB209" s="170">
        <x:f t="shared" si="37"/>
        <x:v>10</x:v>
      </x:c>
      <x:c r="AC209" s="169" t="s">
        <x:v>1422</x:v>
      </x:c>
      <x:c r="AD209" s="169" t="s">
        <x:v>1422</x:v>
      </x:c>
      <x:c r="AE209" s="169" t="s">
        <x:v>1406</x:v>
      </x:c>
      <x:c r="AF209" s="169" t="s">
        <x:v>1422</x:v>
      </x:c>
      <x:c r="AG209" s="169" t="s">
        <x:v>1422</x:v>
      </x:c>
      <x:c r="AH209" s="169" t="s">
        <x:v>1406</x:v>
      </x:c>
      <x:c r="AI209" s="169" t="s">
        <x:v>1406</x:v>
      </x:c>
      <x:c r="AJ209" s="169" t="s">
        <x:v>1422</x:v>
      </x:c>
      <x:c r="AK209" s="169" t="s">
        <x:v>1422</x:v>
      </x:c>
      <x:c r="AL209" s="169"/>
      <x:c r="AM209" s="169"/>
      <x:c r="AN209" s="169" t="str">
        <x:f t="shared" si="38"/>
        <x:v>Atap atau dinding utama hampir runtuh; Instalasi listrik berbahaya; Komponen bangunan lepas atau lapuk; </x:v>
      </x:c>
      <x:c r="AO209" s="169" t="str">
        <x:f t="shared" si="39"/>
        <x:v>Risiko Tinggi/Darurat</x:v>
      </x:c>
      <x:c r="AP209" s="169"/>
      <x:c r="AQ209" s="170">
        <x:f t="shared" si="40"/>
        <x:v>22</x:v>
      </x:c>
      <x:c r="AR209" s="170">
        <x:f t="shared" si="41"/>
        <x:v>10</x:v>
      </x:c>
      <x:c r="AS209" s="170">
        <x:f t="shared" si="42"/>
        <x:v>42</x:v>
      </x:c>
      <x:c r="AT209" s="169" t="str">
        <x:f t="shared" si="43"/>
        <x:v>Tinggi</x:v>
      </x:c>
      <x:c r="AU209" s="169" t="s">
        <x:v>1408</x:v>
      </x:c>
      <x:c r="AV209" s="169" t="s">
        <x:v>1425</x:v>
      </x:c>
      <x:c r="AW209" s="169" t="s">
        <x:v>1410</x:v>
      </x:c>
      <x:c r="AX209" s="59" t="s">
        <x:v>1411</x:v>
      </x:c>
      <x:c r="AY209" s="169"/>
      <x:c r="AZ209" s="169" t="s">
        <x:v>1428</x:v>
      </x:c>
      <x:c r="BA209" s="169"/>
      <x:c r="BB209" s="171"/>
      <x:c r="BC209" s="170">
        <x:v>2025</x:v>
      </x:c>
      <x:c r="BD209" s="169" t="s">
        <x:v>1441</x:v>
      </x:c>
      <x:c r="BE209" s="171"/>
      <x:c r="BF209" s="169" t="s">
        <x:v>1501</x:v>
      </x:c>
    </x:row>
    <x:row r="210" ht="42">
      <x:c r="A210" s="169" t="s">
        <x:v>2314</x:v>
      </x:c>
      <x:c r="B210" s="169" t="s">
        <x:v>2315</x:v>
      </x:c>
      <x:c r="C210" s="169" t="s">
        <x:v>2316</x:v>
      </x:c>
      <x:c r="D210" s="169" t="s">
        <x:v>2317</x:v>
      </x:c>
      <x:c r="E210" s="169" t="s">
        <x:v>2318</x:v>
      </x:c>
      <x:c r="F210" s="169" t="s">
        <x:v>2319</x:v>
      </x:c>
      <x:c r="G210" s="169" t="s">
        <x:v>1549</x:v>
      </x:c>
      <x:c r="H210" s="169" t="s">
        <x:v>1415</x:v>
      </x:c>
      <x:c r="I210" s="169"/>
      <x:c r="J210" s="169" t="s">
        <x:v>1416</x:v>
      </x:c>
      <x:c r="K210" s="169" t="s">
        <x:v>1417</x:v>
      </x:c>
      <x:c r="L210" s="169" t="s">
        <x:v>1433</x:v>
      </x:c>
      <x:c r="M210" s="169" t="s">
        <x:v>1500</x:v>
      </x:c>
      <x:c r="N210" s="169" t="s">
        <x:v>1433</x:v>
      </x:c>
      <x:c r="O210" s="169" t="s">
        <x:v>1435</x:v>
      </x:c>
      <x:c r="P210" s="169" t="s">
        <x:v>1418</x:v>
      </x:c>
      <x:c r="Q210" s="169" t="s">
        <x:v>1405</x:v>
      </x:c>
      <x:c r="R210" s="169" t="s">
        <x:v>1406</x:v>
      </x:c>
      <x:c r="S210" s="169" t="s">
        <x:v>1422</x:v>
      </x:c>
      <x:c r="T210" s="169" t="s">
        <x:v>1422</x:v>
      </x:c>
      <x:c r="U210" s="169" t="s">
        <x:v>1422</x:v>
      </x:c>
      <x:c r="V210" s="169" t="s">
        <x:v>1422</x:v>
      </x:c>
      <x:c r="W210" s="169"/>
      <x:c r="X210" s="169" t="str">
        <x:f t="shared" si="33"/>
        <x:v>Lansia; </x:v>
      </x:c>
      <x:c r="Y210" s="169" t="str">
        <x:f t="shared" si="34"/>
        <x:v>1 Faktor Rentan</x:v>
      </x:c>
      <x:c r="Z210" s="170">
        <x:f t="shared" si="35"/>
        <x:v>10</x:v>
      </x:c>
      <x:c r="AA210" s="170">
        <x:f t="shared" si="36"/>
        <x:v>5</x:v>
      </x:c>
      <x:c r="AB210" s="170">
        <x:f t="shared" si="37"/>
        <x:v>15</x:v>
      </x:c>
      <x:c r="AC210" s="169" t="s">
        <x:v>1406</x:v>
      </x:c>
      <x:c r="AD210" s="169" t="s">
        <x:v>1422</x:v>
      </x:c>
      <x:c r="AE210" s="169" t="s">
        <x:v>1406</x:v>
      </x:c>
      <x:c r="AF210" s="169" t="s">
        <x:v>1422</x:v>
      </x:c>
      <x:c r="AG210" s="169" t="s">
        <x:v>1406</x:v>
      </x:c>
      <x:c r="AH210" s="169" t="s">
        <x:v>1406</x:v>
      </x:c>
      <x:c r="AI210" s="169" t="s">
        <x:v>1406</x:v>
      </x:c>
      <x:c r="AJ210" s="169" t="s">
        <x:v>1422</x:v>
      </x:c>
      <x:c r="AK210" s="169" t="s">
        <x:v>1422</x:v>
      </x:c>
      <x:c r="AL210" s="169"/>
      <x:c r="AM210" s="169"/>
      <x:c r="AN210" s="169" t="str">
        <x:f t="shared" si="38"/>
        <x:v>Bangunan berpotensi roboh; Atap atau dinding utama hampir runtuh; Struktur rumah tidak stabil; Instalasi listrik berbahaya; Komponen bangunan lepas atau lapuk; </x:v>
      </x:c>
      <x:c r="AO210" s="169" t="str">
        <x:f t="shared" si="39"/>
        <x:v>Risiko Tinggi/Darurat</x:v>
      </x:c>
      <x:c r="AP210" s="169"/>
      <x:c r="AQ210" s="170">
        <x:f t="shared" si="40"/>
        <x:v>32</x:v>
      </x:c>
      <x:c r="AR210" s="170">
        <x:f t="shared" si="41"/>
        <x:v>10</x:v>
      </x:c>
      <x:c r="AS210" s="170">
        <x:f t="shared" si="42"/>
        <x:v>57</x:v>
      </x:c>
      <x:c r="AT210" s="169" t="str">
        <x:f t="shared" si="43"/>
        <x:v>Tinggi</x:v>
      </x:c>
      <x:c r="AU210" s="169" t="s">
        <x:v>1408</x:v>
      </x:c>
      <x:c r="AV210" s="169" t="s">
        <x:v>1425</x:v>
      </x:c>
      <x:c r="AW210" s="169" t="s">
        <x:v>1490</x:v>
      </x:c>
      <x:c r="AX210" s="169" t="s">
        <x:v>1427</x:v>
      </x:c>
      <x:c r="AY210" s="169">
        <x:v>2026</x:v>
      </x:c>
      <x:c r="AZ210" s="169" t="s">
        <x:v>1412</x:v>
      </x:c>
      <x:c r="BA210" s="169"/>
      <x:c r="BB210" s="171"/>
      <x:c r="BC210" s="170">
        <x:v>2025</x:v>
      </x:c>
      <x:c r="BD210" s="169" t="s">
        <x:v>1441</x:v>
      </x:c>
      <x:c r="BE210" s="171"/>
      <x:c r="BF210" s="169" t="s">
        <x:v>1501</x:v>
      </x:c>
    </x:row>
    <x:row r="211" ht="28">
      <x:c r="A211" s="169" t="s">
        <x:v>2320</x:v>
      </x:c>
      <x:c r="B211" s="169" t="s">
        <x:v>2321</x:v>
      </x:c>
      <x:c r="C211" s="169" t="s">
        <x:v>2322</x:v>
      </x:c>
      <x:c r="D211" s="169" t="s">
        <x:v>2323</x:v>
      </x:c>
      <x:c r="E211" s="169" t="s">
        <x:v>2324</x:v>
      </x:c>
      <x:c r="F211" s="169" t="s">
        <x:v>1548</x:v>
      </x:c>
      <x:c r="G211" s="169" t="s">
        <x:v>1549</x:v>
      </x:c>
      <x:c r="H211" s="169" t="s">
        <x:v>1399</x:v>
      </x:c>
      <x:c r="I211" s="169"/>
      <x:c r="J211" s="169" t="s">
        <x:v>1416</x:v>
      </x:c>
      <x:c r="K211" s="169" t="s">
        <x:v>1432</x:v>
      </x:c>
      <x:c r="L211" s="169" t="s">
        <x:v>1418</x:v>
      </x:c>
      <x:c r="M211" s="169" t="s">
        <x:v>1500</x:v>
      </x:c>
      <x:c r="N211" s="169" t="s">
        <x:v>1418</x:v>
      </x:c>
      <x:c r="O211" s="169" t="s">
        <x:v>1435</x:v>
      </x:c>
      <x:c r="P211" s="169" t="s">
        <x:v>1418</x:v>
      </x:c>
      <x:c r="Q211" s="169" t="s">
        <x:v>1405</x:v>
      </x:c>
      <x:c r="R211" s="169" t="s">
        <x:v>1406</x:v>
      </x:c>
      <x:c r="S211" s="169" t="s">
        <x:v>1422</x:v>
      </x:c>
      <x:c r="T211" s="169" t="s">
        <x:v>1422</x:v>
      </x:c>
      <x:c r="U211" s="169" t="s">
        <x:v>1422</x:v>
      </x:c>
      <x:c r="V211" s="169" t="s">
        <x:v>1422</x:v>
      </x:c>
      <x:c r="W211" s="169"/>
      <x:c r="X211" s="169" t="str">
        <x:f t="shared" si="33"/>
        <x:v>Lansia; </x:v>
      </x:c>
      <x:c r="Y211" s="169" t="str">
        <x:f t="shared" si="34"/>
        <x:v>1 Faktor Rentan</x:v>
      </x:c>
      <x:c r="Z211" s="170">
        <x:f t="shared" si="35"/>
        <x:v>10</x:v>
      </x:c>
      <x:c r="AA211" s="170">
        <x:f t="shared" si="36"/>
        <x:v>5</x:v>
      </x:c>
      <x:c r="AB211" s="170">
        <x:f t="shared" si="37"/>
        <x:v>15</x:v>
      </x:c>
      <x:c r="AC211" s="169" t="s">
        <x:v>1422</x:v>
      </x:c>
      <x:c r="AD211" s="169" t="s">
        <x:v>1422</x:v>
      </x:c>
      <x:c r="AE211" s="169" t="s">
        <x:v>1422</x:v>
      </x:c>
      <x:c r="AF211" s="169" t="s">
        <x:v>1422</x:v>
      </x:c>
      <x:c r="AG211" s="169" t="s">
        <x:v>1406</x:v>
      </x:c>
      <x:c r="AH211" s="169" t="s">
        <x:v>1406</x:v>
      </x:c>
      <x:c r="AI211" s="169" t="s">
        <x:v>1406</x:v>
      </x:c>
      <x:c r="AJ211" s="169" t="s">
        <x:v>1422</x:v>
      </x:c>
      <x:c r="AK211" s="169" t="s">
        <x:v>1422</x:v>
      </x:c>
      <x:c r="AL211" s="169"/>
      <x:c r="AM211" s="169"/>
      <x:c r="AN211" s="169" t="str">
        <x:f t="shared" si="38"/>
        <x:v>Struktur rumah tidak stabil; Instalasi listrik berbahaya; Komponen bangunan lepas atau lapuk; </x:v>
      </x:c>
      <x:c r="AO211" s="169" t="str">
        <x:f t="shared" si="39"/>
        <x:v>Risiko Tinggi/Darurat</x:v>
      </x:c>
      <x:c r="AP211" s="169"/>
      <x:c r="AQ211" s="170">
        <x:f t="shared" si="40"/>
        <x:v>22</x:v>
      </x:c>
      <x:c r="AR211" s="170">
        <x:f t="shared" si="41"/>
        <x:v>10</x:v>
      </x:c>
      <x:c r="AS211" s="170">
        <x:f t="shared" si="42"/>
        <x:v>47</x:v>
      </x:c>
      <x:c r="AT211" s="169" t="str">
        <x:f t="shared" si="43"/>
        <x:v>Tinggi</x:v>
      </x:c>
      <x:c r="AU211" s="169" t="s">
        <x:v>1408</x:v>
      </x:c>
      <x:c r="AV211" s="169" t="s">
        <x:v>1425</x:v>
      </x:c>
      <x:c r="AW211" s="169" t="s">
        <x:v>1490</x:v>
      </x:c>
      <x:c r="AX211" s="169" t="s">
        <x:v>1427</x:v>
      </x:c>
      <x:c r="AY211" s="169">
        <x:v>2026</x:v>
      </x:c>
      <x:c r="AZ211" s="169" t="s">
        <x:v>1412</x:v>
      </x:c>
      <x:c r="BA211" s="169"/>
      <x:c r="BB211" s="171"/>
      <x:c r="BC211" s="170">
        <x:v>2025</x:v>
      </x:c>
      <x:c r="BD211" s="169" t="s">
        <x:v>1441</x:v>
      </x:c>
      <x:c r="BE211" s="171"/>
      <x:c r="BF211" s="169" t="s">
        <x:v>1501</x:v>
      </x:c>
    </x:row>
    <x:row r="212" ht="28">
      <x:c r="A212" s="169" t="s">
        <x:v>2325</x:v>
      </x:c>
      <x:c r="B212" s="169" t="s">
        <x:v>2326</x:v>
      </x:c>
      <x:c r="C212" s="169" t="s">
        <x:v>2327</x:v>
      </x:c>
      <x:c r="D212" s="169" t="s">
        <x:v>2328</x:v>
      </x:c>
      <x:c r="E212" s="169" t="s">
        <x:v>2329</x:v>
      </x:c>
      <x:c r="F212" s="169" t="s">
        <x:v>1590</x:v>
      </x:c>
      <x:c r="G212" s="169" t="s">
        <x:v>1585</x:v>
      </x:c>
      <x:c r="H212" s="169" t="s">
        <x:v>1399</x:v>
      </x:c>
      <x:c r="I212" s="169"/>
      <x:c r="J212" s="169" t="s">
        <x:v>1431</x:v>
      </x:c>
      <x:c r="K212" s="169" t="s">
        <x:v>1417</x:v>
      </x:c>
      <x:c r="L212" s="169" t="s">
        <x:v>1418</x:v>
      </x:c>
      <x:c r="M212" s="169" t="s">
        <x:v>1489</x:v>
      </x:c>
      <x:c r="N212" s="169" t="s">
        <x:v>1433</x:v>
      </x:c>
      <x:c r="O212" s="169" t="s">
        <x:v>1435</x:v>
      </x:c>
      <x:c r="P212" s="169" t="s">
        <x:v>1418</x:v>
      </x:c>
      <x:c r="Q212" s="169" t="s">
        <x:v>1405</x:v>
      </x:c>
      <x:c r="R212" s="169" t="s">
        <x:v>1422</x:v>
      </x:c>
      <x:c r="S212" s="169" t="s">
        <x:v>1422</x:v>
      </x:c>
      <x:c r="T212" s="169" t="s">
        <x:v>1422</x:v>
      </x:c>
      <x:c r="U212" s="169" t="s">
        <x:v>1422</x:v>
      </x:c>
      <x:c r="V212" s="169" t="s">
        <x:v>1422</x:v>
      </x:c>
      <x:c r="W212" s="169"/>
      <x:c r="X212" s="169" t="str">
        <x:f t="shared" si="33"/>
        <x:v>Tidak ada faktor rentan</x:v>
      </x:c>
      <x:c r="Y212" s="169" t="str">
        <x:f t="shared" si="34"/>
        <x:v>Tidak Ada Faktor Rentan</x:v>
      </x:c>
      <x:c r="Z212" s="170">
        <x:f t="shared" si="35"/>
        <x:v>10</x:v>
      </x:c>
      <x:c r="AA212" s="170">
        <x:f t="shared" si="36"/>
        <x:v>0</x:v>
      </x:c>
      <x:c r="AB212" s="170">
        <x:f t="shared" si="37"/>
        <x:v>10</x:v>
      </x:c>
      <x:c r="AC212" s="169" t="s">
        <x:v>1422</x:v>
      </x:c>
      <x:c r="AD212" s="169" t="s">
        <x:v>1422</x:v>
      </x:c>
      <x:c r="AE212" s="169" t="s">
        <x:v>1406</x:v>
      </x:c>
      <x:c r="AF212" s="169" t="s">
        <x:v>1422</x:v>
      </x:c>
      <x:c r="AG212" s="169" t="s">
        <x:v>1406</x:v>
      </x:c>
      <x:c r="AH212" s="169" t="s">
        <x:v>1406</x:v>
      </x:c>
      <x:c r="AI212" s="169" t="s">
        <x:v>1406</x:v>
      </x:c>
      <x:c r="AJ212" s="169" t="s">
        <x:v>1422</x:v>
      </x:c>
      <x:c r="AK212" s="169" t="s">
        <x:v>1422</x:v>
      </x:c>
      <x:c r="AL212" s="169"/>
      <x:c r="AM212" s="169"/>
      <x:c r="AN212" s="169" t="str">
        <x:f t="shared" si="38"/>
        <x:v>Atap atau dinding utama hampir runtuh; Struktur rumah tidak stabil; Instalasi listrik berbahaya; Komponen bangunan lepas atau lapuk; </x:v>
      </x:c>
      <x:c r="AO212" s="169" t="str">
        <x:f t="shared" si="39"/>
        <x:v>Risiko Tinggi/Darurat</x:v>
      </x:c>
      <x:c r="AP212" s="169"/>
      <x:c r="AQ212" s="170">
        <x:f t="shared" si="40"/>
        <x:v>34</x:v>
      </x:c>
      <x:c r="AR212" s="170">
        <x:f t="shared" si="41"/>
        <x:v>10</x:v>
      </x:c>
      <x:c r="AS212" s="170">
        <x:f t="shared" si="42"/>
        <x:v>54</x:v>
      </x:c>
      <x:c r="AT212" s="169" t="str">
        <x:f t="shared" si="43"/>
        <x:v>Tinggi</x:v>
      </x:c>
      <x:c r="AU212" s="169" t="s">
        <x:v>1408</x:v>
      </x:c>
      <x:c r="AV212" s="169" t="s">
        <x:v>1425</x:v>
      </x:c>
      <x:c r="AW212" s="169" t="s">
        <x:v>1426</x:v>
      </x:c>
      <x:c r="AX212" s="169" t="s">
        <x:v>1506</x:v>
      </x:c>
      <x:c r="AY212" s="169">
        <x:v>2026</x:v>
      </x:c>
      <x:c r="AZ212" s="169" t="s">
        <x:v>1412</x:v>
      </x:c>
      <x:c r="BA212" s="169"/>
      <x:c r="BB212" s="171"/>
      <x:c r="BC212" s="170">
        <x:v>2025</x:v>
      </x:c>
      <x:c r="BD212" s="169" t="s">
        <x:v>1413</x:v>
      </x:c>
      <x:c r="BE212" s="171"/>
      <x:c r="BF212" s="169" t="s">
        <x:v>1501</x:v>
      </x:c>
    </x:row>
    <x:row r="213" ht="28">
      <x:c r="A213" s="169" t="s">
        <x:v>2330</x:v>
      </x:c>
      <x:c r="B213" s="169" t="s">
        <x:v>2331</x:v>
      </x:c>
      <x:c r="C213" s="169" t="s">
        <x:v>2332</x:v>
      </x:c>
      <x:c r="D213" s="169" t="s">
        <x:v>2333</x:v>
      </x:c>
      <x:c r="E213" s="169" t="s">
        <x:v>2334</x:v>
      </x:c>
      <x:c r="F213" s="169" t="s">
        <x:v>1590</x:v>
      </x:c>
      <x:c r="G213" s="169" t="s">
        <x:v>1585</x:v>
      </x:c>
      <x:c r="H213" s="169" t="s">
        <x:v>1399</x:v>
      </x:c>
      <x:c r="I213" s="169"/>
      <x:c r="J213" s="169" t="s">
        <x:v>1431</x:v>
      </x:c>
      <x:c r="K213" s="169" t="s">
        <x:v>1432</x:v>
      </x:c>
      <x:c r="L213" s="169" t="s">
        <x:v>1487</x:v>
      </x:c>
      <x:c r="M213" s="169" t="s">
        <x:v>1515</x:v>
      </x:c>
      <x:c r="N213" s="169" t="s">
        <x:v>1433</x:v>
      </x:c>
      <x:c r="O213" s="169" t="s">
        <x:v>1435</x:v>
      </x:c>
      <x:c r="P213" s="169" t="s">
        <x:v>1433</x:v>
      </x:c>
      <x:c r="Q213" s="169" t="s">
        <x:v>1405</x:v>
      </x:c>
      <x:c r="R213" s="169" t="s">
        <x:v>1422</x:v>
      </x:c>
      <x:c r="S213" s="169" t="s">
        <x:v>1422</x:v>
      </x:c>
      <x:c r="T213" s="169" t="s">
        <x:v>1422</x:v>
      </x:c>
      <x:c r="U213" s="169" t="s">
        <x:v>1406</x:v>
      </x:c>
      <x:c r="V213" s="169" t="s">
        <x:v>1422</x:v>
      </x:c>
      <x:c r="W213" s="169"/>
      <x:c r="X213" s="169" t="str">
        <x:f t="shared" si="33"/>
        <x:v>Balita; </x:v>
      </x:c>
      <x:c r="Y213" s="169" t="str">
        <x:f t="shared" si="34"/>
        <x:v>1 Faktor Rentan</x:v>
      </x:c>
      <x:c r="Z213" s="170">
        <x:f t="shared" si="35"/>
        <x:v>10</x:v>
      </x:c>
      <x:c r="AA213" s="170">
        <x:f t="shared" si="36"/>
        <x:v>5</x:v>
      </x:c>
      <x:c r="AB213" s="170">
        <x:f t="shared" si="37"/>
        <x:v>15</x:v>
      </x:c>
      <x:c r="AC213" s="169" t="s">
        <x:v>1422</x:v>
      </x:c>
      <x:c r="AD213" s="169" t="s">
        <x:v>1422</x:v>
      </x:c>
      <x:c r="AE213" s="169" t="s">
        <x:v>1406</x:v>
      </x:c>
      <x:c r="AF213" s="169" t="s">
        <x:v>1422</x:v>
      </x:c>
      <x:c r="AG213" s="169" t="s">
        <x:v>1406</x:v>
      </x:c>
      <x:c r="AH213" s="169" t="s">
        <x:v>1406</x:v>
      </x:c>
      <x:c r="AI213" s="169" t="s">
        <x:v>1422</x:v>
      </x:c>
      <x:c r="AJ213" s="169" t="s">
        <x:v>1422</x:v>
      </x:c>
      <x:c r="AK213" s="169" t="s">
        <x:v>1422</x:v>
      </x:c>
      <x:c r="AL213" s="169"/>
      <x:c r="AM213" s="169"/>
      <x:c r="AN213" s="169" t="str">
        <x:f t="shared" si="38"/>
        <x:v>Atap atau dinding utama hampir runtuh; Struktur rumah tidak stabil; Instalasi listrik berbahaya; </x:v>
      </x:c>
      <x:c r="AO213" s="169" t="str">
        <x:f t="shared" si="39"/>
        <x:v>Risiko Tinggi/Darurat</x:v>
      </x:c>
      <x:c r="AP213" s="169"/>
      <x:c r="AQ213" s="170">
        <x:f t="shared" si="40"/>
        <x:v>48</x:v>
      </x:c>
      <x:c r="AR213" s="170">
        <x:f t="shared" si="41"/>
        <x:v>10</x:v>
      </x:c>
      <x:c r="AS213" s="170">
        <x:f t="shared" si="42"/>
        <x:v>73</x:v>
      </x:c>
      <x:c r="AT213" s="169" t="str">
        <x:f t="shared" si="43"/>
        <x:v>Tinggi</x:v>
      </x:c>
      <x:c r="AU213" s="169" t="s">
        <x:v>1408</x:v>
      </x:c>
      <x:c r="AV213" s="169" t="s">
        <x:v>1425</x:v>
      </x:c>
      <x:c r="AW213" s="169" t="s">
        <x:v>2335</x:v>
      </x:c>
      <x:c r="AX213" s="169" t="s">
        <x:v>1427</x:v>
      </x:c>
      <x:c r="AY213" s="169">
        <x:v>2026</x:v>
      </x:c>
      <x:c r="AZ213" s="169" t="s">
        <x:v>1412</x:v>
      </x:c>
      <x:c r="BA213" s="169"/>
      <x:c r="BB213" s="171"/>
      <x:c r="BC213" s="170">
        <x:v>2025</x:v>
      </x:c>
      <x:c r="BD213" s="169" t="s">
        <x:v>1429</x:v>
      </x:c>
      <x:c r="BE213" s="171"/>
      <x:c r="BF213" s="169" t="s">
        <x:v>1501</x:v>
      </x:c>
    </x:row>
    <x:row r="214">
      <x:c r="A214" s="59"/>
      <x:c r="B214" s="59"/>
      <x:c r="C214" s="59"/>
      <x:c r="D214" s="59"/>
      <x:c r="E214" s="59"/>
      <x:c r="F214" s="59"/>
      <x:c r="G214" s="59"/>
      <x:c r="H214" s="59"/>
      <x:c r="I214" s="59"/>
      <x:c r="J214" s="59"/>
      <x:c r="K214" s="59"/>
      <x:c r="L214" s="59"/>
      <x:c r="M214" s="59"/>
      <x:c r="N214" s="59"/>
      <x:c r="O214" s="59"/>
      <x:c r="P214" s="59"/>
      <x:c r="Q214" s="75"/>
      <x:c r="R214" s="75"/>
      <x:c r="S214" s="75"/>
      <x:c r="T214" s="75"/>
      <x:c r="U214" s="75"/>
      <x:c r="V214" s="75"/>
      <x:c r="W214" s="60"/>
      <x:c r="X214" s="73" t="str">
        <x:f t="shared" si="33"/>
        <x:v>Tidak ada faktor rentan</x:v>
      </x:c>
      <x:c r="Y214" s="73" t="str">
        <x:f t="shared" si="34"/>
        <x:v>Tidak Ada Faktor Rentan</x:v>
      </x:c>
      <x:c r="Z214" s="74" t="str">
        <x:f t="shared" si="35"/>
      </x:c>
      <x:c r="AA214" s="74">
        <x:f t="shared" si="36"/>
        <x:v>0</x:v>
      </x:c>
      <x:c r="AB214" s="74" t="str">
        <x:f t="shared" si="37"/>
      </x:c>
      <x:c r="AC214" s="61"/>
      <x:c r="AD214" s="61"/>
      <x:c r="AE214" s="61"/>
      <x:c r="AF214" s="61"/>
      <x:c r="AG214" s="61"/>
      <x:c r="AH214" s="61"/>
      <x:c r="AI214" s="61"/>
      <x:c r="AJ214" s="61"/>
      <x:c r="AK214" s="61"/>
      <x:c r="AL214" s="61"/>
      <x:c r="AM214" s="61"/>
      <x:c r="AN214" s="73" t="str">
        <x:f t="shared" si="38"/>
        <x:v>Tidak ada risiko khusus</x:v>
      </x:c>
      <x:c r="AO214" s="73" t="str">
        <x:f t="shared" si="39"/>
        <x:v>Tidak Ada Risiko Khusus</x:v>
      </x:c>
      <x:c r="AP214" s="61"/>
      <x:c r="AQ214" s="64" t="str">
        <x:f t="shared" si="40"/>
      </x:c>
      <x:c r="AR214" s="64">
        <x:f t="shared" si="41"/>
        <x:v>0</x:v>
      </x:c>
      <x:c r="AS214" s="64" t="str">
        <x:f t="shared" si="42"/>
      </x:c>
      <x:c r="AT214" s="62" t="str">
        <x:f t="shared" si="43"/>
        <x:v>Belum Dapat Ditentukan</x:v>
      </x:c>
      <x:c r="AU214" s="59"/>
      <x:c r="AV214" s="59"/>
      <x:c r="AW214" s="59"/>
      <x:c r="AX214" s="59"/>
      <x:c r="AY214" s="59"/>
      <x:c r="AZ214" s="59"/>
      <x:c r="BA214" s="59"/>
      <x:c r="BB214" s="167"/>
      <x:c r="BC214" s="65"/>
      <x:c r="BD214" s="59"/>
      <x:c r="BE214" s="167"/>
      <x:c r="BF214" s="59"/>
    </x:row>
    <x:row r="215">
      <x:c r="A215" s="59"/>
      <x:c r="B215" s="59"/>
      <x:c r="C215" s="59"/>
      <x:c r="D215" s="59"/>
      <x:c r="E215" s="59"/>
      <x:c r="F215" s="59"/>
      <x:c r="G215" s="59"/>
      <x:c r="H215" s="59"/>
      <x:c r="I215" s="59"/>
      <x:c r="J215" s="59"/>
      <x:c r="K215" s="59"/>
      <x:c r="L215" s="59"/>
      <x:c r="M215" s="59"/>
      <x:c r="N215" s="59"/>
      <x:c r="O215" s="59"/>
      <x:c r="P215" s="59"/>
      <x:c r="Q215" s="75"/>
      <x:c r="R215" s="75"/>
      <x:c r="S215" s="75"/>
      <x:c r="T215" s="75"/>
      <x:c r="U215" s="75"/>
      <x:c r="V215" s="75"/>
      <x:c r="W215" s="60"/>
      <x:c r="X215" s="73" t="str">
        <x:f t="shared" si="33"/>
        <x:v>Tidak ada faktor rentan</x:v>
      </x:c>
      <x:c r="Y215" s="73" t="str">
        <x:f t="shared" si="34"/>
        <x:v>Tidak Ada Faktor Rentan</x:v>
      </x:c>
      <x:c r="Z215" s="74" t="str">
        <x:f t="shared" si="35"/>
      </x:c>
      <x:c r="AA215" s="74">
        <x:f t="shared" si="36"/>
        <x:v>0</x:v>
      </x:c>
      <x:c r="AB215" s="74" t="str">
        <x:f t="shared" si="37"/>
      </x:c>
      <x:c r="AC215" s="61"/>
      <x:c r="AD215" s="61"/>
      <x:c r="AE215" s="61"/>
      <x:c r="AF215" s="61"/>
      <x:c r="AG215" s="61"/>
      <x:c r="AH215" s="61"/>
      <x:c r="AI215" s="61"/>
      <x:c r="AJ215" s="61"/>
      <x:c r="AK215" s="61"/>
      <x:c r="AL215" s="61"/>
      <x:c r="AM215" s="61"/>
      <x:c r="AN215" s="73" t="str">
        <x:f t="shared" si="38"/>
        <x:v>Tidak ada risiko khusus</x:v>
      </x:c>
      <x:c r="AO215" s="73" t="str">
        <x:f t="shared" si="39"/>
        <x:v>Tidak Ada Risiko Khusus</x:v>
      </x:c>
      <x:c r="AP215" s="61"/>
      <x:c r="AQ215" s="64" t="str">
        <x:f t="shared" si="40"/>
      </x:c>
      <x:c r="AR215" s="64">
        <x:f t="shared" si="41"/>
        <x:v>0</x:v>
      </x:c>
      <x:c r="AS215" s="64" t="str">
        <x:f t="shared" si="42"/>
      </x:c>
      <x:c r="AT215" s="62" t="str">
        <x:f t="shared" si="43"/>
        <x:v>Belum Dapat Ditentukan</x:v>
      </x:c>
      <x:c r="AU215" s="59"/>
      <x:c r="AV215" s="59"/>
      <x:c r="AW215" s="59"/>
      <x:c r="AX215" s="59"/>
      <x:c r="AY215" s="59"/>
      <x:c r="AZ215" s="59"/>
      <x:c r="BA215" s="59"/>
      <x:c r="BB215" s="167"/>
      <x:c r="BC215" s="65"/>
      <x:c r="BD215" s="59"/>
      <x:c r="BE215" s="167"/>
      <x:c r="BF215" s="59"/>
    </x:row>
    <x:row r="216">
      <x:c r="A216" s="59"/>
      <x:c r="B216" s="59"/>
      <x:c r="C216" s="59"/>
      <x:c r="D216" s="59"/>
      <x:c r="E216" s="59"/>
      <x:c r="F216" s="59"/>
      <x:c r="G216" s="59"/>
      <x:c r="H216" s="59"/>
      <x:c r="I216" s="59"/>
      <x:c r="J216" s="59"/>
      <x:c r="K216" s="59"/>
      <x:c r="L216" s="59"/>
      <x:c r="M216" s="59"/>
      <x:c r="N216" s="59"/>
      <x:c r="O216" s="59"/>
      <x:c r="P216" s="59"/>
      <x:c r="Q216" s="75"/>
      <x:c r="R216" s="75"/>
      <x:c r="S216" s="75"/>
      <x:c r="T216" s="75"/>
      <x:c r="U216" s="75"/>
      <x:c r="V216" s="75"/>
      <x:c r="W216" s="60"/>
      <x:c r="X216" s="73" t="str">
        <x:f t="shared" si="33"/>
        <x:v>Tidak ada faktor rentan</x:v>
      </x:c>
      <x:c r="Y216" s="73" t="str">
        <x:f t="shared" si="34"/>
        <x:v>Tidak Ada Faktor Rentan</x:v>
      </x:c>
      <x:c r="Z216" s="74" t="str">
        <x:f t="shared" si="35"/>
      </x:c>
      <x:c r="AA216" s="74">
        <x:f t="shared" si="36"/>
        <x:v>0</x:v>
      </x:c>
      <x:c r="AB216" s="74" t="str">
        <x:f t="shared" si="37"/>
      </x:c>
      <x:c r="AC216" s="61"/>
      <x:c r="AD216" s="61"/>
      <x:c r="AE216" s="61"/>
      <x:c r="AF216" s="61"/>
      <x:c r="AG216" s="61"/>
      <x:c r="AH216" s="61"/>
      <x:c r="AI216" s="61"/>
      <x:c r="AJ216" s="61"/>
      <x:c r="AK216" s="61"/>
      <x:c r="AL216" s="61"/>
      <x:c r="AM216" s="61"/>
      <x:c r="AN216" s="73" t="str">
        <x:f t="shared" si="38"/>
        <x:v>Tidak ada risiko khusus</x:v>
      </x:c>
      <x:c r="AO216" s="73" t="str">
        <x:f t="shared" si="39"/>
        <x:v>Tidak Ada Risiko Khusus</x:v>
      </x:c>
      <x:c r="AP216" s="61"/>
      <x:c r="AQ216" s="64" t="str">
        <x:f t="shared" si="40"/>
      </x:c>
      <x:c r="AR216" s="64">
        <x:f t="shared" si="41"/>
        <x:v>0</x:v>
      </x:c>
      <x:c r="AS216" s="64" t="str">
        <x:f t="shared" si="42"/>
      </x:c>
      <x:c r="AT216" s="62" t="str">
        <x:f t="shared" si="43"/>
        <x:v>Belum Dapat Ditentukan</x:v>
      </x:c>
      <x:c r="AU216" s="59"/>
      <x:c r="AV216" s="59"/>
      <x:c r="AW216" s="59"/>
      <x:c r="AX216" s="59"/>
      <x:c r="AY216" s="59"/>
      <x:c r="AZ216" s="59"/>
      <x:c r="BA216" s="59"/>
      <x:c r="BB216" s="167"/>
      <x:c r="BC216" s="65"/>
      <x:c r="BD216" s="59"/>
      <x:c r="BE216" s="167"/>
      <x:c r="BF216" s="59"/>
    </x:row>
    <x:row r="217">
      <x:c r="A217" s="59"/>
      <x:c r="B217" s="59"/>
      <x:c r="C217" s="59"/>
      <x:c r="D217" s="59"/>
      <x:c r="E217" s="59"/>
      <x:c r="F217" s="59"/>
      <x:c r="G217" s="59"/>
      <x:c r="H217" s="59"/>
      <x:c r="I217" s="59"/>
      <x:c r="J217" s="59"/>
      <x:c r="K217" s="59"/>
      <x:c r="L217" s="59"/>
      <x:c r="M217" s="59"/>
      <x:c r="N217" s="59"/>
      <x:c r="O217" s="59"/>
      <x:c r="P217" s="59"/>
      <x:c r="Q217" s="75"/>
      <x:c r="R217" s="75"/>
      <x:c r="S217" s="75"/>
      <x:c r="T217" s="75"/>
      <x:c r="U217" s="75"/>
      <x:c r="V217" s="75"/>
      <x:c r="W217" s="60"/>
      <x:c r="X217" s="73" t="str">
        <x:f t="shared" si="33"/>
        <x:v>Tidak ada faktor rentan</x:v>
      </x:c>
      <x:c r="Y217" s="73" t="str">
        <x:f t="shared" si="34"/>
        <x:v>Tidak Ada Faktor Rentan</x:v>
      </x:c>
      <x:c r="Z217" s="74" t="str">
        <x:f t="shared" si="35"/>
      </x:c>
      <x:c r="AA217" s="74">
        <x:f t="shared" si="36"/>
        <x:v>0</x:v>
      </x:c>
      <x:c r="AB217" s="74" t="str">
        <x:f t="shared" si="37"/>
      </x:c>
      <x:c r="AC217" s="61"/>
      <x:c r="AD217" s="61"/>
      <x:c r="AE217" s="61"/>
      <x:c r="AF217" s="61"/>
      <x:c r="AG217" s="61"/>
      <x:c r="AH217" s="61"/>
      <x:c r="AI217" s="61"/>
      <x:c r="AJ217" s="61"/>
      <x:c r="AK217" s="61"/>
      <x:c r="AL217" s="61"/>
      <x:c r="AM217" s="61"/>
      <x:c r="AN217" s="73" t="str">
        <x:f t="shared" si="38"/>
        <x:v>Tidak ada risiko khusus</x:v>
      </x:c>
      <x:c r="AO217" s="73" t="str">
        <x:f t="shared" si="39"/>
        <x:v>Tidak Ada Risiko Khusus</x:v>
      </x:c>
      <x:c r="AP217" s="61"/>
      <x:c r="AQ217" s="64" t="str">
        <x:f t="shared" si="40"/>
      </x:c>
      <x:c r="AR217" s="64">
        <x:f t="shared" si="41"/>
        <x:v>0</x:v>
      </x:c>
      <x:c r="AS217" s="64" t="str">
        <x:f t="shared" si="42"/>
      </x:c>
      <x:c r="AT217" s="62" t="str">
        <x:f t="shared" si="43"/>
        <x:v>Belum Dapat Ditentukan</x:v>
      </x:c>
      <x:c r="AU217" s="59"/>
      <x:c r="AV217" s="59"/>
      <x:c r="AW217" s="59"/>
      <x:c r="AX217" s="59"/>
      <x:c r="AY217" s="59"/>
      <x:c r="AZ217" s="59"/>
      <x:c r="BA217" s="59"/>
      <x:c r="BB217" s="167"/>
      <x:c r="BC217" s="65"/>
      <x:c r="BD217" s="59"/>
      <x:c r="BE217" s="167"/>
      <x:c r="BF217" s="59"/>
    </x:row>
    <x:row r="218">
      <x:c r="A218" s="59"/>
      <x:c r="B218" s="59"/>
      <x:c r="C218" s="59"/>
      <x:c r="D218" s="59"/>
      <x:c r="E218" s="59"/>
      <x:c r="F218" s="59"/>
      <x:c r="G218" s="59"/>
      <x:c r="H218" s="59"/>
      <x:c r="I218" s="59"/>
      <x:c r="J218" s="59"/>
      <x:c r="K218" s="59"/>
      <x:c r="L218" s="59"/>
      <x:c r="M218" s="59"/>
      <x:c r="N218" s="59"/>
      <x:c r="O218" s="59"/>
      <x:c r="P218" s="59"/>
      <x:c r="Q218" s="75"/>
      <x:c r="R218" s="75"/>
      <x:c r="S218" s="75"/>
      <x:c r="T218" s="75"/>
      <x:c r="U218" s="75"/>
      <x:c r="V218" s="75"/>
      <x:c r="W218" s="60"/>
      <x:c r="X218" s="73" t="str">
        <x:f t="shared" si="33"/>
        <x:v>Tidak ada faktor rentan</x:v>
      </x:c>
      <x:c r="Y218" s="73" t="str">
        <x:f t="shared" si="34"/>
        <x:v>Tidak Ada Faktor Rentan</x:v>
      </x:c>
      <x:c r="Z218" s="74" t="str">
        <x:f t="shared" si="35"/>
      </x:c>
      <x:c r="AA218" s="74">
        <x:f t="shared" si="36"/>
        <x:v>0</x:v>
      </x:c>
      <x:c r="AB218" s="74" t="str">
        <x:f t="shared" si="37"/>
      </x:c>
      <x:c r="AC218" s="61"/>
      <x:c r="AD218" s="61"/>
      <x:c r="AE218" s="61"/>
      <x:c r="AF218" s="61"/>
      <x:c r="AG218" s="61"/>
      <x:c r="AH218" s="61"/>
      <x:c r="AI218" s="61"/>
      <x:c r="AJ218" s="61"/>
      <x:c r="AK218" s="61"/>
      <x:c r="AL218" s="61"/>
      <x:c r="AM218" s="61"/>
      <x:c r="AN218" s="73" t="str">
        <x:f t="shared" si="38"/>
        <x:v>Tidak ada risiko khusus</x:v>
      </x:c>
      <x:c r="AO218" s="73" t="str">
        <x:f t="shared" si="39"/>
        <x:v>Tidak Ada Risiko Khusus</x:v>
      </x:c>
      <x:c r="AP218" s="61"/>
      <x:c r="AQ218" s="64" t="str">
        <x:f t="shared" si="40"/>
      </x:c>
      <x:c r="AR218" s="64">
        <x:f t="shared" si="41"/>
        <x:v>0</x:v>
      </x:c>
      <x:c r="AS218" s="64" t="str">
        <x:f t="shared" si="42"/>
      </x:c>
      <x:c r="AT218" s="62" t="str">
        <x:f t="shared" si="43"/>
        <x:v>Belum Dapat Ditentukan</x:v>
      </x:c>
      <x:c r="AU218" s="59"/>
      <x:c r="AV218" s="59"/>
      <x:c r="AW218" s="59"/>
      <x:c r="AX218" s="59"/>
      <x:c r="AY218" s="59"/>
      <x:c r="AZ218" s="59"/>
      <x:c r="BA218" s="59"/>
      <x:c r="BB218" s="167"/>
      <x:c r="BC218" s="65"/>
      <x:c r="BD218" s="59"/>
      <x:c r="BE218" s="167"/>
      <x:c r="BF218" s="59"/>
    </x:row>
    <x:row r="219">
      <x:c r="A219" s="59"/>
      <x:c r="B219" s="59"/>
      <x:c r="C219" s="59"/>
      <x:c r="D219" s="59"/>
      <x:c r="E219" s="59"/>
      <x:c r="F219" s="59"/>
      <x:c r="G219" s="59"/>
      <x:c r="H219" s="59"/>
      <x:c r="I219" s="59"/>
      <x:c r="J219" s="59"/>
      <x:c r="K219" s="59"/>
      <x:c r="L219" s="59"/>
      <x:c r="M219" s="59"/>
      <x:c r="N219" s="59"/>
      <x:c r="O219" s="59"/>
      <x:c r="P219" s="59"/>
      <x:c r="Q219" s="75"/>
      <x:c r="R219" s="75"/>
      <x:c r="S219" s="75"/>
      <x:c r="T219" s="75"/>
      <x:c r="U219" s="75"/>
      <x:c r="V219" s="75"/>
      <x:c r="W219" s="60"/>
      <x:c r="X219" s="73" t="str">
        <x:f t="shared" si="33"/>
        <x:v>Tidak ada faktor rentan</x:v>
      </x:c>
      <x:c r="Y219" s="73" t="str">
        <x:f t="shared" si="34"/>
        <x:v>Tidak Ada Faktor Rentan</x:v>
      </x:c>
      <x:c r="Z219" s="74" t="str">
        <x:f t="shared" si="35"/>
      </x:c>
      <x:c r="AA219" s="74">
        <x:f t="shared" si="36"/>
        <x:v>0</x:v>
      </x:c>
      <x:c r="AB219" s="74" t="str">
        <x:f t="shared" si="37"/>
      </x:c>
      <x:c r="AC219" s="61"/>
      <x:c r="AD219" s="61"/>
      <x:c r="AE219" s="61"/>
      <x:c r="AF219" s="61"/>
      <x:c r="AG219" s="61"/>
      <x:c r="AH219" s="61"/>
      <x:c r="AI219" s="61"/>
      <x:c r="AJ219" s="61"/>
      <x:c r="AK219" s="61"/>
      <x:c r="AL219" s="61"/>
      <x:c r="AM219" s="61"/>
      <x:c r="AN219" s="73" t="str">
        <x:f t="shared" si="38"/>
        <x:v>Tidak ada risiko khusus</x:v>
      </x:c>
      <x:c r="AO219" s="73" t="str">
        <x:f t="shared" si="39"/>
        <x:v>Tidak Ada Risiko Khusus</x:v>
      </x:c>
      <x:c r="AP219" s="61"/>
      <x:c r="AQ219" s="64" t="str">
        <x:f t="shared" si="40"/>
      </x:c>
      <x:c r="AR219" s="64">
        <x:f t="shared" si="41"/>
        <x:v>0</x:v>
      </x:c>
      <x:c r="AS219" s="64" t="str">
        <x:f t="shared" si="42"/>
      </x:c>
      <x:c r="AT219" s="62" t="str">
        <x:f t="shared" si="43"/>
        <x:v>Belum Dapat Ditentukan</x:v>
      </x:c>
      <x:c r="AU219" s="59"/>
      <x:c r="AV219" s="59"/>
      <x:c r="AW219" s="59"/>
      <x:c r="AX219" s="59"/>
      <x:c r="AY219" s="59"/>
      <x:c r="AZ219" s="59"/>
      <x:c r="BA219" s="59"/>
      <x:c r="BB219" s="167"/>
      <x:c r="BC219" s="65"/>
      <x:c r="BD219" s="59"/>
      <x:c r="BE219" s="167"/>
      <x:c r="BF219" s="59"/>
    </x:row>
    <x:row r="220">
      <x:c r="A220" s="59"/>
      <x:c r="B220" s="59"/>
      <x:c r="C220" s="59"/>
      <x:c r="D220" s="59"/>
      <x:c r="E220" s="59"/>
      <x:c r="F220" s="59"/>
      <x:c r="G220" s="59"/>
      <x:c r="H220" s="59"/>
      <x:c r="I220" s="59"/>
      <x:c r="J220" s="59"/>
      <x:c r="K220" s="59"/>
      <x:c r="L220" s="59"/>
      <x:c r="M220" s="59"/>
      <x:c r="N220" s="59"/>
      <x:c r="O220" s="59"/>
      <x:c r="P220" s="59"/>
      <x:c r="Q220" s="75"/>
      <x:c r="R220" s="75"/>
      <x:c r="S220" s="75"/>
      <x:c r="T220" s="75"/>
      <x:c r="U220" s="75"/>
      <x:c r="V220" s="75"/>
      <x:c r="W220" s="60"/>
      <x:c r="X220" s="73" t="str">
        <x:f t="shared" si="33"/>
        <x:v>Tidak ada faktor rentan</x:v>
      </x:c>
      <x:c r="Y220" s="73" t="str">
        <x:f t="shared" si="34"/>
        <x:v>Tidak Ada Faktor Rentan</x:v>
      </x:c>
      <x:c r="Z220" s="74" t="str">
        <x:f t="shared" si="35"/>
      </x:c>
      <x:c r="AA220" s="74">
        <x:f t="shared" si="36"/>
        <x:v>0</x:v>
      </x:c>
      <x:c r="AB220" s="74" t="str">
        <x:f t="shared" si="37"/>
      </x:c>
      <x:c r="AC220" s="61"/>
      <x:c r="AD220" s="61"/>
      <x:c r="AE220" s="61"/>
      <x:c r="AF220" s="61"/>
      <x:c r="AG220" s="61"/>
      <x:c r="AH220" s="61"/>
      <x:c r="AI220" s="61"/>
      <x:c r="AJ220" s="61"/>
      <x:c r="AK220" s="61"/>
      <x:c r="AL220" s="61"/>
      <x:c r="AM220" s="61"/>
      <x:c r="AN220" s="73" t="str">
        <x:f t="shared" si="38"/>
        <x:v>Tidak ada risiko khusus</x:v>
      </x:c>
      <x:c r="AO220" s="73" t="str">
        <x:f t="shared" si="39"/>
        <x:v>Tidak Ada Risiko Khusus</x:v>
      </x:c>
      <x:c r="AP220" s="61"/>
      <x:c r="AQ220" s="64" t="str">
        <x:f t="shared" si="40"/>
      </x:c>
      <x:c r="AR220" s="64">
        <x:f t="shared" si="41"/>
        <x:v>0</x:v>
      </x:c>
      <x:c r="AS220" s="64" t="str">
        <x:f t="shared" si="42"/>
      </x:c>
      <x:c r="AT220" s="62" t="str">
        <x:f t="shared" si="43"/>
        <x:v>Belum Dapat Ditentukan</x:v>
      </x:c>
      <x:c r="AU220" s="59"/>
      <x:c r="AV220" s="59"/>
      <x:c r="AW220" s="59"/>
      <x:c r="AX220" s="59"/>
      <x:c r="AY220" s="59"/>
      <x:c r="AZ220" s="59"/>
      <x:c r="BA220" s="59"/>
      <x:c r="BB220" s="167"/>
      <x:c r="BC220" s="65"/>
      <x:c r="BD220" s="59"/>
      <x:c r="BE220" s="167"/>
      <x:c r="BF220" s="59"/>
    </x:row>
    <x:row r="221">
      <x:c r="A221" s="59"/>
      <x:c r="B221" s="59"/>
      <x:c r="C221" s="59"/>
      <x:c r="D221" s="59"/>
      <x:c r="E221" s="59"/>
      <x:c r="F221" s="59"/>
      <x:c r="G221" s="59"/>
      <x:c r="H221" s="59"/>
      <x:c r="I221" s="59"/>
      <x:c r="J221" s="59"/>
      <x:c r="K221" s="59"/>
      <x:c r="L221" s="59"/>
      <x:c r="M221" s="59"/>
      <x:c r="N221" s="59"/>
      <x:c r="O221" s="59"/>
      <x:c r="P221" s="59"/>
      <x:c r="Q221" s="75"/>
      <x:c r="R221" s="75"/>
      <x:c r="S221" s="75"/>
      <x:c r="T221" s="75"/>
      <x:c r="U221" s="75"/>
      <x:c r="V221" s="75"/>
      <x:c r="W221" s="60"/>
      <x:c r="X221" s="73" t="str">
        <x:f t="shared" si="33"/>
        <x:v>Tidak ada faktor rentan</x:v>
      </x:c>
      <x:c r="Y221" s="73" t="str">
        <x:f t="shared" si="34"/>
        <x:v>Tidak Ada Faktor Rentan</x:v>
      </x:c>
      <x:c r="Z221" s="74" t="str">
        <x:f t="shared" si="35"/>
      </x:c>
      <x:c r="AA221" s="74">
        <x:f t="shared" si="36"/>
        <x:v>0</x:v>
      </x:c>
      <x:c r="AB221" s="74" t="str">
        <x:f t="shared" si="37"/>
      </x:c>
      <x:c r="AC221" s="61"/>
      <x:c r="AD221" s="61"/>
      <x:c r="AE221" s="61"/>
      <x:c r="AF221" s="61"/>
      <x:c r="AG221" s="61"/>
      <x:c r="AH221" s="61"/>
      <x:c r="AI221" s="61"/>
      <x:c r="AJ221" s="61"/>
      <x:c r="AK221" s="61"/>
      <x:c r="AL221" s="61"/>
      <x:c r="AM221" s="61"/>
      <x:c r="AN221" s="73" t="str">
        <x:f t="shared" si="38"/>
        <x:v>Tidak ada risiko khusus</x:v>
      </x:c>
      <x:c r="AO221" s="73" t="str">
        <x:f t="shared" si="39"/>
        <x:v>Tidak Ada Risiko Khusus</x:v>
      </x:c>
      <x:c r="AP221" s="61"/>
      <x:c r="AQ221" s="64" t="str">
        <x:f t="shared" si="40"/>
      </x:c>
      <x:c r="AR221" s="64">
        <x:f t="shared" si="41"/>
        <x:v>0</x:v>
      </x:c>
      <x:c r="AS221" s="64" t="str">
        <x:f t="shared" si="42"/>
      </x:c>
      <x:c r="AT221" s="62" t="str">
        <x:f t="shared" si="43"/>
        <x:v>Belum Dapat Ditentukan</x:v>
      </x:c>
      <x:c r="AU221" s="59"/>
      <x:c r="AV221" s="59"/>
      <x:c r="AW221" s="59"/>
      <x:c r="AX221" s="59"/>
      <x:c r="AY221" s="59"/>
      <x:c r="AZ221" s="59"/>
      <x:c r="BA221" s="59"/>
      <x:c r="BB221" s="167"/>
      <x:c r="BC221" s="65"/>
      <x:c r="BD221" s="59"/>
      <x:c r="BE221" s="167"/>
      <x:c r="BF221" s="59"/>
    </x:row>
    <x:row r="222">
      <x:c r="A222" s="59"/>
      <x:c r="B222" s="59"/>
      <x:c r="C222" s="59"/>
      <x:c r="D222" s="59"/>
      <x:c r="E222" s="59"/>
      <x:c r="F222" s="59"/>
      <x:c r="G222" s="59"/>
      <x:c r="H222" s="59"/>
      <x:c r="I222" s="59"/>
      <x:c r="J222" s="59"/>
      <x:c r="K222" s="59"/>
      <x:c r="L222" s="59"/>
      <x:c r="M222" s="59"/>
      <x:c r="N222" s="59"/>
      <x:c r="O222" s="59"/>
      <x:c r="P222" s="59"/>
      <x:c r="Q222" s="75"/>
      <x:c r="R222" s="75"/>
      <x:c r="S222" s="75"/>
      <x:c r="T222" s="75"/>
      <x:c r="U222" s="75"/>
      <x:c r="V222" s="75"/>
      <x:c r="W222" s="60"/>
      <x:c r="X222" s="73" t="str">
        <x:f t="shared" si="33"/>
        <x:v>Tidak ada faktor rentan</x:v>
      </x:c>
      <x:c r="Y222" s="73" t="str">
        <x:f t="shared" si="34"/>
        <x:v>Tidak Ada Faktor Rentan</x:v>
      </x:c>
      <x:c r="Z222" s="74" t="str">
        <x:f t="shared" si="35"/>
      </x:c>
      <x:c r="AA222" s="74">
        <x:f t="shared" si="36"/>
        <x:v>0</x:v>
      </x:c>
      <x:c r="AB222" s="74" t="str">
        <x:f t="shared" si="37"/>
      </x:c>
      <x:c r="AC222" s="61"/>
      <x:c r="AD222" s="61"/>
      <x:c r="AE222" s="61"/>
      <x:c r="AF222" s="61"/>
      <x:c r="AG222" s="61"/>
      <x:c r="AH222" s="61"/>
      <x:c r="AI222" s="61"/>
      <x:c r="AJ222" s="61"/>
      <x:c r="AK222" s="61"/>
      <x:c r="AL222" s="61"/>
      <x:c r="AM222" s="61"/>
      <x:c r="AN222" s="73" t="str">
        <x:f t="shared" si="38"/>
        <x:v>Tidak ada risiko khusus</x:v>
      </x:c>
      <x:c r="AO222" s="73" t="str">
        <x:f t="shared" si="39"/>
        <x:v>Tidak Ada Risiko Khusus</x:v>
      </x:c>
      <x:c r="AP222" s="61"/>
      <x:c r="AQ222" s="64" t="str">
        <x:f t="shared" si="40"/>
      </x:c>
      <x:c r="AR222" s="64">
        <x:f t="shared" si="41"/>
        <x:v>0</x:v>
      </x:c>
      <x:c r="AS222" s="64" t="str">
        <x:f t="shared" si="42"/>
      </x:c>
      <x:c r="AT222" s="62" t="str">
        <x:f t="shared" si="43"/>
        <x:v>Belum Dapat Ditentukan</x:v>
      </x:c>
      <x:c r="AU222" s="59"/>
      <x:c r="AV222" s="59"/>
      <x:c r="AW222" s="59"/>
      <x:c r="AX222" s="59"/>
      <x:c r="AY222" s="59"/>
      <x:c r="AZ222" s="59"/>
      <x:c r="BA222" s="59"/>
      <x:c r="BB222" s="167"/>
      <x:c r="BC222" s="65"/>
      <x:c r="BD222" s="59"/>
      <x:c r="BE222" s="167"/>
      <x:c r="BF222" s="59"/>
    </x:row>
    <x:row r="223">
      <x:c r="A223" s="59"/>
      <x:c r="B223" s="59"/>
      <x:c r="C223" s="59"/>
      <x:c r="D223" s="59"/>
      <x:c r="E223" s="59"/>
      <x:c r="F223" s="59"/>
      <x:c r="G223" s="59"/>
      <x:c r="H223" s="59"/>
      <x:c r="I223" s="59"/>
      <x:c r="J223" s="59"/>
      <x:c r="K223" s="59"/>
      <x:c r="L223" s="59"/>
      <x:c r="M223" s="59"/>
      <x:c r="N223" s="59"/>
      <x:c r="O223" s="59"/>
      <x:c r="P223" s="59"/>
      <x:c r="Q223" s="75"/>
      <x:c r="R223" s="75"/>
      <x:c r="S223" s="75"/>
      <x:c r="T223" s="75"/>
      <x:c r="U223" s="75"/>
      <x:c r="V223" s="75"/>
      <x:c r="W223" s="60"/>
      <x:c r="X223" s="73" t="str">
        <x:f t="shared" si="33"/>
        <x:v>Tidak ada faktor rentan</x:v>
      </x:c>
      <x:c r="Y223" s="73" t="str">
        <x:f t="shared" si="34"/>
        <x:v>Tidak Ada Faktor Rentan</x:v>
      </x:c>
      <x:c r="Z223" s="74" t="str">
        <x:f t="shared" si="35"/>
      </x:c>
      <x:c r="AA223" s="74">
        <x:f t="shared" si="36"/>
        <x:v>0</x:v>
      </x:c>
      <x:c r="AB223" s="74" t="str">
        <x:f t="shared" si="37"/>
      </x:c>
      <x:c r="AC223" s="61"/>
      <x:c r="AD223" s="61"/>
      <x:c r="AE223" s="61"/>
      <x:c r="AF223" s="61"/>
      <x:c r="AG223" s="61"/>
      <x:c r="AH223" s="61"/>
      <x:c r="AI223" s="61"/>
      <x:c r="AJ223" s="61"/>
      <x:c r="AK223" s="61"/>
      <x:c r="AL223" s="61"/>
      <x:c r="AM223" s="61"/>
      <x:c r="AN223" s="73" t="str">
        <x:f t="shared" si="38"/>
        <x:v>Tidak ada risiko khusus</x:v>
      </x:c>
      <x:c r="AO223" s="73" t="str">
        <x:f t="shared" si="39"/>
        <x:v>Tidak Ada Risiko Khusus</x:v>
      </x:c>
      <x:c r="AP223" s="61"/>
      <x:c r="AQ223" s="64" t="str">
        <x:f t="shared" si="40"/>
      </x:c>
      <x:c r="AR223" s="64">
        <x:f t="shared" si="41"/>
        <x:v>0</x:v>
      </x:c>
      <x:c r="AS223" s="64" t="str">
        <x:f t="shared" si="42"/>
      </x:c>
      <x:c r="AT223" s="62" t="str">
        <x:f t="shared" si="43"/>
        <x:v>Belum Dapat Ditentukan</x:v>
      </x:c>
      <x:c r="AU223" s="59"/>
      <x:c r="AV223" s="59"/>
      <x:c r="AW223" s="59"/>
      <x:c r="AX223" s="59"/>
      <x:c r="AY223" s="59"/>
      <x:c r="AZ223" s="59"/>
      <x:c r="BA223" s="59"/>
      <x:c r="BB223" s="167"/>
      <x:c r="BC223" s="65"/>
      <x:c r="BD223" s="59"/>
      <x:c r="BE223" s="167"/>
      <x:c r="BF223" s="59"/>
    </x:row>
    <x:row r="224">
      <x:c r="A224" s="59"/>
      <x:c r="B224" s="59"/>
      <x:c r="C224" s="59"/>
      <x:c r="D224" s="59"/>
      <x:c r="E224" s="59"/>
      <x:c r="F224" s="59"/>
      <x:c r="G224" s="59"/>
      <x:c r="H224" s="59"/>
      <x:c r="I224" s="59"/>
      <x:c r="J224" s="59"/>
      <x:c r="K224" s="59"/>
      <x:c r="L224" s="59"/>
      <x:c r="M224" s="59"/>
      <x:c r="N224" s="59"/>
      <x:c r="O224" s="59"/>
      <x:c r="P224" s="59"/>
      <x:c r="Q224" s="75"/>
      <x:c r="R224" s="75"/>
      <x:c r="S224" s="75"/>
      <x:c r="T224" s="75"/>
      <x:c r="U224" s="75"/>
      <x:c r="V224" s="75"/>
      <x:c r="W224" s="60"/>
      <x:c r="X224" s="73" t="str">
        <x:f t="shared" si="33"/>
        <x:v>Tidak ada faktor rentan</x:v>
      </x:c>
      <x:c r="Y224" s="73" t="str">
        <x:f t="shared" si="34"/>
        <x:v>Tidak Ada Faktor Rentan</x:v>
      </x:c>
      <x:c r="Z224" s="74" t="str">
        <x:f t="shared" si="35"/>
      </x:c>
      <x:c r="AA224" s="74">
        <x:f t="shared" si="36"/>
        <x:v>0</x:v>
      </x:c>
      <x:c r="AB224" s="74" t="str">
        <x:f t="shared" si="37"/>
      </x:c>
      <x:c r="AC224" s="61"/>
      <x:c r="AD224" s="61"/>
      <x:c r="AE224" s="61"/>
      <x:c r="AF224" s="61"/>
      <x:c r="AG224" s="61"/>
      <x:c r="AH224" s="61"/>
      <x:c r="AI224" s="61"/>
      <x:c r="AJ224" s="61"/>
      <x:c r="AK224" s="61"/>
      <x:c r="AL224" s="61"/>
      <x:c r="AM224" s="61"/>
      <x:c r="AN224" s="73" t="str">
        <x:f t="shared" si="38"/>
        <x:v>Tidak ada risiko khusus</x:v>
      </x:c>
      <x:c r="AO224" s="73" t="str">
        <x:f t="shared" si="39"/>
        <x:v>Tidak Ada Risiko Khusus</x:v>
      </x:c>
      <x:c r="AP224" s="61"/>
      <x:c r="AQ224" s="64" t="str">
        <x:f t="shared" si="40"/>
      </x:c>
      <x:c r="AR224" s="64">
        <x:f t="shared" si="41"/>
        <x:v>0</x:v>
      </x:c>
      <x:c r="AS224" s="64" t="str">
        <x:f t="shared" si="42"/>
      </x:c>
      <x:c r="AT224" s="62" t="str">
        <x:f t="shared" si="43"/>
        <x:v>Belum Dapat Ditentukan</x:v>
      </x:c>
      <x:c r="AU224" s="59"/>
      <x:c r="AV224" s="59"/>
      <x:c r="AW224" s="59"/>
      <x:c r="AX224" s="59"/>
      <x:c r="AY224" s="59"/>
      <x:c r="AZ224" s="59"/>
      <x:c r="BA224" s="59"/>
      <x:c r="BB224" s="167"/>
      <x:c r="BC224" s="65"/>
      <x:c r="BD224" s="59"/>
      <x:c r="BE224" s="167"/>
      <x:c r="BF224" s="59"/>
    </x:row>
    <x:row r="225">
      <x:c r="A225" s="59"/>
      <x:c r="B225" s="59"/>
      <x:c r="C225" s="59"/>
      <x:c r="D225" s="59"/>
      <x:c r="E225" s="59"/>
      <x:c r="F225" s="59"/>
      <x:c r="G225" s="59"/>
      <x:c r="H225" s="59"/>
      <x:c r="I225" s="59"/>
      <x:c r="J225" s="59"/>
      <x:c r="K225" s="59"/>
      <x:c r="L225" s="59"/>
      <x:c r="M225" s="59"/>
      <x:c r="N225" s="59"/>
      <x:c r="O225" s="59"/>
      <x:c r="P225" s="59"/>
      <x:c r="Q225" s="75"/>
      <x:c r="R225" s="75"/>
      <x:c r="S225" s="75"/>
      <x:c r="T225" s="75"/>
      <x:c r="U225" s="75"/>
      <x:c r="V225" s="75"/>
      <x:c r="W225" s="60"/>
      <x:c r="X225" s="73" t="str">
        <x:f t="shared" si="33"/>
        <x:v>Tidak ada faktor rentan</x:v>
      </x:c>
      <x:c r="Y225" s="73" t="str">
        <x:f t="shared" si="34"/>
        <x:v>Tidak Ada Faktor Rentan</x:v>
      </x:c>
      <x:c r="Z225" s="74" t="str">
        <x:f t="shared" si="35"/>
      </x:c>
      <x:c r="AA225" s="74">
        <x:f t="shared" si="36"/>
        <x:v>0</x:v>
      </x:c>
      <x:c r="AB225" s="74" t="str">
        <x:f t="shared" si="37"/>
      </x:c>
      <x:c r="AC225" s="61"/>
      <x:c r="AD225" s="61"/>
      <x:c r="AE225" s="61"/>
      <x:c r="AF225" s="61"/>
      <x:c r="AG225" s="61"/>
      <x:c r="AH225" s="61"/>
      <x:c r="AI225" s="61"/>
      <x:c r="AJ225" s="61"/>
      <x:c r="AK225" s="61"/>
      <x:c r="AL225" s="61"/>
      <x:c r="AM225" s="61"/>
      <x:c r="AN225" s="73" t="str">
        <x:f t="shared" si="38"/>
        <x:v>Tidak ada risiko khusus</x:v>
      </x:c>
      <x:c r="AO225" s="73" t="str">
        <x:f t="shared" si="39"/>
        <x:v>Tidak Ada Risiko Khusus</x:v>
      </x:c>
      <x:c r="AP225" s="61"/>
      <x:c r="AQ225" s="64" t="str">
        <x:f t="shared" si="40"/>
      </x:c>
      <x:c r="AR225" s="64">
        <x:f t="shared" si="41"/>
        <x:v>0</x:v>
      </x:c>
      <x:c r="AS225" s="64" t="str">
        <x:f t="shared" si="42"/>
      </x:c>
      <x:c r="AT225" s="62" t="str">
        <x:f t="shared" si="43"/>
        <x:v>Belum Dapat Ditentukan</x:v>
      </x:c>
      <x:c r="AU225" s="59"/>
      <x:c r="AV225" s="59"/>
      <x:c r="AW225" s="59"/>
      <x:c r="AX225" s="59"/>
      <x:c r="AY225" s="59"/>
      <x:c r="AZ225" s="59"/>
      <x:c r="BA225" s="59"/>
      <x:c r="BB225" s="167"/>
      <x:c r="BC225" s="65"/>
      <x:c r="BD225" s="59"/>
      <x:c r="BE225" s="167"/>
      <x:c r="BF225" s="59"/>
    </x:row>
    <x:row r="226">
      <x:c r="A226" s="59"/>
      <x:c r="B226" s="59"/>
      <x:c r="C226" s="59"/>
      <x:c r="D226" s="59"/>
      <x:c r="E226" s="59"/>
      <x:c r="F226" s="59"/>
      <x:c r="G226" s="59"/>
      <x:c r="H226" s="59"/>
      <x:c r="I226" s="59"/>
      <x:c r="J226" s="59"/>
      <x:c r="K226" s="59"/>
      <x:c r="L226" s="59"/>
      <x:c r="M226" s="59"/>
      <x:c r="N226" s="59"/>
      <x:c r="O226" s="59"/>
      <x:c r="P226" s="59"/>
      <x:c r="Q226" s="75"/>
      <x:c r="R226" s="75"/>
      <x:c r="S226" s="75"/>
      <x:c r="T226" s="75"/>
      <x:c r="U226" s="75"/>
      <x:c r="V226" s="75"/>
      <x:c r="W226" s="60"/>
      <x:c r="X226" s="73" t="str">
        <x:f t="shared" si="33"/>
        <x:v>Tidak ada faktor rentan</x:v>
      </x:c>
      <x:c r="Y226" s="73" t="str">
        <x:f t="shared" si="34"/>
        <x:v>Tidak Ada Faktor Rentan</x:v>
      </x:c>
      <x:c r="Z226" s="74" t="str">
        <x:f t="shared" si="35"/>
      </x:c>
      <x:c r="AA226" s="74">
        <x:f t="shared" si="36"/>
        <x:v>0</x:v>
      </x:c>
      <x:c r="AB226" s="74" t="str">
        <x:f t="shared" si="37"/>
      </x:c>
      <x:c r="AC226" s="61"/>
      <x:c r="AD226" s="61"/>
      <x:c r="AE226" s="61"/>
      <x:c r="AF226" s="61"/>
      <x:c r="AG226" s="61"/>
      <x:c r="AH226" s="61"/>
      <x:c r="AI226" s="61"/>
      <x:c r="AJ226" s="61"/>
      <x:c r="AK226" s="61"/>
      <x:c r="AL226" s="61"/>
      <x:c r="AM226" s="61"/>
      <x:c r="AN226" s="73" t="str">
        <x:f t="shared" si="38"/>
        <x:v>Tidak ada risiko khusus</x:v>
      </x:c>
      <x:c r="AO226" s="73" t="str">
        <x:f t="shared" si="39"/>
        <x:v>Tidak Ada Risiko Khusus</x:v>
      </x:c>
      <x:c r="AP226" s="61"/>
      <x:c r="AQ226" s="64" t="str">
        <x:f t="shared" si="40"/>
      </x:c>
      <x:c r="AR226" s="64">
        <x:f t="shared" si="41"/>
        <x:v>0</x:v>
      </x:c>
      <x:c r="AS226" s="64" t="str">
        <x:f t="shared" si="42"/>
      </x:c>
      <x:c r="AT226" s="62" t="str">
        <x:f t="shared" si="43"/>
        <x:v>Belum Dapat Ditentukan</x:v>
      </x:c>
      <x:c r="AU226" s="59"/>
      <x:c r="AV226" s="59"/>
      <x:c r="AW226" s="59"/>
      <x:c r="AX226" s="59"/>
      <x:c r="AY226" s="59"/>
      <x:c r="AZ226" s="59"/>
      <x:c r="BA226" s="59"/>
      <x:c r="BB226" s="167"/>
      <x:c r="BC226" s="65"/>
      <x:c r="BD226" s="59"/>
      <x:c r="BE226" s="167"/>
      <x:c r="BF226" s="59"/>
    </x:row>
    <x:row r="227">
      <x:c r="A227" s="59"/>
      <x:c r="B227" s="59"/>
      <x:c r="C227" s="59"/>
      <x:c r="D227" s="59"/>
      <x:c r="E227" s="59"/>
      <x:c r="F227" s="59"/>
      <x:c r="G227" s="59"/>
      <x:c r="H227" s="59"/>
      <x:c r="I227" s="59"/>
      <x:c r="J227" s="59"/>
      <x:c r="K227" s="59"/>
      <x:c r="L227" s="59"/>
      <x:c r="M227" s="59"/>
      <x:c r="N227" s="59"/>
      <x:c r="O227" s="59"/>
      <x:c r="P227" s="59"/>
      <x:c r="Q227" s="75"/>
      <x:c r="R227" s="75"/>
      <x:c r="S227" s="75"/>
      <x:c r="T227" s="75"/>
      <x:c r="U227" s="75"/>
      <x:c r="V227" s="75"/>
      <x:c r="W227" s="60"/>
      <x:c r="X227" s="73" t="str">
        <x:f t="shared" si="33"/>
        <x:v>Tidak ada faktor rentan</x:v>
      </x:c>
      <x:c r="Y227" s="73" t="str">
        <x:f t="shared" si="34"/>
        <x:v>Tidak Ada Faktor Rentan</x:v>
      </x:c>
      <x:c r="Z227" s="74" t="str">
        <x:f t="shared" si="35"/>
      </x:c>
      <x:c r="AA227" s="74">
        <x:f t="shared" si="36"/>
        <x:v>0</x:v>
      </x:c>
      <x:c r="AB227" s="74" t="str">
        <x:f t="shared" si="37"/>
      </x:c>
      <x:c r="AC227" s="61"/>
      <x:c r="AD227" s="61"/>
      <x:c r="AE227" s="61"/>
      <x:c r="AF227" s="61"/>
      <x:c r="AG227" s="61"/>
      <x:c r="AH227" s="61"/>
      <x:c r="AI227" s="61"/>
      <x:c r="AJ227" s="61"/>
      <x:c r="AK227" s="61"/>
      <x:c r="AL227" s="61"/>
      <x:c r="AM227" s="61"/>
      <x:c r="AN227" s="73" t="str">
        <x:f t="shared" si="38"/>
        <x:v>Tidak ada risiko khusus</x:v>
      </x:c>
      <x:c r="AO227" s="73" t="str">
        <x:f t="shared" si="39"/>
        <x:v>Tidak Ada Risiko Khusus</x:v>
      </x:c>
      <x:c r="AP227" s="61"/>
      <x:c r="AQ227" s="64" t="str">
        <x:f t="shared" si="40"/>
      </x:c>
      <x:c r="AR227" s="64">
        <x:f t="shared" si="41"/>
        <x:v>0</x:v>
      </x:c>
      <x:c r="AS227" s="64" t="str">
        <x:f t="shared" si="42"/>
      </x:c>
      <x:c r="AT227" s="62" t="str">
        <x:f t="shared" si="43"/>
        <x:v>Belum Dapat Ditentukan</x:v>
      </x:c>
      <x:c r="AU227" s="59"/>
      <x:c r="AV227" s="59"/>
      <x:c r="AW227" s="59"/>
      <x:c r="AX227" s="59"/>
      <x:c r="AY227" s="59"/>
      <x:c r="AZ227" s="59"/>
      <x:c r="BA227" s="59"/>
      <x:c r="BB227" s="167"/>
      <x:c r="BC227" s="65"/>
      <x:c r="BD227" s="59"/>
      <x:c r="BE227" s="167"/>
      <x:c r="BF227" s="59"/>
    </x:row>
    <x:row r="228">
      <x:c r="A228" s="59"/>
      <x:c r="B228" s="59"/>
      <x:c r="C228" s="59"/>
      <x:c r="D228" s="59"/>
      <x:c r="E228" s="59"/>
      <x:c r="F228" s="59"/>
      <x:c r="G228" s="59"/>
      <x:c r="H228" s="59"/>
      <x:c r="I228" s="59"/>
      <x:c r="J228" s="59"/>
      <x:c r="K228" s="59"/>
      <x:c r="L228" s="59"/>
      <x:c r="M228" s="59"/>
      <x:c r="N228" s="59"/>
      <x:c r="O228" s="59"/>
      <x:c r="P228" s="59"/>
      <x:c r="Q228" s="75"/>
      <x:c r="R228" s="75"/>
      <x:c r="S228" s="75"/>
      <x:c r="T228" s="75"/>
      <x:c r="U228" s="75"/>
      <x:c r="V228" s="75"/>
      <x:c r="W228" s="60"/>
      <x:c r="X228" s="73" t="str">
        <x:f t="shared" si="33"/>
        <x:v>Tidak ada faktor rentan</x:v>
      </x:c>
      <x:c r="Y228" s="73" t="str">
        <x:f t="shared" si="34"/>
        <x:v>Tidak Ada Faktor Rentan</x:v>
      </x:c>
      <x:c r="Z228" s="74" t="str">
        <x:f t="shared" si="35"/>
      </x:c>
      <x:c r="AA228" s="74">
        <x:f t="shared" si="36"/>
        <x:v>0</x:v>
      </x:c>
      <x:c r="AB228" s="74" t="str">
        <x:f t="shared" si="37"/>
      </x:c>
      <x:c r="AC228" s="61"/>
      <x:c r="AD228" s="61"/>
      <x:c r="AE228" s="61"/>
      <x:c r="AF228" s="61"/>
      <x:c r="AG228" s="61"/>
      <x:c r="AH228" s="61"/>
      <x:c r="AI228" s="61"/>
      <x:c r="AJ228" s="61"/>
      <x:c r="AK228" s="61"/>
      <x:c r="AL228" s="61"/>
      <x:c r="AM228" s="61"/>
      <x:c r="AN228" s="73" t="str">
        <x:f t="shared" si="38"/>
        <x:v>Tidak ada risiko khusus</x:v>
      </x:c>
      <x:c r="AO228" s="73" t="str">
        <x:f t="shared" si="39"/>
        <x:v>Tidak Ada Risiko Khusus</x:v>
      </x:c>
      <x:c r="AP228" s="61"/>
      <x:c r="AQ228" s="64" t="str">
        <x:f t="shared" si="40"/>
      </x:c>
      <x:c r="AR228" s="64">
        <x:f t="shared" si="41"/>
        <x:v>0</x:v>
      </x:c>
      <x:c r="AS228" s="64" t="str">
        <x:f t="shared" si="42"/>
      </x:c>
      <x:c r="AT228" s="62" t="str">
        <x:f t="shared" si="43"/>
        <x:v>Belum Dapat Ditentukan</x:v>
      </x:c>
      <x:c r="AU228" s="59"/>
      <x:c r="AV228" s="59"/>
      <x:c r="AW228" s="59"/>
      <x:c r="AX228" s="59"/>
      <x:c r="AY228" s="59"/>
      <x:c r="AZ228" s="59"/>
      <x:c r="BA228" s="59"/>
      <x:c r="BB228" s="167"/>
      <x:c r="BC228" s="65"/>
      <x:c r="BD228" s="59"/>
      <x:c r="BE228" s="167"/>
      <x:c r="BF228" s="59"/>
    </x:row>
    <x:row r="229">
      <x:c r="A229" s="59"/>
      <x:c r="B229" s="59"/>
      <x:c r="C229" s="59"/>
      <x:c r="D229" s="59"/>
      <x:c r="E229" s="59"/>
      <x:c r="F229" s="59"/>
      <x:c r="G229" s="59"/>
      <x:c r="H229" s="59"/>
      <x:c r="I229" s="59"/>
      <x:c r="J229" s="59"/>
      <x:c r="K229" s="59"/>
      <x:c r="L229" s="59"/>
      <x:c r="M229" s="59"/>
      <x:c r="N229" s="59"/>
      <x:c r="O229" s="59"/>
      <x:c r="P229" s="59"/>
      <x:c r="Q229" s="75"/>
      <x:c r="R229" s="75"/>
      <x:c r="S229" s="75"/>
      <x:c r="T229" s="75"/>
      <x:c r="U229" s="75"/>
      <x:c r="V229" s="75"/>
      <x:c r="W229" s="60"/>
      <x:c r="X229" s="73" t="str">
        <x:f t="shared" si="33"/>
        <x:v>Tidak ada faktor rentan</x:v>
      </x:c>
      <x:c r="Y229" s="73" t="str">
        <x:f t="shared" si="34"/>
        <x:v>Tidak Ada Faktor Rentan</x:v>
      </x:c>
      <x:c r="Z229" s="74" t="str">
        <x:f t="shared" si="35"/>
      </x:c>
      <x:c r="AA229" s="74">
        <x:f t="shared" si="36"/>
        <x:v>0</x:v>
      </x:c>
      <x:c r="AB229" s="74" t="str">
        <x:f t="shared" si="37"/>
      </x:c>
      <x:c r="AC229" s="61"/>
      <x:c r="AD229" s="61"/>
      <x:c r="AE229" s="61"/>
      <x:c r="AF229" s="61"/>
      <x:c r="AG229" s="61"/>
      <x:c r="AH229" s="61"/>
      <x:c r="AI229" s="61"/>
      <x:c r="AJ229" s="61"/>
      <x:c r="AK229" s="61"/>
      <x:c r="AL229" s="61"/>
      <x:c r="AM229" s="61"/>
      <x:c r="AN229" s="73" t="str">
        <x:f t="shared" si="38"/>
        <x:v>Tidak ada risiko khusus</x:v>
      </x:c>
      <x:c r="AO229" s="73" t="str">
        <x:f t="shared" si="39"/>
        <x:v>Tidak Ada Risiko Khusus</x:v>
      </x:c>
      <x:c r="AP229" s="61"/>
      <x:c r="AQ229" s="64" t="str">
        <x:f t="shared" si="40"/>
      </x:c>
      <x:c r="AR229" s="64">
        <x:f t="shared" si="41"/>
        <x:v>0</x:v>
      </x:c>
      <x:c r="AS229" s="64" t="str">
        <x:f t="shared" si="42"/>
      </x:c>
      <x:c r="AT229" s="62" t="str">
        <x:f t="shared" si="43"/>
        <x:v>Belum Dapat Ditentukan</x:v>
      </x:c>
      <x:c r="AU229" s="59"/>
      <x:c r="AV229" s="59"/>
      <x:c r="AW229" s="59"/>
      <x:c r="AX229" s="59"/>
      <x:c r="AY229" s="59"/>
      <x:c r="AZ229" s="59"/>
      <x:c r="BA229" s="59"/>
      <x:c r="BB229" s="167"/>
      <x:c r="BC229" s="65"/>
      <x:c r="BD229" s="59"/>
      <x:c r="BE229" s="167"/>
      <x:c r="BF229" s="59"/>
    </x:row>
    <x:row r="230">
      <x:c r="A230" s="59"/>
      <x:c r="B230" s="59"/>
      <x:c r="C230" s="59"/>
      <x:c r="D230" s="59"/>
      <x:c r="E230" s="59"/>
      <x:c r="F230" s="59"/>
      <x:c r="G230" s="59"/>
      <x:c r="H230" s="59"/>
      <x:c r="I230" s="59"/>
      <x:c r="J230" s="59"/>
      <x:c r="K230" s="59"/>
      <x:c r="L230" s="59"/>
      <x:c r="M230" s="59"/>
      <x:c r="N230" s="59"/>
      <x:c r="O230" s="59"/>
      <x:c r="P230" s="59"/>
      <x:c r="Q230" s="75"/>
      <x:c r="R230" s="75"/>
      <x:c r="S230" s="75"/>
      <x:c r="T230" s="75"/>
      <x:c r="U230" s="75"/>
      <x:c r="V230" s="75"/>
      <x:c r="W230" s="60"/>
      <x:c r="X230" s="73" t="str">
        <x:f t="shared" si="33"/>
        <x:v>Tidak ada faktor rentan</x:v>
      </x:c>
      <x:c r="Y230" s="73" t="str">
        <x:f t="shared" si="34"/>
        <x:v>Tidak Ada Faktor Rentan</x:v>
      </x:c>
      <x:c r="Z230" s="74" t="str">
        <x:f t="shared" si="35"/>
      </x:c>
      <x:c r="AA230" s="74">
        <x:f t="shared" si="36"/>
        <x:v>0</x:v>
      </x:c>
      <x:c r="AB230" s="74" t="str">
        <x:f t="shared" si="37"/>
      </x:c>
      <x:c r="AC230" s="61"/>
      <x:c r="AD230" s="61"/>
      <x:c r="AE230" s="61"/>
      <x:c r="AF230" s="61"/>
      <x:c r="AG230" s="61"/>
      <x:c r="AH230" s="61"/>
      <x:c r="AI230" s="61"/>
      <x:c r="AJ230" s="61"/>
      <x:c r="AK230" s="61"/>
      <x:c r="AL230" s="61"/>
      <x:c r="AM230" s="61"/>
      <x:c r="AN230" s="73" t="str">
        <x:f t="shared" si="38"/>
        <x:v>Tidak ada risiko khusus</x:v>
      </x:c>
      <x:c r="AO230" s="73" t="str">
        <x:f t="shared" si="39"/>
        <x:v>Tidak Ada Risiko Khusus</x:v>
      </x:c>
      <x:c r="AP230" s="61"/>
      <x:c r="AQ230" s="64" t="str">
        <x:f t="shared" si="40"/>
      </x:c>
      <x:c r="AR230" s="64">
        <x:f t="shared" si="41"/>
        <x:v>0</x:v>
      </x:c>
      <x:c r="AS230" s="64" t="str">
        <x:f t="shared" si="42"/>
      </x:c>
      <x:c r="AT230" s="62" t="str">
        <x:f t="shared" si="43"/>
        <x:v>Belum Dapat Ditentukan</x:v>
      </x:c>
      <x:c r="AU230" s="59"/>
      <x:c r="AV230" s="59"/>
      <x:c r="AW230" s="59"/>
      <x:c r="AX230" s="59"/>
      <x:c r="AY230" s="59"/>
      <x:c r="AZ230" s="59"/>
      <x:c r="BA230" s="59"/>
      <x:c r="BB230" s="167"/>
      <x:c r="BC230" s="65"/>
      <x:c r="BD230" s="59"/>
      <x:c r="BE230" s="167"/>
      <x:c r="BF230" s="59"/>
    </x:row>
    <x:row r="231">
      <x:c r="A231" s="59"/>
      <x:c r="B231" s="59"/>
      <x:c r="C231" s="59"/>
      <x:c r="D231" s="59"/>
      <x:c r="E231" s="59"/>
      <x:c r="F231" s="59"/>
      <x:c r="G231" s="59"/>
      <x:c r="H231" s="59"/>
      <x:c r="I231" s="59"/>
      <x:c r="J231" s="59"/>
      <x:c r="K231" s="59"/>
      <x:c r="L231" s="59"/>
      <x:c r="M231" s="59"/>
      <x:c r="N231" s="59"/>
      <x:c r="O231" s="59"/>
      <x:c r="P231" s="59"/>
      <x:c r="Q231" s="75"/>
      <x:c r="R231" s="75"/>
      <x:c r="S231" s="75"/>
      <x:c r="T231" s="75"/>
      <x:c r="U231" s="75"/>
      <x:c r="V231" s="75"/>
      <x:c r="W231" s="60"/>
      <x:c r="X231" s="73" t="str">
        <x:f t="shared" si="33"/>
        <x:v>Tidak ada faktor rentan</x:v>
      </x:c>
      <x:c r="Y231" s="73" t="str">
        <x:f t="shared" si="34"/>
        <x:v>Tidak Ada Faktor Rentan</x:v>
      </x:c>
      <x:c r="Z231" s="74" t="str">
        <x:f t="shared" si="35"/>
      </x:c>
      <x:c r="AA231" s="74">
        <x:f t="shared" si="36"/>
        <x:v>0</x:v>
      </x:c>
      <x:c r="AB231" s="74" t="str">
        <x:f t="shared" si="37"/>
      </x:c>
      <x:c r="AC231" s="61"/>
      <x:c r="AD231" s="61"/>
      <x:c r="AE231" s="61"/>
      <x:c r="AF231" s="61"/>
      <x:c r="AG231" s="61"/>
      <x:c r="AH231" s="61"/>
      <x:c r="AI231" s="61"/>
      <x:c r="AJ231" s="61"/>
      <x:c r="AK231" s="61"/>
      <x:c r="AL231" s="61"/>
      <x:c r="AM231" s="61"/>
      <x:c r="AN231" s="73" t="str">
        <x:f t="shared" si="38"/>
        <x:v>Tidak ada risiko khusus</x:v>
      </x:c>
      <x:c r="AO231" s="73" t="str">
        <x:f t="shared" si="39"/>
        <x:v>Tidak Ada Risiko Khusus</x:v>
      </x:c>
      <x:c r="AP231" s="61"/>
      <x:c r="AQ231" s="64" t="str">
        <x:f t="shared" si="40"/>
      </x:c>
      <x:c r="AR231" s="64">
        <x:f t="shared" si="41"/>
        <x:v>0</x:v>
      </x:c>
      <x:c r="AS231" s="64" t="str">
        <x:f t="shared" si="42"/>
      </x:c>
      <x:c r="AT231" s="62" t="str">
        <x:f t="shared" si="43"/>
        <x:v>Belum Dapat Ditentukan</x:v>
      </x:c>
      <x:c r="AU231" s="59"/>
      <x:c r="AV231" s="59"/>
      <x:c r="AW231" s="59"/>
      <x:c r="AX231" s="59"/>
      <x:c r="AY231" s="59"/>
      <x:c r="AZ231" s="59"/>
      <x:c r="BA231" s="59"/>
      <x:c r="BB231" s="167"/>
      <x:c r="BC231" s="65"/>
      <x:c r="BD231" s="59"/>
      <x:c r="BE231" s="167"/>
      <x:c r="BF231" s="59"/>
    </x:row>
    <x:row r="232">
      <x:c r="A232" s="59"/>
      <x:c r="B232" s="59"/>
      <x:c r="C232" s="59"/>
      <x:c r="D232" s="59"/>
      <x:c r="E232" s="59"/>
      <x:c r="F232" s="59"/>
      <x:c r="G232" s="59"/>
      <x:c r="H232" s="59"/>
      <x:c r="I232" s="59"/>
      <x:c r="J232" s="59"/>
      <x:c r="K232" s="59"/>
      <x:c r="L232" s="59"/>
      <x:c r="M232" s="59"/>
      <x:c r="N232" s="59"/>
      <x:c r="O232" s="59"/>
      <x:c r="P232" s="59"/>
      <x:c r="Q232" s="75"/>
      <x:c r="R232" s="75"/>
      <x:c r="S232" s="75"/>
      <x:c r="T232" s="75"/>
      <x:c r="U232" s="75"/>
      <x:c r="V232" s="75"/>
      <x:c r="W232" s="60"/>
      <x:c r="X232" s="73" t="str">
        <x:f t="shared" si="33"/>
        <x:v>Tidak ada faktor rentan</x:v>
      </x:c>
      <x:c r="Y232" s="73" t="str">
        <x:f t="shared" si="34"/>
        <x:v>Tidak Ada Faktor Rentan</x:v>
      </x:c>
      <x:c r="Z232" s="74" t="str">
        <x:f t="shared" si="35"/>
      </x:c>
      <x:c r="AA232" s="74">
        <x:f t="shared" si="36"/>
        <x:v>0</x:v>
      </x:c>
      <x:c r="AB232" s="74" t="str">
        <x:f t="shared" si="37"/>
      </x:c>
      <x:c r="AC232" s="61"/>
      <x:c r="AD232" s="61"/>
      <x:c r="AE232" s="61"/>
      <x:c r="AF232" s="61"/>
      <x:c r="AG232" s="61"/>
      <x:c r="AH232" s="61"/>
      <x:c r="AI232" s="61"/>
      <x:c r="AJ232" s="61"/>
      <x:c r="AK232" s="61"/>
      <x:c r="AL232" s="61"/>
      <x:c r="AM232" s="61"/>
      <x:c r="AN232" s="73" t="str">
        <x:f t="shared" si="38"/>
        <x:v>Tidak ada risiko khusus</x:v>
      </x:c>
      <x:c r="AO232" s="73" t="str">
        <x:f t="shared" si="39"/>
        <x:v>Tidak Ada Risiko Khusus</x:v>
      </x:c>
      <x:c r="AP232" s="61"/>
      <x:c r="AQ232" s="64" t="str">
        <x:f t="shared" si="40"/>
      </x:c>
      <x:c r="AR232" s="64">
        <x:f t="shared" si="41"/>
        <x:v>0</x:v>
      </x:c>
      <x:c r="AS232" s="64" t="str">
        <x:f t="shared" si="42"/>
      </x:c>
      <x:c r="AT232" s="62" t="str">
        <x:f t="shared" si="43"/>
        <x:v>Belum Dapat Ditentukan</x:v>
      </x:c>
      <x:c r="AU232" s="59"/>
      <x:c r="AV232" s="59"/>
      <x:c r="AW232" s="59"/>
      <x:c r="AX232" s="59"/>
      <x:c r="AY232" s="59"/>
      <x:c r="AZ232" s="59"/>
      <x:c r="BA232" s="59"/>
      <x:c r="BB232" s="167"/>
      <x:c r="BC232" s="65"/>
      <x:c r="BD232" s="59"/>
      <x:c r="BE232" s="167"/>
      <x:c r="BF232" s="59"/>
    </x:row>
    <x:row r="233">
      <x:c r="A233" s="59"/>
      <x:c r="B233" s="59"/>
      <x:c r="C233" s="59"/>
      <x:c r="D233" s="59"/>
      <x:c r="E233" s="59"/>
      <x:c r="F233" s="59"/>
      <x:c r="G233" s="59"/>
      <x:c r="H233" s="59"/>
      <x:c r="I233" s="59"/>
      <x:c r="J233" s="59"/>
      <x:c r="K233" s="59"/>
      <x:c r="L233" s="59"/>
      <x:c r="M233" s="59"/>
      <x:c r="N233" s="59"/>
      <x:c r="O233" s="59"/>
      <x:c r="P233" s="59"/>
      <x:c r="Q233" s="75"/>
      <x:c r="R233" s="75"/>
      <x:c r="S233" s="75"/>
      <x:c r="T233" s="75"/>
      <x:c r="U233" s="75"/>
      <x:c r="V233" s="75"/>
      <x:c r="W233" s="60"/>
      <x:c r="X233" s="73" t="str">
        <x:f t="shared" si="33"/>
        <x:v>Tidak ada faktor rentan</x:v>
      </x:c>
      <x:c r="Y233" s="73" t="str">
        <x:f t="shared" si="34"/>
        <x:v>Tidak Ada Faktor Rentan</x:v>
      </x:c>
      <x:c r="Z233" s="74" t="str">
        <x:f t="shared" si="35"/>
      </x:c>
      <x:c r="AA233" s="74">
        <x:f t="shared" si="36"/>
        <x:v>0</x:v>
      </x:c>
      <x:c r="AB233" s="74" t="str">
        <x:f t="shared" si="37"/>
      </x:c>
      <x:c r="AC233" s="61"/>
      <x:c r="AD233" s="61"/>
      <x:c r="AE233" s="61"/>
      <x:c r="AF233" s="61"/>
      <x:c r="AG233" s="61"/>
      <x:c r="AH233" s="61"/>
      <x:c r="AI233" s="61"/>
      <x:c r="AJ233" s="61"/>
      <x:c r="AK233" s="61"/>
      <x:c r="AL233" s="61"/>
      <x:c r="AM233" s="61"/>
      <x:c r="AN233" s="73" t="str">
        <x:f t="shared" si="38"/>
        <x:v>Tidak ada risiko khusus</x:v>
      </x:c>
      <x:c r="AO233" s="73" t="str">
        <x:f t="shared" si="39"/>
        <x:v>Tidak Ada Risiko Khusus</x:v>
      </x:c>
      <x:c r="AP233" s="61"/>
      <x:c r="AQ233" s="64" t="str">
        <x:f t="shared" si="40"/>
      </x:c>
      <x:c r="AR233" s="64">
        <x:f t="shared" si="41"/>
        <x:v>0</x:v>
      </x:c>
      <x:c r="AS233" s="64" t="str">
        <x:f t="shared" si="42"/>
      </x:c>
      <x:c r="AT233" s="62" t="str">
        <x:f t="shared" si="43"/>
        <x:v>Belum Dapat Ditentukan</x:v>
      </x:c>
      <x:c r="AU233" s="59"/>
      <x:c r="AV233" s="59"/>
      <x:c r="AW233" s="59"/>
      <x:c r="AX233" s="59"/>
      <x:c r="AY233" s="59"/>
      <x:c r="AZ233" s="59"/>
      <x:c r="BA233" s="59"/>
      <x:c r="BB233" s="167"/>
      <x:c r="BC233" s="65"/>
      <x:c r="BD233" s="59"/>
      <x:c r="BE233" s="167"/>
      <x:c r="BF233" s="59"/>
    </x:row>
    <x:row r="234">
      <x:c r="A234" s="59"/>
      <x:c r="B234" s="59"/>
      <x:c r="C234" s="59"/>
      <x:c r="D234" s="59"/>
      <x:c r="E234" s="59"/>
      <x:c r="F234" s="59"/>
      <x:c r="G234" s="59"/>
      <x:c r="H234" s="59"/>
      <x:c r="I234" s="59"/>
      <x:c r="J234" s="59"/>
      <x:c r="K234" s="59"/>
      <x:c r="L234" s="59"/>
      <x:c r="M234" s="59"/>
      <x:c r="N234" s="59"/>
      <x:c r="O234" s="59"/>
      <x:c r="P234" s="59"/>
      <x:c r="Q234" s="75"/>
      <x:c r="R234" s="75"/>
      <x:c r="S234" s="75"/>
      <x:c r="T234" s="75"/>
      <x:c r="U234" s="75"/>
      <x:c r="V234" s="75"/>
      <x:c r="W234" s="60"/>
      <x:c r="X234" s="73" t="str">
        <x:f t="shared" si="33"/>
        <x:v>Tidak ada faktor rentan</x:v>
      </x:c>
      <x:c r="Y234" s="73" t="str">
        <x:f t="shared" si="34"/>
        <x:v>Tidak Ada Faktor Rentan</x:v>
      </x:c>
      <x:c r="Z234" s="74" t="str">
        <x:f t="shared" si="35"/>
      </x:c>
      <x:c r="AA234" s="74">
        <x:f t="shared" si="36"/>
        <x:v>0</x:v>
      </x:c>
      <x:c r="AB234" s="74" t="str">
        <x:f t="shared" si="37"/>
      </x:c>
      <x:c r="AC234" s="61"/>
      <x:c r="AD234" s="61"/>
      <x:c r="AE234" s="61"/>
      <x:c r="AF234" s="61"/>
      <x:c r="AG234" s="61"/>
      <x:c r="AH234" s="61"/>
      <x:c r="AI234" s="61"/>
      <x:c r="AJ234" s="61"/>
      <x:c r="AK234" s="61"/>
      <x:c r="AL234" s="61"/>
      <x:c r="AM234" s="61"/>
      <x:c r="AN234" s="73" t="str">
        <x:f t="shared" si="38"/>
        <x:v>Tidak ada risiko khusus</x:v>
      </x:c>
      <x:c r="AO234" s="73" t="str">
        <x:f t="shared" si="39"/>
        <x:v>Tidak Ada Risiko Khusus</x:v>
      </x:c>
      <x:c r="AP234" s="61"/>
      <x:c r="AQ234" s="64" t="str">
        <x:f t="shared" si="40"/>
      </x:c>
      <x:c r="AR234" s="64">
        <x:f t="shared" si="41"/>
        <x:v>0</x:v>
      </x:c>
      <x:c r="AS234" s="64" t="str">
        <x:f t="shared" si="42"/>
      </x:c>
      <x:c r="AT234" s="62" t="str">
        <x:f t="shared" si="43"/>
        <x:v>Belum Dapat Ditentukan</x:v>
      </x:c>
      <x:c r="AU234" s="59"/>
      <x:c r="AV234" s="59"/>
      <x:c r="AW234" s="59"/>
      <x:c r="AX234" s="59"/>
      <x:c r="AY234" s="59"/>
      <x:c r="AZ234" s="59"/>
      <x:c r="BA234" s="59"/>
      <x:c r="BB234" s="167"/>
      <x:c r="BC234" s="65"/>
      <x:c r="BD234" s="59"/>
      <x:c r="BE234" s="167"/>
      <x:c r="BF234" s="59"/>
    </x:row>
    <x:row r="235">
      <x:c r="A235" s="59"/>
      <x:c r="B235" s="59"/>
      <x:c r="C235" s="59"/>
      <x:c r="D235" s="59"/>
      <x:c r="E235" s="59"/>
      <x:c r="F235" s="59"/>
      <x:c r="G235" s="59"/>
      <x:c r="H235" s="59"/>
      <x:c r="I235" s="59"/>
      <x:c r="J235" s="59"/>
      <x:c r="K235" s="59"/>
      <x:c r="L235" s="59"/>
      <x:c r="M235" s="59"/>
      <x:c r="N235" s="59"/>
      <x:c r="O235" s="59"/>
      <x:c r="P235" s="59"/>
      <x:c r="Q235" s="75"/>
      <x:c r="R235" s="75"/>
      <x:c r="S235" s="75"/>
      <x:c r="T235" s="75"/>
      <x:c r="U235" s="75"/>
      <x:c r="V235" s="75"/>
      <x:c r="W235" s="60"/>
      <x:c r="X235" s="73" t="str">
        <x:f t="shared" si="33"/>
        <x:v>Tidak ada faktor rentan</x:v>
      </x:c>
      <x:c r="Y235" s="73" t="str">
        <x:f t="shared" si="34"/>
        <x:v>Tidak Ada Faktor Rentan</x:v>
      </x:c>
      <x:c r="Z235" s="74" t="str">
        <x:f t="shared" si="35"/>
      </x:c>
      <x:c r="AA235" s="74">
        <x:f t="shared" si="36"/>
        <x:v>0</x:v>
      </x:c>
      <x:c r="AB235" s="74" t="str">
        <x:f t="shared" si="37"/>
      </x:c>
      <x:c r="AC235" s="61"/>
      <x:c r="AD235" s="61"/>
      <x:c r="AE235" s="61"/>
      <x:c r="AF235" s="61"/>
      <x:c r="AG235" s="61"/>
      <x:c r="AH235" s="61"/>
      <x:c r="AI235" s="61"/>
      <x:c r="AJ235" s="61"/>
      <x:c r="AK235" s="61"/>
      <x:c r="AL235" s="61"/>
      <x:c r="AM235" s="61"/>
      <x:c r="AN235" s="73" t="str">
        <x:f t="shared" si="38"/>
        <x:v>Tidak ada risiko khusus</x:v>
      </x:c>
      <x:c r="AO235" s="73" t="str">
        <x:f t="shared" si="39"/>
        <x:v>Tidak Ada Risiko Khusus</x:v>
      </x:c>
      <x:c r="AP235" s="61"/>
      <x:c r="AQ235" s="64" t="str">
        <x:f t="shared" si="40"/>
      </x:c>
      <x:c r="AR235" s="64">
        <x:f t="shared" si="41"/>
        <x:v>0</x:v>
      </x:c>
      <x:c r="AS235" s="64" t="str">
        <x:f t="shared" si="42"/>
      </x:c>
      <x:c r="AT235" s="62" t="str">
        <x:f t="shared" si="43"/>
        <x:v>Belum Dapat Ditentukan</x:v>
      </x:c>
      <x:c r="AU235" s="59"/>
      <x:c r="AV235" s="59"/>
      <x:c r="AW235" s="59"/>
      <x:c r="AX235" s="59"/>
      <x:c r="AY235" s="59"/>
      <x:c r="AZ235" s="59"/>
      <x:c r="BA235" s="59"/>
      <x:c r="BB235" s="167"/>
      <x:c r="BC235" s="65"/>
      <x:c r="BD235" s="59"/>
      <x:c r="BE235" s="167"/>
      <x:c r="BF235" s="59"/>
    </x:row>
    <x:row r="236">
      <x:c r="A236" s="59"/>
      <x:c r="B236" s="59"/>
      <x:c r="C236" s="59"/>
      <x:c r="D236" s="59"/>
      <x:c r="E236" s="59"/>
      <x:c r="F236" s="59"/>
      <x:c r="G236" s="59"/>
      <x:c r="H236" s="59"/>
      <x:c r="I236" s="59"/>
      <x:c r="J236" s="59"/>
      <x:c r="K236" s="59"/>
      <x:c r="L236" s="59"/>
      <x:c r="M236" s="59"/>
      <x:c r="N236" s="59"/>
      <x:c r="O236" s="59"/>
      <x:c r="P236" s="59"/>
      <x:c r="Q236" s="75"/>
      <x:c r="R236" s="75"/>
      <x:c r="S236" s="75"/>
      <x:c r="T236" s="75"/>
      <x:c r="U236" s="75"/>
      <x:c r="V236" s="75"/>
      <x:c r="W236" s="60"/>
      <x:c r="X236" s="73" t="str">
        <x:f t="shared" si="33"/>
        <x:v>Tidak ada faktor rentan</x:v>
      </x:c>
      <x:c r="Y236" s="73" t="str">
        <x:f t="shared" si="34"/>
        <x:v>Tidak Ada Faktor Rentan</x:v>
      </x:c>
      <x:c r="Z236" s="74" t="str">
        <x:f t="shared" si="35"/>
      </x:c>
      <x:c r="AA236" s="74">
        <x:f t="shared" si="36"/>
        <x:v>0</x:v>
      </x:c>
      <x:c r="AB236" s="74" t="str">
        <x:f t="shared" si="37"/>
      </x:c>
      <x:c r="AC236" s="61"/>
      <x:c r="AD236" s="61"/>
      <x:c r="AE236" s="61"/>
      <x:c r="AF236" s="61"/>
      <x:c r="AG236" s="61"/>
      <x:c r="AH236" s="61"/>
      <x:c r="AI236" s="61"/>
      <x:c r="AJ236" s="61"/>
      <x:c r="AK236" s="61"/>
      <x:c r="AL236" s="61"/>
      <x:c r="AM236" s="61"/>
      <x:c r="AN236" s="73" t="str">
        <x:f t="shared" si="38"/>
        <x:v>Tidak ada risiko khusus</x:v>
      </x:c>
      <x:c r="AO236" s="73" t="str">
        <x:f t="shared" si="39"/>
        <x:v>Tidak Ada Risiko Khusus</x:v>
      </x:c>
      <x:c r="AP236" s="61"/>
      <x:c r="AQ236" s="64" t="str">
        <x:f t="shared" si="40"/>
      </x:c>
      <x:c r="AR236" s="64">
        <x:f t="shared" si="41"/>
        <x:v>0</x:v>
      </x:c>
      <x:c r="AS236" s="64" t="str">
        <x:f t="shared" si="42"/>
      </x:c>
      <x:c r="AT236" s="62" t="str">
        <x:f t="shared" si="43"/>
        <x:v>Belum Dapat Ditentukan</x:v>
      </x:c>
      <x:c r="AU236" s="59"/>
      <x:c r="AV236" s="59"/>
      <x:c r="AW236" s="59"/>
      <x:c r="AX236" s="59"/>
      <x:c r="AY236" s="59"/>
      <x:c r="AZ236" s="59"/>
      <x:c r="BA236" s="59"/>
      <x:c r="BB236" s="167"/>
      <x:c r="BC236" s="65"/>
      <x:c r="BD236" s="59"/>
      <x:c r="BE236" s="167"/>
      <x:c r="BF236" s="59"/>
    </x:row>
    <x:row r="237">
      <x:c r="A237" s="59"/>
      <x:c r="B237" s="59"/>
      <x:c r="C237" s="59"/>
      <x:c r="D237" s="59"/>
      <x:c r="E237" s="59"/>
      <x:c r="F237" s="59"/>
      <x:c r="G237" s="59"/>
      <x:c r="H237" s="59"/>
      <x:c r="I237" s="59"/>
      <x:c r="J237" s="59"/>
      <x:c r="K237" s="59"/>
      <x:c r="L237" s="59"/>
      <x:c r="M237" s="59"/>
      <x:c r="N237" s="59"/>
      <x:c r="O237" s="59"/>
      <x:c r="P237" s="59"/>
      <x:c r="Q237" s="75"/>
      <x:c r="R237" s="75"/>
      <x:c r="S237" s="75"/>
      <x:c r="T237" s="75"/>
      <x:c r="U237" s="75"/>
      <x:c r="V237" s="75"/>
      <x:c r="W237" s="60"/>
      <x:c r="X237" s="73" t="str">
        <x:f t="shared" si="33"/>
        <x:v>Tidak ada faktor rentan</x:v>
      </x:c>
      <x:c r="Y237" s="73" t="str">
        <x:f t="shared" si="34"/>
        <x:v>Tidak Ada Faktor Rentan</x:v>
      </x:c>
      <x:c r="Z237" s="74" t="str">
        <x:f t="shared" si="35"/>
      </x:c>
      <x:c r="AA237" s="74">
        <x:f t="shared" si="36"/>
        <x:v>0</x:v>
      </x:c>
      <x:c r="AB237" s="74" t="str">
        <x:f t="shared" si="37"/>
      </x:c>
      <x:c r="AC237" s="61"/>
      <x:c r="AD237" s="61"/>
      <x:c r="AE237" s="61"/>
      <x:c r="AF237" s="61"/>
      <x:c r="AG237" s="61"/>
      <x:c r="AH237" s="61"/>
      <x:c r="AI237" s="61"/>
      <x:c r="AJ237" s="61"/>
      <x:c r="AK237" s="61"/>
      <x:c r="AL237" s="61"/>
      <x:c r="AM237" s="61"/>
      <x:c r="AN237" s="73" t="str">
        <x:f t="shared" si="38"/>
        <x:v>Tidak ada risiko khusus</x:v>
      </x:c>
      <x:c r="AO237" s="73" t="str">
        <x:f t="shared" si="39"/>
        <x:v>Tidak Ada Risiko Khusus</x:v>
      </x:c>
      <x:c r="AP237" s="61"/>
      <x:c r="AQ237" s="64" t="str">
        <x:f t="shared" si="40"/>
      </x:c>
      <x:c r="AR237" s="64">
        <x:f t="shared" si="41"/>
        <x:v>0</x:v>
      </x:c>
      <x:c r="AS237" s="64" t="str">
        <x:f t="shared" si="42"/>
      </x:c>
      <x:c r="AT237" s="62" t="str">
        <x:f t="shared" si="43"/>
        <x:v>Belum Dapat Ditentukan</x:v>
      </x:c>
      <x:c r="AU237" s="59"/>
      <x:c r="AV237" s="59"/>
      <x:c r="AW237" s="59"/>
      <x:c r="AX237" s="59"/>
      <x:c r="AY237" s="59"/>
      <x:c r="AZ237" s="59"/>
      <x:c r="BA237" s="59"/>
      <x:c r="BB237" s="167"/>
      <x:c r="BC237" s="65"/>
      <x:c r="BD237" s="59"/>
      <x:c r="BE237" s="167"/>
      <x:c r="BF237" s="59"/>
    </x:row>
    <x:row r="238">
      <x:c r="A238" s="59"/>
      <x:c r="B238" s="59"/>
      <x:c r="C238" s="59"/>
      <x:c r="D238" s="59"/>
      <x:c r="E238" s="59"/>
      <x:c r="F238" s="59"/>
      <x:c r="G238" s="59"/>
      <x:c r="H238" s="59"/>
      <x:c r="I238" s="59"/>
      <x:c r="J238" s="59"/>
      <x:c r="K238" s="59"/>
      <x:c r="L238" s="59"/>
      <x:c r="M238" s="59"/>
      <x:c r="N238" s="59"/>
      <x:c r="O238" s="59"/>
      <x:c r="P238" s="59"/>
      <x:c r="Q238" s="75"/>
      <x:c r="R238" s="75"/>
      <x:c r="S238" s="75"/>
      <x:c r="T238" s="75"/>
      <x:c r="U238" s="75"/>
      <x:c r="V238" s="75"/>
      <x:c r="W238" s="60"/>
      <x:c r="X238" s="73" t="str">
        <x:f t="shared" si="33"/>
        <x:v>Tidak ada faktor rentan</x:v>
      </x:c>
      <x:c r="Y238" s="73" t="str">
        <x:f t="shared" si="34"/>
        <x:v>Tidak Ada Faktor Rentan</x:v>
      </x:c>
      <x:c r="Z238" s="74" t="str">
        <x:f t="shared" si="35"/>
      </x:c>
      <x:c r="AA238" s="74">
        <x:f t="shared" si="36"/>
        <x:v>0</x:v>
      </x:c>
      <x:c r="AB238" s="74" t="str">
        <x:f t="shared" si="37"/>
      </x:c>
      <x:c r="AC238" s="61"/>
      <x:c r="AD238" s="61"/>
      <x:c r="AE238" s="61"/>
      <x:c r="AF238" s="61"/>
      <x:c r="AG238" s="61"/>
      <x:c r="AH238" s="61"/>
      <x:c r="AI238" s="61"/>
      <x:c r="AJ238" s="61"/>
      <x:c r="AK238" s="61"/>
      <x:c r="AL238" s="61"/>
      <x:c r="AM238" s="61"/>
      <x:c r="AN238" s="73" t="str">
        <x:f t="shared" si="38"/>
        <x:v>Tidak ada risiko khusus</x:v>
      </x:c>
      <x:c r="AO238" s="73" t="str">
        <x:f t="shared" si="39"/>
        <x:v>Tidak Ada Risiko Khusus</x:v>
      </x:c>
      <x:c r="AP238" s="61"/>
      <x:c r="AQ238" s="64" t="str">
        <x:f t="shared" si="40"/>
      </x:c>
      <x:c r="AR238" s="64">
        <x:f t="shared" si="41"/>
        <x:v>0</x:v>
      </x:c>
      <x:c r="AS238" s="64" t="str">
        <x:f t="shared" si="42"/>
      </x:c>
      <x:c r="AT238" s="62" t="str">
        <x:f t="shared" si="43"/>
        <x:v>Belum Dapat Ditentukan</x:v>
      </x:c>
      <x:c r="AU238" s="59"/>
      <x:c r="AV238" s="59"/>
      <x:c r="AW238" s="59"/>
      <x:c r="AX238" s="59"/>
      <x:c r="AY238" s="59"/>
      <x:c r="AZ238" s="59"/>
      <x:c r="BA238" s="59"/>
      <x:c r="BB238" s="167"/>
      <x:c r="BC238" s="65"/>
      <x:c r="BD238" s="59"/>
      <x:c r="BE238" s="167"/>
      <x:c r="BF238" s="59"/>
    </x:row>
    <x:row r="239">
      <x:c r="A239" s="59"/>
      <x:c r="B239" s="59"/>
      <x:c r="C239" s="59"/>
      <x:c r="D239" s="59"/>
      <x:c r="E239" s="59"/>
      <x:c r="F239" s="59"/>
      <x:c r="G239" s="59"/>
      <x:c r="H239" s="59"/>
      <x:c r="I239" s="59"/>
      <x:c r="J239" s="59"/>
      <x:c r="K239" s="59"/>
      <x:c r="L239" s="59"/>
      <x:c r="M239" s="59"/>
      <x:c r="N239" s="59"/>
      <x:c r="O239" s="59"/>
      <x:c r="P239" s="59"/>
      <x:c r="Q239" s="75"/>
      <x:c r="R239" s="75"/>
      <x:c r="S239" s="75"/>
      <x:c r="T239" s="75"/>
      <x:c r="U239" s="75"/>
      <x:c r="V239" s="75"/>
      <x:c r="W239" s="60"/>
      <x:c r="X239" s="73" t="str">
        <x:f t="shared" si="33"/>
        <x:v>Tidak ada faktor rentan</x:v>
      </x:c>
      <x:c r="Y239" s="73" t="str">
        <x:f t="shared" si="34"/>
        <x:v>Tidak Ada Faktor Rentan</x:v>
      </x:c>
      <x:c r="Z239" s="74" t="str">
        <x:f t="shared" si="35"/>
      </x:c>
      <x:c r="AA239" s="74">
        <x:f t="shared" si="36"/>
        <x:v>0</x:v>
      </x:c>
      <x:c r="AB239" s="74" t="str">
        <x:f t="shared" si="37"/>
      </x:c>
      <x:c r="AC239" s="61"/>
      <x:c r="AD239" s="61"/>
      <x:c r="AE239" s="61"/>
      <x:c r="AF239" s="61"/>
      <x:c r="AG239" s="61"/>
      <x:c r="AH239" s="61"/>
      <x:c r="AI239" s="61"/>
      <x:c r="AJ239" s="61"/>
      <x:c r="AK239" s="61"/>
      <x:c r="AL239" s="61"/>
      <x:c r="AM239" s="61"/>
      <x:c r="AN239" s="73" t="str">
        <x:f t="shared" si="38"/>
        <x:v>Tidak ada risiko khusus</x:v>
      </x:c>
      <x:c r="AO239" s="73" t="str">
        <x:f t="shared" si="39"/>
        <x:v>Tidak Ada Risiko Khusus</x:v>
      </x:c>
      <x:c r="AP239" s="61"/>
      <x:c r="AQ239" s="64" t="str">
        <x:f t="shared" si="40"/>
      </x:c>
      <x:c r="AR239" s="64">
        <x:f t="shared" si="41"/>
        <x:v>0</x:v>
      </x:c>
      <x:c r="AS239" s="64" t="str">
        <x:f t="shared" si="42"/>
      </x:c>
      <x:c r="AT239" s="62" t="str">
        <x:f t="shared" si="43"/>
        <x:v>Belum Dapat Ditentukan</x:v>
      </x:c>
      <x:c r="AU239" s="59"/>
      <x:c r="AV239" s="59"/>
      <x:c r="AW239" s="59"/>
      <x:c r="AX239" s="59"/>
      <x:c r="AY239" s="59"/>
      <x:c r="AZ239" s="59"/>
      <x:c r="BA239" s="59"/>
      <x:c r="BB239" s="167"/>
      <x:c r="BC239" s="65"/>
      <x:c r="BD239" s="59"/>
      <x:c r="BE239" s="167"/>
      <x:c r="BF239" s="59"/>
    </x:row>
    <x:row r="240">
      <x:c r="A240" s="59"/>
      <x:c r="B240" s="59"/>
      <x:c r="C240" s="59"/>
      <x:c r="D240" s="59"/>
      <x:c r="E240" s="59"/>
      <x:c r="F240" s="59"/>
      <x:c r="G240" s="59"/>
      <x:c r="H240" s="59"/>
      <x:c r="I240" s="59"/>
      <x:c r="J240" s="59"/>
      <x:c r="K240" s="59"/>
      <x:c r="L240" s="59"/>
      <x:c r="M240" s="59"/>
      <x:c r="N240" s="59"/>
      <x:c r="O240" s="59"/>
      <x:c r="P240" s="59"/>
      <x:c r="Q240" s="75"/>
      <x:c r="R240" s="75"/>
      <x:c r="S240" s="75"/>
      <x:c r="T240" s="75"/>
      <x:c r="U240" s="75"/>
      <x:c r="V240" s="75"/>
      <x:c r="W240" s="60"/>
      <x:c r="X240" s="73" t="str">
        <x:f t="shared" si="33"/>
        <x:v>Tidak ada faktor rentan</x:v>
      </x:c>
      <x:c r="Y240" s="73" t="str">
        <x:f t="shared" si="34"/>
        <x:v>Tidak Ada Faktor Rentan</x:v>
      </x:c>
      <x:c r="Z240" s="74" t="str">
        <x:f t="shared" si="35"/>
      </x:c>
      <x:c r="AA240" s="74">
        <x:f t="shared" si="36"/>
        <x:v>0</x:v>
      </x:c>
      <x:c r="AB240" s="74" t="str">
        <x:f t="shared" si="37"/>
      </x:c>
      <x:c r="AC240" s="61"/>
      <x:c r="AD240" s="61"/>
      <x:c r="AE240" s="61"/>
      <x:c r="AF240" s="61"/>
      <x:c r="AG240" s="61"/>
      <x:c r="AH240" s="61"/>
      <x:c r="AI240" s="61"/>
      <x:c r="AJ240" s="61"/>
      <x:c r="AK240" s="61"/>
      <x:c r="AL240" s="61"/>
      <x:c r="AM240" s="61"/>
      <x:c r="AN240" s="73" t="str">
        <x:f t="shared" si="38"/>
        <x:v>Tidak ada risiko khusus</x:v>
      </x:c>
      <x:c r="AO240" s="73" t="str">
        <x:f t="shared" si="39"/>
        <x:v>Tidak Ada Risiko Khusus</x:v>
      </x:c>
      <x:c r="AP240" s="61"/>
      <x:c r="AQ240" s="64" t="str">
        <x:f t="shared" si="40"/>
      </x:c>
      <x:c r="AR240" s="64">
        <x:f t="shared" si="41"/>
        <x:v>0</x:v>
      </x:c>
      <x:c r="AS240" s="64" t="str">
        <x:f t="shared" si="42"/>
      </x:c>
      <x:c r="AT240" s="62" t="str">
        <x:f t="shared" si="43"/>
        <x:v>Belum Dapat Ditentukan</x:v>
      </x:c>
      <x:c r="AU240" s="59"/>
      <x:c r="AV240" s="59"/>
      <x:c r="AW240" s="59"/>
      <x:c r="AX240" s="59"/>
      <x:c r="AY240" s="59"/>
      <x:c r="AZ240" s="59"/>
      <x:c r="BA240" s="59"/>
      <x:c r="BB240" s="167"/>
      <x:c r="BC240" s="65"/>
      <x:c r="BD240" s="59"/>
      <x:c r="BE240" s="167"/>
      <x:c r="BF240" s="59"/>
    </x:row>
    <x:row r="241">
      <x:c r="A241" s="59"/>
      <x:c r="B241" s="59"/>
      <x:c r="C241" s="59"/>
      <x:c r="D241" s="59"/>
      <x:c r="E241" s="59"/>
      <x:c r="F241" s="59"/>
      <x:c r="G241" s="59"/>
      <x:c r="H241" s="59"/>
      <x:c r="I241" s="59"/>
      <x:c r="J241" s="59"/>
      <x:c r="K241" s="59"/>
      <x:c r="L241" s="59"/>
      <x:c r="M241" s="59"/>
      <x:c r="N241" s="59"/>
      <x:c r="O241" s="59"/>
      <x:c r="P241" s="59"/>
      <x:c r="Q241" s="75"/>
      <x:c r="R241" s="75"/>
      <x:c r="S241" s="75"/>
      <x:c r="T241" s="75"/>
      <x:c r="U241" s="75"/>
      <x:c r="V241" s="75"/>
      <x:c r="W241" s="60"/>
      <x:c r="X241" s="73" t="str">
        <x:f t="shared" si="33"/>
        <x:v>Tidak ada faktor rentan</x:v>
      </x:c>
      <x:c r="Y241" s="73" t="str">
        <x:f t="shared" si="34"/>
        <x:v>Tidak Ada Faktor Rentan</x:v>
      </x:c>
      <x:c r="Z241" s="74" t="str">
        <x:f t="shared" si="35"/>
      </x:c>
      <x:c r="AA241" s="74">
        <x:f t="shared" si="36"/>
        <x:v>0</x:v>
      </x:c>
      <x:c r="AB241" s="74" t="str">
        <x:f t="shared" si="37"/>
      </x:c>
      <x:c r="AC241" s="61"/>
      <x:c r="AD241" s="61"/>
      <x:c r="AE241" s="61"/>
      <x:c r="AF241" s="61"/>
      <x:c r="AG241" s="61"/>
      <x:c r="AH241" s="61"/>
      <x:c r="AI241" s="61"/>
      <x:c r="AJ241" s="61"/>
      <x:c r="AK241" s="61"/>
      <x:c r="AL241" s="61"/>
      <x:c r="AM241" s="61"/>
      <x:c r="AN241" s="73" t="str">
        <x:f t="shared" si="38"/>
        <x:v>Tidak ada risiko khusus</x:v>
      </x:c>
      <x:c r="AO241" s="73" t="str">
        <x:f t="shared" si="39"/>
        <x:v>Tidak Ada Risiko Khusus</x:v>
      </x:c>
      <x:c r="AP241" s="61"/>
      <x:c r="AQ241" s="64" t="str">
        <x:f t="shared" si="40"/>
      </x:c>
      <x:c r="AR241" s="64">
        <x:f t="shared" si="41"/>
        <x:v>0</x:v>
      </x:c>
      <x:c r="AS241" s="64" t="str">
        <x:f t="shared" si="42"/>
      </x:c>
      <x:c r="AT241" s="62" t="str">
        <x:f t="shared" si="43"/>
        <x:v>Belum Dapat Ditentukan</x:v>
      </x:c>
      <x:c r="AU241" s="59"/>
      <x:c r="AV241" s="59"/>
      <x:c r="AW241" s="59"/>
      <x:c r="AX241" s="59"/>
      <x:c r="AY241" s="59"/>
      <x:c r="AZ241" s="59"/>
      <x:c r="BA241" s="59"/>
      <x:c r="BB241" s="167"/>
      <x:c r="BC241" s="65"/>
      <x:c r="BD241" s="59"/>
      <x:c r="BE241" s="167"/>
      <x:c r="BF241" s="59"/>
    </x:row>
    <x:row r="242">
      <x:c r="A242" s="59"/>
      <x:c r="B242" s="59"/>
      <x:c r="C242" s="59"/>
      <x:c r="D242" s="59"/>
      <x:c r="E242" s="59"/>
      <x:c r="F242" s="59"/>
      <x:c r="G242" s="59"/>
      <x:c r="H242" s="59"/>
      <x:c r="I242" s="59"/>
      <x:c r="J242" s="59"/>
      <x:c r="K242" s="59"/>
      <x:c r="L242" s="59"/>
      <x:c r="M242" s="59"/>
      <x:c r="N242" s="59"/>
      <x:c r="O242" s="59"/>
      <x:c r="P242" s="59"/>
      <x:c r="Q242" s="75"/>
      <x:c r="R242" s="75"/>
      <x:c r="S242" s="75"/>
      <x:c r="T242" s="75"/>
      <x:c r="U242" s="75"/>
      <x:c r="V242" s="75"/>
      <x:c r="W242" s="60"/>
      <x:c r="X242" s="73" t="str">
        <x:f t="shared" si="33"/>
        <x:v>Tidak ada faktor rentan</x:v>
      </x:c>
      <x:c r="Y242" s="73" t="str">
        <x:f t="shared" si="34"/>
        <x:v>Tidak Ada Faktor Rentan</x:v>
      </x:c>
      <x:c r="Z242" s="74" t="str">
        <x:f t="shared" si="35"/>
      </x:c>
      <x:c r="AA242" s="74">
        <x:f t="shared" si="36"/>
        <x:v>0</x:v>
      </x:c>
      <x:c r="AB242" s="74" t="str">
        <x:f t="shared" si="37"/>
      </x:c>
      <x:c r="AC242" s="61"/>
      <x:c r="AD242" s="61"/>
      <x:c r="AE242" s="61"/>
      <x:c r="AF242" s="61"/>
      <x:c r="AG242" s="61"/>
      <x:c r="AH242" s="61"/>
      <x:c r="AI242" s="61"/>
      <x:c r="AJ242" s="61"/>
      <x:c r="AK242" s="61"/>
      <x:c r="AL242" s="61"/>
      <x:c r="AM242" s="61"/>
      <x:c r="AN242" s="73" t="str">
        <x:f t="shared" si="38"/>
        <x:v>Tidak ada risiko khusus</x:v>
      </x:c>
      <x:c r="AO242" s="73" t="str">
        <x:f t="shared" si="39"/>
        <x:v>Tidak Ada Risiko Khusus</x:v>
      </x:c>
      <x:c r="AP242" s="61"/>
      <x:c r="AQ242" s="64" t="str">
        <x:f t="shared" si="40"/>
      </x:c>
      <x:c r="AR242" s="64">
        <x:f t="shared" si="41"/>
        <x:v>0</x:v>
      </x:c>
      <x:c r="AS242" s="64" t="str">
        <x:f t="shared" si="42"/>
      </x:c>
      <x:c r="AT242" s="62" t="str">
        <x:f t="shared" si="43"/>
        <x:v>Belum Dapat Ditentukan</x:v>
      </x:c>
      <x:c r="AU242" s="59"/>
      <x:c r="AV242" s="59"/>
      <x:c r="AW242" s="59"/>
      <x:c r="AX242" s="59"/>
      <x:c r="AY242" s="59"/>
      <x:c r="AZ242" s="59"/>
      <x:c r="BA242" s="59"/>
      <x:c r="BB242" s="167"/>
      <x:c r="BC242" s="65"/>
      <x:c r="BD242" s="59"/>
      <x:c r="BE242" s="167"/>
      <x:c r="BF242" s="59"/>
    </x:row>
    <x:row r="243">
      <x:c r="A243" s="59"/>
      <x:c r="B243" s="59"/>
      <x:c r="C243" s="59"/>
      <x:c r="D243" s="59"/>
      <x:c r="E243" s="59"/>
      <x:c r="F243" s="59"/>
      <x:c r="G243" s="59"/>
      <x:c r="H243" s="59"/>
      <x:c r="I243" s="59"/>
      <x:c r="J243" s="59"/>
      <x:c r="K243" s="59"/>
      <x:c r="L243" s="59"/>
      <x:c r="M243" s="59"/>
      <x:c r="N243" s="59"/>
      <x:c r="O243" s="59"/>
      <x:c r="P243" s="59"/>
      <x:c r="Q243" s="75"/>
      <x:c r="R243" s="75"/>
      <x:c r="S243" s="75"/>
      <x:c r="T243" s="75"/>
      <x:c r="U243" s="75"/>
      <x:c r="V243" s="75"/>
      <x:c r="W243" s="60"/>
      <x:c r="X243" s="73" t="str">
        <x:f t="shared" si="33"/>
        <x:v>Tidak ada faktor rentan</x:v>
      </x:c>
      <x:c r="Y243" s="73" t="str">
        <x:f t="shared" si="34"/>
        <x:v>Tidak Ada Faktor Rentan</x:v>
      </x:c>
      <x:c r="Z243" s="74" t="str">
        <x:f t="shared" si="35"/>
      </x:c>
      <x:c r="AA243" s="74">
        <x:f t="shared" si="36"/>
        <x:v>0</x:v>
      </x:c>
      <x:c r="AB243" s="74" t="str">
        <x:f t="shared" si="37"/>
      </x:c>
      <x:c r="AC243" s="61"/>
      <x:c r="AD243" s="61"/>
      <x:c r="AE243" s="61"/>
      <x:c r="AF243" s="61"/>
      <x:c r="AG243" s="61"/>
      <x:c r="AH243" s="61"/>
      <x:c r="AI243" s="61"/>
      <x:c r="AJ243" s="61"/>
      <x:c r="AK243" s="61"/>
      <x:c r="AL243" s="61"/>
      <x:c r="AM243" s="61"/>
      <x:c r="AN243" s="73" t="str">
        <x:f t="shared" si="38"/>
        <x:v>Tidak ada risiko khusus</x:v>
      </x:c>
      <x:c r="AO243" s="73" t="str">
        <x:f t="shared" si="39"/>
        <x:v>Tidak Ada Risiko Khusus</x:v>
      </x:c>
      <x:c r="AP243" s="61"/>
      <x:c r="AQ243" s="64" t="str">
        <x:f t="shared" si="40"/>
      </x:c>
      <x:c r="AR243" s="64">
        <x:f t="shared" si="41"/>
        <x:v>0</x:v>
      </x:c>
      <x:c r="AS243" s="64" t="str">
        <x:f t="shared" si="42"/>
      </x:c>
      <x:c r="AT243" s="62" t="str">
        <x:f t="shared" si="43"/>
        <x:v>Belum Dapat Ditentukan</x:v>
      </x:c>
      <x:c r="AU243" s="59"/>
      <x:c r="AV243" s="59"/>
      <x:c r="AW243" s="59"/>
      <x:c r="AX243" s="59"/>
      <x:c r="AY243" s="59"/>
      <x:c r="AZ243" s="59"/>
      <x:c r="BA243" s="59"/>
      <x:c r="BB243" s="167"/>
      <x:c r="BC243" s="65"/>
      <x:c r="BD243" s="59"/>
      <x:c r="BE243" s="167"/>
      <x:c r="BF243" s="59"/>
    </x:row>
    <x:row r="244">
      <x:c r="A244" s="59"/>
      <x:c r="B244" s="59"/>
      <x:c r="C244" s="59"/>
      <x:c r="D244" s="59"/>
      <x:c r="E244" s="59"/>
      <x:c r="F244" s="59"/>
      <x:c r="G244" s="59"/>
      <x:c r="H244" s="59"/>
      <x:c r="I244" s="59"/>
      <x:c r="J244" s="59"/>
      <x:c r="K244" s="59"/>
      <x:c r="L244" s="59"/>
      <x:c r="M244" s="59"/>
      <x:c r="N244" s="59"/>
      <x:c r="O244" s="59"/>
      <x:c r="P244" s="59"/>
      <x:c r="Q244" s="75"/>
      <x:c r="R244" s="75"/>
      <x:c r="S244" s="75"/>
      <x:c r="T244" s="75"/>
      <x:c r="U244" s="75"/>
      <x:c r="V244" s="75"/>
      <x:c r="W244" s="60"/>
      <x:c r="X244" s="73" t="str">
        <x:f t="shared" si="33"/>
        <x:v>Tidak ada faktor rentan</x:v>
      </x:c>
      <x:c r="Y244" s="73" t="str">
        <x:f t="shared" si="34"/>
        <x:v>Tidak Ada Faktor Rentan</x:v>
      </x:c>
      <x:c r="Z244" s="74" t="str">
        <x:f t="shared" si="35"/>
      </x:c>
      <x:c r="AA244" s="74">
        <x:f t="shared" si="36"/>
        <x:v>0</x:v>
      </x:c>
      <x:c r="AB244" s="74" t="str">
        <x:f t="shared" si="37"/>
      </x:c>
      <x:c r="AC244" s="61"/>
      <x:c r="AD244" s="61"/>
      <x:c r="AE244" s="61"/>
      <x:c r="AF244" s="61"/>
      <x:c r="AG244" s="61"/>
      <x:c r="AH244" s="61"/>
      <x:c r="AI244" s="61"/>
      <x:c r="AJ244" s="61"/>
      <x:c r="AK244" s="61"/>
      <x:c r="AL244" s="61"/>
      <x:c r="AM244" s="61"/>
      <x:c r="AN244" s="73" t="str">
        <x:f t="shared" si="38"/>
        <x:v>Tidak ada risiko khusus</x:v>
      </x:c>
      <x:c r="AO244" s="73" t="str">
        <x:f t="shared" si="39"/>
        <x:v>Tidak Ada Risiko Khusus</x:v>
      </x:c>
      <x:c r="AP244" s="61"/>
      <x:c r="AQ244" s="64" t="str">
        <x:f t="shared" si="40"/>
      </x:c>
      <x:c r="AR244" s="64">
        <x:f t="shared" si="41"/>
        <x:v>0</x:v>
      </x:c>
      <x:c r="AS244" s="64" t="str">
        <x:f t="shared" si="42"/>
      </x:c>
      <x:c r="AT244" s="62" t="str">
        <x:f t="shared" si="43"/>
        <x:v>Belum Dapat Ditentukan</x:v>
      </x:c>
      <x:c r="AU244" s="59"/>
      <x:c r="AV244" s="59"/>
      <x:c r="AW244" s="59"/>
      <x:c r="AX244" s="59"/>
      <x:c r="AY244" s="59"/>
      <x:c r="AZ244" s="59"/>
      <x:c r="BA244" s="59"/>
      <x:c r="BB244" s="167"/>
      <x:c r="BC244" s="65"/>
      <x:c r="BD244" s="59"/>
      <x:c r="BE244" s="167"/>
      <x:c r="BF244" s="59"/>
    </x:row>
    <x:row r="245">
      <x:c r="A245" s="59"/>
      <x:c r="B245" s="59"/>
      <x:c r="C245" s="59"/>
      <x:c r="D245" s="59"/>
      <x:c r="E245" s="59"/>
      <x:c r="F245" s="59"/>
      <x:c r="G245" s="59"/>
      <x:c r="H245" s="59"/>
      <x:c r="I245" s="59"/>
      <x:c r="J245" s="59"/>
      <x:c r="K245" s="59"/>
      <x:c r="L245" s="59"/>
      <x:c r="M245" s="59"/>
      <x:c r="N245" s="59"/>
      <x:c r="O245" s="59"/>
      <x:c r="P245" s="59"/>
      <x:c r="Q245" s="75"/>
      <x:c r="R245" s="75"/>
      <x:c r="S245" s="75"/>
      <x:c r="T245" s="75"/>
      <x:c r="U245" s="75"/>
      <x:c r="V245" s="75"/>
      <x:c r="W245" s="60"/>
      <x:c r="X245" s="73" t="str">
        <x:f t="shared" si="33"/>
        <x:v>Tidak ada faktor rentan</x:v>
      </x:c>
      <x:c r="Y245" s="73" t="str">
        <x:f t="shared" si="34"/>
        <x:v>Tidak Ada Faktor Rentan</x:v>
      </x:c>
      <x:c r="Z245" s="74" t="str">
        <x:f t="shared" si="35"/>
      </x:c>
      <x:c r="AA245" s="74">
        <x:f t="shared" si="36"/>
        <x:v>0</x:v>
      </x:c>
      <x:c r="AB245" s="74" t="str">
        <x:f t="shared" si="37"/>
      </x:c>
      <x:c r="AC245" s="61"/>
      <x:c r="AD245" s="61"/>
      <x:c r="AE245" s="61"/>
      <x:c r="AF245" s="61"/>
      <x:c r="AG245" s="61"/>
      <x:c r="AH245" s="61"/>
      <x:c r="AI245" s="61"/>
      <x:c r="AJ245" s="61"/>
      <x:c r="AK245" s="61"/>
      <x:c r="AL245" s="61"/>
      <x:c r="AM245" s="61"/>
      <x:c r="AN245" s="73" t="str">
        <x:f t="shared" si="38"/>
        <x:v>Tidak ada risiko khusus</x:v>
      </x:c>
      <x:c r="AO245" s="73" t="str">
        <x:f t="shared" si="39"/>
        <x:v>Tidak Ada Risiko Khusus</x:v>
      </x:c>
      <x:c r="AP245" s="61"/>
      <x:c r="AQ245" s="64" t="str">
        <x:f t="shared" si="40"/>
      </x:c>
      <x:c r="AR245" s="64">
        <x:f t="shared" si="41"/>
        <x:v>0</x:v>
      </x:c>
      <x:c r="AS245" s="64" t="str">
        <x:f t="shared" si="42"/>
      </x:c>
      <x:c r="AT245" s="62" t="str">
        <x:f t="shared" si="43"/>
        <x:v>Belum Dapat Ditentukan</x:v>
      </x:c>
      <x:c r="AU245" s="59"/>
      <x:c r="AV245" s="59"/>
      <x:c r="AW245" s="59"/>
      <x:c r="AX245" s="59"/>
      <x:c r="AY245" s="59"/>
      <x:c r="AZ245" s="59"/>
      <x:c r="BA245" s="59"/>
      <x:c r="BB245" s="167"/>
      <x:c r="BC245" s="65"/>
      <x:c r="BD245" s="59"/>
      <x:c r="BE245" s="167"/>
      <x:c r="BF245" s="59"/>
    </x:row>
    <x:row r="246">
      <x:c r="A246" s="59"/>
      <x:c r="B246" s="59"/>
      <x:c r="C246" s="59"/>
      <x:c r="D246" s="59"/>
      <x:c r="E246" s="59"/>
      <x:c r="F246" s="59"/>
      <x:c r="G246" s="59"/>
      <x:c r="H246" s="59"/>
      <x:c r="I246" s="59"/>
      <x:c r="J246" s="59"/>
      <x:c r="K246" s="59"/>
      <x:c r="L246" s="59"/>
      <x:c r="M246" s="59"/>
      <x:c r="N246" s="59"/>
      <x:c r="O246" s="59"/>
      <x:c r="P246" s="59"/>
      <x:c r="Q246" s="75"/>
      <x:c r="R246" s="75"/>
      <x:c r="S246" s="75"/>
      <x:c r="T246" s="75"/>
      <x:c r="U246" s="75"/>
      <x:c r="V246" s="75"/>
      <x:c r="W246" s="60"/>
      <x:c r="X246" s="73" t="str">
        <x:f t="shared" si="33"/>
        <x:v>Tidak ada faktor rentan</x:v>
      </x:c>
      <x:c r="Y246" s="73" t="str">
        <x:f t="shared" si="34"/>
        <x:v>Tidak Ada Faktor Rentan</x:v>
      </x:c>
      <x:c r="Z246" s="74" t="str">
        <x:f t="shared" si="35"/>
      </x:c>
      <x:c r="AA246" s="74">
        <x:f t="shared" si="36"/>
        <x:v>0</x:v>
      </x:c>
      <x:c r="AB246" s="74" t="str">
        <x:f t="shared" si="37"/>
      </x:c>
      <x:c r="AC246" s="61"/>
      <x:c r="AD246" s="61"/>
      <x:c r="AE246" s="61"/>
      <x:c r="AF246" s="61"/>
      <x:c r="AG246" s="61"/>
      <x:c r="AH246" s="61"/>
      <x:c r="AI246" s="61"/>
      <x:c r="AJ246" s="61"/>
      <x:c r="AK246" s="61"/>
      <x:c r="AL246" s="61"/>
      <x:c r="AM246" s="61"/>
      <x:c r="AN246" s="73" t="str">
        <x:f t="shared" si="38"/>
        <x:v>Tidak ada risiko khusus</x:v>
      </x:c>
      <x:c r="AO246" s="73" t="str">
        <x:f t="shared" si="39"/>
        <x:v>Tidak Ada Risiko Khusus</x:v>
      </x:c>
      <x:c r="AP246" s="61"/>
      <x:c r="AQ246" s="64" t="str">
        <x:f t="shared" si="40"/>
      </x:c>
      <x:c r="AR246" s="64">
        <x:f t="shared" si="41"/>
        <x:v>0</x:v>
      </x:c>
      <x:c r="AS246" s="64" t="str">
        <x:f t="shared" si="42"/>
      </x:c>
      <x:c r="AT246" s="62" t="str">
        <x:f t="shared" si="43"/>
        <x:v>Belum Dapat Ditentukan</x:v>
      </x:c>
      <x:c r="AU246" s="59"/>
      <x:c r="AV246" s="59"/>
      <x:c r="AW246" s="59"/>
      <x:c r="AX246" s="59"/>
      <x:c r="AY246" s="59"/>
      <x:c r="AZ246" s="59"/>
      <x:c r="BA246" s="59"/>
      <x:c r="BB246" s="167"/>
      <x:c r="BC246" s="65"/>
      <x:c r="BD246" s="59"/>
      <x:c r="BE246" s="167"/>
      <x:c r="BF246" s="59"/>
    </x:row>
    <x:row r="247">
      <x:c r="A247" s="59"/>
      <x:c r="B247" s="59"/>
      <x:c r="C247" s="59"/>
      <x:c r="D247" s="59"/>
      <x:c r="E247" s="59"/>
      <x:c r="F247" s="59"/>
      <x:c r="G247" s="59"/>
      <x:c r="H247" s="59"/>
      <x:c r="I247" s="59"/>
      <x:c r="J247" s="59"/>
      <x:c r="K247" s="59"/>
      <x:c r="L247" s="59"/>
      <x:c r="M247" s="59"/>
      <x:c r="N247" s="59"/>
      <x:c r="O247" s="59"/>
      <x:c r="P247" s="59"/>
      <x:c r="Q247" s="75"/>
      <x:c r="R247" s="75"/>
      <x:c r="S247" s="75"/>
      <x:c r="T247" s="75"/>
      <x:c r="U247" s="75"/>
      <x:c r="V247" s="75"/>
      <x:c r="W247" s="60"/>
      <x:c r="X247" s="73" t="str">
        <x:f t="shared" si="33"/>
        <x:v>Tidak ada faktor rentan</x:v>
      </x:c>
      <x:c r="Y247" s="73" t="str">
        <x:f t="shared" si="34"/>
        <x:v>Tidak Ada Faktor Rentan</x:v>
      </x:c>
      <x:c r="Z247" s="74" t="str">
        <x:f t="shared" si="35"/>
      </x:c>
      <x:c r="AA247" s="74">
        <x:f t="shared" si="36"/>
        <x:v>0</x:v>
      </x:c>
      <x:c r="AB247" s="74" t="str">
        <x:f t="shared" si="37"/>
      </x:c>
      <x:c r="AC247" s="61"/>
      <x:c r="AD247" s="61"/>
      <x:c r="AE247" s="61"/>
      <x:c r="AF247" s="61"/>
      <x:c r="AG247" s="61"/>
      <x:c r="AH247" s="61"/>
      <x:c r="AI247" s="61"/>
      <x:c r="AJ247" s="61"/>
      <x:c r="AK247" s="61"/>
      <x:c r="AL247" s="61"/>
      <x:c r="AM247" s="61"/>
      <x:c r="AN247" s="73" t="str">
        <x:f t="shared" si="38"/>
        <x:v>Tidak ada risiko khusus</x:v>
      </x:c>
      <x:c r="AO247" s="73" t="str">
        <x:f t="shared" si="39"/>
        <x:v>Tidak Ada Risiko Khusus</x:v>
      </x:c>
      <x:c r="AP247" s="61"/>
      <x:c r="AQ247" s="64" t="str">
        <x:f t="shared" si="40"/>
      </x:c>
      <x:c r="AR247" s="64">
        <x:f t="shared" si="41"/>
        <x:v>0</x:v>
      </x:c>
      <x:c r="AS247" s="64" t="str">
        <x:f t="shared" si="42"/>
      </x:c>
      <x:c r="AT247" s="62" t="str">
        <x:f t="shared" si="43"/>
        <x:v>Belum Dapat Ditentukan</x:v>
      </x:c>
      <x:c r="AU247" s="59"/>
      <x:c r="AV247" s="59"/>
      <x:c r="AW247" s="59"/>
      <x:c r="AX247" s="59"/>
      <x:c r="AY247" s="59"/>
      <x:c r="AZ247" s="59"/>
      <x:c r="BA247" s="59"/>
      <x:c r="BB247" s="167"/>
      <x:c r="BC247" s="65"/>
      <x:c r="BD247" s="59"/>
      <x:c r="BE247" s="167"/>
      <x:c r="BF247" s="59"/>
    </x:row>
    <x:row r="248">
      <x:c r="A248" s="59"/>
      <x:c r="B248" s="59"/>
      <x:c r="C248" s="59"/>
      <x:c r="D248" s="59"/>
      <x:c r="E248" s="59"/>
      <x:c r="F248" s="59"/>
      <x:c r="G248" s="59"/>
      <x:c r="H248" s="59"/>
      <x:c r="I248" s="59"/>
      <x:c r="J248" s="59"/>
      <x:c r="K248" s="59"/>
      <x:c r="L248" s="59"/>
      <x:c r="M248" s="59"/>
      <x:c r="N248" s="59"/>
      <x:c r="O248" s="59"/>
      <x:c r="P248" s="59"/>
      <x:c r="Q248" s="75"/>
      <x:c r="R248" s="75"/>
      <x:c r="S248" s="75"/>
      <x:c r="T248" s="75"/>
      <x:c r="U248" s="75"/>
      <x:c r="V248" s="75"/>
      <x:c r="W248" s="60"/>
      <x:c r="X248" s="73" t="str">
        <x:f t="shared" si="33"/>
        <x:v>Tidak ada faktor rentan</x:v>
      </x:c>
      <x:c r="Y248" s="73" t="str">
        <x:f t="shared" si="34"/>
        <x:v>Tidak Ada Faktor Rentan</x:v>
      </x:c>
      <x:c r="Z248" s="74" t="str">
        <x:f t="shared" si="35"/>
      </x:c>
      <x:c r="AA248" s="74">
        <x:f t="shared" si="36"/>
        <x:v>0</x:v>
      </x:c>
      <x:c r="AB248" s="74" t="str">
        <x:f t="shared" si="37"/>
      </x:c>
      <x:c r="AC248" s="61"/>
      <x:c r="AD248" s="61"/>
      <x:c r="AE248" s="61"/>
      <x:c r="AF248" s="61"/>
      <x:c r="AG248" s="61"/>
      <x:c r="AH248" s="61"/>
      <x:c r="AI248" s="61"/>
      <x:c r="AJ248" s="61"/>
      <x:c r="AK248" s="61"/>
      <x:c r="AL248" s="61"/>
      <x:c r="AM248" s="61"/>
      <x:c r="AN248" s="73" t="str">
        <x:f t="shared" si="38"/>
        <x:v>Tidak ada risiko khusus</x:v>
      </x:c>
      <x:c r="AO248" s="73" t="str">
        <x:f t="shared" si="39"/>
        <x:v>Tidak Ada Risiko Khusus</x:v>
      </x:c>
      <x:c r="AP248" s="61"/>
      <x:c r="AQ248" s="64" t="str">
        <x:f t="shared" si="40"/>
      </x:c>
      <x:c r="AR248" s="64">
        <x:f t="shared" si="41"/>
        <x:v>0</x:v>
      </x:c>
      <x:c r="AS248" s="64" t="str">
        <x:f t="shared" si="42"/>
      </x:c>
      <x:c r="AT248" s="62" t="str">
        <x:f t="shared" si="43"/>
        <x:v>Belum Dapat Ditentukan</x:v>
      </x:c>
      <x:c r="AU248" s="59"/>
      <x:c r="AV248" s="59"/>
      <x:c r="AW248" s="59"/>
      <x:c r="AX248" s="59"/>
      <x:c r="AY248" s="59"/>
      <x:c r="AZ248" s="59"/>
      <x:c r="BA248" s="59"/>
      <x:c r="BB248" s="167"/>
      <x:c r="BC248" s="65"/>
      <x:c r="BD248" s="59"/>
      <x:c r="BE248" s="167"/>
      <x:c r="BF248" s="59"/>
    </x:row>
    <x:row r="249">
      <x:c r="A249" s="59"/>
      <x:c r="B249" s="59"/>
      <x:c r="C249" s="59"/>
      <x:c r="D249" s="59"/>
      <x:c r="E249" s="59"/>
      <x:c r="F249" s="59"/>
      <x:c r="G249" s="59"/>
      <x:c r="H249" s="59"/>
      <x:c r="I249" s="59"/>
      <x:c r="J249" s="59"/>
      <x:c r="K249" s="59"/>
      <x:c r="L249" s="59"/>
      <x:c r="M249" s="59"/>
      <x:c r="N249" s="59"/>
      <x:c r="O249" s="59"/>
      <x:c r="P249" s="59"/>
      <x:c r="Q249" s="75"/>
      <x:c r="R249" s="75"/>
      <x:c r="S249" s="75"/>
      <x:c r="T249" s="75"/>
      <x:c r="U249" s="75"/>
      <x:c r="V249" s="75"/>
      <x:c r="W249" s="60"/>
      <x:c r="X249" s="73" t="str">
        <x:f t="shared" si="33"/>
        <x:v>Tidak ada faktor rentan</x:v>
      </x:c>
      <x:c r="Y249" s="73" t="str">
        <x:f t="shared" si="34"/>
        <x:v>Tidak Ada Faktor Rentan</x:v>
      </x:c>
      <x:c r="Z249" s="74" t="str">
        <x:f t="shared" si="35"/>
      </x:c>
      <x:c r="AA249" s="74">
        <x:f t="shared" si="36"/>
        <x:v>0</x:v>
      </x:c>
      <x:c r="AB249" s="74" t="str">
        <x:f t="shared" si="37"/>
      </x:c>
      <x:c r="AC249" s="61"/>
      <x:c r="AD249" s="61"/>
      <x:c r="AE249" s="61"/>
      <x:c r="AF249" s="61"/>
      <x:c r="AG249" s="61"/>
      <x:c r="AH249" s="61"/>
      <x:c r="AI249" s="61"/>
      <x:c r="AJ249" s="61"/>
      <x:c r="AK249" s="61"/>
      <x:c r="AL249" s="61"/>
      <x:c r="AM249" s="61"/>
      <x:c r="AN249" s="73" t="str">
        <x:f t="shared" si="38"/>
        <x:v>Tidak ada risiko khusus</x:v>
      </x:c>
      <x:c r="AO249" s="73" t="str">
        <x:f t="shared" si="39"/>
        <x:v>Tidak Ada Risiko Khusus</x:v>
      </x:c>
      <x:c r="AP249" s="61"/>
      <x:c r="AQ249" s="64" t="str">
        <x:f t="shared" si="40"/>
      </x:c>
      <x:c r="AR249" s="64">
        <x:f t="shared" si="41"/>
        <x:v>0</x:v>
      </x:c>
      <x:c r="AS249" s="64" t="str">
        <x:f t="shared" si="42"/>
      </x:c>
      <x:c r="AT249" s="62" t="str">
        <x:f t="shared" si="43"/>
        <x:v>Belum Dapat Ditentukan</x:v>
      </x:c>
      <x:c r="AU249" s="59"/>
      <x:c r="AV249" s="59"/>
      <x:c r="AW249" s="59"/>
      <x:c r="AX249" s="59"/>
      <x:c r="AY249" s="59"/>
      <x:c r="AZ249" s="59"/>
      <x:c r="BA249" s="59"/>
      <x:c r="BB249" s="167"/>
      <x:c r="BC249" s="65"/>
      <x:c r="BD249" s="59"/>
      <x:c r="BE249" s="167"/>
      <x:c r="BF249" s="59"/>
    </x:row>
    <x:row r="250">
      <x:c r="A250" s="59"/>
      <x:c r="B250" s="59"/>
      <x:c r="C250" s="59"/>
      <x:c r="D250" s="59"/>
      <x:c r="E250" s="59"/>
      <x:c r="F250" s="59"/>
      <x:c r="G250" s="59"/>
      <x:c r="H250" s="59"/>
      <x:c r="I250" s="59"/>
      <x:c r="J250" s="59"/>
      <x:c r="K250" s="59"/>
      <x:c r="L250" s="59"/>
      <x:c r="M250" s="59"/>
      <x:c r="N250" s="59"/>
      <x:c r="O250" s="59"/>
      <x:c r="P250" s="59"/>
      <x:c r="Q250" s="75"/>
      <x:c r="R250" s="75"/>
      <x:c r="S250" s="75"/>
      <x:c r="T250" s="75"/>
      <x:c r="U250" s="75"/>
      <x:c r="V250" s="75"/>
      <x:c r="W250" s="60"/>
      <x:c r="X250" s="73" t="str">
        <x:f t="shared" si="33"/>
        <x:v>Tidak ada faktor rentan</x:v>
      </x:c>
      <x:c r="Y250" s="73" t="str">
        <x:f t="shared" si="34"/>
        <x:v>Tidak Ada Faktor Rentan</x:v>
      </x:c>
      <x:c r="Z250" s="74" t="str">
        <x:f t="shared" si="35"/>
      </x:c>
      <x:c r="AA250" s="74">
        <x:f t="shared" si="36"/>
        <x:v>0</x:v>
      </x:c>
      <x:c r="AB250" s="74" t="str">
        <x:f t="shared" si="37"/>
      </x:c>
      <x:c r="AC250" s="61"/>
      <x:c r="AD250" s="61"/>
      <x:c r="AE250" s="61"/>
      <x:c r="AF250" s="61"/>
      <x:c r="AG250" s="61"/>
      <x:c r="AH250" s="61"/>
      <x:c r="AI250" s="61"/>
      <x:c r="AJ250" s="61"/>
      <x:c r="AK250" s="61"/>
      <x:c r="AL250" s="61"/>
      <x:c r="AM250" s="61"/>
      <x:c r="AN250" s="73" t="str">
        <x:f t="shared" si="38"/>
        <x:v>Tidak ada risiko khusus</x:v>
      </x:c>
      <x:c r="AO250" s="73" t="str">
        <x:f t="shared" si="39"/>
        <x:v>Tidak Ada Risiko Khusus</x:v>
      </x:c>
      <x:c r="AP250" s="61"/>
      <x:c r="AQ250" s="64" t="str">
        <x:f t="shared" si="40"/>
      </x:c>
      <x:c r="AR250" s="64">
        <x:f t="shared" si="41"/>
        <x:v>0</x:v>
      </x:c>
      <x:c r="AS250" s="64" t="str">
        <x:f t="shared" si="42"/>
      </x:c>
      <x:c r="AT250" s="62" t="str">
        <x:f t="shared" si="43"/>
        <x:v>Belum Dapat Ditentukan</x:v>
      </x:c>
      <x:c r="AU250" s="59"/>
      <x:c r="AV250" s="59"/>
      <x:c r="AW250" s="59"/>
      <x:c r="AX250" s="59"/>
      <x:c r="AY250" s="59"/>
      <x:c r="AZ250" s="59"/>
      <x:c r="BA250" s="59"/>
      <x:c r="BB250" s="167"/>
      <x:c r="BC250" s="65"/>
      <x:c r="BD250" s="59"/>
      <x:c r="BE250" s="167"/>
      <x:c r="BF250" s="59"/>
    </x:row>
    <x:row r="251">
      <x:c r="A251" s="59"/>
      <x:c r="B251" s="59"/>
      <x:c r="C251" s="59"/>
      <x:c r="D251" s="59"/>
      <x:c r="E251" s="59"/>
      <x:c r="F251" s="59"/>
      <x:c r="G251" s="59"/>
      <x:c r="H251" s="59"/>
      <x:c r="I251" s="59"/>
      <x:c r="J251" s="59"/>
      <x:c r="K251" s="59"/>
      <x:c r="L251" s="59"/>
      <x:c r="M251" s="59"/>
      <x:c r="N251" s="59"/>
      <x:c r="O251" s="59"/>
      <x:c r="P251" s="59"/>
      <x:c r="Q251" s="75"/>
      <x:c r="R251" s="75"/>
      <x:c r="S251" s="75"/>
      <x:c r="T251" s="75"/>
      <x:c r="U251" s="75"/>
      <x:c r="V251" s="75"/>
      <x:c r="W251" s="60"/>
      <x:c r="X251" s="73" t="str">
        <x:f t="shared" si="33"/>
        <x:v>Tidak ada faktor rentan</x:v>
      </x:c>
      <x:c r="Y251" s="73" t="str">
        <x:f t="shared" si="34"/>
        <x:v>Tidak Ada Faktor Rentan</x:v>
      </x:c>
      <x:c r="Z251" s="74" t="str">
        <x:f t="shared" si="35"/>
      </x:c>
      <x:c r="AA251" s="74">
        <x:f t="shared" si="36"/>
        <x:v>0</x:v>
      </x:c>
      <x:c r="AB251" s="74" t="str">
        <x:f t="shared" si="37"/>
      </x:c>
      <x:c r="AC251" s="61"/>
      <x:c r="AD251" s="61"/>
      <x:c r="AE251" s="61"/>
      <x:c r="AF251" s="61"/>
      <x:c r="AG251" s="61"/>
      <x:c r="AH251" s="61"/>
      <x:c r="AI251" s="61"/>
      <x:c r="AJ251" s="61"/>
      <x:c r="AK251" s="61"/>
      <x:c r="AL251" s="61"/>
      <x:c r="AM251" s="61"/>
      <x:c r="AN251" s="73" t="str">
        <x:f t="shared" si="38"/>
        <x:v>Tidak ada risiko khusus</x:v>
      </x:c>
      <x:c r="AO251" s="73" t="str">
        <x:f t="shared" si="39"/>
        <x:v>Tidak Ada Risiko Khusus</x:v>
      </x:c>
      <x:c r="AP251" s="61"/>
      <x:c r="AQ251" s="64" t="str">
        <x:f t="shared" si="40"/>
      </x:c>
      <x:c r="AR251" s="64">
        <x:f t="shared" si="41"/>
        <x:v>0</x:v>
      </x:c>
      <x:c r="AS251" s="64" t="str">
        <x:f t="shared" si="42"/>
      </x:c>
      <x:c r="AT251" s="62" t="str">
        <x:f t="shared" si="43"/>
        <x:v>Belum Dapat Ditentukan</x:v>
      </x:c>
      <x:c r="AU251" s="59"/>
      <x:c r="AV251" s="59"/>
      <x:c r="AW251" s="59"/>
      <x:c r="AX251" s="59"/>
      <x:c r="AY251" s="59"/>
      <x:c r="AZ251" s="59"/>
      <x:c r="BA251" s="59"/>
      <x:c r="BB251" s="167"/>
      <x:c r="BC251" s="65"/>
      <x:c r="BD251" s="59"/>
      <x:c r="BE251" s="167"/>
      <x:c r="BF251" s="59"/>
    </x:row>
    <x:row r="252">
      <x:c r="A252" s="59"/>
      <x:c r="B252" s="59"/>
      <x:c r="C252" s="59"/>
      <x:c r="D252" s="59"/>
      <x:c r="E252" s="59"/>
      <x:c r="F252" s="59"/>
      <x:c r="G252" s="59"/>
      <x:c r="H252" s="59"/>
      <x:c r="I252" s="59"/>
      <x:c r="J252" s="59"/>
      <x:c r="K252" s="59"/>
      <x:c r="L252" s="59"/>
      <x:c r="M252" s="59"/>
      <x:c r="N252" s="59"/>
      <x:c r="O252" s="59"/>
      <x:c r="P252" s="59"/>
      <x:c r="Q252" s="75"/>
      <x:c r="R252" s="75"/>
      <x:c r="S252" s="75"/>
      <x:c r="T252" s="75"/>
      <x:c r="U252" s="75"/>
      <x:c r="V252" s="75"/>
      <x:c r="W252" s="60"/>
      <x:c r="X252" s="73" t="str">
        <x:f t="shared" si="33"/>
        <x:v>Tidak ada faktor rentan</x:v>
      </x:c>
      <x:c r="Y252" s="73" t="str">
        <x:f t="shared" si="34"/>
        <x:v>Tidak Ada Faktor Rentan</x:v>
      </x:c>
      <x:c r="Z252" s="74" t="str">
        <x:f t="shared" si="35"/>
      </x:c>
      <x:c r="AA252" s="74">
        <x:f t="shared" si="36"/>
        <x:v>0</x:v>
      </x:c>
      <x:c r="AB252" s="74" t="str">
        <x:f t="shared" si="37"/>
      </x:c>
      <x:c r="AC252" s="61"/>
      <x:c r="AD252" s="61"/>
      <x:c r="AE252" s="61"/>
      <x:c r="AF252" s="61"/>
      <x:c r="AG252" s="61"/>
      <x:c r="AH252" s="61"/>
      <x:c r="AI252" s="61"/>
      <x:c r="AJ252" s="61"/>
      <x:c r="AK252" s="61"/>
      <x:c r="AL252" s="61"/>
      <x:c r="AM252" s="61"/>
      <x:c r="AN252" s="73" t="str">
        <x:f t="shared" si="38"/>
        <x:v>Tidak ada risiko khusus</x:v>
      </x:c>
      <x:c r="AO252" s="73" t="str">
        <x:f t="shared" si="39"/>
        <x:v>Tidak Ada Risiko Khusus</x:v>
      </x:c>
      <x:c r="AP252" s="61"/>
      <x:c r="AQ252" s="64" t="str">
        <x:f t="shared" si="40"/>
      </x:c>
      <x:c r="AR252" s="64">
        <x:f t="shared" si="41"/>
        <x:v>0</x:v>
      </x:c>
      <x:c r="AS252" s="64" t="str">
        <x:f t="shared" si="42"/>
      </x:c>
      <x:c r="AT252" s="62" t="str">
        <x:f t="shared" si="43"/>
        <x:v>Belum Dapat Ditentukan</x:v>
      </x:c>
      <x:c r="AU252" s="59"/>
      <x:c r="AV252" s="59"/>
      <x:c r="AW252" s="59"/>
      <x:c r="AX252" s="59"/>
      <x:c r="AY252" s="59"/>
      <x:c r="AZ252" s="59"/>
      <x:c r="BA252" s="59"/>
      <x:c r="BB252" s="167"/>
      <x:c r="BC252" s="65"/>
      <x:c r="BD252" s="59"/>
      <x:c r="BE252" s="167"/>
      <x:c r="BF252" s="59"/>
    </x:row>
    <x:row r="253">
      <x:c r="A253" s="59"/>
      <x:c r="B253" s="59"/>
      <x:c r="C253" s="59"/>
      <x:c r="D253" s="59"/>
      <x:c r="E253" s="59"/>
      <x:c r="F253" s="59"/>
      <x:c r="G253" s="59"/>
      <x:c r="H253" s="59"/>
      <x:c r="I253" s="59"/>
      <x:c r="J253" s="59"/>
      <x:c r="K253" s="59"/>
      <x:c r="L253" s="59"/>
      <x:c r="M253" s="59"/>
      <x:c r="N253" s="59"/>
      <x:c r="O253" s="59"/>
      <x:c r="P253" s="59"/>
      <x:c r="Q253" s="75"/>
      <x:c r="R253" s="75"/>
      <x:c r="S253" s="75"/>
      <x:c r="T253" s="75"/>
      <x:c r="U253" s="75"/>
      <x:c r="V253" s="75"/>
      <x:c r="W253" s="60"/>
      <x:c r="X253" s="73" t="str">
        <x:f t="shared" si="33"/>
        <x:v>Tidak ada faktor rentan</x:v>
      </x:c>
      <x:c r="Y253" s="73" t="str">
        <x:f t="shared" si="34"/>
        <x:v>Tidak Ada Faktor Rentan</x:v>
      </x:c>
      <x:c r="Z253" s="74" t="str">
        <x:f t="shared" si="35"/>
      </x:c>
      <x:c r="AA253" s="74">
        <x:f t="shared" si="36"/>
        <x:v>0</x:v>
      </x:c>
      <x:c r="AB253" s="74" t="str">
        <x:f t="shared" si="37"/>
      </x:c>
      <x:c r="AC253" s="61"/>
      <x:c r="AD253" s="61"/>
      <x:c r="AE253" s="61"/>
      <x:c r="AF253" s="61"/>
      <x:c r="AG253" s="61"/>
      <x:c r="AH253" s="61"/>
      <x:c r="AI253" s="61"/>
      <x:c r="AJ253" s="61"/>
      <x:c r="AK253" s="61"/>
      <x:c r="AL253" s="61"/>
      <x:c r="AM253" s="61"/>
      <x:c r="AN253" s="73" t="str">
        <x:f t="shared" si="38"/>
        <x:v>Tidak ada risiko khusus</x:v>
      </x:c>
      <x:c r="AO253" s="73" t="str">
        <x:f t="shared" si="39"/>
        <x:v>Tidak Ada Risiko Khusus</x:v>
      </x:c>
      <x:c r="AP253" s="61"/>
      <x:c r="AQ253" s="64" t="str">
        <x:f t="shared" si="40"/>
      </x:c>
      <x:c r="AR253" s="64">
        <x:f t="shared" si="41"/>
        <x:v>0</x:v>
      </x:c>
      <x:c r="AS253" s="64" t="str">
        <x:f t="shared" si="42"/>
      </x:c>
      <x:c r="AT253" s="62" t="str">
        <x:f t="shared" si="43"/>
        <x:v>Belum Dapat Ditentukan</x:v>
      </x:c>
      <x:c r="AU253" s="59"/>
      <x:c r="AV253" s="59"/>
      <x:c r="AW253" s="59"/>
      <x:c r="AX253" s="59"/>
      <x:c r="AY253" s="59"/>
      <x:c r="AZ253" s="59"/>
      <x:c r="BA253" s="59"/>
      <x:c r="BB253" s="167"/>
      <x:c r="BC253" s="65"/>
      <x:c r="BD253" s="59"/>
      <x:c r="BE253" s="167"/>
      <x:c r="BF253" s="59"/>
    </x:row>
    <x:row r="254">
      <x:c r="A254" s="59"/>
      <x:c r="B254" s="59"/>
      <x:c r="C254" s="59"/>
      <x:c r="D254" s="59"/>
      <x:c r="E254" s="59"/>
      <x:c r="F254" s="59"/>
      <x:c r="G254" s="59"/>
      <x:c r="H254" s="59"/>
      <x:c r="I254" s="59"/>
      <x:c r="J254" s="59"/>
      <x:c r="K254" s="59"/>
      <x:c r="L254" s="59"/>
      <x:c r="M254" s="59"/>
      <x:c r="N254" s="59"/>
      <x:c r="O254" s="59"/>
      <x:c r="P254" s="59"/>
      <x:c r="Q254" s="75"/>
      <x:c r="R254" s="75"/>
      <x:c r="S254" s="75"/>
      <x:c r="T254" s="75"/>
      <x:c r="U254" s="75"/>
      <x:c r="V254" s="75"/>
      <x:c r="W254" s="60"/>
      <x:c r="X254" s="73" t="str">
        <x:f t="shared" si="33"/>
        <x:v>Tidak ada faktor rentan</x:v>
      </x:c>
      <x:c r="Y254" s="73" t="str">
        <x:f t="shared" si="34"/>
        <x:v>Tidak Ada Faktor Rentan</x:v>
      </x:c>
      <x:c r="Z254" s="74" t="str">
        <x:f t="shared" si="35"/>
      </x:c>
      <x:c r="AA254" s="74">
        <x:f t="shared" si="36"/>
        <x:v>0</x:v>
      </x:c>
      <x:c r="AB254" s="74" t="str">
        <x:f t="shared" si="37"/>
      </x:c>
      <x:c r="AC254" s="61"/>
      <x:c r="AD254" s="61"/>
      <x:c r="AE254" s="61"/>
      <x:c r="AF254" s="61"/>
      <x:c r="AG254" s="61"/>
      <x:c r="AH254" s="61"/>
      <x:c r="AI254" s="61"/>
      <x:c r="AJ254" s="61"/>
      <x:c r="AK254" s="61"/>
      <x:c r="AL254" s="61"/>
      <x:c r="AM254" s="61"/>
      <x:c r="AN254" s="73" t="str">
        <x:f t="shared" si="38"/>
        <x:v>Tidak ada risiko khusus</x:v>
      </x:c>
      <x:c r="AO254" s="73" t="str">
        <x:f t="shared" si="39"/>
        <x:v>Tidak Ada Risiko Khusus</x:v>
      </x:c>
      <x:c r="AP254" s="61"/>
      <x:c r="AQ254" s="64" t="str">
        <x:f t="shared" si="40"/>
      </x:c>
      <x:c r="AR254" s="64">
        <x:f t="shared" si="41"/>
        <x:v>0</x:v>
      </x:c>
      <x:c r="AS254" s="64" t="str">
        <x:f t="shared" si="42"/>
      </x:c>
      <x:c r="AT254" s="62" t="str">
        <x:f t="shared" si="43"/>
        <x:v>Belum Dapat Ditentukan</x:v>
      </x:c>
      <x:c r="AU254" s="59"/>
      <x:c r="AV254" s="59"/>
      <x:c r="AW254" s="59"/>
      <x:c r="AX254" s="59"/>
      <x:c r="AY254" s="59"/>
      <x:c r="AZ254" s="59"/>
      <x:c r="BA254" s="59"/>
      <x:c r="BB254" s="167"/>
      <x:c r="BC254" s="65"/>
      <x:c r="BD254" s="59"/>
      <x:c r="BE254" s="167"/>
      <x:c r="BF254" s="59"/>
    </x:row>
    <x:row r="255">
      <x:c r="A255" s="59"/>
      <x:c r="B255" s="59"/>
      <x:c r="C255" s="59"/>
      <x:c r="D255" s="59"/>
      <x:c r="E255" s="59"/>
      <x:c r="F255" s="59"/>
      <x:c r="G255" s="59"/>
      <x:c r="H255" s="59"/>
      <x:c r="I255" s="59"/>
      <x:c r="J255" s="59"/>
      <x:c r="K255" s="59"/>
      <x:c r="L255" s="59"/>
      <x:c r="M255" s="59"/>
      <x:c r="N255" s="59"/>
      <x:c r="O255" s="59"/>
      <x:c r="P255" s="59"/>
      <x:c r="Q255" s="75"/>
      <x:c r="R255" s="75"/>
      <x:c r="S255" s="75"/>
      <x:c r="T255" s="75"/>
      <x:c r="U255" s="75"/>
      <x:c r="V255" s="75"/>
      <x:c r="W255" s="60"/>
      <x:c r="X255" s="73" t="str">
        <x:f t="shared" si="33"/>
        <x:v>Tidak ada faktor rentan</x:v>
      </x:c>
      <x:c r="Y255" s="73" t="str">
        <x:f t="shared" si="34"/>
        <x:v>Tidak Ada Faktor Rentan</x:v>
      </x:c>
      <x:c r="Z255" s="74" t="str">
        <x:f t="shared" si="35"/>
      </x:c>
      <x:c r="AA255" s="74">
        <x:f t="shared" si="36"/>
        <x:v>0</x:v>
      </x:c>
      <x:c r="AB255" s="74" t="str">
        <x:f t="shared" si="37"/>
      </x:c>
      <x:c r="AC255" s="61"/>
      <x:c r="AD255" s="61"/>
      <x:c r="AE255" s="61"/>
      <x:c r="AF255" s="61"/>
      <x:c r="AG255" s="61"/>
      <x:c r="AH255" s="61"/>
      <x:c r="AI255" s="61"/>
      <x:c r="AJ255" s="61"/>
      <x:c r="AK255" s="61"/>
      <x:c r="AL255" s="61"/>
      <x:c r="AM255" s="61"/>
      <x:c r="AN255" s="73" t="str">
        <x:f t="shared" si="38"/>
        <x:v>Tidak ada risiko khusus</x:v>
      </x:c>
      <x:c r="AO255" s="73" t="str">
        <x:f t="shared" si="39"/>
        <x:v>Tidak Ada Risiko Khusus</x:v>
      </x:c>
      <x:c r="AP255" s="61"/>
      <x:c r="AQ255" s="64" t="str">
        <x:f t="shared" si="40"/>
      </x:c>
      <x:c r="AR255" s="64">
        <x:f t="shared" si="41"/>
        <x:v>0</x:v>
      </x:c>
      <x:c r="AS255" s="64" t="str">
        <x:f t="shared" si="42"/>
      </x:c>
      <x:c r="AT255" s="62" t="str">
        <x:f t="shared" si="43"/>
        <x:v>Belum Dapat Ditentukan</x:v>
      </x:c>
      <x:c r="AU255" s="59"/>
      <x:c r="AV255" s="59"/>
      <x:c r="AW255" s="59"/>
      <x:c r="AX255" s="59"/>
      <x:c r="AY255" s="59"/>
      <x:c r="AZ255" s="59"/>
      <x:c r="BA255" s="59"/>
      <x:c r="BB255" s="167"/>
      <x:c r="BC255" s="65"/>
      <x:c r="BD255" s="59"/>
      <x:c r="BE255" s="167"/>
      <x:c r="BF255" s="59"/>
    </x:row>
    <x:row r="256">
      <x:c r="A256" s="59"/>
      <x:c r="B256" s="59"/>
      <x:c r="C256" s="59"/>
      <x:c r="D256" s="59"/>
      <x:c r="E256" s="59"/>
      <x:c r="F256" s="59"/>
      <x:c r="G256" s="59"/>
      <x:c r="H256" s="59"/>
      <x:c r="I256" s="59"/>
      <x:c r="J256" s="59"/>
      <x:c r="K256" s="59"/>
      <x:c r="L256" s="59"/>
      <x:c r="M256" s="59"/>
      <x:c r="N256" s="59"/>
      <x:c r="O256" s="59"/>
      <x:c r="P256" s="59"/>
      <x:c r="Q256" s="75"/>
      <x:c r="R256" s="75"/>
      <x:c r="S256" s="75"/>
      <x:c r="T256" s="75"/>
      <x:c r="U256" s="75"/>
      <x:c r="V256" s="75"/>
      <x:c r="W256" s="60"/>
      <x:c r="X256" s="73" t="str">
        <x:f t="shared" si="33"/>
        <x:v>Tidak ada faktor rentan</x:v>
      </x:c>
      <x:c r="Y256" s="73" t="str">
        <x:f t="shared" si="34"/>
        <x:v>Tidak Ada Faktor Rentan</x:v>
      </x:c>
      <x:c r="Z256" s="74" t="str">
        <x:f t="shared" si="35"/>
      </x:c>
      <x:c r="AA256" s="74">
        <x:f t="shared" si="36"/>
        <x:v>0</x:v>
      </x:c>
      <x:c r="AB256" s="74" t="str">
        <x:f t="shared" si="37"/>
      </x:c>
      <x:c r="AC256" s="61"/>
      <x:c r="AD256" s="61"/>
      <x:c r="AE256" s="61"/>
      <x:c r="AF256" s="61"/>
      <x:c r="AG256" s="61"/>
      <x:c r="AH256" s="61"/>
      <x:c r="AI256" s="61"/>
      <x:c r="AJ256" s="61"/>
      <x:c r="AK256" s="61"/>
      <x:c r="AL256" s="61"/>
      <x:c r="AM256" s="61"/>
      <x:c r="AN256" s="73" t="str">
        <x:f t="shared" si="38"/>
        <x:v>Tidak ada risiko khusus</x:v>
      </x:c>
      <x:c r="AO256" s="73" t="str">
        <x:f t="shared" si="39"/>
        <x:v>Tidak Ada Risiko Khusus</x:v>
      </x:c>
      <x:c r="AP256" s="61"/>
      <x:c r="AQ256" s="64" t="str">
        <x:f t="shared" si="40"/>
      </x:c>
      <x:c r="AR256" s="64">
        <x:f t="shared" si="41"/>
        <x:v>0</x:v>
      </x:c>
      <x:c r="AS256" s="64" t="str">
        <x:f t="shared" si="42"/>
      </x:c>
      <x:c r="AT256" s="62" t="str">
        <x:f t="shared" si="43"/>
        <x:v>Belum Dapat Ditentukan</x:v>
      </x:c>
      <x:c r="AU256" s="59"/>
      <x:c r="AV256" s="59"/>
      <x:c r="AW256" s="59"/>
      <x:c r="AX256" s="59"/>
      <x:c r="AY256" s="59"/>
      <x:c r="AZ256" s="59"/>
      <x:c r="BA256" s="59"/>
      <x:c r="BB256" s="167"/>
      <x:c r="BC256" s="65"/>
      <x:c r="BD256" s="59"/>
      <x:c r="BE256" s="167"/>
      <x:c r="BF256" s="59"/>
    </x:row>
    <x:row r="257">
      <x:c r="A257" s="59"/>
      <x:c r="B257" s="59"/>
      <x:c r="C257" s="59"/>
      <x:c r="D257" s="59"/>
      <x:c r="E257" s="59"/>
      <x:c r="F257" s="59"/>
      <x:c r="G257" s="59"/>
      <x:c r="H257" s="59"/>
      <x:c r="I257" s="59"/>
      <x:c r="J257" s="59"/>
      <x:c r="K257" s="59"/>
      <x:c r="L257" s="59"/>
      <x:c r="M257" s="59"/>
      <x:c r="N257" s="59"/>
      <x:c r="O257" s="59"/>
      <x:c r="P257" s="59"/>
      <x:c r="Q257" s="75"/>
      <x:c r="R257" s="75"/>
      <x:c r="S257" s="75"/>
      <x:c r="T257" s="75"/>
      <x:c r="U257" s="75"/>
      <x:c r="V257" s="75"/>
      <x:c r="W257" s="60"/>
      <x:c r="X257" s="73" t="str">
        <x:f t="shared" si="33"/>
        <x:v>Tidak ada faktor rentan</x:v>
      </x:c>
      <x:c r="Y257" s="73" t="str">
        <x:f t="shared" si="34"/>
        <x:v>Tidak Ada Faktor Rentan</x:v>
      </x:c>
      <x:c r="Z257" s="74" t="str">
        <x:f t="shared" si="35"/>
      </x:c>
      <x:c r="AA257" s="74">
        <x:f t="shared" si="36"/>
        <x:v>0</x:v>
      </x:c>
      <x:c r="AB257" s="74" t="str">
        <x:f t="shared" si="37"/>
      </x:c>
      <x:c r="AC257" s="61"/>
      <x:c r="AD257" s="61"/>
      <x:c r="AE257" s="61"/>
      <x:c r="AF257" s="61"/>
      <x:c r="AG257" s="61"/>
      <x:c r="AH257" s="61"/>
      <x:c r="AI257" s="61"/>
      <x:c r="AJ257" s="61"/>
      <x:c r="AK257" s="61"/>
      <x:c r="AL257" s="61"/>
      <x:c r="AM257" s="61"/>
      <x:c r="AN257" s="73" t="str">
        <x:f t="shared" si="38"/>
        <x:v>Tidak ada risiko khusus</x:v>
      </x:c>
      <x:c r="AO257" s="73" t="str">
        <x:f t="shared" si="39"/>
        <x:v>Tidak Ada Risiko Khusus</x:v>
      </x:c>
      <x:c r="AP257" s="61"/>
      <x:c r="AQ257" s="64" t="str">
        <x:f t="shared" si="40"/>
      </x:c>
      <x:c r="AR257" s="64">
        <x:f t="shared" si="41"/>
        <x:v>0</x:v>
      </x:c>
      <x:c r="AS257" s="64" t="str">
        <x:f t="shared" si="42"/>
      </x:c>
      <x:c r="AT257" s="62" t="str">
        <x:f t="shared" si="43"/>
        <x:v>Belum Dapat Ditentukan</x:v>
      </x:c>
      <x:c r="AU257" s="59"/>
      <x:c r="AV257" s="59"/>
      <x:c r="AW257" s="59"/>
      <x:c r="AX257" s="59"/>
      <x:c r="AY257" s="59"/>
      <x:c r="AZ257" s="59"/>
      <x:c r="BA257" s="59"/>
      <x:c r="BB257" s="167"/>
      <x:c r="BC257" s="65"/>
      <x:c r="BD257" s="59"/>
      <x:c r="BE257" s="167"/>
      <x:c r="BF257" s="59"/>
    </x:row>
    <x:row r="258">
      <x:c r="A258" s="59"/>
      <x:c r="B258" s="59"/>
      <x:c r="C258" s="59"/>
      <x:c r="D258" s="59"/>
      <x:c r="E258" s="59"/>
      <x:c r="F258" s="59"/>
      <x:c r="G258" s="59"/>
      <x:c r="H258" s="59"/>
      <x:c r="I258" s="59"/>
      <x:c r="J258" s="59"/>
      <x:c r="K258" s="59"/>
      <x:c r="L258" s="59"/>
      <x:c r="M258" s="59"/>
      <x:c r="N258" s="59"/>
      <x:c r="O258" s="59"/>
      <x:c r="P258" s="59"/>
      <x:c r="Q258" s="75"/>
      <x:c r="R258" s="75"/>
      <x:c r="S258" s="75"/>
      <x:c r="T258" s="75"/>
      <x:c r="U258" s="75"/>
      <x:c r="V258" s="75"/>
      <x:c r="W258" s="60"/>
      <x:c r="X258" s="73" t="str">
        <x:f t="shared" si="33"/>
        <x:v>Tidak ada faktor rentan</x:v>
      </x:c>
      <x:c r="Y258" s="73" t="str">
        <x:f t="shared" si="34"/>
        <x:v>Tidak Ada Faktor Rentan</x:v>
      </x:c>
      <x:c r="Z258" s="74" t="str">
        <x:f t="shared" si="35"/>
      </x:c>
      <x:c r="AA258" s="74">
        <x:f t="shared" si="36"/>
        <x:v>0</x:v>
      </x:c>
      <x:c r="AB258" s="74" t="str">
        <x:f t="shared" si="37"/>
      </x:c>
      <x:c r="AC258" s="61"/>
      <x:c r="AD258" s="61"/>
      <x:c r="AE258" s="61"/>
      <x:c r="AF258" s="61"/>
      <x:c r="AG258" s="61"/>
      <x:c r="AH258" s="61"/>
      <x:c r="AI258" s="61"/>
      <x:c r="AJ258" s="61"/>
      <x:c r="AK258" s="61"/>
      <x:c r="AL258" s="61"/>
      <x:c r="AM258" s="61"/>
      <x:c r="AN258" s="73" t="str">
        <x:f t="shared" si="38"/>
        <x:v>Tidak ada risiko khusus</x:v>
      </x:c>
      <x:c r="AO258" s="73" t="str">
        <x:f t="shared" si="39"/>
        <x:v>Tidak Ada Risiko Khusus</x:v>
      </x:c>
      <x:c r="AP258" s="61"/>
      <x:c r="AQ258" s="64" t="str">
        <x:f t="shared" si="40"/>
      </x:c>
      <x:c r="AR258" s="64">
        <x:f t="shared" si="41"/>
        <x:v>0</x:v>
      </x:c>
      <x:c r="AS258" s="64" t="str">
        <x:f t="shared" si="42"/>
      </x:c>
      <x:c r="AT258" s="62" t="str">
        <x:f t="shared" si="43"/>
        <x:v>Belum Dapat Ditentukan</x:v>
      </x:c>
      <x:c r="AU258" s="59"/>
      <x:c r="AV258" s="59"/>
      <x:c r="AW258" s="59"/>
      <x:c r="AX258" s="59"/>
      <x:c r="AY258" s="59"/>
      <x:c r="AZ258" s="59"/>
      <x:c r="BA258" s="59"/>
      <x:c r="BB258" s="167"/>
      <x:c r="BC258" s="65"/>
      <x:c r="BD258" s="59"/>
      <x:c r="BE258" s="167"/>
      <x:c r="BF258" s="59"/>
    </x:row>
    <x:row r="259">
      <x:c r="A259" s="59"/>
      <x:c r="B259" s="59"/>
      <x:c r="C259" s="59"/>
      <x:c r="D259" s="59"/>
      <x:c r="E259" s="59"/>
      <x:c r="F259" s="59"/>
      <x:c r="G259" s="59"/>
      <x:c r="H259" s="59"/>
      <x:c r="I259" s="59"/>
      <x:c r="J259" s="59"/>
      <x:c r="K259" s="59"/>
      <x:c r="L259" s="59"/>
      <x:c r="M259" s="59"/>
      <x:c r="N259" s="59"/>
      <x:c r="O259" s="59"/>
      <x:c r="P259" s="59"/>
      <x:c r="Q259" s="75"/>
      <x:c r="R259" s="75"/>
      <x:c r="S259" s="75"/>
      <x:c r="T259" s="75"/>
      <x:c r="U259" s="75"/>
      <x:c r="V259" s="75"/>
      <x:c r="W259" s="60"/>
      <x:c r="X259" s="73" t="str">
        <x:f t="shared" si="33"/>
        <x:v>Tidak ada faktor rentan</x:v>
      </x:c>
      <x:c r="Y259" s="73" t="str">
        <x:f t="shared" si="34"/>
        <x:v>Tidak Ada Faktor Rentan</x:v>
      </x:c>
      <x:c r="Z259" s="74" t="str">
        <x:f t="shared" si="35"/>
      </x:c>
      <x:c r="AA259" s="74">
        <x:f t="shared" si="36"/>
        <x:v>0</x:v>
      </x:c>
      <x:c r="AB259" s="74" t="str">
        <x:f t="shared" si="37"/>
      </x:c>
      <x:c r="AC259" s="61"/>
      <x:c r="AD259" s="61"/>
      <x:c r="AE259" s="61"/>
      <x:c r="AF259" s="61"/>
      <x:c r="AG259" s="61"/>
      <x:c r="AH259" s="61"/>
      <x:c r="AI259" s="61"/>
      <x:c r="AJ259" s="61"/>
      <x:c r="AK259" s="61"/>
      <x:c r="AL259" s="61"/>
      <x:c r="AM259" s="61"/>
      <x:c r="AN259" s="73" t="str">
        <x:f t="shared" si="38"/>
        <x:v>Tidak ada risiko khusus</x:v>
      </x:c>
      <x:c r="AO259" s="73" t="str">
        <x:f t="shared" si="39"/>
        <x:v>Tidak Ada Risiko Khusus</x:v>
      </x:c>
      <x:c r="AP259" s="61"/>
      <x:c r="AQ259" s="64" t="str">
        <x:f t="shared" si="40"/>
      </x:c>
      <x:c r="AR259" s="64">
        <x:f t="shared" si="41"/>
        <x:v>0</x:v>
      </x:c>
      <x:c r="AS259" s="64" t="str">
        <x:f t="shared" si="42"/>
      </x:c>
      <x:c r="AT259" s="62" t="str">
        <x:f t="shared" si="43"/>
        <x:v>Belum Dapat Ditentukan</x:v>
      </x:c>
      <x:c r="AU259" s="59"/>
      <x:c r="AV259" s="59"/>
      <x:c r="AW259" s="59"/>
      <x:c r="AX259" s="59"/>
      <x:c r="AY259" s="59"/>
      <x:c r="AZ259" s="59"/>
      <x:c r="BA259" s="59"/>
      <x:c r="BB259" s="167"/>
      <x:c r="BC259" s="65"/>
      <x:c r="BD259" s="59"/>
      <x:c r="BE259" s="167"/>
      <x:c r="BF259" s="59"/>
    </x:row>
    <x:row r="260">
      <x:c r="A260" s="59"/>
      <x:c r="B260" s="59"/>
      <x:c r="C260" s="59"/>
      <x:c r="D260" s="59"/>
      <x:c r="E260" s="59"/>
      <x:c r="F260" s="59"/>
      <x:c r="G260" s="59"/>
      <x:c r="H260" s="59"/>
      <x:c r="I260" s="59"/>
      <x:c r="J260" s="59"/>
      <x:c r="K260" s="59"/>
      <x:c r="L260" s="59"/>
      <x:c r="M260" s="59"/>
      <x:c r="N260" s="59"/>
      <x:c r="O260" s="59"/>
      <x:c r="P260" s="59"/>
      <x:c r="Q260" s="75"/>
      <x:c r="R260" s="75"/>
      <x:c r="S260" s="75"/>
      <x:c r="T260" s="75"/>
      <x:c r="U260" s="75"/>
      <x:c r="V260" s="75"/>
      <x:c r="W260" s="60"/>
      <x:c r="X260" s="73" t="str">
        <x:f t="shared" si="33"/>
        <x:v>Tidak ada faktor rentan</x:v>
      </x:c>
      <x:c r="Y260" s="73" t="str">
        <x:f t="shared" si="34"/>
        <x:v>Tidak Ada Faktor Rentan</x:v>
      </x:c>
      <x:c r="Z260" s="74" t="str">
        <x:f t="shared" si="35"/>
      </x:c>
      <x:c r="AA260" s="74">
        <x:f t="shared" si="36"/>
        <x:v>0</x:v>
      </x:c>
      <x:c r="AB260" s="74" t="str">
        <x:f t="shared" si="37"/>
      </x:c>
      <x:c r="AC260" s="61"/>
      <x:c r="AD260" s="61"/>
      <x:c r="AE260" s="61"/>
      <x:c r="AF260" s="61"/>
      <x:c r="AG260" s="61"/>
      <x:c r="AH260" s="61"/>
      <x:c r="AI260" s="61"/>
      <x:c r="AJ260" s="61"/>
      <x:c r="AK260" s="61"/>
      <x:c r="AL260" s="61"/>
      <x:c r="AM260" s="61"/>
      <x:c r="AN260" s="73" t="str">
        <x:f t="shared" si="38"/>
        <x:v>Tidak ada risiko khusus</x:v>
      </x:c>
      <x:c r="AO260" s="73" t="str">
        <x:f t="shared" si="39"/>
        <x:v>Tidak Ada Risiko Khusus</x:v>
      </x:c>
      <x:c r="AP260" s="61"/>
      <x:c r="AQ260" s="64" t="str">
        <x:f t="shared" si="40"/>
      </x:c>
      <x:c r="AR260" s="64">
        <x:f t="shared" si="41"/>
        <x:v>0</x:v>
      </x:c>
      <x:c r="AS260" s="64" t="str">
        <x:f t="shared" si="42"/>
      </x:c>
      <x:c r="AT260" s="62" t="str">
        <x:f t="shared" si="43"/>
        <x:v>Belum Dapat Ditentukan</x:v>
      </x:c>
      <x:c r="AU260" s="59"/>
      <x:c r="AV260" s="59"/>
      <x:c r="AW260" s="59"/>
      <x:c r="AX260" s="59"/>
      <x:c r="AY260" s="59"/>
      <x:c r="AZ260" s="59"/>
      <x:c r="BA260" s="59"/>
      <x:c r="BB260" s="167"/>
      <x:c r="BC260" s="65"/>
      <x:c r="BD260" s="59"/>
      <x:c r="BE260" s="167"/>
      <x:c r="BF260" s="59"/>
    </x:row>
    <x:row r="261">
      <x:c r="A261" s="59"/>
      <x:c r="B261" s="59"/>
      <x:c r="C261" s="59"/>
      <x:c r="D261" s="59"/>
      <x:c r="E261" s="59"/>
      <x:c r="F261" s="59"/>
      <x:c r="G261" s="59"/>
      <x:c r="H261" s="59"/>
      <x:c r="I261" s="59"/>
      <x:c r="J261" s="59"/>
      <x:c r="K261" s="59"/>
      <x:c r="L261" s="59"/>
      <x:c r="M261" s="59"/>
      <x:c r="N261" s="59"/>
      <x:c r="O261" s="59"/>
      <x:c r="P261" s="59"/>
      <x:c r="Q261" s="75"/>
      <x:c r="R261" s="75"/>
      <x:c r="S261" s="75"/>
      <x:c r="T261" s="75"/>
      <x:c r="U261" s="75"/>
      <x:c r="V261" s="75"/>
      <x:c r="W261" s="60"/>
      <x:c r="X261" s="73" t="str">
        <x:f t="shared" si="33"/>
        <x:v>Tidak ada faktor rentan</x:v>
      </x:c>
      <x:c r="Y261" s="73" t="str">
        <x:f t="shared" si="34"/>
        <x:v>Tidak Ada Faktor Rentan</x:v>
      </x:c>
      <x:c r="Z261" s="74" t="str">
        <x:f t="shared" si="35"/>
      </x:c>
      <x:c r="AA261" s="74">
        <x:f t="shared" si="36"/>
        <x:v>0</x:v>
      </x:c>
      <x:c r="AB261" s="74" t="str">
        <x:f t="shared" si="37"/>
      </x:c>
      <x:c r="AC261" s="61"/>
      <x:c r="AD261" s="61"/>
      <x:c r="AE261" s="61"/>
      <x:c r="AF261" s="61"/>
      <x:c r="AG261" s="61"/>
      <x:c r="AH261" s="61"/>
      <x:c r="AI261" s="61"/>
      <x:c r="AJ261" s="61"/>
      <x:c r="AK261" s="61"/>
      <x:c r="AL261" s="61"/>
      <x:c r="AM261" s="61"/>
      <x:c r="AN261" s="73" t="str">
        <x:f t="shared" si="38"/>
        <x:v>Tidak ada risiko khusus</x:v>
      </x:c>
      <x:c r="AO261" s="73" t="str">
        <x:f t="shared" si="39"/>
        <x:v>Tidak Ada Risiko Khusus</x:v>
      </x:c>
      <x:c r="AP261" s="61"/>
      <x:c r="AQ261" s="64" t="str">
        <x:f t="shared" si="40"/>
      </x:c>
      <x:c r="AR261" s="64">
        <x:f t="shared" si="41"/>
        <x:v>0</x:v>
      </x:c>
      <x:c r="AS261" s="64" t="str">
        <x:f t="shared" si="42"/>
      </x:c>
      <x:c r="AT261" s="62" t="str">
        <x:f t="shared" si="43"/>
        <x:v>Belum Dapat Ditentukan</x:v>
      </x:c>
      <x:c r="AU261" s="59"/>
      <x:c r="AV261" s="59"/>
      <x:c r="AW261" s="59"/>
      <x:c r="AX261" s="59"/>
      <x:c r="AY261" s="59"/>
      <x:c r="AZ261" s="59"/>
      <x:c r="BA261" s="59"/>
      <x:c r="BB261" s="167"/>
      <x:c r="BC261" s="65"/>
      <x:c r="BD261" s="59"/>
      <x:c r="BE261" s="167"/>
      <x:c r="BF261" s="59"/>
    </x:row>
    <x:row r="262">
      <x:c r="A262" s="59"/>
      <x:c r="B262" s="59"/>
      <x:c r="C262" s="59"/>
      <x:c r="D262" s="59"/>
      <x:c r="E262" s="59"/>
      <x:c r="F262" s="59"/>
      <x:c r="G262" s="59"/>
      <x:c r="H262" s="59"/>
      <x:c r="I262" s="59"/>
      <x:c r="J262" s="59"/>
      <x:c r="K262" s="59"/>
      <x:c r="L262" s="59"/>
      <x:c r="M262" s="59"/>
      <x:c r="N262" s="59"/>
      <x:c r="O262" s="59"/>
      <x:c r="P262" s="59"/>
      <x:c r="Q262" s="75"/>
      <x:c r="R262" s="75"/>
      <x:c r="S262" s="75"/>
      <x:c r="T262" s="75"/>
      <x:c r="U262" s="75"/>
      <x:c r="V262" s="75"/>
      <x:c r="W262" s="60"/>
      <x:c r="X262" s="73" t="str">
        <x:f t="shared" ref="X262:X289" si="44">IF(COUNTIF(R262:V262,"Belum Dinilai")&gt;0,"Belum Dinilai",IF(COUNTIF(R262:V262,"Ya")=0,"Tidak ada faktor rentan",IF(R262="Ya","Lansia; ","")&amp;IF(S262="Ya","Penyandang disabilitas; ","")&amp;IF(T262="Ya","Kepala keluarga perempuan; ","")&amp;IF(U262="Ya","Balita; ","")&amp;IF(V262="Ya","Anggota keluarga dengan ketergantungan tinggi; ","")))</x:f>
        <x:v>Tidak ada faktor rentan</x:v>
      </x:c>
      <x:c r="Y262" s="73" t="str">
        <x:f t="shared" ref="Y262:Y289" si="45">IF(COUNTIF(R262:V262,"Belum Dinilai")&gt;0,"Belum Dinilai",IF(COUNTIF(R262:V262,"Ya")=0,"Tidak Ada Faktor Rentan",IF(COUNTIF(R262:V262,"Ya")=1,"1 Faktor Rentan","2 atau Lebih Faktor Rentan")))</x:f>
        <x:v>Tidak Ada Faktor Rentan</x:v>
      </x:c>
      <x:c r="Z262" s="74" t="str">
        <x:f t="shared" ref="Z262:Z289" si="46">IF(OR(Q262="",Q262="Belum Dinilai"),"",IF(Q262="Terverifikasi DTKS/P3KE/MBR",10,IF(Q262="Diusulkan, Belum Terverifikasi",5,0)))</x:f>
      </x:c>
      <x:c r="AA262" s="74" t="n">
        <x:f t="shared" ref="AA262:AA289" si="47">IF(COUNTIF(R262:V262,"Belum Dinilai")&gt;0,"",IF(COUNTIF(R262:V262,"Ya")=0,0,IF(COUNTIF(R262:V262,"Ya")=1,5,10)))</x:f>
        <x:v>0</x:v>
      </x:c>
      <x:c r="AB262" s="74" t="str">
        <x:f t="shared" ref="AB262:AB289" si="48">IF(OR(Z262="",AA262=""),"",Z262+AA262)</x:f>
      </x:c>
      <x:c r="AC262" s="61"/>
      <x:c r="AD262" s="61"/>
      <x:c r="AE262" s="61"/>
      <x:c r="AF262" s="61"/>
      <x:c r="AG262" s="61"/>
      <x:c r="AH262" s="61"/>
      <x:c r="AI262" s="61"/>
      <x:c r="AJ262" s="61"/>
      <x:c r="AK262" s="61"/>
      <x:c r="AL262" s="61"/>
      <x:c r="AM262" s="61"/>
      <x:c r="AN262" s="73" t="str">
        <x:f t="shared" ref="AN262:AN289" si="49">IF(AND(COUNTIF(AC262:AK262,"Ya")=0,AL262=""),IF(COUNTIF(AC262:AK262,"Belum Dinilai")&gt;0,"Belum Dinilai","Tidak ada risiko khusus"),IF(AC262="Ya","Bangunan berpotensi roboh; ","")&amp;IF(AD262="Ya","Bekas kebakaran dan tidak aman dihuni; ","")&amp;IF(AE262="Ya","Atap atau dinding utama hampir runtuh; ","")&amp;IF(AF262="Ya","Genangan yang membahayakan; ","")&amp;IF(AG262="Ya","Struktur rumah tidak stabil; ","")&amp;IF(AH262="Ya","Instalasi listrik berbahaya; ","")&amp;IF(AI262="Ya","Komponen bangunan lepas atau lapuk; ","")&amp;IF(AJ262="Ya","Akses keluar atau evakuasi terbatas; ","")&amp;IF(AK262="Ya","Lokasi rawan bencana; ","")&amp;IF(AL262&lt;&gt;"","Lainnya: "&amp;AL262,""))</x:f>
        <x:v>Tidak ada risiko khusus</x:v>
      </x:c>
      <x:c r="AO262" s="73" t="str">
        <x:f t="shared" ref="AO262:AO289" si="50">IF(AR262="","Belum Dinilai",IF(AR262=10,"Risiko Tinggi/Darurat",IF(AR262=5,"Risiko Sedang","Tidak Ada Risiko Khusus")))</x:f>
        <x:v>Belum Dinilai</x:v>
      </x:c>
      <x:c r="AP262" s="61"/>
      <x:c r="AQ262" s="64" t="str">
        <x:f t="shared" ref="AQ262:AQ289" si="51">IF(OR(J262="",J262="Belum Dapat Ditentukan",L262="",L262="Belum Dinilai",N262="",N262="Belum Dinilai",P262="",P262="Belum Dinilai"),"",IF(J262="Permanen",0,IF(J262="Semipermanen",8,IF(J262="Nonpermanen",15,0)))+IF(L262="Baik",0,IF(L262="Rusak Ringan",5,IF(L262="Rusak Sedang",10,IF(L262="Rusak Berat",15,IF(L262="Tidak Ada/Terbuka",20,0)))))+IF(N262="Baik",0,IF(N262="Rusak Ringan",5,IF(N262="Rusak Sedang",10,IF(N262="Rusak Berat",15,IF(N262="Tidak Ada/Terbuka",20,0)))))+IF(P262="Baik",0,IF(P262="Rusak Ringan",4,IF(P262="Rusak Sedang",8,IF(P262="Rusak Berat",12,IF(P262="Tidak Layak",15,0))))))</x:f>
      </x:c>
      <x:c r="AR262" s="64" t="n">
        <x:f t="shared" ref="AR262:AR289" si="52">IF(
 OR(
  COUNTIF(AC262:AH262,"Ya")&gt;0,
  AND(AL262&lt;&gt;"",AM262="Risiko Tinggi/Darurat"),
  COUNTIF(AI262:AK262,"Ya")+IF(AND(AL262&lt;&gt;"",AM262="Risiko Sedang"),1,0)&gt;=2
 ),
 10,
 IF(
  OR(
   COUNTIF(AC262:AK262,"Belum Dinilai")&gt;0,
   AND(AL262&lt;&gt;"",OR(AM262="",AM262="Belum Dinilai")),
   AND(AL262="",OR(AM262="Risiko Sedang",AM262="Risiko Tinggi/Darurat"))
  ),
  "",
  IF(
   COUNTIF(AI262:AK262,"Ya")+IF(AND(AL262&lt;&gt;"",AM262="Risiko Sedang"),1,0)=1,
   5,
   0
  )
 )
)</x:f>
        <x:v>0</x:v>
      </x:c>
      <x:c r="AS262" s="64" t="str">
        <x:f t="shared" ref="AS262:AS289" si="53">IF(OR(AQ262="",AB262="",AR262=""),"",AQ262+AB262+AR262)</x:f>
      </x:c>
      <x:c r="AT262" s="62" t="str">
        <x:f t="shared" ref="AT262:AT289" si="54">IF(AS262="","Belum Dapat Ditentukan",IF(AS262&gt;=80,"Sangat Tinggi",IF(OR(AO262="Risiko Tinggi/Darurat",(IF(L262="Rusak Berat",1,0)+IF(L262="Tidak Ada/Terbuka",1,0)+IF(N262="Rusak Berat",1,0)+IF(N262="Tidak Ada/Terbuka",1,0)+IF(P262="Rusak Berat",1,0)+IF(P262="Tidak Layak",1,0))&gt;=2),"Tinggi",IF(AS262&gt;=65,"Tinggi",IF(AS262&gt;=50,"Sedang","Rendah")))))</x:f>
        <x:v>Belum Dapat Ditentukan</x:v>
      </x:c>
      <x:c r="AU262" s="59"/>
      <x:c r="AV262" s="59"/>
      <x:c r="AW262" s="59"/>
      <x:c r="AX262" s="59"/>
      <x:c r="AY262" s="59"/>
      <x:c r="AZ262" s="59"/>
      <x:c r="BA262" s="59"/>
      <x:c r="BB262" s="167"/>
      <x:c r="BC262" s="65"/>
      <x:c r="BD262" s="59"/>
      <x:c r="BE262" s="167"/>
      <x:c r="BF262" s="59"/>
    </x:row>
    <x:row r="263">
      <x:c r="A263" s="59"/>
      <x:c r="B263" s="59"/>
      <x:c r="C263" s="59"/>
      <x:c r="D263" s="59"/>
      <x:c r="E263" s="59"/>
      <x:c r="F263" s="59"/>
      <x:c r="G263" s="59"/>
      <x:c r="H263" s="59"/>
      <x:c r="I263" s="59"/>
      <x:c r="J263" s="59"/>
      <x:c r="K263" s="59"/>
      <x:c r="L263" s="59"/>
      <x:c r="M263" s="59"/>
      <x:c r="N263" s="59"/>
      <x:c r="O263" s="59"/>
      <x:c r="P263" s="59"/>
      <x:c r="Q263" s="75"/>
      <x:c r="R263" s="75"/>
      <x:c r="S263" s="75"/>
      <x:c r="T263" s="75"/>
      <x:c r="U263" s="75"/>
      <x:c r="V263" s="75"/>
      <x:c r="W263" s="60"/>
      <x:c r="X263" s="73" t="str">
        <x:f t="shared" si="44"/>
        <x:v>Tidak ada faktor rentan</x:v>
      </x:c>
      <x:c r="Y263" s="73" t="str">
        <x:f t="shared" si="45"/>
        <x:v>Tidak Ada Faktor Rentan</x:v>
      </x:c>
      <x:c r="Z263" s="74" t="str">
        <x:f t="shared" si="46"/>
      </x:c>
      <x:c r="AA263" s="74">
        <x:f t="shared" si="47"/>
        <x:v>0</x:v>
      </x:c>
      <x:c r="AB263" s="74" t="str">
        <x:f t="shared" si="48"/>
      </x:c>
      <x:c r="AC263" s="61"/>
      <x:c r="AD263" s="61"/>
      <x:c r="AE263" s="61"/>
      <x:c r="AF263" s="61"/>
      <x:c r="AG263" s="61"/>
      <x:c r="AH263" s="61"/>
      <x:c r="AI263" s="61"/>
      <x:c r="AJ263" s="61"/>
      <x:c r="AK263" s="61"/>
      <x:c r="AL263" s="61"/>
      <x:c r="AM263" s="61"/>
      <x:c r="AN263" s="73" t="str">
        <x:f t="shared" si="49"/>
        <x:v>Tidak ada risiko khusus</x:v>
      </x:c>
      <x:c r="AO263" s="73" t="str">
        <x:f t="shared" si="50"/>
        <x:v>Tidak Ada Risiko Khusus</x:v>
      </x:c>
      <x:c r="AP263" s="61"/>
      <x:c r="AQ263" s="64" t="str">
        <x:f t="shared" si="51"/>
      </x:c>
      <x:c r="AR263" s="64">
        <x:f t="shared" si="52"/>
        <x:v>0</x:v>
      </x:c>
      <x:c r="AS263" s="64" t="str">
        <x:f t="shared" si="53"/>
      </x:c>
      <x:c r="AT263" s="62" t="str">
        <x:f t="shared" si="54"/>
        <x:v>Belum Dapat Ditentukan</x:v>
      </x:c>
      <x:c r="AU263" s="59"/>
      <x:c r="AV263" s="59"/>
      <x:c r="AW263" s="59"/>
      <x:c r="AX263" s="59"/>
      <x:c r="AY263" s="59"/>
      <x:c r="AZ263" s="59"/>
      <x:c r="BA263" s="59"/>
      <x:c r="BB263" s="167"/>
      <x:c r="BC263" s="65"/>
      <x:c r="BD263" s="59"/>
      <x:c r="BE263" s="167"/>
      <x:c r="BF263" s="59"/>
    </x:row>
    <x:row r="264">
      <x:c r="A264" s="59"/>
      <x:c r="B264" s="59"/>
      <x:c r="C264" s="59"/>
      <x:c r="D264" s="59"/>
      <x:c r="E264" s="59"/>
      <x:c r="F264" s="59"/>
      <x:c r="G264" s="59"/>
      <x:c r="H264" s="59"/>
      <x:c r="I264" s="59"/>
      <x:c r="J264" s="59"/>
      <x:c r="K264" s="59"/>
      <x:c r="L264" s="59"/>
      <x:c r="M264" s="59"/>
      <x:c r="N264" s="59"/>
      <x:c r="O264" s="59"/>
      <x:c r="P264" s="59"/>
      <x:c r="Q264" s="75"/>
      <x:c r="R264" s="75"/>
      <x:c r="S264" s="75"/>
      <x:c r="T264" s="75"/>
      <x:c r="U264" s="75"/>
      <x:c r="V264" s="75"/>
      <x:c r="W264" s="60"/>
      <x:c r="X264" s="73" t="str">
        <x:f t="shared" si="44"/>
        <x:v>Tidak ada faktor rentan</x:v>
      </x:c>
      <x:c r="Y264" s="73" t="str">
        <x:f t="shared" si="45"/>
        <x:v>Tidak Ada Faktor Rentan</x:v>
      </x:c>
      <x:c r="Z264" s="74" t="str">
        <x:f t="shared" si="46"/>
      </x:c>
      <x:c r="AA264" s="74">
        <x:f t="shared" si="47"/>
        <x:v>0</x:v>
      </x:c>
      <x:c r="AB264" s="74" t="str">
        <x:f t="shared" si="48"/>
      </x:c>
      <x:c r="AC264" s="61"/>
      <x:c r="AD264" s="61"/>
      <x:c r="AE264" s="61"/>
      <x:c r="AF264" s="61"/>
      <x:c r="AG264" s="61"/>
      <x:c r="AH264" s="61"/>
      <x:c r="AI264" s="61"/>
      <x:c r="AJ264" s="61"/>
      <x:c r="AK264" s="61"/>
      <x:c r="AL264" s="61"/>
      <x:c r="AM264" s="61"/>
      <x:c r="AN264" s="73" t="str">
        <x:f t="shared" si="49"/>
        <x:v>Tidak ada risiko khusus</x:v>
      </x:c>
      <x:c r="AO264" s="73" t="str">
        <x:f t="shared" si="50"/>
        <x:v>Tidak Ada Risiko Khusus</x:v>
      </x:c>
      <x:c r="AP264" s="61"/>
      <x:c r="AQ264" s="64" t="str">
        <x:f t="shared" si="51"/>
      </x:c>
      <x:c r="AR264" s="64">
        <x:f t="shared" si="52"/>
        <x:v>0</x:v>
      </x:c>
      <x:c r="AS264" s="64" t="str">
        <x:f t="shared" si="53"/>
      </x:c>
      <x:c r="AT264" s="62" t="str">
        <x:f t="shared" si="54"/>
        <x:v>Belum Dapat Ditentukan</x:v>
      </x:c>
      <x:c r="AU264" s="59"/>
      <x:c r="AV264" s="59"/>
      <x:c r="AW264" s="59"/>
      <x:c r="AX264" s="59"/>
      <x:c r="AY264" s="59"/>
      <x:c r="AZ264" s="59"/>
      <x:c r="BA264" s="59"/>
      <x:c r="BB264" s="167"/>
      <x:c r="BC264" s="65"/>
      <x:c r="BD264" s="59"/>
      <x:c r="BE264" s="167"/>
      <x:c r="BF264" s="59"/>
    </x:row>
    <x:row r="265">
      <x:c r="A265" s="59"/>
      <x:c r="B265" s="59"/>
      <x:c r="C265" s="59"/>
      <x:c r="D265" s="59"/>
      <x:c r="E265" s="59"/>
      <x:c r="F265" s="59"/>
      <x:c r="G265" s="59"/>
      <x:c r="H265" s="59"/>
      <x:c r="I265" s="59"/>
      <x:c r="J265" s="59"/>
      <x:c r="K265" s="59"/>
      <x:c r="L265" s="59"/>
      <x:c r="M265" s="59"/>
      <x:c r="N265" s="59"/>
      <x:c r="O265" s="59"/>
      <x:c r="P265" s="59"/>
      <x:c r="Q265" s="75"/>
      <x:c r="R265" s="75"/>
      <x:c r="S265" s="75"/>
      <x:c r="T265" s="75"/>
      <x:c r="U265" s="75"/>
      <x:c r="V265" s="75"/>
      <x:c r="W265" s="60"/>
      <x:c r="X265" s="73" t="str">
        <x:f t="shared" si="44"/>
        <x:v>Tidak ada faktor rentan</x:v>
      </x:c>
      <x:c r="Y265" s="73" t="str">
        <x:f t="shared" si="45"/>
        <x:v>Tidak Ada Faktor Rentan</x:v>
      </x:c>
      <x:c r="Z265" s="74" t="str">
        <x:f t="shared" si="46"/>
      </x:c>
      <x:c r="AA265" s="74">
        <x:f t="shared" si="47"/>
        <x:v>0</x:v>
      </x:c>
      <x:c r="AB265" s="74" t="str">
        <x:f t="shared" si="48"/>
      </x:c>
      <x:c r="AC265" s="61"/>
      <x:c r="AD265" s="61"/>
      <x:c r="AE265" s="61"/>
      <x:c r="AF265" s="61"/>
      <x:c r="AG265" s="61"/>
      <x:c r="AH265" s="61"/>
      <x:c r="AI265" s="61"/>
      <x:c r="AJ265" s="61"/>
      <x:c r="AK265" s="61"/>
      <x:c r="AL265" s="61"/>
      <x:c r="AM265" s="61"/>
      <x:c r="AN265" s="73" t="str">
        <x:f t="shared" si="49"/>
        <x:v>Tidak ada risiko khusus</x:v>
      </x:c>
      <x:c r="AO265" s="73" t="str">
        <x:f t="shared" si="50"/>
        <x:v>Tidak Ada Risiko Khusus</x:v>
      </x:c>
      <x:c r="AP265" s="61"/>
      <x:c r="AQ265" s="64" t="str">
        <x:f t="shared" si="51"/>
      </x:c>
      <x:c r="AR265" s="64">
        <x:f t="shared" si="52"/>
        <x:v>0</x:v>
      </x:c>
      <x:c r="AS265" s="64" t="str">
        <x:f t="shared" si="53"/>
      </x:c>
      <x:c r="AT265" s="62" t="str">
        <x:f t="shared" si="54"/>
        <x:v>Belum Dapat Ditentukan</x:v>
      </x:c>
      <x:c r="AU265" s="59"/>
      <x:c r="AV265" s="59"/>
      <x:c r="AW265" s="59"/>
      <x:c r="AX265" s="59"/>
      <x:c r="AY265" s="59"/>
      <x:c r="AZ265" s="59"/>
      <x:c r="BA265" s="59"/>
      <x:c r="BB265" s="167"/>
      <x:c r="BC265" s="65"/>
      <x:c r="BD265" s="59"/>
      <x:c r="BE265" s="167"/>
      <x:c r="BF265" s="59"/>
    </x:row>
    <x:row r="266">
      <x:c r="A266" s="59"/>
      <x:c r="B266" s="59"/>
      <x:c r="C266" s="59"/>
      <x:c r="D266" s="59"/>
      <x:c r="E266" s="59"/>
      <x:c r="F266" s="59"/>
      <x:c r="G266" s="59"/>
      <x:c r="H266" s="59"/>
      <x:c r="I266" s="59"/>
      <x:c r="J266" s="59"/>
      <x:c r="K266" s="59"/>
      <x:c r="L266" s="59"/>
      <x:c r="M266" s="59"/>
      <x:c r="N266" s="59"/>
      <x:c r="O266" s="59"/>
      <x:c r="P266" s="59"/>
      <x:c r="Q266" s="75"/>
      <x:c r="R266" s="75"/>
      <x:c r="S266" s="75"/>
      <x:c r="T266" s="75"/>
      <x:c r="U266" s="75"/>
      <x:c r="V266" s="75"/>
      <x:c r="W266" s="60"/>
      <x:c r="X266" s="73" t="str">
        <x:f t="shared" si="44"/>
        <x:v>Tidak ada faktor rentan</x:v>
      </x:c>
      <x:c r="Y266" s="73" t="str">
        <x:f t="shared" si="45"/>
        <x:v>Tidak Ada Faktor Rentan</x:v>
      </x:c>
      <x:c r="Z266" s="74" t="str">
        <x:f t="shared" si="46"/>
      </x:c>
      <x:c r="AA266" s="74">
        <x:f t="shared" si="47"/>
        <x:v>0</x:v>
      </x:c>
      <x:c r="AB266" s="74" t="str">
        <x:f t="shared" si="48"/>
      </x:c>
      <x:c r="AC266" s="61"/>
      <x:c r="AD266" s="61"/>
      <x:c r="AE266" s="61"/>
      <x:c r="AF266" s="61"/>
      <x:c r="AG266" s="61"/>
      <x:c r="AH266" s="61"/>
      <x:c r="AI266" s="61"/>
      <x:c r="AJ266" s="61"/>
      <x:c r="AK266" s="61"/>
      <x:c r="AL266" s="61"/>
      <x:c r="AM266" s="61"/>
      <x:c r="AN266" s="73" t="str">
        <x:f t="shared" si="49"/>
        <x:v>Tidak ada risiko khusus</x:v>
      </x:c>
      <x:c r="AO266" s="73" t="str">
        <x:f t="shared" si="50"/>
        <x:v>Tidak Ada Risiko Khusus</x:v>
      </x:c>
      <x:c r="AP266" s="61"/>
      <x:c r="AQ266" s="64" t="str">
        <x:f t="shared" si="51"/>
      </x:c>
      <x:c r="AR266" s="64">
        <x:f t="shared" si="52"/>
        <x:v>0</x:v>
      </x:c>
      <x:c r="AS266" s="64" t="str">
        <x:f t="shared" si="53"/>
      </x:c>
      <x:c r="AT266" s="62" t="str">
        <x:f t="shared" si="54"/>
        <x:v>Belum Dapat Ditentukan</x:v>
      </x:c>
      <x:c r="AU266" s="59"/>
      <x:c r="AV266" s="59"/>
      <x:c r="AW266" s="59"/>
      <x:c r="AX266" s="59"/>
      <x:c r="AY266" s="59"/>
      <x:c r="AZ266" s="59"/>
      <x:c r="BA266" s="59"/>
      <x:c r="BB266" s="167"/>
      <x:c r="BC266" s="65"/>
      <x:c r="BD266" s="59"/>
      <x:c r="BE266" s="167"/>
      <x:c r="BF266" s="59"/>
    </x:row>
    <x:row r="267">
      <x:c r="A267" s="59"/>
      <x:c r="B267" s="59"/>
      <x:c r="C267" s="59"/>
      <x:c r="D267" s="59"/>
      <x:c r="E267" s="59"/>
      <x:c r="F267" s="59"/>
      <x:c r="G267" s="59"/>
      <x:c r="H267" s="59"/>
      <x:c r="I267" s="59"/>
      <x:c r="J267" s="59"/>
      <x:c r="K267" s="59"/>
      <x:c r="L267" s="59"/>
      <x:c r="M267" s="59"/>
      <x:c r="N267" s="59"/>
      <x:c r="O267" s="59"/>
      <x:c r="P267" s="59"/>
      <x:c r="Q267" s="75"/>
      <x:c r="R267" s="75"/>
      <x:c r="S267" s="75"/>
      <x:c r="T267" s="75"/>
      <x:c r="U267" s="75"/>
      <x:c r="V267" s="75"/>
      <x:c r="W267" s="60"/>
      <x:c r="X267" s="73" t="str">
        <x:f t="shared" si="44"/>
        <x:v>Tidak ada faktor rentan</x:v>
      </x:c>
      <x:c r="Y267" s="73" t="str">
        <x:f t="shared" si="45"/>
        <x:v>Tidak Ada Faktor Rentan</x:v>
      </x:c>
      <x:c r="Z267" s="74" t="str">
        <x:f t="shared" si="46"/>
      </x:c>
      <x:c r="AA267" s="74">
        <x:f t="shared" si="47"/>
        <x:v>0</x:v>
      </x:c>
      <x:c r="AB267" s="74" t="str">
        <x:f t="shared" si="48"/>
      </x:c>
      <x:c r="AC267" s="61"/>
      <x:c r="AD267" s="61"/>
      <x:c r="AE267" s="61"/>
      <x:c r="AF267" s="61"/>
      <x:c r="AG267" s="61"/>
      <x:c r="AH267" s="61"/>
      <x:c r="AI267" s="61"/>
      <x:c r="AJ267" s="61"/>
      <x:c r="AK267" s="61"/>
      <x:c r="AL267" s="61"/>
      <x:c r="AM267" s="61"/>
      <x:c r="AN267" s="73" t="str">
        <x:f t="shared" si="49"/>
        <x:v>Tidak ada risiko khusus</x:v>
      </x:c>
      <x:c r="AO267" s="73" t="str">
        <x:f t="shared" si="50"/>
        <x:v>Tidak Ada Risiko Khusus</x:v>
      </x:c>
      <x:c r="AP267" s="61"/>
      <x:c r="AQ267" s="64" t="str">
        <x:f t="shared" si="51"/>
      </x:c>
      <x:c r="AR267" s="64">
        <x:f t="shared" si="52"/>
        <x:v>0</x:v>
      </x:c>
      <x:c r="AS267" s="64" t="str">
        <x:f t="shared" si="53"/>
      </x:c>
      <x:c r="AT267" s="62" t="str">
        <x:f t="shared" si="54"/>
        <x:v>Belum Dapat Ditentukan</x:v>
      </x:c>
      <x:c r="AU267" s="59"/>
      <x:c r="AV267" s="59"/>
      <x:c r="AW267" s="59"/>
      <x:c r="AX267" s="59"/>
      <x:c r="AY267" s="59"/>
      <x:c r="AZ267" s="59"/>
      <x:c r="BA267" s="59"/>
      <x:c r="BB267" s="167"/>
      <x:c r="BC267" s="65"/>
      <x:c r="BD267" s="59"/>
      <x:c r="BE267" s="167"/>
      <x:c r="BF267" s="59"/>
    </x:row>
    <x:row r="268">
      <x:c r="A268" s="59"/>
      <x:c r="B268" s="59"/>
      <x:c r="C268" s="59"/>
      <x:c r="D268" s="59"/>
      <x:c r="E268" s="59"/>
      <x:c r="F268" s="59"/>
      <x:c r="G268" s="59"/>
      <x:c r="H268" s="59"/>
      <x:c r="I268" s="59"/>
      <x:c r="J268" s="59"/>
      <x:c r="K268" s="59"/>
      <x:c r="L268" s="59"/>
      <x:c r="M268" s="59"/>
      <x:c r="N268" s="59"/>
      <x:c r="O268" s="59"/>
      <x:c r="P268" s="59"/>
      <x:c r="Q268" s="75"/>
      <x:c r="R268" s="75"/>
      <x:c r="S268" s="75"/>
      <x:c r="T268" s="75"/>
      <x:c r="U268" s="75"/>
      <x:c r="V268" s="75"/>
      <x:c r="W268" s="60"/>
      <x:c r="X268" s="73" t="str">
        <x:f t="shared" si="44"/>
        <x:v>Tidak ada faktor rentan</x:v>
      </x:c>
      <x:c r="Y268" s="73" t="str">
        <x:f t="shared" si="45"/>
        <x:v>Tidak Ada Faktor Rentan</x:v>
      </x:c>
      <x:c r="Z268" s="74" t="str">
        <x:f t="shared" si="46"/>
      </x:c>
      <x:c r="AA268" s="74">
        <x:f t="shared" si="47"/>
        <x:v>0</x:v>
      </x:c>
      <x:c r="AB268" s="74" t="str">
        <x:f t="shared" si="48"/>
      </x:c>
      <x:c r="AC268" s="61"/>
      <x:c r="AD268" s="61"/>
      <x:c r="AE268" s="61"/>
      <x:c r="AF268" s="61"/>
      <x:c r="AG268" s="61"/>
      <x:c r="AH268" s="61"/>
      <x:c r="AI268" s="61"/>
      <x:c r="AJ268" s="61"/>
      <x:c r="AK268" s="61"/>
      <x:c r="AL268" s="61"/>
      <x:c r="AM268" s="61"/>
      <x:c r="AN268" s="73" t="str">
        <x:f t="shared" si="49"/>
        <x:v>Tidak ada risiko khusus</x:v>
      </x:c>
      <x:c r="AO268" s="73" t="str">
        <x:f t="shared" si="50"/>
        <x:v>Tidak Ada Risiko Khusus</x:v>
      </x:c>
      <x:c r="AP268" s="61"/>
      <x:c r="AQ268" s="64" t="str">
        <x:f t="shared" si="51"/>
      </x:c>
      <x:c r="AR268" s="64">
        <x:f t="shared" si="52"/>
        <x:v>0</x:v>
      </x:c>
      <x:c r="AS268" s="64" t="str">
        <x:f t="shared" si="53"/>
      </x:c>
      <x:c r="AT268" s="62" t="str">
        <x:f t="shared" si="54"/>
        <x:v>Belum Dapat Ditentukan</x:v>
      </x:c>
      <x:c r="AU268" s="59"/>
      <x:c r="AV268" s="59"/>
      <x:c r="AW268" s="59"/>
      <x:c r="AX268" s="59"/>
      <x:c r="AY268" s="59"/>
      <x:c r="AZ268" s="59"/>
      <x:c r="BA268" s="59"/>
      <x:c r="BB268" s="167"/>
      <x:c r="BC268" s="65"/>
      <x:c r="BD268" s="59"/>
      <x:c r="BE268" s="167"/>
      <x:c r="BF268" s="59"/>
    </x:row>
    <x:row r="269">
      <x:c r="A269" s="59"/>
      <x:c r="B269" s="59"/>
      <x:c r="C269" s="59"/>
      <x:c r="D269" s="59"/>
      <x:c r="E269" s="59"/>
      <x:c r="F269" s="59"/>
      <x:c r="G269" s="59"/>
      <x:c r="H269" s="59"/>
      <x:c r="I269" s="59"/>
      <x:c r="J269" s="59"/>
      <x:c r="K269" s="59"/>
      <x:c r="L269" s="59"/>
      <x:c r="M269" s="59"/>
      <x:c r="N269" s="59"/>
      <x:c r="O269" s="59"/>
      <x:c r="P269" s="59"/>
      <x:c r="Q269" s="75"/>
      <x:c r="R269" s="75"/>
      <x:c r="S269" s="75"/>
      <x:c r="T269" s="75"/>
      <x:c r="U269" s="75"/>
      <x:c r="V269" s="75"/>
      <x:c r="W269" s="60"/>
      <x:c r="X269" s="73" t="str">
        <x:f t="shared" si="44"/>
        <x:v>Tidak ada faktor rentan</x:v>
      </x:c>
      <x:c r="Y269" s="73" t="str">
        <x:f t="shared" si="45"/>
        <x:v>Tidak Ada Faktor Rentan</x:v>
      </x:c>
      <x:c r="Z269" s="74" t="str">
        <x:f t="shared" si="46"/>
      </x:c>
      <x:c r="AA269" s="74">
        <x:f t="shared" si="47"/>
        <x:v>0</x:v>
      </x:c>
      <x:c r="AB269" s="74" t="str">
        <x:f t="shared" si="48"/>
      </x:c>
      <x:c r="AC269" s="61"/>
      <x:c r="AD269" s="61"/>
      <x:c r="AE269" s="61"/>
      <x:c r="AF269" s="61"/>
      <x:c r="AG269" s="61"/>
      <x:c r="AH269" s="61"/>
      <x:c r="AI269" s="61"/>
      <x:c r="AJ269" s="61"/>
      <x:c r="AK269" s="61"/>
      <x:c r="AL269" s="61"/>
      <x:c r="AM269" s="61"/>
      <x:c r="AN269" s="73" t="str">
        <x:f t="shared" si="49"/>
        <x:v>Tidak ada risiko khusus</x:v>
      </x:c>
      <x:c r="AO269" s="73" t="str">
        <x:f t="shared" si="50"/>
        <x:v>Tidak Ada Risiko Khusus</x:v>
      </x:c>
      <x:c r="AP269" s="61"/>
      <x:c r="AQ269" s="64" t="str">
        <x:f t="shared" si="51"/>
      </x:c>
      <x:c r="AR269" s="64">
        <x:f t="shared" si="52"/>
        <x:v>0</x:v>
      </x:c>
      <x:c r="AS269" s="64" t="str">
        <x:f t="shared" si="53"/>
      </x:c>
      <x:c r="AT269" s="62" t="str">
        <x:f t="shared" si="54"/>
        <x:v>Belum Dapat Ditentukan</x:v>
      </x:c>
      <x:c r="AU269" s="59"/>
      <x:c r="AV269" s="59"/>
      <x:c r="AW269" s="59"/>
      <x:c r="AX269" s="59"/>
      <x:c r="AY269" s="59"/>
      <x:c r="AZ269" s="59"/>
      <x:c r="BA269" s="59"/>
      <x:c r="BB269" s="167"/>
      <x:c r="BC269" s="65"/>
      <x:c r="BD269" s="59"/>
      <x:c r="BE269" s="167"/>
      <x:c r="BF269" s="59"/>
    </x:row>
    <x:row r="270">
      <x:c r="A270" s="59"/>
      <x:c r="B270" s="59"/>
      <x:c r="C270" s="59"/>
      <x:c r="D270" s="59"/>
      <x:c r="E270" s="59"/>
      <x:c r="F270" s="59"/>
      <x:c r="G270" s="59"/>
      <x:c r="H270" s="59"/>
      <x:c r="I270" s="59"/>
      <x:c r="J270" s="59"/>
      <x:c r="K270" s="59"/>
      <x:c r="L270" s="59"/>
      <x:c r="M270" s="59"/>
      <x:c r="N270" s="59"/>
      <x:c r="O270" s="59"/>
      <x:c r="P270" s="59"/>
      <x:c r="Q270" s="75"/>
      <x:c r="R270" s="75"/>
      <x:c r="S270" s="75"/>
      <x:c r="T270" s="75"/>
      <x:c r="U270" s="75"/>
      <x:c r="V270" s="75"/>
      <x:c r="W270" s="60"/>
      <x:c r="X270" s="73" t="str">
        <x:f t="shared" si="44"/>
        <x:v>Tidak ada faktor rentan</x:v>
      </x:c>
      <x:c r="Y270" s="73" t="str">
        <x:f t="shared" si="45"/>
        <x:v>Tidak Ada Faktor Rentan</x:v>
      </x:c>
      <x:c r="Z270" s="74" t="str">
        <x:f t="shared" si="46"/>
      </x:c>
      <x:c r="AA270" s="74">
        <x:f t="shared" si="47"/>
        <x:v>0</x:v>
      </x:c>
      <x:c r="AB270" s="74" t="str">
        <x:f t="shared" si="48"/>
      </x:c>
      <x:c r="AC270" s="61"/>
      <x:c r="AD270" s="61"/>
      <x:c r="AE270" s="61"/>
      <x:c r="AF270" s="61"/>
      <x:c r="AG270" s="61"/>
      <x:c r="AH270" s="61"/>
      <x:c r="AI270" s="61"/>
      <x:c r="AJ270" s="61"/>
      <x:c r="AK270" s="61"/>
      <x:c r="AL270" s="61"/>
      <x:c r="AM270" s="61"/>
      <x:c r="AN270" s="73" t="str">
        <x:f t="shared" si="49"/>
        <x:v>Tidak ada risiko khusus</x:v>
      </x:c>
      <x:c r="AO270" s="73" t="str">
        <x:f t="shared" si="50"/>
        <x:v>Tidak Ada Risiko Khusus</x:v>
      </x:c>
      <x:c r="AP270" s="61"/>
      <x:c r="AQ270" s="64" t="str">
        <x:f t="shared" si="51"/>
      </x:c>
      <x:c r="AR270" s="64">
        <x:f t="shared" si="52"/>
        <x:v>0</x:v>
      </x:c>
      <x:c r="AS270" s="64" t="str">
        <x:f t="shared" si="53"/>
      </x:c>
      <x:c r="AT270" s="62" t="str">
        <x:f t="shared" si="54"/>
        <x:v>Belum Dapat Ditentukan</x:v>
      </x:c>
      <x:c r="AU270" s="59"/>
      <x:c r="AV270" s="59"/>
      <x:c r="AW270" s="59"/>
      <x:c r="AX270" s="59"/>
      <x:c r="AY270" s="59"/>
      <x:c r="AZ270" s="59"/>
      <x:c r="BA270" s="59"/>
      <x:c r="BB270" s="167"/>
      <x:c r="BC270" s="65"/>
      <x:c r="BD270" s="59"/>
      <x:c r="BE270" s="167"/>
      <x:c r="BF270" s="59"/>
    </x:row>
    <x:row r="271">
      <x:c r="A271" s="59"/>
      <x:c r="B271" s="59"/>
      <x:c r="C271" s="59"/>
      <x:c r="D271" s="59"/>
      <x:c r="E271" s="59"/>
      <x:c r="F271" s="59"/>
      <x:c r="G271" s="59"/>
      <x:c r="H271" s="59"/>
      <x:c r="I271" s="59"/>
      <x:c r="J271" s="59"/>
      <x:c r="K271" s="59"/>
      <x:c r="L271" s="59"/>
      <x:c r="M271" s="59"/>
      <x:c r="N271" s="59"/>
      <x:c r="O271" s="59"/>
      <x:c r="P271" s="59"/>
      <x:c r="Q271" s="75"/>
      <x:c r="R271" s="75"/>
      <x:c r="S271" s="75"/>
      <x:c r="T271" s="75"/>
      <x:c r="U271" s="75"/>
      <x:c r="V271" s="75"/>
      <x:c r="W271" s="60"/>
      <x:c r="X271" s="73" t="str">
        <x:f t="shared" si="44"/>
        <x:v>Tidak ada faktor rentan</x:v>
      </x:c>
      <x:c r="Y271" s="73" t="str">
        <x:f t="shared" si="45"/>
        <x:v>Tidak Ada Faktor Rentan</x:v>
      </x:c>
      <x:c r="Z271" s="74" t="str">
        <x:f t="shared" si="46"/>
      </x:c>
      <x:c r="AA271" s="74">
        <x:f t="shared" si="47"/>
        <x:v>0</x:v>
      </x:c>
      <x:c r="AB271" s="74" t="str">
        <x:f t="shared" si="48"/>
      </x:c>
      <x:c r="AC271" s="61"/>
      <x:c r="AD271" s="61"/>
      <x:c r="AE271" s="61"/>
      <x:c r="AF271" s="61"/>
      <x:c r="AG271" s="61"/>
      <x:c r="AH271" s="61"/>
      <x:c r="AI271" s="61"/>
      <x:c r="AJ271" s="61"/>
      <x:c r="AK271" s="61"/>
      <x:c r="AL271" s="61"/>
      <x:c r="AM271" s="61"/>
      <x:c r="AN271" s="73" t="str">
        <x:f t="shared" si="49"/>
        <x:v>Tidak ada risiko khusus</x:v>
      </x:c>
      <x:c r="AO271" s="73" t="str">
        <x:f t="shared" si="50"/>
        <x:v>Tidak Ada Risiko Khusus</x:v>
      </x:c>
      <x:c r="AP271" s="61"/>
      <x:c r="AQ271" s="64" t="str">
        <x:f t="shared" si="51"/>
      </x:c>
      <x:c r="AR271" s="64">
        <x:f t="shared" si="52"/>
        <x:v>0</x:v>
      </x:c>
      <x:c r="AS271" s="64" t="str">
        <x:f t="shared" si="53"/>
      </x:c>
      <x:c r="AT271" s="62" t="str">
        <x:f t="shared" si="54"/>
        <x:v>Belum Dapat Ditentukan</x:v>
      </x:c>
      <x:c r="AU271" s="59"/>
      <x:c r="AV271" s="59"/>
      <x:c r="AW271" s="59"/>
      <x:c r="AX271" s="59"/>
      <x:c r="AY271" s="59"/>
      <x:c r="AZ271" s="59"/>
      <x:c r="BA271" s="59"/>
      <x:c r="BB271" s="167"/>
      <x:c r="BC271" s="65"/>
      <x:c r="BD271" s="59"/>
      <x:c r="BE271" s="167"/>
      <x:c r="BF271" s="59"/>
    </x:row>
    <x:row r="272">
      <x:c r="A272" s="59"/>
      <x:c r="B272" s="59"/>
      <x:c r="C272" s="59"/>
      <x:c r="D272" s="59"/>
      <x:c r="E272" s="59"/>
      <x:c r="F272" s="59"/>
      <x:c r="G272" s="59"/>
      <x:c r="H272" s="59"/>
      <x:c r="I272" s="59"/>
      <x:c r="J272" s="59"/>
      <x:c r="K272" s="59"/>
      <x:c r="L272" s="59"/>
      <x:c r="M272" s="59"/>
      <x:c r="N272" s="59"/>
      <x:c r="O272" s="59"/>
      <x:c r="P272" s="59"/>
      <x:c r="Q272" s="75"/>
      <x:c r="R272" s="75"/>
      <x:c r="S272" s="75"/>
      <x:c r="T272" s="75"/>
      <x:c r="U272" s="75"/>
      <x:c r="V272" s="75"/>
      <x:c r="W272" s="60"/>
      <x:c r="X272" s="73" t="str">
        <x:f t="shared" si="44"/>
        <x:v>Tidak ada faktor rentan</x:v>
      </x:c>
      <x:c r="Y272" s="73" t="str">
        <x:f t="shared" si="45"/>
        <x:v>Tidak Ada Faktor Rentan</x:v>
      </x:c>
      <x:c r="Z272" s="74" t="str">
        <x:f t="shared" si="46"/>
      </x:c>
      <x:c r="AA272" s="74">
        <x:f t="shared" si="47"/>
        <x:v>0</x:v>
      </x:c>
      <x:c r="AB272" s="74" t="str">
        <x:f t="shared" si="48"/>
      </x:c>
      <x:c r="AC272" s="61"/>
      <x:c r="AD272" s="61"/>
      <x:c r="AE272" s="61"/>
      <x:c r="AF272" s="61"/>
      <x:c r="AG272" s="61"/>
      <x:c r="AH272" s="61"/>
      <x:c r="AI272" s="61"/>
      <x:c r="AJ272" s="61"/>
      <x:c r="AK272" s="61"/>
      <x:c r="AL272" s="61"/>
      <x:c r="AM272" s="61"/>
      <x:c r="AN272" s="73" t="str">
        <x:f t="shared" si="49"/>
        <x:v>Tidak ada risiko khusus</x:v>
      </x:c>
      <x:c r="AO272" s="73" t="str">
        <x:f t="shared" si="50"/>
        <x:v>Tidak Ada Risiko Khusus</x:v>
      </x:c>
      <x:c r="AP272" s="61"/>
      <x:c r="AQ272" s="64" t="str">
        <x:f t="shared" si="51"/>
      </x:c>
      <x:c r="AR272" s="64">
        <x:f t="shared" si="52"/>
        <x:v>0</x:v>
      </x:c>
      <x:c r="AS272" s="64" t="str">
        <x:f t="shared" si="53"/>
      </x:c>
      <x:c r="AT272" s="62" t="str">
        <x:f t="shared" si="54"/>
        <x:v>Belum Dapat Ditentukan</x:v>
      </x:c>
      <x:c r="AU272" s="59"/>
      <x:c r="AV272" s="59"/>
      <x:c r="AW272" s="59"/>
      <x:c r="AX272" s="59"/>
      <x:c r="AY272" s="59"/>
      <x:c r="AZ272" s="59"/>
      <x:c r="BA272" s="59"/>
      <x:c r="BB272" s="167"/>
      <x:c r="BC272" s="65"/>
      <x:c r="BD272" s="59"/>
      <x:c r="BE272" s="167"/>
      <x:c r="BF272" s="59"/>
    </x:row>
    <x:row r="273">
      <x:c r="A273" s="59"/>
      <x:c r="B273" s="59"/>
      <x:c r="C273" s="59"/>
      <x:c r="D273" s="59"/>
      <x:c r="E273" s="59"/>
      <x:c r="F273" s="59"/>
      <x:c r="G273" s="59"/>
      <x:c r="H273" s="59"/>
      <x:c r="I273" s="59"/>
      <x:c r="J273" s="59"/>
      <x:c r="K273" s="59"/>
      <x:c r="L273" s="59"/>
      <x:c r="M273" s="59"/>
      <x:c r="N273" s="59"/>
      <x:c r="O273" s="59"/>
      <x:c r="P273" s="59"/>
      <x:c r="Q273" s="75"/>
      <x:c r="R273" s="75"/>
      <x:c r="S273" s="75"/>
      <x:c r="T273" s="75"/>
      <x:c r="U273" s="75"/>
      <x:c r="V273" s="75"/>
      <x:c r="W273" s="60"/>
      <x:c r="X273" s="73" t="str">
        <x:f t="shared" si="44"/>
        <x:v>Tidak ada faktor rentan</x:v>
      </x:c>
      <x:c r="Y273" s="73" t="str">
        <x:f t="shared" si="45"/>
        <x:v>Tidak Ada Faktor Rentan</x:v>
      </x:c>
      <x:c r="Z273" s="74" t="str">
        <x:f t="shared" si="46"/>
      </x:c>
      <x:c r="AA273" s="74">
        <x:f t="shared" si="47"/>
        <x:v>0</x:v>
      </x:c>
      <x:c r="AB273" s="74" t="str">
        <x:f t="shared" si="48"/>
      </x:c>
      <x:c r="AC273" s="61"/>
      <x:c r="AD273" s="61"/>
      <x:c r="AE273" s="61"/>
      <x:c r="AF273" s="61"/>
      <x:c r="AG273" s="61"/>
      <x:c r="AH273" s="61"/>
      <x:c r="AI273" s="61"/>
      <x:c r="AJ273" s="61"/>
      <x:c r="AK273" s="61"/>
      <x:c r="AL273" s="61"/>
      <x:c r="AM273" s="61"/>
      <x:c r="AN273" s="73" t="str">
        <x:f t="shared" si="49"/>
        <x:v>Tidak ada risiko khusus</x:v>
      </x:c>
      <x:c r="AO273" s="73" t="str">
        <x:f t="shared" si="50"/>
        <x:v>Tidak Ada Risiko Khusus</x:v>
      </x:c>
      <x:c r="AP273" s="61"/>
      <x:c r="AQ273" s="64" t="str">
        <x:f t="shared" si="51"/>
      </x:c>
      <x:c r="AR273" s="64">
        <x:f t="shared" si="52"/>
        <x:v>0</x:v>
      </x:c>
      <x:c r="AS273" s="64" t="str">
        <x:f t="shared" si="53"/>
      </x:c>
      <x:c r="AT273" s="62" t="str">
        <x:f t="shared" si="54"/>
        <x:v>Belum Dapat Ditentukan</x:v>
      </x:c>
      <x:c r="AU273" s="59"/>
      <x:c r="AV273" s="59"/>
      <x:c r="AW273" s="59"/>
      <x:c r="AX273" s="59"/>
      <x:c r="AY273" s="59"/>
      <x:c r="AZ273" s="59"/>
      <x:c r="BA273" s="59"/>
      <x:c r="BB273" s="167"/>
      <x:c r="BC273" s="65"/>
      <x:c r="BD273" s="59"/>
      <x:c r="BE273" s="167"/>
      <x:c r="BF273" s="59"/>
    </x:row>
    <x:row r="274">
      <x:c r="A274" s="59"/>
      <x:c r="B274" s="59"/>
      <x:c r="C274" s="59"/>
      <x:c r="D274" s="59"/>
      <x:c r="E274" s="59"/>
      <x:c r="F274" s="59"/>
      <x:c r="G274" s="59"/>
      <x:c r="H274" s="59"/>
      <x:c r="I274" s="59"/>
      <x:c r="J274" s="59"/>
      <x:c r="K274" s="59"/>
      <x:c r="L274" s="59"/>
      <x:c r="M274" s="59"/>
      <x:c r="N274" s="59"/>
      <x:c r="O274" s="59"/>
      <x:c r="P274" s="59"/>
      <x:c r="Q274" s="75"/>
      <x:c r="R274" s="75"/>
      <x:c r="S274" s="75"/>
      <x:c r="T274" s="75"/>
      <x:c r="U274" s="75"/>
      <x:c r="V274" s="75"/>
      <x:c r="W274" s="60"/>
      <x:c r="X274" s="73" t="str">
        <x:f t="shared" si="44"/>
        <x:v>Tidak ada faktor rentan</x:v>
      </x:c>
      <x:c r="Y274" s="73" t="str">
        <x:f t="shared" si="45"/>
        <x:v>Tidak Ada Faktor Rentan</x:v>
      </x:c>
      <x:c r="Z274" s="74" t="str">
        <x:f t="shared" si="46"/>
      </x:c>
      <x:c r="AA274" s="74">
        <x:f t="shared" si="47"/>
        <x:v>0</x:v>
      </x:c>
      <x:c r="AB274" s="74" t="str">
        <x:f t="shared" si="48"/>
      </x:c>
      <x:c r="AC274" s="61"/>
      <x:c r="AD274" s="61"/>
      <x:c r="AE274" s="61"/>
      <x:c r="AF274" s="61"/>
      <x:c r="AG274" s="61"/>
      <x:c r="AH274" s="61"/>
      <x:c r="AI274" s="61"/>
      <x:c r="AJ274" s="61"/>
      <x:c r="AK274" s="61"/>
      <x:c r="AL274" s="61"/>
      <x:c r="AM274" s="61"/>
      <x:c r="AN274" s="73" t="str">
        <x:f t="shared" si="49"/>
        <x:v>Tidak ada risiko khusus</x:v>
      </x:c>
      <x:c r="AO274" s="73" t="str">
        <x:f t="shared" si="50"/>
        <x:v>Tidak Ada Risiko Khusus</x:v>
      </x:c>
      <x:c r="AP274" s="61"/>
      <x:c r="AQ274" s="64" t="str">
        <x:f t="shared" si="51"/>
      </x:c>
      <x:c r="AR274" s="64">
        <x:f t="shared" si="52"/>
        <x:v>0</x:v>
      </x:c>
      <x:c r="AS274" s="64" t="str">
        <x:f t="shared" si="53"/>
      </x:c>
      <x:c r="AT274" s="62" t="str">
        <x:f t="shared" si="54"/>
        <x:v>Belum Dapat Ditentukan</x:v>
      </x:c>
      <x:c r="AU274" s="59"/>
      <x:c r="AV274" s="59"/>
      <x:c r="AW274" s="59"/>
      <x:c r="AX274" s="59"/>
      <x:c r="AY274" s="59"/>
      <x:c r="AZ274" s="59"/>
      <x:c r="BA274" s="59"/>
      <x:c r="BB274" s="167"/>
      <x:c r="BC274" s="65"/>
      <x:c r="BD274" s="59"/>
      <x:c r="BE274" s="167"/>
      <x:c r="BF274" s="59"/>
    </x:row>
    <x:row r="275">
      <x:c r="A275" s="59"/>
      <x:c r="B275" s="59"/>
      <x:c r="C275" s="59"/>
      <x:c r="D275" s="59"/>
      <x:c r="E275" s="59"/>
      <x:c r="F275" s="59"/>
      <x:c r="G275" s="59"/>
      <x:c r="H275" s="59"/>
      <x:c r="I275" s="59"/>
      <x:c r="J275" s="59"/>
      <x:c r="K275" s="59"/>
      <x:c r="L275" s="59"/>
      <x:c r="M275" s="59"/>
      <x:c r="N275" s="59"/>
      <x:c r="O275" s="59"/>
      <x:c r="P275" s="59"/>
      <x:c r="Q275" s="75"/>
      <x:c r="R275" s="75"/>
      <x:c r="S275" s="75"/>
      <x:c r="T275" s="75"/>
      <x:c r="U275" s="75"/>
      <x:c r="V275" s="75"/>
      <x:c r="W275" s="60"/>
      <x:c r="X275" s="73" t="str">
        <x:f t="shared" si="44"/>
        <x:v>Tidak ada faktor rentan</x:v>
      </x:c>
      <x:c r="Y275" s="73" t="str">
        <x:f t="shared" si="45"/>
        <x:v>Tidak Ada Faktor Rentan</x:v>
      </x:c>
      <x:c r="Z275" s="74" t="str">
        <x:f t="shared" si="46"/>
      </x:c>
      <x:c r="AA275" s="74">
        <x:f t="shared" si="47"/>
        <x:v>0</x:v>
      </x:c>
      <x:c r="AB275" s="74" t="str">
        <x:f t="shared" si="48"/>
      </x:c>
      <x:c r="AC275" s="61"/>
      <x:c r="AD275" s="61"/>
      <x:c r="AE275" s="61"/>
      <x:c r="AF275" s="61"/>
      <x:c r="AG275" s="61"/>
      <x:c r="AH275" s="61"/>
      <x:c r="AI275" s="61"/>
      <x:c r="AJ275" s="61"/>
      <x:c r="AK275" s="61"/>
      <x:c r="AL275" s="61"/>
      <x:c r="AM275" s="61"/>
      <x:c r="AN275" s="73" t="str">
        <x:f t="shared" si="49"/>
        <x:v>Tidak ada risiko khusus</x:v>
      </x:c>
      <x:c r="AO275" s="73" t="str">
        <x:f t="shared" si="50"/>
        <x:v>Tidak Ada Risiko Khusus</x:v>
      </x:c>
      <x:c r="AP275" s="61"/>
      <x:c r="AQ275" s="64" t="str">
        <x:f t="shared" si="51"/>
      </x:c>
      <x:c r="AR275" s="64">
        <x:f t="shared" si="52"/>
        <x:v>0</x:v>
      </x:c>
      <x:c r="AS275" s="64" t="str">
        <x:f t="shared" si="53"/>
      </x:c>
      <x:c r="AT275" s="62" t="str">
        <x:f t="shared" si="54"/>
        <x:v>Belum Dapat Ditentukan</x:v>
      </x:c>
      <x:c r="AU275" s="59"/>
      <x:c r="AV275" s="59"/>
      <x:c r="AW275" s="59"/>
      <x:c r="AX275" s="59"/>
      <x:c r="AY275" s="59"/>
      <x:c r="AZ275" s="59"/>
      <x:c r="BA275" s="59"/>
      <x:c r="BB275" s="167"/>
      <x:c r="BC275" s="65"/>
      <x:c r="BD275" s="59"/>
      <x:c r="BE275" s="167"/>
      <x:c r="BF275" s="59"/>
    </x:row>
    <x:row r="276">
      <x:c r="A276" s="59"/>
      <x:c r="B276" s="59"/>
      <x:c r="C276" s="59"/>
      <x:c r="D276" s="59"/>
      <x:c r="E276" s="59"/>
      <x:c r="F276" s="59"/>
      <x:c r="G276" s="59"/>
      <x:c r="H276" s="59"/>
      <x:c r="I276" s="59"/>
      <x:c r="J276" s="59"/>
      <x:c r="K276" s="59"/>
      <x:c r="L276" s="59"/>
      <x:c r="M276" s="59"/>
      <x:c r="N276" s="59"/>
      <x:c r="O276" s="59"/>
      <x:c r="P276" s="59"/>
      <x:c r="Q276" s="75"/>
      <x:c r="R276" s="75"/>
      <x:c r="S276" s="75"/>
      <x:c r="T276" s="75"/>
      <x:c r="U276" s="75"/>
      <x:c r="V276" s="75"/>
      <x:c r="W276" s="60"/>
      <x:c r="X276" s="73" t="str">
        <x:f t="shared" si="44"/>
        <x:v>Tidak ada faktor rentan</x:v>
      </x:c>
      <x:c r="Y276" s="73" t="str">
        <x:f t="shared" si="45"/>
        <x:v>Tidak Ada Faktor Rentan</x:v>
      </x:c>
      <x:c r="Z276" s="74" t="str">
        <x:f t="shared" si="46"/>
      </x:c>
      <x:c r="AA276" s="74">
        <x:f t="shared" si="47"/>
        <x:v>0</x:v>
      </x:c>
      <x:c r="AB276" s="74" t="str">
        <x:f t="shared" si="48"/>
      </x:c>
      <x:c r="AC276" s="61"/>
      <x:c r="AD276" s="61"/>
      <x:c r="AE276" s="61"/>
      <x:c r="AF276" s="61"/>
      <x:c r="AG276" s="61"/>
      <x:c r="AH276" s="61"/>
      <x:c r="AI276" s="61"/>
      <x:c r="AJ276" s="61"/>
      <x:c r="AK276" s="61"/>
      <x:c r="AL276" s="61"/>
      <x:c r="AM276" s="61"/>
      <x:c r="AN276" s="73" t="str">
        <x:f t="shared" si="49"/>
        <x:v>Tidak ada risiko khusus</x:v>
      </x:c>
      <x:c r="AO276" s="73" t="str">
        <x:f t="shared" si="50"/>
        <x:v>Tidak Ada Risiko Khusus</x:v>
      </x:c>
      <x:c r="AP276" s="61"/>
      <x:c r="AQ276" s="64" t="str">
        <x:f t="shared" si="51"/>
      </x:c>
      <x:c r="AR276" s="64">
        <x:f t="shared" si="52"/>
        <x:v>0</x:v>
      </x:c>
      <x:c r="AS276" s="64" t="str">
        <x:f t="shared" si="53"/>
      </x:c>
      <x:c r="AT276" s="62" t="str">
        <x:f t="shared" si="54"/>
        <x:v>Belum Dapat Ditentukan</x:v>
      </x:c>
      <x:c r="AU276" s="59"/>
      <x:c r="AV276" s="59"/>
      <x:c r="AW276" s="59"/>
      <x:c r="AX276" s="59"/>
      <x:c r="AY276" s="59"/>
      <x:c r="AZ276" s="59"/>
      <x:c r="BA276" s="59"/>
      <x:c r="BB276" s="167"/>
      <x:c r="BC276" s="65"/>
      <x:c r="BD276" s="59"/>
      <x:c r="BE276" s="167"/>
      <x:c r="BF276" s="59"/>
    </x:row>
    <x:row r="277">
      <x:c r="A277" s="59"/>
      <x:c r="B277" s="59"/>
      <x:c r="C277" s="59"/>
      <x:c r="D277" s="59"/>
      <x:c r="E277" s="59"/>
      <x:c r="F277" s="59"/>
      <x:c r="G277" s="59"/>
      <x:c r="H277" s="59"/>
      <x:c r="I277" s="59"/>
      <x:c r="J277" s="59"/>
      <x:c r="K277" s="59"/>
      <x:c r="L277" s="59"/>
      <x:c r="M277" s="59"/>
      <x:c r="N277" s="59"/>
      <x:c r="O277" s="59"/>
      <x:c r="P277" s="59"/>
      <x:c r="Q277" s="75"/>
      <x:c r="R277" s="75"/>
      <x:c r="S277" s="75"/>
      <x:c r="T277" s="75"/>
      <x:c r="U277" s="75"/>
      <x:c r="V277" s="75"/>
      <x:c r="W277" s="60"/>
      <x:c r="X277" s="73" t="str">
        <x:f t="shared" si="44"/>
        <x:v>Tidak ada faktor rentan</x:v>
      </x:c>
      <x:c r="Y277" s="73" t="str">
        <x:f t="shared" si="45"/>
        <x:v>Tidak Ada Faktor Rentan</x:v>
      </x:c>
      <x:c r="Z277" s="74" t="str">
        <x:f t="shared" si="46"/>
      </x:c>
      <x:c r="AA277" s="74">
        <x:f t="shared" si="47"/>
        <x:v>0</x:v>
      </x:c>
      <x:c r="AB277" s="74" t="str">
        <x:f t="shared" si="48"/>
      </x:c>
      <x:c r="AC277" s="61"/>
      <x:c r="AD277" s="61"/>
      <x:c r="AE277" s="61"/>
      <x:c r="AF277" s="61"/>
      <x:c r="AG277" s="61"/>
      <x:c r="AH277" s="61"/>
      <x:c r="AI277" s="61"/>
      <x:c r="AJ277" s="61"/>
      <x:c r="AK277" s="61"/>
      <x:c r="AL277" s="61"/>
      <x:c r="AM277" s="61"/>
      <x:c r="AN277" s="73" t="str">
        <x:f t="shared" si="49"/>
        <x:v>Tidak ada risiko khusus</x:v>
      </x:c>
      <x:c r="AO277" s="73" t="str">
        <x:f t="shared" si="50"/>
        <x:v>Tidak Ada Risiko Khusus</x:v>
      </x:c>
      <x:c r="AP277" s="61"/>
      <x:c r="AQ277" s="64" t="str">
        <x:f t="shared" si="51"/>
      </x:c>
      <x:c r="AR277" s="64">
        <x:f t="shared" si="52"/>
        <x:v>0</x:v>
      </x:c>
      <x:c r="AS277" s="64" t="str">
        <x:f t="shared" si="53"/>
      </x:c>
      <x:c r="AT277" s="62" t="str">
        <x:f t="shared" si="54"/>
        <x:v>Belum Dapat Ditentukan</x:v>
      </x:c>
      <x:c r="AU277" s="59"/>
      <x:c r="AV277" s="59"/>
      <x:c r="AW277" s="59"/>
      <x:c r="AX277" s="59"/>
      <x:c r="AY277" s="59"/>
      <x:c r="AZ277" s="59"/>
      <x:c r="BA277" s="59"/>
      <x:c r="BB277" s="167"/>
      <x:c r="BC277" s="65"/>
      <x:c r="BD277" s="59"/>
      <x:c r="BE277" s="167"/>
      <x:c r="BF277" s="59"/>
    </x:row>
    <x:row r="278">
      <x:c r="A278" s="59"/>
      <x:c r="B278" s="59"/>
      <x:c r="C278" s="59"/>
      <x:c r="D278" s="59"/>
      <x:c r="E278" s="59"/>
      <x:c r="F278" s="59"/>
      <x:c r="G278" s="59"/>
      <x:c r="H278" s="59"/>
      <x:c r="I278" s="59"/>
      <x:c r="J278" s="59"/>
      <x:c r="K278" s="59"/>
      <x:c r="L278" s="59"/>
      <x:c r="M278" s="59"/>
      <x:c r="N278" s="59"/>
      <x:c r="O278" s="59"/>
      <x:c r="P278" s="59"/>
      <x:c r="Q278" s="75"/>
      <x:c r="R278" s="75"/>
      <x:c r="S278" s="75"/>
      <x:c r="T278" s="75"/>
      <x:c r="U278" s="75"/>
      <x:c r="V278" s="75"/>
      <x:c r="W278" s="60"/>
      <x:c r="X278" s="73" t="str">
        <x:f t="shared" si="44"/>
        <x:v>Tidak ada faktor rentan</x:v>
      </x:c>
      <x:c r="Y278" s="73" t="str">
        <x:f t="shared" si="45"/>
        <x:v>Tidak Ada Faktor Rentan</x:v>
      </x:c>
      <x:c r="Z278" s="74" t="str">
        <x:f t="shared" si="46"/>
      </x:c>
      <x:c r="AA278" s="74">
        <x:f t="shared" si="47"/>
        <x:v>0</x:v>
      </x:c>
      <x:c r="AB278" s="74" t="str">
        <x:f t="shared" si="48"/>
      </x:c>
      <x:c r="AC278" s="61"/>
      <x:c r="AD278" s="61"/>
      <x:c r="AE278" s="61"/>
      <x:c r="AF278" s="61"/>
      <x:c r="AG278" s="61"/>
      <x:c r="AH278" s="61"/>
      <x:c r="AI278" s="61"/>
      <x:c r="AJ278" s="61"/>
      <x:c r="AK278" s="61"/>
      <x:c r="AL278" s="61"/>
      <x:c r="AM278" s="61"/>
      <x:c r="AN278" s="73" t="str">
        <x:f t="shared" si="49"/>
        <x:v>Tidak ada risiko khusus</x:v>
      </x:c>
      <x:c r="AO278" s="73" t="str">
        <x:f t="shared" si="50"/>
        <x:v>Tidak Ada Risiko Khusus</x:v>
      </x:c>
      <x:c r="AP278" s="61"/>
      <x:c r="AQ278" s="64" t="str">
        <x:f t="shared" si="51"/>
      </x:c>
      <x:c r="AR278" s="64">
        <x:f t="shared" si="52"/>
        <x:v>0</x:v>
      </x:c>
      <x:c r="AS278" s="64" t="str">
        <x:f t="shared" si="53"/>
      </x:c>
      <x:c r="AT278" s="62" t="str">
        <x:f t="shared" si="54"/>
        <x:v>Belum Dapat Ditentukan</x:v>
      </x:c>
      <x:c r="AU278" s="59"/>
      <x:c r="AV278" s="59"/>
      <x:c r="AW278" s="59"/>
      <x:c r="AX278" s="59"/>
      <x:c r="AY278" s="59"/>
      <x:c r="AZ278" s="59"/>
      <x:c r="BA278" s="59"/>
      <x:c r="BB278" s="167"/>
      <x:c r="BC278" s="65"/>
      <x:c r="BD278" s="59"/>
      <x:c r="BE278" s="167"/>
      <x:c r="BF278" s="59"/>
    </x:row>
    <x:row r="279">
      <x:c r="A279" s="59"/>
      <x:c r="B279" s="59"/>
      <x:c r="C279" s="59"/>
      <x:c r="D279" s="59"/>
      <x:c r="E279" s="59"/>
      <x:c r="F279" s="59"/>
      <x:c r="G279" s="59"/>
      <x:c r="H279" s="59"/>
      <x:c r="I279" s="59"/>
      <x:c r="J279" s="59"/>
      <x:c r="K279" s="59"/>
      <x:c r="L279" s="59"/>
      <x:c r="M279" s="59"/>
      <x:c r="N279" s="59"/>
      <x:c r="O279" s="59"/>
      <x:c r="P279" s="59"/>
      <x:c r="Q279" s="75"/>
      <x:c r="R279" s="75"/>
      <x:c r="S279" s="75"/>
      <x:c r="T279" s="75"/>
      <x:c r="U279" s="75"/>
      <x:c r="V279" s="75"/>
      <x:c r="W279" s="60"/>
      <x:c r="X279" s="73" t="str">
        <x:f t="shared" si="44"/>
        <x:v>Tidak ada faktor rentan</x:v>
      </x:c>
      <x:c r="Y279" s="73" t="str">
        <x:f t="shared" si="45"/>
        <x:v>Tidak Ada Faktor Rentan</x:v>
      </x:c>
      <x:c r="Z279" s="74" t="str">
        <x:f t="shared" si="46"/>
      </x:c>
      <x:c r="AA279" s="74">
        <x:f t="shared" si="47"/>
        <x:v>0</x:v>
      </x:c>
      <x:c r="AB279" s="74" t="str">
        <x:f t="shared" si="48"/>
      </x:c>
      <x:c r="AC279" s="61"/>
      <x:c r="AD279" s="61"/>
      <x:c r="AE279" s="61"/>
      <x:c r="AF279" s="61"/>
      <x:c r="AG279" s="61"/>
      <x:c r="AH279" s="61"/>
      <x:c r="AI279" s="61"/>
      <x:c r="AJ279" s="61"/>
      <x:c r="AK279" s="61"/>
      <x:c r="AL279" s="61"/>
      <x:c r="AM279" s="61"/>
      <x:c r="AN279" s="73" t="str">
        <x:f t="shared" si="49"/>
        <x:v>Tidak ada risiko khusus</x:v>
      </x:c>
      <x:c r="AO279" s="73" t="str">
        <x:f t="shared" si="50"/>
        <x:v>Tidak Ada Risiko Khusus</x:v>
      </x:c>
      <x:c r="AP279" s="61"/>
      <x:c r="AQ279" s="64" t="str">
        <x:f t="shared" si="51"/>
      </x:c>
      <x:c r="AR279" s="64">
        <x:f t="shared" si="52"/>
        <x:v>0</x:v>
      </x:c>
      <x:c r="AS279" s="64" t="str">
        <x:f t="shared" si="53"/>
      </x:c>
      <x:c r="AT279" s="62" t="str">
        <x:f t="shared" si="54"/>
        <x:v>Belum Dapat Ditentukan</x:v>
      </x:c>
      <x:c r="AU279" s="59"/>
      <x:c r="AV279" s="59"/>
      <x:c r="AW279" s="59"/>
      <x:c r="AX279" s="59"/>
      <x:c r="AY279" s="59"/>
      <x:c r="AZ279" s="59"/>
      <x:c r="BA279" s="59"/>
      <x:c r="BB279" s="167"/>
      <x:c r="BC279" s="65"/>
      <x:c r="BD279" s="59"/>
      <x:c r="BE279" s="167"/>
      <x:c r="BF279" s="59"/>
    </x:row>
    <x:row r="280">
      <x:c r="A280" s="59"/>
      <x:c r="B280" s="59"/>
      <x:c r="C280" s="59"/>
      <x:c r="D280" s="59"/>
      <x:c r="E280" s="59"/>
      <x:c r="F280" s="59"/>
      <x:c r="G280" s="59"/>
      <x:c r="H280" s="59"/>
      <x:c r="I280" s="59"/>
      <x:c r="J280" s="59"/>
      <x:c r="K280" s="59"/>
      <x:c r="L280" s="59"/>
      <x:c r="M280" s="59"/>
      <x:c r="N280" s="59"/>
      <x:c r="O280" s="59"/>
      <x:c r="P280" s="59"/>
      <x:c r="Q280" s="75"/>
      <x:c r="R280" s="75"/>
      <x:c r="S280" s="75"/>
      <x:c r="T280" s="75"/>
      <x:c r="U280" s="75"/>
      <x:c r="V280" s="75"/>
      <x:c r="W280" s="60"/>
      <x:c r="X280" s="73" t="str">
        <x:f t="shared" si="44"/>
        <x:v>Tidak ada faktor rentan</x:v>
      </x:c>
      <x:c r="Y280" s="73" t="str">
        <x:f t="shared" si="45"/>
        <x:v>Tidak Ada Faktor Rentan</x:v>
      </x:c>
      <x:c r="Z280" s="74" t="str">
        <x:f t="shared" si="46"/>
      </x:c>
      <x:c r="AA280" s="74">
        <x:f t="shared" si="47"/>
        <x:v>0</x:v>
      </x:c>
      <x:c r="AB280" s="74" t="str">
        <x:f t="shared" si="48"/>
      </x:c>
      <x:c r="AC280" s="61"/>
      <x:c r="AD280" s="61"/>
      <x:c r="AE280" s="61"/>
      <x:c r="AF280" s="61"/>
      <x:c r="AG280" s="61"/>
      <x:c r="AH280" s="61"/>
      <x:c r="AI280" s="61"/>
      <x:c r="AJ280" s="61"/>
      <x:c r="AK280" s="61"/>
      <x:c r="AL280" s="61"/>
      <x:c r="AM280" s="61"/>
      <x:c r="AN280" s="73" t="str">
        <x:f t="shared" si="49"/>
        <x:v>Tidak ada risiko khusus</x:v>
      </x:c>
      <x:c r="AO280" s="73" t="str">
        <x:f t="shared" si="50"/>
        <x:v>Tidak Ada Risiko Khusus</x:v>
      </x:c>
      <x:c r="AP280" s="61"/>
      <x:c r="AQ280" s="64" t="str">
        <x:f t="shared" si="51"/>
      </x:c>
      <x:c r="AR280" s="64">
        <x:f t="shared" si="52"/>
        <x:v>0</x:v>
      </x:c>
      <x:c r="AS280" s="64" t="str">
        <x:f t="shared" si="53"/>
      </x:c>
      <x:c r="AT280" s="62" t="str">
        <x:f t="shared" si="54"/>
        <x:v>Belum Dapat Ditentukan</x:v>
      </x:c>
      <x:c r="AU280" s="59"/>
      <x:c r="AV280" s="59"/>
      <x:c r="AW280" s="59"/>
      <x:c r="AX280" s="59"/>
      <x:c r="AY280" s="59"/>
      <x:c r="AZ280" s="59"/>
      <x:c r="BA280" s="59"/>
      <x:c r="BB280" s="167"/>
      <x:c r="BC280" s="65"/>
      <x:c r="BD280" s="59"/>
      <x:c r="BE280" s="167"/>
      <x:c r="BF280" s="59"/>
    </x:row>
    <x:row r="281">
      <x:c r="A281" s="59"/>
      <x:c r="B281" s="59"/>
      <x:c r="C281" s="59"/>
      <x:c r="D281" s="59"/>
      <x:c r="E281" s="59"/>
      <x:c r="F281" s="59"/>
      <x:c r="G281" s="59"/>
      <x:c r="H281" s="59"/>
      <x:c r="I281" s="59"/>
      <x:c r="J281" s="59"/>
      <x:c r="K281" s="59"/>
      <x:c r="L281" s="59"/>
      <x:c r="M281" s="59"/>
      <x:c r="N281" s="59"/>
      <x:c r="O281" s="59"/>
      <x:c r="P281" s="59"/>
      <x:c r="Q281" s="75"/>
      <x:c r="R281" s="75"/>
      <x:c r="S281" s="75"/>
      <x:c r="T281" s="75"/>
      <x:c r="U281" s="75"/>
      <x:c r="V281" s="75"/>
      <x:c r="W281" s="60"/>
      <x:c r="X281" s="73" t="str">
        <x:f t="shared" si="44"/>
        <x:v>Tidak ada faktor rentan</x:v>
      </x:c>
      <x:c r="Y281" s="73" t="str">
        <x:f t="shared" si="45"/>
        <x:v>Tidak Ada Faktor Rentan</x:v>
      </x:c>
      <x:c r="Z281" s="74" t="str">
        <x:f t="shared" si="46"/>
      </x:c>
      <x:c r="AA281" s="74">
        <x:f t="shared" si="47"/>
        <x:v>0</x:v>
      </x:c>
      <x:c r="AB281" s="74" t="str">
        <x:f t="shared" si="48"/>
      </x:c>
      <x:c r="AC281" s="61"/>
      <x:c r="AD281" s="61"/>
      <x:c r="AE281" s="61"/>
      <x:c r="AF281" s="61"/>
      <x:c r="AG281" s="61"/>
      <x:c r="AH281" s="61"/>
      <x:c r="AI281" s="61"/>
      <x:c r="AJ281" s="61"/>
      <x:c r="AK281" s="61"/>
      <x:c r="AL281" s="61"/>
      <x:c r="AM281" s="61"/>
      <x:c r="AN281" s="73" t="str">
        <x:f t="shared" si="49"/>
        <x:v>Tidak ada risiko khusus</x:v>
      </x:c>
      <x:c r="AO281" s="73" t="str">
        <x:f t="shared" si="50"/>
        <x:v>Tidak Ada Risiko Khusus</x:v>
      </x:c>
      <x:c r="AP281" s="61"/>
      <x:c r="AQ281" s="64" t="str">
        <x:f t="shared" si="51"/>
      </x:c>
      <x:c r="AR281" s="64">
        <x:f t="shared" si="52"/>
        <x:v>0</x:v>
      </x:c>
      <x:c r="AS281" s="64" t="str">
        <x:f t="shared" si="53"/>
      </x:c>
      <x:c r="AT281" s="62" t="str">
        <x:f t="shared" si="54"/>
        <x:v>Belum Dapat Ditentukan</x:v>
      </x:c>
      <x:c r="AU281" s="59"/>
      <x:c r="AV281" s="59"/>
      <x:c r="AW281" s="59"/>
      <x:c r="AX281" s="59"/>
      <x:c r="AY281" s="59"/>
      <x:c r="AZ281" s="59"/>
      <x:c r="BA281" s="59"/>
      <x:c r="BB281" s="167"/>
      <x:c r="BC281" s="65"/>
      <x:c r="BD281" s="59"/>
      <x:c r="BE281" s="167"/>
      <x:c r="BF281" s="59"/>
    </x:row>
    <x:row r="282">
      <x:c r="A282" s="59"/>
      <x:c r="B282" s="59"/>
      <x:c r="C282" s="59"/>
      <x:c r="D282" s="59"/>
      <x:c r="E282" s="59"/>
      <x:c r="F282" s="59"/>
      <x:c r="G282" s="59"/>
      <x:c r="H282" s="59"/>
      <x:c r="I282" s="59"/>
      <x:c r="J282" s="59"/>
      <x:c r="K282" s="59"/>
      <x:c r="L282" s="59"/>
      <x:c r="M282" s="59"/>
      <x:c r="N282" s="59"/>
      <x:c r="O282" s="59"/>
      <x:c r="P282" s="59"/>
      <x:c r="Q282" s="75"/>
      <x:c r="R282" s="75"/>
      <x:c r="S282" s="75"/>
      <x:c r="T282" s="75"/>
      <x:c r="U282" s="75"/>
      <x:c r="V282" s="75"/>
      <x:c r="W282" s="60"/>
      <x:c r="X282" s="73" t="str">
        <x:f t="shared" si="44"/>
        <x:v>Tidak ada faktor rentan</x:v>
      </x:c>
      <x:c r="Y282" s="73" t="str">
        <x:f t="shared" si="45"/>
        <x:v>Tidak Ada Faktor Rentan</x:v>
      </x:c>
      <x:c r="Z282" s="74" t="str">
        <x:f t="shared" si="46"/>
      </x:c>
      <x:c r="AA282" s="74">
        <x:f t="shared" si="47"/>
        <x:v>0</x:v>
      </x:c>
      <x:c r="AB282" s="74" t="str">
        <x:f t="shared" si="48"/>
      </x:c>
      <x:c r="AC282" s="61"/>
      <x:c r="AD282" s="61"/>
      <x:c r="AE282" s="61"/>
      <x:c r="AF282" s="61"/>
      <x:c r="AG282" s="61"/>
      <x:c r="AH282" s="61"/>
      <x:c r="AI282" s="61"/>
      <x:c r="AJ282" s="61"/>
      <x:c r="AK282" s="61"/>
      <x:c r="AL282" s="61"/>
      <x:c r="AM282" s="61"/>
      <x:c r="AN282" s="73" t="str">
        <x:f t="shared" si="49"/>
        <x:v>Tidak ada risiko khusus</x:v>
      </x:c>
      <x:c r="AO282" s="73" t="str">
        <x:f t="shared" si="50"/>
        <x:v>Tidak Ada Risiko Khusus</x:v>
      </x:c>
      <x:c r="AP282" s="61"/>
      <x:c r="AQ282" s="64" t="str">
        <x:f t="shared" si="51"/>
      </x:c>
      <x:c r="AR282" s="64">
        <x:f t="shared" si="52"/>
        <x:v>0</x:v>
      </x:c>
      <x:c r="AS282" s="64" t="str">
        <x:f t="shared" si="53"/>
      </x:c>
      <x:c r="AT282" s="62" t="str">
        <x:f t="shared" si="54"/>
        <x:v>Belum Dapat Ditentukan</x:v>
      </x:c>
      <x:c r="AU282" s="59"/>
      <x:c r="AV282" s="59"/>
      <x:c r="AW282" s="59"/>
      <x:c r="AX282" s="59"/>
      <x:c r="AY282" s="59"/>
      <x:c r="AZ282" s="59"/>
      <x:c r="BA282" s="59"/>
      <x:c r="BB282" s="167"/>
      <x:c r="BC282" s="65"/>
      <x:c r="BD282" s="59"/>
      <x:c r="BE282" s="167"/>
      <x:c r="BF282" s="59"/>
    </x:row>
    <x:row r="283">
      <x:c r="A283" s="59"/>
      <x:c r="B283" s="59"/>
      <x:c r="C283" s="59"/>
      <x:c r="D283" s="59"/>
      <x:c r="E283" s="59"/>
      <x:c r="F283" s="59"/>
      <x:c r="G283" s="59"/>
      <x:c r="H283" s="59"/>
      <x:c r="I283" s="59"/>
      <x:c r="J283" s="59"/>
      <x:c r="K283" s="59"/>
      <x:c r="L283" s="59"/>
      <x:c r="M283" s="59"/>
      <x:c r="N283" s="59"/>
      <x:c r="O283" s="59"/>
      <x:c r="P283" s="59"/>
      <x:c r="Q283" s="75"/>
      <x:c r="R283" s="75"/>
      <x:c r="S283" s="75"/>
      <x:c r="T283" s="75"/>
      <x:c r="U283" s="75"/>
      <x:c r="V283" s="75"/>
      <x:c r="W283" s="60"/>
      <x:c r="X283" s="73" t="str">
        <x:f t="shared" si="44"/>
        <x:v>Tidak ada faktor rentan</x:v>
      </x:c>
      <x:c r="Y283" s="73" t="str">
        <x:f t="shared" si="45"/>
        <x:v>Tidak Ada Faktor Rentan</x:v>
      </x:c>
      <x:c r="Z283" s="74" t="str">
        <x:f t="shared" si="46"/>
      </x:c>
      <x:c r="AA283" s="74">
        <x:f t="shared" si="47"/>
        <x:v>0</x:v>
      </x:c>
      <x:c r="AB283" s="74" t="str">
        <x:f t="shared" si="48"/>
      </x:c>
      <x:c r="AC283" s="61"/>
      <x:c r="AD283" s="61"/>
      <x:c r="AE283" s="61"/>
      <x:c r="AF283" s="61"/>
      <x:c r="AG283" s="61"/>
      <x:c r="AH283" s="61"/>
      <x:c r="AI283" s="61"/>
      <x:c r="AJ283" s="61"/>
      <x:c r="AK283" s="61"/>
      <x:c r="AL283" s="61"/>
      <x:c r="AM283" s="61"/>
      <x:c r="AN283" s="73" t="str">
        <x:f t="shared" si="49"/>
        <x:v>Tidak ada risiko khusus</x:v>
      </x:c>
      <x:c r="AO283" s="73" t="str">
        <x:f t="shared" si="50"/>
        <x:v>Tidak Ada Risiko Khusus</x:v>
      </x:c>
      <x:c r="AP283" s="61"/>
      <x:c r="AQ283" s="64" t="str">
        <x:f t="shared" si="51"/>
      </x:c>
      <x:c r="AR283" s="64">
        <x:f t="shared" si="52"/>
        <x:v>0</x:v>
      </x:c>
      <x:c r="AS283" s="64" t="str">
        <x:f t="shared" si="53"/>
      </x:c>
      <x:c r="AT283" s="62" t="str">
        <x:f t="shared" si="54"/>
        <x:v>Belum Dapat Ditentukan</x:v>
      </x:c>
      <x:c r="AU283" s="59"/>
      <x:c r="AV283" s="59"/>
      <x:c r="AW283" s="59"/>
      <x:c r="AX283" s="59"/>
      <x:c r="AY283" s="59"/>
      <x:c r="AZ283" s="59"/>
      <x:c r="BA283" s="59"/>
      <x:c r="BB283" s="167"/>
      <x:c r="BC283" s="65"/>
      <x:c r="BD283" s="59"/>
      <x:c r="BE283" s="167"/>
      <x:c r="BF283" s="59"/>
    </x:row>
    <x:row r="284">
      <x:c r="A284" s="59"/>
      <x:c r="B284" s="59"/>
      <x:c r="C284" s="59"/>
      <x:c r="D284" s="59"/>
      <x:c r="E284" s="59"/>
      <x:c r="F284" s="59"/>
      <x:c r="G284" s="59"/>
      <x:c r="H284" s="59"/>
      <x:c r="I284" s="59"/>
      <x:c r="J284" s="59"/>
      <x:c r="K284" s="59"/>
      <x:c r="L284" s="59"/>
      <x:c r="M284" s="59"/>
      <x:c r="N284" s="59"/>
      <x:c r="O284" s="59"/>
      <x:c r="P284" s="59"/>
      <x:c r="Q284" s="75"/>
      <x:c r="R284" s="75"/>
      <x:c r="S284" s="75"/>
      <x:c r="T284" s="75"/>
      <x:c r="U284" s="75"/>
      <x:c r="V284" s="75"/>
      <x:c r="W284" s="60"/>
      <x:c r="X284" s="73" t="str">
        <x:f t="shared" si="44"/>
        <x:v>Tidak ada faktor rentan</x:v>
      </x:c>
      <x:c r="Y284" s="73" t="str">
        <x:f t="shared" si="45"/>
        <x:v>Tidak Ada Faktor Rentan</x:v>
      </x:c>
      <x:c r="Z284" s="74" t="str">
        <x:f t="shared" si="46"/>
      </x:c>
      <x:c r="AA284" s="74">
        <x:f t="shared" si="47"/>
        <x:v>0</x:v>
      </x:c>
      <x:c r="AB284" s="74" t="str">
        <x:f t="shared" si="48"/>
      </x:c>
      <x:c r="AC284" s="61"/>
      <x:c r="AD284" s="61"/>
      <x:c r="AE284" s="61"/>
      <x:c r="AF284" s="61"/>
      <x:c r="AG284" s="61"/>
      <x:c r="AH284" s="61"/>
      <x:c r="AI284" s="61"/>
      <x:c r="AJ284" s="61"/>
      <x:c r="AK284" s="61"/>
      <x:c r="AL284" s="61"/>
      <x:c r="AM284" s="61"/>
      <x:c r="AN284" s="73" t="str">
        <x:f t="shared" si="49"/>
        <x:v>Tidak ada risiko khusus</x:v>
      </x:c>
      <x:c r="AO284" s="73" t="str">
        <x:f t="shared" si="50"/>
        <x:v>Tidak Ada Risiko Khusus</x:v>
      </x:c>
      <x:c r="AP284" s="61"/>
      <x:c r="AQ284" s="64" t="str">
        <x:f t="shared" si="51"/>
      </x:c>
      <x:c r="AR284" s="64">
        <x:f t="shared" si="52"/>
        <x:v>0</x:v>
      </x:c>
      <x:c r="AS284" s="64" t="str">
        <x:f t="shared" si="53"/>
      </x:c>
      <x:c r="AT284" s="62" t="str">
        <x:f t="shared" si="54"/>
        <x:v>Belum Dapat Ditentukan</x:v>
      </x:c>
      <x:c r="AU284" s="59"/>
      <x:c r="AV284" s="59"/>
      <x:c r="AW284" s="59"/>
      <x:c r="AX284" s="59"/>
      <x:c r="AY284" s="59"/>
      <x:c r="AZ284" s="59"/>
      <x:c r="BA284" s="59"/>
      <x:c r="BB284" s="167"/>
      <x:c r="BC284" s="65"/>
      <x:c r="BD284" s="59"/>
      <x:c r="BE284" s="167"/>
      <x:c r="BF284" s="59"/>
    </x:row>
    <x:row r="285">
      <x:c r="A285" s="59"/>
      <x:c r="B285" s="59"/>
      <x:c r="C285" s="59"/>
      <x:c r="D285" s="59"/>
      <x:c r="E285" s="59"/>
      <x:c r="F285" s="59"/>
      <x:c r="G285" s="59"/>
      <x:c r="H285" s="59"/>
      <x:c r="I285" s="59"/>
      <x:c r="J285" s="59"/>
      <x:c r="K285" s="59"/>
      <x:c r="L285" s="59"/>
      <x:c r="M285" s="59"/>
      <x:c r="N285" s="59"/>
      <x:c r="O285" s="59"/>
      <x:c r="P285" s="59"/>
      <x:c r="Q285" s="75"/>
      <x:c r="R285" s="75"/>
      <x:c r="S285" s="75"/>
      <x:c r="T285" s="75"/>
      <x:c r="U285" s="75"/>
      <x:c r="V285" s="75"/>
      <x:c r="W285" s="60"/>
      <x:c r="X285" s="73" t="str">
        <x:f t="shared" si="44"/>
        <x:v>Tidak ada faktor rentan</x:v>
      </x:c>
      <x:c r="Y285" s="73" t="str">
        <x:f t="shared" si="45"/>
        <x:v>Tidak Ada Faktor Rentan</x:v>
      </x:c>
      <x:c r="Z285" s="74" t="str">
        <x:f t="shared" si="46"/>
      </x:c>
      <x:c r="AA285" s="74">
        <x:f t="shared" si="47"/>
        <x:v>0</x:v>
      </x:c>
      <x:c r="AB285" s="74" t="str">
        <x:f t="shared" si="48"/>
      </x:c>
      <x:c r="AC285" s="61"/>
      <x:c r="AD285" s="61"/>
      <x:c r="AE285" s="61"/>
      <x:c r="AF285" s="61"/>
      <x:c r="AG285" s="61"/>
      <x:c r="AH285" s="61"/>
      <x:c r="AI285" s="61"/>
      <x:c r="AJ285" s="61"/>
      <x:c r="AK285" s="61"/>
      <x:c r="AL285" s="61"/>
      <x:c r="AM285" s="61"/>
      <x:c r="AN285" s="73" t="str">
        <x:f t="shared" si="49"/>
        <x:v>Tidak ada risiko khusus</x:v>
      </x:c>
      <x:c r="AO285" s="73" t="str">
        <x:f t="shared" si="50"/>
        <x:v>Tidak Ada Risiko Khusus</x:v>
      </x:c>
      <x:c r="AP285" s="61"/>
      <x:c r="AQ285" s="64" t="str">
        <x:f t="shared" si="51"/>
      </x:c>
      <x:c r="AR285" s="64">
        <x:f t="shared" si="52"/>
        <x:v>0</x:v>
      </x:c>
      <x:c r="AS285" s="64" t="str">
        <x:f t="shared" si="53"/>
      </x:c>
      <x:c r="AT285" s="62" t="str">
        <x:f t="shared" si="54"/>
        <x:v>Belum Dapat Ditentukan</x:v>
      </x:c>
      <x:c r="AU285" s="59"/>
      <x:c r="AV285" s="59"/>
      <x:c r="AW285" s="59"/>
      <x:c r="AX285" s="59"/>
      <x:c r="AY285" s="59"/>
      <x:c r="AZ285" s="59"/>
      <x:c r="BA285" s="59"/>
      <x:c r="BB285" s="167"/>
      <x:c r="BC285" s="65"/>
      <x:c r="BD285" s="59"/>
      <x:c r="BE285" s="167"/>
      <x:c r="BF285" s="59"/>
    </x:row>
    <x:row r="286">
      <x:c r="A286" s="59"/>
      <x:c r="B286" s="59"/>
      <x:c r="C286" s="59"/>
      <x:c r="D286" s="59"/>
      <x:c r="E286" s="59"/>
      <x:c r="F286" s="59"/>
      <x:c r="G286" s="59"/>
      <x:c r="H286" s="59"/>
      <x:c r="I286" s="59"/>
      <x:c r="J286" s="59"/>
      <x:c r="K286" s="59"/>
      <x:c r="L286" s="59"/>
      <x:c r="M286" s="59"/>
      <x:c r="N286" s="59"/>
      <x:c r="O286" s="59"/>
      <x:c r="P286" s="59"/>
      <x:c r="Q286" s="75"/>
      <x:c r="R286" s="75"/>
      <x:c r="S286" s="75"/>
      <x:c r="T286" s="75"/>
      <x:c r="U286" s="75"/>
      <x:c r="V286" s="75"/>
      <x:c r="W286" s="60"/>
      <x:c r="X286" s="73" t="str">
        <x:f t="shared" si="44"/>
        <x:v>Tidak ada faktor rentan</x:v>
      </x:c>
      <x:c r="Y286" s="73" t="str">
        <x:f t="shared" si="45"/>
        <x:v>Tidak Ada Faktor Rentan</x:v>
      </x:c>
      <x:c r="Z286" s="74" t="str">
        <x:f t="shared" si="46"/>
      </x:c>
      <x:c r="AA286" s="74">
        <x:f t="shared" si="47"/>
        <x:v>0</x:v>
      </x:c>
      <x:c r="AB286" s="74" t="str">
        <x:f t="shared" si="48"/>
      </x:c>
      <x:c r="AC286" s="61"/>
      <x:c r="AD286" s="61"/>
      <x:c r="AE286" s="61"/>
      <x:c r="AF286" s="61"/>
      <x:c r="AG286" s="61"/>
      <x:c r="AH286" s="61"/>
      <x:c r="AI286" s="61"/>
      <x:c r="AJ286" s="61"/>
      <x:c r="AK286" s="61"/>
      <x:c r="AL286" s="61"/>
      <x:c r="AM286" s="61"/>
      <x:c r="AN286" s="73" t="str">
        <x:f t="shared" si="49"/>
        <x:v>Tidak ada risiko khusus</x:v>
      </x:c>
      <x:c r="AO286" s="73" t="str">
        <x:f t="shared" si="50"/>
        <x:v>Tidak Ada Risiko Khusus</x:v>
      </x:c>
      <x:c r="AP286" s="61"/>
      <x:c r="AQ286" s="64" t="str">
        <x:f t="shared" si="51"/>
      </x:c>
      <x:c r="AR286" s="64">
        <x:f t="shared" si="52"/>
        <x:v>0</x:v>
      </x:c>
      <x:c r="AS286" s="64" t="str">
        <x:f t="shared" si="53"/>
      </x:c>
      <x:c r="AT286" s="62" t="str">
        <x:f t="shared" si="54"/>
        <x:v>Belum Dapat Ditentukan</x:v>
      </x:c>
      <x:c r="AU286" s="59"/>
      <x:c r="AV286" s="59"/>
      <x:c r="AW286" s="59"/>
      <x:c r="AX286" s="59"/>
      <x:c r="AY286" s="59"/>
      <x:c r="AZ286" s="59"/>
      <x:c r="BA286" s="59"/>
      <x:c r="BB286" s="167"/>
      <x:c r="BC286" s="65"/>
      <x:c r="BD286" s="59"/>
      <x:c r="BE286" s="167"/>
      <x:c r="BF286" s="59"/>
    </x:row>
    <x:row r="287">
      <x:c r="A287" s="59"/>
      <x:c r="B287" s="59"/>
      <x:c r="C287" s="59"/>
      <x:c r="D287" s="59"/>
      <x:c r="E287" s="59"/>
      <x:c r="F287" s="59"/>
      <x:c r="G287" s="59"/>
      <x:c r="H287" s="59"/>
      <x:c r="I287" s="59"/>
      <x:c r="J287" s="59"/>
      <x:c r="K287" s="59"/>
      <x:c r="L287" s="59"/>
      <x:c r="M287" s="59"/>
      <x:c r="N287" s="59"/>
      <x:c r="O287" s="59"/>
      <x:c r="P287" s="59"/>
      <x:c r="Q287" s="75"/>
      <x:c r="R287" s="75"/>
      <x:c r="S287" s="75"/>
      <x:c r="T287" s="75"/>
      <x:c r="U287" s="75"/>
      <x:c r="V287" s="75"/>
      <x:c r="W287" s="60"/>
      <x:c r="X287" s="73" t="str">
        <x:f t="shared" si="44"/>
        <x:v>Tidak ada faktor rentan</x:v>
      </x:c>
      <x:c r="Y287" s="73" t="str">
        <x:f t="shared" si="45"/>
        <x:v>Tidak Ada Faktor Rentan</x:v>
      </x:c>
      <x:c r="Z287" s="74" t="str">
        <x:f t="shared" si="46"/>
      </x:c>
      <x:c r="AA287" s="74">
        <x:f t="shared" si="47"/>
        <x:v>0</x:v>
      </x:c>
      <x:c r="AB287" s="74" t="str">
        <x:f t="shared" si="48"/>
      </x:c>
      <x:c r="AC287" s="61"/>
      <x:c r="AD287" s="61"/>
      <x:c r="AE287" s="61"/>
      <x:c r="AF287" s="61"/>
      <x:c r="AG287" s="61"/>
      <x:c r="AH287" s="61"/>
      <x:c r="AI287" s="61"/>
      <x:c r="AJ287" s="61"/>
      <x:c r="AK287" s="61"/>
      <x:c r="AL287" s="61"/>
      <x:c r="AM287" s="61"/>
      <x:c r="AN287" s="73" t="str">
        <x:f t="shared" si="49"/>
        <x:v>Tidak ada risiko khusus</x:v>
      </x:c>
      <x:c r="AO287" s="73" t="str">
        <x:f t="shared" si="50"/>
        <x:v>Tidak Ada Risiko Khusus</x:v>
      </x:c>
      <x:c r="AP287" s="61"/>
      <x:c r="AQ287" s="64" t="str">
        <x:f t="shared" si="51"/>
      </x:c>
      <x:c r="AR287" s="64">
        <x:f t="shared" si="52"/>
        <x:v>0</x:v>
      </x:c>
      <x:c r="AS287" s="64" t="str">
        <x:f t="shared" si="53"/>
      </x:c>
      <x:c r="AT287" s="62" t="str">
        <x:f t="shared" si="54"/>
        <x:v>Belum Dapat Ditentukan</x:v>
      </x:c>
      <x:c r="AU287" s="59"/>
      <x:c r="AV287" s="59"/>
      <x:c r="AW287" s="59"/>
      <x:c r="AX287" s="59"/>
      <x:c r="AY287" s="59"/>
      <x:c r="AZ287" s="59"/>
      <x:c r="BA287" s="59"/>
      <x:c r="BB287" s="167"/>
      <x:c r="BC287" s="65"/>
      <x:c r="BD287" s="59"/>
      <x:c r="BE287" s="167"/>
      <x:c r="BF287" s="59"/>
    </x:row>
    <x:row r="288">
      <x:c r="A288" s="59"/>
      <x:c r="B288" s="59"/>
      <x:c r="C288" s="59"/>
      <x:c r="D288" s="59"/>
      <x:c r="E288" s="59"/>
      <x:c r="F288" s="59"/>
      <x:c r="G288" s="59"/>
      <x:c r="H288" s="59"/>
      <x:c r="I288" s="59"/>
      <x:c r="J288" s="59"/>
      <x:c r="K288" s="59"/>
      <x:c r="L288" s="59"/>
      <x:c r="M288" s="59"/>
      <x:c r="N288" s="59"/>
      <x:c r="O288" s="59"/>
      <x:c r="P288" s="59"/>
      <x:c r="Q288" s="75"/>
      <x:c r="R288" s="75"/>
      <x:c r="S288" s="75"/>
      <x:c r="T288" s="75"/>
      <x:c r="U288" s="75"/>
      <x:c r="V288" s="75"/>
      <x:c r="W288" s="60"/>
      <x:c r="X288" s="73" t="str">
        <x:f t="shared" si="44"/>
        <x:v>Tidak ada faktor rentan</x:v>
      </x:c>
      <x:c r="Y288" s="73" t="str">
        <x:f t="shared" si="45"/>
        <x:v>Tidak Ada Faktor Rentan</x:v>
      </x:c>
      <x:c r="Z288" s="74" t="str">
        <x:f t="shared" si="46"/>
      </x:c>
      <x:c r="AA288" s="74">
        <x:f t="shared" si="47"/>
        <x:v>0</x:v>
      </x:c>
      <x:c r="AB288" s="74" t="str">
        <x:f t="shared" si="48"/>
      </x:c>
      <x:c r="AC288" s="61"/>
      <x:c r="AD288" s="61"/>
      <x:c r="AE288" s="61"/>
      <x:c r="AF288" s="61"/>
      <x:c r="AG288" s="61"/>
      <x:c r="AH288" s="61"/>
      <x:c r="AI288" s="61"/>
      <x:c r="AJ288" s="61"/>
      <x:c r="AK288" s="61"/>
      <x:c r="AL288" s="61"/>
      <x:c r="AM288" s="61"/>
      <x:c r="AN288" s="73" t="str">
        <x:f t="shared" si="49"/>
        <x:v>Tidak ada risiko khusus</x:v>
      </x:c>
      <x:c r="AO288" s="73" t="str">
        <x:f t="shared" si="50"/>
        <x:v>Tidak Ada Risiko Khusus</x:v>
      </x:c>
      <x:c r="AP288" s="61"/>
      <x:c r="AQ288" s="64" t="str">
        <x:f t="shared" si="51"/>
      </x:c>
      <x:c r="AR288" s="64">
        <x:f t="shared" si="52"/>
        <x:v>0</x:v>
      </x:c>
      <x:c r="AS288" s="64" t="str">
        <x:f t="shared" si="53"/>
      </x:c>
      <x:c r="AT288" s="62" t="str">
        <x:f t="shared" si="54"/>
        <x:v>Belum Dapat Ditentukan</x:v>
      </x:c>
      <x:c r="AU288" s="59"/>
      <x:c r="AV288" s="59"/>
      <x:c r="AW288" s="59"/>
      <x:c r="AX288" s="59"/>
      <x:c r="AY288" s="59"/>
      <x:c r="AZ288" s="59"/>
      <x:c r="BA288" s="59"/>
      <x:c r="BB288" s="167"/>
      <x:c r="BC288" s="65"/>
      <x:c r="BD288" s="59"/>
      <x:c r="BE288" s="167"/>
      <x:c r="BF288" s="59"/>
    </x:row>
    <x:row r="289">
      <x:c r="A289" s="59"/>
      <x:c r="B289" s="59"/>
      <x:c r="C289" s="59"/>
      <x:c r="D289" s="59"/>
      <x:c r="E289" s="59"/>
      <x:c r="F289" s="59"/>
      <x:c r="G289" s="59"/>
      <x:c r="H289" s="59"/>
      <x:c r="I289" s="59"/>
      <x:c r="J289" s="59"/>
      <x:c r="K289" s="59"/>
      <x:c r="L289" s="59"/>
      <x:c r="M289" s="59"/>
      <x:c r="N289" s="59"/>
      <x:c r="O289" s="59"/>
      <x:c r="P289" s="59"/>
      <x:c r="Q289" s="75"/>
      <x:c r="R289" s="75"/>
      <x:c r="S289" s="75"/>
      <x:c r="T289" s="75"/>
      <x:c r="U289" s="75"/>
      <x:c r="V289" s="75"/>
      <x:c r="W289" s="60"/>
      <x:c r="X289" s="73" t="str">
        <x:f t="shared" si="44"/>
        <x:v>Tidak ada faktor rentan</x:v>
      </x:c>
      <x:c r="Y289" s="73" t="str">
        <x:f t="shared" si="45"/>
        <x:v>Tidak Ada Faktor Rentan</x:v>
      </x:c>
      <x:c r="Z289" s="74" t="str">
        <x:f t="shared" si="46"/>
      </x:c>
      <x:c r="AA289" s="74">
        <x:f t="shared" si="47"/>
        <x:v>0</x:v>
      </x:c>
      <x:c r="AB289" s="74" t="str">
        <x:f t="shared" si="48"/>
      </x:c>
      <x:c r="AC289" s="61"/>
      <x:c r="AD289" s="61"/>
      <x:c r="AE289" s="61"/>
      <x:c r="AF289" s="61"/>
      <x:c r="AG289" s="61"/>
      <x:c r="AH289" s="61"/>
      <x:c r="AI289" s="61"/>
      <x:c r="AJ289" s="61"/>
      <x:c r="AK289" s="61"/>
      <x:c r="AL289" s="61"/>
      <x:c r="AM289" s="61"/>
      <x:c r="AN289" s="73" t="str">
        <x:f t="shared" si="49"/>
        <x:v>Tidak ada risiko khusus</x:v>
      </x:c>
      <x:c r="AO289" s="73" t="str">
        <x:f t="shared" si="50"/>
        <x:v>Tidak Ada Risiko Khusus</x:v>
      </x:c>
      <x:c r="AP289" s="61"/>
      <x:c r="AQ289" s="64" t="str">
        <x:f t="shared" si="51"/>
      </x:c>
      <x:c r="AR289" s="64">
        <x:f t="shared" si="52"/>
        <x:v>0</x:v>
      </x:c>
      <x:c r="AS289" s="64" t="str">
        <x:f t="shared" si="53"/>
      </x:c>
      <x:c r="AT289" s="62" t="str">
        <x:f t="shared" si="54"/>
        <x:v>Belum Dapat Ditentukan</x:v>
      </x:c>
      <x:c r="AU289" s="59"/>
      <x:c r="AV289" s="59"/>
      <x:c r="AW289" s="59"/>
      <x:c r="AX289" s="59"/>
      <x:c r="AY289" s="59"/>
      <x:c r="AZ289" s="59"/>
      <x:c r="BA289" s="59"/>
      <x:c r="BB289" s="167"/>
      <x:c r="BC289" s="65"/>
      <x:c r="BD289" s="59"/>
      <x:c r="BE289" s="167"/>
      <x:c r="BF289" s="59"/>
    </x:row>
  </x:sheetData>
  <x:mergeCells>
    <x:mergeCell ref="A1:BF1"/>
    <x:mergeCell ref="A2:BF2"/>
    <x:mergeCell ref="A3:BF3"/>
  </x:mergeCells>
  <x:conditionalFormatting sqref="AS6:AS289">
    <x:cfRule type="dataBar" priority="1">
      <x:dataBar>
        <x:cfvo type="min"/>
        <x:cfvo type="max"/>
        <x:color rgb="FF175B72"/>
      </x:dataBar>
    </x:cfRule>
    <x:cfRule type="dataBar" priority="2">
      <x:dataBar>
        <x:cfvo type="min"/>
        <x:cfvo type="max"/>
        <x:color rgb="FF175B72"/>
      </x:dataBar>
    </x:cfRule>
    <x:cfRule type="dataBar" priority="3">
      <x:dataBar>
        <x:cfvo type="min"/>
        <x:cfvo type="max"/>
        <x:color rgb="FF175B72"/>
      </x:dataBar>
    </x:cfRule>
    <x:cfRule type="dataBar" priority="4">
      <x:dataBar>
        <x:cfvo type="min"/>
        <x:cfvo type="max"/>
        <x:color rgb="FF175B72"/>
      </x:dataBar>
      <x:extLst>
        <x:ext xmlns:x14="http://schemas.microsoft.com/office/spreadsheetml/2009/9/main" uri="{B025F937-C7B1-47D3-B67F-A62EFF666E3E}">
          <x14:id>{90C7FB45-05DF-470D-A9F0-6401B86881F3}</x14:id>
        </x:ext>
      </x:extLst>
    </x:cfRule>
  </x:conditionalFormatting>
  <x:dataValidations count="18">
    <x:dataValidation type="list" sqref="H6:H289">
      <x:formula1>$BI$2:$BI$5</x:formula1>
    </x:dataValidation>
    <x:dataValidation type="list" sqref="J6:J289">
      <x:formula1>$BJ$2:$BJ$5</x:formula1>
    </x:dataValidation>
    <x:dataValidation type="list" sqref="L6:L289">
      <x:formula1>$BL$2:$BL$7</x:formula1>
    </x:dataValidation>
    <x:dataValidation type="list" sqref="N6:N289">
      <x:formula1>$BN$2:$BN$7</x:formula1>
    </x:dataValidation>
    <x:dataValidation type="list" sqref="P6:P289">
      <x:formula1>$BP$2:$BP$7</x:formula1>
    </x:dataValidation>
    <x:dataValidation type="list" sqref="Q6:Q289">
      <x:formula1>$BQ$2:$BQ$5</x:formula1>
    </x:dataValidation>
    <x:dataValidation type="list" sqref="AC6:AK289 R6:V289">
      <x:formula1>$BR$2:$BR$4</x:formula1>
    </x:dataValidation>
    <x:dataValidation type="list" sqref="AM6:AM289">
      <x:formula1>$BS$2:$BS$4</x:formula1>
    </x:dataValidation>
    <x:dataValidation type="list" sqref="AU6:AU289">
      <x:formula1>$BT$2:$BT$3</x:formula1>
    </x:dataValidation>
    <x:dataValidation type="list" sqref="AV6:AV289">
      <x:formula1>$BU$2:$BU$3</x:formula1>
    </x:dataValidation>
    <x:dataValidation type="list" sqref="AW6:AW289">
      <x:formula1>$BV$2:$BV$5</x:formula1>
    </x:dataValidation>
    <x:dataValidation type="list" sqref="AZ6:AZ289">
      <x:formula1>$BX$2:$BX$6</x:formula1>
    </x:dataValidation>
    <x:dataValidation type="list" sqref="BD6:BD289">
      <x:formula1>$BY$2:$BY$6</x:formula1>
    </x:dataValidation>
    <x:dataValidation type="list" sqref="AX6:AX289">
      <x:formula1>$BW$2:$BW$8</x:formula1>
    </x:dataValidation>
    <x:dataValidation type="list" sqref="O6:O289">
      <x:formula1>$BO$2:$BO$8</x:formula1>
    </x:dataValidation>
    <x:dataValidation type="list" sqref="M6:M289">
      <x:formula1>$BM$2:$BM$10</x:formula1>
    </x:dataValidation>
    <x:dataValidation type="list" sqref="K6:K289">
      <x:formula1>$BK$2:$BK$9</x:formula1>
    </x:dataValidation>
    <x:dataValidation type="list" sqref="G6:G289">
      <x:formula1>$BH$2:$BH$8</x:formula1>
    </x:dataValidation>
  </x:dataValidations>
  <x:pageMargins left="0.7" right="0.7" top="0.75" bottom="0.75" header="0.3" footer="0.3"/>
  <x:drawing xmlns:r="http://schemas.openxmlformats.org/officeDocument/2006/relationships" r:id="R60f85fa203464165"/>
  <x:legacyDrawing xmlns:r="http://schemas.openxmlformats.org/officeDocument/2006/relationships" r:id="Rb49c3ef88c8d4e63"/>
  <x:tableParts count="1">
    <x:tablePart xmlns:r="http://schemas.openxmlformats.org/officeDocument/2006/relationships" r:id="Rf45a1ee234cb428d"/>
  </x:tableParts>
  <x:extLst>
    <x:ext xmlns:x14="http://schemas.microsoft.com/office/spreadsheetml/2009/9/main" xmlns:xm="http://schemas.microsoft.com/office/excel/2006/main" uri="{78C0D931-6437-407d-A8EE-F0AAD7539E65}">
      <x14:conditionalFormattings>
        <x14:conditionalFormatting>
          <x14:cfRule type="dataBar" priority="4" id="{90C7FB45-05DF-470D-A9F0-6401B86881F3}">
            <x14:dataBar>
              <x14:cfvo type="min"/>
              <x14:cfvo type="max"/>
              <x14:fillColor rgb="FF175B72"/>
              <x14:negativeFillColor auto="1"/>
              <x14:axisColor auto="1"/>
            </x14:dataBar>
          </x14:cfRule>
          <xm:sqref>AS6:AS289</xm:sqref>
        </x14:conditionalFormatting>
      </x14:conditionalFormattings>
    </x:ext>
  </x:extLst>
</x:worksheet>
</file>

<file path=xl/worksheets/sheet7.xml><?xml version="1.0" encoding="utf-8"?>
<x:worksheet xmlns:x="http://schemas.openxmlformats.org/spreadsheetml/2006/main">
  <x:sheetFormatPr defaultRowHeight="14"/>
  <x:cols>
    <x:col min="1" max="1" width="15" customWidth="1"/>
    <x:col min="2" max="2" width="28" customWidth="1"/>
    <x:col min="3" max="3" width="16" customWidth="1"/>
    <x:col min="4" max="4" width="12" customWidth="1"/>
    <x:col min="5" max="5" width="16" customWidth="1"/>
    <x:col min="6" max="6" width="15" customWidth="1"/>
    <x:col min="7" max="7" width="22" customWidth="1"/>
    <x:col min="8" max="8" width="20" customWidth="1"/>
    <x:col min="9" max="9" width="34" customWidth="1"/>
    <x:col min="10" max="10" width="13" customWidth="1"/>
    <x:col min="11" max="11" width="30" customWidth="1"/>
    <x:col min="12" max="12" width="20" customWidth="1"/>
    <x:col min="13" max="13" width="16" customWidth="1"/>
    <x:col min="14" max="14" width="20" customWidth="1"/>
  </x:cols>
  <x:sheetData>
    <x:row r="1" ht="23">
      <x:c r="A1" s="258" t="s">
        <x:v>2336</x:v>
      </x:c>
      <x:c r="B1" s="258"/>
      <x:c r="C1" s="258"/>
      <x:c r="D1" s="258"/>
      <x:c r="E1" s="258"/>
      <x:c r="F1" s="258"/>
      <x:c r="G1" s="258"/>
      <x:c r="H1" s="258"/>
      <x:c r="I1" s="258"/>
      <x:c r="J1" s="258"/>
      <x:c r="K1" s="258"/>
      <x:c r="L1" s="258"/>
      <x:c r="M1" s="258"/>
      <x:c r="N1" s="258"/>
    </x:row>
    <x:row r="2">
      <x:c r="A2" s="260" t="s">
        <x:v>2337</x:v>
      </x:c>
      <x:c r="B2" s="260"/>
      <x:c r="C2" s="260"/>
      <x:c r="D2" s="260"/>
      <x:c r="E2" s="260"/>
      <x:c r="F2" s="260"/>
      <x:c r="G2" s="260"/>
      <x:c r="H2" s="260"/>
      <x:c r="I2" s="260"/>
      <x:c r="J2" s="260"/>
      <x:c r="K2" s="260"/>
      <x:c r="L2" s="260"/>
      <x:c r="M2" s="260"/>
      <x:c r="N2" s="260"/>
    </x:row>
    <x:row r="3">
      <x:c r="A3" s="261" t="s">
        <x:v>1366</x:v>
      </x:c>
      <x:c r="B3" s="261"/>
      <x:c r="C3" s="261"/>
      <x:c r="D3" s="261"/>
      <x:c r="E3" s="261"/>
      <x:c r="F3" s="261"/>
      <x:c r="G3" s="261"/>
      <x:c r="H3" s="261"/>
      <x:c r="I3" s="261"/>
      <x:c r="J3" s="261"/>
      <x:c r="K3" s="261"/>
      <x:c r="L3" s="261"/>
      <x:c r="M3" s="261"/>
      <x:c r="N3" s="261"/>
    </x:row>
    <x:row r="5" ht="26">
      <x:c r="A5" s="1" t="s">
        <x:v>2338</x:v>
      </x:c>
      <x:c r="B5" s="2" t="s">
        <x:v>2339</x:v>
      </x:c>
      <x:c r="C5" s="2" t="s">
        <x:v>2340</x:v>
      </x:c>
      <x:c r="D5" s="2" t="s">
        <x:v>2341</x:v>
      </x:c>
      <x:c r="E5" s="2" t="s">
        <x:v>2342</x:v>
      </x:c>
      <x:c r="F5" s="2" t="s">
        <x:v>2343</x:v>
      </x:c>
      <x:c r="G5" s="2" t="s">
        <x:v>2344</x:v>
      </x:c>
      <x:c r="H5" s="2" t="s">
        <x:v>2345</x:v>
      </x:c>
      <x:c r="I5" s="2" t="s">
        <x:v>1276</x:v>
      </x:c>
      <x:c r="J5" s="2" t="s">
        <x:v>27</x:v>
      </x:c>
      <x:c r="K5" s="2" t="s">
        <x:v>28</x:v>
      </x:c>
      <x:c r="L5" s="2" t="s">
        <x:v>29</x:v>
      </x:c>
      <x:c r="M5" s="2" t="s">
        <x:v>30</x:v>
      </x:c>
      <x:c r="N5" s="3" t="s">
        <x:v>31</x:v>
      </x:c>
    </x:row>
    <x:row r="6">
      <x:c r="A6" s="28" t="s">
        <x:v>2346</x:v>
      </x:c>
      <x:c r="B6" s="51" t="s">
        <x:v>2347</x:v>
      </x:c>
      <x:c r="C6" s="8" t="s">
        <x:v>2348</x:v>
      </x:c>
      <x:c r="D6" s="18" t="s">
        <x:v>2349</x:v>
      </x:c>
      <x:c r="E6" s="36" t="s">
        <x:v>1372</x:v>
      </x:c>
      <x:c r="F6" s="5"/>
      <x:c r="G6" s="9" t="s">
        <x:v>2350</x:v>
      </x:c>
      <x:c r="H6" s="9" t="s">
        <x:v>1402</x:v>
      </x:c>
      <x:c r="I6" s="5"/>
      <x:c r="J6" s="18"/>
      <x:c r="K6" s="9"/>
      <x:c r="L6" s="9"/>
      <x:c r="M6" s="12"/>
      <x:c r="N6" s="31"/>
    </x:row>
    <x:row r="7">
      <x:c r="A7" s="28" t="s">
        <x:v>2351</x:v>
      </x:c>
      <x:c r="B7" s="51" t="s">
        <x:v>2347</x:v>
      </x:c>
      <x:c r="C7" s="8" t="s">
        <x:v>2348</x:v>
      </x:c>
      <x:c r="D7" s="18" t="s">
        <x:v>2349</x:v>
      </x:c>
      <x:c r="E7" s="36" t="s">
        <x:v>1374</x:v>
      </x:c>
      <x:c r="F7" s="5"/>
      <x:c r="G7" s="9" t="s">
        <x:v>2350</x:v>
      </x:c>
      <x:c r="H7" s="9" t="s">
        <x:v>1418</x:v>
      </x:c>
      <x:c r="I7" s="5"/>
      <x:c r="J7" s="18"/>
      <x:c r="K7" s="9"/>
      <x:c r="L7" s="9"/>
      <x:c r="M7" s="12"/>
      <x:c r="N7" s="31"/>
    </x:row>
    <x:row r="8">
      <x:c r="A8" s="28" t="s">
        <x:v>2352</x:v>
      </x:c>
      <x:c r="B8" s="51" t="s">
        <x:v>2347</x:v>
      </x:c>
      <x:c r="C8" s="8" t="s">
        <x:v>2348</x:v>
      </x:c>
      <x:c r="D8" s="18" t="s">
        <x:v>2349</x:v>
      </x:c>
      <x:c r="E8" s="36" t="s">
        <x:v>1375</x:v>
      </x:c>
      <x:c r="F8" s="5"/>
      <x:c r="G8" s="9" t="s">
        <x:v>2350</x:v>
      </x:c>
      <x:c r="H8" s="9" t="s">
        <x:v>1402</x:v>
      </x:c>
      <x:c r="I8" s="5"/>
      <x:c r="J8" s="18"/>
      <x:c r="K8" s="9"/>
      <x:c r="L8" s="9"/>
      <x:c r="M8" s="12"/>
      <x:c r="N8" s="31"/>
    </x:row>
    <x:row r="9">
      <x:c r="A9" s="28" t="s">
        <x:v>2353</x:v>
      </x:c>
      <x:c r="B9" s="51" t="s">
        <x:v>2347</x:v>
      </x:c>
      <x:c r="C9" s="8" t="s">
        <x:v>2348</x:v>
      </x:c>
      <x:c r="D9" s="18" t="s">
        <x:v>2349</x:v>
      </x:c>
      <x:c r="E9" s="36" t="s">
        <x:v>1376</x:v>
      </x:c>
      <x:c r="F9" s="5"/>
      <x:c r="G9" s="9" t="s">
        <x:v>2350</x:v>
      </x:c>
      <x:c r="H9" s="9" t="s">
        <x:v>1402</x:v>
      </x:c>
      <x:c r="I9" s="5"/>
      <x:c r="J9" s="18"/>
      <x:c r="K9" s="9"/>
      <x:c r="L9" s="9"/>
      <x:c r="M9" s="12"/>
      <x:c r="N9" s="31"/>
    </x:row>
    <x:row r="10">
      <x:c r="A10" s="28" t="s">
        <x:v>2354</x:v>
      </x:c>
      <x:c r="B10" s="51" t="s">
        <x:v>2347</x:v>
      </x:c>
      <x:c r="C10" s="8" t="s">
        <x:v>2348</x:v>
      </x:c>
      <x:c r="D10" s="18" t="s">
        <x:v>2349</x:v>
      </x:c>
      <x:c r="E10" s="36" t="s">
        <x:v>1377</x:v>
      </x:c>
      <x:c r="F10" s="5"/>
      <x:c r="G10" s="9" t="s">
        <x:v>2355</x:v>
      </x:c>
      <x:c r="H10" s="9" t="s">
        <x:v>1418</x:v>
      </x:c>
      <x:c r="I10" s="5"/>
      <x:c r="J10" s="18"/>
      <x:c r="K10" s="9"/>
      <x:c r="L10" s="9"/>
      <x:c r="M10" s="12"/>
      <x:c r="N10" s="31"/>
    </x:row>
    <x:row r="11">
      <x:c r="A11" s="28" t="s">
        <x:v>2356</x:v>
      </x:c>
      <x:c r="B11" s="51" t="s">
        <x:v>2347</x:v>
      </x:c>
      <x:c r="C11" s="8" t="s">
        <x:v>2348</x:v>
      </x:c>
      <x:c r="D11" s="18" t="s">
        <x:v>2349</x:v>
      </x:c>
      <x:c r="E11" s="36" t="s">
        <x:v>1378</x:v>
      </x:c>
      <x:c r="F11" s="5"/>
      <x:c r="G11" s="9" t="s">
        <x:v>2350</x:v>
      </x:c>
      <x:c r="H11" s="9" t="s">
        <x:v>1418</x:v>
      </x:c>
      <x:c r="I11" s="5"/>
      <x:c r="J11" s="18"/>
      <x:c r="K11" s="9"/>
      <x:c r="L11" s="9"/>
      <x:c r="M11" s="12"/>
      <x:c r="N11" s="31"/>
    </x:row>
    <x:row r="12">
      <x:c r="A12" s="28" t="s">
        <x:v>2357</x:v>
      </x:c>
      <x:c r="B12" s="51" t="s">
        <x:v>2347</x:v>
      </x:c>
      <x:c r="C12" s="8" t="s">
        <x:v>2348</x:v>
      </x:c>
      <x:c r="D12" s="18" t="s">
        <x:v>2349</x:v>
      </x:c>
      <x:c r="E12" s="36" t="s">
        <x:v>1379</x:v>
      </x:c>
      <x:c r="F12" s="5"/>
      <x:c r="G12" s="9" t="s">
        <x:v>2350</x:v>
      </x:c>
      <x:c r="H12" s="9" t="s">
        <x:v>1418</x:v>
      </x:c>
      <x:c r="I12" s="5"/>
      <x:c r="J12" s="18"/>
      <x:c r="K12" s="9"/>
      <x:c r="L12" s="9"/>
      <x:c r="M12" s="12"/>
      <x:c r="N12" s="31"/>
    </x:row>
    <x:row r="13">
      <x:c r="A13" s="28" t="s">
        <x:v>2358</x:v>
      </x:c>
      <x:c r="B13" s="51" t="s">
        <x:v>2347</x:v>
      </x:c>
      <x:c r="C13" s="8" t="s">
        <x:v>2348</x:v>
      </x:c>
      <x:c r="D13" s="18" t="s">
        <x:v>2349</x:v>
      </x:c>
      <x:c r="E13" s="36" t="s">
        <x:v>2359</x:v>
      </x:c>
      <x:c r="F13" s="5"/>
      <x:c r="G13" s="9" t="s">
        <x:v>2350</x:v>
      </x:c>
      <x:c r="H13" s="9" t="s">
        <x:v>1402</x:v>
      </x:c>
      <x:c r="I13" s="5"/>
      <x:c r="J13" s="18"/>
      <x:c r="K13" s="9"/>
      <x:c r="L13" s="9"/>
      <x:c r="M13" s="12"/>
      <x:c r="N13" s="31"/>
    </x:row>
    <x:row r="14">
      <x:c r="A14" s="28" t="s">
        <x:v>2360</x:v>
      </x:c>
      <x:c r="B14" s="51" t="s">
        <x:v>2347</x:v>
      </x:c>
      <x:c r="C14" s="8" t="s">
        <x:v>2348</x:v>
      </x:c>
      <x:c r="D14" s="18" t="s">
        <x:v>2349</x:v>
      </x:c>
      <x:c r="E14" s="36" t="s">
        <x:v>2361</x:v>
      </x:c>
      <x:c r="F14" s="5"/>
      <x:c r="G14" s="9" t="s">
        <x:v>2355</x:v>
      </x:c>
      <x:c r="H14" s="9" t="s">
        <x:v>1402</x:v>
      </x:c>
      <x:c r="I14" s="5"/>
      <x:c r="J14" s="18"/>
      <x:c r="K14" s="9"/>
      <x:c r="L14" s="9"/>
      <x:c r="M14" s="12"/>
      <x:c r="N14" s="31"/>
    </x:row>
    <x:row r="15">
      <x:c r="A15" s="28" t="s">
        <x:v>2362</x:v>
      </x:c>
      <x:c r="B15" s="51" t="s">
        <x:v>2347</x:v>
      </x:c>
      <x:c r="C15" s="8" t="s">
        <x:v>2348</x:v>
      </x:c>
      <x:c r="D15" s="18" t="s">
        <x:v>2349</x:v>
      </x:c>
      <x:c r="E15" s="36" t="s">
        <x:v>2363</x:v>
      </x:c>
      <x:c r="F15" s="5"/>
      <x:c r="G15" s="9" t="s">
        <x:v>2364</x:v>
      </x:c>
      <x:c r="H15" s="9" t="s">
        <x:v>1487</x:v>
      </x:c>
      <x:c r="I15" s="5"/>
      <x:c r="J15" s="18"/>
      <x:c r="K15" s="9"/>
      <x:c r="L15" s="9"/>
      <x:c r="M15" s="12"/>
      <x:c r="N15" s="31"/>
    </x:row>
    <x:row r="16">
      <x:c r="A16" s="28" t="s">
        <x:v>2365</x:v>
      </x:c>
      <x:c r="B16" s="51" t="s">
        <x:v>2347</x:v>
      </x:c>
      <x:c r="C16" s="8" t="s">
        <x:v>2348</x:v>
      </x:c>
      <x:c r="D16" s="18" t="s">
        <x:v>2349</x:v>
      </x:c>
      <x:c r="E16" s="36" t="s">
        <x:v>2366</x:v>
      </x:c>
      <x:c r="F16" s="5"/>
      <x:c r="G16" s="9" t="s">
        <x:v>2364</x:v>
      </x:c>
      <x:c r="H16" s="9" t="s">
        <x:v>1487</x:v>
      </x:c>
      <x:c r="I16" s="5"/>
      <x:c r="J16" s="18"/>
      <x:c r="K16" s="9"/>
      <x:c r="L16" s="9"/>
      <x:c r="M16" s="12"/>
      <x:c r="N16" s="31"/>
    </x:row>
    <x:row r="17">
      <x:c r="A17" s="28" t="s">
        <x:v>2367</x:v>
      </x:c>
      <x:c r="B17" s="51" t="s">
        <x:v>2347</x:v>
      </x:c>
      <x:c r="C17" s="8" t="s">
        <x:v>2348</x:v>
      </x:c>
      <x:c r="D17" s="18" t="s">
        <x:v>2349</x:v>
      </x:c>
      <x:c r="E17" s="36" t="s">
        <x:v>2368</x:v>
      </x:c>
      <x:c r="F17" s="5"/>
      <x:c r="G17" s="9" t="s">
        <x:v>2364</x:v>
      </x:c>
      <x:c r="H17" s="9" t="s">
        <x:v>1487</x:v>
      </x:c>
      <x:c r="I17" s="5"/>
      <x:c r="J17" s="18"/>
      <x:c r="K17" s="9"/>
      <x:c r="L17" s="9"/>
      <x:c r="M17" s="12"/>
      <x:c r="N17" s="31"/>
    </x:row>
    <x:row r="18">
      <x:c r="A18" s="28" t="s">
        <x:v>2369</x:v>
      </x:c>
      <x:c r="B18" s="51" t="s">
        <x:v>2347</x:v>
      </x:c>
      <x:c r="C18" s="8" t="s">
        <x:v>2348</x:v>
      </x:c>
      <x:c r="D18" s="18" t="s">
        <x:v>2349</x:v>
      </x:c>
      <x:c r="E18" s="36" t="s">
        <x:v>2370</x:v>
      </x:c>
      <x:c r="F18" s="5"/>
      <x:c r="G18" s="9" t="s">
        <x:v>2355</x:v>
      </x:c>
      <x:c r="H18" s="9" t="s">
        <x:v>1418</x:v>
      </x:c>
      <x:c r="I18" s="5"/>
      <x:c r="J18" s="18"/>
      <x:c r="K18" s="9"/>
      <x:c r="L18" s="9"/>
      <x:c r="M18" s="12"/>
      <x:c r="N18" s="31"/>
    </x:row>
    <x:row r="19">
      <x:c r="A19" s="28" t="s">
        <x:v>2371</x:v>
      </x:c>
      <x:c r="B19" s="51" t="s">
        <x:v>2347</x:v>
      </x:c>
      <x:c r="C19" s="8" t="s">
        <x:v>2348</x:v>
      </x:c>
      <x:c r="D19" s="18" t="s">
        <x:v>2349</x:v>
      </x:c>
      <x:c r="E19" s="36" t="s">
        <x:v>2372</x:v>
      </x:c>
      <x:c r="F19" s="5"/>
      <x:c r="G19" s="9" t="s">
        <x:v>2355</x:v>
      </x:c>
      <x:c r="H19" s="9" t="s">
        <x:v>1418</x:v>
      </x:c>
      <x:c r="I19" s="5"/>
      <x:c r="J19" s="18"/>
      <x:c r="K19" s="9"/>
      <x:c r="L19" s="9"/>
      <x:c r="M19" s="12"/>
      <x:c r="N19" s="31"/>
    </x:row>
    <x:row r="20">
      <x:c r="A20" s="28" t="s">
        <x:v>2373</x:v>
      </x:c>
      <x:c r="B20" s="51" t="s">
        <x:v>2347</x:v>
      </x:c>
      <x:c r="C20" s="8" t="s">
        <x:v>2348</x:v>
      </x:c>
      <x:c r="D20" s="18" t="s">
        <x:v>2349</x:v>
      </x:c>
      <x:c r="E20" s="36" t="s">
        <x:v>2374</x:v>
      </x:c>
      <x:c r="F20" s="5"/>
      <x:c r="G20" s="9" t="s">
        <x:v>2355</x:v>
      </x:c>
      <x:c r="H20" s="9" t="s">
        <x:v>1418</x:v>
      </x:c>
      <x:c r="I20" s="5"/>
      <x:c r="J20" s="18"/>
      <x:c r="K20" s="9"/>
      <x:c r="L20" s="9"/>
      <x:c r="M20" s="12"/>
      <x:c r="N20" s="31"/>
    </x:row>
    <x:row r="21">
      <x:c r="A21" s="28" t="s">
        <x:v>2375</x:v>
      </x:c>
      <x:c r="B21" s="51" t="s">
        <x:v>2347</x:v>
      </x:c>
      <x:c r="C21" s="8" t="s">
        <x:v>2348</x:v>
      </x:c>
      <x:c r="D21" s="18" t="s">
        <x:v>2349</x:v>
      </x:c>
      <x:c r="E21" s="36" t="s">
        <x:v>2376</x:v>
      </x:c>
      <x:c r="F21" s="5"/>
      <x:c r="G21" s="9" t="s">
        <x:v>2350</x:v>
      </x:c>
      <x:c r="H21" s="9" t="s">
        <x:v>1418</x:v>
      </x:c>
      <x:c r="I21" s="5"/>
      <x:c r="J21" s="18"/>
      <x:c r="K21" s="9"/>
      <x:c r="L21" s="9"/>
      <x:c r="M21" s="12"/>
      <x:c r="N21" s="31"/>
    </x:row>
    <x:row r="22">
      <x:c r="A22" s="28" t="s">
        <x:v>2377</x:v>
      </x:c>
      <x:c r="B22" s="51" t="s">
        <x:v>2347</x:v>
      </x:c>
      <x:c r="C22" s="8" t="s">
        <x:v>2348</x:v>
      </x:c>
      <x:c r="D22" s="18" t="s">
        <x:v>2349</x:v>
      </x:c>
      <x:c r="E22" s="36" t="s">
        <x:v>2378</x:v>
      </x:c>
      <x:c r="F22" s="5"/>
      <x:c r="G22" s="9" t="s">
        <x:v>2350</x:v>
      </x:c>
      <x:c r="H22" s="9" t="s">
        <x:v>1418</x:v>
      </x:c>
      <x:c r="I22" s="5"/>
      <x:c r="J22" s="18"/>
      <x:c r="K22" s="9"/>
      <x:c r="L22" s="9"/>
      <x:c r="M22" s="12"/>
      <x:c r="N22" s="31"/>
    </x:row>
    <x:row r="23">
      <x:c r="A23" s="28" t="s">
        <x:v>2379</x:v>
      </x:c>
      <x:c r="B23" s="51" t="s">
        <x:v>2347</x:v>
      </x:c>
      <x:c r="C23" s="8" t="s">
        <x:v>2348</x:v>
      </x:c>
      <x:c r="D23" s="18" t="s">
        <x:v>2349</x:v>
      </x:c>
      <x:c r="E23" s="36" t="s">
        <x:v>2380</x:v>
      </x:c>
      <x:c r="F23" s="5"/>
      <x:c r="G23" s="9" t="s">
        <x:v>2350</x:v>
      </x:c>
      <x:c r="H23" s="9" t="s">
        <x:v>1418</x:v>
      </x:c>
      <x:c r="I23" s="5"/>
      <x:c r="J23" s="18"/>
      <x:c r="K23" s="9"/>
      <x:c r="L23" s="9"/>
      <x:c r="M23" s="12"/>
      <x:c r="N23" s="31"/>
    </x:row>
    <x:row r="24">
      <x:c r="A24" s="28" t="s">
        <x:v>2381</x:v>
      </x:c>
      <x:c r="B24" s="51" t="s">
        <x:v>2347</x:v>
      </x:c>
      <x:c r="C24" s="8" t="s">
        <x:v>2348</x:v>
      </x:c>
      <x:c r="D24" s="18" t="s">
        <x:v>2349</x:v>
      </x:c>
      <x:c r="E24" s="36" t="s">
        <x:v>2382</x:v>
      </x:c>
      <x:c r="F24" s="5"/>
      <x:c r="G24" s="9" t="s">
        <x:v>2355</x:v>
      </x:c>
      <x:c r="H24" s="9" t="s">
        <x:v>1433</x:v>
      </x:c>
      <x:c r="I24" s="5"/>
      <x:c r="J24" s="18"/>
      <x:c r="K24" s="9"/>
      <x:c r="L24" s="9"/>
      <x:c r="M24" s="12"/>
      <x:c r="N24" s="31"/>
    </x:row>
    <x:row r="25">
      <x:c r="A25" s="28" t="s">
        <x:v>2383</x:v>
      </x:c>
      <x:c r="B25" s="51" t="s">
        <x:v>2347</x:v>
      </x:c>
      <x:c r="C25" s="8" t="s">
        <x:v>2348</x:v>
      </x:c>
      <x:c r="D25" s="18" t="s">
        <x:v>2349</x:v>
      </x:c>
      <x:c r="E25" s="36" t="s">
        <x:v>2384</x:v>
      </x:c>
      <x:c r="F25" s="5"/>
      <x:c r="G25" s="9" t="s">
        <x:v>2350</x:v>
      </x:c>
      <x:c r="H25" s="9" t="s">
        <x:v>1418</x:v>
      </x:c>
      <x:c r="I25" s="5"/>
      <x:c r="J25" s="18"/>
      <x:c r="K25" s="9"/>
      <x:c r="L25" s="9"/>
      <x:c r="M25" s="12"/>
      <x:c r="N25" s="31"/>
    </x:row>
    <x:row r="26">
      <x:c r="A26" s="28" t="s">
        <x:v>2385</x:v>
      </x:c>
      <x:c r="B26" s="51" t="s">
        <x:v>2347</x:v>
      </x:c>
      <x:c r="C26" s="8" t="s">
        <x:v>2348</x:v>
      </x:c>
      <x:c r="D26" s="18" t="s">
        <x:v>2349</x:v>
      </x:c>
      <x:c r="E26" s="36" t="s">
        <x:v>2386</x:v>
      </x:c>
      <x:c r="F26" s="5"/>
      <x:c r="G26" s="9" t="s">
        <x:v>2350</x:v>
      </x:c>
      <x:c r="H26" s="9" t="s">
        <x:v>1402</x:v>
      </x:c>
      <x:c r="I26" s="5"/>
      <x:c r="J26" s="18"/>
      <x:c r="K26" s="9"/>
      <x:c r="L26" s="9"/>
      <x:c r="M26" s="12"/>
      <x:c r="N26" s="31"/>
    </x:row>
    <x:row r="27">
      <x:c r="A27" s="28" t="s">
        <x:v>2387</x:v>
      </x:c>
      <x:c r="B27" s="51" t="s">
        <x:v>2347</x:v>
      </x:c>
      <x:c r="C27" s="8" t="s">
        <x:v>2348</x:v>
      </x:c>
      <x:c r="D27" s="18" t="s">
        <x:v>2349</x:v>
      </x:c>
      <x:c r="E27" s="36" t="s">
        <x:v>2388</x:v>
      </x:c>
      <x:c r="F27" s="5"/>
      <x:c r="G27" s="9" t="s">
        <x:v>2350</x:v>
      </x:c>
      <x:c r="H27" s="9" t="s">
        <x:v>1402</x:v>
      </x:c>
      <x:c r="I27" s="5"/>
      <x:c r="J27" s="18"/>
      <x:c r="K27" s="9"/>
      <x:c r="L27" s="9"/>
      <x:c r="M27" s="12"/>
      <x:c r="N27" s="31"/>
    </x:row>
    <x:row r="28">
      <x:c r="A28" s="28" t="s">
        <x:v>2389</x:v>
      </x:c>
      <x:c r="B28" s="51" t="s">
        <x:v>2347</x:v>
      </x:c>
      <x:c r="C28" s="8" t="s">
        <x:v>2348</x:v>
      </x:c>
      <x:c r="D28" s="18" t="s">
        <x:v>2349</x:v>
      </x:c>
      <x:c r="E28" s="36" t="s">
        <x:v>2390</x:v>
      </x:c>
      <x:c r="F28" s="5"/>
      <x:c r="G28" s="9" t="s">
        <x:v>2355</x:v>
      </x:c>
      <x:c r="H28" s="9" t="s">
        <x:v>1418</x:v>
      </x:c>
      <x:c r="I28" s="5"/>
      <x:c r="J28" s="18"/>
      <x:c r="K28" s="9"/>
      <x:c r="L28" s="9"/>
      <x:c r="M28" s="12"/>
      <x:c r="N28" s="31"/>
    </x:row>
    <x:row r="29">
      <x:c r="A29" s="28" t="s">
        <x:v>2391</x:v>
      </x:c>
      <x:c r="B29" s="51" t="s">
        <x:v>2347</x:v>
      </x:c>
      <x:c r="C29" s="8" t="s">
        <x:v>2348</x:v>
      </x:c>
      <x:c r="D29" s="18" t="s">
        <x:v>2349</x:v>
      </x:c>
      <x:c r="E29" s="36" t="s">
        <x:v>2392</x:v>
      </x:c>
      <x:c r="F29" s="5"/>
      <x:c r="G29" s="9" t="s">
        <x:v>2355</x:v>
      </x:c>
      <x:c r="H29" s="9" t="s">
        <x:v>1418</x:v>
      </x:c>
      <x:c r="I29" s="5"/>
      <x:c r="J29" s="18"/>
      <x:c r="K29" s="9"/>
      <x:c r="L29" s="9"/>
      <x:c r="M29" s="12"/>
      <x:c r="N29" s="31"/>
    </x:row>
    <x:row r="30">
      <x:c r="A30" s="28" t="s">
        <x:v>2393</x:v>
      </x:c>
      <x:c r="B30" s="51" t="s">
        <x:v>2347</x:v>
      </x:c>
      <x:c r="C30" s="8" t="s">
        <x:v>2348</x:v>
      </x:c>
      <x:c r="D30" s="18" t="s">
        <x:v>2394</x:v>
      </x:c>
      <x:c r="E30" s="36" t="s">
        <x:v>1372</x:v>
      </x:c>
      <x:c r="F30" s="5"/>
      <x:c r="G30" s="9" t="s">
        <x:v>2350</x:v>
      </x:c>
      <x:c r="H30" s="9" t="s">
        <x:v>1433</x:v>
      </x:c>
      <x:c r="I30" s="5"/>
      <x:c r="J30" s="18"/>
      <x:c r="K30" s="9"/>
      <x:c r="L30" s="9"/>
      <x:c r="M30" s="12"/>
      <x:c r="N30" s="31"/>
    </x:row>
    <x:row r="31">
      <x:c r="A31" s="28" t="s">
        <x:v>2395</x:v>
      </x:c>
      <x:c r="B31" s="51" t="s">
        <x:v>2347</x:v>
      </x:c>
      <x:c r="C31" s="8" t="s">
        <x:v>2348</x:v>
      </x:c>
      <x:c r="D31" s="18" t="s">
        <x:v>2394</x:v>
      </x:c>
      <x:c r="E31" s="36" t="s">
        <x:v>1374</x:v>
      </x:c>
      <x:c r="F31" s="5"/>
      <x:c r="G31" s="9" t="s">
        <x:v>2350</x:v>
      </x:c>
      <x:c r="H31" s="9" t="s">
        <x:v>1433</x:v>
      </x:c>
      <x:c r="I31" s="5"/>
      <x:c r="J31" s="18"/>
      <x:c r="K31" s="9"/>
      <x:c r="L31" s="9"/>
      <x:c r="M31" s="12"/>
      <x:c r="N31" s="31"/>
    </x:row>
    <x:row r="32">
      <x:c r="A32" s="28" t="s">
        <x:v>2396</x:v>
      </x:c>
      <x:c r="B32" s="51" t="s">
        <x:v>2347</x:v>
      </x:c>
      <x:c r="C32" s="8" t="s">
        <x:v>2348</x:v>
      </x:c>
      <x:c r="D32" s="18" t="s">
        <x:v>2394</x:v>
      </x:c>
      <x:c r="E32" s="36" t="s">
        <x:v>1375</x:v>
      </x:c>
      <x:c r="F32" s="5"/>
      <x:c r="G32" s="9" t="s">
        <x:v>2350</x:v>
      </x:c>
      <x:c r="H32" s="9" t="s">
        <x:v>1418</x:v>
      </x:c>
      <x:c r="I32" s="5"/>
      <x:c r="J32" s="18"/>
      <x:c r="K32" s="9"/>
      <x:c r="L32" s="9"/>
      <x:c r="M32" s="12"/>
      <x:c r="N32" s="31"/>
    </x:row>
    <x:row r="33">
      <x:c r="A33" s="28" t="s">
        <x:v>2397</x:v>
      </x:c>
      <x:c r="B33" s="51" t="s">
        <x:v>2347</x:v>
      </x:c>
      <x:c r="C33" s="8" t="s">
        <x:v>2348</x:v>
      </x:c>
      <x:c r="D33" s="18" t="s">
        <x:v>2394</x:v>
      </x:c>
      <x:c r="E33" s="36" t="s">
        <x:v>1376</x:v>
      </x:c>
      <x:c r="F33" s="5"/>
      <x:c r="G33" s="9" t="s">
        <x:v>2350</x:v>
      </x:c>
      <x:c r="H33" s="9" t="s">
        <x:v>1418</x:v>
      </x:c>
      <x:c r="I33" s="5"/>
      <x:c r="J33" s="18"/>
      <x:c r="K33" s="9"/>
      <x:c r="L33" s="9"/>
      <x:c r="M33" s="12"/>
      <x:c r="N33" s="31"/>
    </x:row>
    <x:row r="34">
      <x:c r="A34" s="28" t="s">
        <x:v>2398</x:v>
      </x:c>
      <x:c r="B34" s="51" t="s">
        <x:v>2347</x:v>
      </x:c>
      <x:c r="C34" s="8" t="s">
        <x:v>2348</x:v>
      </x:c>
      <x:c r="D34" s="18" t="s">
        <x:v>2394</x:v>
      </x:c>
      <x:c r="E34" s="36" t="s">
        <x:v>1377</x:v>
      </x:c>
      <x:c r="F34" s="5"/>
      <x:c r="G34" s="9" t="s">
        <x:v>2364</x:v>
      </x:c>
      <x:c r="H34" s="9" t="s">
        <x:v>1487</x:v>
      </x:c>
      <x:c r="I34" s="5"/>
      <x:c r="J34" s="18"/>
      <x:c r="K34" s="9"/>
      <x:c r="L34" s="9"/>
      <x:c r="M34" s="12"/>
      <x:c r="N34" s="31"/>
    </x:row>
    <x:row r="35">
      <x:c r="A35" s="28" t="s">
        <x:v>2399</x:v>
      </x:c>
      <x:c r="B35" s="51" t="s">
        <x:v>2347</x:v>
      </x:c>
      <x:c r="C35" s="8" t="s">
        <x:v>2348</x:v>
      </x:c>
      <x:c r="D35" s="18" t="s">
        <x:v>2394</x:v>
      </x:c>
      <x:c r="E35" s="36" t="s">
        <x:v>1378</x:v>
      </x:c>
      <x:c r="F35" s="5"/>
      <x:c r="G35" s="9" t="s">
        <x:v>2364</x:v>
      </x:c>
      <x:c r="H35" s="9" t="s">
        <x:v>1487</x:v>
      </x:c>
      <x:c r="I35" s="5"/>
      <x:c r="J35" s="18"/>
      <x:c r="K35" s="9"/>
      <x:c r="L35" s="9"/>
      <x:c r="M35" s="12"/>
      <x:c r="N35" s="31"/>
    </x:row>
    <x:row r="36">
      <x:c r="A36" s="28" t="s">
        <x:v>2400</x:v>
      </x:c>
      <x:c r="B36" s="51" t="s">
        <x:v>2347</x:v>
      </x:c>
      <x:c r="C36" s="8" t="s">
        <x:v>2348</x:v>
      </x:c>
      <x:c r="D36" s="18" t="s">
        <x:v>2394</x:v>
      </x:c>
      <x:c r="E36" s="36" t="s">
        <x:v>1379</x:v>
      </x:c>
      <x:c r="F36" s="5"/>
      <x:c r="G36" s="9" t="s">
        <x:v>2355</x:v>
      </x:c>
      <x:c r="H36" s="9" t="s">
        <x:v>1418</x:v>
      </x:c>
      <x:c r="I36" s="5"/>
      <x:c r="J36" s="18"/>
      <x:c r="K36" s="9"/>
      <x:c r="L36" s="9"/>
      <x:c r="M36" s="12"/>
      <x:c r="N36" s="31"/>
    </x:row>
    <x:row r="37">
      <x:c r="A37" s="28" t="s">
        <x:v>2401</x:v>
      </x:c>
      <x:c r="B37" s="51" t="s">
        <x:v>2347</x:v>
      </x:c>
      <x:c r="C37" s="8" t="s">
        <x:v>2348</x:v>
      </x:c>
      <x:c r="D37" s="18" t="s">
        <x:v>2394</x:v>
      </x:c>
      <x:c r="E37" s="36" t="s">
        <x:v>2359</x:v>
      </x:c>
      <x:c r="F37" s="5"/>
      <x:c r="G37" s="9" t="s">
        <x:v>2350</x:v>
      </x:c>
      <x:c r="H37" s="9" t="s">
        <x:v>1418</x:v>
      </x:c>
      <x:c r="I37" s="5"/>
      <x:c r="J37" s="18"/>
      <x:c r="K37" s="9"/>
      <x:c r="L37" s="9"/>
      <x:c r="M37" s="12"/>
      <x:c r="N37" s="31"/>
    </x:row>
    <x:row r="38">
      <x:c r="A38" s="28" t="s">
        <x:v>2402</x:v>
      </x:c>
      <x:c r="B38" s="51" t="s">
        <x:v>2347</x:v>
      </x:c>
      <x:c r="C38" s="8" t="s">
        <x:v>2348</x:v>
      </x:c>
      <x:c r="D38" s="18" t="s">
        <x:v>2394</x:v>
      </x:c>
      <x:c r="E38" s="36" t="s">
        <x:v>2361</x:v>
      </x:c>
      <x:c r="F38" s="5"/>
      <x:c r="G38" s="9" t="s">
        <x:v>2355</x:v>
      </x:c>
      <x:c r="H38" s="9" t="s">
        <x:v>1433</x:v>
      </x:c>
      <x:c r="I38" s="5"/>
      <x:c r="J38" s="18"/>
      <x:c r="K38" s="9"/>
      <x:c r="L38" s="9"/>
      <x:c r="M38" s="12"/>
      <x:c r="N38" s="31"/>
    </x:row>
    <x:row r="39">
      <x:c r="A39" s="28" t="s">
        <x:v>2403</x:v>
      </x:c>
      <x:c r="B39" s="51" t="s">
        <x:v>2347</x:v>
      </x:c>
      <x:c r="C39" s="8" t="s">
        <x:v>2348</x:v>
      </x:c>
      <x:c r="D39" s="18" t="s">
        <x:v>2394</x:v>
      </x:c>
      <x:c r="E39" s="36" t="s">
        <x:v>2363</x:v>
      </x:c>
      <x:c r="F39" s="5"/>
      <x:c r="G39" s="9" t="s">
        <x:v>2355</x:v>
      </x:c>
      <x:c r="H39" s="9" t="s">
        <x:v>1433</x:v>
      </x:c>
      <x:c r="I39" s="5"/>
      <x:c r="J39" s="18"/>
      <x:c r="K39" s="9"/>
      <x:c r="L39" s="9"/>
      <x:c r="M39" s="12"/>
      <x:c r="N39" s="31"/>
    </x:row>
    <x:row r="40">
      <x:c r="A40" s="28" t="s">
        <x:v>2404</x:v>
      </x:c>
      <x:c r="B40" s="51" t="s">
        <x:v>2347</x:v>
      </x:c>
      <x:c r="C40" s="8" t="s">
        <x:v>2348</x:v>
      </x:c>
      <x:c r="D40" s="18" t="s">
        <x:v>2394</x:v>
      </x:c>
      <x:c r="E40" s="36" t="s">
        <x:v>2366</x:v>
      </x:c>
      <x:c r="F40" s="5"/>
      <x:c r="G40" s="9" t="s">
        <x:v>2355</x:v>
      </x:c>
      <x:c r="H40" s="9" t="s">
        <x:v>1433</x:v>
      </x:c>
      <x:c r="I40" s="5"/>
      <x:c r="J40" s="18"/>
      <x:c r="K40" s="9"/>
      <x:c r="L40" s="9"/>
      <x:c r="M40" s="12"/>
      <x:c r="N40" s="31"/>
    </x:row>
    <x:row r="41">
      <x:c r="A41" s="28" t="s">
        <x:v>2405</x:v>
      </x:c>
      <x:c r="B41" s="51" t="s">
        <x:v>2347</x:v>
      </x:c>
      <x:c r="C41" s="8" t="s">
        <x:v>2348</x:v>
      </x:c>
      <x:c r="D41" s="18" t="s">
        <x:v>2394</x:v>
      </x:c>
      <x:c r="E41" s="36" t="s">
        <x:v>2368</x:v>
      </x:c>
      <x:c r="F41" s="5"/>
      <x:c r="G41" s="9" t="s">
        <x:v>2350</x:v>
      </x:c>
      <x:c r="H41" s="9" t="s">
        <x:v>1418</x:v>
      </x:c>
      <x:c r="I41" s="5"/>
      <x:c r="J41" s="18"/>
      <x:c r="K41" s="9"/>
      <x:c r="L41" s="9"/>
      <x:c r="M41" s="12"/>
      <x:c r="N41" s="31"/>
    </x:row>
    <x:row r="42">
      <x:c r="A42" s="28" t="s">
        <x:v>2406</x:v>
      </x:c>
      <x:c r="B42" s="51" t="s">
        <x:v>2347</x:v>
      </x:c>
      <x:c r="C42" s="8" t="s">
        <x:v>2348</x:v>
      </x:c>
      <x:c r="D42" s="18" t="s">
        <x:v>2394</x:v>
      </x:c>
      <x:c r="E42" s="36" t="s">
        <x:v>2370</x:v>
      </x:c>
      <x:c r="F42" s="5"/>
      <x:c r="G42" s="9" t="s">
        <x:v>2355</x:v>
      </x:c>
      <x:c r="H42" s="9" t="s">
        <x:v>1433</x:v>
      </x:c>
      <x:c r="I42" s="5"/>
      <x:c r="J42" s="18"/>
      <x:c r="K42" s="9"/>
      <x:c r="L42" s="9"/>
      <x:c r="M42" s="12"/>
      <x:c r="N42" s="31"/>
    </x:row>
    <x:row r="43">
      <x:c r="A43" s="28" t="s">
        <x:v>2407</x:v>
      </x:c>
      <x:c r="B43" s="51" t="s">
        <x:v>2347</x:v>
      </x:c>
      <x:c r="C43" s="8" t="s">
        <x:v>2348</x:v>
      </x:c>
      <x:c r="D43" s="18" t="s">
        <x:v>2394</x:v>
      </x:c>
      <x:c r="E43" s="36" t="s">
        <x:v>2372</x:v>
      </x:c>
      <x:c r="F43" s="5"/>
      <x:c r="G43" s="9" t="s">
        <x:v>2350</x:v>
      </x:c>
      <x:c r="H43" s="9" t="s">
        <x:v>1418</x:v>
      </x:c>
      <x:c r="I43" s="5"/>
      <x:c r="J43" s="18"/>
      <x:c r="K43" s="9"/>
      <x:c r="L43" s="9"/>
      <x:c r="M43" s="12"/>
      <x:c r="N43" s="31"/>
    </x:row>
    <x:row r="44">
      <x:c r="A44" s="28" t="s">
        <x:v>2408</x:v>
      </x:c>
      <x:c r="B44" s="51" t="s">
        <x:v>2347</x:v>
      </x:c>
      <x:c r="C44" s="8" t="s">
        <x:v>2348</x:v>
      </x:c>
      <x:c r="D44" s="18" t="s">
        <x:v>2394</x:v>
      </x:c>
      <x:c r="E44" s="36" t="s">
        <x:v>2374</x:v>
      </x:c>
      <x:c r="F44" s="5"/>
      <x:c r="G44" s="9" t="s">
        <x:v>2350</x:v>
      </x:c>
      <x:c r="H44" s="9" t="s">
        <x:v>1418</x:v>
      </x:c>
      <x:c r="I44" s="5"/>
      <x:c r="J44" s="18"/>
      <x:c r="K44" s="9"/>
      <x:c r="L44" s="9"/>
      <x:c r="M44" s="12"/>
      <x:c r="N44" s="31"/>
    </x:row>
    <x:row r="45">
      <x:c r="A45" s="28" t="s">
        <x:v>2409</x:v>
      </x:c>
      <x:c r="B45" s="51" t="s">
        <x:v>2347</x:v>
      </x:c>
      <x:c r="C45" s="8" t="s">
        <x:v>2348</x:v>
      </x:c>
      <x:c r="D45" s="18" t="s">
        <x:v>2394</x:v>
      </x:c>
      <x:c r="E45" s="36" t="s">
        <x:v>2376</x:v>
      </x:c>
      <x:c r="F45" s="5"/>
      <x:c r="G45" s="9" t="s">
        <x:v>2350</x:v>
      </x:c>
      <x:c r="H45" s="9" t="s">
        <x:v>1418</x:v>
      </x:c>
      <x:c r="I45" s="5"/>
      <x:c r="J45" s="18"/>
      <x:c r="K45" s="9"/>
      <x:c r="L45" s="9"/>
      <x:c r="M45" s="12"/>
      <x:c r="N45" s="31"/>
    </x:row>
    <x:row r="46">
      <x:c r="A46" s="28" t="s">
        <x:v>2410</x:v>
      </x:c>
      <x:c r="B46" s="51" t="s">
        <x:v>2347</x:v>
      </x:c>
      <x:c r="C46" s="8" t="s">
        <x:v>2348</x:v>
      </x:c>
      <x:c r="D46" s="18" t="s">
        <x:v>2394</x:v>
      </x:c>
      <x:c r="E46" s="36" t="s">
        <x:v>2378</x:v>
      </x:c>
      <x:c r="F46" s="5"/>
      <x:c r="G46" s="9" t="s">
        <x:v>2350</x:v>
      </x:c>
      <x:c r="H46" s="9" t="s">
        <x:v>1418</x:v>
      </x:c>
      <x:c r="I46" s="5"/>
      <x:c r="J46" s="18"/>
      <x:c r="K46" s="9"/>
      <x:c r="L46" s="9"/>
      <x:c r="M46" s="12"/>
      <x:c r="N46" s="31"/>
    </x:row>
    <x:row r="47">
      <x:c r="A47" s="28" t="s">
        <x:v>2411</x:v>
      </x:c>
      <x:c r="B47" s="51" t="s">
        <x:v>2347</x:v>
      </x:c>
      <x:c r="C47" s="8" t="s">
        <x:v>2348</x:v>
      </x:c>
      <x:c r="D47" s="18" t="s">
        <x:v>2394</x:v>
      </x:c>
      <x:c r="E47" s="36" t="s">
        <x:v>2380</x:v>
      </x:c>
      <x:c r="F47" s="5"/>
      <x:c r="G47" s="9" t="s">
        <x:v>2350</x:v>
      </x:c>
      <x:c r="H47" s="9" t="s">
        <x:v>1418</x:v>
      </x:c>
      <x:c r="I47" s="5"/>
      <x:c r="J47" s="18"/>
      <x:c r="K47" s="9"/>
      <x:c r="L47" s="9"/>
      <x:c r="M47" s="12"/>
      <x:c r="N47" s="31"/>
    </x:row>
    <x:row r="48">
      <x:c r="A48" s="28" t="s">
        <x:v>2412</x:v>
      </x:c>
      <x:c r="B48" s="51" t="s">
        <x:v>2347</x:v>
      </x:c>
      <x:c r="C48" s="8" t="s">
        <x:v>2348</x:v>
      </x:c>
      <x:c r="D48" s="18" t="s">
        <x:v>2394</x:v>
      </x:c>
      <x:c r="E48" s="36" t="s">
        <x:v>2382</x:v>
      </x:c>
      <x:c r="F48" s="5"/>
      <x:c r="G48" s="9" t="s">
        <x:v>2350</x:v>
      </x:c>
      <x:c r="H48" s="9" t="s">
        <x:v>1433</x:v>
      </x:c>
      <x:c r="I48" s="5"/>
      <x:c r="J48" s="18"/>
      <x:c r="K48" s="9"/>
      <x:c r="L48" s="9"/>
      <x:c r="M48" s="12"/>
      <x:c r="N48" s="31"/>
    </x:row>
    <x:row r="49">
      <x:c r="A49" s="28" t="s">
        <x:v>2413</x:v>
      </x:c>
      <x:c r="B49" s="51" t="s">
        <x:v>2347</x:v>
      </x:c>
      <x:c r="C49" s="8" t="s">
        <x:v>2348</x:v>
      </x:c>
      <x:c r="D49" s="18" t="s">
        <x:v>2394</x:v>
      </x:c>
      <x:c r="E49" s="36" t="s">
        <x:v>2384</x:v>
      </x:c>
      <x:c r="F49" s="5"/>
      <x:c r="G49" s="9" t="s">
        <x:v>2350</x:v>
      </x:c>
      <x:c r="H49" s="9" t="s">
        <x:v>1433</x:v>
      </x:c>
      <x:c r="I49" s="5"/>
      <x:c r="J49" s="18"/>
      <x:c r="K49" s="9"/>
      <x:c r="L49" s="9"/>
      <x:c r="M49" s="12"/>
      <x:c r="N49" s="31"/>
    </x:row>
    <x:row r="50">
      <x:c r="A50" s="28" t="s">
        <x:v>2414</x:v>
      </x:c>
      <x:c r="B50" s="51" t="s">
        <x:v>2347</x:v>
      </x:c>
      <x:c r="C50" s="8" t="s">
        <x:v>2348</x:v>
      </x:c>
      <x:c r="D50" s="18" t="s">
        <x:v>2394</x:v>
      </x:c>
      <x:c r="E50" s="36" t="s">
        <x:v>2386</x:v>
      </x:c>
      <x:c r="F50" s="5"/>
      <x:c r="G50" s="9" t="s">
        <x:v>2350</x:v>
      </x:c>
      <x:c r="H50" s="9" t="s">
        <x:v>1418</x:v>
      </x:c>
      <x:c r="I50" s="5"/>
      <x:c r="J50" s="18"/>
      <x:c r="K50" s="9"/>
      <x:c r="L50" s="9"/>
      <x:c r="M50" s="12"/>
      <x:c r="N50" s="31"/>
    </x:row>
    <x:row r="51">
      <x:c r="A51" s="28" t="s">
        <x:v>2415</x:v>
      </x:c>
      <x:c r="B51" s="51" t="s">
        <x:v>2347</x:v>
      </x:c>
      <x:c r="C51" s="8" t="s">
        <x:v>2348</x:v>
      </x:c>
      <x:c r="D51" s="18" t="s">
        <x:v>2394</x:v>
      </x:c>
      <x:c r="E51" s="36" t="s">
        <x:v>2388</x:v>
      </x:c>
      <x:c r="F51" s="5"/>
      <x:c r="G51" s="9" t="s">
        <x:v>2355</x:v>
      </x:c>
      <x:c r="H51" s="9" t="s">
        <x:v>1433</x:v>
      </x:c>
      <x:c r="I51" s="5"/>
      <x:c r="J51" s="18"/>
      <x:c r="K51" s="9"/>
      <x:c r="L51" s="9"/>
      <x:c r="M51" s="12"/>
      <x:c r="N51" s="31"/>
    </x:row>
    <x:row r="52">
      <x:c r="A52" s="28" t="s">
        <x:v>2416</x:v>
      </x:c>
      <x:c r="B52" s="51" t="s">
        <x:v>2347</x:v>
      </x:c>
      <x:c r="C52" s="8" t="s">
        <x:v>2348</x:v>
      </x:c>
      <x:c r="D52" s="18" t="s">
        <x:v>2394</x:v>
      </x:c>
      <x:c r="E52" s="36" t="s">
        <x:v>2390</x:v>
      </x:c>
      <x:c r="F52" s="5"/>
      <x:c r="G52" s="9" t="s">
        <x:v>2364</x:v>
      </x:c>
      <x:c r="H52" s="9" t="s">
        <x:v>1487</x:v>
      </x:c>
      <x:c r="I52" s="5"/>
      <x:c r="J52" s="18"/>
      <x:c r="K52" s="9"/>
      <x:c r="L52" s="9"/>
      <x:c r="M52" s="12"/>
      <x:c r="N52" s="31"/>
    </x:row>
    <x:row r="53">
      <x:c r="A53" s="28" t="s">
        <x:v>2417</x:v>
      </x:c>
      <x:c r="B53" s="51" t="s">
        <x:v>2347</x:v>
      </x:c>
      <x:c r="C53" s="8" t="s">
        <x:v>2348</x:v>
      </x:c>
      <x:c r="D53" s="18" t="s">
        <x:v>2394</x:v>
      </x:c>
      <x:c r="E53" s="36" t="s">
        <x:v>2392</x:v>
      </x:c>
      <x:c r="F53" s="5"/>
      <x:c r="G53" s="9" t="s">
        <x:v>2364</x:v>
      </x:c>
      <x:c r="H53" s="9" t="s">
        <x:v>1487</x:v>
      </x:c>
      <x:c r="I53" s="5"/>
      <x:c r="J53" s="18"/>
      <x:c r="K53" s="9"/>
      <x:c r="L53" s="9"/>
      <x:c r="M53" s="12"/>
      <x:c r="N53" s="31"/>
    </x:row>
    <x:row r="54">
      <x:c r="A54" s="28" t="s">
        <x:v>2418</x:v>
      </x:c>
      <x:c r="B54" s="51" t="s">
        <x:v>2347</x:v>
      </x:c>
      <x:c r="C54" s="8" t="s">
        <x:v>2348</x:v>
      </x:c>
      <x:c r="D54" s="18" t="s">
        <x:v>2419</x:v>
      </x:c>
      <x:c r="E54" s="36" t="s">
        <x:v>1372</x:v>
      </x:c>
      <x:c r="F54" s="5"/>
      <x:c r="G54" s="9" t="s">
        <x:v>2350</x:v>
      </x:c>
      <x:c r="H54" s="9" t="s">
        <x:v>1418</x:v>
      </x:c>
      <x:c r="I54" s="5"/>
      <x:c r="J54" s="18"/>
      <x:c r="K54" s="9"/>
      <x:c r="L54" s="9"/>
      <x:c r="M54" s="12"/>
      <x:c r="N54" s="31"/>
    </x:row>
    <x:row r="55">
      <x:c r="A55" s="28" t="s">
        <x:v>2420</x:v>
      </x:c>
      <x:c r="B55" s="51" t="s">
        <x:v>2347</x:v>
      </x:c>
      <x:c r="C55" s="8" t="s">
        <x:v>2348</x:v>
      </x:c>
      <x:c r="D55" s="18" t="s">
        <x:v>2419</x:v>
      </x:c>
      <x:c r="E55" s="36" t="s">
        <x:v>1374</x:v>
      </x:c>
      <x:c r="F55" s="5"/>
      <x:c r="G55" s="9" t="s">
        <x:v>2350</x:v>
      </x:c>
      <x:c r="H55" s="9" t="s">
        <x:v>1418</x:v>
      </x:c>
      <x:c r="I55" s="5"/>
      <x:c r="J55" s="18"/>
      <x:c r="K55" s="9"/>
      <x:c r="L55" s="9"/>
      <x:c r="M55" s="12"/>
      <x:c r="N55" s="31"/>
    </x:row>
    <x:row r="56">
      <x:c r="A56" s="28" t="s">
        <x:v>2421</x:v>
      </x:c>
      <x:c r="B56" s="51" t="s">
        <x:v>2347</x:v>
      </x:c>
      <x:c r="C56" s="8" t="s">
        <x:v>2348</x:v>
      </x:c>
      <x:c r="D56" s="18" t="s">
        <x:v>2419</x:v>
      </x:c>
      <x:c r="E56" s="36" t="s">
        <x:v>1375</x:v>
      </x:c>
      <x:c r="F56" s="5"/>
      <x:c r="G56" s="9" t="s">
        <x:v>2350</x:v>
      </x:c>
      <x:c r="H56" s="9" t="s">
        <x:v>1418</x:v>
      </x:c>
      <x:c r="I56" s="5"/>
      <x:c r="J56" s="18"/>
      <x:c r="K56" s="9"/>
      <x:c r="L56" s="9"/>
      <x:c r="M56" s="12"/>
      <x:c r="N56" s="31"/>
    </x:row>
    <x:row r="57">
      <x:c r="A57" s="28" t="s">
        <x:v>2422</x:v>
      </x:c>
      <x:c r="B57" s="51" t="s">
        <x:v>2347</x:v>
      </x:c>
      <x:c r="C57" s="8" t="s">
        <x:v>2348</x:v>
      </x:c>
      <x:c r="D57" s="18" t="s">
        <x:v>2419</x:v>
      </x:c>
      <x:c r="E57" s="36" t="s">
        <x:v>1376</x:v>
      </x:c>
      <x:c r="F57" s="5"/>
      <x:c r="G57" s="9" t="s">
        <x:v>2350</x:v>
      </x:c>
      <x:c r="H57" s="9" t="s">
        <x:v>1433</x:v>
      </x:c>
      <x:c r="I57" s="5"/>
      <x:c r="J57" s="18"/>
      <x:c r="K57" s="9"/>
      <x:c r="L57" s="9"/>
      <x:c r="M57" s="12"/>
      <x:c r="N57" s="31"/>
    </x:row>
    <x:row r="58">
      <x:c r="A58" s="28" t="s">
        <x:v>2423</x:v>
      </x:c>
      <x:c r="B58" s="51" t="s">
        <x:v>2347</x:v>
      </x:c>
      <x:c r="C58" s="8" t="s">
        <x:v>2348</x:v>
      </x:c>
      <x:c r="D58" s="18" t="s">
        <x:v>2419</x:v>
      </x:c>
      <x:c r="E58" s="36" t="s">
        <x:v>1377</x:v>
      </x:c>
      <x:c r="F58" s="5"/>
      <x:c r="G58" s="9" t="s">
        <x:v>2350</x:v>
      </x:c>
      <x:c r="H58" s="9" t="s">
        <x:v>1418</x:v>
      </x:c>
      <x:c r="I58" s="5"/>
      <x:c r="J58" s="18"/>
      <x:c r="K58" s="9"/>
      <x:c r="L58" s="9"/>
      <x:c r="M58" s="12"/>
      <x:c r="N58" s="31"/>
    </x:row>
    <x:row r="59">
      <x:c r="A59" s="28" t="s">
        <x:v>2424</x:v>
      </x:c>
      <x:c r="B59" s="51" t="s">
        <x:v>2347</x:v>
      </x:c>
      <x:c r="C59" s="8" t="s">
        <x:v>2348</x:v>
      </x:c>
      <x:c r="D59" s="18" t="s">
        <x:v>2419</x:v>
      </x:c>
      <x:c r="E59" s="36" t="s">
        <x:v>1378</x:v>
      </x:c>
      <x:c r="F59" s="5"/>
      <x:c r="G59" s="9" t="s">
        <x:v>2350</x:v>
      </x:c>
      <x:c r="H59" s="9" t="s">
        <x:v>1402</x:v>
      </x:c>
      <x:c r="I59" s="5"/>
      <x:c r="J59" s="18"/>
      <x:c r="K59" s="9"/>
      <x:c r="L59" s="9"/>
      <x:c r="M59" s="12"/>
      <x:c r="N59" s="31"/>
    </x:row>
    <x:row r="60">
      <x:c r="A60" s="28" t="s">
        <x:v>2425</x:v>
      </x:c>
      <x:c r="B60" s="51" t="s">
        <x:v>2347</x:v>
      </x:c>
      <x:c r="C60" s="8" t="s">
        <x:v>2348</x:v>
      </x:c>
      <x:c r="D60" s="18" t="s">
        <x:v>2419</x:v>
      </x:c>
      <x:c r="E60" s="36" t="s">
        <x:v>1379</x:v>
      </x:c>
      <x:c r="F60" s="5"/>
      <x:c r="G60" s="9" t="s">
        <x:v>2350</x:v>
      </x:c>
      <x:c r="H60" s="9" t="s">
        <x:v>1418</x:v>
      </x:c>
      <x:c r="I60" s="5"/>
      <x:c r="J60" s="18"/>
      <x:c r="K60" s="9"/>
      <x:c r="L60" s="9"/>
      <x:c r="M60" s="12"/>
      <x:c r="N60" s="31"/>
    </x:row>
    <x:row r="61">
      <x:c r="A61" s="28" t="s">
        <x:v>2426</x:v>
      </x:c>
      <x:c r="B61" s="51" t="s">
        <x:v>2347</x:v>
      </x:c>
      <x:c r="C61" s="8" t="s">
        <x:v>2348</x:v>
      </x:c>
      <x:c r="D61" s="18" t="s">
        <x:v>2419</x:v>
      </x:c>
      <x:c r="E61" s="36" t="s">
        <x:v>2359</x:v>
      </x:c>
      <x:c r="F61" s="5"/>
      <x:c r="G61" s="9" t="s">
        <x:v>2350</x:v>
      </x:c>
      <x:c r="H61" s="9" t="s">
        <x:v>1418</x:v>
      </x:c>
      <x:c r="I61" s="5"/>
      <x:c r="J61" s="18"/>
      <x:c r="K61" s="9"/>
      <x:c r="L61" s="9"/>
      <x:c r="M61" s="12"/>
      <x:c r="N61" s="31"/>
    </x:row>
    <x:row r="62">
      <x:c r="A62" s="28" t="s">
        <x:v>2427</x:v>
      </x:c>
      <x:c r="B62" s="51" t="s">
        <x:v>2347</x:v>
      </x:c>
      <x:c r="C62" s="8" t="s">
        <x:v>2348</x:v>
      </x:c>
      <x:c r="D62" s="18" t="s">
        <x:v>2419</x:v>
      </x:c>
      <x:c r="E62" s="36" t="s">
        <x:v>2361</x:v>
      </x:c>
      <x:c r="F62" s="5"/>
      <x:c r="G62" s="9" t="s">
        <x:v>2350</x:v>
      </x:c>
      <x:c r="H62" s="9" t="s">
        <x:v>1433</x:v>
      </x:c>
      <x:c r="I62" s="5"/>
      <x:c r="J62" s="18"/>
      <x:c r="K62" s="9"/>
      <x:c r="L62" s="9"/>
      <x:c r="M62" s="12"/>
      <x:c r="N62" s="31"/>
    </x:row>
    <x:row r="63">
      <x:c r="A63" s="28" t="s">
        <x:v>2428</x:v>
      </x:c>
      <x:c r="B63" s="51" t="s">
        <x:v>2347</x:v>
      </x:c>
      <x:c r="C63" s="8" t="s">
        <x:v>2348</x:v>
      </x:c>
      <x:c r="D63" s="18" t="s">
        <x:v>2419</x:v>
      </x:c>
      <x:c r="E63" s="36" t="s">
        <x:v>2363</x:v>
      </x:c>
      <x:c r="F63" s="5"/>
      <x:c r="G63" s="9" t="s">
        <x:v>2350</x:v>
      </x:c>
      <x:c r="H63" s="9" t="s">
        <x:v>1402</x:v>
      </x:c>
      <x:c r="I63" s="5"/>
      <x:c r="J63" s="18"/>
      <x:c r="K63" s="9"/>
      <x:c r="L63" s="9"/>
      <x:c r="M63" s="12"/>
      <x:c r="N63" s="31"/>
    </x:row>
    <x:row r="64">
      <x:c r="A64" s="28" t="s">
        <x:v>2429</x:v>
      </x:c>
      <x:c r="B64" s="51" t="s">
        <x:v>2347</x:v>
      </x:c>
      <x:c r="C64" s="8" t="s">
        <x:v>2348</x:v>
      </x:c>
      <x:c r="D64" s="18" t="s">
        <x:v>2419</x:v>
      </x:c>
      <x:c r="E64" s="36" t="s">
        <x:v>2366</x:v>
      </x:c>
      <x:c r="F64" s="5"/>
      <x:c r="G64" s="9" t="s">
        <x:v>2350</x:v>
      </x:c>
      <x:c r="H64" s="9" t="s">
        <x:v>1402</x:v>
      </x:c>
      <x:c r="I64" s="5"/>
      <x:c r="J64" s="18"/>
      <x:c r="K64" s="9"/>
      <x:c r="L64" s="9"/>
      <x:c r="M64" s="12"/>
      <x:c r="N64" s="31"/>
    </x:row>
    <x:row r="65">
      <x:c r="A65" s="28" t="s">
        <x:v>2430</x:v>
      </x:c>
      <x:c r="B65" s="51" t="s">
        <x:v>2347</x:v>
      </x:c>
      <x:c r="C65" s="8" t="s">
        <x:v>2348</x:v>
      </x:c>
      <x:c r="D65" s="18" t="s">
        <x:v>2419</x:v>
      </x:c>
      <x:c r="E65" s="36" t="s">
        <x:v>2368</x:v>
      </x:c>
      <x:c r="F65" s="5"/>
      <x:c r="G65" s="9" t="s">
        <x:v>2350</x:v>
      </x:c>
      <x:c r="H65" s="9" t="s">
        <x:v>1402</x:v>
      </x:c>
      <x:c r="I65" s="5"/>
      <x:c r="J65" s="18"/>
      <x:c r="K65" s="9"/>
      <x:c r="L65" s="9"/>
      <x:c r="M65" s="12"/>
      <x:c r="N65" s="31"/>
    </x:row>
    <x:row r="66">
      <x:c r="A66" s="28" t="s">
        <x:v>2431</x:v>
      </x:c>
      <x:c r="B66" s="51" t="s">
        <x:v>2347</x:v>
      </x:c>
      <x:c r="C66" s="8" t="s">
        <x:v>2348</x:v>
      </x:c>
      <x:c r="D66" s="18" t="s">
        <x:v>2419</x:v>
      </x:c>
      <x:c r="E66" s="36" t="s">
        <x:v>2370</x:v>
      </x:c>
      <x:c r="F66" s="5"/>
      <x:c r="G66" s="9" t="s">
        <x:v>2350</x:v>
      </x:c>
      <x:c r="H66" s="9" t="s">
        <x:v>1433</x:v>
      </x:c>
      <x:c r="I66" s="5"/>
      <x:c r="J66" s="18"/>
      <x:c r="K66" s="9"/>
      <x:c r="L66" s="9"/>
      <x:c r="M66" s="12"/>
      <x:c r="N66" s="31"/>
    </x:row>
    <x:row r="67">
      <x:c r="A67" s="28" t="s">
        <x:v>2432</x:v>
      </x:c>
      <x:c r="B67" s="51" t="s">
        <x:v>2347</x:v>
      </x:c>
      <x:c r="C67" s="8" t="s">
        <x:v>2348</x:v>
      </x:c>
      <x:c r="D67" s="18" t="s">
        <x:v>2419</x:v>
      </x:c>
      <x:c r="E67" s="36" t="s">
        <x:v>2372</x:v>
      </x:c>
      <x:c r="F67" s="5"/>
      <x:c r="G67" s="9" t="s">
        <x:v>2350</x:v>
      </x:c>
      <x:c r="H67" s="9" t="s">
        <x:v>1418</x:v>
      </x:c>
      <x:c r="I67" s="5"/>
      <x:c r="J67" s="18"/>
      <x:c r="K67" s="9"/>
      <x:c r="L67" s="9"/>
      <x:c r="M67" s="12"/>
      <x:c r="N67" s="31"/>
    </x:row>
    <x:row r="68">
      <x:c r="A68" s="28" t="s">
        <x:v>2433</x:v>
      </x:c>
      <x:c r="B68" s="51" t="s">
        <x:v>2347</x:v>
      </x:c>
      <x:c r="C68" s="8" t="s">
        <x:v>2348</x:v>
      </x:c>
      <x:c r="D68" s="18" t="s">
        <x:v>2419</x:v>
      </x:c>
      <x:c r="E68" s="36" t="s">
        <x:v>2374</x:v>
      </x:c>
      <x:c r="F68" s="5"/>
      <x:c r="G68" s="9" t="s">
        <x:v>2350</x:v>
      </x:c>
      <x:c r="H68" s="9" t="s">
        <x:v>1418</x:v>
      </x:c>
      <x:c r="I68" s="5"/>
      <x:c r="J68" s="18"/>
      <x:c r="K68" s="9"/>
      <x:c r="L68" s="9"/>
      <x:c r="M68" s="12"/>
      <x:c r="N68" s="31"/>
    </x:row>
    <x:row r="69">
      <x:c r="A69" s="28" t="s">
        <x:v>2434</x:v>
      </x:c>
      <x:c r="B69" s="51" t="s">
        <x:v>2347</x:v>
      </x:c>
      <x:c r="C69" s="8" t="s">
        <x:v>2348</x:v>
      </x:c>
      <x:c r="D69" s="18" t="s">
        <x:v>2419</x:v>
      </x:c>
      <x:c r="E69" s="36" t="s">
        <x:v>2376</x:v>
      </x:c>
      <x:c r="F69" s="5"/>
      <x:c r="G69" s="9" t="s">
        <x:v>2350</x:v>
      </x:c>
      <x:c r="H69" s="9" t="s">
        <x:v>1418</x:v>
      </x:c>
      <x:c r="I69" s="5"/>
      <x:c r="J69" s="18"/>
      <x:c r="K69" s="9"/>
      <x:c r="L69" s="9"/>
      <x:c r="M69" s="12"/>
      <x:c r="N69" s="31"/>
    </x:row>
    <x:row r="70">
      <x:c r="A70" s="28" t="s">
        <x:v>2435</x:v>
      </x:c>
      <x:c r="B70" s="51" t="s">
        <x:v>2347</x:v>
      </x:c>
      <x:c r="C70" s="8" t="s">
        <x:v>2348</x:v>
      </x:c>
      <x:c r="D70" s="18" t="s">
        <x:v>2419</x:v>
      </x:c>
      <x:c r="E70" s="36" t="s">
        <x:v>2378</x:v>
      </x:c>
      <x:c r="F70" s="5"/>
      <x:c r="G70" s="9" t="s">
        <x:v>2355</x:v>
      </x:c>
      <x:c r="H70" s="9" t="s">
        <x:v>1418</x:v>
      </x:c>
      <x:c r="I70" s="5"/>
      <x:c r="J70" s="18"/>
      <x:c r="K70" s="9"/>
      <x:c r="L70" s="9"/>
      <x:c r="M70" s="12"/>
      <x:c r="N70" s="31"/>
    </x:row>
    <x:row r="71">
      <x:c r="A71" s="28" t="s">
        <x:v>2436</x:v>
      </x:c>
      <x:c r="B71" s="51" t="s">
        <x:v>2347</x:v>
      </x:c>
      <x:c r="C71" s="8" t="s">
        <x:v>2348</x:v>
      </x:c>
      <x:c r="D71" s="18" t="s">
        <x:v>2419</x:v>
      </x:c>
      <x:c r="E71" s="36" t="s">
        <x:v>2380</x:v>
      </x:c>
      <x:c r="F71" s="5"/>
      <x:c r="G71" s="9" t="s">
        <x:v>2350</x:v>
      </x:c>
      <x:c r="H71" s="9" t="s">
        <x:v>1418</x:v>
      </x:c>
      <x:c r="I71" s="5"/>
      <x:c r="J71" s="18"/>
      <x:c r="K71" s="9"/>
      <x:c r="L71" s="9"/>
      <x:c r="M71" s="12"/>
      <x:c r="N71" s="31"/>
    </x:row>
    <x:row r="72">
      <x:c r="A72" s="28" t="s">
        <x:v>2437</x:v>
      </x:c>
      <x:c r="B72" s="51" t="s">
        <x:v>2347</x:v>
      </x:c>
      <x:c r="C72" s="8" t="s">
        <x:v>2348</x:v>
      </x:c>
      <x:c r="D72" s="18" t="s">
        <x:v>2419</x:v>
      </x:c>
      <x:c r="E72" s="36" t="s">
        <x:v>2382</x:v>
      </x:c>
      <x:c r="F72" s="5"/>
      <x:c r="G72" s="9" t="s">
        <x:v>2350</x:v>
      </x:c>
      <x:c r="H72" s="9" t="s">
        <x:v>1433</x:v>
      </x:c>
      <x:c r="I72" s="5"/>
      <x:c r="J72" s="18"/>
      <x:c r="K72" s="9"/>
      <x:c r="L72" s="9"/>
      <x:c r="M72" s="12"/>
      <x:c r="N72" s="31"/>
    </x:row>
    <x:row r="73">
      <x:c r="A73" s="28" t="s">
        <x:v>2438</x:v>
      </x:c>
      <x:c r="B73" s="51" t="s">
        <x:v>2347</x:v>
      </x:c>
      <x:c r="C73" s="8" t="s">
        <x:v>2348</x:v>
      </x:c>
      <x:c r="D73" s="18" t="s">
        <x:v>2419</x:v>
      </x:c>
      <x:c r="E73" s="36" t="s">
        <x:v>2384</x:v>
      </x:c>
      <x:c r="F73" s="5"/>
      <x:c r="G73" s="9" t="s">
        <x:v>2350</x:v>
      </x:c>
      <x:c r="H73" s="9" t="s">
        <x:v>1418</x:v>
      </x:c>
      <x:c r="I73" s="5"/>
      <x:c r="J73" s="18"/>
      <x:c r="K73" s="9"/>
      <x:c r="L73" s="9"/>
      <x:c r="M73" s="12"/>
      <x:c r="N73" s="31"/>
    </x:row>
    <x:row r="74">
      <x:c r="A74" s="28" t="s">
        <x:v>2439</x:v>
      </x:c>
      <x:c r="B74" s="51" t="s">
        <x:v>2347</x:v>
      </x:c>
      <x:c r="C74" s="8" t="s">
        <x:v>2348</x:v>
      </x:c>
      <x:c r="D74" s="18" t="s">
        <x:v>2419</x:v>
      </x:c>
      <x:c r="E74" s="36" t="s">
        <x:v>2386</x:v>
      </x:c>
      <x:c r="F74" s="5"/>
      <x:c r="G74" s="9" t="s">
        <x:v>2350</x:v>
      </x:c>
      <x:c r="H74" s="9" t="s">
        <x:v>1418</x:v>
      </x:c>
      <x:c r="I74" s="5"/>
      <x:c r="J74" s="18"/>
      <x:c r="K74" s="9"/>
      <x:c r="L74" s="9"/>
      <x:c r="M74" s="12"/>
      <x:c r="N74" s="31"/>
    </x:row>
    <x:row r="75">
      <x:c r="A75" s="28" t="s">
        <x:v>2440</x:v>
      </x:c>
      <x:c r="B75" s="51" t="s">
        <x:v>2347</x:v>
      </x:c>
      <x:c r="C75" s="8" t="s">
        <x:v>2348</x:v>
      </x:c>
      <x:c r="D75" s="18" t="s">
        <x:v>2419</x:v>
      </x:c>
      <x:c r="E75" s="36" t="s">
        <x:v>2388</x:v>
      </x:c>
      <x:c r="F75" s="5"/>
      <x:c r="G75" s="9" t="s">
        <x:v>2350</x:v>
      </x:c>
      <x:c r="H75" s="9" t="s">
        <x:v>1418</x:v>
      </x:c>
      <x:c r="I75" s="5"/>
      <x:c r="J75" s="18"/>
      <x:c r="K75" s="9"/>
      <x:c r="L75" s="9"/>
      <x:c r="M75" s="12"/>
      <x:c r="N75" s="31"/>
    </x:row>
    <x:row r="76">
      <x:c r="A76" s="28" t="s">
        <x:v>2441</x:v>
      </x:c>
      <x:c r="B76" s="51" t="s">
        <x:v>2347</x:v>
      </x:c>
      <x:c r="C76" s="8" t="s">
        <x:v>2348</x:v>
      </x:c>
      <x:c r="D76" s="18" t="s">
        <x:v>2419</x:v>
      </x:c>
      <x:c r="E76" s="36" t="s">
        <x:v>2390</x:v>
      </x:c>
      <x:c r="F76" s="5"/>
      <x:c r="G76" s="9" t="s">
        <x:v>2355</x:v>
      </x:c>
      <x:c r="H76" s="9" t="s">
        <x:v>1433</x:v>
      </x:c>
      <x:c r="I76" s="5"/>
      <x:c r="J76" s="18"/>
      <x:c r="K76" s="9"/>
      <x:c r="L76" s="9"/>
      <x:c r="M76" s="12"/>
      <x:c r="N76" s="31"/>
    </x:row>
    <x:row r="77">
      <x:c r="A77" s="28" t="s">
        <x:v>2442</x:v>
      </x:c>
      <x:c r="B77" s="51" t="s">
        <x:v>2347</x:v>
      </x:c>
      <x:c r="C77" s="8" t="s">
        <x:v>2348</x:v>
      </x:c>
      <x:c r="D77" s="18" t="s">
        <x:v>2419</x:v>
      </x:c>
      <x:c r="E77" s="36" t="s">
        <x:v>2392</x:v>
      </x:c>
      <x:c r="F77" s="5"/>
      <x:c r="G77" s="9" t="s">
        <x:v>2355</x:v>
      </x:c>
      <x:c r="H77" s="9" t="s">
        <x:v>1433</x:v>
      </x:c>
      <x:c r="I77" s="5"/>
      <x:c r="J77" s="18"/>
      <x:c r="K77" s="9"/>
      <x:c r="L77" s="9"/>
      <x:c r="M77" s="12"/>
      <x:c r="N77" s="31"/>
    </x:row>
    <x:row r="78">
      <x:c r="A78" s="28" t="s">
        <x:v>2443</x:v>
      </x:c>
      <x:c r="B78" s="51" t="s">
        <x:v>2347</x:v>
      </x:c>
      <x:c r="C78" s="8" t="s">
        <x:v>2348</x:v>
      </x:c>
      <x:c r="D78" s="18" t="s">
        <x:v>2444</x:v>
      </x:c>
      <x:c r="E78" s="36" t="s">
        <x:v>1372</x:v>
      </x:c>
      <x:c r="F78" s="5"/>
      <x:c r="G78" s="9" t="s">
        <x:v>2350</x:v>
      </x:c>
      <x:c r="H78" s="9" t="s">
        <x:v>1418</x:v>
      </x:c>
      <x:c r="I78" s="5"/>
      <x:c r="J78" s="18"/>
      <x:c r="K78" s="9"/>
      <x:c r="L78" s="9"/>
      <x:c r="M78" s="12"/>
      <x:c r="N78" s="31"/>
    </x:row>
    <x:row r="79">
      <x:c r="A79" s="28" t="s">
        <x:v>2445</x:v>
      </x:c>
      <x:c r="B79" s="51" t="s">
        <x:v>2347</x:v>
      </x:c>
      <x:c r="C79" s="8" t="s">
        <x:v>2348</x:v>
      </x:c>
      <x:c r="D79" s="18" t="s">
        <x:v>2444</x:v>
      </x:c>
      <x:c r="E79" s="36" t="s">
        <x:v>1374</x:v>
      </x:c>
      <x:c r="F79" s="5"/>
      <x:c r="G79" s="9" t="s">
        <x:v>2350</x:v>
      </x:c>
      <x:c r="H79" s="9" t="s">
        <x:v>1402</x:v>
      </x:c>
      <x:c r="I79" s="5"/>
      <x:c r="J79" s="18"/>
      <x:c r="K79" s="9"/>
      <x:c r="L79" s="9"/>
      <x:c r="M79" s="12"/>
      <x:c r="N79" s="31"/>
    </x:row>
    <x:row r="80">
      <x:c r="A80" s="28" t="s">
        <x:v>2446</x:v>
      </x:c>
      <x:c r="B80" s="51" t="s">
        <x:v>2347</x:v>
      </x:c>
      <x:c r="C80" s="8" t="s">
        <x:v>2348</x:v>
      </x:c>
      <x:c r="D80" s="18" t="s">
        <x:v>2444</x:v>
      </x:c>
      <x:c r="E80" s="36" t="s">
        <x:v>1375</x:v>
      </x:c>
      <x:c r="F80" s="5"/>
      <x:c r="G80" s="9" t="s">
        <x:v>2355</x:v>
      </x:c>
      <x:c r="H80" s="9" t="s">
        <x:v>1402</x:v>
      </x:c>
      <x:c r="I80" s="5"/>
      <x:c r="J80" s="18"/>
      <x:c r="K80" s="9"/>
      <x:c r="L80" s="9"/>
      <x:c r="M80" s="12"/>
      <x:c r="N80" s="31"/>
    </x:row>
    <x:row r="81">
      <x:c r="A81" s="28" t="s">
        <x:v>2447</x:v>
      </x:c>
      <x:c r="B81" s="51" t="s">
        <x:v>2347</x:v>
      </x:c>
      <x:c r="C81" s="8" t="s">
        <x:v>2348</x:v>
      </x:c>
      <x:c r="D81" s="18" t="s">
        <x:v>2444</x:v>
      </x:c>
      <x:c r="E81" s="36" t="s">
        <x:v>1376</x:v>
      </x:c>
      <x:c r="F81" s="5"/>
      <x:c r="G81" s="9" t="s">
        <x:v>2350</x:v>
      </x:c>
      <x:c r="H81" s="9" t="s">
        <x:v>1402</x:v>
      </x:c>
      <x:c r="I81" s="5"/>
      <x:c r="J81" s="18"/>
      <x:c r="K81" s="9"/>
      <x:c r="L81" s="9"/>
      <x:c r="M81" s="12"/>
      <x:c r="N81" s="31"/>
    </x:row>
    <x:row r="82">
      <x:c r="A82" s="28" t="s">
        <x:v>2448</x:v>
      </x:c>
      <x:c r="B82" s="51" t="s">
        <x:v>2347</x:v>
      </x:c>
      <x:c r="C82" s="8" t="s">
        <x:v>2348</x:v>
      </x:c>
      <x:c r="D82" s="18" t="s">
        <x:v>2444</x:v>
      </x:c>
      <x:c r="E82" s="36" t="s">
        <x:v>1377</x:v>
      </x:c>
      <x:c r="F82" s="5"/>
      <x:c r="G82" s="9" t="s">
        <x:v>2350</x:v>
      </x:c>
      <x:c r="H82" s="9" t="s">
        <x:v>1402</x:v>
      </x:c>
      <x:c r="I82" s="5"/>
      <x:c r="J82" s="18"/>
      <x:c r="K82" s="9"/>
      <x:c r="L82" s="9"/>
      <x:c r="M82" s="12"/>
      <x:c r="N82" s="31"/>
    </x:row>
    <x:row r="83">
      <x:c r="A83" s="28" t="s">
        <x:v>2449</x:v>
      </x:c>
      <x:c r="B83" s="51" t="s">
        <x:v>2347</x:v>
      </x:c>
      <x:c r="C83" s="8" t="s">
        <x:v>2348</x:v>
      </x:c>
      <x:c r="D83" s="18" t="s">
        <x:v>2444</x:v>
      </x:c>
      <x:c r="E83" s="36" t="s">
        <x:v>1378</x:v>
      </x:c>
      <x:c r="F83" s="5"/>
      <x:c r="G83" s="9" t="s">
        <x:v>2350</x:v>
      </x:c>
      <x:c r="H83" s="9" t="s">
        <x:v>1402</x:v>
      </x:c>
      <x:c r="I83" s="5"/>
      <x:c r="J83" s="18"/>
      <x:c r="K83" s="9"/>
      <x:c r="L83" s="9"/>
      <x:c r="M83" s="12"/>
      <x:c r="N83" s="31"/>
    </x:row>
    <x:row r="84">
      <x:c r="A84" s="28" t="s">
        <x:v>2450</x:v>
      </x:c>
      <x:c r="B84" s="51" t="s">
        <x:v>2347</x:v>
      </x:c>
      <x:c r="C84" s="8" t="s">
        <x:v>2348</x:v>
      </x:c>
      <x:c r="D84" s="18" t="s">
        <x:v>2444</x:v>
      </x:c>
      <x:c r="E84" s="36" t="s">
        <x:v>1379</x:v>
      </x:c>
      <x:c r="F84" s="5"/>
      <x:c r="G84" s="9" t="s">
        <x:v>2350</x:v>
      </x:c>
      <x:c r="H84" s="9" t="s">
        <x:v>1402</x:v>
      </x:c>
      <x:c r="I84" s="5"/>
      <x:c r="J84" s="18"/>
      <x:c r="K84" s="9"/>
      <x:c r="L84" s="9"/>
      <x:c r="M84" s="12"/>
      <x:c r="N84" s="31"/>
    </x:row>
    <x:row r="85">
      <x:c r="A85" s="28" t="s">
        <x:v>2451</x:v>
      </x:c>
      <x:c r="B85" s="51" t="s">
        <x:v>2347</x:v>
      </x:c>
      <x:c r="C85" s="8" t="s">
        <x:v>2348</x:v>
      </x:c>
      <x:c r="D85" s="18" t="s">
        <x:v>2444</x:v>
      </x:c>
      <x:c r="E85" s="36" t="s">
        <x:v>2359</x:v>
      </x:c>
      <x:c r="F85" s="5"/>
      <x:c r="G85" s="9" t="s">
        <x:v>2350</x:v>
      </x:c>
      <x:c r="H85" s="9" t="s">
        <x:v>1402</x:v>
      </x:c>
      <x:c r="I85" s="5"/>
      <x:c r="J85" s="18"/>
      <x:c r="K85" s="9"/>
      <x:c r="L85" s="9"/>
      <x:c r="M85" s="12"/>
      <x:c r="N85" s="31"/>
    </x:row>
    <x:row r="86">
      <x:c r="A86" s="28" t="s">
        <x:v>2452</x:v>
      </x:c>
      <x:c r="B86" s="51" t="s">
        <x:v>2347</x:v>
      </x:c>
      <x:c r="C86" s="8" t="s">
        <x:v>2348</x:v>
      </x:c>
      <x:c r="D86" s="18" t="s">
        <x:v>2444</x:v>
      </x:c>
      <x:c r="E86" s="36" t="s">
        <x:v>2361</x:v>
      </x:c>
      <x:c r="F86" s="5"/>
      <x:c r="G86" s="9" t="s">
        <x:v>2350</x:v>
      </x:c>
      <x:c r="H86" s="9" t="s">
        <x:v>1402</x:v>
      </x:c>
      <x:c r="I86" s="5"/>
      <x:c r="J86" s="18"/>
      <x:c r="K86" s="9"/>
      <x:c r="L86" s="9"/>
      <x:c r="M86" s="12"/>
      <x:c r="N86" s="31"/>
    </x:row>
    <x:row r="87">
      <x:c r="A87" s="28" t="s">
        <x:v>2453</x:v>
      </x:c>
      <x:c r="B87" s="51" t="s">
        <x:v>2347</x:v>
      </x:c>
      <x:c r="C87" s="8" t="s">
        <x:v>2348</x:v>
      </x:c>
      <x:c r="D87" s="18" t="s">
        <x:v>2444</x:v>
      </x:c>
      <x:c r="E87" s="36" t="s">
        <x:v>2363</x:v>
      </x:c>
      <x:c r="F87" s="5"/>
      <x:c r="G87" s="9" t="s">
        <x:v>2355</x:v>
      </x:c>
      <x:c r="H87" s="9" t="s">
        <x:v>1418</x:v>
      </x:c>
      <x:c r="I87" s="5"/>
      <x:c r="J87" s="18"/>
      <x:c r="K87" s="9"/>
      <x:c r="L87" s="9"/>
      <x:c r="M87" s="12"/>
      <x:c r="N87" s="31"/>
    </x:row>
    <x:row r="88">
      <x:c r="A88" s="28" t="s">
        <x:v>2454</x:v>
      </x:c>
      <x:c r="B88" s="51" t="s">
        <x:v>2347</x:v>
      </x:c>
      <x:c r="C88" s="8" t="s">
        <x:v>2348</x:v>
      </x:c>
      <x:c r="D88" s="18" t="s">
        <x:v>2444</x:v>
      </x:c>
      <x:c r="E88" s="36" t="s">
        <x:v>2366</x:v>
      </x:c>
      <x:c r="F88" s="5"/>
      <x:c r="G88" s="9" t="s">
        <x:v>2355</x:v>
      </x:c>
      <x:c r="H88" s="9" t="s">
        <x:v>1418</x:v>
      </x:c>
      <x:c r="I88" s="5"/>
      <x:c r="J88" s="18"/>
      <x:c r="K88" s="9"/>
      <x:c r="L88" s="9"/>
      <x:c r="M88" s="12"/>
      <x:c r="N88" s="31"/>
    </x:row>
    <x:row r="89">
      <x:c r="A89" s="28" t="s">
        <x:v>2455</x:v>
      </x:c>
      <x:c r="B89" s="51" t="s">
        <x:v>2347</x:v>
      </x:c>
      <x:c r="C89" s="8" t="s">
        <x:v>2348</x:v>
      </x:c>
      <x:c r="D89" s="18" t="s">
        <x:v>2444</x:v>
      </x:c>
      <x:c r="E89" s="36" t="s">
        <x:v>2368</x:v>
      </x:c>
      <x:c r="F89" s="5"/>
      <x:c r="G89" s="9" t="s">
        <x:v>2355</x:v>
      </x:c>
      <x:c r="H89" s="9" t="s">
        <x:v>1418</x:v>
      </x:c>
      <x:c r="I89" s="5"/>
      <x:c r="J89" s="18"/>
      <x:c r="K89" s="9"/>
      <x:c r="L89" s="9"/>
      <x:c r="M89" s="12"/>
      <x:c r="N89" s="31"/>
    </x:row>
    <x:row r="90">
      <x:c r="A90" s="28" t="s">
        <x:v>2456</x:v>
      </x:c>
      <x:c r="B90" s="51" t="s">
        <x:v>2347</x:v>
      </x:c>
      <x:c r="C90" s="8" t="s">
        <x:v>2348</x:v>
      </x:c>
      <x:c r="D90" s="18" t="s">
        <x:v>2444</x:v>
      </x:c>
      <x:c r="E90" s="36" t="s">
        <x:v>2370</x:v>
      </x:c>
      <x:c r="F90" s="5"/>
      <x:c r="G90" s="9" t="s">
        <x:v>2350</x:v>
      </x:c>
      <x:c r="H90" s="9" t="s">
        <x:v>1402</x:v>
      </x:c>
      <x:c r="I90" s="5"/>
      <x:c r="J90" s="18"/>
      <x:c r="K90" s="9"/>
      <x:c r="L90" s="9"/>
      <x:c r="M90" s="12"/>
      <x:c r="N90" s="31"/>
    </x:row>
    <x:row r="91">
      <x:c r="A91" s="28" t="s">
        <x:v>2457</x:v>
      </x:c>
      <x:c r="B91" s="51" t="s">
        <x:v>2347</x:v>
      </x:c>
      <x:c r="C91" s="8" t="s">
        <x:v>2348</x:v>
      </x:c>
      <x:c r="D91" s="18" t="s">
        <x:v>2444</x:v>
      </x:c>
      <x:c r="E91" s="36" t="s">
        <x:v>2372</x:v>
      </x:c>
      <x:c r="F91" s="5"/>
      <x:c r="G91" s="9" t="s">
        <x:v>2350</x:v>
      </x:c>
      <x:c r="H91" s="9" t="s">
        <x:v>1402</x:v>
      </x:c>
      <x:c r="I91" s="5"/>
      <x:c r="J91" s="18"/>
      <x:c r="K91" s="9"/>
      <x:c r="L91" s="9"/>
      <x:c r="M91" s="12"/>
      <x:c r="N91" s="31"/>
    </x:row>
    <x:row r="92">
      <x:c r="A92" s="28" t="s">
        <x:v>2458</x:v>
      </x:c>
      <x:c r="B92" s="51" t="s">
        <x:v>2347</x:v>
      </x:c>
      <x:c r="C92" s="8" t="s">
        <x:v>2348</x:v>
      </x:c>
      <x:c r="D92" s="18" t="s">
        <x:v>2444</x:v>
      </x:c>
      <x:c r="E92" s="36" t="s">
        <x:v>2374</x:v>
      </x:c>
      <x:c r="F92" s="5"/>
      <x:c r="G92" s="9" t="s">
        <x:v>2350</x:v>
      </x:c>
      <x:c r="H92" s="9" t="s">
        <x:v>1402</x:v>
      </x:c>
      <x:c r="I92" s="5"/>
      <x:c r="J92" s="18"/>
      <x:c r="K92" s="9"/>
      <x:c r="L92" s="9"/>
      <x:c r="M92" s="12"/>
      <x:c r="N92" s="31"/>
    </x:row>
    <x:row r="93">
      <x:c r="A93" s="28" t="s">
        <x:v>2459</x:v>
      </x:c>
      <x:c r="B93" s="51" t="s">
        <x:v>2347</x:v>
      </x:c>
      <x:c r="C93" s="8" t="s">
        <x:v>2348</x:v>
      </x:c>
      <x:c r="D93" s="18" t="s">
        <x:v>2444</x:v>
      </x:c>
      <x:c r="E93" s="36" t="s">
        <x:v>2376</x:v>
      </x:c>
      <x:c r="F93" s="5"/>
      <x:c r="G93" s="9" t="s">
        <x:v>2350</x:v>
      </x:c>
      <x:c r="H93" s="9" t="s">
        <x:v>1418</x:v>
      </x:c>
      <x:c r="I93" s="5"/>
      <x:c r="J93" s="18"/>
      <x:c r="K93" s="9"/>
      <x:c r="L93" s="9"/>
      <x:c r="M93" s="12"/>
      <x:c r="N93" s="31"/>
    </x:row>
    <x:row r="94">
      <x:c r="A94" s="28" t="s">
        <x:v>2460</x:v>
      </x:c>
      <x:c r="B94" s="51" t="s">
        <x:v>2347</x:v>
      </x:c>
      <x:c r="C94" s="8" t="s">
        <x:v>2348</x:v>
      </x:c>
      <x:c r="D94" s="18" t="s">
        <x:v>2444</x:v>
      </x:c>
      <x:c r="E94" s="36" t="s">
        <x:v>2378</x:v>
      </x:c>
      <x:c r="F94" s="5"/>
      <x:c r="G94" s="9" t="s">
        <x:v>2350</x:v>
      </x:c>
      <x:c r="H94" s="9" t="s">
        <x:v>1402</x:v>
      </x:c>
      <x:c r="I94" s="5"/>
      <x:c r="J94" s="18"/>
      <x:c r="K94" s="9"/>
      <x:c r="L94" s="9"/>
      <x:c r="M94" s="12"/>
      <x:c r="N94" s="31"/>
    </x:row>
    <x:row r="95">
      <x:c r="A95" s="28" t="s">
        <x:v>2461</x:v>
      </x:c>
      <x:c r="B95" s="51" t="s">
        <x:v>2347</x:v>
      </x:c>
      <x:c r="C95" s="8" t="s">
        <x:v>2348</x:v>
      </x:c>
      <x:c r="D95" s="18" t="s">
        <x:v>2444</x:v>
      </x:c>
      <x:c r="E95" s="36" t="s">
        <x:v>2380</x:v>
      </x:c>
      <x:c r="F95" s="5"/>
      <x:c r="G95" s="9" t="s">
        <x:v>2350</x:v>
      </x:c>
      <x:c r="H95" s="9" t="s">
        <x:v>1402</x:v>
      </x:c>
      <x:c r="I95" s="5"/>
      <x:c r="J95" s="18"/>
      <x:c r="K95" s="9"/>
      <x:c r="L95" s="9"/>
      <x:c r="M95" s="12"/>
      <x:c r="N95" s="31"/>
    </x:row>
    <x:row r="96">
      <x:c r="A96" s="28" t="s">
        <x:v>2462</x:v>
      </x:c>
      <x:c r="B96" s="51" t="s">
        <x:v>2347</x:v>
      </x:c>
      <x:c r="C96" s="8" t="s">
        <x:v>2348</x:v>
      </x:c>
      <x:c r="D96" s="18" t="s">
        <x:v>2444</x:v>
      </x:c>
      <x:c r="E96" s="36" t="s">
        <x:v>2382</x:v>
      </x:c>
      <x:c r="F96" s="5"/>
      <x:c r="G96" s="9" t="s">
        <x:v>2350</x:v>
      </x:c>
      <x:c r="H96" s="9" t="s">
        <x:v>1402</x:v>
      </x:c>
      <x:c r="I96" s="5"/>
      <x:c r="J96" s="18"/>
      <x:c r="K96" s="9"/>
      <x:c r="L96" s="9"/>
      <x:c r="M96" s="12"/>
      <x:c r="N96" s="31"/>
    </x:row>
    <x:row r="97">
      <x:c r="A97" s="28" t="s">
        <x:v>2463</x:v>
      </x:c>
      <x:c r="B97" s="51" t="s">
        <x:v>2347</x:v>
      </x:c>
      <x:c r="C97" s="8" t="s">
        <x:v>2348</x:v>
      </x:c>
      <x:c r="D97" s="18" t="s">
        <x:v>2444</x:v>
      </x:c>
      <x:c r="E97" s="36" t="s">
        <x:v>2384</x:v>
      </x:c>
      <x:c r="F97" s="5"/>
      <x:c r="G97" s="9" t="s">
        <x:v>2355</x:v>
      </x:c>
      <x:c r="H97" s="9" t="s">
        <x:v>1402</x:v>
      </x:c>
      <x:c r="I97" s="5"/>
      <x:c r="J97" s="18"/>
      <x:c r="K97" s="9"/>
      <x:c r="L97" s="9"/>
      <x:c r="M97" s="12"/>
      <x:c r="N97" s="31"/>
    </x:row>
    <x:row r="98">
      <x:c r="A98" s="28" t="s">
        <x:v>2464</x:v>
      </x:c>
      <x:c r="B98" s="51" t="s">
        <x:v>2347</x:v>
      </x:c>
      <x:c r="C98" s="8" t="s">
        <x:v>2348</x:v>
      </x:c>
      <x:c r="D98" s="18" t="s">
        <x:v>2444</x:v>
      </x:c>
      <x:c r="E98" s="36" t="s">
        <x:v>2386</x:v>
      </x:c>
      <x:c r="F98" s="5"/>
      <x:c r="G98" s="9" t="s">
        <x:v>2355</x:v>
      </x:c>
      <x:c r="H98" s="9" t="s">
        <x:v>1418</x:v>
      </x:c>
      <x:c r="I98" s="5"/>
      <x:c r="J98" s="18"/>
      <x:c r="K98" s="9"/>
      <x:c r="L98" s="9"/>
      <x:c r="M98" s="12"/>
      <x:c r="N98" s="31"/>
    </x:row>
    <x:row r="99">
      <x:c r="A99" s="28" t="s">
        <x:v>2465</x:v>
      </x:c>
      <x:c r="B99" s="51" t="s">
        <x:v>2347</x:v>
      </x:c>
      <x:c r="C99" s="8" t="s">
        <x:v>2348</x:v>
      </x:c>
      <x:c r="D99" s="18" t="s">
        <x:v>2444</x:v>
      </x:c>
      <x:c r="E99" s="36" t="s">
        <x:v>2388</x:v>
      </x:c>
      <x:c r="F99" s="5"/>
      <x:c r="G99" s="9" t="s">
        <x:v>2350</x:v>
      </x:c>
      <x:c r="H99" s="9" t="s">
        <x:v>1402</x:v>
      </x:c>
      <x:c r="I99" s="5"/>
      <x:c r="J99" s="18"/>
      <x:c r="K99" s="9"/>
      <x:c r="L99" s="9"/>
      <x:c r="M99" s="12"/>
      <x:c r="N99" s="31"/>
    </x:row>
    <x:row r="100">
      <x:c r="A100" s="28" t="s">
        <x:v>2466</x:v>
      </x:c>
      <x:c r="B100" s="51" t="s">
        <x:v>2347</x:v>
      </x:c>
      <x:c r="C100" s="8" t="s">
        <x:v>2348</x:v>
      </x:c>
      <x:c r="D100" s="18" t="s">
        <x:v>2444</x:v>
      </x:c>
      <x:c r="E100" s="36" t="s">
        <x:v>2390</x:v>
      </x:c>
      <x:c r="F100" s="5"/>
      <x:c r="G100" s="9" t="s">
        <x:v>2355</x:v>
      </x:c>
      <x:c r="H100" s="9" t="s">
        <x:v>1418</x:v>
      </x:c>
      <x:c r="I100" s="5"/>
      <x:c r="J100" s="18"/>
      <x:c r="K100" s="9"/>
      <x:c r="L100" s="9"/>
      <x:c r="M100" s="12"/>
      <x:c r="N100" s="31"/>
    </x:row>
    <x:row r="101">
      <x:c r="A101" s="28" t="s">
        <x:v>2467</x:v>
      </x:c>
      <x:c r="B101" s="51" t="s">
        <x:v>2347</x:v>
      </x:c>
      <x:c r="C101" s="8" t="s">
        <x:v>2348</x:v>
      </x:c>
      <x:c r="D101" s="18" t="s">
        <x:v>2444</x:v>
      </x:c>
      <x:c r="E101" s="36" t="s">
        <x:v>2392</x:v>
      </x:c>
      <x:c r="F101" s="5"/>
      <x:c r="G101" s="9" t="s">
        <x:v>2350</x:v>
      </x:c>
      <x:c r="H101" s="9" t="s">
        <x:v>1402</x:v>
      </x:c>
      <x:c r="I101" s="5"/>
      <x:c r="J101" s="18"/>
      <x:c r="K101" s="9"/>
      <x:c r="L101" s="9"/>
      <x:c r="M101" s="12"/>
      <x:c r="N101" s="31"/>
    </x:row>
    <x:row r="102">
      <x:c r="A102" s="28" t="s">
        <x:v>2468</x:v>
      </x:c>
      <x:c r="B102" s="51" t="s">
        <x:v>2347</x:v>
      </x:c>
      <x:c r="C102" s="8" t="s">
        <x:v>2469</x:v>
      </x:c>
      <x:c r="D102" s="18" t="s">
        <x:v>2470</x:v>
      </x:c>
      <x:c r="E102" s="36" t="s">
        <x:v>1372</x:v>
      </x:c>
      <x:c r="F102" s="5"/>
      <x:c r="G102" s="9" t="s">
        <x:v>2364</x:v>
      </x:c>
      <x:c r="H102" s="9" t="s">
        <x:v>1487</x:v>
      </x:c>
      <x:c r="I102" s="5"/>
      <x:c r="J102" s="18"/>
      <x:c r="K102" s="9"/>
      <x:c r="L102" s="9"/>
      <x:c r="M102" s="12"/>
      <x:c r="N102" s="31"/>
    </x:row>
    <x:row r="103">
      <x:c r="A103" s="28" t="s">
        <x:v>2471</x:v>
      </x:c>
      <x:c r="B103" s="51" t="s">
        <x:v>2347</x:v>
      </x:c>
      <x:c r="C103" s="8" t="s">
        <x:v>2469</x:v>
      </x:c>
      <x:c r="D103" s="18" t="s">
        <x:v>2470</x:v>
      </x:c>
      <x:c r="E103" s="36" t="s">
        <x:v>1374</x:v>
      </x:c>
      <x:c r="F103" s="5"/>
      <x:c r="G103" s="9" t="s">
        <x:v>2350</x:v>
      </x:c>
      <x:c r="H103" s="9" t="s">
        <x:v>1418</x:v>
      </x:c>
      <x:c r="I103" s="5"/>
      <x:c r="J103" s="18"/>
      <x:c r="K103" s="9"/>
      <x:c r="L103" s="9"/>
      <x:c r="M103" s="12"/>
      <x:c r="N103" s="31"/>
    </x:row>
    <x:row r="104">
      <x:c r="A104" s="28" t="s">
        <x:v>2472</x:v>
      </x:c>
      <x:c r="B104" s="51" t="s">
        <x:v>2347</x:v>
      </x:c>
      <x:c r="C104" s="8" t="s">
        <x:v>2469</x:v>
      </x:c>
      <x:c r="D104" s="18" t="s">
        <x:v>2470</x:v>
      </x:c>
      <x:c r="E104" s="36" t="s">
        <x:v>1375</x:v>
      </x:c>
      <x:c r="F104" s="5"/>
      <x:c r="G104" s="9" t="s">
        <x:v>2350</x:v>
      </x:c>
      <x:c r="H104" s="9" t="s">
        <x:v>1418</x:v>
      </x:c>
      <x:c r="I104" s="5"/>
      <x:c r="J104" s="18"/>
      <x:c r="K104" s="9"/>
      <x:c r="L104" s="9"/>
      <x:c r="M104" s="12"/>
      <x:c r="N104" s="31"/>
    </x:row>
    <x:row r="105">
      <x:c r="A105" s="28" t="s">
        <x:v>2473</x:v>
      </x:c>
      <x:c r="B105" s="51" t="s">
        <x:v>2347</x:v>
      </x:c>
      <x:c r="C105" s="8" t="s">
        <x:v>2469</x:v>
      </x:c>
      <x:c r="D105" s="18" t="s">
        <x:v>2349</x:v>
      </x:c>
      <x:c r="E105" s="36" t="s">
        <x:v>1372</x:v>
      </x:c>
      <x:c r="F105" s="5"/>
      <x:c r="G105" s="9" t="s">
        <x:v>2364</x:v>
      </x:c>
      <x:c r="H105" s="9" t="s">
        <x:v>1487</x:v>
      </x:c>
      <x:c r="I105" s="5"/>
      <x:c r="J105" s="18"/>
      <x:c r="K105" s="9"/>
      <x:c r="L105" s="9"/>
      <x:c r="M105" s="12"/>
      <x:c r="N105" s="31"/>
    </x:row>
    <x:row r="106">
      <x:c r="A106" s="28" t="s">
        <x:v>2474</x:v>
      </x:c>
      <x:c r="B106" s="51" t="s">
        <x:v>2347</x:v>
      </x:c>
      <x:c r="C106" s="8" t="s">
        <x:v>2469</x:v>
      </x:c>
      <x:c r="D106" s="18" t="s">
        <x:v>2349</x:v>
      </x:c>
      <x:c r="E106" s="36" t="s">
        <x:v>1374</x:v>
      </x:c>
      <x:c r="F106" s="5"/>
      <x:c r="G106" s="9" t="s">
        <x:v>2350</x:v>
      </x:c>
      <x:c r="H106" s="9" t="s">
        <x:v>1402</x:v>
      </x:c>
      <x:c r="I106" s="5"/>
      <x:c r="J106" s="18"/>
      <x:c r="K106" s="9"/>
      <x:c r="L106" s="9"/>
      <x:c r="M106" s="12"/>
      <x:c r="N106" s="31"/>
    </x:row>
    <x:row r="107">
      <x:c r="A107" s="28" t="s">
        <x:v>2475</x:v>
      </x:c>
      <x:c r="B107" s="51" t="s">
        <x:v>2347</x:v>
      </x:c>
      <x:c r="C107" s="8" t="s">
        <x:v>2469</x:v>
      </x:c>
      <x:c r="D107" s="18" t="s">
        <x:v>2349</x:v>
      </x:c>
      <x:c r="E107" s="36" t="s">
        <x:v>1375</x:v>
      </x:c>
      <x:c r="F107" s="5"/>
      <x:c r="G107" s="9" t="s">
        <x:v>2350</x:v>
      </x:c>
      <x:c r="H107" s="9" t="s">
        <x:v>1402</x:v>
      </x:c>
      <x:c r="I107" s="5"/>
      <x:c r="J107" s="18"/>
      <x:c r="K107" s="9"/>
      <x:c r="L107" s="9"/>
      <x:c r="M107" s="12"/>
      <x:c r="N107" s="31"/>
    </x:row>
    <x:row r="108">
      <x:c r="A108" s="28" t="s">
        <x:v>2476</x:v>
      </x:c>
      <x:c r="B108" s="51" t="s">
        <x:v>2347</x:v>
      </x:c>
      <x:c r="C108" s="8" t="s">
        <x:v>2469</x:v>
      </x:c>
      <x:c r="D108" s="18" t="s">
        <x:v>2349</x:v>
      </x:c>
      <x:c r="E108" s="36" t="s">
        <x:v>1376</x:v>
      </x:c>
      <x:c r="F108" s="5"/>
      <x:c r="G108" s="9" t="s">
        <x:v>2350</x:v>
      </x:c>
      <x:c r="H108" s="9" t="s">
        <x:v>1418</x:v>
      </x:c>
      <x:c r="I108" s="5"/>
      <x:c r="J108" s="18"/>
      <x:c r="K108" s="9"/>
      <x:c r="L108" s="9"/>
      <x:c r="M108" s="12"/>
      <x:c r="N108" s="31"/>
    </x:row>
    <x:row r="109">
      <x:c r="A109" s="28" t="s">
        <x:v>2477</x:v>
      </x:c>
      <x:c r="B109" s="51" t="s">
        <x:v>2347</x:v>
      </x:c>
      <x:c r="C109" s="8" t="s">
        <x:v>2469</x:v>
      </x:c>
      <x:c r="D109" s="18" t="s">
        <x:v>2349</x:v>
      </x:c>
      <x:c r="E109" s="36" t="s">
        <x:v>1377</x:v>
      </x:c>
      <x:c r="F109" s="5"/>
      <x:c r="G109" s="9" t="s">
        <x:v>2350</x:v>
      </x:c>
      <x:c r="H109" s="9" t="s">
        <x:v>1418</x:v>
      </x:c>
      <x:c r="I109" s="5"/>
      <x:c r="J109" s="18"/>
      <x:c r="K109" s="9"/>
      <x:c r="L109" s="9"/>
      <x:c r="M109" s="12"/>
      <x:c r="N109" s="31"/>
    </x:row>
    <x:row r="110">
      <x:c r="A110" s="28" t="s">
        <x:v>2478</x:v>
      </x:c>
      <x:c r="B110" s="51" t="s">
        <x:v>2347</x:v>
      </x:c>
      <x:c r="C110" s="8" t="s">
        <x:v>2469</x:v>
      </x:c>
      <x:c r="D110" s="18" t="s">
        <x:v>2349</x:v>
      </x:c>
      <x:c r="E110" s="36" t="s">
        <x:v>1378</x:v>
      </x:c>
      <x:c r="F110" s="5"/>
      <x:c r="G110" s="9" t="s">
        <x:v>2355</x:v>
      </x:c>
      <x:c r="H110" s="9" t="s">
        <x:v>1418</x:v>
      </x:c>
      <x:c r="I110" s="5"/>
      <x:c r="J110" s="18"/>
      <x:c r="K110" s="9"/>
      <x:c r="L110" s="9"/>
      <x:c r="M110" s="12"/>
      <x:c r="N110" s="31"/>
    </x:row>
    <x:row r="111">
      <x:c r="A111" s="28" t="s">
        <x:v>2479</x:v>
      </x:c>
      <x:c r="B111" s="51" t="s">
        <x:v>2347</x:v>
      </x:c>
      <x:c r="C111" s="8" t="s">
        <x:v>2469</x:v>
      </x:c>
      <x:c r="D111" s="18" t="s">
        <x:v>2349</x:v>
      </x:c>
      <x:c r="E111" s="36" t="s">
        <x:v>1379</x:v>
      </x:c>
      <x:c r="F111" s="5"/>
      <x:c r="G111" s="9" t="s">
        <x:v>2350</x:v>
      </x:c>
      <x:c r="H111" s="9" t="s">
        <x:v>1418</x:v>
      </x:c>
      <x:c r="I111" s="5"/>
      <x:c r="J111" s="18"/>
      <x:c r="K111" s="9"/>
      <x:c r="L111" s="9"/>
      <x:c r="M111" s="12"/>
      <x:c r="N111" s="31"/>
    </x:row>
    <x:row r="112">
      <x:c r="A112" s="28" t="s">
        <x:v>2480</x:v>
      </x:c>
      <x:c r="B112" s="51" t="s">
        <x:v>2347</x:v>
      </x:c>
      <x:c r="C112" s="8" t="s">
        <x:v>2469</x:v>
      </x:c>
      <x:c r="D112" s="18" t="s">
        <x:v>2349</x:v>
      </x:c>
      <x:c r="E112" s="36" t="s">
        <x:v>2359</x:v>
      </x:c>
      <x:c r="F112" s="5"/>
      <x:c r="G112" s="9" t="s">
        <x:v>2350</x:v>
      </x:c>
      <x:c r="H112" s="9" t="s">
        <x:v>1418</x:v>
      </x:c>
      <x:c r="I112" s="5"/>
      <x:c r="J112" s="18"/>
      <x:c r="K112" s="9"/>
      <x:c r="L112" s="9"/>
      <x:c r="M112" s="12"/>
      <x:c r="N112" s="31"/>
    </x:row>
    <x:row r="113">
      <x:c r="A113" s="28" t="s">
        <x:v>2481</x:v>
      </x:c>
      <x:c r="B113" s="51" t="s">
        <x:v>2347</x:v>
      </x:c>
      <x:c r="C113" s="8" t="s">
        <x:v>2469</x:v>
      </x:c>
      <x:c r="D113" s="18" t="s">
        <x:v>2349</x:v>
      </x:c>
      <x:c r="E113" s="36" t="s">
        <x:v>2361</x:v>
      </x:c>
      <x:c r="F113" s="5"/>
      <x:c r="G113" s="9" t="s">
        <x:v>2350</x:v>
      </x:c>
      <x:c r="H113" s="9" t="s">
        <x:v>1402</x:v>
      </x:c>
      <x:c r="I113" s="5"/>
      <x:c r="J113" s="18"/>
      <x:c r="K113" s="9"/>
      <x:c r="L113" s="9"/>
      <x:c r="M113" s="12"/>
      <x:c r="N113" s="31"/>
    </x:row>
    <x:row r="114">
      <x:c r="A114" s="28" t="s">
        <x:v>2482</x:v>
      </x:c>
      <x:c r="B114" s="51" t="s">
        <x:v>2347</x:v>
      </x:c>
      <x:c r="C114" s="8" t="s">
        <x:v>2469</x:v>
      </x:c>
      <x:c r="D114" s="18" t="s">
        <x:v>2349</x:v>
      </x:c>
      <x:c r="E114" s="36" t="s">
        <x:v>2363</x:v>
      </x:c>
      <x:c r="F114" s="5"/>
      <x:c r="G114" s="9" t="s">
        <x:v>2364</x:v>
      </x:c>
      <x:c r="H114" s="9" t="s">
        <x:v>1487</x:v>
      </x:c>
      <x:c r="I114" s="5"/>
      <x:c r="J114" s="18"/>
      <x:c r="K114" s="9"/>
      <x:c r="L114" s="9"/>
      <x:c r="M114" s="12"/>
      <x:c r="N114" s="31"/>
    </x:row>
    <x:row r="115">
      <x:c r="A115" s="28" t="s">
        <x:v>2483</x:v>
      </x:c>
      <x:c r="B115" s="51" t="s">
        <x:v>2347</x:v>
      </x:c>
      <x:c r="C115" s="8" t="s">
        <x:v>2469</x:v>
      </x:c>
      <x:c r="D115" s="18" t="s">
        <x:v>2349</x:v>
      </x:c>
      <x:c r="E115" s="36" t="s">
        <x:v>2366</x:v>
      </x:c>
      <x:c r="F115" s="5"/>
      <x:c r="G115" s="9" t="s">
        <x:v>2350</x:v>
      </x:c>
      <x:c r="H115" s="9" t="s">
        <x:v>1418</x:v>
      </x:c>
      <x:c r="I115" s="5"/>
      <x:c r="J115" s="18"/>
      <x:c r="K115" s="9"/>
      <x:c r="L115" s="9"/>
      <x:c r="M115" s="12"/>
      <x:c r="N115" s="31"/>
    </x:row>
    <x:row r="116">
      <x:c r="A116" s="28" t="s">
        <x:v>2484</x:v>
      </x:c>
      <x:c r="B116" s="51" t="s">
        <x:v>2347</x:v>
      </x:c>
      <x:c r="C116" s="8" t="s">
        <x:v>2469</x:v>
      </x:c>
      <x:c r="D116" s="18" t="s">
        <x:v>2349</x:v>
      </x:c>
      <x:c r="E116" s="36" t="s">
        <x:v>2368</x:v>
      </x:c>
      <x:c r="F116" s="5"/>
      <x:c r="G116" s="9" t="s">
        <x:v>2350</x:v>
      </x:c>
      <x:c r="H116" s="9" t="s">
        <x:v>1402</x:v>
      </x:c>
      <x:c r="I116" s="5"/>
      <x:c r="J116" s="18"/>
      <x:c r="K116" s="9"/>
      <x:c r="L116" s="9"/>
      <x:c r="M116" s="12"/>
      <x:c r="N116" s="31"/>
    </x:row>
    <x:row r="117">
      <x:c r="A117" s="28" t="s">
        <x:v>2485</x:v>
      </x:c>
      <x:c r="B117" s="51" t="s">
        <x:v>2347</x:v>
      </x:c>
      <x:c r="C117" s="8" t="s">
        <x:v>2469</x:v>
      </x:c>
      <x:c r="D117" s="18" t="s">
        <x:v>2349</x:v>
      </x:c>
      <x:c r="E117" s="36" t="s">
        <x:v>2370</x:v>
      </x:c>
      <x:c r="F117" s="5"/>
      <x:c r="G117" s="9" t="s">
        <x:v>2355</x:v>
      </x:c>
      <x:c r="H117" s="9" t="s">
        <x:v>1418</x:v>
      </x:c>
      <x:c r="I117" s="5"/>
      <x:c r="J117" s="18"/>
      <x:c r="K117" s="9"/>
      <x:c r="L117" s="9"/>
      <x:c r="M117" s="12"/>
      <x:c r="N117" s="31"/>
    </x:row>
    <x:row r="118">
      <x:c r="A118" s="28" t="s">
        <x:v>2486</x:v>
      </x:c>
      <x:c r="B118" s="51" t="s">
        <x:v>2347</x:v>
      </x:c>
      <x:c r="C118" s="8" t="s">
        <x:v>2469</x:v>
      </x:c>
      <x:c r="D118" s="18" t="s">
        <x:v>2349</x:v>
      </x:c>
      <x:c r="E118" s="36" t="s">
        <x:v>2372</x:v>
      </x:c>
      <x:c r="F118" s="5"/>
      <x:c r="G118" s="9" t="s">
        <x:v>2364</x:v>
      </x:c>
      <x:c r="H118" s="9" t="s">
        <x:v>1487</x:v>
      </x:c>
      <x:c r="I118" s="5"/>
      <x:c r="J118" s="18"/>
      <x:c r="K118" s="9"/>
      <x:c r="L118" s="9"/>
      <x:c r="M118" s="12"/>
      <x:c r="N118" s="31"/>
    </x:row>
    <x:row r="119">
      <x:c r="A119" s="28" t="s">
        <x:v>2487</x:v>
      </x:c>
      <x:c r="B119" s="51" t="s">
        <x:v>2347</x:v>
      </x:c>
      <x:c r="C119" s="8" t="s">
        <x:v>2469</x:v>
      </x:c>
      <x:c r="D119" s="18" t="s">
        <x:v>2349</x:v>
      </x:c>
      <x:c r="E119" s="36" t="s">
        <x:v>2374</x:v>
      </x:c>
      <x:c r="F119" s="5"/>
      <x:c r="G119" s="9" t="s">
        <x:v>2364</x:v>
      </x:c>
      <x:c r="H119" s="9" t="s">
        <x:v>1487</x:v>
      </x:c>
      <x:c r="I119" s="5"/>
      <x:c r="J119" s="18"/>
      <x:c r="K119" s="9"/>
      <x:c r="L119" s="9"/>
      <x:c r="M119" s="12"/>
      <x:c r="N119" s="31"/>
    </x:row>
    <x:row r="120">
      <x:c r="A120" s="28" t="s">
        <x:v>2488</x:v>
      </x:c>
      <x:c r="B120" s="51" t="s">
        <x:v>2347</x:v>
      </x:c>
      <x:c r="C120" s="8" t="s">
        <x:v>2469</x:v>
      </x:c>
      <x:c r="D120" s="18" t="s">
        <x:v>2349</x:v>
      </x:c>
      <x:c r="E120" s="36" t="s">
        <x:v>2376</x:v>
      </x:c>
      <x:c r="F120" s="5"/>
      <x:c r="G120" s="9" t="s">
        <x:v>2350</x:v>
      </x:c>
      <x:c r="H120" s="9" t="s">
        <x:v>1418</x:v>
      </x:c>
      <x:c r="I120" s="5"/>
      <x:c r="J120" s="18"/>
      <x:c r="K120" s="9"/>
      <x:c r="L120" s="9"/>
      <x:c r="M120" s="12"/>
      <x:c r="N120" s="31"/>
    </x:row>
    <x:row r="121">
      <x:c r="A121" s="28" t="s">
        <x:v>2489</x:v>
      </x:c>
      <x:c r="B121" s="51" t="s">
        <x:v>2347</x:v>
      </x:c>
      <x:c r="C121" s="8" t="s">
        <x:v>2469</x:v>
      </x:c>
      <x:c r="D121" s="18" t="s">
        <x:v>2349</x:v>
      </x:c>
      <x:c r="E121" s="36" t="s">
        <x:v>2378</x:v>
      </x:c>
      <x:c r="F121" s="5"/>
      <x:c r="G121" s="9" t="s">
        <x:v>2355</x:v>
      </x:c>
      <x:c r="H121" s="9" t="s">
        <x:v>1433</x:v>
      </x:c>
      <x:c r="I121" s="5"/>
      <x:c r="J121" s="18"/>
      <x:c r="K121" s="9"/>
      <x:c r="L121" s="9"/>
      <x:c r="M121" s="12"/>
      <x:c r="N121" s="31"/>
    </x:row>
    <x:row r="122">
      <x:c r="A122" s="28" t="s">
        <x:v>2490</x:v>
      </x:c>
      <x:c r="B122" s="51" t="s">
        <x:v>2347</x:v>
      </x:c>
      <x:c r="C122" s="8" t="s">
        <x:v>2469</x:v>
      </x:c>
      <x:c r="D122" s="18" t="s">
        <x:v>2349</x:v>
      </x:c>
      <x:c r="E122" s="36" t="s">
        <x:v>2380</x:v>
      </x:c>
      <x:c r="F122" s="5"/>
      <x:c r="G122" s="9" t="s">
        <x:v>2350</x:v>
      </x:c>
      <x:c r="H122" s="9" t="s">
        <x:v>1402</x:v>
      </x:c>
      <x:c r="I122" s="5"/>
      <x:c r="J122" s="18"/>
      <x:c r="K122" s="9"/>
      <x:c r="L122" s="9"/>
      <x:c r="M122" s="12"/>
      <x:c r="N122" s="31"/>
    </x:row>
    <x:row r="123">
      <x:c r="A123" s="28" t="s">
        <x:v>2491</x:v>
      </x:c>
      <x:c r="B123" s="51" t="s">
        <x:v>2347</x:v>
      </x:c>
      <x:c r="C123" s="8" t="s">
        <x:v>2469</x:v>
      </x:c>
      <x:c r="D123" s="18" t="s">
        <x:v>2349</x:v>
      </x:c>
      <x:c r="E123" s="36" t="s">
        <x:v>2382</x:v>
      </x:c>
      <x:c r="F123" s="5"/>
      <x:c r="G123" s="9" t="s">
        <x:v>2350</x:v>
      </x:c>
      <x:c r="H123" s="9" t="s">
        <x:v>1418</x:v>
      </x:c>
      <x:c r="I123" s="5"/>
      <x:c r="J123" s="18"/>
      <x:c r="K123" s="9"/>
      <x:c r="L123" s="9"/>
      <x:c r="M123" s="12"/>
      <x:c r="N123" s="31"/>
    </x:row>
    <x:row r="124">
      <x:c r="A124" s="28" t="s">
        <x:v>2492</x:v>
      </x:c>
      <x:c r="B124" s="51" t="s">
        <x:v>2347</x:v>
      </x:c>
      <x:c r="C124" s="8" t="s">
        <x:v>2469</x:v>
      </x:c>
      <x:c r="D124" s="18" t="s">
        <x:v>2349</x:v>
      </x:c>
      <x:c r="E124" s="36" t="s">
        <x:v>2384</x:v>
      </x:c>
      <x:c r="F124" s="5"/>
      <x:c r="G124" s="9" t="s">
        <x:v>2350</x:v>
      </x:c>
      <x:c r="H124" s="9" t="s">
        <x:v>1418</x:v>
      </x:c>
      <x:c r="I124" s="5"/>
      <x:c r="J124" s="18"/>
      <x:c r="K124" s="9"/>
      <x:c r="L124" s="9"/>
      <x:c r="M124" s="12"/>
      <x:c r="N124" s="31"/>
    </x:row>
    <x:row r="125">
      <x:c r="A125" s="28" t="s">
        <x:v>2493</x:v>
      </x:c>
      <x:c r="B125" s="51" t="s">
        <x:v>2347</x:v>
      </x:c>
      <x:c r="C125" s="8" t="s">
        <x:v>2469</x:v>
      </x:c>
      <x:c r="D125" s="18" t="s">
        <x:v>2349</x:v>
      </x:c>
      <x:c r="E125" s="36" t="s">
        <x:v>2386</x:v>
      </x:c>
      <x:c r="F125" s="5"/>
      <x:c r="G125" s="9" t="s">
        <x:v>2364</x:v>
      </x:c>
      <x:c r="H125" s="9" t="s">
        <x:v>1487</x:v>
      </x:c>
      <x:c r="I125" s="5"/>
      <x:c r="J125" s="18"/>
      <x:c r="K125" s="9"/>
      <x:c r="L125" s="9"/>
      <x:c r="M125" s="12"/>
      <x:c r="N125" s="31"/>
    </x:row>
    <x:row r="126">
      <x:c r="A126" s="28" t="s">
        <x:v>2494</x:v>
      </x:c>
      <x:c r="B126" s="51" t="s">
        <x:v>2347</x:v>
      </x:c>
      <x:c r="C126" s="8" t="s">
        <x:v>2469</x:v>
      </x:c>
      <x:c r="D126" s="18" t="s">
        <x:v>2349</x:v>
      </x:c>
      <x:c r="E126" s="36" t="s">
        <x:v>2388</x:v>
      </x:c>
      <x:c r="F126" s="5"/>
      <x:c r="G126" s="9" t="s">
        <x:v>2350</x:v>
      </x:c>
      <x:c r="H126" s="9" t="s">
        <x:v>1418</x:v>
      </x:c>
      <x:c r="I126" s="5"/>
      <x:c r="J126" s="18"/>
      <x:c r="K126" s="9"/>
      <x:c r="L126" s="9"/>
      <x:c r="M126" s="12"/>
      <x:c r="N126" s="31"/>
    </x:row>
    <x:row r="127">
      <x:c r="A127" s="28" t="s">
        <x:v>2495</x:v>
      </x:c>
      <x:c r="B127" s="51" t="s">
        <x:v>2347</x:v>
      </x:c>
      <x:c r="C127" s="8" t="s">
        <x:v>2469</x:v>
      </x:c>
      <x:c r="D127" s="18" t="s">
        <x:v>2349</x:v>
      </x:c>
      <x:c r="E127" s="36" t="s">
        <x:v>2390</x:v>
      </x:c>
      <x:c r="F127" s="5"/>
      <x:c r="G127" s="9" t="s">
        <x:v>2350</x:v>
      </x:c>
      <x:c r="H127" s="9" t="s">
        <x:v>1418</x:v>
      </x:c>
      <x:c r="I127" s="5"/>
      <x:c r="J127" s="18"/>
      <x:c r="K127" s="9"/>
      <x:c r="L127" s="9"/>
      <x:c r="M127" s="12"/>
      <x:c r="N127" s="31"/>
    </x:row>
    <x:row r="128">
      <x:c r="A128" s="28" t="s">
        <x:v>2496</x:v>
      </x:c>
      <x:c r="B128" s="51" t="s">
        <x:v>2347</x:v>
      </x:c>
      <x:c r="C128" s="8" t="s">
        <x:v>2469</x:v>
      </x:c>
      <x:c r="D128" s="18" t="s">
        <x:v>2349</x:v>
      </x:c>
      <x:c r="E128" s="36" t="s">
        <x:v>2392</x:v>
      </x:c>
      <x:c r="F128" s="5"/>
      <x:c r="G128" s="9" t="s">
        <x:v>2350</x:v>
      </x:c>
      <x:c r="H128" s="9" t="s">
        <x:v>1487</x:v>
      </x:c>
      <x:c r="I128" s="5"/>
      <x:c r="J128" s="18"/>
      <x:c r="K128" s="9"/>
      <x:c r="L128" s="9"/>
      <x:c r="M128" s="12"/>
      <x:c r="N128" s="31"/>
    </x:row>
    <x:row r="129">
      <x:c r="A129" s="28" t="s">
        <x:v>2497</x:v>
      </x:c>
      <x:c r="B129" s="51" t="s">
        <x:v>2347</x:v>
      </x:c>
      <x:c r="C129" s="8" t="s">
        <x:v>2469</x:v>
      </x:c>
      <x:c r="D129" s="18" t="s">
        <x:v>2394</x:v>
      </x:c>
      <x:c r="E129" s="36" t="s">
        <x:v>1372</x:v>
      </x:c>
      <x:c r="F129" s="5"/>
      <x:c r="G129" s="9" t="s">
        <x:v>2350</x:v>
      </x:c>
      <x:c r="H129" s="9" t="s">
        <x:v>1402</x:v>
      </x:c>
      <x:c r="I129" s="5"/>
      <x:c r="J129" s="18"/>
      <x:c r="K129" s="9"/>
      <x:c r="L129" s="9"/>
      <x:c r="M129" s="12"/>
      <x:c r="N129" s="31"/>
    </x:row>
    <x:row r="130">
      <x:c r="A130" s="28" t="s">
        <x:v>2498</x:v>
      </x:c>
      <x:c r="B130" s="51" t="s">
        <x:v>2347</x:v>
      </x:c>
      <x:c r="C130" s="8" t="s">
        <x:v>2469</x:v>
      </x:c>
      <x:c r="D130" s="18" t="s">
        <x:v>2394</x:v>
      </x:c>
      <x:c r="E130" s="36" t="s">
        <x:v>1374</x:v>
      </x:c>
      <x:c r="F130" s="5"/>
      <x:c r="G130" s="9" t="s">
        <x:v>2350</x:v>
      </x:c>
      <x:c r="H130" s="9" t="s">
        <x:v>1418</x:v>
      </x:c>
      <x:c r="I130" s="5"/>
      <x:c r="J130" s="18"/>
      <x:c r="K130" s="9"/>
      <x:c r="L130" s="9"/>
      <x:c r="M130" s="12"/>
      <x:c r="N130" s="31"/>
    </x:row>
    <x:row r="131">
      <x:c r="A131" s="28" t="s">
        <x:v>2499</x:v>
      </x:c>
      <x:c r="B131" s="51" t="s">
        <x:v>2347</x:v>
      </x:c>
      <x:c r="C131" s="8" t="s">
        <x:v>2469</x:v>
      </x:c>
      <x:c r="D131" s="18" t="s">
        <x:v>2394</x:v>
      </x:c>
      <x:c r="E131" s="36" t="s">
        <x:v>1375</x:v>
      </x:c>
      <x:c r="F131" s="5"/>
      <x:c r="G131" s="9" t="s">
        <x:v>2350</x:v>
      </x:c>
      <x:c r="H131" s="9" t="s">
        <x:v>1418</x:v>
      </x:c>
      <x:c r="I131" s="5"/>
      <x:c r="J131" s="18"/>
      <x:c r="K131" s="9"/>
      <x:c r="L131" s="9"/>
      <x:c r="M131" s="12"/>
      <x:c r="N131" s="31"/>
    </x:row>
    <x:row r="132">
      <x:c r="A132" s="28" t="s">
        <x:v>2500</x:v>
      </x:c>
      <x:c r="B132" s="51" t="s">
        <x:v>2347</x:v>
      </x:c>
      <x:c r="C132" s="8" t="s">
        <x:v>2469</x:v>
      </x:c>
      <x:c r="D132" s="18" t="s">
        <x:v>2394</x:v>
      </x:c>
      <x:c r="E132" s="36" t="s">
        <x:v>1376</x:v>
      </x:c>
      <x:c r="F132" s="5"/>
      <x:c r="G132" s="9" t="s">
        <x:v>2350</x:v>
      </x:c>
      <x:c r="H132" s="9" t="s">
        <x:v>1418</x:v>
      </x:c>
      <x:c r="I132" s="5"/>
      <x:c r="J132" s="18"/>
      <x:c r="K132" s="9"/>
      <x:c r="L132" s="9"/>
      <x:c r="M132" s="12"/>
      <x:c r="N132" s="31"/>
    </x:row>
    <x:row r="133">
      <x:c r="A133" s="28" t="s">
        <x:v>2501</x:v>
      </x:c>
      <x:c r="B133" s="51" t="s">
        <x:v>2347</x:v>
      </x:c>
      <x:c r="C133" s="8" t="s">
        <x:v>2469</x:v>
      </x:c>
      <x:c r="D133" s="18" t="s">
        <x:v>2394</x:v>
      </x:c>
      <x:c r="E133" s="36" t="s">
        <x:v>1377</x:v>
      </x:c>
      <x:c r="F133" s="5"/>
      <x:c r="G133" s="9" t="s">
        <x:v>2350</x:v>
      </x:c>
      <x:c r="H133" s="9" t="s">
        <x:v>1418</x:v>
      </x:c>
      <x:c r="I133" s="5"/>
      <x:c r="J133" s="18"/>
      <x:c r="K133" s="9"/>
      <x:c r="L133" s="9"/>
      <x:c r="M133" s="12"/>
      <x:c r="N133" s="31"/>
    </x:row>
    <x:row r="134">
      <x:c r="A134" s="28" t="s">
        <x:v>2502</x:v>
      </x:c>
      <x:c r="B134" s="51" t="s">
        <x:v>2347</x:v>
      </x:c>
      <x:c r="C134" s="8" t="s">
        <x:v>2469</x:v>
      </x:c>
      <x:c r="D134" s="18" t="s">
        <x:v>2394</x:v>
      </x:c>
      <x:c r="E134" s="36" t="s">
        <x:v>1378</x:v>
      </x:c>
      <x:c r="F134" s="5"/>
      <x:c r="G134" s="9" t="s">
        <x:v>2350</x:v>
      </x:c>
      <x:c r="H134" s="9" t="s">
        <x:v>1487</x:v>
      </x:c>
      <x:c r="I134" s="5"/>
      <x:c r="J134" s="18"/>
      <x:c r="K134" s="9"/>
      <x:c r="L134" s="9"/>
      <x:c r="M134" s="12"/>
      <x:c r="N134" s="31"/>
    </x:row>
    <x:row r="135">
      <x:c r="A135" s="28" t="s">
        <x:v>2503</x:v>
      </x:c>
      <x:c r="B135" s="51" t="s">
        <x:v>2347</x:v>
      </x:c>
      <x:c r="C135" s="8" t="s">
        <x:v>2469</x:v>
      </x:c>
      <x:c r="D135" s="18" t="s">
        <x:v>2394</x:v>
      </x:c>
      <x:c r="E135" s="36" t="s">
        <x:v>1379</x:v>
      </x:c>
      <x:c r="F135" s="5"/>
      <x:c r="G135" s="9" t="s">
        <x:v>2350</x:v>
      </x:c>
      <x:c r="H135" s="9" t="s">
        <x:v>1418</x:v>
      </x:c>
      <x:c r="I135" s="5"/>
      <x:c r="J135" s="18"/>
      <x:c r="K135" s="9"/>
      <x:c r="L135" s="9"/>
      <x:c r="M135" s="12"/>
      <x:c r="N135" s="31"/>
    </x:row>
    <x:row r="136">
      <x:c r="A136" s="28" t="s">
        <x:v>2504</x:v>
      </x:c>
      <x:c r="B136" s="51" t="s">
        <x:v>2347</x:v>
      </x:c>
      <x:c r="C136" s="8" t="s">
        <x:v>2469</x:v>
      </x:c>
      <x:c r="D136" s="18" t="s">
        <x:v>2394</x:v>
      </x:c>
      <x:c r="E136" s="36" t="s">
        <x:v>2359</x:v>
      </x:c>
      <x:c r="F136" s="5"/>
      <x:c r="G136" s="9" t="s">
        <x:v>2350</x:v>
      </x:c>
      <x:c r="H136" s="9" t="s">
        <x:v>1402</x:v>
      </x:c>
      <x:c r="I136" s="5"/>
      <x:c r="J136" s="18"/>
      <x:c r="K136" s="9"/>
      <x:c r="L136" s="9"/>
      <x:c r="M136" s="12"/>
      <x:c r="N136" s="31"/>
    </x:row>
    <x:row r="137">
      <x:c r="A137" s="28" t="s">
        <x:v>2505</x:v>
      </x:c>
      <x:c r="B137" s="51" t="s">
        <x:v>2347</x:v>
      </x:c>
      <x:c r="C137" s="8" t="s">
        <x:v>2469</x:v>
      </x:c>
      <x:c r="D137" s="18" t="s">
        <x:v>2394</x:v>
      </x:c>
      <x:c r="E137" s="36" t="s">
        <x:v>2361</x:v>
      </x:c>
      <x:c r="F137" s="5"/>
      <x:c r="G137" s="9" t="s">
        <x:v>2350</x:v>
      </x:c>
      <x:c r="H137" s="9" t="s">
        <x:v>1418</x:v>
      </x:c>
      <x:c r="I137" s="5"/>
      <x:c r="J137" s="18"/>
      <x:c r="K137" s="9"/>
      <x:c r="L137" s="9"/>
      <x:c r="M137" s="12"/>
      <x:c r="N137" s="31"/>
    </x:row>
    <x:row r="138">
      <x:c r="A138" s="28" t="s">
        <x:v>2506</x:v>
      </x:c>
      <x:c r="B138" s="51" t="s">
        <x:v>2347</x:v>
      </x:c>
      <x:c r="C138" s="8" t="s">
        <x:v>2469</x:v>
      </x:c>
      <x:c r="D138" s="18" t="s">
        <x:v>2394</x:v>
      </x:c>
      <x:c r="E138" s="36" t="s">
        <x:v>2363</x:v>
      </x:c>
      <x:c r="F138" s="5"/>
      <x:c r="G138" s="9" t="s">
        <x:v>2350</x:v>
      </x:c>
      <x:c r="H138" s="9" t="s">
        <x:v>1418</x:v>
      </x:c>
      <x:c r="I138" s="5"/>
      <x:c r="J138" s="18"/>
      <x:c r="K138" s="9"/>
      <x:c r="L138" s="9"/>
      <x:c r="M138" s="12"/>
      <x:c r="N138" s="31"/>
    </x:row>
    <x:row r="139">
      <x:c r="A139" s="28" t="s">
        <x:v>2507</x:v>
      </x:c>
      <x:c r="B139" s="51" t="s">
        <x:v>2347</x:v>
      </x:c>
      <x:c r="C139" s="8" t="s">
        <x:v>2469</x:v>
      </x:c>
      <x:c r="D139" s="18" t="s">
        <x:v>2394</x:v>
      </x:c>
      <x:c r="E139" s="36" t="s">
        <x:v>2366</x:v>
      </x:c>
      <x:c r="F139" s="5"/>
      <x:c r="G139" s="9" t="s">
        <x:v>2350</x:v>
      </x:c>
      <x:c r="H139" s="9" t="s">
        <x:v>1402</x:v>
      </x:c>
      <x:c r="I139" s="5"/>
      <x:c r="J139" s="18"/>
      <x:c r="K139" s="9"/>
      <x:c r="L139" s="9"/>
      <x:c r="M139" s="12"/>
      <x:c r="N139" s="31"/>
    </x:row>
    <x:row r="140">
      <x:c r="A140" s="28" t="s">
        <x:v>2508</x:v>
      </x:c>
      <x:c r="B140" s="51" t="s">
        <x:v>2347</x:v>
      </x:c>
      <x:c r="C140" s="8" t="s">
        <x:v>2469</x:v>
      </x:c>
      <x:c r="D140" s="18" t="s">
        <x:v>2394</x:v>
      </x:c>
      <x:c r="E140" s="36" t="s">
        <x:v>2368</x:v>
      </x:c>
      <x:c r="F140" s="5"/>
      <x:c r="G140" s="9" t="s">
        <x:v>2350</x:v>
      </x:c>
      <x:c r="H140" s="9" t="s">
        <x:v>1418</x:v>
      </x:c>
      <x:c r="I140" s="5"/>
      <x:c r="J140" s="18"/>
      <x:c r="K140" s="9"/>
      <x:c r="L140" s="9"/>
      <x:c r="M140" s="12"/>
      <x:c r="N140" s="31"/>
    </x:row>
    <x:row r="141">
      <x:c r="A141" s="28" t="s">
        <x:v>2509</x:v>
      </x:c>
      <x:c r="B141" s="51" t="s">
        <x:v>2347</x:v>
      </x:c>
      <x:c r="C141" s="8" t="s">
        <x:v>2469</x:v>
      </x:c>
      <x:c r="D141" s="18" t="s">
        <x:v>2394</x:v>
      </x:c>
      <x:c r="E141" s="36" t="s">
        <x:v>2370</x:v>
      </x:c>
      <x:c r="F141" s="5"/>
      <x:c r="G141" s="9" t="s">
        <x:v>2350</x:v>
      </x:c>
      <x:c r="H141" s="9" t="s">
        <x:v>1418</x:v>
      </x:c>
      <x:c r="I141" s="5"/>
      <x:c r="J141" s="18"/>
      <x:c r="K141" s="9"/>
      <x:c r="L141" s="9"/>
      <x:c r="M141" s="12"/>
      <x:c r="N141" s="31"/>
    </x:row>
    <x:row r="142">
      <x:c r="A142" s="28" t="s">
        <x:v>2510</x:v>
      </x:c>
      <x:c r="B142" s="51" t="s">
        <x:v>2347</x:v>
      </x:c>
      <x:c r="C142" s="8" t="s">
        <x:v>2469</x:v>
      </x:c>
      <x:c r="D142" s="18" t="s">
        <x:v>2394</x:v>
      </x:c>
      <x:c r="E142" s="36" t="s">
        <x:v>2372</x:v>
      </x:c>
      <x:c r="F142" s="5"/>
      <x:c r="G142" s="9" t="s">
        <x:v>2350</x:v>
      </x:c>
      <x:c r="H142" s="9" t="s">
        <x:v>1418</x:v>
      </x:c>
      <x:c r="I142" s="5"/>
      <x:c r="J142" s="18"/>
      <x:c r="K142" s="9"/>
      <x:c r="L142" s="9"/>
      <x:c r="M142" s="12"/>
      <x:c r="N142" s="31"/>
    </x:row>
    <x:row r="143">
      <x:c r="A143" s="28" t="s">
        <x:v>2511</x:v>
      </x:c>
      <x:c r="B143" s="51" t="s">
        <x:v>2347</x:v>
      </x:c>
      <x:c r="C143" s="8" t="s">
        <x:v>2469</x:v>
      </x:c>
      <x:c r="D143" s="18" t="s">
        <x:v>2394</x:v>
      </x:c>
      <x:c r="E143" s="36" t="s">
        <x:v>2374</x:v>
      </x:c>
      <x:c r="F143" s="5"/>
      <x:c r="G143" s="9" t="s">
        <x:v>2355</x:v>
      </x:c>
      <x:c r="H143" s="9" t="s">
        <x:v>1418</x:v>
      </x:c>
      <x:c r="I143" s="5"/>
      <x:c r="J143" s="18"/>
      <x:c r="K143" s="9"/>
      <x:c r="L143" s="9"/>
      <x:c r="M143" s="12"/>
      <x:c r="N143" s="31"/>
    </x:row>
    <x:row r="144">
      <x:c r="A144" s="28" t="s">
        <x:v>2512</x:v>
      </x:c>
      <x:c r="B144" s="51" t="s">
        <x:v>2347</x:v>
      </x:c>
      <x:c r="C144" s="8" t="s">
        <x:v>2469</x:v>
      </x:c>
      <x:c r="D144" s="18" t="s">
        <x:v>2394</x:v>
      </x:c>
      <x:c r="E144" s="36" t="s">
        <x:v>2376</x:v>
      </x:c>
      <x:c r="F144" s="5"/>
      <x:c r="G144" s="9" t="s">
        <x:v>2355</x:v>
      </x:c>
      <x:c r="H144" s="9" t="s">
        <x:v>1402</x:v>
      </x:c>
      <x:c r="I144" s="5"/>
      <x:c r="J144" s="18"/>
      <x:c r="K144" s="9"/>
      <x:c r="L144" s="9"/>
      <x:c r="M144" s="12"/>
      <x:c r="N144" s="31"/>
    </x:row>
    <x:row r="145">
      <x:c r="A145" s="28" t="s">
        <x:v>2513</x:v>
      </x:c>
      <x:c r="B145" s="51" t="s">
        <x:v>2347</x:v>
      </x:c>
      <x:c r="C145" s="8" t="s">
        <x:v>2469</x:v>
      </x:c>
      <x:c r="D145" s="18" t="s">
        <x:v>2394</x:v>
      </x:c>
      <x:c r="E145" s="36" t="s">
        <x:v>2378</x:v>
      </x:c>
      <x:c r="F145" s="5"/>
      <x:c r="G145" s="9" t="s">
        <x:v>2364</x:v>
      </x:c>
      <x:c r="H145" s="9" t="s">
        <x:v>1487</x:v>
      </x:c>
      <x:c r="I145" s="5"/>
      <x:c r="J145" s="18"/>
      <x:c r="K145" s="9"/>
      <x:c r="L145" s="9"/>
      <x:c r="M145" s="12"/>
      <x:c r="N145" s="31"/>
    </x:row>
    <x:row r="146">
      <x:c r="A146" s="28" t="s">
        <x:v>2514</x:v>
      </x:c>
      <x:c r="B146" s="51" t="s">
        <x:v>2347</x:v>
      </x:c>
      <x:c r="C146" s="8" t="s">
        <x:v>2469</x:v>
      </x:c>
      <x:c r="D146" s="18" t="s">
        <x:v>2394</x:v>
      </x:c>
      <x:c r="E146" s="36" t="s">
        <x:v>2380</x:v>
      </x:c>
      <x:c r="F146" s="5"/>
      <x:c r="G146" s="9" t="s">
        <x:v>2350</x:v>
      </x:c>
      <x:c r="H146" s="9" t="s">
        <x:v>1418</x:v>
      </x:c>
      <x:c r="I146" s="5"/>
      <x:c r="J146" s="18"/>
      <x:c r="K146" s="9"/>
      <x:c r="L146" s="9"/>
      <x:c r="M146" s="12"/>
      <x:c r="N146" s="31"/>
    </x:row>
    <x:row r="147">
      <x:c r="A147" s="28" t="s">
        <x:v>2515</x:v>
      </x:c>
      <x:c r="B147" s="51" t="s">
        <x:v>2347</x:v>
      </x:c>
      <x:c r="C147" s="8" t="s">
        <x:v>2469</x:v>
      </x:c>
      <x:c r="D147" s="18" t="s">
        <x:v>2394</x:v>
      </x:c>
      <x:c r="E147" s="36" t="s">
        <x:v>2382</x:v>
      </x:c>
      <x:c r="F147" s="5"/>
      <x:c r="G147" s="9" t="s">
        <x:v>2350</x:v>
      </x:c>
      <x:c r="H147" s="9" t="s">
        <x:v>1402</x:v>
      </x:c>
      <x:c r="I147" s="5"/>
      <x:c r="J147" s="18"/>
      <x:c r="K147" s="9"/>
      <x:c r="L147" s="9"/>
      <x:c r="M147" s="12"/>
      <x:c r="N147" s="31"/>
    </x:row>
    <x:row r="148">
      <x:c r="A148" s="28" t="s">
        <x:v>2516</x:v>
      </x:c>
      <x:c r="B148" s="51" t="s">
        <x:v>2347</x:v>
      </x:c>
      <x:c r="C148" s="8" t="s">
        <x:v>2469</x:v>
      </x:c>
      <x:c r="D148" s="18" t="s">
        <x:v>2394</x:v>
      </x:c>
      <x:c r="E148" s="36" t="s">
        <x:v>2384</x:v>
      </x:c>
      <x:c r="F148" s="5"/>
      <x:c r="G148" s="9" t="s">
        <x:v>2350</x:v>
      </x:c>
      <x:c r="H148" s="9" t="s">
        <x:v>1433</x:v>
      </x:c>
      <x:c r="I148" s="5"/>
      <x:c r="J148" s="18"/>
      <x:c r="K148" s="9"/>
      <x:c r="L148" s="9"/>
      <x:c r="M148" s="12"/>
      <x:c r="N148" s="31"/>
    </x:row>
    <x:row r="149">
      <x:c r="A149" s="28" t="s">
        <x:v>2517</x:v>
      </x:c>
      <x:c r="B149" s="51" t="s">
        <x:v>2347</x:v>
      </x:c>
      <x:c r="C149" s="8" t="s">
        <x:v>2469</x:v>
      </x:c>
      <x:c r="D149" s="18" t="s">
        <x:v>2394</x:v>
      </x:c>
      <x:c r="E149" s="36" t="s">
        <x:v>2386</x:v>
      </x:c>
      <x:c r="F149" s="5"/>
      <x:c r="G149" s="9" t="s">
        <x:v>2350</x:v>
      </x:c>
      <x:c r="H149" s="9" t="s">
        <x:v>1418</x:v>
      </x:c>
      <x:c r="I149" s="5"/>
      <x:c r="J149" s="18"/>
      <x:c r="K149" s="9"/>
      <x:c r="L149" s="9"/>
      <x:c r="M149" s="12"/>
      <x:c r="N149" s="31"/>
    </x:row>
    <x:row r="150">
      <x:c r="A150" s="28" t="s">
        <x:v>2518</x:v>
      </x:c>
      <x:c r="B150" s="51" t="s">
        <x:v>2347</x:v>
      </x:c>
      <x:c r="C150" s="8" t="s">
        <x:v>2469</x:v>
      </x:c>
      <x:c r="D150" s="18" t="s">
        <x:v>2394</x:v>
      </x:c>
      <x:c r="E150" s="36" t="s">
        <x:v>2388</x:v>
      </x:c>
      <x:c r="F150" s="5"/>
      <x:c r="G150" s="9" t="s">
        <x:v>2350</x:v>
      </x:c>
      <x:c r="H150" s="9" t="s">
        <x:v>1402</x:v>
      </x:c>
      <x:c r="I150" s="5"/>
      <x:c r="J150" s="18"/>
      <x:c r="K150" s="9"/>
      <x:c r="L150" s="9"/>
      <x:c r="M150" s="12"/>
      <x:c r="N150" s="31"/>
    </x:row>
    <x:row r="151">
      <x:c r="A151" s="28" t="s">
        <x:v>2519</x:v>
      </x:c>
      <x:c r="B151" s="51" t="s">
        <x:v>2347</x:v>
      </x:c>
      <x:c r="C151" s="8" t="s">
        <x:v>2469</x:v>
      </x:c>
      <x:c r="D151" s="18" t="s">
        <x:v>2394</x:v>
      </x:c>
      <x:c r="E151" s="36" t="s">
        <x:v>2390</x:v>
      </x:c>
      <x:c r="F151" s="5"/>
      <x:c r="G151" s="9" t="s">
        <x:v>2350</x:v>
      </x:c>
      <x:c r="H151" s="9" t="s">
        <x:v>1418</x:v>
      </x:c>
      <x:c r="I151" s="5"/>
      <x:c r="J151" s="18"/>
      <x:c r="K151" s="9"/>
      <x:c r="L151" s="9"/>
      <x:c r="M151" s="12"/>
      <x:c r="N151" s="31"/>
    </x:row>
    <x:row r="152">
      <x:c r="A152" s="28" t="s">
        <x:v>2520</x:v>
      </x:c>
      <x:c r="B152" s="51" t="s">
        <x:v>2347</x:v>
      </x:c>
      <x:c r="C152" s="8" t="s">
        <x:v>2469</x:v>
      </x:c>
      <x:c r="D152" s="18" t="s">
        <x:v>2394</x:v>
      </x:c>
      <x:c r="E152" s="36" t="s">
        <x:v>2392</x:v>
      </x:c>
      <x:c r="F152" s="5"/>
      <x:c r="G152" s="9" t="s">
        <x:v>2350</x:v>
      </x:c>
      <x:c r="H152" s="9" t="s">
        <x:v>1402</x:v>
      </x:c>
      <x:c r="I152" s="5"/>
      <x:c r="J152" s="18"/>
      <x:c r="K152" s="9"/>
      <x:c r="L152" s="9"/>
      <x:c r="M152" s="12"/>
      <x:c r="N152" s="31"/>
    </x:row>
    <x:row r="153">
      <x:c r="A153" s="28" t="s">
        <x:v>2521</x:v>
      </x:c>
      <x:c r="B153" s="51" t="s">
        <x:v>2347</x:v>
      </x:c>
      <x:c r="C153" s="8" t="s">
        <x:v>2469</x:v>
      </x:c>
      <x:c r="D153" s="18" t="s">
        <x:v>2419</x:v>
      </x:c>
      <x:c r="E153" s="36" t="s">
        <x:v>1372</x:v>
      </x:c>
      <x:c r="F153" s="5"/>
      <x:c r="G153" s="9" t="s">
        <x:v>2350</x:v>
      </x:c>
      <x:c r="H153" s="9" t="s">
        <x:v>1402</x:v>
      </x:c>
      <x:c r="I153" s="5"/>
      <x:c r="J153" s="18"/>
      <x:c r="K153" s="9"/>
      <x:c r="L153" s="9"/>
      <x:c r="M153" s="12"/>
      <x:c r="N153" s="31"/>
    </x:row>
    <x:row r="154">
      <x:c r="A154" s="28" t="s">
        <x:v>2522</x:v>
      </x:c>
      <x:c r="B154" s="51" t="s">
        <x:v>2347</x:v>
      </x:c>
      <x:c r="C154" s="8" t="s">
        <x:v>2469</x:v>
      </x:c>
      <x:c r="D154" s="18" t="s">
        <x:v>2419</x:v>
      </x:c>
      <x:c r="E154" s="36" t="s">
        <x:v>1374</x:v>
      </x:c>
      <x:c r="F154" s="5"/>
      <x:c r="G154" s="9" t="s">
        <x:v>2350</x:v>
      </x:c>
      <x:c r="H154" s="9" t="s">
        <x:v>1402</x:v>
      </x:c>
      <x:c r="I154" s="5"/>
      <x:c r="J154" s="18"/>
      <x:c r="K154" s="9"/>
      <x:c r="L154" s="9"/>
      <x:c r="M154" s="12"/>
      <x:c r="N154" s="31"/>
    </x:row>
    <x:row r="155">
      <x:c r="A155" s="28" t="s">
        <x:v>2523</x:v>
      </x:c>
      <x:c r="B155" s="51" t="s">
        <x:v>2347</x:v>
      </x:c>
      <x:c r="C155" s="8" t="s">
        <x:v>2469</x:v>
      </x:c>
      <x:c r="D155" s="18" t="s">
        <x:v>2419</x:v>
      </x:c>
      <x:c r="E155" s="36" t="s">
        <x:v>1375</x:v>
      </x:c>
      <x:c r="F155" s="5"/>
      <x:c r="G155" s="9" t="s">
        <x:v>2350</x:v>
      </x:c>
      <x:c r="H155" s="9" t="s">
        <x:v>1402</x:v>
      </x:c>
      <x:c r="I155" s="5"/>
      <x:c r="J155" s="18"/>
      <x:c r="K155" s="9"/>
      <x:c r="L155" s="9"/>
      <x:c r="M155" s="12"/>
      <x:c r="N155" s="31"/>
    </x:row>
    <x:row r="156">
      <x:c r="A156" s="28" t="s">
        <x:v>2524</x:v>
      </x:c>
      <x:c r="B156" s="51" t="s">
        <x:v>2347</x:v>
      </x:c>
      <x:c r="C156" s="8" t="s">
        <x:v>2469</x:v>
      </x:c>
      <x:c r="D156" s="18" t="s">
        <x:v>2419</x:v>
      </x:c>
      <x:c r="E156" s="36" t="s">
        <x:v>1376</x:v>
      </x:c>
      <x:c r="F156" s="5"/>
      <x:c r="G156" s="9" t="s">
        <x:v>2355</x:v>
      </x:c>
      <x:c r="H156" s="9" t="s">
        <x:v>1433</x:v>
      </x:c>
      <x:c r="I156" s="5"/>
      <x:c r="J156" s="18"/>
      <x:c r="K156" s="9"/>
      <x:c r="L156" s="9"/>
      <x:c r="M156" s="12"/>
      <x:c r="N156" s="31"/>
    </x:row>
    <x:row r="157">
      <x:c r="A157" s="28" t="s">
        <x:v>2525</x:v>
      </x:c>
      <x:c r="B157" s="51" t="s">
        <x:v>2347</x:v>
      </x:c>
      <x:c r="C157" s="8" t="s">
        <x:v>2469</x:v>
      </x:c>
      <x:c r="D157" s="18" t="s">
        <x:v>2419</x:v>
      </x:c>
      <x:c r="E157" s="36" t="s">
        <x:v>1377</x:v>
      </x:c>
      <x:c r="F157" s="5"/>
      <x:c r="G157" s="9" t="s">
        <x:v>2350</x:v>
      </x:c>
      <x:c r="H157" s="9" t="s">
        <x:v>1418</x:v>
      </x:c>
      <x:c r="I157" s="5"/>
      <x:c r="J157" s="18"/>
      <x:c r="K157" s="9"/>
      <x:c r="L157" s="9"/>
      <x:c r="M157" s="12"/>
      <x:c r="N157" s="31"/>
    </x:row>
    <x:row r="158">
      <x:c r="A158" s="28" t="s">
        <x:v>2526</x:v>
      </x:c>
      <x:c r="B158" s="51" t="s">
        <x:v>2347</x:v>
      </x:c>
      <x:c r="C158" s="8" t="s">
        <x:v>2469</x:v>
      </x:c>
      <x:c r="D158" s="18" t="s">
        <x:v>2419</x:v>
      </x:c>
      <x:c r="E158" s="36" t="s">
        <x:v>1378</x:v>
      </x:c>
      <x:c r="F158" s="5"/>
      <x:c r="G158" s="9" t="s">
        <x:v>2350</x:v>
      </x:c>
      <x:c r="H158" s="9" t="s">
        <x:v>1487</x:v>
      </x:c>
      <x:c r="I158" s="5"/>
      <x:c r="J158" s="18"/>
      <x:c r="K158" s="9"/>
      <x:c r="L158" s="9"/>
      <x:c r="M158" s="12"/>
      <x:c r="N158" s="31"/>
    </x:row>
    <x:row r="159">
      <x:c r="A159" s="28" t="s">
        <x:v>2527</x:v>
      </x:c>
      <x:c r="B159" s="51" t="s">
        <x:v>2347</x:v>
      </x:c>
      <x:c r="C159" s="8" t="s">
        <x:v>2469</x:v>
      </x:c>
      <x:c r="D159" s="18" t="s">
        <x:v>2419</x:v>
      </x:c>
      <x:c r="E159" s="36" t="s">
        <x:v>1379</x:v>
      </x:c>
      <x:c r="F159" s="5"/>
      <x:c r="G159" s="9" t="s">
        <x:v>2350</x:v>
      </x:c>
      <x:c r="H159" s="9" t="s">
        <x:v>1418</x:v>
      </x:c>
      <x:c r="I159" s="5"/>
      <x:c r="J159" s="18"/>
      <x:c r="K159" s="9"/>
      <x:c r="L159" s="9"/>
      <x:c r="M159" s="12"/>
      <x:c r="N159" s="31"/>
    </x:row>
    <x:row r="160">
      <x:c r="A160" s="28" t="s">
        <x:v>2528</x:v>
      </x:c>
      <x:c r="B160" s="51" t="s">
        <x:v>2347</x:v>
      </x:c>
      <x:c r="C160" s="8" t="s">
        <x:v>2469</x:v>
      </x:c>
      <x:c r="D160" s="18" t="s">
        <x:v>2419</x:v>
      </x:c>
      <x:c r="E160" s="36" t="s">
        <x:v>2359</x:v>
      </x:c>
      <x:c r="F160" s="5"/>
      <x:c r="G160" s="9" t="s">
        <x:v>2350</x:v>
      </x:c>
      <x:c r="H160" s="9" t="s">
        <x:v>1402</x:v>
      </x:c>
      <x:c r="I160" s="5"/>
      <x:c r="J160" s="18"/>
      <x:c r="K160" s="9"/>
      <x:c r="L160" s="9"/>
      <x:c r="M160" s="12"/>
      <x:c r="N160" s="31"/>
    </x:row>
    <x:row r="161">
      <x:c r="A161" s="28" t="s">
        <x:v>2529</x:v>
      </x:c>
      <x:c r="B161" s="51" t="s">
        <x:v>2347</x:v>
      </x:c>
      <x:c r="C161" s="8" t="s">
        <x:v>2469</x:v>
      </x:c>
      <x:c r="D161" s="18" t="s">
        <x:v>2419</x:v>
      </x:c>
      <x:c r="E161" s="36" t="s">
        <x:v>2361</x:v>
      </x:c>
      <x:c r="F161" s="5"/>
      <x:c r="G161" s="9" t="s">
        <x:v>2350</x:v>
      </x:c>
      <x:c r="H161" s="9" t="s">
        <x:v>1402</x:v>
      </x:c>
      <x:c r="I161" s="5"/>
      <x:c r="J161" s="18"/>
      <x:c r="K161" s="9"/>
      <x:c r="L161" s="9"/>
      <x:c r="M161" s="12"/>
      <x:c r="N161" s="31"/>
    </x:row>
    <x:row r="162">
      <x:c r="A162" s="28" t="s">
        <x:v>2530</x:v>
      </x:c>
      <x:c r="B162" s="51" t="s">
        <x:v>2347</x:v>
      </x:c>
      <x:c r="C162" s="8" t="s">
        <x:v>2469</x:v>
      </x:c>
      <x:c r="D162" s="18" t="s">
        <x:v>2419</x:v>
      </x:c>
      <x:c r="E162" s="36" t="s">
        <x:v>2363</x:v>
      </x:c>
      <x:c r="F162" s="5"/>
      <x:c r="G162" s="9" t="s">
        <x:v>2350</x:v>
      </x:c>
      <x:c r="H162" s="9" t="s">
        <x:v>1402</x:v>
      </x:c>
      <x:c r="I162" s="5"/>
      <x:c r="J162" s="18"/>
      <x:c r="K162" s="9"/>
      <x:c r="L162" s="9"/>
      <x:c r="M162" s="12"/>
      <x:c r="N162" s="31"/>
    </x:row>
    <x:row r="163">
      <x:c r="A163" s="28" t="s">
        <x:v>2531</x:v>
      </x:c>
      <x:c r="B163" s="51" t="s">
        <x:v>2347</x:v>
      </x:c>
      <x:c r="C163" s="8" t="s">
        <x:v>2469</x:v>
      </x:c>
      <x:c r="D163" s="18" t="s">
        <x:v>2419</x:v>
      </x:c>
      <x:c r="E163" s="36" t="s">
        <x:v>2366</x:v>
      </x:c>
      <x:c r="F163" s="5"/>
      <x:c r="G163" s="9" t="s">
        <x:v>2350</x:v>
      </x:c>
      <x:c r="H163" s="9" t="s">
        <x:v>1402</x:v>
      </x:c>
      <x:c r="I163" s="5"/>
      <x:c r="J163" s="18"/>
      <x:c r="K163" s="9"/>
      <x:c r="L163" s="9"/>
      <x:c r="M163" s="12"/>
      <x:c r="N163" s="31"/>
    </x:row>
    <x:row r="164">
      <x:c r="A164" s="28" t="s">
        <x:v>2532</x:v>
      </x:c>
      <x:c r="B164" s="51" t="s">
        <x:v>2347</x:v>
      </x:c>
      <x:c r="C164" s="8" t="s">
        <x:v>2469</x:v>
      </x:c>
      <x:c r="D164" s="18" t="s">
        <x:v>2419</x:v>
      </x:c>
      <x:c r="E164" s="36" t="s">
        <x:v>2368</x:v>
      </x:c>
      <x:c r="F164" s="5"/>
      <x:c r="G164" s="9" t="s">
        <x:v>2350</x:v>
      </x:c>
      <x:c r="H164" s="9" t="s">
        <x:v>1402</x:v>
      </x:c>
      <x:c r="I164" s="5"/>
      <x:c r="J164" s="18"/>
      <x:c r="K164" s="9"/>
      <x:c r="L164" s="9"/>
      <x:c r="M164" s="12"/>
      <x:c r="N164" s="31"/>
    </x:row>
    <x:row r="165">
      <x:c r="A165" s="28" t="s">
        <x:v>2533</x:v>
      </x:c>
      <x:c r="B165" s="51" t="s">
        <x:v>2347</x:v>
      </x:c>
      <x:c r="C165" s="8" t="s">
        <x:v>2469</x:v>
      </x:c>
      <x:c r="D165" s="18" t="s">
        <x:v>2419</x:v>
      </x:c>
      <x:c r="E165" s="36" t="s">
        <x:v>2370</x:v>
      </x:c>
      <x:c r="F165" s="5"/>
      <x:c r="G165" s="9" t="s">
        <x:v>2355</x:v>
      </x:c>
      <x:c r="H165" s="9" t="s">
        <x:v>1418</x:v>
      </x:c>
      <x:c r="I165" s="5"/>
      <x:c r="J165" s="18"/>
      <x:c r="K165" s="9"/>
      <x:c r="L165" s="9"/>
      <x:c r="M165" s="12"/>
      <x:c r="N165" s="31"/>
    </x:row>
    <x:row r="166">
      <x:c r="A166" s="28" t="s">
        <x:v>2534</x:v>
      </x:c>
      <x:c r="B166" s="51" t="s">
        <x:v>2347</x:v>
      </x:c>
      <x:c r="C166" s="8" t="s">
        <x:v>2469</x:v>
      </x:c>
      <x:c r="D166" s="18" t="s">
        <x:v>2419</x:v>
      </x:c>
      <x:c r="E166" s="36" t="s">
        <x:v>2372</x:v>
      </x:c>
      <x:c r="F166" s="5"/>
      <x:c r="G166" s="9" t="s">
        <x:v>2350</x:v>
      </x:c>
      <x:c r="H166" s="9" t="s">
        <x:v>1402</x:v>
      </x:c>
      <x:c r="I166" s="5"/>
      <x:c r="J166" s="18"/>
      <x:c r="K166" s="9"/>
      <x:c r="L166" s="9"/>
      <x:c r="M166" s="12"/>
      <x:c r="N166" s="31"/>
    </x:row>
    <x:row r="167">
      <x:c r="A167" s="28" t="s">
        <x:v>2535</x:v>
      </x:c>
      <x:c r="B167" s="51" t="s">
        <x:v>2347</x:v>
      </x:c>
      <x:c r="C167" s="8" t="s">
        <x:v>2469</x:v>
      </x:c>
      <x:c r="D167" s="18" t="s">
        <x:v>2419</x:v>
      </x:c>
      <x:c r="E167" s="36" t="s">
        <x:v>2374</x:v>
      </x:c>
      <x:c r="F167" s="5"/>
      <x:c r="G167" s="9" t="s">
        <x:v>2350</x:v>
      </x:c>
      <x:c r="H167" s="9" t="s">
        <x:v>1402</x:v>
      </x:c>
      <x:c r="I167" s="5"/>
      <x:c r="J167" s="18"/>
      <x:c r="K167" s="9"/>
      <x:c r="L167" s="9"/>
      <x:c r="M167" s="12"/>
      <x:c r="N167" s="31"/>
    </x:row>
    <x:row r="168">
      <x:c r="A168" s="28" t="s">
        <x:v>2536</x:v>
      </x:c>
      <x:c r="B168" s="51" t="s">
        <x:v>2347</x:v>
      </x:c>
      <x:c r="C168" s="8" t="s">
        <x:v>2469</x:v>
      </x:c>
      <x:c r="D168" s="18" t="s">
        <x:v>2419</x:v>
      </x:c>
      <x:c r="E168" s="36" t="s">
        <x:v>2376</x:v>
      </x:c>
      <x:c r="F168" s="5"/>
      <x:c r="G168" s="9" t="s">
        <x:v>2350</x:v>
      </x:c>
      <x:c r="H168" s="9" t="s">
        <x:v>1402</x:v>
      </x:c>
      <x:c r="I168" s="5"/>
      <x:c r="J168" s="18"/>
      <x:c r="K168" s="9"/>
      <x:c r="L168" s="9"/>
      <x:c r="M168" s="12"/>
      <x:c r="N168" s="31"/>
    </x:row>
    <x:row r="169">
      <x:c r="A169" s="28" t="s">
        <x:v>2537</x:v>
      </x:c>
      <x:c r="B169" s="51" t="s">
        <x:v>2347</x:v>
      </x:c>
      <x:c r="C169" s="8" t="s">
        <x:v>2469</x:v>
      </x:c>
      <x:c r="D169" s="18" t="s">
        <x:v>2419</x:v>
      </x:c>
      <x:c r="E169" s="36" t="s">
        <x:v>2378</x:v>
      </x:c>
      <x:c r="F169" s="5"/>
      <x:c r="G169" s="9" t="s">
        <x:v>2350</x:v>
      </x:c>
      <x:c r="H169" s="9" t="s">
        <x:v>1402</x:v>
      </x:c>
      <x:c r="I169" s="5"/>
      <x:c r="J169" s="18"/>
      <x:c r="K169" s="9"/>
      <x:c r="L169" s="9"/>
      <x:c r="M169" s="12"/>
      <x:c r="N169" s="31"/>
    </x:row>
    <x:row r="170">
      <x:c r="A170" s="28" t="s">
        <x:v>2538</x:v>
      </x:c>
      <x:c r="B170" s="51" t="s">
        <x:v>2347</x:v>
      </x:c>
      <x:c r="C170" s="8" t="s">
        <x:v>2469</x:v>
      </x:c>
      <x:c r="D170" s="18" t="s">
        <x:v>2419</x:v>
      </x:c>
      <x:c r="E170" s="36" t="s">
        <x:v>2380</x:v>
      </x:c>
      <x:c r="F170" s="5"/>
      <x:c r="G170" s="9" t="s">
        <x:v>2350</x:v>
      </x:c>
      <x:c r="H170" s="9" t="s">
        <x:v>1402</x:v>
      </x:c>
      <x:c r="I170" s="5"/>
      <x:c r="J170" s="18"/>
      <x:c r="K170" s="9"/>
      <x:c r="L170" s="9"/>
      <x:c r="M170" s="12"/>
      <x:c r="N170" s="31"/>
    </x:row>
    <x:row r="171">
      <x:c r="A171" s="28" t="s">
        <x:v>2539</x:v>
      </x:c>
      <x:c r="B171" s="51" t="s">
        <x:v>2347</x:v>
      </x:c>
      <x:c r="C171" s="8" t="s">
        <x:v>2469</x:v>
      </x:c>
      <x:c r="D171" s="18" t="s">
        <x:v>2419</x:v>
      </x:c>
      <x:c r="E171" s="36" t="s">
        <x:v>2382</x:v>
      </x:c>
      <x:c r="F171" s="5"/>
      <x:c r="G171" s="9" t="s">
        <x:v>2350</x:v>
      </x:c>
      <x:c r="H171" s="9" t="s">
        <x:v>1418</x:v>
      </x:c>
      <x:c r="I171" s="5"/>
      <x:c r="J171" s="18"/>
      <x:c r="K171" s="9"/>
      <x:c r="L171" s="9"/>
      <x:c r="M171" s="12"/>
      <x:c r="N171" s="31"/>
    </x:row>
    <x:row r="172">
      <x:c r="A172" s="28" t="s">
        <x:v>2540</x:v>
      </x:c>
      <x:c r="B172" s="51" t="s">
        <x:v>2347</x:v>
      </x:c>
      <x:c r="C172" s="8" t="s">
        <x:v>2469</x:v>
      </x:c>
      <x:c r="D172" s="18" t="s">
        <x:v>2419</x:v>
      </x:c>
      <x:c r="E172" s="36" t="s">
        <x:v>2384</x:v>
      </x:c>
      <x:c r="F172" s="5"/>
      <x:c r="G172" s="9" t="s">
        <x:v>2350</x:v>
      </x:c>
      <x:c r="H172" s="9" t="s">
        <x:v>1402</x:v>
      </x:c>
      <x:c r="I172" s="5"/>
      <x:c r="J172" s="18"/>
      <x:c r="K172" s="9"/>
      <x:c r="L172" s="9"/>
      <x:c r="M172" s="12"/>
      <x:c r="N172" s="31"/>
    </x:row>
    <x:row r="173">
      <x:c r="A173" s="28" t="s">
        <x:v>2541</x:v>
      </x:c>
      <x:c r="B173" s="51" t="s">
        <x:v>2347</x:v>
      </x:c>
      <x:c r="C173" s="8" t="s">
        <x:v>2469</x:v>
      </x:c>
      <x:c r="D173" s="18" t="s">
        <x:v>2419</x:v>
      </x:c>
      <x:c r="E173" s="36" t="s">
        <x:v>2386</x:v>
      </x:c>
      <x:c r="F173" s="5"/>
      <x:c r="G173" s="9" t="s">
        <x:v>2350</x:v>
      </x:c>
      <x:c r="H173" s="9" t="s">
        <x:v>1402</x:v>
      </x:c>
      <x:c r="I173" s="5"/>
      <x:c r="J173" s="18"/>
      <x:c r="K173" s="9"/>
      <x:c r="L173" s="9"/>
      <x:c r="M173" s="12"/>
      <x:c r="N173" s="31"/>
    </x:row>
    <x:row r="174">
      <x:c r="A174" s="28" t="s">
        <x:v>2542</x:v>
      </x:c>
      <x:c r="B174" s="51" t="s">
        <x:v>2347</x:v>
      </x:c>
      <x:c r="C174" s="8" t="s">
        <x:v>2469</x:v>
      </x:c>
      <x:c r="D174" s="18" t="s">
        <x:v>2419</x:v>
      </x:c>
      <x:c r="E174" s="36" t="s">
        <x:v>2388</x:v>
      </x:c>
      <x:c r="F174" s="5"/>
      <x:c r="G174" s="9" t="s">
        <x:v>2355</x:v>
      </x:c>
      <x:c r="H174" s="9" t="s">
        <x:v>1418</x:v>
      </x:c>
      <x:c r="I174" s="5"/>
      <x:c r="J174" s="18"/>
      <x:c r="K174" s="9"/>
      <x:c r="L174" s="9"/>
      <x:c r="M174" s="12"/>
      <x:c r="N174" s="31"/>
    </x:row>
    <x:row r="175">
      <x:c r="A175" s="28" t="s">
        <x:v>2543</x:v>
      </x:c>
      <x:c r="B175" s="51" t="s">
        <x:v>2347</x:v>
      </x:c>
      <x:c r="C175" s="8" t="s">
        <x:v>2469</x:v>
      </x:c>
      <x:c r="D175" s="18" t="s">
        <x:v>2419</x:v>
      </x:c>
      <x:c r="E175" s="36" t="s">
        <x:v>2390</x:v>
      </x:c>
      <x:c r="F175" s="5"/>
      <x:c r="G175" s="9" t="s">
        <x:v>2350</x:v>
      </x:c>
      <x:c r="H175" s="9" t="s">
        <x:v>1402</x:v>
      </x:c>
      <x:c r="I175" s="5"/>
      <x:c r="J175" s="18"/>
      <x:c r="K175" s="9"/>
      <x:c r="L175" s="9"/>
      <x:c r="M175" s="12"/>
      <x:c r="N175" s="31"/>
    </x:row>
    <x:row r="176">
      <x:c r="A176" s="28" t="s">
        <x:v>2544</x:v>
      </x:c>
      <x:c r="B176" s="51" t="s">
        <x:v>2347</x:v>
      </x:c>
      <x:c r="C176" s="8" t="s">
        <x:v>2469</x:v>
      </x:c>
      <x:c r="D176" s="18" t="s">
        <x:v>2419</x:v>
      </x:c>
      <x:c r="E176" s="36" t="s">
        <x:v>2392</x:v>
      </x:c>
      <x:c r="F176" s="5"/>
      <x:c r="G176" s="9" t="s">
        <x:v>2350</x:v>
      </x:c>
      <x:c r="H176" s="9" t="s">
        <x:v>1402</x:v>
      </x:c>
      <x:c r="I176" s="5"/>
      <x:c r="J176" s="18"/>
      <x:c r="K176" s="9"/>
      <x:c r="L176" s="9"/>
      <x:c r="M176" s="12"/>
      <x:c r="N176" s="31"/>
    </x:row>
    <x:row r="177">
      <x:c r="A177" s="28" t="s">
        <x:v>2545</x:v>
      </x:c>
      <x:c r="B177" s="51" t="s">
        <x:v>2347</x:v>
      </x:c>
      <x:c r="C177" s="8" t="s">
        <x:v>2469</x:v>
      </x:c>
      <x:c r="D177" s="18" t="s">
        <x:v>2444</x:v>
      </x:c>
      <x:c r="E177" s="36" t="s">
        <x:v>1372</x:v>
      </x:c>
      <x:c r="F177" s="5"/>
      <x:c r="G177" s="9" t="s">
        <x:v>2355</x:v>
      </x:c>
      <x:c r="H177" s="9" t="s">
        <x:v>1402</x:v>
      </x:c>
      <x:c r="I177" s="5"/>
      <x:c r="J177" s="18"/>
      <x:c r="K177" s="9"/>
      <x:c r="L177" s="9"/>
      <x:c r="M177" s="12"/>
      <x:c r="N177" s="31"/>
    </x:row>
    <x:row r="178">
      <x:c r="A178" s="28" t="s">
        <x:v>2546</x:v>
      </x:c>
      <x:c r="B178" s="51" t="s">
        <x:v>2347</x:v>
      </x:c>
      <x:c r="C178" s="8" t="s">
        <x:v>2469</x:v>
      </x:c>
      <x:c r="D178" s="18" t="s">
        <x:v>2444</x:v>
      </x:c>
      <x:c r="E178" s="36" t="s">
        <x:v>1374</x:v>
      </x:c>
      <x:c r="F178" s="5"/>
      <x:c r="G178" s="9" t="s">
        <x:v>2364</x:v>
      </x:c>
      <x:c r="H178" s="9" t="s">
        <x:v>1487</x:v>
      </x:c>
      <x:c r="I178" s="5"/>
      <x:c r="J178" s="18"/>
      <x:c r="K178" s="9"/>
      <x:c r="L178" s="9"/>
      <x:c r="M178" s="12"/>
      <x:c r="N178" s="31"/>
    </x:row>
    <x:row r="179">
      <x:c r="A179" s="28" t="s">
        <x:v>2547</x:v>
      </x:c>
      <x:c r="B179" s="51" t="s">
        <x:v>2347</x:v>
      </x:c>
      <x:c r="C179" s="8" t="s">
        <x:v>2469</x:v>
      </x:c>
      <x:c r="D179" s="18" t="s">
        <x:v>2444</x:v>
      </x:c>
      <x:c r="E179" s="36" t="s">
        <x:v>1375</x:v>
      </x:c>
      <x:c r="F179" s="5"/>
      <x:c r="G179" s="9" t="s">
        <x:v>2355</x:v>
      </x:c>
      <x:c r="H179" s="9" t="s">
        <x:v>1418</x:v>
      </x:c>
      <x:c r="I179" s="5"/>
      <x:c r="J179" s="18"/>
      <x:c r="K179" s="9"/>
      <x:c r="L179" s="9"/>
      <x:c r="M179" s="12"/>
      <x:c r="N179" s="31"/>
    </x:row>
    <x:row r="180">
      <x:c r="A180" s="28" t="s">
        <x:v>2548</x:v>
      </x:c>
      <x:c r="B180" s="51" t="s">
        <x:v>2347</x:v>
      </x:c>
      <x:c r="C180" s="8" t="s">
        <x:v>2469</x:v>
      </x:c>
      <x:c r="D180" s="18" t="s">
        <x:v>2444</x:v>
      </x:c>
      <x:c r="E180" s="36" t="s">
        <x:v>1376</x:v>
      </x:c>
      <x:c r="F180" s="5"/>
      <x:c r="G180" s="9" t="s">
        <x:v>2350</x:v>
      </x:c>
      <x:c r="H180" s="9" t="s">
        <x:v>1402</x:v>
      </x:c>
      <x:c r="I180" s="5"/>
      <x:c r="J180" s="18"/>
      <x:c r="K180" s="9"/>
      <x:c r="L180" s="9"/>
      <x:c r="M180" s="12"/>
      <x:c r="N180" s="31"/>
    </x:row>
    <x:row r="181">
      <x:c r="A181" s="28" t="s">
        <x:v>2549</x:v>
      </x:c>
      <x:c r="B181" s="51" t="s">
        <x:v>2347</x:v>
      </x:c>
      <x:c r="C181" s="8" t="s">
        <x:v>2469</x:v>
      </x:c>
      <x:c r="D181" s="18" t="s">
        <x:v>2444</x:v>
      </x:c>
      <x:c r="E181" s="36" t="s">
        <x:v>1377</x:v>
      </x:c>
      <x:c r="F181" s="5"/>
      <x:c r="G181" s="9" t="s">
        <x:v>2350</x:v>
      </x:c>
      <x:c r="H181" s="9" t="s">
        <x:v>1402</x:v>
      </x:c>
      <x:c r="I181" s="5"/>
      <x:c r="J181" s="18"/>
      <x:c r="K181" s="9"/>
      <x:c r="L181" s="9"/>
      <x:c r="M181" s="12"/>
      <x:c r="N181" s="31"/>
    </x:row>
    <x:row r="182">
      <x:c r="A182" s="28" t="s">
        <x:v>2550</x:v>
      </x:c>
      <x:c r="B182" s="51" t="s">
        <x:v>2347</x:v>
      </x:c>
      <x:c r="C182" s="8" t="s">
        <x:v>2469</x:v>
      </x:c>
      <x:c r="D182" s="18" t="s">
        <x:v>2444</x:v>
      </x:c>
      <x:c r="E182" s="36" t="s">
        <x:v>1378</x:v>
      </x:c>
      <x:c r="F182" s="5"/>
      <x:c r="G182" s="9" t="s">
        <x:v>2350</x:v>
      </x:c>
      <x:c r="H182" s="9" t="s">
        <x:v>1402</x:v>
      </x:c>
      <x:c r="I182" s="5"/>
      <x:c r="J182" s="18"/>
      <x:c r="K182" s="9"/>
      <x:c r="L182" s="9"/>
      <x:c r="M182" s="12"/>
      <x:c r="N182" s="31"/>
    </x:row>
    <x:row r="183">
      <x:c r="A183" s="28" t="s">
        <x:v>2551</x:v>
      </x:c>
      <x:c r="B183" s="51" t="s">
        <x:v>2347</x:v>
      </x:c>
      <x:c r="C183" s="8" t="s">
        <x:v>2469</x:v>
      </x:c>
      <x:c r="D183" s="18" t="s">
        <x:v>2444</x:v>
      </x:c>
      <x:c r="E183" s="36" t="s">
        <x:v>1379</x:v>
      </x:c>
      <x:c r="F183" s="5"/>
      <x:c r="G183" s="9" t="s">
        <x:v>2350</x:v>
      </x:c>
      <x:c r="H183" s="9" t="s">
        <x:v>1402</x:v>
      </x:c>
      <x:c r="I183" s="5"/>
      <x:c r="J183" s="18"/>
      <x:c r="K183" s="9"/>
      <x:c r="L183" s="9"/>
      <x:c r="M183" s="12"/>
      <x:c r="N183" s="31"/>
    </x:row>
    <x:row r="184">
      <x:c r="A184" s="28" t="s">
        <x:v>2552</x:v>
      </x:c>
      <x:c r="B184" s="51" t="s">
        <x:v>2347</x:v>
      </x:c>
      <x:c r="C184" s="8" t="s">
        <x:v>2469</x:v>
      </x:c>
      <x:c r="D184" s="18" t="s">
        <x:v>2444</x:v>
      </x:c>
      <x:c r="E184" s="36" t="s">
        <x:v>2359</x:v>
      </x:c>
      <x:c r="F184" s="5"/>
      <x:c r="G184" s="9" t="s">
        <x:v>2364</x:v>
      </x:c>
      <x:c r="H184" s="9" t="s">
        <x:v>1487</x:v>
      </x:c>
      <x:c r="I184" s="5"/>
      <x:c r="J184" s="18"/>
      <x:c r="K184" s="9"/>
      <x:c r="L184" s="9"/>
      <x:c r="M184" s="12"/>
      <x:c r="N184" s="31"/>
    </x:row>
    <x:row r="185">
      <x:c r="A185" s="28" t="s">
        <x:v>2553</x:v>
      </x:c>
      <x:c r="B185" s="51" t="s">
        <x:v>2347</x:v>
      </x:c>
      <x:c r="C185" s="8" t="s">
        <x:v>2469</x:v>
      </x:c>
      <x:c r="D185" s="18" t="s">
        <x:v>2444</x:v>
      </x:c>
      <x:c r="E185" s="36" t="s">
        <x:v>2361</x:v>
      </x:c>
      <x:c r="F185" s="5"/>
      <x:c r="G185" s="9" t="s">
        <x:v>2364</x:v>
      </x:c>
      <x:c r="H185" s="9" t="s">
        <x:v>1487</x:v>
      </x:c>
      <x:c r="I185" s="5"/>
      <x:c r="J185" s="18"/>
      <x:c r="K185" s="9"/>
      <x:c r="L185" s="9"/>
      <x:c r="M185" s="12"/>
      <x:c r="N185" s="31"/>
    </x:row>
    <x:row r="186">
      <x:c r="A186" s="28" t="s">
        <x:v>2554</x:v>
      </x:c>
      <x:c r="B186" s="51" t="s">
        <x:v>2347</x:v>
      </x:c>
      <x:c r="C186" s="8" t="s">
        <x:v>2469</x:v>
      </x:c>
      <x:c r="D186" s="18" t="s">
        <x:v>2444</x:v>
      </x:c>
      <x:c r="E186" s="36" t="s">
        <x:v>2363</x:v>
      </x:c>
      <x:c r="F186" s="5"/>
      <x:c r="G186" s="9" t="s">
        <x:v>2364</x:v>
      </x:c>
      <x:c r="H186" s="9" t="s">
        <x:v>1487</x:v>
      </x:c>
      <x:c r="I186" s="5"/>
      <x:c r="J186" s="18"/>
      <x:c r="K186" s="9"/>
      <x:c r="L186" s="9"/>
      <x:c r="M186" s="12"/>
      <x:c r="N186" s="31"/>
    </x:row>
    <x:row r="187">
      <x:c r="A187" s="28" t="s">
        <x:v>2555</x:v>
      </x:c>
      <x:c r="B187" s="51" t="s">
        <x:v>2347</x:v>
      </x:c>
      <x:c r="C187" s="8" t="s">
        <x:v>2469</x:v>
      </x:c>
      <x:c r="D187" s="18" t="s">
        <x:v>2444</x:v>
      </x:c>
      <x:c r="E187" s="36" t="s">
        <x:v>2366</x:v>
      </x:c>
      <x:c r="F187" s="5"/>
      <x:c r="G187" s="9" t="s">
        <x:v>2355</x:v>
      </x:c>
      <x:c r="H187" s="9" t="s">
        <x:v>1418</x:v>
      </x:c>
      <x:c r="I187" s="5"/>
      <x:c r="J187" s="18"/>
      <x:c r="K187" s="9"/>
      <x:c r="L187" s="9"/>
      <x:c r="M187" s="12"/>
      <x:c r="N187" s="31"/>
    </x:row>
    <x:row r="188">
      <x:c r="A188" s="28" t="s">
        <x:v>2556</x:v>
      </x:c>
      <x:c r="B188" s="51" t="s">
        <x:v>2347</x:v>
      </x:c>
      <x:c r="C188" s="8" t="s">
        <x:v>2469</x:v>
      </x:c>
      <x:c r="D188" s="18" t="s">
        <x:v>2444</x:v>
      </x:c>
      <x:c r="E188" s="36" t="s">
        <x:v>2368</x:v>
      </x:c>
      <x:c r="F188" s="5"/>
      <x:c r="G188" s="9" t="s">
        <x:v>2355</x:v>
      </x:c>
      <x:c r="H188" s="9" t="s">
        <x:v>1418</x:v>
      </x:c>
      <x:c r="I188" s="5"/>
      <x:c r="J188" s="18"/>
      <x:c r="K188" s="9"/>
      <x:c r="L188" s="9"/>
      <x:c r="M188" s="12"/>
      <x:c r="N188" s="31"/>
    </x:row>
    <x:row r="189">
      <x:c r="A189" s="28" t="s">
        <x:v>2557</x:v>
      </x:c>
      <x:c r="B189" s="51" t="s">
        <x:v>2347</x:v>
      </x:c>
      <x:c r="C189" s="8" t="s">
        <x:v>2469</x:v>
      </x:c>
      <x:c r="D189" s="18" t="s">
        <x:v>2444</x:v>
      </x:c>
      <x:c r="E189" s="36" t="s">
        <x:v>2370</x:v>
      </x:c>
      <x:c r="F189" s="5"/>
      <x:c r="G189" s="9" t="s">
        <x:v>2364</x:v>
      </x:c>
      <x:c r="H189" s="9" t="s">
        <x:v>1487</x:v>
      </x:c>
      <x:c r="I189" s="5"/>
      <x:c r="J189" s="18"/>
      <x:c r="K189" s="9"/>
      <x:c r="L189" s="9"/>
      <x:c r="M189" s="12"/>
      <x:c r="N189" s="31"/>
    </x:row>
    <x:row r="190">
      <x:c r="A190" s="28" t="s">
        <x:v>2558</x:v>
      </x:c>
      <x:c r="B190" s="51" t="s">
        <x:v>2347</x:v>
      </x:c>
      <x:c r="C190" s="8" t="s">
        <x:v>2469</x:v>
      </x:c>
      <x:c r="D190" s="18" t="s">
        <x:v>2444</x:v>
      </x:c>
      <x:c r="E190" s="36" t="s">
        <x:v>2372</x:v>
      </x:c>
      <x:c r="F190" s="5"/>
      <x:c r="G190" s="9" t="s">
        <x:v>2364</x:v>
      </x:c>
      <x:c r="H190" s="9" t="s">
        <x:v>1487</x:v>
      </x:c>
      <x:c r="I190" s="5"/>
      <x:c r="J190" s="18"/>
      <x:c r="K190" s="9"/>
      <x:c r="L190" s="9"/>
      <x:c r="M190" s="12"/>
      <x:c r="N190" s="31"/>
    </x:row>
    <x:row r="191">
      <x:c r="A191" s="28" t="s">
        <x:v>2559</x:v>
      </x:c>
      <x:c r="B191" s="51" t="s">
        <x:v>2347</x:v>
      </x:c>
      <x:c r="C191" s="8" t="s">
        <x:v>2469</x:v>
      </x:c>
      <x:c r="D191" s="18" t="s">
        <x:v>2444</x:v>
      </x:c>
      <x:c r="E191" s="36" t="s">
        <x:v>2374</x:v>
      </x:c>
      <x:c r="F191" s="5"/>
      <x:c r="G191" s="9" t="s">
        <x:v>2364</x:v>
      </x:c>
      <x:c r="H191" s="9" t="s">
        <x:v>1487</x:v>
      </x:c>
      <x:c r="I191" s="5"/>
      <x:c r="J191" s="18"/>
      <x:c r="K191" s="9"/>
      <x:c r="L191" s="9"/>
      <x:c r="M191" s="12"/>
      <x:c r="N191" s="31"/>
    </x:row>
    <x:row r="192">
      <x:c r="A192" s="28" t="s">
        <x:v>2560</x:v>
      </x:c>
      <x:c r="B192" s="51" t="s">
        <x:v>2347</x:v>
      </x:c>
      <x:c r="C192" s="8" t="s">
        <x:v>2469</x:v>
      </x:c>
      <x:c r="D192" s="18" t="s">
        <x:v>2444</x:v>
      </x:c>
      <x:c r="E192" s="36" t="s">
        <x:v>2376</x:v>
      </x:c>
      <x:c r="F192" s="5"/>
      <x:c r="G192" s="9" t="s">
        <x:v>2364</x:v>
      </x:c>
      <x:c r="H192" s="9" t="s">
        <x:v>1487</x:v>
      </x:c>
      <x:c r="I192" s="5"/>
      <x:c r="J192" s="18"/>
      <x:c r="K192" s="9"/>
      <x:c r="L192" s="9"/>
      <x:c r="M192" s="12"/>
      <x:c r="N192" s="31"/>
    </x:row>
    <x:row r="193">
      <x:c r="A193" s="28" t="s">
        <x:v>2561</x:v>
      </x:c>
      <x:c r="B193" s="51" t="s">
        <x:v>2347</x:v>
      </x:c>
      <x:c r="C193" s="8" t="s">
        <x:v>2469</x:v>
      </x:c>
      <x:c r="D193" s="18" t="s">
        <x:v>2444</x:v>
      </x:c>
      <x:c r="E193" s="36" t="s">
        <x:v>2378</x:v>
      </x:c>
      <x:c r="F193" s="5"/>
      <x:c r="G193" s="9" t="s">
        <x:v>2355</x:v>
      </x:c>
      <x:c r="H193" s="9" t="s">
        <x:v>1418</x:v>
      </x:c>
      <x:c r="I193" s="5"/>
      <x:c r="J193" s="18"/>
      <x:c r="K193" s="9"/>
      <x:c r="L193" s="9"/>
      <x:c r="M193" s="12"/>
      <x:c r="N193" s="31"/>
    </x:row>
    <x:row r="194">
      <x:c r="A194" s="28" t="s">
        <x:v>2562</x:v>
      </x:c>
      <x:c r="B194" s="51" t="s">
        <x:v>2347</x:v>
      </x:c>
      <x:c r="C194" s="8" t="s">
        <x:v>2469</x:v>
      </x:c>
      <x:c r="D194" s="18" t="s">
        <x:v>2444</x:v>
      </x:c>
      <x:c r="E194" s="36" t="s">
        <x:v>2380</x:v>
      </x:c>
      <x:c r="F194" s="5"/>
      <x:c r="G194" s="9" t="s">
        <x:v>2350</x:v>
      </x:c>
      <x:c r="H194" s="9" t="s">
        <x:v>1402</x:v>
      </x:c>
      <x:c r="I194" s="5"/>
      <x:c r="J194" s="18"/>
      <x:c r="K194" s="9"/>
      <x:c r="L194" s="9"/>
      <x:c r="M194" s="12"/>
      <x:c r="N194" s="31"/>
    </x:row>
    <x:row r="195">
      <x:c r="A195" s="28" t="s">
        <x:v>2563</x:v>
      </x:c>
      <x:c r="B195" s="51" t="s">
        <x:v>2347</x:v>
      </x:c>
      <x:c r="C195" s="8" t="s">
        <x:v>2469</x:v>
      </x:c>
      <x:c r="D195" s="18" t="s">
        <x:v>2444</x:v>
      </x:c>
      <x:c r="E195" s="36" t="s">
        <x:v>2382</x:v>
      </x:c>
      <x:c r="F195" s="5"/>
      <x:c r="G195" s="9" t="s">
        <x:v>2350</x:v>
      </x:c>
      <x:c r="H195" s="9" t="s">
        <x:v>1402</x:v>
      </x:c>
      <x:c r="I195" s="5"/>
      <x:c r="J195" s="18"/>
      <x:c r="K195" s="9"/>
      <x:c r="L195" s="9"/>
      <x:c r="M195" s="12"/>
      <x:c r="N195" s="31"/>
    </x:row>
    <x:row r="196">
      <x:c r="A196" s="28" t="s">
        <x:v>2564</x:v>
      </x:c>
      <x:c r="B196" s="51" t="s">
        <x:v>2347</x:v>
      </x:c>
      <x:c r="C196" s="8" t="s">
        <x:v>2469</x:v>
      </x:c>
      <x:c r="D196" s="18" t="s">
        <x:v>2444</x:v>
      </x:c>
      <x:c r="E196" s="36" t="s">
        <x:v>2384</x:v>
      </x:c>
      <x:c r="F196" s="5"/>
      <x:c r="G196" s="9" t="s">
        <x:v>2350</x:v>
      </x:c>
      <x:c r="H196" s="9" t="s">
        <x:v>1402</x:v>
      </x:c>
      <x:c r="I196" s="5"/>
      <x:c r="J196" s="18"/>
      <x:c r="K196" s="9"/>
      <x:c r="L196" s="9"/>
      <x:c r="M196" s="12"/>
      <x:c r="N196" s="31"/>
    </x:row>
    <x:row r="197">
      <x:c r="A197" s="28" t="s">
        <x:v>2565</x:v>
      </x:c>
      <x:c r="B197" s="51" t="s">
        <x:v>2347</x:v>
      </x:c>
      <x:c r="C197" s="8" t="s">
        <x:v>2469</x:v>
      </x:c>
      <x:c r="D197" s="18" t="s">
        <x:v>2444</x:v>
      </x:c>
      <x:c r="E197" s="36" t="s">
        <x:v>2386</x:v>
      </x:c>
      <x:c r="F197" s="5"/>
      <x:c r="G197" s="9" t="s">
        <x:v>2350</x:v>
      </x:c>
      <x:c r="H197" s="9" t="s">
        <x:v>1402</x:v>
      </x:c>
      <x:c r="I197" s="5"/>
      <x:c r="J197" s="18"/>
      <x:c r="K197" s="9"/>
      <x:c r="L197" s="9"/>
      <x:c r="M197" s="12"/>
      <x:c r="N197" s="31"/>
    </x:row>
    <x:row r="198">
      <x:c r="A198" s="28" t="s">
        <x:v>2566</x:v>
      </x:c>
      <x:c r="B198" s="51" t="s">
        <x:v>2347</x:v>
      </x:c>
      <x:c r="C198" s="8" t="s">
        <x:v>2469</x:v>
      </x:c>
      <x:c r="D198" s="18" t="s">
        <x:v>2444</x:v>
      </x:c>
      <x:c r="E198" s="36" t="s">
        <x:v>2388</x:v>
      </x:c>
      <x:c r="F198" s="5"/>
      <x:c r="G198" s="9" t="s">
        <x:v>2350</x:v>
      </x:c>
      <x:c r="H198" s="9" t="s">
        <x:v>1402</x:v>
      </x:c>
      <x:c r="I198" s="5"/>
      <x:c r="J198" s="18"/>
      <x:c r="K198" s="9"/>
      <x:c r="L198" s="9"/>
      <x:c r="M198" s="12"/>
      <x:c r="N198" s="31"/>
    </x:row>
    <x:row r="199">
      <x:c r="A199" s="28" t="s">
        <x:v>2567</x:v>
      </x:c>
      <x:c r="B199" s="51" t="s">
        <x:v>2347</x:v>
      </x:c>
      <x:c r="C199" s="8" t="s">
        <x:v>2469</x:v>
      </x:c>
      <x:c r="D199" s="18" t="s">
        <x:v>2444</x:v>
      </x:c>
      <x:c r="E199" s="36" t="s">
        <x:v>2390</x:v>
      </x:c>
      <x:c r="F199" s="5"/>
      <x:c r="G199" s="9" t="s">
        <x:v>2350</x:v>
      </x:c>
      <x:c r="H199" s="9" t="s">
        <x:v>1402</x:v>
      </x:c>
      <x:c r="I199" s="5"/>
      <x:c r="J199" s="18"/>
      <x:c r="K199" s="9"/>
      <x:c r="L199" s="9"/>
      <x:c r="M199" s="12"/>
      <x:c r="N199" s="31"/>
    </x:row>
    <x:row r="200">
      <x:c r="A200" s="28" t="s">
        <x:v>2568</x:v>
      </x:c>
      <x:c r="B200" s="51" t="s">
        <x:v>2347</x:v>
      </x:c>
      <x:c r="C200" s="8" t="s">
        <x:v>2469</x:v>
      </x:c>
      <x:c r="D200" s="18" t="s">
        <x:v>2444</x:v>
      </x:c>
      <x:c r="E200" s="36" t="s">
        <x:v>2392</x:v>
      </x:c>
      <x:c r="F200" s="5"/>
      <x:c r="G200" s="9" t="s">
        <x:v>2364</x:v>
      </x:c>
      <x:c r="H200" s="9" t="s">
        <x:v>1487</x:v>
      </x:c>
      <x:c r="I200" s="5"/>
      <x:c r="J200" s="18"/>
      <x:c r="K200" s="9"/>
      <x:c r="L200" s="9"/>
      <x:c r="M200" s="12"/>
      <x:c r="N200" s="31"/>
    </x:row>
    <x:row r="201">
      <x:c r="A201" s="28"/>
      <x:c r="B201" s="9"/>
      <x:c r="C201" s="9"/>
      <x:c r="D201" s="18"/>
      <x:c r="E201" s="36"/>
      <x:c r="F201" s="5"/>
      <x:c r="G201" s="9"/>
      <x:c r="H201" s="9"/>
      <x:c r="I201" s="5"/>
      <x:c r="J201" s="18"/>
      <x:c r="K201" s="9"/>
      <x:c r="L201" s="9"/>
      <x:c r="M201" s="12"/>
      <x:c r="N201" s="31"/>
    </x:row>
    <x:row r="202">
      <x:c r="A202" s="29"/>
      <x:c r="B202" s="10"/>
      <x:c r="C202" s="10"/>
      <x:c r="D202" s="19"/>
      <x:c r="E202" s="37"/>
      <x:c r="F202" s="6"/>
      <x:c r="G202" s="10"/>
      <x:c r="H202" s="10"/>
      <x:c r="I202" s="6"/>
      <x:c r="J202" s="19"/>
      <x:c r="K202" s="10"/>
      <x:c r="L202" s="10"/>
      <x:c r="M202" s="13"/>
      <x:c r="N202" s="32"/>
    </x:row>
  </x:sheetData>
  <x:mergeCells>
    <x:mergeCell ref="A1:N1"/>
    <x:mergeCell ref="A2:N2"/>
    <x:mergeCell ref="A3:N3"/>
  </x:mergeCells>
  <x:dataValidations count="3">
    <x:dataValidation type="list" sqref="G6:G202">
      <x:formula1>"Terisi,Kosong,Dalam Perbaikan,Tidak Dapat Digunakan"</x:formula1>
    </x:dataValidation>
    <x:dataValidation type="list" sqref="H6:H202">
      <x:formula1>"Baik,Rusak Ringan,Rusak Sedang,Rusak Berat"</x:formula1>
    </x:dataValidation>
    <x:dataValidation type="list" sqref="L6:L202">
      <x:formula1>"Draft,Dalam Verifikasi,Terverifikasi,Perlu Perbaikan"</x:formula1>
    </x:dataValidation>
  </x:dataValidations>
  <x:pageMargins left="0.7" right="0.7" top="0.75" bottom="0.75" header="0.3" footer="0.3"/>
  <x:tableParts count="1">
    <x:tablePart xmlns:r="http://schemas.openxmlformats.org/officeDocument/2006/relationships" r:id="R0a1a06f421994a17"/>
  </x:tableParts>
</x:worksheet>
</file>

<file path=xl/worksheets/sheet8.xml><?xml version="1.0" encoding="utf-8"?>
<x:worksheet xmlns:x="http://schemas.openxmlformats.org/spreadsheetml/2006/main">
  <x:sheetFormatPr defaultRowHeight="14"/>
  <x:cols>
    <x:col min="1" max="1" width="18" customWidth="1"/>
    <x:col min="2" max="2" width="30" customWidth="1"/>
    <x:col min="3" max="3" width="10" customWidth="1"/>
    <x:col min="4" max="4" width="14" customWidth="1"/>
    <x:col min="5" max="5" width="19" customWidth="1"/>
    <x:col min="6" max="6" width="18" customWidth="1"/>
    <x:col min="7" max="7" width="22" customWidth="1"/>
    <x:col min="8" max="8" width="18" customWidth="1"/>
    <x:col min="9" max="9" width="22" customWidth="1"/>
    <x:col min="10" max="10" width="26" customWidth="1"/>
    <x:col min="11" max="11" width="17" customWidth="1"/>
    <x:col min="12" max="12" width="18" customWidth="1"/>
    <x:col min="13" max="13" width="42" customWidth="1"/>
  </x:cols>
  <x:sheetData>
    <x:row r="1" ht="20">
      <x:c r="A1" s="274" t="s">
        <x:v>2569</x:v>
      </x:c>
      <x:c r="B1" s="274"/>
      <x:c r="C1" s="274"/>
      <x:c r="D1" s="274"/>
      <x:c r="E1" s="274"/>
      <x:c r="F1" s="274"/>
      <x:c r="G1" s="274"/>
      <x:c r="H1" s="274"/>
      <x:c r="I1" s="274"/>
      <x:c r="J1" s="274"/>
      <x:c r="K1" s="274"/>
      <x:c r="L1" s="274"/>
      <x:c r="M1" s="275"/>
    </x:row>
    <x:row r="2" ht="14.5">
      <x:c r="A2" s="276" t="s">
        <x:v>2570</x:v>
      </x:c>
      <x:c r="B2" s="276"/>
      <x:c r="C2" s="276"/>
      <x:c r="D2" s="276"/>
      <x:c r="E2" s="276"/>
      <x:c r="F2" s="276"/>
      <x:c r="G2" s="276"/>
      <x:c r="H2" s="276"/>
      <x:c r="I2" s="276"/>
      <x:c r="J2" s="276"/>
      <x:c r="K2" s="276"/>
      <x:c r="L2" s="276"/>
      <x:c r="M2" s="277"/>
    </x:row>
    <x:row r="3">
      <x:c r="A3" s="278" t="s">
        <x:v>2571</x:v>
      </x:c>
      <x:c r="B3" s="278"/>
      <x:c r="C3" s="278"/>
      <x:c r="D3" s="278"/>
      <x:c r="E3" s="278"/>
      <x:c r="F3" s="278"/>
      <x:c r="G3" s="278"/>
      <x:c r="H3" s="278"/>
      <x:c r="I3" s="278"/>
      <x:c r="J3" s="278"/>
      <x:c r="K3" s="278"/>
      <x:c r="L3" s="278"/>
      <x:c r="M3" s="279"/>
    </x:row>
    <x:row r="5" ht="26">
      <x:c r="A5" s="49" t="s">
        <x:v>2572</x:v>
      </x:c>
      <x:c r="B5" s="49" t="s">
        <x:v>2339</x:v>
      </x:c>
      <x:c r="C5" s="49" t="s">
        <x:v>2573</x:v>
      </x:c>
      <x:c r="D5" s="49" t="s">
        <x:v>2574</x:v>
      </x:c>
      <x:c r="E5" s="49" t="s">
        <x:v>2575</x:v>
      </x:c>
      <x:c r="F5" s="49" t="s">
        <x:v>2576</x:v>
      </x:c>
      <x:c r="G5" s="49" t="s">
        <x:v>2577</x:v>
      </x:c>
      <x:c r="H5" s="49" t="s">
        <x:v>2578</x:v>
      </x:c>
      <x:c r="I5" s="49" t="s">
        <x:v>29</x:v>
      </x:c>
      <x:c r="J5" s="49" t="s">
        <x:v>28</x:v>
      </x:c>
      <x:c r="K5" s="49" t="s">
        <x:v>30</x:v>
      </x:c>
      <x:c r="L5" s="49" t="s">
        <x:v>31</x:v>
      </x:c>
      <x:c r="M5" s="49" t="s">
        <x:v>23</x:v>
      </x:c>
    </x:row>
    <x:row r="6">
      <x:c r="A6" s="50" t="s">
        <x:v>2579</x:v>
      </x:c>
      <x:c r="B6" s="51" t="s">
        <x:v>2347</x:v>
      </x:c>
      <x:c r="C6" s="52">
        <x:v>2026</x:v>
      </x:c>
      <x:c r="D6" s="50" t="s">
        <x:v>2580</x:v>
      </x:c>
      <x:c r="E6" s="53">
        <x:v>350000000</x:v>
      </x:c>
      <x:c r="F6" s="53">
        <x:v>15850000</x:v>
      </x:c>
      <x:c r="G6" s="54" t="n">
        <x:f t="shared" ref="G6:G69" si="0">IF(A6="","",SUMIFS($F$6:F6,$B$6:B6,B6,$C$6:C6,C6))</x:f>
        <x:v>15850000</x:v>
      </x:c>
      <x:c r="H6" s="55" t="n">
        <x:f t="shared" ref="H6:H69" si="1">IF(A6="","",IFERROR(G6/E6,0))</x:f>
        <x:v>0.04528571428571428</x:v>
      </x:c>
      <x:c r="I6" s="50" t="s">
        <x:v>1425</x:v>
      </x:c>
      <x:c r="J6" s="56"/>
      <x:c r="K6" s="56"/>
      <x:c r="L6" s="50"/>
      <x:c r="M6" s="51"/>
    </x:row>
    <x:row r="7">
      <x:c r="A7" s="50" t="s">
        <x:v>2581</x:v>
      </x:c>
      <x:c r="B7" s="51" t="s">
        <x:v>2347</x:v>
      </x:c>
      <x:c r="C7" s="52">
        <x:v>2026</x:v>
      </x:c>
      <x:c r="D7" s="50" t="s">
        <x:v>2582</x:v>
      </x:c>
      <x:c r="E7" s="53">
        <x:v>350000000</x:v>
      </x:c>
      <x:c r="F7" s="53">
        <x:v>23675000</x:v>
      </x:c>
      <x:c r="G7" s="54">
        <x:f t="shared" si="0"/>
        <x:v>39525000</x:v>
      </x:c>
      <x:c r="H7" s="55">
        <x:f t="shared" si="1"/>
        <x:v>0.11292857142857143</x:v>
      </x:c>
      <x:c r="I7" s="50" t="s">
        <x:v>1425</x:v>
      </x:c>
      <x:c r="J7" s="56"/>
      <x:c r="K7" s="56"/>
      <x:c r="L7" s="50"/>
      <x:c r="M7" s="51"/>
    </x:row>
    <x:row r="8">
      <x:c r="A8" s="50" t="s">
        <x:v>2583</x:v>
      </x:c>
      <x:c r="B8" s="51" t="s">
        <x:v>2347</x:v>
      </x:c>
      <x:c r="C8" s="52">
        <x:v>2026</x:v>
      </x:c>
      <x:c r="D8" s="50" t="s">
        <x:v>2584</x:v>
      </x:c>
      <x:c r="E8" s="53">
        <x:v>350000000</x:v>
      </x:c>
      <x:c r="F8" s="53">
        <x:v>24950000</x:v>
      </x:c>
      <x:c r="G8" s="54">
        <x:f t="shared" si="0"/>
        <x:v>64475000</x:v>
      </x:c>
      <x:c r="H8" s="55">
        <x:f t="shared" si="1"/>
        <x:v>0.18421428571428572</x:v>
      </x:c>
      <x:c r="I8" s="50" t="s">
        <x:v>1425</x:v>
      </x:c>
      <x:c r="J8" s="56"/>
      <x:c r="K8" s="56"/>
      <x:c r="L8" s="50"/>
      <x:c r="M8" s="51"/>
    </x:row>
    <x:row r="9">
      <x:c r="A9" s="50" t="s">
        <x:v>2585</x:v>
      </x:c>
      <x:c r="B9" s="51" t="s">
        <x:v>2347</x:v>
      </x:c>
      <x:c r="C9" s="52">
        <x:v>2026</x:v>
      </x:c>
      <x:c r="D9" s="50" t="s">
        <x:v>2586</x:v>
      </x:c>
      <x:c r="E9" s="53">
        <x:v>350000000</x:v>
      </x:c>
      <x:c r="F9" s="53">
        <x:v>32950000</x:v>
      </x:c>
      <x:c r="G9" s="54">
        <x:f t="shared" si="0"/>
        <x:v>97425000</x:v>
      </x:c>
      <x:c r="H9" s="55">
        <x:f t="shared" si="1"/>
        <x:v>0.27835714285714286</x:v>
      </x:c>
      <x:c r="I9" s="50" t="s">
        <x:v>1425</x:v>
      </x:c>
      <x:c r="J9" s="56"/>
      <x:c r="K9" s="56"/>
      <x:c r="L9" s="50"/>
      <x:c r="M9" s="51"/>
    </x:row>
    <x:row r="10">
      <x:c r="A10" s="50" t="s">
        <x:v>2587</x:v>
      </x:c>
      <x:c r="B10" s="51" t="s">
        <x:v>2347</x:v>
      </x:c>
      <x:c r="C10" s="52">
        <x:v>2026</x:v>
      </x:c>
      <x:c r="D10" s="50" t="s">
        <x:v>2588</x:v>
      </x:c>
      <x:c r="E10" s="53">
        <x:v>350000000</x:v>
      </x:c>
      <x:c r="F10" s="53">
        <x:v>23000000</x:v>
      </x:c>
      <x:c r="G10" s="54">
        <x:f t="shared" si="0"/>
        <x:v>120425000</x:v>
      </x:c>
      <x:c r="H10" s="55">
        <x:f t="shared" si="1"/>
        <x:v>0.34407142857142858</x:v>
      </x:c>
      <x:c r="I10" s="50" t="s">
        <x:v>1425</x:v>
      </x:c>
      <x:c r="J10" s="56"/>
      <x:c r="K10" s="56"/>
      <x:c r="L10" s="50"/>
      <x:c r="M10" s="51"/>
    </x:row>
    <x:row r="11">
      <x:c r="A11" s="50" t="s">
        <x:v>2589</x:v>
      </x:c>
      <x:c r="B11" s="51" t="s">
        <x:v>2347</x:v>
      </x:c>
      <x:c r="C11" s="52">
        <x:v>2026</x:v>
      </x:c>
      <x:c r="D11" s="50" t="s">
        <x:v>2590</x:v>
      </x:c>
      <x:c r="E11" s="53">
        <x:v>350000000</x:v>
      </x:c>
      <x:c r="F11" s="53">
        <x:v>34775000</x:v>
      </x:c>
      <x:c r="G11" s="54">
        <x:f t="shared" si="0"/>
        <x:v>155200000</x:v>
      </x:c>
      <x:c r="H11" s="55">
        <x:f t="shared" si="1"/>
        <x:v>0.44342857142857145</x:v>
      </x:c>
      <x:c r="I11" s="50" t="s">
        <x:v>1425</x:v>
      </x:c>
      <x:c r="J11" s="56"/>
      <x:c r="K11" s="56"/>
      <x:c r="L11" s="50"/>
      <x:c r="M11" s="51"/>
    </x:row>
    <x:row r="12">
      <x:c r="A12" s="50" t="s">
        <x:v>2591</x:v>
      </x:c>
      <x:c r="B12" s="51" t="s">
        <x:v>2347</x:v>
      </x:c>
      <x:c r="C12" s="52">
        <x:v>2026</x:v>
      </x:c>
      <x:c r="D12" s="50" t="s">
        <x:v>2592</x:v>
      </x:c>
      <x:c r="E12" s="53">
        <x:v>350000000</x:v>
      </x:c>
      <x:c r="F12" s="53">
        <x:v>30175000</x:v>
      </x:c>
      <x:c r="G12" s="54">
        <x:f t="shared" si="0"/>
        <x:v>185375000</x:v>
      </x:c>
      <x:c r="H12" s="55">
        <x:f t="shared" si="1"/>
        <x:v>0.52964285714285719</x:v>
      </x:c>
      <x:c r="I12" s="50" t="s">
        <x:v>1425</x:v>
      </x:c>
      <x:c r="J12" s="56"/>
      <x:c r="K12" s="56"/>
      <x:c r="L12" s="50"/>
      <x:c r="M12" s="51"/>
    </x:row>
    <x:row r="13">
      <x:c r="A13" s="50"/>
      <x:c r="B13" s="51"/>
      <x:c r="C13" s="52"/>
      <x:c r="D13" s="50"/>
      <x:c r="E13" s="53"/>
      <x:c r="F13" s="53"/>
      <x:c r="G13" s="54" t="str">
        <x:f t="shared" si="0"/>
      </x:c>
      <x:c r="H13" s="55" t="str">
        <x:f t="shared" si="1"/>
      </x:c>
      <x:c r="I13" s="50"/>
      <x:c r="J13" s="56"/>
      <x:c r="K13" s="56"/>
      <x:c r="L13" s="50"/>
      <x:c r="M13" s="51"/>
    </x:row>
    <x:row r="14">
      <x:c r="A14" s="50"/>
      <x:c r="B14" s="51"/>
      <x:c r="C14" s="52"/>
      <x:c r="D14" s="50"/>
      <x:c r="E14" s="53"/>
      <x:c r="F14" s="53"/>
      <x:c r="G14" s="54" t="str">
        <x:f t="shared" si="0"/>
      </x:c>
      <x:c r="H14" s="55" t="str">
        <x:f t="shared" si="1"/>
      </x:c>
      <x:c r="I14" s="50"/>
      <x:c r="J14" s="56"/>
      <x:c r="K14" s="56"/>
      <x:c r="L14" s="50"/>
      <x:c r="M14" s="51"/>
    </x:row>
    <x:row r="15">
      <x:c r="A15" s="50"/>
      <x:c r="B15" s="51"/>
      <x:c r="C15" s="52"/>
      <x:c r="D15" s="50"/>
      <x:c r="E15" s="53"/>
      <x:c r="F15" s="53"/>
      <x:c r="G15" s="54" t="str">
        <x:f t="shared" si="0"/>
      </x:c>
      <x:c r="H15" s="55" t="str">
        <x:f t="shared" si="1"/>
      </x:c>
      <x:c r="I15" s="50"/>
      <x:c r="J15" s="56"/>
      <x:c r="K15" s="56"/>
      <x:c r="L15" s="50"/>
      <x:c r="M15" s="51"/>
    </x:row>
    <x:row r="16">
      <x:c r="A16" s="50"/>
      <x:c r="B16" s="51"/>
      <x:c r="C16" s="52"/>
      <x:c r="D16" s="50"/>
      <x:c r="E16" s="53"/>
      <x:c r="F16" s="53"/>
      <x:c r="G16" s="54" t="str">
        <x:f t="shared" si="0"/>
      </x:c>
      <x:c r="H16" s="55" t="str">
        <x:f t="shared" si="1"/>
      </x:c>
      <x:c r="I16" s="50"/>
      <x:c r="J16" s="56"/>
      <x:c r="K16" s="56"/>
      <x:c r="L16" s="50"/>
      <x:c r="M16" s="51"/>
    </x:row>
    <x:row r="17">
      <x:c r="A17" s="50"/>
      <x:c r="B17" s="51"/>
      <x:c r="C17" s="52"/>
      <x:c r="D17" s="50"/>
      <x:c r="E17" s="53"/>
      <x:c r="F17" s="53"/>
      <x:c r="G17" s="54" t="str">
        <x:f t="shared" si="0"/>
      </x:c>
      <x:c r="H17" s="55" t="str">
        <x:f t="shared" si="1"/>
      </x:c>
      <x:c r="I17" s="50"/>
      <x:c r="J17" s="56"/>
      <x:c r="K17" s="56"/>
      <x:c r="L17" s="50"/>
      <x:c r="M17" s="51"/>
    </x:row>
    <x:row r="18">
      <x:c r="A18" s="50"/>
      <x:c r="B18" s="51"/>
      <x:c r="C18" s="52"/>
      <x:c r="D18" s="50"/>
      <x:c r="E18" s="53"/>
      <x:c r="F18" s="53"/>
      <x:c r="G18" s="54" t="str">
        <x:f t="shared" si="0"/>
      </x:c>
      <x:c r="H18" s="55" t="str">
        <x:f t="shared" si="1"/>
      </x:c>
      <x:c r="I18" s="50"/>
      <x:c r="J18" s="56"/>
      <x:c r="K18" s="56"/>
      <x:c r="L18" s="50"/>
      <x:c r="M18" s="51"/>
    </x:row>
    <x:row r="19">
      <x:c r="A19" s="50"/>
      <x:c r="B19" s="51"/>
      <x:c r="C19" s="52"/>
      <x:c r="D19" s="50"/>
      <x:c r="E19" s="53"/>
      <x:c r="F19" s="53"/>
      <x:c r="G19" s="54" t="str">
        <x:f t="shared" si="0"/>
      </x:c>
      <x:c r="H19" s="55" t="str">
        <x:f t="shared" si="1"/>
      </x:c>
      <x:c r="I19" s="50"/>
      <x:c r="J19" s="56"/>
      <x:c r="K19" s="56"/>
      <x:c r="L19" s="50"/>
      <x:c r="M19" s="51"/>
    </x:row>
    <x:row r="20">
      <x:c r="A20" s="50"/>
      <x:c r="B20" s="51"/>
      <x:c r="C20" s="52"/>
      <x:c r="D20" s="50"/>
      <x:c r="E20" s="53"/>
      <x:c r="F20" s="53"/>
      <x:c r="G20" s="54" t="str">
        <x:f t="shared" si="0"/>
      </x:c>
      <x:c r="H20" s="55" t="str">
        <x:f t="shared" si="1"/>
      </x:c>
      <x:c r="I20" s="50"/>
      <x:c r="J20" s="56"/>
      <x:c r="K20" s="56"/>
      <x:c r="L20" s="50"/>
      <x:c r="M20" s="51"/>
    </x:row>
    <x:row r="21">
      <x:c r="A21" s="50"/>
      <x:c r="B21" s="51"/>
      <x:c r="C21" s="52"/>
      <x:c r="D21" s="50"/>
      <x:c r="E21" s="53"/>
      <x:c r="F21" s="53"/>
      <x:c r="G21" s="54" t="str">
        <x:f t="shared" si="0"/>
      </x:c>
      <x:c r="H21" s="55" t="str">
        <x:f t="shared" si="1"/>
      </x:c>
      <x:c r="I21" s="50"/>
      <x:c r="J21" s="56"/>
      <x:c r="K21" s="56"/>
      <x:c r="L21" s="50"/>
      <x:c r="M21" s="51"/>
    </x:row>
    <x:row r="22">
      <x:c r="A22" s="50"/>
      <x:c r="B22" s="51"/>
      <x:c r="C22" s="52"/>
      <x:c r="D22" s="50"/>
      <x:c r="E22" s="53"/>
      <x:c r="F22" s="53"/>
      <x:c r="G22" s="54" t="str">
        <x:f t="shared" si="0"/>
      </x:c>
      <x:c r="H22" s="55" t="str">
        <x:f t="shared" si="1"/>
      </x:c>
      <x:c r="I22" s="50"/>
      <x:c r="J22" s="56"/>
      <x:c r="K22" s="56"/>
      <x:c r="L22" s="50"/>
      <x:c r="M22" s="51"/>
    </x:row>
    <x:row r="23">
      <x:c r="A23" s="50"/>
      <x:c r="B23" s="51"/>
      <x:c r="C23" s="52"/>
      <x:c r="D23" s="50"/>
      <x:c r="E23" s="53"/>
      <x:c r="F23" s="53"/>
      <x:c r="G23" s="54" t="str">
        <x:f t="shared" si="0"/>
      </x:c>
      <x:c r="H23" s="55" t="str">
        <x:f t="shared" si="1"/>
      </x:c>
      <x:c r="I23" s="50"/>
      <x:c r="J23" s="56"/>
      <x:c r="K23" s="56"/>
      <x:c r="L23" s="50"/>
      <x:c r="M23" s="51"/>
    </x:row>
    <x:row r="24">
      <x:c r="A24" s="50"/>
      <x:c r="B24" s="51"/>
      <x:c r="C24" s="52"/>
      <x:c r="D24" s="50"/>
      <x:c r="E24" s="53"/>
      <x:c r="F24" s="53"/>
      <x:c r="G24" s="54" t="str">
        <x:f t="shared" si="0"/>
      </x:c>
      <x:c r="H24" s="55" t="str">
        <x:f t="shared" si="1"/>
      </x:c>
      <x:c r="I24" s="50"/>
      <x:c r="J24" s="56"/>
      <x:c r="K24" s="56"/>
      <x:c r="L24" s="50"/>
      <x:c r="M24" s="51"/>
    </x:row>
    <x:row r="25">
      <x:c r="A25" s="50"/>
      <x:c r="B25" s="51"/>
      <x:c r="C25" s="52"/>
      <x:c r="D25" s="50"/>
      <x:c r="E25" s="53"/>
      <x:c r="F25" s="53"/>
      <x:c r="G25" s="54" t="str">
        <x:f t="shared" si="0"/>
      </x:c>
      <x:c r="H25" s="55" t="str">
        <x:f t="shared" si="1"/>
      </x:c>
      <x:c r="I25" s="50"/>
      <x:c r="J25" s="56"/>
      <x:c r="K25" s="56"/>
      <x:c r="L25" s="50"/>
      <x:c r="M25" s="51"/>
    </x:row>
    <x:row r="26">
      <x:c r="A26" s="50"/>
      <x:c r="B26" s="51"/>
      <x:c r="C26" s="52"/>
      <x:c r="D26" s="50"/>
      <x:c r="E26" s="53"/>
      <x:c r="F26" s="53"/>
      <x:c r="G26" s="54" t="str">
        <x:f t="shared" si="0"/>
      </x:c>
      <x:c r="H26" s="55" t="str">
        <x:f t="shared" si="1"/>
      </x:c>
      <x:c r="I26" s="50"/>
      <x:c r="J26" s="56"/>
      <x:c r="K26" s="56"/>
      <x:c r="L26" s="50"/>
      <x:c r="M26" s="51"/>
    </x:row>
    <x:row r="27">
      <x:c r="A27" s="50"/>
      <x:c r="B27" s="51"/>
      <x:c r="C27" s="52"/>
      <x:c r="D27" s="50"/>
      <x:c r="E27" s="53"/>
      <x:c r="F27" s="53"/>
      <x:c r="G27" s="54" t="str">
        <x:f t="shared" si="0"/>
      </x:c>
      <x:c r="H27" s="55" t="str">
        <x:f t="shared" si="1"/>
      </x:c>
      <x:c r="I27" s="50"/>
      <x:c r="J27" s="56"/>
      <x:c r="K27" s="56"/>
      <x:c r="L27" s="50"/>
      <x:c r="M27" s="51"/>
    </x:row>
    <x:row r="28">
      <x:c r="A28" s="50"/>
      <x:c r="B28" s="51"/>
      <x:c r="C28" s="52"/>
      <x:c r="D28" s="50"/>
      <x:c r="E28" s="53"/>
      <x:c r="F28" s="53"/>
      <x:c r="G28" s="54" t="str">
        <x:f t="shared" si="0"/>
      </x:c>
      <x:c r="H28" s="55" t="str">
        <x:f t="shared" si="1"/>
      </x:c>
      <x:c r="I28" s="50"/>
      <x:c r="J28" s="56"/>
      <x:c r="K28" s="56"/>
      <x:c r="L28" s="50"/>
      <x:c r="M28" s="51"/>
    </x:row>
    <x:row r="29">
      <x:c r="A29" s="50"/>
      <x:c r="B29" s="51"/>
      <x:c r="C29" s="52"/>
      <x:c r="D29" s="50"/>
      <x:c r="E29" s="53"/>
      <x:c r="F29" s="53"/>
      <x:c r="G29" s="54" t="str">
        <x:f t="shared" si="0"/>
      </x:c>
      <x:c r="H29" s="55" t="str">
        <x:f t="shared" si="1"/>
      </x:c>
      <x:c r="I29" s="50"/>
      <x:c r="J29" s="56"/>
      <x:c r="K29" s="56"/>
      <x:c r="L29" s="50"/>
      <x:c r="M29" s="51"/>
    </x:row>
    <x:row r="30">
      <x:c r="A30" s="50"/>
      <x:c r="B30" s="51"/>
      <x:c r="C30" s="52"/>
      <x:c r="D30" s="50"/>
      <x:c r="E30" s="53"/>
      <x:c r="F30" s="53"/>
      <x:c r="G30" s="54" t="str">
        <x:f t="shared" si="0"/>
      </x:c>
      <x:c r="H30" s="55" t="str">
        <x:f t="shared" si="1"/>
      </x:c>
      <x:c r="I30" s="50"/>
      <x:c r="J30" s="56"/>
      <x:c r="K30" s="56"/>
      <x:c r="L30" s="50"/>
      <x:c r="M30" s="51"/>
    </x:row>
    <x:row r="31">
      <x:c r="A31" s="50"/>
      <x:c r="B31" s="51"/>
      <x:c r="C31" s="52"/>
      <x:c r="D31" s="50"/>
      <x:c r="E31" s="53"/>
      <x:c r="F31" s="53"/>
      <x:c r="G31" s="54" t="str">
        <x:f t="shared" si="0"/>
      </x:c>
      <x:c r="H31" s="55" t="str">
        <x:f t="shared" si="1"/>
      </x:c>
      <x:c r="I31" s="50"/>
      <x:c r="J31" s="56"/>
      <x:c r="K31" s="56"/>
      <x:c r="L31" s="50"/>
      <x:c r="M31" s="51"/>
    </x:row>
    <x:row r="32">
      <x:c r="A32" s="50"/>
      <x:c r="B32" s="51"/>
      <x:c r="C32" s="52"/>
      <x:c r="D32" s="50"/>
      <x:c r="E32" s="53"/>
      <x:c r="F32" s="53"/>
      <x:c r="G32" s="54" t="str">
        <x:f t="shared" si="0"/>
      </x:c>
      <x:c r="H32" s="55" t="str">
        <x:f t="shared" si="1"/>
      </x:c>
      <x:c r="I32" s="50"/>
      <x:c r="J32" s="56"/>
      <x:c r="K32" s="56"/>
      <x:c r="L32" s="50"/>
      <x:c r="M32" s="51"/>
    </x:row>
    <x:row r="33">
      <x:c r="A33" s="50"/>
      <x:c r="B33" s="51"/>
      <x:c r="C33" s="52"/>
      <x:c r="D33" s="50"/>
      <x:c r="E33" s="53"/>
      <x:c r="F33" s="53"/>
      <x:c r="G33" s="54" t="str">
        <x:f t="shared" si="0"/>
      </x:c>
      <x:c r="H33" s="55" t="str">
        <x:f t="shared" si="1"/>
      </x:c>
      <x:c r="I33" s="50"/>
      <x:c r="J33" s="56"/>
      <x:c r="K33" s="56"/>
      <x:c r="L33" s="50"/>
      <x:c r="M33" s="51"/>
    </x:row>
    <x:row r="34">
      <x:c r="A34" s="50"/>
      <x:c r="B34" s="51"/>
      <x:c r="C34" s="52"/>
      <x:c r="D34" s="50"/>
      <x:c r="E34" s="53"/>
      <x:c r="F34" s="53"/>
      <x:c r="G34" s="54" t="str">
        <x:f t="shared" si="0"/>
      </x:c>
      <x:c r="H34" s="55" t="str">
        <x:f t="shared" si="1"/>
      </x:c>
      <x:c r="I34" s="50"/>
      <x:c r="J34" s="56"/>
      <x:c r="K34" s="56"/>
      <x:c r="L34" s="50"/>
      <x:c r="M34" s="51"/>
    </x:row>
    <x:row r="35">
      <x:c r="A35" s="50"/>
      <x:c r="B35" s="51"/>
      <x:c r="C35" s="52"/>
      <x:c r="D35" s="50"/>
      <x:c r="E35" s="53"/>
      <x:c r="F35" s="53"/>
      <x:c r="G35" s="54" t="str">
        <x:f t="shared" si="0"/>
      </x:c>
      <x:c r="H35" s="55" t="str">
        <x:f t="shared" si="1"/>
      </x:c>
      <x:c r="I35" s="50"/>
      <x:c r="J35" s="56"/>
      <x:c r="K35" s="56"/>
      <x:c r="L35" s="50"/>
      <x:c r="M35" s="51"/>
    </x:row>
    <x:row r="36">
      <x:c r="A36" s="50"/>
      <x:c r="B36" s="51"/>
      <x:c r="C36" s="52"/>
      <x:c r="D36" s="50"/>
      <x:c r="E36" s="53"/>
      <x:c r="F36" s="53"/>
      <x:c r="G36" s="54" t="str">
        <x:f t="shared" si="0"/>
      </x:c>
      <x:c r="H36" s="55" t="str">
        <x:f t="shared" si="1"/>
      </x:c>
      <x:c r="I36" s="50"/>
      <x:c r="J36" s="56"/>
      <x:c r="K36" s="56"/>
      <x:c r="L36" s="50"/>
      <x:c r="M36" s="51"/>
    </x:row>
    <x:row r="37">
      <x:c r="A37" s="50"/>
      <x:c r="B37" s="51"/>
      <x:c r="C37" s="52"/>
      <x:c r="D37" s="50"/>
      <x:c r="E37" s="53"/>
      <x:c r="F37" s="53"/>
      <x:c r="G37" s="54" t="str">
        <x:f t="shared" si="0"/>
      </x:c>
      <x:c r="H37" s="55" t="str">
        <x:f t="shared" si="1"/>
      </x:c>
      <x:c r="I37" s="50"/>
      <x:c r="J37" s="56"/>
      <x:c r="K37" s="56"/>
      <x:c r="L37" s="50"/>
      <x:c r="M37" s="51"/>
    </x:row>
    <x:row r="38">
      <x:c r="A38" s="50"/>
      <x:c r="B38" s="51"/>
      <x:c r="C38" s="52"/>
      <x:c r="D38" s="50"/>
      <x:c r="E38" s="53"/>
      <x:c r="F38" s="53"/>
      <x:c r="G38" s="54" t="str">
        <x:f t="shared" si="0"/>
      </x:c>
      <x:c r="H38" s="55" t="str">
        <x:f t="shared" si="1"/>
      </x:c>
      <x:c r="I38" s="50"/>
      <x:c r="J38" s="56"/>
      <x:c r="K38" s="56"/>
      <x:c r="L38" s="50"/>
      <x:c r="M38" s="51"/>
    </x:row>
    <x:row r="39">
      <x:c r="A39" s="50"/>
      <x:c r="B39" s="51"/>
      <x:c r="C39" s="52"/>
      <x:c r="D39" s="50"/>
      <x:c r="E39" s="53"/>
      <x:c r="F39" s="53"/>
      <x:c r="G39" s="54" t="str">
        <x:f t="shared" si="0"/>
      </x:c>
      <x:c r="H39" s="55" t="str">
        <x:f t="shared" si="1"/>
      </x:c>
      <x:c r="I39" s="50"/>
      <x:c r="J39" s="56"/>
      <x:c r="K39" s="56"/>
      <x:c r="L39" s="50"/>
      <x:c r="M39" s="51"/>
    </x:row>
    <x:row r="40">
      <x:c r="A40" s="50"/>
      <x:c r="B40" s="51"/>
      <x:c r="C40" s="52"/>
      <x:c r="D40" s="50"/>
      <x:c r="E40" s="53"/>
      <x:c r="F40" s="53"/>
      <x:c r="G40" s="54" t="str">
        <x:f t="shared" si="0"/>
      </x:c>
      <x:c r="H40" s="55" t="str">
        <x:f t="shared" si="1"/>
      </x:c>
      <x:c r="I40" s="50"/>
      <x:c r="J40" s="56"/>
      <x:c r="K40" s="56"/>
      <x:c r="L40" s="50"/>
      <x:c r="M40" s="51"/>
    </x:row>
    <x:row r="41">
      <x:c r="A41" s="50"/>
      <x:c r="B41" s="51"/>
      <x:c r="C41" s="52"/>
      <x:c r="D41" s="50"/>
      <x:c r="E41" s="53"/>
      <x:c r="F41" s="53"/>
      <x:c r="G41" s="54" t="str">
        <x:f t="shared" si="0"/>
      </x:c>
      <x:c r="H41" s="55" t="str">
        <x:f t="shared" si="1"/>
      </x:c>
      <x:c r="I41" s="50"/>
      <x:c r="J41" s="56"/>
      <x:c r="K41" s="56"/>
      <x:c r="L41" s="50"/>
      <x:c r="M41" s="51"/>
    </x:row>
    <x:row r="42">
      <x:c r="A42" s="50"/>
      <x:c r="B42" s="51"/>
      <x:c r="C42" s="52"/>
      <x:c r="D42" s="50"/>
      <x:c r="E42" s="53"/>
      <x:c r="F42" s="53"/>
      <x:c r="G42" s="54" t="str">
        <x:f t="shared" si="0"/>
      </x:c>
      <x:c r="H42" s="55" t="str">
        <x:f t="shared" si="1"/>
      </x:c>
      <x:c r="I42" s="50"/>
      <x:c r="J42" s="56"/>
      <x:c r="K42" s="56"/>
      <x:c r="L42" s="50"/>
      <x:c r="M42" s="51"/>
    </x:row>
    <x:row r="43">
      <x:c r="A43" s="50"/>
      <x:c r="B43" s="51"/>
      <x:c r="C43" s="52"/>
      <x:c r="D43" s="50"/>
      <x:c r="E43" s="53"/>
      <x:c r="F43" s="53"/>
      <x:c r="G43" s="54" t="str">
        <x:f t="shared" si="0"/>
      </x:c>
      <x:c r="H43" s="55" t="str">
        <x:f t="shared" si="1"/>
      </x:c>
      <x:c r="I43" s="50"/>
      <x:c r="J43" s="56"/>
      <x:c r="K43" s="56"/>
      <x:c r="L43" s="50"/>
      <x:c r="M43" s="51"/>
    </x:row>
    <x:row r="44">
      <x:c r="A44" s="50"/>
      <x:c r="B44" s="51"/>
      <x:c r="C44" s="52"/>
      <x:c r="D44" s="50"/>
      <x:c r="E44" s="53"/>
      <x:c r="F44" s="53"/>
      <x:c r="G44" s="54" t="str">
        <x:f t="shared" si="0"/>
      </x:c>
      <x:c r="H44" s="55" t="str">
        <x:f t="shared" si="1"/>
      </x:c>
      <x:c r="I44" s="50"/>
      <x:c r="J44" s="56"/>
      <x:c r="K44" s="56"/>
      <x:c r="L44" s="50"/>
      <x:c r="M44" s="51"/>
    </x:row>
    <x:row r="45">
      <x:c r="A45" s="50"/>
      <x:c r="B45" s="51"/>
      <x:c r="C45" s="52"/>
      <x:c r="D45" s="50"/>
      <x:c r="E45" s="53"/>
      <x:c r="F45" s="53"/>
      <x:c r="G45" s="54" t="str">
        <x:f t="shared" si="0"/>
      </x:c>
      <x:c r="H45" s="55" t="str">
        <x:f t="shared" si="1"/>
      </x:c>
      <x:c r="I45" s="50"/>
      <x:c r="J45" s="56"/>
      <x:c r="K45" s="56"/>
      <x:c r="L45" s="50"/>
      <x:c r="M45" s="51"/>
    </x:row>
    <x:row r="46">
      <x:c r="A46" s="50"/>
      <x:c r="B46" s="51"/>
      <x:c r="C46" s="52"/>
      <x:c r="D46" s="50"/>
      <x:c r="E46" s="53"/>
      <x:c r="F46" s="53"/>
      <x:c r="G46" s="54" t="str">
        <x:f t="shared" si="0"/>
      </x:c>
      <x:c r="H46" s="55" t="str">
        <x:f t="shared" si="1"/>
      </x:c>
      <x:c r="I46" s="50"/>
      <x:c r="J46" s="56"/>
      <x:c r="K46" s="56"/>
      <x:c r="L46" s="50"/>
      <x:c r="M46" s="51"/>
    </x:row>
    <x:row r="47">
      <x:c r="A47" s="50"/>
      <x:c r="B47" s="51"/>
      <x:c r="C47" s="52"/>
      <x:c r="D47" s="50"/>
      <x:c r="E47" s="53"/>
      <x:c r="F47" s="53"/>
      <x:c r="G47" s="54" t="str">
        <x:f t="shared" si="0"/>
      </x:c>
      <x:c r="H47" s="55" t="str">
        <x:f t="shared" si="1"/>
      </x:c>
      <x:c r="I47" s="50"/>
      <x:c r="J47" s="56"/>
      <x:c r="K47" s="56"/>
      <x:c r="L47" s="50"/>
      <x:c r="M47" s="51"/>
    </x:row>
    <x:row r="48">
      <x:c r="A48" s="50"/>
      <x:c r="B48" s="51"/>
      <x:c r="C48" s="52"/>
      <x:c r="D48" s="50"/>
      <x:c r="E48" s="53"/>
      <x:c r="F48" s="53"/>
      <x:c r="G48" s="54" t="str">
        <x:f t="shared" si="0"/>
      </x:c>
      <x:c r="H48" s="55" t="str">
        <x:f t="shared" si="1"/>
      </x:c>
      <x:c r="I48" s="50"/>
      <x:c r="J48" s="56"/>
      <x:c r="K48" s="56"/>
      <x:c r="L48" s="50"/>
      <x:c r="M48" s="51"/>
    </x:row>
    <x:row r="49">
      <x:c r="A49" s="50"/>
      <x:c r="B49" s="51"/>
      <x:c r="C49" s="52"/>
      <x:c r="D49" s="50"/>
      <x:c r="E49" s="53"/>
      <x:c r="F49" s="53"/>
      <x:c r="G49" s="54" t="str">
        <x:f t="shared" si="0"/>
      </x:c>
      <x:c r="H49" s="55" t="str">
        <x:f t="shared" si="1"/>
      </x:c>
      <x:c r="I49" s="50"/>
      <x:c r="J49" s="56"/>
      <x:c r="K49" s="56"/>
      <x:c r="L49" s="50"/>
      <x:c r="M49" s="51"/>
    </x:row>
    <x:row r="50">
      <x:c r="A50" s="50"/>
      <x:c r="B50" s="51"/>
      <x:c r="C50" s="52"/>
      <x:c r="D50" s="50"/>
      <x:c r="E50" s="53"/>
      <x:c r="F50" s="53"/>
      <x:c r="G50" s="54" t="str">
        <x:f t="shared" si="0"/>
      </x:c>
      <x:c r="H50" s="55" t="str">
        <x:f t="shared" si="1"/>
      </x:c>
      <x:c r="I50" s="50"/>
      <x:c r="J50" s="56"/>
      <x:c r="K50" s="56"/>
      <x:c r="L50" s="50"/>
      <x:c r="M50" s="51"/>
    </x:row>
    <x:row r="51">
      <x:c r="A51" s="50"/>
      <x:c r="B51" s="51"/>
      <x:c r="C51" s="52"/>
      <x:c r="D51" s="50"/>
      <x:c r="E51" s="53"/>
      <x:c r="F51" s="53"/>
      <x:c r="G51" s="54" t="str">
        <x:f t="shared" si="0"/>
      </x:c>
      <x:c r="H51" s="55" t="str">
        <x:f t="shared" si="1"/>
      </x:c>
      <x:c r="I51" s="50"/>
      <x:c r="J51" s="56"/>
      <x:c r="K51" s="56"/>
      <x:c r="L51" s="50"/>
      <x:c r="M51" s="51"/>
    </x:row>
    <x:row r="52">
      <x:c r="A52" s="50"/>
      <x:c r="B52" s="51"/>
      <x:c r="C52" s="52"/>
      <x:c r="D52" s="50"/>
      <x:c r="E52" s="53"/>
      <x:c r="F52" s="53"/>
      <x:c r="G52" s="54" t="str">
        <x:f t="shared" si="0"/>
      </x:c>
      <x:c r="H52" s="55" t="str">
        <x:f t="shared" si="1"/>
      </x:c>
      <x:c r="I52" s="50"/>
      <x:c r="J52" s="56"/>
      <x:c r="K52" s="56"/>
      <x:c r="L52" s="50"/>
      <x:c r="M52" s="51"/>
    </x:row>
    <x:row r="53">
      <x:c r="A53" s="50"/>
      <x:c r="B53" s="51"/>
      <x:c r="C53" s="52"/>
      <x:c r="D53" s="50"/>
      <x:c r="E53" s="53"/>
      <x:c r="F53" s="53"/>
      <x:c r="G53" s="54" t="str">
        <x:f t="shared" si="0"/>
      </x:c>
      <x:c r="H53" s="55" t="str">
        <x:f t="shared" si="1"/>
      </x:c>
      <x:c r="I53" s="50"/>
      <x:c r="J53" s="56"/>
      <x:c r="K53" s="56"/>
      <x:c r="L53" s="50"/>
      <x:c r="M53" s="51"/>
    </x:row>
    <x:row r="54">
      <x:c r="A54" s="50"/>
      <x:c r="B54" s="51"/>
      <x:c r="C54" s="52"/>
      <x:c r="D54" s="50"/>
      <x:c r="E54" s="53"/>
      <x:c r="F54" s="53"/>
      <x:c r="G54" s="54" t="str">
        <x:f t="shared" si="0"/>
      </x:c>
      <x:c r="H54" s="55" t="str">
        <x:f t="shared" si="1"/>
      </x:c>
      <x:c r="I54" s="50"/>
      <x:c r="J54" s="56"/>
      <x:c r="K54" s="56"/>
      <x:c r="L54" s="50"/>
      <x:c r="M54" s="51"/>
    </x:row>
    <x:row r="55">
      <x:c r="A55" s="50"/>
      <x:c r="B55" s="51"/>
      <x:c r="C55" s="52"/>
      <x:c r="D55" s="50"/>
      <x:c r="E55" s="53"/>
      <x:c r="F55" s="53"/>
      <x:c r="G55" s="54" t="str">
        <x:f t="shared" si="0"/>
      </x:c>
      <x:c r="H55" s="55" t="str">
        <x:f t="shared" si="1"/>
      </x:c>
      <x:c r="I55" s="50"/>
      <x:c r="J55" s="56"/>
      <x:c r="K55" s="56"/>
      <x:c r="L55" s="50"/>
      <x:c r="M55" s="51"/>
    </x:row>
    <x:row r="56">
      <x:c r="A56" s="50"/>
      <x:c r="B56" s="51"/>
      <x:c r="C56" s="52"/>
      <x:c r="D56" s="50"/>
      <x:c r="E56" s="53"/>
      <x:c r="F56" s="53"/>
      <x:c r="G56" s="54" t="str">
        <x:f t="shared" si="0"/>
      </x:c>
      <x:c r="H56" s="55" t="str">
        <x:f t="shared" si="1"/>
      </x:c>
      <x:c r="I56" s="50"/>
      <x:c r="J56" s="56"/>
      <x:c r="K56" s="56"/>
      <x:c r="L56" s="50"/>
      <x:c r="M56" s="51"/>
    </x:row>
    <x:row r="57">
      <x:c r="A57" s="50"/>
      <x:c r="B57" s="51"/>
      <x:c r="C57" s="52"/>
      <x:c r="D57" s="50"/>
      <x:c r="E57" s="53"/>
      <x:c r="F57" s="53"/>
      <x:c r="G57" s="54" t="str">
        <x:f t="shared" si="0"/>
      </x:c>
      <x:c r="H57" s="55" t="str">
        <x:f t="shared" si="1"/>
      </x:c>
      <x:c r="I57" s="50"/>
      <x:c r="J57" s="56"/>
      <x:c r="K57" s="56"/>
      <x:c r="L57" s="50"/>
      <x:c r="M57" s="51"/>
    </x:row>
    <x:row r="58">
      <x:c r="A58" s="50"/>
      <x:c r="B58" s="51"/>
      <x:c r="C58" s="52"/>
      <x:c r="D58" s="50"/>
      <x:c r="E58" s="53"/>
      <x:c r="F58" s="53"/>
      <x:c r="G58" s="54" t="str">
        <x:f t="shared" si="0"/>
      </x:c>
      <x:c r="H58" s="55" t="str">
        <x:f t="shared" si="1"/>
      </x:c>
      <x:c r="I58" s="50"/>
      <x:c r="J58" s="56"/>
      <x:c r="K58" s="56"/>
      <x:c r="L58" s="50"/>
      <x:c r="M58" s="51"/>
    </x:row>
    <x:row r="59">
      <x:c r="A59" s="50"/>
      <x:c r="B59" s="51"/>
      <x:c r="C59" s="52"/>
      <x:c r="D59" s="50"/>
      <x:c r="E59" s="53"/>
      <x:c r="F59" s="53"/>
      <x:c r="G59" s="54" t="str">
        <x:f t="shared" si="0"/>
      </x:c>
      <x:c r="H59" s="55" t="str">
        <x:f t="shared" si="1"/>
      </x:c>
      <x:c r="I59" s="50"/>
      <x:c r="J59" s="56"/>
      <x:c r="K59" s="56"/>
      <x:c r="L59" s="50"/>
      <x:c r="M59" s="51"/>
    </x:row>
    <x:row r="60">
      <x:c r="A60" s="50"/>
      <x:c r="B60" s="51"/>
      <x:c r="C60" s="52"/>
      <x:c r="D60" s="50"/>
      <x:c r="E60" s="53"/>
      <x:c r="F60" s="53"/>
      <x:c r="G60" s="54" t="str">
        <x:f t="shared" si="0"/>
      </x:c>
      <x:c r="H60" s="55" t="str">
        <x:f t="shared" si="1"/>
      </x:c>
      <x:c r="I60" s="50"/>
      <x:c r="J60" s="56"/>
      <x:c r="K60" s="56"/>
      <x:c r="L60" s="50"/>
      <x:c r="M60" s="51"/>
    </x:row>
    <x:row r="61">
      <x:c r="A61" s="50"/>
      <x:c r="B61" s="51"/>
      <x:c r="C61" s="52"/>
      <x:c r="D61" s="50"/>
      <x:c r="E61" s="53"/>
      <x:c r="F61" s="53"/>
      <x:c r="G61" s="54" t="str">
        <x:f t="shared" si="0"/>
      </x:c>
      <x:c r="H61" s="55" t="str">
        <x:f t="shared" si="1"/>
      </x:c>
      <x:c r="I61" s="50"/>
      <x:c r="J61" s="56"/>
      <x:c r="K61" s="56"/>
      <x:c r="L61" s="50"/>
      <x:c r="M61" s="51"/>
    </x:row>
    <x:row r="62">
      <x:c r="A62" s="50"/>
      <x:c r="B62" s="51"/>
      <x:c r="C62" s="52"/>
      <x:c r="D62" s="50"/>
      <x:c r="E62" s="53"/>
      <x:c r="F62" s="53"/>
      <x:c r="G62" s="54" t="str">
        <x:f t="shared" si="0"/>
      </x:c>
      <x:c r="H62" s="55" t="str">
        <x:f t="shared" si="1"/>
      </x:c>
      <x:c r="I62" s="50"/>
      <x:c r="J62" s="56"/>
      <x:c r="K62" s="56"/>
      <x:c r="L62" s="50"/>
      <x:c r="M62" s="51"/>
    </x:row>
    <x:row r="63">
      <x:c r="A63" s="50"/>
      <x:c r="B63" s="51"/>
      <x:c r="C63" s="52"/>
      <x:c r="D63" s="50"/>
      <x:c r="E63" s="53"/>
      <x:c r="F63" s="53"/>
      <x:c r="G63" s="54" t="str">
        <x:f t="shared" si="0"/>
      </x:c>
      <x:c r="H63" s="55" t="str">
        <x:f t="shared" si="1"/>
      </x:c>
      <x:c r="I63" s="50"/>
      <x:c r="J63" s="56"/>
      <x:c r="K63" s="56"/>
      <x:c r="L63" s="50"/>
      <x:c r="M63" s="51"/>
    </x:row>
    <x:row r="64">
      <x:c r="A64" s="50"/>
      <x:c r="B64" s="51"/>
      <x:c r="C64" s="52"/>
      <x:c r="D64" s="50"/>
      <x:c r="E64" s="53"/>
      <x:c r="F64" s="53"/>
      <x:c r="G64" s="54" t="str">
        <x:f t="shared" si="0"/>
      </x:c>
      <x:c r="H64" s="55" t="str">
        <x:f t="shared" si="1"/>
      </x:c>
      <x:c r="I64" s="50"/>
      <x:c r="J64" s="56"/>
      <x:c r="K64" s="56"/>
      <x:c r="L64" s="50"/>
      <x:c r="M64" s="51"/>
    </x:row>
    <x:row r="65">
      <x:c r="A65" s="50"/>
      <x:c r="B65" s="51"/>
      <x:c r="C65" s="52"/>
      <x:c r="D65" s="50"/>
      <x:c r="E65" s="53"/>
      <x:c r="F65" s="53"/>
      <x:c r="G65" s="54" t="str">
        <x:f t="shared" si="0"/>
      </x:c>
      <x:c r="H65" s="55" t="str">
        <x:f t="shared" si="1"/>
      </x:c>
      <x:c r="I65" s="50"/>
      <x:c r="J65" s="56"/>
      <x:c r="K65" s="56"/>
      <x:c r="L65" s="50"/>
      <x:c r="M65" s="51"/>
    </x:row>
    <x:row r="66">
      <x:c r="A66" s="50"/>
      <x:c r="B66" s="51"/>
      <x:c r="C66" s="52"/>
      <x:c r="D66" s="50"/>
      <x:c r="E66" s="53"/>
      <x:c r="F66" s="53"/>
      <x:c r="G66" s="54" t="str">
        <x:f t="shared" si="0"/>
      </x:c>
      <x:c r="H66" s="55" t="str">
        <x:f t="shared" si="1"/>
      </x:c>
      <x:c r="I66" s="50"/>
      <x:c r="J66" s="56"/>
      <x:c r="K66" s="56"/>
      <x:c r="L66" s="50"/>
      <x:c r="M66" s="51"/>
    </x:row>
    <x:row r="67">
      <x:c r="A67" s="50"/>
      <x:c r="B67" s="51"/>
      <x:c r="C67" s="52"/>
      <x:c r="D67" s="50"/>
      <x:c r="E67" s="53"/>
      <x:c r="F67" s="53"/>
      <x:c r="G67" s="54" t="str">
        <x:f t="shared" si="0"/>
      </x:c>
      <x:c r="H67" s="55" t="str">
        <x:f t="shared" si="1"/>
      </x:c>
      <x:c r="I67" s="50"/>
      <x:c r="J67" s="56"/>
      <x:c r="K67" s="56"/>
      <x:c r="L67" s="50"/>
      <x:c r="M67" s="51"/>
    </x:row>
    <x:row r="68">
      <x:c r="A68" s="50"/>
      <x:c r="B68" s="51"/>
      <x:c r="C68" s="52"/>
      <x:c r="D68" s="50"/>
      <x:c r="E68" s="53"/>
      <x:c r="F68" s="53"/>
      <x:c r="G68" s="54" t="str">
        <x:f t="shared" si="0"/>
      </x:c>
      <x:c r="H68" s="55" t="str">
        <x:f t="shared" si="1"/>
      </x:c>
      <x:c r="I68" s="50"/>
      <x:c r="J68" s="56"/>
      <x:c r="K68" s="56"/>
      <x:c r="L68" s="50"/>
      <x:c r="M68" s="51"/>
    </x:row>
    <x:row r="69">
      <x:c r="A69" s="50"/>
      <x:c r="B69" s="51"/>
      <x:c r="C69" s="52"/>
      <x:c r="D69" s="50"/>
      <x:c r="E69" s="53"/>
      <x:c r="F69" s="53"/>
      <x:c r="G69" s="54" t="str">
        <x:f t="shared" si="0"/>
      </x:c>
      <x:c r="H69" s="55" t="str">
        <x:f t="shared" si="1"/>
      </x:c>
      <x:c r="I69" s="50"/>
      <x:c r="J69" s="56"/>
      <x:c r="K69" s="56"/>
      <x:c r="L69" s="50"/>
      <x:c r="M69" s="51"/>
    </x:row>
    <x:row r="70">
      <x:c r="A70" s="50"/>
      <x:c r="B70" s="51"/>
      <x:c r="C70" s="52"/>
      <x:c r="D70" s="50"/>
      <x:c r="E70" s="53"/>
      <x:c r="F70" s="53"/>
      <x:c r="G70" s="54" t="str">
        <x:f t="shared" ref="G70:G105" si="2">IF(A70="","",SUMIFS($F$6:F70,$B$6:B70,B70,$C$6:C70,C70))</x:f>
      </x:c>
      <x:c r="H70" s="55" t="str">
        <x:f t="shared" ref="H70:H105" si="3">IF(A70="","",IFERROR(G70/E70,0))</x:f>
      </x:c>
      <x:c r="I70" s="50"/>
      <x:c r="J70" s="56"/>
      <x:c r="K70" s="56"/>
      <x:c r="L70" s="50"/>
      <x:c r="M70" s="51"/>
    </x:row>
    <x:row r="71">
      <x:c r="A71" s="50"/>
      <x:c r="B71" s="51"/>
      <x:c r="C71" s="52"/>
      <x:c r="D71" s="50"/>
      <x:c r="E71" s="53"/>
      <x:c r="F71" s="53"/>
      <x:c r="G71" s="54" t="str">
        <x:f t="shared" si="2"/>
      </x:c>
      <x:c r="H71" s="55" t="str">
        <x:f t="shared" si="3"/>
      </x:c>
      <x:c r="I71" s="50"/>
      <x:c r="J71" s="56"/>
      <x:c r="K71" s="56"/>
      <x:c r="L71" s="50"/>
      <x:c r="M71" s="51"/>
    </x:row>
    <x:row r="72">
      <x:c r="A72" s="50"/>
      <x:c r="B72" s="51"/>
      <x:c r="C72" s="52"/>
      <x:c r="D72" s="50"/>
      <x:c r="E72" s="53"/>
      <x:c r="F72" s="53"/>
      <x:c r="G72" s="54" t="str">
        <x:f t="shared" si="2"/>
      </x:c>
      <x:c r="H72" s="55" t="str">
        <x:f t="shared" si="3"/>
      </x:c>
      <x:c r="I72" s="50"/>
      <x:c r="J72" s="56"/>
      <x:c r="K72" s="56"/>
      <x:c r="L72" s="50"/>
      <x:c r="M72" s="51"/>
    </x:row>
    <x:row r="73">
      <x:c r="A73" s="50"/>
      <x:c r="B73" s="51"/>
      <x:c r="C73" s="52"/>
      <x:c r="D73" s="50"/>
      <x:c r="E73" s="53"/>
      <x:c r="F73" s="53"/>
      <x:c r="G73" s="54" t="str">
        <x:f t="shared" si="2"/>
      </x:c>
      <x:c r="H73" s="55" t="str">
        <x:f t="shared" si="3"/>
      </x:c>
      <x:c r="I73" s="50"/>
      <x:c r="J73" s="56"/>
      <x:c r="K73" s="56"/>
      <x:c r="L73" s="50"/>
      <x:c r="M73" s="51"/>
    </x:row>
    <x:row r="74">
      <x:c r="A74" s="50"/>
      <x:c r="B74" s="51"/>
      <x:c r="C74" s="52"/>
      <x:c r="D74" s="50"/>
      <x:c r="E74" s="53"/>
      <x:c r="F74" s="53"/>
      <x:c r="G74" s="54" t="str">
        <x:f t="shared" si="2"/>
      </x:c>
      <x:c r="H74" s="55" t="str">
        <x:f t="shared" si="3"/>
      </x:c>
      <x:c r="I74" s="50"/>
      <x:c r="J74" s="56"/>
      <x:c r="K74" s="56"/>
      <x:c r="L74" s="50"/>
      <x:c r="M74" s="51"/>
    </x:row>
    <x:row r="75">
      <x:c r="A75" s="50"/>
      <x:c r="B75" s="51"/>
      <x:c r="C75" s="52"/>
      <x:c r="D75" s="50"/>
      <x:c r="E75" s="53"/>
      <x:c r="F75" s="53"/>
      <x:c r="G75" s="54" t="str">
        <x:f t="shared" si="2"/>
      </x:c>
      <x:c r="H75" s="55" t="str">
        <x:f t="shared" si="3"/>
      </x:c>
      <x:c r="I75" s="50"/>
      <x:c r="J75" s="56"/>
      <x:c r="K75" s="56"/>
      <x:c r="L75" s="50"/>
      <x:c r="M75" s="51"/>
    </x:row>
    <x:row r="76">
      <x:c r="A76" s="50"/>
      <x:c r="B76" s="51"/>
      <x:c r="C76" s="52"/>
      <x:c r="D76" s="50"/>
      <x:c r="E76" s="53"/>
      <x:c r="F76" s="53"/>
      <x:c r="G76" s="54" t="str">
        <x:f t="shared" si="2"/>
      </x:c>
      <x:c r="H76" s="55" t="str">
        <x:f t="shared" si="3"/>
      </x:c>
      <x:c r="I76" s="50"/>
      <x:c r="J76" s="56"/>
      <x:c r="K76" s="56"/>
      <x:c r="L76" s="50"/>
      <x:c r="M76" s="51"/>
    </x:row>
    <x:row r="77">
      <x:c r="A77" s="50"/>
      <x:c r="B77" s="51"/>
      <x:c r="C77" s="52"/>
      <x:c r="D77" s="50"/>
      <x:c r="E77" s="53"/>
      <x:c r="F77" s="53"/>
      <x:c r="G77" s="54" t="str">
        <x:f t="shared" si="2"/>
      </x:c>
      <x:c r="H77" s="55" t="str">
        <x:f t="shared" si="3"/>
      </x:c>
      <x:c r="I77" s="50"/>
      <x:c r="J77" s="56"/>
      <x:c r="K77" s="56"/>
      <x:c r="L77" s="50"/>
      <x:c r="M77" s="51"/>
    </x:row>
    <x:row r="78">
      <x:c r="A78" s="50"/>
      <x:c r="B78" s="51"/>
      <x:c r="C78" s="52"/>
      <x:c r="D78" s="50"/>
      <x:c r="E78" s="53"/>
      <x:c r="F78" s="53"/>
      <x:c r="G78" s="54" t="str">
        <x:f t="shared" si="2"/>
      </x:c>
      <x:c r="H78" s="55" t="str">
        <x:f t="shared" si="3"/>
      </x:c>
      <x:c r="I78" s="50"/>
      <x:c r="J78" s="56"/>
      <x:c r="K78" s="56"/>
      <x:c r="L78" s="50"/>
      <x:c r="M78" s="51"/>
    </x:row>
    <x:row r="79">
      <x:c r="A79" s="50"/>
      <x:c r="B79" s="51"/>
      <x:c r="C79" s="52"/>
      <x:c r="D79" s="50"/>
      <x:c r="E79" s="53"/>
      <x:c r="F79" s="53"/>
      <x:c r="G79" s="54" t="str">
        <x:f t="shared" si="2"/>
      </x:c>
      <x:c r="H79" s="55" t="str">
        <x:f t="shared" si="3"/>
      </x:c>
      <x:c r="I79" s="50"/>
      <x:c r="J79" s="56"/>
      <x:c r="K79" s="56"/>
      <x:c r="L79" s="50"/>
      <x:c r="M79" s="51"/>
    </x:row>
    <x:row r="80">
      <x:c r="A80" s="50"/>
      <x:c r="B80" s="51"/>
      <x:c r="C80" s="52"/>
      <x:c r="D80" s="50"/>
      <x:c r="E80" s="53"/>
      <x:c r="F80" s="53"/>
      <x:c r="G80" s="54" t="str">
        <x:f t="shared" si="2"/>
      </x:c>
      <x:c r="H80" s="55" t="str">
        <x:f t="shared" si="3"/>
      </x:c>
      <x:c r="I80" s="50"/>
      <x:c r="J80" s="56"/>
      <x:c r="K80" s="56"/>
      <x:c r="L80" s="50"/>
      <x:c r="M80" s="51"/>
    </x:row>
    <x:row r="81">
      <x:c r="A81" s="50"/>
      <x:c r="B81" s="51"/>
      <x:c r="C81" s="52"/>
      <x:c r="D81" s="50"/>
      <x:c r="E81" s="53"/>
      <x:c r="F81" s="53"/>
      <x:c r="G81" s="54" t="str">
        <x:f t="shared" si="2"/>
      </x:c>
      <x:c r="H81" s="55" t="str">
        <x:f t="shared" si="3"/>
      </x:c>
      <x:c r="I81" s="50"/>
      <x:c r="J81" s="56"/>
      <x:c r="K81" s="56"/>
      <x:c r="L81" s="50"/>
      <x:c r="M81" s="51"/>
    </x:row>
    <x:row r="82">
      <x:c r="A82" s="50"/>
      <x:c r="B82" s="51"/>
      <x:c r="C82" s="52"/>
      <x:c r="D82" s="50"/>
      <x:c r="E82" s="53"/>
      <x:c r="F82" s="53"/>
      <x:c r="G82" s="54" t="str">
        <x:f t="shared" si="2"/>
      </x:c>
      <x:c r="H82" s="55" t="str">
        <x:f t="shared" si="3"/>
      </x:c>
      <x:c r="I82" s="50"/>
      <x:c r="J82" s="56"/>
      <x:c r="K82" s="56"/>
      <x:c r="L82" s="50"/>
      <x:c r="M82" s="51"/>
    </x:row>
    <x:row r="83">
      <x:c r="A83" s="50"/>
      <x:c r="B83" s="51"/>
      <x:c r="C83" s="52"/>
      <x:c r="D83" s="50"/>
      <x:c r="E83" s="53"/>
      <x:c r="F83" s="53"/>
      <x:c r="G83" s="54" t="str">
        <x:f t="shared" si="2"/>
      </x:c>
      <x:c r="H83" s="55" t="str">
        <x:f t="shared" si="3"/>
      </x:c>
      <x:c r="I83" s="50"/>
      <x:c r="J83" s="56"/>
      <x:c r="K83" s="56"/>
      <x:c r="L83" s="50"/>
      <x:c r="M83" s="51"/>
    </x:row>
    <x:row r="84">
      <x:c r="A84" s="50"/>
      <x:c r="B84" s="51"/>
      <x:c r="C84" s="52"/>
      <x:c r="D84" s="50"/>
      <x:c r="E84" s="53"/>
      <x:c r="F84" s="53"/>
      <x:c r="G84" s="54" t="str">
        <x:f t="shared" si="2"/>
      </x:c>
      <x:c r="H84" s="55" t="str">
        <x:f t="shared" si="3"/>
      </x:c>
      <x:c r="I84" s="50"/>
      <x:c r="J84" s="56"/>
      <x:c r="K84" s="56"/>
      <x:c r="L84" s="50"/>
      <x:c r="M84" s="51"/>
    </x:row>
    <x:row r="85">
      <x:c r="A85" s="50"/>
      <x:c r="B85" s="51"/>
      <x:c r="C85" s="52"/>
      <x:c r="D85" s="50"/>
      <x:c r="E85" s="53"/>
      <x:c r="F85" s="53"/>
      <x:c r="G85" s="54" t="str">
        <x:f t="shared" si="2"/>
      </x:c>
      <x:c r="H85" s="55" t="str">
        <x:f t="shared" si="3"/>
      </x:c>
      <x:c r="I85" s="50"/>
      <x:c r="J85" s="56"/>
      <x:c r="K85" s="56"/>
      <x:c r="L85" s="50"/>
      <x:c r="M85" s="51"/>
    </x:row>
    <x:row r="86">
      <x:c r="A86" s="50"/>
      <x:c r="B86" s="51"/>
      <x:c r="C86" s="52"/>
      <x:c r="D86" s="50"/>
      <x:c r="E86" s="53"/>
      <x:c r="F86" s="53"/>
      <x:c r="G86" s="54" t="str">
        <x:f t="shared" si="2"/>
      </x:c>
      <x:c r="H86" s="55" t="str">
        <x:f t="shared" si="3"/>
      </x:c>
      <x:c r="I86" s="50"/>
      <x:c r="J86" s="56"/>
      <x:c r="K86" s="56"/>
      <x:c r="L86" s="50"/>
      <x:c r="M86" s="51"/>
    </x:row>
    <x:row r="87">
      <x:c r="A87" s="50"/>
      <x:c r="B87" s="51"/>
      <x:c r="C87" s="52"/>
      <x:c r="D87" s="50"/>
      <x:c r="E87" s="53"/>
      <x:c r="F87" s="53"/>
      <x:c r="G87" s="54" t="str">
        <x:f t="shared" si="2"/>
      </x:c>
      <x:c r="H87" s="55" t="str">
        <x:f t="shared" si="3"/>
      </x:c>
      <x:c r="I87" s="50"/>
      <x:c r="J87" s="56"/>
      <x:c r="K87" s="56"/>
      <x:c r="L87" s="50"/>
      <x:c r="M87" s="51"/>
    </x:row>
    <x:row r="88">
      <x:c r="A88" s="50"/>
      <x:c r="B88" s="51"/>
      <x:c r="C88" s="52"/>
      <x:c r="D88" s="50"/>
      <x:c r="E88" s="53"/>
      <x:c r="F88" s="53"/>
      <x:c r="G88" s="54" t="str">
        <x:f t="shared" si="2"/>
      </x:c>
      <x:c r="H88" s="55" t="str">
        <x:f t="shared" si="3"/>
      </x:c>
      <x:c r="I88" s="50"/>
      <x:c r="J88" s="56"/>
      <x:c r="K88" s="56"/>
      <x:c r="L88" s="50"/>
      <x:c r="M88" s="51"/>
    </x:row>
    <x:row r="89">
      <x:c r="A89" s="50"/>
      <x:c r="B89" s="51"/>
      <x:c r="C89" s="52"/>
      <x:c r="D89" s="50"/>
      <x:c r="E89" s="53"/>
      <x:c r="F89" s="53"/>
      <x:c r="G89" s="54" t="str">
        <x:f t="shared" si="2"/>
      </x:c>
      <x:c r="H89" s="55" t="str">
        <x:f t="shared" si="3"/>
      </x:c>
      <x:c r="I89" s="50"/>
      <x:c r="J89" s="56"/>
      <x:c r="K89" s="56"/>
      <x:c r="L89" s="50"/>
      <x:c r="M89" s="51"/>
    </x:row>
    <x:row r="90">
      <x:c r="A90" s="50"/>
      <x:c r="B90" s="51"/>
      <x:c r="C90" s="52"/>
      <x:c r="D90" s="50"/>
      <x:c r="E90" s="53"/>
      <x:c r="F90" s="53"/>
      <x:c r="G90" s="54" t="str">
        <x:f t="shared" si="2"/>
      </x:c>
      <x:c r="H90" s="55" t="str">
        <x:f t="shared" si="3"/>
      </x:c>
      <x:c r="I90" s="50"/>
      <x:c r="J90" s="56"/>
      <x:c r="K90" s="56"/>
      <x:c r="L90" s="50"/>
      <x:c r="M90" s="51"/>
    </x:row>
    <x:row r="91">
      <x:c r="A91" s="50"/>
      <x:c r="B91" s="51"/>
      <x:c r="C91" s="52"/>
      <x:c r="D91" s="50"/>
      <x:c r="E91" s="53"/>
      <x:c r="F91" s="53"/>
      <x:c r="G91" s="54" t="str">
        <x:f t="shared" si="2"/>
      </x:c>
      <x:c r="H91" s="55" t="str">
        <x:f t="shared" si="3"/>
      </x:c>
      <x:c r="I91" s="50"/>
      <x:c r="J91" s="56"/>
      <x:c r="K91" s="56"/>
      <x:c r="L91" s="50"/>
      <x:c r="M91" s="51"/>
    </x:row>
    <x:row r="92">
      <x:c r="A92" s="50"/>
      <x:c r="B92" s="51"/>
      <x:c r="C92" s="52"/>
      <x:c r="D92" s="50"/>
      <x:c r="E92" s="53"/>
      <x:c r="F92" s="53"/>
      <x:c r="G92" s="54" t="str">
        <x:f t="shared" si="2"/>
      </x:c>
      <x:c r="H92" s="55" t="str">
        <x:f t="shared" si="3"/>
      </x:c>
      <x:c r="I92" s="50"/>
      <x:c r="J92" s="56"/>
      <x:c r="K92" s="56"/>
      <x:c r="L92" s="50"/>
      <x:c r="M92" s="51"/>
    </x:row>
    <x:row r="93">
      <x:c r="A93" s="50"/>
      <x:c r="B93" s="51"/>
      <x:c r="C93" s="52"/>
      <x:c r="D93" s="50"/>
      <x:c r="E93" s="53"/>
      <x:c r="F93" s="53"/>
      <x:c r="G93" s="54" t="str">
        <x:f t="shared" si="2"/>
      </x:c>
      <x:c r="H93" s="55" t="str">
        <x:f t="shared" si="3"/>
      </x:c>
      <x:c r="I93" s="50"/>
      <x:c r="J93" s="56"/>
      <x:c r="K93" s="56"/>
      <x:c r="L93" s="50"/>
      <x:c r="M93" s="51"/>
    </x:row>
    <x:row r="94">
      <x:c r="A94" s="50"/>
      <x:c r="B94" s="51"/>
      <x:c r="C94" s="52"/>
      <x:c r="D94" s="50"/>
      <x:c r="E94" s="53"/>
      <x:c r="F94" s="53"/>
      <x:c r="G94" s="54" t="str">
        <x:f t="shared" si="2"/>
      </x:c>
      <x:c r="H94" s="55" t="str">
        <x:f t="shared" si="3"/>
      </x:c>
      <x:c r="I94" s="50"/>
      <x:c r="J94" s="56"/>
      <x:c r="K94" s="56"/>
      <x:c r="L94" s="50"/>
      <x:c r="M94" s="51"/>
    </x:row>
    <x:row r="95">
      <x:c r="A95" s="50"/>
      <x:c r="B95" s="51"/>
      <x:c r="C95" s="52"/>
      <x:c r="D95" s="50"/>
      <x:c r="E95" s="53"/>
      <x:c r="F95" s="53"/>
      <x:c r="G95" s="54" t="str">
        <x:f t="shared" si="2"/>
      </x:c>
      <x:c r="H95" s="55" t="str">
        <x:f t="shared" si="3"/>
      </x:c>
      <x:c r="I95" s="50"/>
      <x:c r="J95" s="56"/>
      <x:c r="K95" s="56"/>
      <x:c r="L95" s="50"/>
      <x:c r="M95" s="51"/>
    </x:row>
    <x:row r="96">
      <x:c r="A96" s="50"/>
      <x:c r="B96" s="51"/>
      <x:c r="C96" s="52"/>
      <x:c r="D96" s="50"/>
      <x:c r="E96" s="53"/>
      <x:c r="F96" s="53"/>
      <x:c r="G96" s="54" t="str">
        <x:f t="shared" si="2"/>
      </x:c>
      <x:c r="H96" s="55" t="str">
        <x:f t="shared" si="3"/>
      </x:c>
      <x:c r="I96" s="50"/>
      <x:c r="J96" s="56"/>
      <x:c r="K96" s="56"/>
      <x:c r="L96" s="50"/>
      <x:c r="M96" s="51"/>
    </x:row>
    <x:row r="97">
      <x:c r="A97" s="50"/>
      <x:c r="B97" s="51"/>
      <x:c r="C97" s="52"/>
      <x:c r="D97" s="50"/>
      <x:c r="E97" s="53"/>
      <x:c r="F97" s="53"/>
      <x:c r="G97" s="54" t="str">
        <x:f t="shared" si="2"/>
      </x:c>
      <x:c r="H97" s="55" t="str">
        <x:f t="shared" si="3"/>
      </x:c>
      <x:c r="I97" s="50"/>
      <x:c r="J97" s="56"/>
      <x:c r="K97" s="56"/>
      <x:c r="L97" s="50"/>
      <x:c r="M97" s="51"/>
    </x:row>
    <x:row r="98">
      <x:c r="A98" s="50"/>
      <x:c r="B98" s="51"/>
      <x:c r="C98" s="52"/>
      <x:c r="D98" s="50"/>
      <x:c r="E98" s="53"/>
      <x:c r="F98" s="53"/>
      <x:c r="G98" s="54" t="str">
        <x:f t="shared" si="2"/>
      </x:c>
      <x:c r="H98" s="55" t="str">
        <x:f t="shared" si="3"/>
      </x:c>
      <x:c r="I98" s="50"/>
      <x:c r="J98" s="56"/>
      <x:c r="K98" s="56"/>
      <x:c r="L98" s="50"/>
      <x:c r="M98" s="51"/>
    </x:row>
    <x:row r="99">
      <x:c r="A99" s="50"/>
      <x:c r="B99" s="51"/>
      <x:c r="C99" s="52"/>
      <x:c r="D99" s="50"/>
      <x:c r="E99" s="53"/>
      <x:c r="F99" s="53"/>
      <x:c r="G99" s="54" t="str">
        <x:f t="shared" si="2"/>
      </x:c>
      <x:c r="H99" s="55" t="str">
        <x:f t="shared" si="3"/>
      </x:c>
      <x:c r="I99" s="50"/>
      <x:c r="J99" s="56"/>
      <x:c r="K99" s="56"/>
      <x:c r="L99" s="50"/>
      <x:c r="M99" s="51"/>
    </x:row>
    <x:row r="100">
      <x:c r="A100" s="50"/>
      <x:c r="B100" s="51"/>
      <x:c r="C100" s="52"/>
      <x:c r="D100" s="50"/>
      <x:c r="E100" s="53"/>
      <x:c r="F100" s="53"/>
      <x:c r="G100" s="54" t="str">
        <x:f t="shared" si="2"/>
      </x:c>
      <x:c r="H100" s="55" t="str">
        <x:f t="shared" si="3"/>
      </x:c>
      <x:c r="I100" s="50"/>
      <x:c r="J100" s="56"/>
      <x:c r="K100" s="56"/>
      <x:c r="L100" s="50"/>
      <x:c r="M100" s="51"/>
    </x:row>
    <x:row r="101">
      <x:c r="A101" s="50"/>
      <x:c r="B101" s="51"/>
      <x:c r="C101" s="52"/>
      <x:c r="D101" s="50"/>
      <x:c r="E101" s="53"/>
      <x:c r="F101" s="53"/>
      <x:c r="G101" s="54" t="str">
        <x:f t="shared" si="2"/>
      </x:c>
      <x:c r="H101" s="55" t="str">
        <x:f t="shared" si="3"/>
      </x:c>
      <x:c r="I101" s="50"/>
      <x:c r="J101" s="56"/>
      <x:c r="K101" s="56"/>
      <x:c r="L101" s="50"/>
      <x:c r="M101" s="51"/>
    </x:row>
    <x:row r="102">
      <x:c r="A102" s="50"/>
      <x:c r="B102" s="51"/>
      <x:c r="C102" s="52"/>
      <x:c r="D102" s="50"/>
      <x:c r="E102" s="53"/>
      <x:c r="F102" s="53"/>
      <x:c r="G102" s="54" t="str">
        <x:f t="shared" si="2"/>
      </x:c>
      <x:c r="H102" s="55" t="str">
        <x:f t="shared" si="3"/>
      </x:c>
      <x:c r="I102" s="50"/>
      <x:c r="J102" s="56"/>
      <x:c r="K102" s="56"/>
      <x:c r="L102" s="50"/>
      <x:c r="M102" s="51"/>
    </x:row>
    <x:row r="103">
      <x:c r="A103" s="50"/>
      <x:c r="B103" s="51"/>
      <x:c r="C103" s="52"/>
      <x:c r="D103" s="50"/>
      <x:c r="E103" s="53"/>
      <x:c r="F103" s="53"/>
      <x:c r="G103" s="54" t="str">
        <x:f t="shared" si="2"/>
      </x:c>
      <x:c r="H103" s="55" t="str">
        <x:f t="shared" si="3"/>
      </x:c>
      <x:c r="I103" s="50"/>
      <x:c r="J103" s="56"/>
      <x:c r="K103" s="56"/>
      <x:c r="L103" s="50"/>
      <x:c r="M103" s="51"/>
    </x:row>
    <x:row r="104">
      <x:c r="A104" s="50"/>
      <x:c r="B104" s="51"/>
      <x:c r="C104" s="52"/>
      <x:c r="D104" s="50"/>
      <x:c r="E104" s="53"/>
      <x:c r="F104" s="53"/>
      <x:c r="G104" s="54" t="str">
        <x:f t="shared" si="2"/>
      </x:c>
      <x:c r="H104" s="55" t="str">
        <x:f t="shared" si="3"/>
      </x:c>
      <x:c r="I104" s="50"/>
      <x:c r="J104" s="56"/>
      <x:c r="K104" s="56"/>
      <x:c r="L104" s="50"/>
      <x:c r="M104" s="51"/>
    </x:row>
    <x:row r="105">
      <x:c r="A105" s="50"/>
      <x:c r="B105" s="51"/>
      <x:c r="C105" s="52"/>
      <x:c r="D105" s="50"/>
      <x:c r="E105" s="53"/>
      <x:c r="F105" s="53"/>
      <x:c r="G105" s="54" t="str">
        <x:f t="shared" si="2"/>
      </x:c>
      <x:c r="H105" s="55" t="str">
        <x:f t="shared" si="3"/>
      </x:c>
      <x:c r="I105" s="50"/>
      <x:c r="J105" s="56"/>
      <x:c r="K105" s="56"/>
      <x:c r="L105" s="50"/>
      <x:c r="M105" s="51"/>
    </x:row>
  </x:sheetData>
  <x:mergeCells>
    <x:mergeCell ref="A1:M1"/>
    <x:mergeCell ref="A2:M2"/>
    <x:mergeCell ref="A3:M3"/>
  </x:mergeCells>
  <x:conditionalFormatting sqref="G6:G105">
    <x:cfRule type="dataBar" priority="1">
      <x:dataBar>
        <x:cfvo type="min"/>
        <x:cfvo type="max"/>
        <x:color rgb="FFE8F4F4"/>
      </x:dataBar>
    </x:cfRule>
    <x:cfRule type="dataBar" priority="2">
      <x:dataBar>
        <x:cfvo type="min"/>
        <x:cfvo type="max"/>
        <x:color rgb="FFE8F4F4"/>
      </x:dataBar>
    </x:cfRule>
    <x:cfRule type="dataBar" priority="4">
      <x:dataBar>
        <x:cfvo type="min"/>
        <x:cfvo type="max"/>
        <x:color rgb="FFE8F4F4"/>
      </x:dataBar>
    </x:cfRule>
    <x:cfRule type="dataBar" priority="6">
      <x:dataBar>
        <x:cfvo type="min"/>
        <x:cfvo type="max"/>
        <x:color rgb="FFE8F4F4"/>
      </x:dataBar>
    </x:cfRule>
    <x:cfRule type="dataBar" priority="8">
      <x:dataBar>
        <x:cfvo type="min"/>
        <x:cfvo type="max"/>
        <x:color rgb="FFE8F4F4"/>
      </x:dataBar>
    </x:cfRule>
    <x:cfRule type="dataBar" priority="10">
      <x:dataBar>
        <x:cfvo type="min"/>
        <x:cfvo type="max"/>
        <x:color rgb="FFE8F4F4"/>
      </x:dataBar>
    </x:cfRule>
    <x:cfRule type="dataBar" priority="12">
      <x:dataBar>
        <x:cfvo type="min"/>
        <x:cfvo type="max"/>
        <x:color rgb="FFE8F4F4"/>
      </x:dataBar>
    </x:cfRule>
    <x:cfRule type="dataBar" priority="14">
      <x:dataBar>
        <x:cfvo type="min"/>
        <x:cfvo type="max"/>
        <x:color rgb="FFE8F4F4"/>
      </x:dataBar>
      <x:extLst>
        <x:ext xmlns:x14="http://schemas.microsoft.com/office/spreadsheetml/2009/9/main" uri="{B025F937-C7B1-47D3-B67F-A62EFF666E3E}">
          <x14:id>{1BDB8642-C99B-45A4-A39A-F48C122B76D7}</x14:id>
        </x:ext>
      </x:extLst>
    </x:cfRule>
  </x:conditionalFormatting>
  <x:conditionalFormatting sqref="H6:H105">
    <x:cfRule type="dataBar" priority="3">
      <x:dataBar>
        <x:cfvo type="min"/>
        <x:cfvo type="max"/>
        <x:color rgb="FF175B72"/>
      </x:dataBar>
    </x:cfRule>
    <x:cfRule type="dataBar" priority="5">
      <x:dataBar>
        <x:cfvo type="min"/>
        <x:cfvo type="max"/>
        <x:color rgb="FF175B72"/>
      </x:dataBar>
    </x:cfRule>
    <x:cfRule type="dataBar" priority="7">
      <x:dataBar>
        <x:cfvo type="min"/>
        <x:cfvo type="max"/>
        <x:color rgb="FF175B72"/>
      </x:dataBar>
    </x:cfRule>
    <x:cfRule type="dataBar" priority="9">
      <x:dataBar>
        <x:cfvo type="min"/>
        <x:cfvo type="max"/>
        <x:color rgb="FF175B72"/>
      </x:dataBar>
    </x:cfRule>
    <x:cfRule type="dataBar" priority="11">
      <x:dataBar>
        <x:cfvo type="min"/>
        <x:cfvo type="max"/>
        <x:color rgb="FF175B72"/>
      </x:dataBar>
    </x:cfRule>
    <x:cfRule type="dataBar" priority="13">
      <x:dataBar>
        <x:cfvo type="min"/>
        <x:cfvo type="max"/>
        <x:color rgb="FF175B72"/>
      </x:dataBar>
    </x:cfRule>
    <x:cfRule type="dataBar" priority="15">
      <x:dataBar>
        <x:cfvo type="min"/>
        <x:cfvo type="max"/>
        <x:color rgb="FF175B72"/>
      </x:dataBar>
      <x:extLst>
        <x:ext xmlns:x14="http://schemas.microsoft.com/office/spreadsheetml/2009/9/main" uri="{B025F937-C7B1-47D3-B67F-A62EFF666E3E}">
          <x14:id>{CB30F313-E5F9-4971-AD65-553A1399BD80}</x14:id>
        </x:ext>
      </x:extLst>
    </x:cfRule>
  </x:conditionalFormatting>
  <x:dataValidations count="3">
    <x:dataValidation type="list" sqref="D6:D105">
      <x:formula1>"Januari,Februari,Maret,April,Mei,Juni,Juli,Agustus,September,Oktober,November,Desember"</x:formula1>
    </x:dataValidation>
    <x:dataValidation type="list" sqref="I6:I105">
      <x:formula1>"Belum Diverifikasi,Sudah Diverifikasi"</x:formula1>
    </x:dataValidation>
    <x:dataValidation type="list" sqref="G6:H105">
      <x:formula1>"Belum Diverifikasi,Terverifikasi,Perlu Perbaikan"</x:formula1>
    </x:dataValidation>
  </x:dataValidations>
  <x:pageMargins left="0.7" right="0.7" top="0.75" bottom="0.75" header="0.3" footer="0.3"/>
  <x:tableParts count="1">
    <x:tablePart xmlns:r="http://schemas.openxmlformats.org/officeDocument/2006/relationships" r:id="Rd6613e3ae15143c4"/>
  </x:tableParts>
  <x:extLst>
    <x:ext xmlns:x14="http://schemas.microsoft.com/office/spreadsheetml/2009/9/main" xmlns:xm="http://schemas.microsoft.com/office/excel/2006/main" uri="{78C0D931-6437-407d-A8EE-F0AAD7539E65}">
      <x14:conditionalFormattings>
        <x14:conditionalFormatting>
          <x14:cfRule type="dataBar" priority="14" id="{1BDB8642-C99B-45A4-A39A-F48C122B76D7}">
            <x14:dataBar>
              <x14:cfvo type="min"/>
              <x14:cfvo type="max"/>
              <x14:fillColor rgb="FFE8F4F4"/>
              <x14:negativeFillColor auto="1"/>
              <x14:axisColor auto="1"/>
            </x14:dataBar>
          </x14:cfRule>
          <xm:sqref>G6:G105</xm:sqref>
        </x14:conditionalFormatting>
        <x14:conditionalFormatting>
          <x14:cfRule type="dataBar" priority="15" id="{CB30F313-E5F9-4971-AD65-553A1399BD80}">
            <x14:dataBar>
              <x14:cfvo type="min"/>
              <x14:cfvo type="max"/>
              <x14:fillColor rgb="FF175B72"/>
              <x14:negativeFillColor auto="1"/>
              <x14:axisColor auto="1"/>
            </x14:dataBar>
          </x14:cfRule>
          <xm:sqref>H6:H105</xm:sqref>
        </x14:conditionalFormatting>
      </x14:conditionalFormattings>
    </x:ext>
  </x:extLst>
</x:worksheet>
</file>

<file path=xl/worksheets/sheet9.xml><?xml version="1.0" encoding="utf-8"?>
<x:worksheet xmlns:x="http://schemas.openxmlformats.org/spreadsheetml/2006/main">
  <x:sheetFormatPr defaultRowHeight="14"/>
  <x:cols>
    <x:col min="1" max="1" width="16" customWidth="1"/>
    <x:col min="2" max="3" width="28" customWidth="1"/>
    <x:col min="4" max="4" width="24" customWidth="1"/>
    <x:col min="5" max="5" width="22" customWidth="1"/>
    <x:col min="6" max="6" width="14" style="57" customWidth="1"/>
    <x:col min="7" max="7" width="36" customWidth="1"/>
    <x:col min="8" max="8" width="24" customWidth="1"/>
    <x:col min="9" max="9" width="20" customWidth="1"/>
    <x:col min="10" max="10" width="13" customWidth="1"/>
    <x:col min="11" max="11" width="30" customWidth="1"/>
    <x:col min="12" max="12" width="20" customWidth="1"/>
    <x:col min="13" max="13" width="16" customWidth="1"/>
    <x:col min="14" max="14" width="20" customWidth="1"/>
  </x:cols>
  <x:sheetData>
    <x:row r="1" ht="23">
      <x:c r="A1" s="258" t="s">
        <x:v>2593</x:v>
      </x:c>
      <x:c r="B1" s="258"/>
      <x:c r="C1" s="258"/>
      <x:c r="D1" s="258"/>
      <x:c r="E1" s="258"/>
      <x:c r="F1" s="258"/>
      <x:c r="G1" s="258"/>
      <x:c r="H1" s="258"/>
      <x:c r="I1" s="258"/>
      <x:c r="J1" s="258"/>
      <x:c r="K1" s="258"/>
      <x:c r="L1" s="258"/>
      <x:c r="M1" s="258"/>
      <x:c r="N1" s="258"/>
    </x:row>
    <x:row r="2">
      <x:c r="A2" s="260" t="s">
        <x:v>2594</x:v>
      </x:c>
      <x:c r="B2" s="260"/>
      <x:c r="C2" s="260"/>
      <x:c r="D2" s="260"/>
      <x:c r="E2" s="260"/>
      <x:c r="F2" s="260"/>
      <x:c r="G2" s="260"/>
      <x:c r="H2" s="260"/>
      <x:c r="I2" s="260"/>
      <x:c r="J2" s="260"/>
      <x:c r="K2" s="260"/>
      <x:c r="L2" s="260"/>
      <x:c r="M2" s="260"/>
      <x:c r="N2" s="260"/>
    </x:row>
    <x:row r="3">
      <x:c r="A3" s="261" t="s">
        <x:v>1366</x:v>
      </x:c>
      <x:c r="B3" s="261"/>
      <x:c r="C3" s="261"/>
      <x:c r="D3" s="261"/>
      <x:c r="E3" s="261"/>
      <x:c r="F3" s="261"/>
      <x:c r="G3" s="261"/>
      <x:c r="H3" s="261"/>
      <x:c r="I3" s="261"/>
      <x:c r="J3" s="261"/>
      <x:c r="K3" s="261"/>
      <x:c r="L3" s="261"/>
      <x:c r="M3" s="261"/>
      <x:c r="N3" s="261"/>
    </x:row>
    <x:row r="5" ht="26">
      <x:c r="A5" s="1" t="s">
        <x:v>2595</x:v>
      </x:c>
      <x:c r="B5" s="2" t="s">
        <x:v>2339</x:v>
      </x:c>
      <x:c r="C5" s="2" t="s">
        <x:v>2596</x:v>
      </x:c>
      <x:c r="D5" s="2" t="s">
        <x:v>2597</x:v>
      </x:c>
      <x:c r="E5" s="2" t="s">
        <x:v>2598</x:v>
      </x:c>
      <x:c r="F5" s="58" t="s">
        <x:v>2599</x:v>
      </x:c>
      <x:c r="G5" s="2" t="s">
        <x:v>2600</x:v>
      </x:c>
      <x:c r="H5" s="2" t="s">
        <x:v>2601</x:v>
      </x:c>
      <x:c r="I5" s="2" t="s">
        <x:v>2602</x:v>
      </x:c>
      <x:c r="J5" s="2" t="s">
        <x:v>27</x:v>
      </x:c>
      <x:c r="K5" s="2" t="s">
        <x:v>28</x:v>
      </x:c>
      <x:c r="L5" s="2" t="s">
        <x:v>29</x:v>
      </x:c>
      <x:c r="M5" s="2" t="s">
        <x:v>30</x:v>
      </x:c>
      <x:c r="N5" s="3" t="s">
        <x:v>31</x:v>
      </x:c>
    </x:row>
    <x:row r="6">
      <x:c r="A6" s="27" t="s">
        <x:v>2603</x:v>
      </x:c>
      <x:c r="B6" s="8" t="s">
        <x:v>2347</x:v>
      </x:c>
      <x:c r="C6" s="8" t="s">
        <x:v>2604</x:v>
      </x:c>
      <x:c r="D6" s="4"/>
      <x:c r="E6" s="8" t="s">
        <x:v>2605</x:v>
      </x:c>
      <x:c r="F6" s="8" t="s">
        <x:v>2606</x:v>
      </x:c>
      <x:c r="G6" s="8"/>
      <x:c r="H6" s="8"/>
      <x:c r="I6" s="11"/>
      <x:c r="J6" s="17"/>
      <x:c r="K6" s="8"/>
      <x:c r="L6" s="8"/>
      <x:c r="M6" s="11"/>
      <x:c r="N6" s="30"/>
    </x:row>
    <x:row r="7">
      <x:c r="A7" s="28" t="s">
        <x:v>2607</x:v>
      </x:c>
      <x:c r="B7" s="9" t="s">
        <x:v>2347</x:v>
      </x:c>
      <x:c r="C7" s="9" t="s">
        <x:v>2608</x:v>
      </x:c>
      <x:c r="D7" s="5"/>
      <x:c r="E7" s="9" t="s">
        <x:v>1402</x:v>
      </x:c>
      <x:c r="F7" s="9" t="s">
        <x:v>2606</x:v>
      </x:c>
      <x:c r="G7" s="9"/>
      <x:c r="H7" s="9"/>
      <x:c r="I7" s="12"/>
      <x:c r="J7" s="18"/>
      <x:c r="K7" s="9"/>
      <x:c r="L7" s="9"/>
      <x:c r="M7" s="12"/>
      <x:c r="N7" s="31"/>
    </x:row>
    <x:row r="8">
      <x:c r="A8" s="28" t="s">
        <x:v>2609</x:v>
      </x:c>
      <x:c r="B8" s="9" t="s">
        <x:v>2347</x:v>
      </x:c>
      <x:c r="C8" s="9" t="s">
        <x:v>2610</x:v>
      </x:c>
      <x:c r="D8" s="5"/>
      <x:c r="E8" s="9" t="s">
        <x:v>1433</x:v>
      </x:c>
      <x:c r="F8" s="9" t="s">
        <x:v>2611</x:v>
      </x:c>
      <x:c r="G8" s="9"/>
      <x:c r="H8" s="9"/>
      <x:c r="I8" s="12"/>
      <x:c r="J8" s="18"/>
      <x:c r="K8" s="9"/>
      <x:c r="L8" s="9"/>
      <x:c r="M8" s="12"/>
      <x:c r="N8" s="31"/>
    </x:row>
    <x:row r="9">
      <x:c r="A9" s="28" t="s">
        <x:v>2612</x:v>
      </x:c>
      <x:c r="B9" s="9" t="s">
        <x:v>2347</x:v>
      </x:c>
      <x:c r="C9" s="9" t="s">
        <x:v>2613</x:v>
      </x:c>
      <x:c r="D9" s="5"/>
      <x:c r="E9" s="9" t="s">
        <x:v>2605</x:v>
      </x:c>
      <x:c r="F9" s="9" t="s">
        <x:v>2606</x:v>
      </x:c>
      <x:c r="G9" s="9"/>
      <x:c r="H9" s="9"/>
      <x:c r="I9" s="12"/>
      <x:c r="J9" s="18"/>
      <x:c r="K9" s="9"/>
      <x:c r="L9" s="9"/>
      <x:c r="M9" s="12"/>
      <x:c r="N9" s="31"/>
    </x:row>
    <x:row r="10">
      <x:c r="A10" s="28" t="s">
        <x:v>2614</x:v>
      </x:c>
      <x:c r="B10" s="9" t="s">
        <x:v>2347</x:v>
      </x:c>
      <x:c r="C10" s="9" t="s">
        <x:v>2615</x:v>
      </x:c>
      <x:c r="D10" s="5"/>
      <x:c r="E10" s="9" t="s">
        <x:v>1418</x:v>
      </x:c>
      <x:c r="F10" s="9" t="s">
        <x:v>2606</x:v>
      </x:c>
      <x:c r="G10" s="9"/>
      <x:c r="H10" s="9"/>
      <x:c r="I10" s="12"/>
      <x:c r="J10" s="18"/>
      <x:c r="K10" s="9"/>
      <x:c r="L10" s="9"/>
      <x:c r="M10" s="12"/>
      <x:c r="N10" s="31"/>
    </x:row>
    <x:row r="11">
      <x:c r="A11" s="28" t="s">
        <x:v>2616</x:v>
      </x:c>
      <x:c r="B11" s="9" t="s">
        <x:v>2347</x:v>
      </x:c>
      <x:c r="C11" s="9" t="s">
        <x:v>2617</x:v>
      </x:c>
      <x:c r="D11" s="5"/>
      <x:c r="E11" s="9" t="s">
        <x:v>1418</x:v>
      </x:c>
      <x:c r="F11" s="9" t="s">
        <x:v>2606</x:v>
      </x:c>
      <x:c r="G11" s="9"/>
      <x:c r="H11" s="9"/>
      <x:c r="I11" s="12"/>
      <x:c r="J11" s="18"/>
      <x:c r="K11" s="9"/>
      <x:c r="L11" s="9"/>
      <x:c r="M11" s="12"/>
      <x:c r="N11" s="31"/>
    </x:row>
    <x:row r="12">
      <x:c r="A12" s="28" t="s">
        <x:v>2618</x:v>
      </x:c>
      <x:c r="B12" s="9" t="s">
        <x:v>2347</x:v>
      </x:c>
      <x:c r="C12" s="9" t="s">
        <x:v>2619</x:v>
      </x:c>
      <x:c r="D12" s="5"/>
      <x:c r="E12" s="9" t="s">
        <x:v>2605</x:v>
      </x:c>
      <x:c r="F12" s="9" t="s">
        <x:v>2606</x:v>
      </x:c>
      <x:c r="G12" s="9"/>
      <x:c r="H12" s="9"/>
      <x:c r="I12" s="12"/>
      <x:c r="J12" s="18"/>
      <x:c r="K12" s="9"/>
      <x:c r="L12" s="9"/>
      <x:c r="M12" s="12"/>
      <x:c r="N12" s="31"/>
    </x:row>
    <x:row r="13">
      <x:c r="A13" s="28"/>
      <x:c r="B13" s="9"/>
      <x:c r="C13" s="9"/>
      <x:c r="D13" s="5"/>
      <x:c r="E13" s="9"/>
      <x:c r="F13" s="9"/>
      <x:c r="G13" s="9"/>
      <x:c r="H13" s="9"/>
      <x:c r="I13" s="12"/>
      <x:c r="J13" s="18"/>
      <x:c r="K13" s="9"/>
      <x:c r="L13" s="9"/>
      <x:c r="M13" s="12"/>
      <x:c r="N13" s="31"/>
    </x:row>
    <x:row r="14">
      <x:c r="A14" s="28"/>
      <x:c r="B14" s="9"/>
      <x:c r="C14" s="9"/>
      <x:c r="D14" s="5"/>
      <x:c r="E14" s="9"/>
      <x:c r="F14" s="9"/>
      <x:c r="G14" s="9"/>
      <x:c r="H14" s="9"/>
      <x:c r="I14" s="12"/>
      <x:c r="J14" s="18"/>
      <x:c r="K14" s="9"/>
      <x:c r="L14" s="9"/>
      <x:c r="M14" s="12"/>
      <x:c r="N14" s="31"/>
    </x:row>
    <x:row r="15">
      <x:c r="A15" s="28"/>
      <x:c r="B15" s="9"/>
      <x:c r="C15" s="9"/>
      <x:c r="D15" s="5"/>
      <x:c r="E15" s="9"/>
      <x:c r="F15" s="9"/>
      <x:c r="G15" s="9"/>
      <x:c r="H15" s="9"/>
      <x:c r="I15" s="12"/>
      <x:c r="J15" s="18"/>
      <x:c r="K15" s="9"/>
      <x:c r="L15" s="9"/>
      <x:c r="M15" s="12"/>
      <x:c r="N15" s="31"/>
    </x:row>
    <x:row r="16">
      <x:c r="A16" s="28"/>
      <x:c r="B16" s="9"/>
      <x:c r="C16" s="9"/>
      <x:c r="D16" s="5"/>
      <x:c r="E16" s="9"/>
      <x:c r="F16" s="9"/>
      <x:c r="G16" s="9"/>
      <x:c r="H16" s="9"/>
      <x:c r="I16" s="12"/>
      <x:c r="J16" s="18"/>
      <x:c r="K16" s="9"/>
      <x:c r="L16" s="9"/>
      <x:c r="M16" s="12"/>
      <x:c r="N16" s="31"/>
    </x:row>
    <x:row r="17">
      <x:c r="A17" s="28"/>
      <x:c r="B17" s="9"/>
      <x:c r="C17" s="9"/>
      <x:c r="D17" s="5"/>
      <x:c r="E17" s="9"/>
      <x:c r="F17" s="9"/>
      <x:c r="G17" s="9"/>
      <x:c r="H17" s="9"/>
      <x:c r="I17" s="12"/>
      <x:c r="J17" s="18"/>
      <x:c r="K17" s="9"/>
      <x:c r="L17" s="9"/>
      <x:c r="M17" s="12"/>
      <x:c r="N17" s="31"/>
    </x:row>
    <x:row r="18">
      <x:c r="A18" s="28"/>
      <x:c r="B18" s="9"/>
      <x:c r="C18" s="9"/>
      <x:c r="D18" s="5"/>
      <x:c r="E18" s="9"/>
      <x:c r="F18" s="9"/>
      <x:c r="G18" s="9"/>
      <x:c r="H18" s="9"/>
      <x:c r="I18" s="12"/>
      <x:c r="J18" s="18"/>
      <x:c r="K18" s="9"/>
      <x:c r="L18" s="9"/>
      <x:c r="M18" s="12"/>
      <x:c r="N18" s="31"/>
    </x:row>
    <x:row r="19">
      <x:c r="A19" s="28"/>
      <x:c r="B19" s="9"/>
      <x:c r="C19" s="9"/>
      <x:c r="D19" s="5"/>
      <x:c r="E19" s="9"/>
      <x:c r="F19" s="9"/>
      <x:c r="G19" s="9"/>
      <x:c r="H19" s="9"/>
      <x:c r="I19" s="12"/>
      <x:c r="J19" s="18"/>
      <x:c r="K19" s="9"/>
      <x:c r="L19" s="9"/>
      <x:c r="M19" s="12"/>
      <x:c r="N19" s="31"/>
    </x:row>
    <x:row r="20">
      <x:c r="A20" s="28"/>
      <x:c r="B20" s="9"/>
      <x:c r="C20" s="9"/>
      <x:c r="D20" s="5"/>
      <x:c r="E20" s="9"/>
      <x:c r="F20" s="9"/>
      <x:c r="G20" s="9"/>
      <x:c r="H20" s="9"/>
      <x:c r="I20" s="12"/>
      <x:c r="J20" s="18"/>
      <x:c r="K20" s="9"/>
      <x:c r="L20" s="9"/>
      <x:c r="M20" s="12"/>
      <x:c r="N20" s="31"/>
    </x:row>
    <x:row r="21">
      <x:c r="A21" s="28"/>
      <x:c r="B21" s="9"/>
      <x:c r="C21" s="9"/>
      <x:c r="D21" s="5"/>
      <x:c r="E21" s="9"/>
      <x:c r="F21" s="9"/>
      <x:c r="G21" s="9"/>
      <x:c r="H21" s="9"/>
      <x:c r="I21" s="12"/>
      <x:c r="J21" s="18"/>
      <x:c r="K21" s="9"/>
      <x:c r="L21" s="9"/>
      <x:c r="M21" s="12"/>
      <x:c r="N21" s="31"/>
    </x:row>
    <x:row r="22">
      <x:c r="A22" s="28"/>
      <x:c r="B22" s="9"/>
      <x:c r="C22" s="9"/>
      <x:c r="D22" s="5"/>
      <x:c r="E22" s="9"/>
      <x:c r="F22" s="9"/>
      <x:c r="G22" s="9"/>
      <x:c r="H22" s="9"/>
      <x:c r="I22" s="12"/>
      <x:c r="J22" s="18"/>
      <x:c r="K22" s="9"/>
      <x:c r="L22" s="9"/>
      <x:c r="M22" s="12"/>
      <x:c r="N22" s="31"/>
    </x:row>
    <x:row r="23">
      <x:c r="A23" s="28"/>
      <x:c r="B23" s="9"/>
      <x:c r="C23" s="9"/>
      <x:c r="D23" s="5"/>
      <x:c r="E23" s="9"/>
      <x:c r="F23" s="9"/>
      <x:c r="G23" s="9"/>
      <x:c r="H23" s="9"/>
      <x:c r="I23" s="12"/>
      <x:c r="J23" s="18"/>
      <x:c r="K23" s="9"/>
      <x:c r="L23" s="9"/>
      <x:c r="M23" s="12"/>
      <x:c r="N23" s="31"/>
    </x:row>
    <x:row r="24">
      <x:c r="A24" s="28"/>
      <x:c r="B24" s="9"/>
      <x:c r="C24" s="9"/>
      <x:c r="D24" s="5"/>
      <x:c r="E24" s="9"/>
      <x:c r="F24" s="9"/>
      <x:c r="G24" s="9"/>
      <x:c r="H24" s="9"/>
      <x:c r="I24" s="12"/>
      <x:c r="J24" s="18"/>
      <x:c r="K24" s="9"/>
      <x:c r="L24" s="9"/>
      <x:c r="M24" s="12"/>
      <x:c r="N24" s="31"/>
    </x:row>
    <x:row r="25">
      <x:c r="A25" s="28"/>
      <x:c r="B25" s="9"/>
      <x:c r="C25" s="9"/>
      <x:c r="D25" s="5"/>
      <x:c r="E25" s="9"/>
      <x:c r="F25" s="9"/>
      <x:c r="G25" s="9"/>
      <x:c r="H25" s="9"/>
      <x:c r="I25" s="12"/>
      <x:c r="J25" s="18"/>
      <x:c r="K25" s="9"/>
      <x:c r="L25" s="9"/>
      <x:c r="M25" s="12"/>
      <x:c r="N25" s="31"/>
    </x:row>
    <x:row r="26">
      <x:c r="A26" s="28"/>
      <x:c r="B26" s="9"/>
      <x:c r="C26" s="9"/>
      <x:c r="D26" s="5"/>
      <x:c r="E26" s="9"/>
      <x:c r="F26" s="9"/>
      <x:c r="G26" s="9"/>
      <x:c r="H26" s="9"/>
      <x:c r="I26" s="12"/>
      <x:c r="J26" s="18"/>
      <x:c r="K26" s="9"/>
      <x:c r="L26" s="9"/>
      <x:c r="M26" s="12"/>
      <x:c r="N26" s="31"/>
    </x:row>
    <x:row r="27">
      <x:c r="A27" s="28"/>
      <x:c r="B27" s="9"/>
      <x:c r="C27" s="9"/>
      <x:c r="D27" s="5"/>
      <x:c r="E27" s="9"/>
      <x:c r="F27" s="9"/>
      <x:c r="G27" s="9"/>
      <x:c r="H27" s="9"/>
      <x:c r="I27" s="12"/>
      <x:c r="J27" s="18"/>
      <x:c r="K27" s="9"/>
      <x:c r="L27" s="9"/>
      <x:c r="M27" s="12"/>
      <x:c r="N27" s="31"/>
    </x:row>
    <x:row r="28">
      <x:c r="A28" s="28"/>
      <x:c r="B28" s="9"/>
      <x:c r="C28" s="9"/>
      <x:c r="D28" s="5"/>
      <x:c r="E28" s="9"/>
      <x:c r="F28" s="9"/>
      <x:c r="G28" s="9"/>
      <x:c r="H28" s="9"/>
      <x:c r="I28" s="12"/>
      <x:c r="J28" s="18"/>
      <x:c r="K28" s="9"/>
      <x:c r="L28" s="9"/>
      <x:c r="M28" s="12"/>
      <x:c r="N28" s="31"/>
    </x:row>
    <x:row r="29">
      <x:c r="A29" s="28"/>
      <x:c r="B29" s="9"/>
      <x:c r="C29" s="9"/>
      <x:c r="D29" s="5"/>
      <x:c r="E29" s="9"/>
      <x:c r="F29" s="9"/>
      <x:c r="G29" s="9"/>
      <x:c r="H29" s="9"/>
      <x:c r="I29" s="12"/>
      <x:c r="J29" s="18"/>
      <x:c r="K29" s="9"/>
      <x:c r="L29" s="9"/>
      <x:c r="M29" s="12"/>
      <x:c r="N29" s="31"/>
    </x:row>
    <x:row r="30">
      <x:c r="A30" s="28"/>
      <x:c r="B30" s="9"/>
      <x:c r="C30" s="9"/>
      <x:c r="D30" s="5"/>
      <x:c r="E30" s="9"/>
      <x:c r="F30" s="9"/>
      <x:c r="G30" s="9"/>
      <x:c r="H30" s="9"/>
      <x:c r="I30" s="12"/>
      <x:c r="J30" s="18"/>
      <x:c r="K30" s="9"/>
      <x:c r="L30" s="9"/>
      <x:c r="M30" s="12"/>
      <x:c r="N30" s="31"/>
    </x:row>
    <x:row r="31">
      <x:c r="A31" s="28"/>
      <x:c r="B31" s="9"/>
      <x:c r="C31" s="9"/>
      <x:c r="D31" s="5"/>
      <x:c r="E31" s="9"/>
      <x:c r="F31" s="9"/>
      <x:c r="G31" s="9"/>
      <x:c r="H31" s="9"/>
      <x:c r="I31" s="12"/>
      <x:c r="J31" s="18"/>
      <x:c r="K31" s="9"/>
      <x:c r="L31" s="9"/>
      <x:c r="M31" s="12"/>
      <x:c r="N31" s="31"/>
    </x:row>
    <x:row r="32">
      <x:c r="A32" s="28"/>
      <x:c r="B32" s="9"/>
      <x:c r="C32" s="9"/>
      <x:c r="D32" s="5"/>
      <x:c r="E32" s="9"/>
      <x:c r="F32" s="9"/>
      <x:c r="G32" s="9"/>
      <x:c r="H32" s="9"/>
      <x:c r="I32" s="12"/>
      <x:c r="J32" s="18"/>
      <x:c r="K32" s="9"/>
      <x:c r="L32" s="9"/>
      <x:c r="M32" s="12"/>
      <x:c r="N32" s="31"/>
    </x:row>
    <x:row r="33">
      <x:c r="A33" s="28"/>
      <x:c r="B33" s="9"/>
      <x:c r="C33" s="9"/>
      <x:c r="D33" s="5"/>
      <x:c r="E33" s="9"/>
      <x:c r="F33" s="9"/>
      <x:c r="G33" s="9"/>
      <x:c r="H33" s="9"/>
      <x:c r="I33" s="12"/>
      <x:c r="J33" s="18"/>
      <x:c r="K33" s="9"/>
      <x:c r="L33" s="9"/>
      <x:c r="M33" s="12"/>
      <x:c r="N33" s="31"/>
    </x:row>
    <x:row r="34">
      <x:c r="A34" s="28"/>
      <x:c r="B34" s="9"/>
      <x:c r="C34" s="9"/>
      <x:c r="D34" s="5"/>
      <x:c r="E34" s="9"/>
      <x:c r="F34" s="9"/>
      <x:c r="G34" s="9"/>
      <x:c r="H34" s="9"/>
      <x:c r="I34" s="12"/>
      <x:c r="J34" s="18"/>
      <x:c r="K34" s="9"/>
      <x:c r="L34" s="9"/>
      <x:c r="M34" s="12"/>
      <x:c r="N34" s="31"/>
    </x:row>
    <x:row r="35">
      <x:c r="A35" s="28"/>
      <x:c r="B35" s="9"/>
      <x:c r="C35" s="9"/>
      <x:c r="D35" s="5"/>
      <x:c r="E35" s="9"/>
      <x:c r="F35" s="9"/>
      <x:c r="G35" s="9"/>
      <x:c r="H35" s="9"/>
      <x:c r="I35" s="12"/>
      <x:c r="J35" s="18"/>
      <x:c r="K35" s="9"/>
      <x:c r="L35" s="9"/>
      <x:c r="M35" s="12"/>
      <x:c r="N35" s="31"/>
    </x:row>
    <x:row r="36">
      <x:c r="A36" s="28"/>
      <x:c r="B36" s="9"/>
      <x:c r="C36" s="9"/>
      <x:c r="D36" s="5"/>
      <x:c r="E36" s="9"/>
      <x:c r="F36" s="9"/>
      <x:c r="G36" s="9"/>
      <x:c r="H36" s="9"/>
      <x:c r="I36" s="12"/>
      <x:c r="J36" s="18"/>
      <x:c r="K36" s="9"/>
      <x:c r="L36" s="9"/>
      <x:c r="M36" s="12"/>
      <x:c r="N36" s="31"/>
    </x:row>
    <x:row r="37">
      <x:c r="A37" s="28"/>
      <x:c r="B37" s="9"/>
      <x:c r="C37" s="9"/>
      <x:c r="D37" s="5"/>
      <x:c r="E37" s="9"/>
      <x:c r="F37" s="9"/>
      <x:c r="G37" s="9"/>
      <x:c r="H37" s="9"/>
      <x:c r="I37" s="12"/>
      <x:c r="J37" s="18"/>
      <x:c r="K37" s="9"/>
      <x:c r="L37" s="9"/>
      <x:c r="M37" s="12"/>
      <x:c r="N37" s="31"/>
    </x:row>
    <x:row r="38">
      <x:c r="A38" s="28"/>
      <x:c r="B38" s="9"/>
      <x:c r="C38" s="9"/>
      <x:c r="D38" s="5"/>
      <x:c r="E38" s="9"/>
      <x:c r="F38" s="9"/>
      <x:c r="G38" s="9"/>
      <x:c r="H38" s="9"/>
      <x:c r="I38" s="12"/>
      <x:c r="J38" s="18"/>
      <x:c r="K38" s="9"/>
      <x:c r="L38" s="9"/>
      <x:c r="M38" s="12"/>
      <x:c r="N38" s="31"/>
    </x:row>
    <x:row r="39">
      <x:c r="A39" s="28"/>
      <x:c r="B39" s="9"/>
      <x:c r="C39" s="9"/>
      <x:c r="D39" s="5"/>
      <x:c r="E39" s="9"/>
      <x:c r="F39" s="9"/>
      <x:c r="G39" s="9"/>
      <x:c r="H39" s="9"/>
      <x:c r="I39" s="12"/>
      <x:c r="J39" s="18"/>
      <x:c r="K39" s="9"/>
      <x:c r="L39" s="9"/>
      <x:c r="M39" s="12"/>
      <x:c r="N39" s="31"/>
    </x:row>
    <x:row r="40">
      <x:c r="A40" s="28"/>
      <x:c r="B40" s="9"/>
      <x:c r="C40" s="9"/>
      <x:c r="D40" s="5"/>
      <x:c r="E40" s="9"/>
      <x:c r="F40" s="9"/>
      <x:c r="G40" s="9"/>
      <x:c r="H40" s="9"/>
      <x:c r="I40" s="12"/>
      <x:c r="J40" s="18"/>
      <x:c r="K40" s="9"/>
      <x:c r="L40" s="9"/>
      <x:c r="M40" s="12"/>
      <x:c r="N40" s="31"/>
    </x:row>
    <x:row r="41">
      <x:c r="A41" s="28"/>
      <x:c r="B41" s="9"/>
      <x:c r="C41" s="9"/>
      <x:c r="D41" s="5"/>
      <x:c r="E41" s="9"/>
      <x:c r="F41" s="9"/>
      <x:c r="G41" s="9"/>
      <x:c r="H41" s="9"/>
      <x:c r="I41" s="12"/>
      <x:c r="J41" s="18"/>
      <x:c r="K41" s="9"/>
      <x:c r="L41" s="9"/>
      <x:c r="M41" s="12"/>
      <x:c r="N41" s="31"/>
    </x:row>
    <x:row r="42">
      <x:c r="A42" s="28"/>
      <x:c r="B42" s="9"/>
      <x:c r="C42" s="9"/>
      <x:c r="D42" s="5"/>
      <x:c r="E42" s="9"/>
      <x:c r="F42" s="9"/>
      <x:c r="G42" s="9"/>
      <x:c r="H42" s="9"/>
      <x:c r="I42" s="12"/>
      <x:c r="J42" s="18"/>
      <x:c r="K42" s="9"/>
      <x:c r="L42" s="9"/>
      <x:c r="M42" s="12"/>
      <x:c r="N42" s="31"/>
    </x:row>
    <x:row r="43">
      <x:c r="A43" s="28"/>
      <x:c r="B43" s="9"/>
      <x:c r="C43" s="9"/>
      <x:c r="D43" s="5"/>
      <x:c r="E43" s="9"/>
      <x:c r="F43" s="9"/>
      <x:c r="G43" s="9"/>
      <x:c r="H43" s="9"/>
      <x:c r="I43" s="12"/>
      <x:c r="J43" s="18"/>
      <x:c r="K43" s="9"/>
      <x:c r="L43" s="9"/>
      <x:c r="M43" s="12"/>
      <x:c r="N43" s="31"/>
    </x:row>
    <x:row r="44">
      <x:c r="A44" s="28"/>
      <x:c r="B44" s="9"/>
      <x:c r="C44" s="9"/>
      <x:c r="D44" s="5"/>
      <x:c r="E44" s="9"/>
      <x:c r="F44" s="9"/>
      <x:c r="G44" s="9"/>
      <x:c r="H44" s="9"/>
      <x:c r="I44" s="12"/>
      <x:c r="J44" s="18"/>
      <x:c r="K44" s="9"/>
      <x:c r="L44" s="9"/>
      <x:c r="M44" s="12"/>
      <x:c r="N44" s="31"/>
    </x:row>
    <x:row r="45">
      <x:c r="A45" s="28"/>
      <x:c r="B45" s="9"/>
      <x:c r="C45" s="9"/>
      <x:c r="D45" s="5"/>
      <x:c r="E45" s="9"/>
      <x:c r="F45" s="9"/>
      <x:c r="G45" s="9"/>
      <x:c r="H45" s="9"/>
      <x:c r="I45" s="12"/>
      <x:c r="J45" s="18"/>
      <x:c r="K45" s="9"/>
      <x:c r="L45" s="9"/>
      <x:c r="M45" s="12"/>
      <x:c r="N45" s="31"/>
    </x:row>
    <x:row r="46">
      <x:c r="A46" s="28"/>
      <x:c r="B46" s="9"/>
      <x:c r="C46" s="9"/>
      <x:c r="D46" s="5"/>
      <x:c r="E46" s="9"/>
      <x:c r="F46" s="9"/>
      <x:c r="G46" s="9"/>
      <x:c r="H46" s="9"/>
      <x:c r="I46" s="12"/>
      <x:c r="J46" s="18"/>
      <x:c r="K46" s="9"/>
      <x:c r="L46" s="9"/>
      <x:c r="M46" s="12"/>
      <x:c r="N46" s="31"/>
    </x:row>
    <x:row r="47">
      <x:c r="A47" s="28"/>
      <x:c r="B47" s="9"/>
      <x:c r="C47" s="9"/>
      <x:c r="D47" s="5"/>
      <x:c r="E47" s="9"/>
      <x:c r="F47" s="9"/>
      <x:c r="G47" s="9"/>
      <x:c r="H47" s="9"/>
      <x:c r="I47" s="12"/>
      <x:c r="J47" s="18"/>
      <x:c r="K47" s="9"/>
      <x:c r="L47" s="9"/>
      <x:c r="M47" s="12"/>
      <x:c r="N47" s="31"/>
    </x:row>
    <x:row r="48">
      <x:c r="A48" s="28"/>
      <x:c r="B48" s="9"/>
      <x:c r="C48" s="9"/>
      <x:c r="D48" s="5"/>
      <x:c r="E48" s="9"/>
      <x:c r="F48" s="9"/>
      <x:c r="G48" s="9"/>
      <x:c r="H48" s="9"/>
      <x:c r="I48" s="12"/>
      <x:c r="J48" s="18"/>
      <x:c r="K48" s="9"/>
      <x:c r="L48" s="9"/>
      <x:c r="M48" s="12"/>
      <x:c r="N48" s="31"/>
    </x:row>
    <x:row r="49">
      <x:c r="A49" s="28"/>
      <x:c r="B49" s="9"/>
      <x:c r="C49" s="9"/>
      <x:c r="D49" s="5"/>
      <x:c r="E49" s="9"/>
      <x:c r="F49" s="9"/>
      <x:c r="G49" s="9"/>
      <x:c r="H49" s="9"/>
      <x:c r="I49" s="12"/>
      <x:c r="J49" s="18"/>
      <x:c r="K49" s="9"/>
      <x:c r="L49" s="9"/>
      <x:c r="M49" s="12"/>
      <x:c r="N49" s="31"/>
    </x:row>
    <x:row r="50">
      <x:c r="A50" s="28"/>
      <x:c r="B50" s="9"/>
      <x:c r="C50" s="9"/>
      <x:c r="D50" s="5"/>
      <x:c r="E50" s="9"/>
      <x:c r="F50" s="9"/>
      <x:c r="G50" s="9"/>
      <x:c r="H50" s="9"/>
      <x:c r="I50" s="12"/>
      <x:c r="J50" s="18"/>
      <x:c r="K50" s="9"/>
      <x:c r="L50" s="9"/>
      <x:c r="M50" s="12"/>
      <x:c r="N50" s="31"/>
    </x:row>
    <x:row r="51">
      <x:c r="A51" s="28"/>
      <x:c r="B51" s="9"/>
      <x:c r="C51" s="9"/>
      <x:c r="D51" s="5"/>
      <x:c r="E51" s="9"/>
      <x:c r="F51" s="9"/>
      <x:c r="G51" s="9"/>
      <x:c r="H51" s="9"/>
      <x:c r="I51" s="12"/>
      <x:c r="J51" s="18"/>
      <x:c r="K51" s="9"/>
      <x:c r="L51" s="9"/>
      <x:c r="M51" s="12"/>
      <x:c r="N51" s="31"/>
    </x:row>
    <x:row r="52">
      <x:c r="A52" s="28"/>
      <x:c r="B52" s="9"/>
      <x:c r="C52" s="9"/>
      <x:c r="D52" s="5"/>
      <x:c r="E52" s="9"/>
      <x:c r="F52" s="9"/>
      <x:c r="G52" s="9"/>
      <x:c r="H52" s="9"/>
      <x:c r="I52" s="12"/>
      <x:c r="J52" s="18"/>
      <x:c r="K52" s="9"/>
      <x:c r="L52" s="9"/>
      <x:c r="M52" s="12"/>
      <x:c r="N52" s="31"/>
    </x:row>
    <x:row r="53">
      <x:c r="A53" s="28"/>
      <x:c r="B53" s="9"/>
      <x:c r="C53" s="9"/>
      <x:c r="D53" s="5"/>
      <x:c r="E53" s="9"/>
      <x:c r="F53" s="9"/>
      <x:c r="G53" s="9"/>
      <x:c r="H53" s="9"/>
      <x:c r="I53" s="12"/>
      <x:c r="J53" s="18"/>
      <x:c r="K53" s="9"/>
      <x:c r="L53" s="9"/>
      <x:c r="M53" s="12"/>
      <x:c r="N53" s="31"/>
    </x:row>
    <x:row r="54">
      <x:c r="A54" s="28"/>
      <x:c r="B54" s="9"/>
      <x:c r="C54" s="9"/>
      <x:c r="D54" s="5"/>
      <x:c r="E54" s="9"/>
      <x:c r="F54" s="9"/>
      <x:c r="G54" s="9"/>
      <x:c r="H54" s="9"/>
      <x:c r="I54" s="12"/>
      <x:c r="J54" s="18"/>
      <x:c r="K54" s="9"/>
      <x:c r="L54" s="9"/>
      <x:c r="M54" s="12"/>
      <x:c r="N54" s="31"/>
    </x:row>
    <x:row r="55">
      <x:c r="A55" s="28"/>
      <x:c r="B55" s="9"/>
      <x:c r="C55" s="9"/>
      <x:c r="D55" s="5"/>
      <x:c r="E55" s="9"/>
      <x:c r="F55" s="9"/>
      <x:c r="G55" s="9"/>
      <x:c r="H55" s="9"/>
      <x:c r="I55" s="12"/>
      <x:c r="J55" s="18"/>
      <x:c r="K55" s="9"/>
      <x:c r="L55" s="9"/>
      <x:c r="M55" s="12"/>
      <x:c r="N55" s="31"/>
    </x:row>
    <x:row r="56">
      <x:c r="A56" s="28"/>
      <x:c r="B56" s="9"/>
      <x:c r="C56" s="9"/>
      <x:c r="D56" s="5"/>
      <x:c r="E56" s="9"/>
      <x:c r="F56" s="9"/>
      <x:c r="G56" s="9"/>
      <x:c r="H56" s="9"/>
      <x:c r="I56" s="12"/>
      <x:c r="J56" s="18"/>
      <x:c r="K56" s="9"/>
      <x:c r="L56" s="9"/>
      <x:c r="M56" s="12"/>
      <x:c r="N56" s="31"/>
    </x:row>
    <x:row r="57">
      <x:c r="A57" s="28"/>
      <x:c r="B57" s="9"/>
      <x:c r="C57" s="9"/>
      <x:c r="D57" s="5"/>
      <x:c r="E57" s="9"/>
      <x:c r="F57" s="9"/>
      <x:c r="G57" s="9"/>
      <x:c r="H57" s="9"/>
      <x:c r="I57" s="12"/>
      <x:c r="J57" s="18"/>
      <x:c r="K57" s="9"/>
      <x:c r="L57" s="9"/>
      <x:c r="M57" s="12"/>
      <x:c r="N57" s="31"/>
    </x:row>
    <x:row r="58">
      <x:c r="A58" s="28"/>
      <x:c r="B58" s="9"/>
      <x:c r="C58" s="9"/>
      <x:c r="D58" s="5"/>
      <x:c r="E58" s="9"/>
      <x:c r="F58" s="9"/>
      <x:c r="G58" s="9"/>
      <x:c r="H58" s="9"/>
      <x:c r="I58" s="12"/>
      <x:c r="J58" s="18"/>
      <x:c r="K58" s="9"/>
      <x:c r="L58" s="9"/>
      <x:c r="M58" s="12"/>
      <x:c r="N58" s="31"/>
    </x:row>
    <x:row r="59">
      <x:c r="A59" s="28"/>
      <x:c r="B59" s="9"/>
      <x:c r="C59" s="9"/>
      <x:c r="D59" s="5"/>
      <x:c r="E59" s="9"/>
      <x:c r="F59" s="9"/>
      <x:c r="G59" s="9"/>
      <x:c r="H59" s="9"/>
      <x:c r="I59" s="12"/>
      <x:c r="J59" s="18"/>
      <x:c r="K59" s="9"/>
      <x:c r="L59" s="9"/>
      <x:c r="M59" s="12"/>
      <x:c r="N59" s="31"/>
    </x:row>
    <x:row r="60">
      <x:c r="A60" s="28"/>
      <x:c r="B60" s="9"/>
      <x:c r="C60" s="9"/>
      <x:c r="D60" s="5"/>
      <x:c r="E60" s="9"/>
      <x:c r="F60" s="9"/>
      <x:c r="G60" s="9"/>
      <x:c r="H60" s="9"/>
      <x:c r="I60" s="12"/>
      <x:c r="J60" s="18"/>
      <x:c r="K60" s="9"/>
      <x:c r="L60" s="9"/>
      <x:c r="M60" s="12"/>
      <x:c r="N60" s="31"/>
    </x:row>
    <x:row r="61">
      <x:c r="A61" s="28"/>
      <x:c r="B61" s="9"/>
      <x:c r="C61" s="9"/>
      <x:c r="D61" s="5"/>
      <x:c r="E61" s="9"/>
      <x:c r="F61" s="9"/>
      <x:c r="G61" s="9"/>
      <x:c r="H61" s="9"/>
      <x:c r="I61" s="12"/>
      <x:c r="J61" s="18"/>
      <x:c r="K61" s="9"/>
      <x:c r="L61" s="9"/>
      <x:c r="M61" s="12"/>
      <x:c r="N61" s="31"/>
    </x:row>
    <x:row r="62">
      <x:c r="A62" s="28"/>
      <x:c r="B62" s="9"/>
      <x:c r="C62" s="9"/>
      <x:c r="D62" s="5"/>
      <x:c r="E62" s="9"/>
      <x:c r="F62" s="9"/>
      <x:c r="G62" s="9"/>
      <x:c r="H62" s="9"/>
      <x:c r="I62" s="12"/>
      <x:c r="J62" s="18"/>
      <x:c r="K62" s="9"/>
      <x:c r="L62" s="9"/>
      <x:c r="M62" s="12"/>
      <x:c r="N62" s="31"/>
    </x:row>
    <x:row r="63">
      <x:c r="A63" s="28"/>
      <x:c r="B63" s="9"/>
      <x:c r="C63" s="9"/>
      <x:c r="D63" s="5"/>
      <x:c r="E63" s="9"/>
      <x:c r="F63" s="9"/>
      <x:c r="G63" s="9"/>
      <x:c r="H63" s="9"/>
      <x:c r="I63" s="12"/>
      <x:c r="J63" s="18"/>
      <x:c r="K63" s="9"/>
      <x:c r="L63" s="9"/>
      <x:c r="M63" s="12"/>
      <x:c r="N63" s="31"/>
    </x:row>
    <x:row r="64">
      <x:c r="A64" s="28"/>
      <x:c r="B64" s="9"/>
      <x:c r="C64" s="9"/>
      <x:c r="D64" s="5"/>
      <x:c r="E64" s="9"/>
      <x:c r="F64" s="9"/>
      <x:c r="G64" s="9"/>
      <x:c r="H64" s="9"/>
      <x:c r="I64" s="12"/>
      <x:c r="J64" s="18"/>
      <x:c r="K64" s="9"/>
      <x:c r="L64" s="9"/>
      <x:c r="M64" s="12"/>
      <x:c r="N64" s="31"/>
    </x:row>
    <x:row r="65">
      <x:c r="A65" s="28"/>
      <x:c r="B65" s="9"/>
      <x:c r="C65" s="9"/>
      <x:c r="D65" s="5"/>
      <x:c r="E65" s="9"/>
      <x:c r="F65" s="9"/>
      <x:c r="G65" s="9"/>
      <x:c r="H65" s="9"/>
      <x:c r="I65" s="12"/>
      <x:c r="J65" s="18"/>
      <x:c r="K65" s="9"/>
      <x:c r="L65" s="9"/>
      <x:c r="M65" s="12"/>
      <x:c r="N65" s="31"/>
    </x:row>
    <x:row r="66">
      <x:c r="A66" s="28"/>
      <x:c r="B66" s="9"/>
      <x:c r="C66" s="9"/>
      <x:c r="D66" s="5"/>
      <x:c r="E66" s="9"/>
      <x:c r="F66" s="9"/>
      <x:c r="G66" s="9"/>
      <x:c r="H66" s="9"/>
      <x:c r="I66" s="12"/>
      <x:c r="J66" s="18"/>
      <x:c r="K66" s="9"/>
      <x:c r="L66" s="9"/>
      <x:c r="M66" s="12"/>
      <x:c r="N66" s="31"/>
    </x:row>
    <x:row r="67">
      <x:c r="A67" s="28"/>
      <x:c r="B67" s="9"/>
      <x:c r="C67" s="9"/>
      <x:c r="D67" s="5"/>
      <x:c r="E67" s="9"/>
      <x:c r="F67" s="9"/>
      <x:c r="G67" s="9"/>
      <x:c r="H67" s="9"/>
      <x:c r="I67" s="12"/>
      <x:c r="J67" s="18"/>
      <x:c r="K67" s="9"/>
      <x:c r="L67" s="9"/>
      <x:c r="M67" s="12"/>
      <x:c r="N67" s="31"/>
    </x:row>
    <x:row r="68">
      <x:c r="A68" s="28"/>
      <x:c r="B68" s="9"/>
      <x:c r="C68" s="9"/>
      <x:c r="D68" s="5"/>
      <x:c r="E68" s="9"/>
      <x:c r="F68" s="9"/>
      <x:c r="G68" s="9"/>
      <x:c r="H68" s="9"/>
      <x:c r="I68" s="12"/>
      <x:c r="J68" s="18"/>
      <x:c r="K68" s="9"/>
      <x:c r="L68" s="9"/>
      <x:c r="M68" s="12"/>
      <x:c r="N68" s="31"/>
    </x:row>
    <x:row r="69">
      <x:c r="A69" s="28"/>
      <x:c r="B69" s="9"/>
      <x:c r="C69" s="9"/>
      <x:c r="D69" s="5"/>
      <x:c r="E69" s="9"/>
      <x:c r="F69" s="9"/>
      <x:c r="G69" s="9"/>
      <x:c r="H69" s="9"/>
      <x:c r="I69" s="12"/>
      <x:c r="J69" s="18"/>
      <x:c r="K69" s="9"/>
      <x:c r="L69" s="9"/>
      <x:c r="M69" s="12"/>
      <x:c r="N69" s="31"/>
    </x:row>
    <x:row r="70">
      <x:c r="A70" s="28"/>
      <x:c r="B70" s="9"/>
      <x:c r="C70" s="9"/>
      <x:c r="D70" s="5"/>
      <x:c r="E70" s="9"/>
      <x:c r="F70" s="9"/>
      <x:c r="G70" s="9"/>
      <x:c r="H70" s="9"/>
      <x:c r="I70" s="12"/>
      <x:c r="J70" s="18"/>
      <x:c r="K70" s="9"/>
      <x:c r="L70" s="9"/>
      <x:c r="M70" s="12"/>
      <x:c r="N70" s="31"/>
    </x:row>
    <x:row r="71">
      <x:c r="A71" s="28"/>
      <x:c r="B71" s="9"/>
      <x:c r="C71" s="9"/>
      <x:c r="D71" s="5"/>
      <x:c r="E71" s="9"/>
      <x:c r="F71" s="9"/>
      <x:c r="G71" s="9"/>
      <x:c r="H71" s="9"/>
      <x:c r="I71" s="12"/>
      <x:c r="J71" s="18"/>
      <x:c r="K71" s="9"/>
      <x:c r="L71" s="9"/>
      <x:c r="M71" s="12"/>
      <x:c r="N71" s="31"/>
    </x:row>
    <x:row r="72">
      <x:c r="A72" s="28"/>
      <x:c r="B72" s="9"/>
      <x:c r="C72" s="9"/>
      <x:c r="D72" s="5"/>
      <x:c r="E72" s="9"/>
      <x:c r="F72" s="9"/>
      <x:c r="G72" s="9"/>
      <x:c r="H72" s="9"/>
      <x:c r="I72" s="12"/>
      <x:c r="J72" s="18"/>
      <x:c r="K72" s="9"/>
      <x:c r="L72" s="9"/>
      <x:c r="M72" s="12"/>
      <x:c r="N72" s="31"/>
    </x:row>
    <x:row r="73">
      <x:c r="A73" s="28"/>
      <x:c r="B73" s="9"/>
      <x:c r="C73" s="9"/>
      <x:c r="D73" s="5"/>
      <x:c r="E73" s="9"/>
      <x:c r="F73" s="9"/>
      <x:c r="G73" s="9"/>
      <x:c r="H73" s="9"/>
      <x:c r="I73" s="12"/>
      <x:c r="J73" s="18"/>
      <x:c r="K73" s="9"/>
      <x:c r="L73" s="9"/>
      <x:c r="M73" s="12"/>
      <x:c r="N73" s="31"/>
    </x:row>
    <x:row r="74">
      <x:c r="A74" s="28"/>
      <x:c r="B74" s="9"/>
      <x:c r="C74" s="9"/>
      <x:c r="D74" s="5"/>
      <x:c r="E74" s="9"/>
      <x:c r="F74" s="9"/>
      <x:c r="G74" s="9"/>
      <x:c r="H74" s="9"/>
      <x:c r="I74" s="12"/>
      <x:c r="J74" s="18"/>
      <x:c r="K74" s="9"/>
      <x:c r="L74" s="9"/>
      <x:c r="M74" s="12"/>
      <x:c r="N74" s="31"/>
    </x:row>
    <x:row r="75">
      <x:c r="A75" s="28"/>
      <x:c r="B75" s="9"/>
      <x:c r="C75" s="9"/>
      <x:c r="D75" s="5"/>
      <x:c r="E75" s="9"/>
      <x:c r="F75" s="9"/>
      <x:c r="G75" s="9"/>
      <x:c r="H75" s="9"/>
      <x:c r="I75" s="12"/>
      <x:c r="J75" s="18"/>
      <x:c r="K75" s="9"/>
      <x:c r="L75" s="9"/>
      <x:c r="M75" s="12"/>
      <x:c r="N75" s="31"/>
    </x:row>
    <x:row r="76">
      <x:c r="A76" s="28"/>
      <x:c r="B76" s="9"/>
      <x:c r="C76" s="9"/>
      <x:c r="D76" s="5"/>
      <x:c r="E76" s="9"/>
      <x:c r="F76" s="9"/>
      <x:c r="G76" s="9"/>
      <x:c r="H76" s="9"/>
      <x:c r="I76" s="12"/>
      <x:c r="J76" s="18"/>
      <x:c r="K76" s="9"/>
      <x:c r="L76" s="9"/>
      <x:c r="M76" s="12"/>
      <x:c r="N76" s="31"/>
    </x:row>
    <x:row r="77">
      <x:c r="A77" s="28"/>
      <x:c r="B77" s="9"/>
      <x:c r="C77" s="9"/>
      <x:c r="D77" s="5"/>
      <x:c r="E77" s="9"/>
      <x:c r="F77" s="9"/>
      <x:c r="G77" s="9"/>
      <x:c r="H77" s="9"/>
      <x:c r="I77" s="12"/>
      <x:c r="J77" s="18"/>
      <x:c r="K77" s="9"/>
      <x:c r="L77" s="9"/>
      <x:c r="M77" s="12"/>
      <x:c r="N77" s="31"/>
    </x:row>
    <x:row r="78">
      <x:c r="A78" s="28"/>
      <x:c r="B78" s="9"/>
      <x:c r="C78" s="9"/>
      <x:c r="D78" s="5"/>
      <x:c r="E78" s="9"/>
      <x:c r="F78" s="9"/>
      <x:c r="G78" s="9"/>
      <x:c r="H78" s="9"/>
      <x:c r="I78" s="12"/>
      <x:c r="J78" s="18"/>
      <x:c r="K78" s="9"/>
      <x:c r="L78" s="9"/>
      <x:c r="M78" s="12"/>
      <x:c r="N78" s="31"/>
    </x:row>
    <x:row r="79">
      <x:c r="A79" s="28"/>
      <x:c r="B79" s="9"/>
      <x:c r="C79" s="9"/>
      <x:c r="D79" s="5"/>
      <x:c r="E79" s="9"/>
      <x:c r="F79" s="9"/>
      <x:c r="G79" s="9"/>
      <x:c r="H79" s="9"/>
      <x:c r="I79" s="12"/>
      <x:c r="J79" s="18"/>
      <x:c r="K79" s="9"/>
      <x:c r="L79" s="9"/>
      <x:c r="M79" s="12"/>
      <x:c r="N79" s="31"/>
    </x:row>
    <x:row r="80">
      <x:c r="A80" s="28"/>
      <x:c r="B80" s="9"/>
      <x:c r="C80" s="9"/>
      <x:c r="D80" s="5"/>
      <x:c r="E80" s="9"/>
      <x:c r="F80" s="9"/>
      <x:c r="G80" s="9"/>
      <x:c r="H80" s="9"/>
      <x:c r="I80" s="12"/>
      <x:c r="J80" s="18"/>
      <x:c r="K80" s="9"/>
      <x:c r="L80" s="9"/>
      <x:c r="M80" s="12"/>
      <x:c r="N80" s="31"/>
    </x:row>
    <x:row r="81">
      <x:c r="A81" s="28"/>
      <x:c r="B81" s="9"/>
      <x:c r="C81" s="9"/>
      <x:c r="D81" s="5"/>
      <x:c r="E81" s="9"/>
      <x:c r="F81" s="9"/>
      <x:c r="G81" s="9"/>
      <x:c r="H81" s="9"/>
      <x:c r="I81" s="12"/>
      <x:c r="J81" s="18"/>
      <x:c r="K81" s="9"/>
      <x:c r="L81" s="9"/>
      <x:c r="M81" s="12"/>
      <x:c r="N81" s="31"/>
    </x:row>
    <x:row r="82">
      <x:c r="A82" s="28"/>
      <x:c r="B82" s="9"/>
      <x:c r="C82" s="9"/>
      <x:c r="D82" s="5"/>
      <x:c r="E82" s="9"/>
      <x:c r="F82" s="9"/>
      <x:c r="G82" s="9"/>
      <x:c r="H82" s="9"/>
      <x:c r="I82" s="12"/>
      <x:c r="J82" s="18"/>
      <x:c r="K82" s="9"/>
      <x:c r="L82" s="9"/>
      <x:c r="M82" s="12"/>
      <x:c r="N82" s="31"/>
    </x:row>
    <x:row r="83">
      <x:c r="A83" s="28"/>
      <x:c r="B83" s="9"/>
      <x:c r="C83" s="9"/>
      <x:c r="D83" s="5"/>
      <x:c r="E83" s="9"/>
      <x:c r="F83" s="9"/>
      <x:c r="G83" s="9"/>
      <x:c r="H83" s="9"/>
      <x:c r="I83" s="12"/>
      <x:c r="J83" s="18"/>
      <x:c r="K83" s="9"/>
      <x:c r="L83" s="9"/>
      <x:c r="M83" s="12"/>
      <x:c r="N83" s="31"/>
    </x:row>
    <x:row r="84">
      <x:c r="A84" s="28"/>
      <x:c r="B84" s="9"/>
      <x:c r="C84" s="9"/>
      <x:c r="D84" s="5"/>
      <x:c r="E84" s="9"/>
      <x:c r="F84" s="9"/>
      <x:c r="G84" s="9"/>
      <x:c r="H84" s="9"/>
      <x:c r="I84" s="12"/>
      <x:c r="J84" s="18"/>
      <x:c r="K84" s="9"/>
      <x:c r="L84" s="9"/>
      <x:c r="M84" s="12"/>
      <x:c r="N84" s="31"/>
    </x:row>
    <x:row r="85">
      <x:c r="A85" s="28"/>
      <x:c r="B85" s="9"/>
      <x:c r="C85" s="9"/>
      <x:c r="D85" s="5"/>
      <x:c r="E85" s="9"/>
      <x:c r="F85" s="9"/>
      <x:c r="G85" s="9"/>
      <x:c r="H85" s="9"/>
      <x:c r="I85" s="12"/>
      <x:c r="J85" s="18"/>
      <x:c r="K85" s="9"/>
      <x:c r="L85" s="9"/>
      <x:c r="M85" s="12"/>
      <x:c r="N85" s="31"/>
    </x:row>
    <x:row r="86">
      <x:c r="A86" s="28"/>
      <x:c r="B86" s="9"/>
      <x:c r="C86" s="9"/>
      <x:c r="D86" s="5"/>
      <x:c r="E86" s="9"/>
      <x:c r="F86" s="9"/>
      <x:c r="G86" s="9"/>
      <x:c r="H86" s="9"/>
      <x:c r="I86" s="12"/>
      <x:c r="J86" s="18"/>
      <x:c r="K86" s="9"/>
      <x:c r="L86" s="9"/>
      <x:c r="M86" s="12"/>
      <x:c r="N86" s="31"/>
    </x:row>
    <x:row r="87">
      <x:c r="A87" s="28"/>
      <x:c r="B87" s="9"/>
      <x:c r="C87" s="9"/>
      <x:c r="D87" s="5"/>
      <x:c r="E87" s="9"/>
      <x:c r="F87" s="9"/>
      <x:c r="G87" s="9"/>
      <x:c r="H87" s="9"/>
      <x:c r="I87" s="12"/>
      <x:c r="J87" s="18"/>
      <x:c r="K87" s="9"/>
      <x:c r="L87" s="9"/>
      <x:c r="M87" s="12"/>
      <x:c r="N87" s="31"/>
    </x:row>
    <x:row r="88">
      <x:c r="A88" s="28"/>
      <x:c r="B88" s="9"/>
      <x:c r="C88" s="9"/>
      <x:c r="D88" s="5"/>
      <x:c r="E88" s="9"/>
      <x:c r="F88" s="9"/>
      <x:c r="G88" s="9"/>
      <x:c r="H88" s="9"/>
      <x:c r="I88" s="12"/>
      <x:c r="J88" s="18"/>
      <x:c r="K88" s="9"/>
      <x:c r="L88" s="9"/>
      <x:c r="M88" s="12"/>
      <x:c r="N88" s="31"/>
    </x:row>
    <x:row r="89">
      <x:c r="A89" s="28"/>
      <x:c r="B89" s="9"/>
      <x:c r="C89" s="9"/>
      <x:c r="D89" s="5"/>
      <x:c r="E89" s="9"/>
      <x:c r="F89" s="9"/>
      <x:c r="G89" s="9"/>
      <x:c r="H89" s="9"/>
      <x:c r="I89" s="12"/>
      <x:c r="J89" s="18"/>
      <x:c r="K89" s="9"/>
      <x:c r="L89" s="9"/>
      <x:c r="M89" s="12"/>
      <x:c r="N89" s="31"/>
    </x:row>
    <x:row r="90">
      <x:c r="A90" s="28"/>
      <x:c r="B90" s="9"/>
      <x:c r="C90" s="9"/>
      <x:c r="D90" s="5"/>
      <x:c r="E90" s="9"/>
      <x:c r="F90" s="9"/>
      <x:c r="G90" s="9"/>
      <x:c r="H90" s="9"/>
      <x:c r="I90" s="12"/>
      <x:c r="J90" s="18"/>
      <x:c r="K90" s="9"/>
      <x:c r="L90" s="9"/>
      <x:c r="M90" s="12"/>
      <x:c r="N90" s="31"/>
    </x:row>
    <x:row r="91">
      <x:c r="A91" s="28"/>
      <x:c r="B91" s="9"/>
      <x:c r="C91" s="9"/>
      <x:c r="D91" s="5"/>
      <x:c r="E91" s="9"/>
      <x:c r="F91" s="9"/>
      <x:c r="G91" s="9"/>
      <x:c r="H91" s="9"/>
      <x:c r="I91" s="12"/>
      <x:c r="J91" s="18"/>
      <x:c r="K91" s="9"/>
      <x:c r="L91" s="9"/>
      <x:c r="M91" s="12"/>
      <x:c r="N91" s="31"/>
    </x:row>
    <x:row r="92">
      <x:c r="A92" s="28"/>
      <x:c r="B92" s="9"/>
      <x:c r="C92" s="9"/>
      <x:c r="D92" s="5"/>
      <x:c r="E92" s="9"/>
      <x:c r="F92" s="9"/>
      <x:c r="G92" s="9"/>
      <x:c r="H92" s="9"/>
      <x:c r="I92" s="12"/>
      <x:c r="J92" s="18"/>
      <x:c r="K92" s="9"/>
      <x:c r="L92" s="9"/>
      <x:c r="M92" s="12"/>
      <x:c r="N92" s="31"/>
    </x:row>
    <x:row r="93">
      <x:c r="A93" s="28"/>
      <x:c r="B93" s="9"/>
      <x:c r="C93" s="9"/>
      <x:c r="D93" s="5"/>
      <x:c r="E93" s="9"/>
      <x:c r="F93" s="9"/>
      <x:c r="G93" s="9"/>
      <x:c r="H93" s="9"/>
      <x:c r="I93" s="12"/>
      <x:c r="J93" s="18"/>
      <x:c r="K93" s="9"/>
      <x:c r="L93" s="9"/>
      <x:c r="M93" s="12"/>
      <x:c r="N93" s="31"/>
    </x:row>
    <x:row r="94">
      <x:c r="A94" s="28"/>
      <x:c r="B94" s="9"/>
      <x:c r="C94" s="9"/>
      <x:c r="D94" s="5"/>
      <x:c r="E94" s="9"/>
      <x:c r="F94" s="9"/>
      <x:c r="G94" s="9"/>
      <x:c r="H94" s="9"/>
      <x:c r="I94" s="12"/>
      <x:c r="J94" s="18"/>
      <x:c r="K94" s="9"/>
      <x:c r="L94" s="9"/>
      <x:c r="M94" s="12"/>
      <x:c r="N94" s="31"/>
    </x:row>
    <x:row r="95">
      <x:c r="A95" s="28"/>
      <x:c r="B95" s="9"/>
      <x:c r="C95" s="9"/>
      <x:c r="D95" s="5"/>
      <x:c r="E95" s="9"/>
      <x:c r="F95" s="9"/>
      <x:c r="G95" s="9"/>
      <x:c r="H95" s="9"/>
      <x:c r="I95" s="12"/>
      <x:c r="J95" s="18"/>
      <x:c r="K95" s="9"/>
      <x:c r="L95" s="9"/>
      <x:c r="M95" s="12"/>
      <x:c r="N95" s="31"/>
    </x:row>
    <x:row r="96">
      <x:c r="A96" s="28"/>
      <x:c r="B96" s="9"/>
      <x:c r="C96" s="9"/>
      <x:c r="D96" s="5"/>
      <x:c r="E96" s="9"/>
      <x:c r="F96" s="9"/>
      <x:c r="G96" s="9"/>
      <x:c r="H96" s="9"/>
      <x:c r="I96" s="12"/>
      <x:c r="J96" s="18"/>
      <x:c r="K96" s="9"/>
      <x:c r="L96" s="9"/>
      <x:c r="M96" s="12"/>
      <x:c r="N96" s="31"/>
    </x:row>
    <x:row r="97">
      <x:c r="A97" s="28"/>
      <x:c r="B97" s="9"/>
      <x:c r="C97" s="9"/>
      <x:c r="D97" s="5"/>
      <x:c r="E97" s="9"/>
      <x:c r="F97" s="9"/>
      <x:c r="G97" s="9"/>
      <x:c r="H97" s="9"/>
      <x:c r="I97" s="12"/>
      <x:c r="J97" s="18"/>
      <x:c r="K97" s="9"/>
      <x:c r="L97" s="9"/>
      <x:c r="M97" s="12"/>
      <x:c r="N97" s="31"/>
    </x:row>
    <x:row r="98">
      <x:c r="A98" s="28"/>
      <x:c r="B98" s="9"/>
      <x:c r="C98" s="9"/>
      <x:c r="D98" s="5"/>
      <x:c r="E98" s="9"/>
      <x:c r="F98" s="9"/>
      <x:c r="G98" s="9"/>
      <x:c r="H98" s="9"/>
      <x:c r="I98" s="12"/>
      <x:c r="J98" s="18"/>
      <x:c r="K98" s="9"/>
      <x:c r="L98" s="9"/>
      <x:c r="M98" s="12"/>
      <x:c r="N98" s="31"/>
    </x:row>
    <x:row r="99">
      <x:c r="A99" s="28"/>
      <x:c r="B99" s="9"/>
      <x:c r="C99" s="9"/>
      <x:c r="D99" s="5"/>
      <x:c r="E99" s="9"/>
      <x:c r="F99" s="9"/>
      <x:c r="G99" s="9"/>
      <x:c r="H99" s="9"/>
      <x:c r="I99" s="12"/>
      <x:c r="J99" s="18"/>
      <x:c r="K99" s="9"/>
      <x:c r="L99" s="9"/>
      <x:c r="M99" s="12"/>
      <x:c r="N99" s="31"/>
    </x:row>
    <x:row r="100">
      <x:c r="A100" s="28"/>
      <x:c r="B100" s="9"/>
      <x:c r="C100" s="9"/>
      <x:c r="D100" s="5"/>
      <x:c r="E100" s="9"/>
      <x:c r="F100" s="9"/>
      <x:c r="G100" s="9"/>
      <x:c r="H100" s="9"/>
      <x:c r="I100" s="12"/>
      <x:c r="J100" s="18"/>
      <x:c r="K100" s="9"/>
      <x:c r="L100" s="9"/>
      <x:c r="M100" s="12"/>
      <x:c r="N100" s="31"/>
    </x:row>
    <x:row r="101">
      <x:c r="A101" s="28"/>
      <x:c r="B101" s="9"/>
      <x:c r="C101" s="9"/>
      <x:c r="D101" s="5"/>
      <x:c r="E101" s="9"/>
      <x:c r="F101" s="9"/>
      <x:c r="G101" s="9"/>
      <x:c r="H101" s="9"/>
      <x:c r="I101" s="12"/>
      <x:c r="J101" s="18"/>
      <x:c r="K101" s="9"/>
      <x:c r="L101" s="9"/>
      <x:c r="M101" s="12"/>
      <x:c r="N101" s="31"/>
    </x:row>
    <x:row r="102">
      <x:c r="A102" s="28"/>
      <x:c r="B102" s="9"/>
      <x:c r="C102" s="9"/>
      <x:c r="D102" s="5"/>
      <x:c r="E102" s="9"/>
      <x:c r="F102" s="9"/>
      <x:c r="G102" s="9"/>
      <x:c r="H102" s="9"/>
      <x:c r="I102" s="12"/>
      <x:c r="J102" s="18"/>
      <x:c r="K102" s="9"/>
      <x:c r="L102" s="9"/>
      <x:c r="M102" s="12"/>
      <x:c r="N102" s="31"/>
    </x:row>
    <x:row r="103">
      <x:c r="A103" s="28"/>
      <x:c r="B103" s="9"/>
      <x:c r="C103" s="9"/>
      <x:c r="D103" s="5"/>
      <x:c r="E103" s="9"/>
      <x:c r="F103" s="9"/>
      <x:c r="G103" s="9"/>
      <x:c r="H103" s="9"/>
      <x:c r="I103" s="12"/>
      <x:c r="J103" s="18"/>
      <x:c r="K103" s="9"/>
      <x:c r="L103" s="9"/>
      <x:c r="M103" s="12"/>
      <x:c r="N103" s="31"/>
    </x:row>
    <x:row r="104">
      <x:c r="A104" s="28"/>
      <x:c r="B104" s="9"/>
      <x:c r="C104" s="9"/>
      <x:c r="D104" s="5"/>
      <x:c r="E104" s="9"/>
      <x:c r="F104" s="9"/>
      <x:c r="G104" s="9"/>
      <x:c r="H104" s="9"/>
      <x:c r="I104" s="12"/>
      <x:c r="J104" s="18"/>
      <x:c r="K104" s="9"/>
      <x:c r="L104" s="9"/>
      <x:c r="M104" s="12"/>
      <x:c r="N104" s="31"/>
    </x:row>
    <x:row r="105">
      <x:c r="A105" s="28"/>
      <x:c r="B105" s="9"/>
      <x:c r="C105" s="9"/>
      <x:c r="D105" s="5"/>
      <x:c r="E105" s="9"/>
      <x:c r="F105" s="9"/>
      <x:c r="G105" s="9"/>
      <x:c r="H105" s="9"/>
      <x:c r="I105" s="12"/>
      <x:c r="J105" s="18"/>
      <x:c r="K105" s="9"/>
      <x:c r="L105" s="9"/>
      <x:c r="M105" s="12"/>
      <x:c r="N105" s="31"/>
    </x:row>
    <x:row r="106">
      <x:c r="A106" s="28"/>
      <x:c r="B106" s="9"/>
      <x:c r="C106" s="9"/>
      <x:c r="D106" s="5"/>
      <x:c r="E106" s="9"/>
      <x:c r="F106" s="9"/>
      <x:c r="G106" s="9"/>
      <x:c r="H106" s="9"/>
      <x:c r="I106" s="12"/>
      <x:c r="J106" s="18"/>
      <x:c r="K106" s="9"/>
      <x:c r="L106" s="9"/>
      <x:c r="M106" s="12"/>
      <x:c r="N106" s="31"/>
    </x:row>
    <x:row r="107">
      <x:c r="A107" s="28"/>
      <x:c r="B107" s="9"/>
      <x:c r="C107" s="9"/>
      <x:c r="D107" s="5"/>
      <x:c r="E107" s="9"/>
      <x:c r="F107" s="9"/>
      <x:c r="G107" s="9"/>
      <x:c r="H107" s="9"/>
      <x:c r="I107" s="12"/>
      <x:c r="J107" s="18"/>
      <x:c r="K107" s="9"/>
      <x:c r="L107" s="9"/>
      <x:c r="M107" s="12"/>
      <x:c r="N107" s="31"/>
    </x:row>
    <x:row r="108">
      <x:c r="A108" s="28"/>
      <x:c r="B108" s="9"/>
      <x:c r="C108" s="9"/>
      <x:c r="D108" s="5"/>
      <x:c r="E108" s="9"/>
      <x:c r="F108" s="9"/>
      <x:c r="G108" s="9"/>
      <x:c r="H108" s="9"/>
      <x:c r="I108" s="12"/>
      <x:c r="J108" s="18"/>
      <x:c r="K108" s="9"/>
      <x:c r="L108" s="9"/>
      <x:c r="M108" s="12"/>
      <x:c r="N108" s="31"/>
    </x:row>
    <x:row r="109">
      <x:c r="A109" s="28"/>
      <x:c r="B109" s="9"/>
      <x:c r="C109" s="9"/>
      <x:c r="D109" s="5"/>
      <x:c r="E109" s="9"/>
      <x:c r="F109" s="9"/>
      <x:c r="G109" s="9"/>
      <x:c r="H109" s="9"/>
      <x:c r="I109" s="12"/>
      <x:c r="J109" s="18"/>
      <x:c r="K109" s="9"/>
      <x:c r="L109" s="9"/>
      <x:c r="M109" s="12"/>
      <x:c r="N109" s="31"/>
    </x:row>
    <x:row r="110">
      <x:c r="A110" s="28"/>
      <x:c r="B110" s="9"/>
      <x:c r="C110" s="9"/>
      <x:c r="D110" s="5"/>
      <x:c r="E110" s="9"/>
      <x:c r="F110" s="9"/>
      <x:c r="G110" s="9"/>
      <x:c r="H110" s="9"/>
      <x:c r="I110" s="12"/>
      <x:c r="J110" s="18"/>
      <x:c r="K110" s="9"/>
      <x:c r="L110" s="9"/>
      <x:c r="M110" s="12"/>
      <x:c r="N110" s="31"/>
    </x:row>
    <x:row r="111">
      <x:c r="A111" s="28"/>
      <x:c r="B111" s="9"/>
      <x:c r="C111" s="9"/>
      <x:c r="D111" s="5"/>
      <x:c r="E111" s="9"/>
      <x:c r="F111" s="9"/>
      <x:c r="G111" s="9"/>
      <x:c r="H111" s="9"/>
      <x:c r="I111" s="12"/>
      <x:c r="J111" s="18"/>
      <x:c r="K111" s="9"/>
      <x:c r="L111" s="9"/>
      <x:c r="M111" s="12"/>
      <x:c r="N111" s="31"/>
    </x:row>
    <x:row r="112">
      <x:c r="A112" s="28"/>
      <x:c r="B112" s="9"/>
      <x:c r="C112" s="9"/>
      <x:c r="D112" s="5"/>
      <x:c r="E112" s="9"/>
      <x:c r="F112" s="9"/>
      <x:c r="G112" s="9"/>
      <x:c r="H112" s="9"/>
      <x:c r="I112" s="12"/>
      <x:c r="J112" s="18"/>
      <x:c r="K112" s="9"/>
      <x:c r="L112" s="9"/>
      <x:c r="M112" s="12"/>
      <x:c r="N112" s="31"/>
    </x:row>
    <x:row r="113">
      <x:c r="A113" s="28"/>
      <x:c r="B113" s="9"/>
      <x:c r="C113" s="9"/>
      <x:c r="D113" s="5"/>
      <x:c r="E113" s="9"/>
      <x:c r="F113" s="9"/>
      <x:c r="G113" s="9"/>
      <x:c r="H113" s="9"/>
      <x:c r="I113" s="12"/>
      <x:c r="J113" s="18"/>
      <x:c r="K113" s="9"/>
      <x:c r="L113" s="9"/>
      <x:c r="M113" s="12"/>
      <x:c r="N113" s="31"/>
    </x:row>
    <x:row r="114">
      <x:c r="A114" s="28"/>
      <x:c r="B114" s="9"/>
      <x:c r="C114" s="9"/>
      <x:c r="D114" s="5"/>
      <x:c r="E114" s="9"/>
      <x:c r="F114" s="9"/>
      <x:c r="G114" s="9"/>
      <x:c r="H114" s="9"/>
      <x:c r="I114" s="12"/>
      <x:c r="J114" s="18"/>
      <x:c r="K114" s="9"/>
      <x:c r="L114" s="9"/>
      <x:c r="M114" s="12"/>
      <x:c r="N114" s="31"/>
    </x:row>
    <x:row r="115">
      <x:c r="A115" s="28"/>
      <x:c r="B115" s="9"/>
      <x:c r="C115" s="9"/>
      <x:c r="D115" s="5"/>
      <x:c r="E115" s="9"/>
      <x:c r="F115" s="9"/>
      <x:c r="G115" s="9"/>
      <x:c r="H115" s="9"/>
      <x:c r="I115" s="12"/>
      <x:c r="J115" s="18"/>
      <x:c r="K115" s="9"/>
      <x:c r="L115" s="9"/>
      <x:c r="M115" s="12"/>
      <x:c r="N115" s="31"/>
    </x:row>
    <x:row r="116">
      <x:c r="A116" s="28"/>
      <x:c r="B116" s="9"/>
      <x:c r="C116" s="9"/>
      <x:c r="D116" s="5"/>
      <x:c r="E116" s="9"/>
      <x:c r="F116" s="9"/>
      <x:c r="G116" s="9"/>
      <x:c r="H116" s="9"/>
      <x:c r="I116" s="12"/>
      <x:c r="J116" s="18"/>
      <x:c r="K116" s="9"/>
      <x:c r="L116" s="9"/>
      <x:c r="M116" s="12"/>
      <x:c r="N116" s="31"/>
    </x:row>
    <x:row r="117">
      <x:c r="A117" s="28"/>
      <x:c r="B117" s="9"/>
      <x:c r="C117" s="9"/>
      <x:c r="D117" s="5"/>
      <x:c r="E117" s="9"/>
      <x:c r="F117" s="9"/>
      <x:c r="G117" s="9"/>
      <x:c r="H117" s="9"/>
      <x:c r="I117" s="12"/>
      <x:c r="J117" s="18"/>
      <x:c r="K117" s="9"/>
      <x:c r="L117" s="9"/>
      <x:c r="M117" s="12"/>
      <x:c r="N117" s="31"/>
    </x:row>
    <x:row r="118">
      <x:c r="A118" s="28"/>
      <x:c r="B118" s="9"/>
      <x:c r="C118" s="9"/>
      <x:c r="D118" s="5"/>
      <x:c r="E118" s="9"/>
      <x:c r="F118" s="9"/>
      <x:c r="G118" s="9"/>
      <x:c r="H118" s="9"/>
      <x:c r="I118" s="12"/>
      <x:c r="J118" s="18"/>
      <x:c r="K118" s="9"/>
      <x:c r="L118" s="9"/>
      <x:c r="M118" s="12"/>
      <x:c r="N118" s="31"/>
    </x:row>
    <x:row r="119">
      <x:c r="A119" s="28"/>
      <x:c r="B119" s="9"/>
      <x:c r="C119" s="9"/>
      <x:c r="D119" s="5"/>
      <x:c r="E119" s="9"/>
      <x:c r="F119" s="9"/>
      <x:c r="G119" s="9"/>
      <x:c r="H119" s="9"/>
      <x:c r="I119" s="12"/>
      <x:c r="J119" s="18"/>
      <x:c r="K119" s="9"/>
      <x:c r="L119" s="9"/>
      <x:c r="M119" s="12"/>
      <x:c r="N119" s="31"/>
    </x:row>
    <x:row r="120">
      <x:c r="A120" s="28"/>
      <x:c r="B120" s="9"/>
      <x:c r="C120" s="9"/>
      <x:c r="D120" s="5"/>
      <x:c r="E120" s="9"/>
      <x:c r="F120" s="9"/>
      <x:c r="G120" s="9"/>
      <x:c r="H120" s="9"/>
      <x:c r="I120" s="12"/>
      <x:c r="J120" s="18"/>
      <x:c r="K120" s="9"/>
      <x:c r="L120" s="9"/>
      <x:c r="M120" s="12"/>
      <x:c r="N120" s="31"/>
    </x:row>
    <x:row r="121">
      <x:c r="A121" s="28"/>
      <x:c r="B121" s="9"/>
      <x:c r="C121" s="9"/>
      <x:c r="D121" s="5"/>
      <x:c r="E121" s="9"/>
      <x:c r="F121" s="9"/>
      <x:c r="G121" s="9"/>
      <x:c r="H121" s="9"/>
      <x:c r="I121" s="12"/>
      <x:c r="J121" s="18"/>
      <x:c r="K121" s="9"/>
      <x:c r="L121" s="9"/>
      <x:c r="M121" s="12"/>
      <x:c r="N121" s="31"/>
    </x:row>
    <x:row r="122">
      <x:c r="A122" s="28"/>
      <x:c r="B122" s="9"/>
      <x:c r="C122" s="9"/>
      <x:c r="D122" s="5"/>
      <x:c r="E122" s="9"/>
      <x:c r="F122" s="9"/>
      <x:c r="G122" s="9"/>
      <x:c r="H122" s="9"/>
      <x:c r="I122" s="12"/>
      <x:c r="J122" s="18"/>
      <x:c r="K122" s="9"/>
      <x:c r="L122" s="9"/>
      <x:c r="M122" s="12"/>
      <x:c r="N122" s="31"/>
    </x:row>
    <x:row r="123">
      <x:c r="A123" s="28"/>
      <x:c r="B123" s="9"/>
      <x:c r="C123" s="9"/>
      <x:c r="D123" s="5"/>
      <x:c r="E123" s="9"/>
      <x:c r="F123" s="9"/>
      <x:c r="G123" s="9"/>
      <x:c r="H123" s="9"/>
      <x:c r="I123" s="12"/>
      <x:c r="J123" s="18"/>
      <x:c r="K123" s="9"/>
      <x:c r="L123" s="9"/>
      <x:c r="M123" s="12"/>
      <x:c r="N123" s="31"/>
    </x:row>
    <x:row r="124">
      <x:c r="A124" s="28"/>
      <x:c r="B124" s="9"/>
      <x:c r="C124" s="9"/>
      <x:c r="D124" s="5"/>
      <x:c r="E124" s="9"/>
      <x:c r="F124" s="9"/>
      <x:c r="G124" s="9"/>
      <x:c r="H124" s="9"/>
      <x:c r="I124" s="12"/>
      <x:c r="J124" s="18"/>
      <x:c r="K124" s="9"/>
      <x:c r="L124" s="9"/>
      <x:c r="M124" s="12"/>
      <x:c r="N124" s="31"/>
    </x:row>
    <x:row r="125">
      <x:c r="A125" s="28"/>
      <x:c r="B125" s="9"/>
      <x:c r="C125" s="9"/>
      <x:c r="D125" s="5"/>
      <x:c r="E125" s="9"/>
      <x:c r="F125" s="9"/>
      <x:c r="G125" s="9"/>
      <x:c r="H125" s="9"/>
      <x:c r="I125" s="12"/>
      <x:c r="J125" s="18"/>
      <x:c r="K125" s="9"/>
      <x:c r="L125" s="9"/>
      <x:c r="M125" s="12"/>
      <x:c r="N125" s="31"/>
    </x:row>
    <x:row r="126">
      <x:c r="A126" s="28"/>
      <x:c r="B126" s="9"/>
      <x:c r="C126" s="9"/>
      <x:c r="D126" s="5"/>
      <x:c r="E126" s="9"/>
      <x:c r="F126" s="9"/>
      <x:c r="G126" s="9"/>
      <x:c r="H126" s="9"/>
      <x:c r="I126" s="12"/>
      <x:c r="J126" s="18"/>
      <x:c r="K126" s="9"/>
      <x:c r="L126" s="9"/>
      <x:c r="M126" s="12"/>
      <x:c r="N126" s="31"/>
    </x:row>
    <x:row r="127">
      <x:c r="A127" s="28"/>
      <x:c r="B127" s="9"/>
      <x:c r="C127" s="9"/>
      <x:c r="D127" s="5"/>
      <x:c r="E127" s="9"/>
      <x:c r="F127" s="9"/>
      <x:c r="G127" s="9"/>
      <x:c r="H127" s="9"/>
      <x:c r="I127" s="12"/>
      <x:c r="J127" s="18"/>
      <x:c r="K127" s="9"/>
      <x:c r="L127" s="9"/>
      <x:c r="M127" s="12"/>
      <x:c r="N127" s="31"/>
    </x:row>
    <x:row r="128">
      <x:c r="A128" s="28"/>
      <x:c r="B128" s="9"/>
      <x:c r="C128" s="9"/>
      <x:c r="D128" s="5"/>
      <x:c r="E128" s="9"/>
      <x:c r="F128" s="9"/>
      <x:c r="G128" s="9"/>
      <x:c r="H128" s="9"/>
      <x:c r="I128" s="12"/>
      <x:c r="J128" s="18"/>
      <x:c r="K128" s="9"/>
      <x:c r="L128" s="9"/>
      <x:c r="M128" s="12"/>
      <x:c r="N128" s="31"/>
    </x:row>
    <x:row r="129">
      <x:c r="A129" s="28"/>
      <x:c r="B129" s="9"/>
      <x:c r="C129" s="9"/>
      <x:c r="D129" s="5"/>
      <x:c r="E129" s="9"/>
      <x:c r="F129" s="9"/>
      <x:c r="G129" s="9"/>
      <x:c r="H129" s="9"/>
      <x:c r="I129" s="12"/>
      <x:c r="J129" s="18"/>
      <x:c r="K129" s="9"/>
      <x:c r="L129" s="9"/>
      <x:c r="M129" s="12"/>
      <x:c r="N129" s="31"/>
    </x:row>
    <x:row r="130">
      <x:c r="A130" s="28"/>
      <x:c r="B130" s="9"/>
      <x:c r="C130" s="9"/>
      <x:c r="D130" s="5"/>
      <x:c r="E130" s="9"/>
      <x:c r="F130" s="9"/>
      <x:c r="G130" s="9"/>
      <x:c r="H130" s="9"/>
      <x:c r="I130" s="12"/>
      <x:c r="J130" s="18"/>
      <x:c r="K130" s="9"/>
      <x:c r="L130" s="9"/>
      <x:c r="M130" s="12"/>
      <x:c r="N130" s="31"/>
    </x:row>
    <x:row r="131">
      <x:c r="A131" s="28"/>
      <x:c r="B131" s="9"/>
      <x:c r="C131" s="9"/>
      <x:c r="D131" s="5"/>
      <x:c r="E131" s="9"/>
      <x:c r="F131" s="9"/>
      <x:c r="G131" s="9"/>
      <x:c r="H131" s="9"/>
      <x:c r="I131" s="12"/>
      <x:c r="J131" s="18"/>
      <x:c r="K131" s="9"/>
      <x:c r="L131" s="9"/>
      <x:c r="M131" s="12"/>
      <x:c r="N131" s="31"/>
    </x:row>
    <x:row r="132">
      <x:c r="A132" s="28"/>
      <x:c r="B132" s="9"/>
      <x:c r="C132" s="9"/>
      <x:c r="D132" s="5"/>
      <x:c r="E132" s="9"/>
      <x:c r="F132" s="9"/>
      <x:c r="G132" s="9"/>
      <x:c r="H132" s="9"/>
      <x:c r="I132" s="12"/>
      <x:c r="J132" s="18"/>
      <x:c r="K132" s="9"/>
      <x:c r="L132" s="9"/>
      <x:c r="M132" s="12"/>
      <x:c r="N132" s="31"/>
    </x:row>
    <x:row r="133">
      <x:c r="A133" s="28"/>
      <x:c r="B133" s="9"/>
      <x:c r="C133" s="9"/>
      <x:c r="D133" s="5"/>
      <x:c r="E133" s="9"/>
      <x:c r="F133" s="9"/>
      <x:c r="G133" s="9"/>
      <x:c r="H133" s="9"/>
      <x:c r="I133" s="12"/>
      <x:c r="J133" s="18"/>
      <x:c r="K133" s="9"/>
      <x:c r="L133" s="9"/>
      <x:c r="M133" s="12"/>
      <x:c r="N133" s="31"/>
    </x:row>
    <x:row r="134">
      <x:c r="A134" s="28"/>
      <x:c r="B134" s="9"/>
      <x:c r="C134" s="9"/>
      <x:c r="D134" s="5"/>
      <x:c r="E134" s="9"/>
      <x:c r="F134" s="9"/>
      <x:c r="G134" s="9"/>
      <x:c r="H134" s="9"/>
      <x:c r="I134" s="12"/>
      <x:c r="J134" s="18"/>
      <x:c r="K134" s="9"/>
      <x:c r="L134" s="9"/>
      <x:c r="M134" s="12"/>
      <x:c r="N134" s="31"/>
    </x:row>
    <x:row r="135">
      <x:c r="A135" s="28"/>
      <x:c r="B135" s="9"/>
      <x:c r="C135" s="9"/>
      <x:c r="D135" s="5"/>
      <x:c r="E135" s="9"/>
      <x:c r="F135" s="9"/>
      <x:c r="G135" s="9"/>
      <x:c r="H135" s="9"/>
      <x:c r="I135" s="12"/>
      <x:c r="J135" s="18"/>
      <x:c r="K135" s="9"/>
      <x:c r="L135" s="9"/>
      <x:c r="M135" s="12"/>
      <x:c r="N135" s="31"/>
    </x:row>
    <x:row r="136">
      <x:c r="A136" s="28"/>
      <x:c r="B136" s="9"/>
      <x:c r="C136" s="9"/>
      <x:c r="D136" s="5"/>
      <x:c r="E136" s="9"/>
      <x:c r="F136" s="9"/>
      <x:c r="G136" s="9"/>
      <x:c r="H136" s="9"/>
      <x:c r="I136" s="12"/>
      <x:c r="J136" s="18"/>
      <x:c r="K136" s="9"/>
      <x:c r="L136" s="9"/>
      <x:c r="M136" s="12"/>
      <x:c r="N136" s="31"/>
    </x:row>
    <x:row r="137">
      <x:c r="A137" s="28"/>
      <x:c r="B137" s="9"/>
      <x:c r="C137" s="9"/>
      <x:c r="D137" s="5"/>
      <x:c r="E137" s="9"/>
      <x:c r="F137" s="9"/>
      <x:c r="G137" s="9"/>
      <x:c r="H137" s="9"/>
      <x:c r="I137" s="12"/>
      <x:c r="J137" s="18"/>
      <x:c r="K137" s="9"/>
      <x:c r="L137" s="9"/>
      <x:c r="M137" s="12"/>
      <x:c r="N137" s="31"/>
    </x:row>
    <x:row r="138">
      <x:c r="A138" s="28"/>
      <x:c r="B138" s="9"/>
      <x:c r="C138" s="9"/>
      <x:c r="D138" s="5"/>
      <x:c r="E138" s="9"/>
      <x:c r="F138" s="9"/>
      <x:c r="G138" s="9"/>
      <x:c r="H138" s="9"/>
      <x:c r="I138" s="12"/>
      <x:c r="J138" s="18"/>
      <x:c r="K138" s="9"/>
      <x:c r="L138" s="9"/>
      <x:c r="M138" s="12"/>
      <x:c r="N138" s="31"/>
    </x:row>
    <x:row r="139">
      <x:c r="A139" s="28"/>
      <x:c r="B139" s="9"/>
      <x:c r="C139" s="9"/>
      <x:c r="D139" s="5"/>
      <x:c r="E139" s="9"/>
      <x:c r="F139" s="9"/>
      <x:c r="G139" s="9"/>
      <x:c r="H139" s="9"/>
      <x:c r="I139" s="12"/>
      <x:c r="J139" s="18"/>
      <x:c r="K139" s="9"/>
      <x:c r="L139" s="9"/>
      <x:c r="M139" s="12"/>
      <x:c r="N139" s="31"/>
    </x:row>
    <x:row r="140">
      <x:c r="A140" s="28"/>
      <x:c r="B140" s="9"/>
      <x:c r="C140" s="9"/>
      <x:c r="D140" s="5"/>
      <x:c r="E140" s="9"/>
      <x:c r="F140" s="9"/>
      <x:c r="G140" s="9"/>
      <x:c r="H140" s="9"/>
      <x:c r="I140" s="12"/>
      <x:c r="J140" s="18"/>
      <x:c r="K140" s="9"/>
      <x:c r="L140" s="9"/>
      <x:c r="M140" s="12"/>
      <x:c r="N140" s="31"/>
    </x:row>
    <x:row r="141">
      <x:c r="A141" s="28"/>
      <x:c r="B141" s="9"/>
      <x:c r="C141" s="9"/>
      <x:c r="D141" s="5"/>
      <x:c r="E141" s="9"/>
      <x:c r="F141" s="9"/>
      <x:c r="G141" s="9"/>
      <x:c r="H141" s="9"/>
      <x:c r="I141" s="12"/>
      <x:c r="J141" s="18"/>
      <x:c r="K141" s="9"/>
      <x:c r="L141" s="9"/>
      <x:c r="M141" s="12"/>
      <x:c r="N141" s="31"/>
    </x:row>
    <x:row r="142">
      <x:c r="A142" s="28"/>
      <x:c r="B142" s="9"/>
      <x:c r="C142" s="9"/>
      <x:c r="D142" s="5"/>
      <x:c r="E142" s="9"/>
      <x:c r="F142" s="9"/>
      <x:c r="G142" s="9"/>
      <x:c r="H142" s="9"/>
      <x:c r="I142" s="12"/>
      <x:c r="J142" s="18"/>
      <x:c r="K142" s="9"/>
      <x:c r="L142" s="9"/>
      <x:c r="M142" s="12"/>
      <x:c r="N142" s="31"/>
    </x:row>
    <x:row r="143">
      <x:c r="A143" s="28"/>
      <x:c r="B143" s="9"/>
      <x:c r="C143" s="9"/>
      <x:c r="D143" s="5"/>
      <x:c r="E143" s="9"/>
      <x:c r="F143" s="9"/>
      <x:c r="G143" s="9"/>
      <x:c r="H143" s="9"/>
      <x:c r="I143" s="12"/>
      <x:c r="J143" s="18"/>
      <x:c r="K143" s="9"/>
      <x:c r="L143" s="9"/>
      <x:c r="M143" s="12"/>
      <x:c r="N143" s="31"/>
    </x:row>
    <x:row r="144">
      <x:c r="A144" s="28"/>
      <x:c r="B144" s="9"/>
      <x:c r="C144" s="9"/>
      <x:c r="D144" s="5"/>
      <x:c r="E144" s="9"/>
      <x:c r="F144" s="9"/>
      <x:c r="G144" s="9"/>
      <x:c r="H144" s="9"/>
      <x:c r="I144" s="12"/>
      <x:c r="J144" s="18"/>
      <x:c r="K144" s="9"/>
      <x:c r="L144" s="9"/>
      <x:c r="M144" s="12"/>
      <x:c r="N144" s="31"/>
    </x:row>
    <x:row r="145">
      <x:c r="A145" s="28"/>
      <x:c r="B145" s="9"/>
      <x:c r="C145" s="9"/>
      <x:c r="D145" s="5"/>
      <x:c r="E145" s="9"/>
      <x:c r="F145" s="9"/>
      <x:c r="G145" s="9"/>
      <x:c r="H145" s="9"/>
      <x:c r="I145" s="12"/>
      <x:c r="J145" s="18"/>
      <x:c r="K145" s="9"/>
      <x:c r="L145" s="9"/>
      <x:c r="M145" s="12"/>
      <x:c r="N145" s="31"/>
    </x:row>
    <x:row r="146">
      <x:c r="A146" s="28"/>
      <x:c r="B146" s="9"/>
      <x:c r="C146" s="9"/>
      <x:c r="D146" s="5"/>
      <x:c r="E146" s="9"/>
      <x:c r="F146" s="9"/>
      <x:c r="G146" s="9"/>
      <x:c r="H146" s="9"/>
      <x:c r="I146" s="12"/>
      <x:c r="J146" s="18"/>
      <x:c r="K146" s="9"/>
      <x:c r="L146" s="9"/>
      <x:c r="M146" s="12"/>
      <x:c r="N146" s="31"/>
    </x:row>
    <x:row r="147">
      <x:c r="A147" s="28"/>
      <x:c r="B147" s="9"/>
      <x:c r="C147" s="9"/>
      <x:c r="D147" s="5"/>
      <x:c r="E147" s="9"/>
      <x:c r="F147" s="9"/>
      <x:c r="G147" s="9"/>
      <x:c r="H147" s="9"/>
      <x:c r="I147" s="12"/>
      <x:c r="J147" s="18"/>
      <x:c r="K147" s="9"/>
      <x:c r="L147" s="9"/>
      <x:c r="M147" s="12"/>
      <x:c r="N147" s="31"/>
    </x:row>
    <x:row r="148">
      <x:c r="A148" s="28"/>
      <x:c r="B148" s="9"/>
      <x:c r="C148" s="9"/>
      <x:c r="D148" s="5"/>
      <x:c r="E148" s="9"/>
      <x:c r="F148" s="9"/>
      <x:c r="G148" s="9"/>
      <x:c r="H148" s="9"/>
      <x:c r="I148" s="12"/>
      <x:c r="J148" s="18"/>
      <x:c r="K148" s="9"/>
      <x:c r="L148" s="9"/>
      <x:c r="M148" s="12"/>
      <x:c r="N148" s="31"/>
    </x:row>
    <x:row r="149">
      <x:c r="A149" s="28"/>
      <x:c r="B149" s="9"/>
      <x:c r="C149" s="9"/>
      <x:c r="D149" s="5"/>
      <x:c r="E149" s="9"/>
      <x:c r="F149" s="9"/>
      <x:c r="G149" s="9"/>
      <x:c r="H149" s="9"/>
      <x:c r="I149" s="12"/>
      <x:c r="J149" s="18"/>
      <x:c r="K149" s="9"/>
      <x:c r="L149" s="9"/>
      <x:c r="M149" s="12"/>
      <x:c r="N149" s="31"/>
    </x:row>
    <x:row r="150">
      <x:c r="A150" s="28"/>
      <x:c r="B150" s="9"/>
      <x:c r="C150" s="9"/>
      <x:c r="D150" s="5"/>
      <x:c r="E150" s="9"/>
      <x:c r="F150" s="9"/>
      <x:c r="G150" s="9"/>
      <x:c r="H150" s="9"/>
      <x:c r="I150" s="12"/>
      <x:c r="J150" s="18"/>
      <x:c r="K150" s="9"/>
      <x:c r="L150" s="9"/>
      <x:c r="M150" s="12"/>
      <x:c r="N150" s="31"/>
    </x:row>
    <x:row r="151">
      <x:c r="A151" s="28"/>
      <x:c r="B151" s="9"/>
      <x:c r="C151" s="9"/>
      <x:c r="D151" s="5"/>
      <x:c r="E151" s="9"/>
      <x:c r="F151" s="9"/>
      <x:c r="G151" s="9"/>
      <x:c r="H151" s="9"/>
      <x:c r="I151" s="12"/>
      <x:c r="J151" s="18"/>
      <x:c r="K151" s="9"/>
      <x:c r="L151" s="9"/>
      <x:c r="M151" s="12"/>
      <x:c r="N151" s="31"/>
    </x:row>
    <x:row r="152">
      <x:c r="A152" s="28"/>
      <x:c r="B152" s="9"/>
      <x:c r="C152" s="9"/>
      <x:c r="D152" s="5"/>
      <x:c r="E152" s="9"/>
      <x:c r="F152" s="9"/>
      <x:c r="G152" s="9"/>
      <x:c r="H152" s="9"/>
      <x:c r="I152" s="12"/>
      <x:c r="J152" s="18"/>
      <x:c r="K152" s="9"/>
      <x:c r="L152" s="9"/>
      <x:c r="M152" s="12"/>
      <x:c r="N152" s="31"/>
    </x:row>
    <x:row r="153">
      <x:c r="A153" s="28"/>
      <x:c r="B153" s="9"/>
      <x:c r="C153" s="9"/>
      <x:c r="D153" s="5"/>
      <x:c r="E153" s="9"/>
      <x:c r="F153" s="9"/>
      <x:c r="G153" s="9"/>
      <x:c r="H153" s="9"/>
      <x:c r="I153" s="12"/>
      <x:c r="J153" s="18"/>
      <x:c r="K153" s="9"/>
      <x:c r="L153" s="9"/>
      <x:c r="M153" s="12"/>
      <x:c r="N153" s="31"/>
    </x:row>
    <x:row r="154">
      <x:c r="A154" s="28"/>
      <x:c r="B154" s="9"/>
      <x:c r="C154" s="9"/>
      <x:c r="D154" s="5"/>
      <x:c r="E154" s="9"/>
      <x:c r="F154" s="9"/>
      <x:c r="G154" s="9"/>
      <x:c r="H154" s="9"/>
      <x:c r="I154" s="12"/>
      <x:c r="J154" s="18"/>
      <x:c r="K154" s="9"/>
      <x:c r="L154" s="9"/>
      <x:c r="M154" s="12"/>
      <x:c r="N154" s="31"/>
    </x:row>
    <x:row r="155">
      <x:c r="A155" s="29"/>
      <x:c r="B155" s="10"/>
      <x:c r="C155" s="10"/>
      <x:c r="D155" s="6"/>
      <x:c r="E155" s="10"/>
      <x:c r="F155" s="10"/>
      <x:c r="G155" s="10"/>
      <x:c r="H155" s="10"/>
      <x:c r="I155" s="13"/>
      <x:c r="J155" s="19"/>
      <x:c r="K155" s="10"/>
      <x:c r="L155" s="10"/>
      <x:c r="M155" s="13"/>
      <x:c r="N155" s="32"/>
    </x:row>
  </x:sheetData>
  <x:mergeCells>
    <x:mergeCell ref="A1:N1"/>
    <x:mergeCell ref="A2:N2"/>
    <x:mergeCell ref="A3:N3"/>
  </x:mergeCells>
  <x:dataValidations count="4">
    <x:dataValidation type="list" sqref="E6:E155">
      <x:formula1>"Baik,Gangguan Ringan,Rusak Ringan,Rusak Sedang,Rusak Berat,Perlu Pembersihan,Perlu Pemantauan"</x:formula1>
    </x:dataValidation>
    <x:dataValidation type="list" sqref="F6:F155">
      <x:formula1>"Rendah,Sedang,Tinggi"</x:formula1>
    </x:dataValidation>
    <x:dataValidation type="list" sqref="H6:H155">
      <x:formula1>"Belum Ditindaklanjuti,Direncanakan,Dalam Pelaksanaan,Selesai"</x:formula1>
    </x:dataValidation>
    <x:dataValidation type="list" sqref="L6:L155">
      <x:formula1>"Draft,Dalam Verifikasi,Terverifikasi,Perlu Perbaikan"</x:formula1>
    </x:dataValidation>
  </x:dataValidations>
  <x:pageMargins left="0.7" right="0.7" top="0.75" bottom="0.75" header="0.3" footer="0.3"/>
  <x:tableParts count="1">
    <x:tablePart xmlns:r="http://schemas.openxmlformats.org/officeDocument/2006/relationships" r:id="R9cca0dd02e4e46eb"/>
  </x:tableParts>
</x:worksheet>
</file>

<file path=xl/worksheets/sheet10.xml><?xml version="1.0" encoding="utf-8"?>
<x:worksheet xmlns:x="http://schemas.openxmlformats.org/spreadsheetml/2006/main">
  <x:sheetFormatPr defaultRowHeight="14"/>
  <x:cols>
    <x:col min="1" max="1" width="18" customWidth="1"/>
    <x:col min="2" max="2" width="10" customWidth="1"/>
    <x:col min="3" max="3" width="15" customWidth="1"/>
    <x:col min="4" max="4" width="17" customWidth="1"/>
    <x:col min="5" max="5" width="14" customWidth="1"/>
    <x:col min="6" max="6" width="16" customWidth="1"/>
    <x:col min="7" max="9" width="11" customWidth="1"/>
    <x:col min="10" max="10" width="13" customWidth="1"/>
    <x:col min="11" max="11" width="36" customWidth="1"/>
    <x:col min="12" max="12" width="20" customWidth="1"/>
    <x:col min="13" max="13" width="16" customWidth="1"/>
    <x:col min="14" max="14" width="18" customWidth="1"/>
    <x:col min="15" max="15" width="38" customWidth="1"/>
  </x:cols>
  <x:sheetData>
    <x:row r="1" ht="8.25" customHeight="1">
      <x:c r="A1" s="283" t="s">
        <x:v>2620</x:v>
      </x:c>
      <x:c r="B1" s="283"/>
      <x:c r="C1" s="283"/>
      <x:c r="D1" s="283"/>
      <x:c r="E1" s="283"/>
      <x:c r="F1" s="283"/>
      <x:c r="G1" s="283"/>
      <x:c r="H1" s="283"/>
      <x:c r="I1" s="283"/>
      <x:c r="J1" s="283"/>
      <x:c r="K1" s="283"/>
      <x:c r="L1" s="283"/>
      <x:c r="M1" s="283"/>
      <x:c r="N1" s="283"/>
      <x:c r="O1" s="283"/>
    </x:row>
    <x:row r="2" ht="7.150000095367432" customHeight="1">
      <x:c r="A2" s="284" t="s">
        <x:v>2621</x:v>
      </x:c>
      <x:c r="B2" s="284"/>
      <x:c r="C2" s="284"/>
      <x:c r="D2" s="284"/>
      <x:c r="E2" s="284"/>
      <x:c r="F2" s="284"/>
      <x:c r="G2" s="284"/>
      <x:c r="H2" s="284"/>
      <x:c r="I2" s="284"/>
      <x:c r="J2" s="284"/>
      <x:c r="K2" s="284"/>
      <x:c r="L2" s="284"/>
      <x:c r="M2" s="284"/>
      <x:c r="N2" s="284"/>
      <x:c r="O2" s="284"/>
    </x:row>
    <x:row r="3" ht="10.149999618530273" customHeight="1">
      <x:c r="A3" s="285" t="s">
        <x:v>2622</x:v>
      </x:c>
      <x:c r="B3" s="285"/>
      <x:c r="C3" s="285"/>
      <x:c r="D3" s="285"/>
      <x:c r="E3" s="285"/>
      <x:c r="F3" s="285"/>
      <x:c r="G3" s="285"/>
      <x:c r="H3" s="285"/>
      <x:c r="I3" s="285"/>
      <x:c r="J3" s="285"/>
      <x:c r="K3" s="285"/>
      <x:c r="L3" s="285"/>
      <x:c r="M3" s="285"/>
      <x:c r="N3" s="285"/>
      <x:c r="O3" s="285"/>
    </x:row>
    <x:row r="5" ht="11.25" customHeight="1">
      <x:c r="A5" s="152" t="s">
        <x:v>2623</x:v>
      </x:c>
      <x:c r="B5" s="151" t="s">
        <x:v>2573</x:v>
      </x:c>
      <x:c r="C5" s="151" t="s">
        <x:v>2624</x:v>
      </x:c>
      <x:c r="D5" s="151" t="s">
        <x:v>2625</x:v>
      </x:c>
      <x:c r="E5" s="151" t="s">
        <x:v>2626</x:v>
      </x:c>
      <x:c r="F5" s="151" t="s">
        <x:v>2627</x:v>
      </x:c>
      <x:c r="G5" s="151" t="s">
        <x:v>2628</x:v>
      </x:c>
      <x:c r="H5" s="151" t="s">
        <x:v>2629</x:v>
      </x:c>
      <x:c r="I5" s="151" t="s">
        <x:v>2630</x:v>
      </x:c>
      <x:c r="J5" s="151" t="s">
        <x:v>2631</x:v>
      </x:c>
      <x:c r="K5" s="151" t="s">
        <x:v>28</x:v>
      </x:c>
      <x:c r="L5" s="151" t="s">
        <x:v>29</x:v>
      </x:c>
      <x:c r="M5" s="151" t="s">
        <x:v>30</x:v>
      </x:c>
      <x:c r="N5" s="151" t="s">
        <x:v>31</x:v>
      </x:c>
      <x:c r="O5" s="150" t="s">
        <x:v>1276</x:v>
      </x:c>
    </x:row>
    <x:row r="6" ht="7.150000095367432" customHeight="1">
      <x:c r="A6" s="149" t="s">
        <x:v>2632</x:v>
      </x:c>
      <x:c r="B6" s="148">
        <x:v>2018</x:v>
      </x:c>
      <x:c r="C6" s="148" t="s">
        <x:v>2633</x:v>
      </x:c>
      <x:c r="D6" s="148" t="s">
        <x:v>2634</x:v>
      </x:c>
      <x:c r="E6" s="147">
        <x:v>87</x:v>
      </x:c>
      <x:c r="F6" s="147">
        <x:v>36</x:v>
      </x:c>
      <x:c r="G6" s="147">
        <x:v>122</x:v>
      </x:c>
      <x:c r="H6" s="147">
        <x:v>0</x:v>
      </x:c>
      <x:c r="I6" s="147">
        <x:v>0</x:v>
      </x:c>
      <x:c r="J6" s="147" t="n">
        <x:f t="shared" ref="J6:J23" si="0">SUM(E6:I6)</x:f>
        <x:v>245</x:v>
      </x:c>
      <x:c r="K6" s="146" t="s">
        <x:v>1501</x:v>
      </x:c>
      <x:c r="L6" s="146" t="s">
        <x:v>1409</x:v>
      </x:c>
      <x:c r="M6" s="146"/>
      <x:c r="N6" s="146"/>
      <x:c r="O6" s="145"/>
    </x:row>
    <x:row r="7" ht="7.150000095367432" customHeight="1">
      <x:c r="A7" s="144" t="s">
        <x:v>2635</x:v>
      </x:c>
      <x:c r="B7" s="143">
        <x:v>2018</x:v>
      </x:c>
      <x:c r="C7" s="143" t="s">
        <x:v>2633</x:v>
      </x:c>
      <x:c r="D7" s="143" t="s">
        <x:v>2636</x:v>
      </x:c>
      <x:c r="E7" s="142">
        <x:v>169</x:v>
      </x:c>
      <x:c r="F7" s="142">
        <x:v>46</x:v>
      </x:c>
      <x:c r="G7" s="142">
        <x:v>0</x:v>
      </x:c>
      <x:c r="H7" s="142">
        <x:v>0</x:v>
      </x:c>
      <x:c r="I7" s="142">
        <x:v>0</x:v>
      </x:c>
      <x:c r="J7" s="142">
        <x:f t="shared" si="0"/>
        <x:v>215</x:v>
      </x:c>
      <x:c r="K7" s="141" t="s">
        <x:v>1501</x:v>
      </x:c>
      <x:c r="L7" s="141" t="s">
        <x:v>1409</x:v>
      </x:c>
      <x:c r="M7" s="141"/>
      <x:c r="N7" s="141"/>
      <x:c r="O7" s="140"/>
    </x:row>
    <x:row r="8" ht="7.150000095367432" customHeight="1">
      <x:c r="A8" s="144" t="s">
        <x:v>2637</x:v>
      </x:c>
      <x:c r="B8" s="143">
        <x:v>2019</x:v>
      </x:c>
      <x:c r="C8" s="143" t="s">
        <x:v>2633</x:v>
      </x:c>
      <x:c r="D8" s="143" t="s">
        <x:v>2634</x:v>
      </x:c>
      <x:c r="E8" s="142">
        <x:v>70</x:v>
      </x:c>
      <x:c r="F8" s="142">
        <x:v>0</x:v>
      </x:c>
      <x:c r="G8" s="142">
        <x:v>111</x:v>
      </x:c>
      <x:c r="H8" s="142">
        <x:v>0</x:v>
      </x:c>
      <x:c r="I8" s="142">
        <x:v>0</x:v>
      </x:c>
      <x:c r="J8" s="142">
        <x:f t="shared" si="0"/>
        <x:v>181</x:v>
      </x:c>
      <x:c r="K8" s="141" t="s">
        <x:v>1501</x:v>
      </x:c>
      <x:c r="L8" s="141" t="s">
        <x:v>1409</x:v>
      </x:c>
      <x:c r="M8" s="141"/>
      <x:c r="N8" s="141"/>
      <x:c r="O8" s="140"/>
    </x:row>
    <x:row r="9" ht="7.150000095367432" customHeight="1">
      <x:c r="A9" s="144" t="s">
        <x:v>2638</x:v>
      </x:c>
      <x:c r="B9" s="143">
        <x:v>2019</x:v>
      </x:c>
      <x:c r="C9" s="143" t="s">
        <x:v>2633</x:v>
      </x:c>
      <x:c r="D9" s="143" t="s">
        <x:v>2636</x:v>
      </x:c>
      <x:c r="E9" s="142">
        <x:v>50</x:v>
      </x:c>
      <x:c r="F9" s="142">
        <x:v>12</x:v>
      </x:c>
      <x:c r="G9" s="142">
        <x:v>0</x:v>
      </x:c>
      <x:c r="H9" s="142">
        <x:v>57</x:v>
      </x:c>
      <x:c r="I9" s="142">
        <x:v>0</x:v>
      </x:c>
      <x:c r="J9" s="142">
        <x:f t="shared" si="0"/>
        <x:v>119</x:v>
      </x:c>
      <x:c r="K9" s="141" t="s">
        <x:v>1501</x:v>
      </x:c>
      <x:c r="L9" s="141" t="s">
        <x:v>1409</x:v>
      </x:c>
      <x:c r="M9" s="141"/>
      <x:c r="N9" s="141"/>
      <x:c r="O9" s="140"/>
    </x:row>
    <x:row r="10" ht="7.150000095367432" customHeight="1">
      <x:c r="A10" s="144" t="s">
        <x:v>2639</x:v>
      </x:c>
      <x:c r="B10" s="143">
        <x:v>2020</x:v>
      </x:c>
      <x:c r="C10" s="143" t="s">
        <x:v>2633</x:v>
      </x:c>
      <x:c r="D10" s="143" t="s">
        <x:v>2634</x:v>
      </x:c>
      <x:c r="E10" s="142">
        <x:v>8</x:v>
      </x:c>
      <x:c r="F10" s="142">
        <x:v>0</x:v>
      </x:c>
      <x:c r="G10" s="142">
        <x:v>19</x:v>
      </x:c>
      <x:c r="H10" s="142">
        <x:v>0</x:v>
      </x:c>
      <x:c r="I10" s="142">
        <x:v>0</x:v>
      </x:c>
      <x:c r="J10" s="142">
        <x:f t="shared" si="0"/>
        <x:v>27</x:v>
      </x:c>
      <x:c r="K10" s="141" t="s">
        <x:v>1501</x:v>
      </x:c>
      <x:c r="L10" s="141" t="s">
        <x:v>1409</x:v>
      </x:c>
      <x:c r="M10" s="141"/>
      <x:c r="N10" s="141"/>
      <x:c r="O10" s="140"/>
    </x:row>
    <x:row r="11" ht="7.150000095367432" customHeight="1">
      <x:c r="A11" s="144" t="s">
        <x:v>2640</x:v>
      </x:c>
      <x:c r="B11" s="143">
        <x:v>2020</x:v>
      </x:c>
      <x:c r="C11" s="143" t="s">
        <x:v>2633</x:v>
      </x:c>
      <x:c r="D11" s="143" t="s">
        <x:v>2636</x:v>
      </x:c>
      <x:c r="E11" s="142">
        <x:v>40</x:v>
      </x:c>
      <x:c r="F11" s="142">
        <x:v>0</x:v>
      </x:c>
      <x:c r="G11" s="142">
        <x:v>80</x:v>
      </x:c>
      <x:c r="H11" s="142">
        <x:v>23</x:v>
      </x:c>
      <x:c r="I11" s="142">
        <x:v>0</x:v>
      </x:c>
      <x:c r="J11" s="142">
        <x:f t="shared" si="0"/>
        <x:v>143</x:v>
      </x:c>
      <x:c r="K11" s="141" t="s">
        <x:v>1501</x:v>
      </x:c>
      <x:c r="L11" s="141" t="s">
        <x:v>1409</x:v>
      </x:c>
      <x:c r="M11" s="141"/>
      <x:c r="N11" s="141"/>
      <x:c r="O11" s="140"/>
    </x:row>
    <x:row r="12" ht="7.150000095367432" customHeight="1">
      <x:c r="A12" s="144" t="s">
        <x:v>2641</x:v>
      </x:c>
      <x:c r="B12" s="143">
        <x:v>2021</x:v>
      </x:c>
      <x:c r="C12" s="143" t="s">
        <x:v>2633</x:v>
      </x:c>
      <x:c r="D12" s="143" t="s">
        <x:v>2634</x:v>
      </x:c>
      <x:c r="E12" s="142">
        <x:v>6</x:v>
      </x:c>
      <x:c r="F12" s="142">
        <x:v>0</x:v>
      </x:c>
      <x:c r="G12" s="142">
        <x:v>0</x:v>
      </x:c>
      <x:c r="H12" s="142">
        <x:v>0</x:v>
      </x:c>
      <x:c r="I12" s="142">
        <x:v>0</x:v>
      </x:c>
      <x:c r="J12" s="142">
        <x:f t="shared" si="0"/>
        <x:v>6</x:v>
      </x:c>
      <x:c r="K12" s="141" t="s">
        <x:v>1501</x:v>
      </x:c>
      <x:c r="L12" s="141" t="s">
        <x:v>1409</x:v>
      </x:c>
      <x:c r="M12" s="141"/>
      <x:c r="N12" s="141"/>
      <x:c r="O12" s="140"/>
    </x:row>
    <x:row r="13" ht="7.150000095367432" customHeight="1">
      <x:c r="A13" s="144" t="s">
        <x:v>2642</x:v>
      </x:c>
      <x:c r="B13" s="143">
        <x:v>2021</x:v>
      </x:c>
      <x:c r="C13" s="143" t="s">
        <x:v>2633</x:v>
      </x:c>
      <x:c r="D13" s="143" t="s">
        <x:v>2636</x:v>
      </x:c>
      <x:c r="E13" s="142">
        <x:v>16</x:v>
      </x:c>
      <x:c r="F13" s="142">
        <x:v>0</x:v>
      </x:c>
      <x:c r="G13" s="142">
        <x:v>47</x:v>
      </x:c>
      <x:c r="H13" s="142">
        <x:v>99</x:v>
      </x:c>
      <x:c r="I13" s="142">
        <x:v>0</x:v>
      </x:c>
      <x:c r="J13" s="142">
        <x:f t="shared" si="0"/>
        <x:v>162</x:v>
      </x:c>
      <x:c r="K13" s="141" t="s">
        <x:v>1501</x:v>
      </x:c>
      <x:c r="L13" s="141" t="s">
        <x:v>1409</x:v>
      </x:c>
      <x:c r="M13" s="141"/>
      <x:c r="N13" s="141"/>
      <x:c r="O13" s="140"/>
    </x:row>
    <x:row r="14" ht="7.150000095367432" customHeight="1">
      <x:c r="A14" s="144" t="s">
        <x:v>2643</x:v>
      </x:c>
      <x:c r="B14" s="143">
        <x:v>2022</x:v>
      </x:c>
      <x:c r="C14" s="143" t="s">
        <x:v>2633</x:v>
      </x:c>
      <x:c r="D14" s="143" t="s">
        <x:v>2634</x:v>
      </x:c>
      <x:c r="E14" s="142">
        <x:v>4</x:v>
      </x:c>
      <x:c r="F14" s="142">
        <x:v>0</x:v>
      </x:c>
      <x:c r="G14" s="142">
        <x:v>0</x:v>
      </x:c>
      <x:c r="H14" s="142">
        <x:v>0</x:v>
      </x:c>
      <x:c r="I14" s="142">
        <x:v>0</x:v>
      </x:c>
      <x:c r="J14" s="142">
        <x:f t="shared" si="0"/>
        <x:v>4</x:v>
      </x:c>
      <x:c r="K14" s="141" t="s">
        <x:v>1501</x:v>
      </x:c>
      <x:c r="L14" s="141" t="s">
        <x:v>1409</x:v>
      </x:c>
      <x:c r="M14" s="141"/>
      <x:c r="N14" s="141"/>
      <x:c r="O14" s="140"/>
    </x:row>
    <x:row r="15" ht="7.150000095367432" customHeight="1">
      <x:c r="A15" s="144" t="s">
        <x:v>2644</x:v>
      </x:c>
      <x:c r="B15" s="143">
        <x:v>2022</x:v>
      </x:c>
      <x:c r="C15" s="143" t="s">
        <x:v>2633</x:v>
      </x:c>
      <x:c r="D15" s="143" t="s">
        <x:v>2636</x:v>
      </x:c>
      <x:c r="E15" s="142">
        <x:v>18</x:v>
      </x:c>
      <x:c r="F15" s="142">
        <x:v>0</x:v>
      </x:c>
      <x:c r="G15" s="142">
        <x:v>0</x:v>
      </x:c>
      <x:c r="H15" s="142">
        <x:v>0</x:v>
      </x:c>
      <x:c r="I15" s="142">
        <x:v>0</x:v>
      </x:c>
      <x:c r="J15" s="142">
        <x:f t="shared" si="0"/>
        <x:v>18</x:v>
      </x:c>
      <x:c r="K15" s="141" t="s">
        <x:v>1501</x:v>
      </x:c>
      <x:c r="L15" s="141" t="s">
        <x:v>1409</x:v>
      </x:c>
      <x:c r="M15" s="141"/>
      <x:c r="N15" s="141"/>
      <x:c r="O15" s="140"/>
    </x:row>
    <x:row r="16" ht="7.150000095367432" customHeight="1">
      <x:c r="A16" s="144" t="s">
        <x:v>2645</x:v>
      </x:c>
      <x:c r="B16" s="143">
        <x:v>2023</x:v>
      </x:c>
      <x:c r="C16" s="143" t="s">
        <x:v>2633</x:v>
      </x:c>
      <x:c r="D16" s="143" t="s">
        <x:v>2634</x:v>
      </x:c>
      <x:c r="E16" s="142">
        <x:v>4</x:v>
      </x:c>
      <x:c r="F16" s="142">
        <x:v>0</x:v>
      </x:c>
      <x:c r="G16" s="142">
        <x:v>0</x:v>
      </x:c>
      <x:c r="H16" s="142">
        <x:v>0</x:v>
      </x:c>
      <x:c r="I16" s="142">
        <x:v>0</x:v>
      </x:c>
      <x:c r="J16" s="142">
        <x:f t="shared" si="0"/>
        <x:v>4</x:v>
      </x:c>
      <x:c r="K16" s="141" t="s">
        <x:v>1501</x:v>
      </x:c>
      <x:c r="L16" s="141" t="s">
        <x:v>1409</x:v>
      </x:c>
      <x:c r="M16" s="141"/>
      <x:c r="N16" s="141"/>
      <x:c r="O16" s="140"/>
    </x:row>
    <x:row r="17" ht="7.150000095367432" customHeight="1">
      <x:c r="A17" s="144" t="s">
        <x:v>2646</x:v>
      </x:c>
      <x:c r="B17" s="143">
        <x:v>2023</x:v>
      </x:c>
      <x:c r="C17" s="143" t="s">
        <x:v>2633</x:v>
      </x:c>
      <x:c r="D17" s="143" t="s">
        <x:v>2636</x:v>
      </x:c>
      <x:c r="E17" s="142">
        <x:v>11</x:v>
      </x:c>
      <x:c r="F17" s="142">
        <x:v>0</x:v>
      </x:c>
      <x:c r="G17" s="142">
        <x:v>0</x:v>
      </x:c>
      <x:c r="H17" s="142">
        <x:v>0</x:v>
      </x:c>
      <x:c r="I17" s="142">
        <x:v>0</x:v>
      </x:c>
      <x:c r="J17" s="142">
        <x:f t="shared" si="0"/>
        <x:v>11</x:v>
      </x:c>
      <x:c r="K17" s="141" t="s">
        <x:v>1501</x:v>
      </x:c>
      <x:c r="L17" s="141" t="s">
        <x:v>1409</x:v>
      </x:c>
      <x:c r="M17" s="141"/>
      <x:c r="N17" s="141"/>
      <x:c r="O17" s="140"/>
    </x:row>
    <x:row r="18" ht="7.150000095367432" customHeight="1">
      <x:c r="A18" s="144" t="s">
        <x:v>2647</x:v>
      </x:c>
      <x:c r="B18" s="143">
        <x:v>2024</x:v>
      </x:c>
      <x:c r="C18" s="143" t="s">
        <x:v>2633</x:v>
      </x:c>
      <x:c r="D18" s="143" t="s">
        <x:v>2634</x:v>
      </x:c>
      <x:c r="E18" s="142">
        <x:v>0</x:v>
      </x:c>
      <x:c r="F18" s="142">
        <x:v>20</x:v>
      </x:c>
      <x:c r="G18" s="142">
        <x:v>0</x:v>
      </x:c>
      <x:c r="H18" s="142">
        <x:v>0</x:v>
      </x:c>
      <x:c r="I18" s="142">
        <x:v>0</x:v>
      </x:c>
      <x:c r="J18" s="142">
        <x:f t="shared" si="0"/>
        <x:v>20</x:v>
      </x:c>
      <x:c r="K18" s="141" t="s">
        <x:v>1501</x:v>
      </x:c>
      <x:c r="L18" s="141" t="s">
        <x:v>1409</x:v>
      </x:c>
      <x:c r="M18" s="141"/>
      <x:c r="N18" s="141"/>
      <x:c r="O18" s="140"/>
    </x:row>
    <x:row r="19" ht="7.150000095367432" customHeight="1">
      <x:c r="A19" s="144" t="s">
        <x:v>2648</x:v>
      </x:c>
      <x:c r="B19" s="143">
        <x:v>2024</x:v>
      </x:c>
      <x:c r="C19" s="143" t="s">
        <x:v>2633</x:v>
      </x:c>
      <x:c r="D19" s="143" t="s">
        <x:v>2636</x:v>
      </x:c>
      <x:c r="E19" s="142">
        <x:v>8</x:v>
      </x:c>
      <x:c r="F19" s="142">
        <x:v>0</x:v>
      </x:c>
      <x:c r="G19" s="142">
        <x:v>0</x:v>
      </x:c>
      <x:c r="H19" s="142">
        <x:v>0</x:v>
      </x:c>
      <x:c r="I19" s="142">
        <x:v>2</x:v>
      </x:c>
      <x:c r="J19" s="142">
        <x:f t="shared" si="0"/>
        <x:v>10</x:v>
      </x:c>
      <x:c r="K19" s="141" t="s">
        <x:v>1501</x:v>
      </x:c>
      <x:c r="L19" s="141" t="s">
        <x:v>1409</x:v>
      </x:c>
      <x:c r="M19" s="141"/>
      <x:c r="N19" s="141"/>
      <x:c r="O19" s="140"/>
    </x:row>
    <x:row r="20" ht="7.150000095367432" customHeight="1">
      <x:c r="A20" s="144" t="s">
        <x:v>2649</x:v>
      </x:c>
      <x:c r="B20" s="143">
        <x:v>2025</x:v>
      </x:c>
      <x:c r="C20" s="143" t="s">
        <x:v>2633</x:v>
      </x:c>
      <x:c r="D20" s="143" t="s">
        <x:v>2634</x:v>
      </x:c>
      <x:c r="E20" s="142">
        <x:v>1</x:v>
      </x:c>
      <x:c r="F20" s="142">
        <x:v>0</x:v>
      </x:c>
      <x:c r="G20" s="142">
        <x:v>0</x:v>
      </x:c>
      <x:c r="H20" s="142">
        <x:v>1</x:v>
      </x:c>
      <x:c r="I20" s="142">
        <x:v>0</x:v>
      </x:c>
      <x:c r="J20" s="142">
        <x:f t="shared" si="0"/>
        <x:v>2</x:v>
      </x:c>
      <x:c r="K20" s="141" t="s">
        <x:v>1501</x:v>
      </x:c>
      <x:c r="L20" s="141" t="s">
        <x:v>1409</x:v>
      </x:c>
      <x:c r="M20" s="141"/>
      <x:c r="N20" s="141"/>
      <x:c r="O20" s="140"/>
    </x:row>
    <x:row r="21" ht="7.150000095367432" customHeight="1">
      <x:c r="A21" s="144" t="s">
        <x:v>2650</x:v>
      </x:c>
      <x:c r="B21" s="143">
        <x:v>2025</x:v>
      </x:c>
      <x:c r="C21" s="143" t="s">
        <x:v>2633</x:v>
      </x:c>
      <x:c r="D21" s="143" t="s">
        <x:v>2636</x:v>
      </x:c>
      <x:c r="E21" s="142">
        <x:v>4</x:v>
      </x:c>
      <x:c r="F21" s="142">
        <x:v>0</x:v>
      </x:c>
      <x:c r="G21" s="142">
        <x:v>0</x:v>
      </x:c>
      <x:c r="H21" s="142">
        <x:v>49</x:v>
      </x:c>
      <x:c r="I21" s="142">
        <x:v>6</x:v>
      </x:c>
      <x:c r="J21" s="142">
        <x:f t="shared" si="0"/>
        <x:v>59</x:v>
      </x:c>
      <x:c r="K21" s="141" t="s">
        <x:v>1501</x:v>
      </x:c>
      <x:c r="L21" s="141" t="s">
        <x:v>1409</x:v>
      </x:c>
      <x:c r="M21" s="141"/>
      <x:c r="N21" s="141"/>
      <x:c r="O21" s="140"/>
    </x:row>
    <x:row r="22" ht="7.150000095367432" customHeight="1">
      <x:c r="A22" s="144" t="s">
        <x:v>2651</x:v>
      </x:c>
      <x:c r="B22" s="143">
        <x:v>2026</x:v>
      </x:c>
      <x:c r="C22" s="143" t="s">
        <x:v>2652</x:v>
      </x:c>
      <x:c r="D22" s="143" t="s">
        <x:v>2634</x:v>
      </x:c>
      <x:c r="E22" s="142">
        <x:v>2</x:v>
      </x:c>
      <x:c r="F22" s="142">
        <x:v>0</x:v>
      </x:c>
      <x:c r="G22" s="142">
        <x:v>0</x:v>
      </x:c>
      <x:c r="H22" s="142">
        <x:v>0</x:v>
      </x:c>
      <x:c r="I22" s="142">
        <x:v>0</x:v>
      </x:c>
      <x:c r="J22" s="142">
        <x:f t="shared" si="0"/>
        <x:v>2</x:v>
      </x:c>
      <x:c r="K22" s="141" t="s">
        <x:v>1501</x:v>
      </x:c>
      <x:c r="L22" s="141" t="s">
        <x:v>1409</x:v>
      </x:c>
      <x:c r="M22" s="141"/>
      <x:c r="N22" s="141"/>
      <x:c r="O22" s="140" t="s">
        <x:v>2653</x:v>
      </x:c>
    </x:row>
    <x:row r="23" ht="7.150000095367432" customHeight="1">
      <x:c r="A23" s="139" t="s">
        <x:v>2654</x:v>
      </x:c>
      <x:c r="B23" s="138">
        <x:v>2026</x:v>
      </x:c>
      <x:c r="C23" s="138" t="s">
        <x:v>2652</x:v>
      </x:c>
      <x:c r="D23" s="138" t="s">
        <x:v>2636</x:v>
      </x:c>
      <x:c r="E23" s="137">
        <x:v>8</x:v>
      </x:c>
      <x:c r="F23" s="137">
        <x:v>0</x:v>
      </x:c>
      <x:c r="G23" s="137">
        <x:v>0</x:v>
      </x:c>
      <x:c r="H23" s="137">
        <x:v>135</x:v>
      </x:c>
      <x:c r="I23" s="137">
        <x:v>0</x:v>
      </x:c>
      <x:c r="J23" s="137">
        <x:f t="shared" si="0"/>
        <x:v>143</x:v>
      </x:c>
      <x:c r="K23" s="136" t="s">
        <x:v>1501</x:v>
      </x:c>
      <x:c r="L23" s="136" t="s">
        <x:v>1409</x:v>
      </x:c>
      <x:c r="M23" s="136"/>
      <x:c r="N23" s="136"/>
      <x:c r="O23" s="135" t="s">
        <x:v>2653</x:v>
      </x:c>
    </x:row>
    <x:row r="24">
      <x:c r="E24" s="134"/>
      <x:c r="F24" s="134"/>
      <x:c r="G24" s="134"/>
      <x:c r="H24" s="134"/>
      <x:c r="I24" s="134"/>
      <x:c r="J24" s="134"/>
    </x:row>
    <x:row r="25" ht="7.150000095367432" customHeight="1">
      <x:c r="B25" s="286" t="s">
        <x:v>2655</x:v>
      </x:c>
      <x:c r="C25" s="286"/>
      <x:c r="D25" s="286"/>
      <x:c r="E25" s="133" t="n">
        <x:f t="shared" ref="E25:J25" si="1">SUM(E6:E23)</x:f>
        <x:v>506</x:v>
      </x:c>
      <x:c r="F25" s="133">
        <x:f t="shared" si="1"/>
        <x:v>114</x:v>
      </x:c>
      <x:c r="G25" s="133">
        <x:f t="shared" si="1"/>
        <x:v>379</x:v>
      </x:c>
      <x:c r="H25" s="133">
        <x:f t="shared" si="1"/>
        <x:v>364</x:v>
      </x:c>
      <x:c r="I25" s="133">
        <x:f t="shared" si="1"/>
        <x:v>8</x:v>
      </x:c>
      <x:c r="J25" s="133">
        <x:f t="shared" si="1"/>
        <x:v>1371</x:v>
      </x:c>
      <x:c r="K25" s="132"/>
      <x:c r="L25" s="132"/>
      <x:c r="M25" s="132"/>
      <x:c r="N25" s="132"/>
      <x:c r="O25" s="132"/>
    </x:row>
    <x:row r="26" ht="7.150000095367432" customHeight="1">
      <x:c r="B26" s="280" t="s">
        <x:v>2656</x:v>
      </x:c>
      <x:c r="C26" s="280"/>
      <x:c r="D26" s="280"/>
      <x:c r="E26" s="281"/>
      <x:c r="F26" s="281"/>
      <x:c r="G26" s="281"/>
      <x:c r="H26" s="281"/>
      <x:c r="I26" s="281"/>
      <x:c r="J26" s="130" t="n">
        <x:f>SUMIF(C6:C23,"Realisasi",J6:J23)</x:f>
        <x:v>1226</x:v>
      </x:c>
    </x:row>
    <x:row r="27" ht="7.150000095367432" customHeight="1">
      <x:c r="B27" s="280" t="s">
        <x:v>2657</x:v>
      </x:c>
      <x:c r="C27" s="280"/>
      <x:c r="D27" s="280"/>
      <x:c r="E27" s="281"/>
      <x:c r="F27" s="281"/>
      <x:c r="G27" s="281"/>
      <x:c r="H27" s="281"/>
      <x:c r="I27" s="281"/>
      <x:c r="J27" s="130" t="n">
        <x:f>SUMIF(C6:C23,"Proses",J6:J23)</x:f>
        <x:v>145</x:v>
      </x:c>
      <x:c r="K27" s="282" t="s">
        <x:v>2658</x:v>
      </x:c>
      <x:c r="L27" s="282"/>
      <x:c r="M27" s="282"/>
      <x:c r="N27" s="282"/>
      <x:c r="O27" s="282"/>
    </x:row>
  </x:sheetData>
  <x:mergeCells>
    <x:mergeCell ref="B27:I27"/>
    <x:mergeCell ref="K27:O27"/>
    <x:mergeCell ref="A1:O1"/>
    <x:mergeCell ref="A2:O2"/>
    <x:mergeCell ref="A3:O3"/>
    <x:mergeCell ref="B25:D25"/>
    <x:mergeCell ref="B26:I26"/>
  </x:mergeCells>
  <x:conditionalFormatting sqref="C6:C205">
    <x:cfRule type="expression" dxfId="8" priority="1">
      <x:formula>C6="Proses"</x:formula>
    </x:cfRule>
  </x:conditionalFormatting>
  <x:conditionalFormatting sqref="J6:J23">
    <x:cfRule type="dataBar" priority="2">
      <x:dataBar>
        <x:cfvo type="min"/>
        <x:cfvo type="max"/>
        <x:color rgb="FF175B72"/>
      </x:dataBar>
    </x:cfRule>
    <x:cfRule type="dataBar" priority="3">
      <x:dataBar>
        <x:cfvo type="min"/>
        <x:cfvo type="max"/>
        <x:color rgb="FF175B72"/>
      </x:dataBar>
    </x:cfRule>
    <x:cfRule type="dataBar" priority="4">
      <x:dataBar>
        <x:cfvo type="min"/>
        <x:cfvo type="max"/>
        <x:color rgb="FF175B72"/>
      </x:dataBar>
    </x:cfRule>
    <x:cfRule type="dataBar" priority="5">
      <x:dataBar>
        <x:cfvo type="min"/>
        <x:cfvo type="max"/>
        <x:color rgb="FF175B72"/>
      </x:dataBar>
      <x:extLst>
        <x:ext xmlns:x14="http://schemas.microsoft.com/office/spreadsheetml/2009/9/main" uri="{B025F937-C7B1-47D3-B67F-A62EFF666E3E}">
          <x14:id>{4313DA93-B237-4016-A7F2-A9F209F2DC61}</x14:id>
        </x:ext>
      </x:extLst>
    </x:cfRule>
  </x:conditionalFormatting>
  <x:dataValidations count="3">
    <x:dataValidation type="list" sqref="L6:L205">
      <x:formula1>"Terverifikasi,Belum Diverifikasi,Perlu Perbaikan"</x:formula1>
    </x:dataValidation>
    <x:dataValidation type="list" sqref="D6:D205">
      <x:formula1>"Kumuh,Luar Kumuh"</x:formula1>
    </x:dataValidation>
    <x:dataValidation type="list" sqref="C6:C205">
      <x:formula1>"Realisasi,Proses"</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5" id="{4313DA93-B237-4016-A7F2-A9F209F2DC61}">
            <x14:dataBar>
              <x14:cfvo type="min"/>
              <x14:cfvo type="max"/>
              <x14:fillColor rgb="FF175B72"/>
              <x14:negativeFillColor auto="1"/>
              <x14:axisColor auto="1"/>
            </x14:dataBar>
          </x14:cfRule>
          <xm:sqref>J6:J23</xm:sqref>
        </x14:conditionalFormatting>
      </x14:conditionalFormattings>
    </x:ext>
  </x:extLst>
</x:worksheet>
</file>

<file path=xl/worksheets/sheet11.xml><?xml version="1.0" encoding="utf-8"?>
<x:worksheet xmlns:x="http://schemas.openxmlformats.org/spreadsheetml/2006/main">
  <x:sheetFormatPr defaultRowHeight="14"/>
  <x:cols>
    <x:col min="1" max="1" width="20" customWidth="1"/>
    <x:col min="2" max="2" width="10" customWidth="1"/>
    <x:col min="3" max="3" width="20" customWidth="1"/>
    <x:col min="4" max="4" width="37" customWidth="1"/>
    <x:col min="5" max="5" width="18" customWidth="1"/>
    <x:col min="6" max="6" width="16" customWidth="1"/>
    <x:col min="7" max="7" width="15" customWidth="1"/>
    <x:col min="8" max="9" width="18" customWidth="1"/>
    <x:col min="10" max="10" width="21" customWidth="1"/>
    <x:col min="11" max="11" width="23" customWidth="1"/>
    <x:col min="12" max="12" width="42" customWidth="1"/>
    <x:col min="13" max="13" width="25" customWidth="1"/>
    <x:col min="14" max="14" width="14" customWidth="1"/>
    <x:col min="15" max="15" width="48" customWidth="1"/>
    <x:col min="16" max="16" width="29" customWidth="1"/>
    <x:col min="17" max="17" width="24" customWidth="1"/>
    <x:col min="18" max="18" width="17" customWidth="1"/>
    <x:col min="19" max="19" width="18" customWidth="1"/>
  </x:cols>
  <x:sheetData>
    <x:row r="1" ht="8.25" customHeight="1">
      <x:c r="A1" s="283" t="s">
        <x:v>2659</x:v>
      </x:c>
      <x:c r="B1" s="283"/>
      <x:c r="C1" s="283"/>
      <x:c r="D1" s="283"/>
      <x:c r="E1" s="283"/>
      <x:c r="F1" s="283"/>
      <x:c r="G1" s="283"/>
      <x:c r="H1" s="283"/>
      <x:c r="I1" s="283"/>
      <x:c r="J1" s="283"/>
      <x:c r="K1" s="283"/>
      <x:c r="L1" s="283"/>
      <x:c r="M1" s="283"/>
      <x:c r="N1" s="283"/>
      <x:c r="O1" s="283"/>
      <x:c r="P1" s="283"/>
      <x:c r="Q1" s="283"/>
      <x:c r="R1" s="283"/>
      <x:c r="S1" s="283"/>
    </x:row>
    <x:row r="2" ht="7.75" customHeight="1">
      <x:c r="A2" s="284" t="s">
        <x:v>2660</x:v>
      </x:c>
      <x:c r="B2" s="284"/>
      <x:c r="C2" s="284"/>
      <x:c r="D2" s="284"/>
      <x:c r="E2" s="284"/>
      <x:c r="F2" s="284"/>
      <x:c r="G2" s="284"/>
      <x:c r="H2" s="284"/>
      <x:c r="I2" s="284"/>
      <x:c r="J2" s="284"/>
      <x:c r="K2" s="284"/>
      <x:c r="L2" s="284"/>
      <x:c r="M2" s="284"/>
      <x:c r="N2" s="284"/>
      <x:c r="O2" s="284"/>
      <x:c r="P2" s="284"/>
      <x:c r="Q2" s="284"/>
      <x:c r="R2" s="284"/>
      <x:c r="S2" s="284"/>
    </x:row>
    <x:row r="3" ht="10.649999618530273" customHeight="1">
      <x:c r="A3" s="285" t="s">
        <x:v>2661</x:v>
      </x:c>
      <x:c r="B3" s="285"/>
      <x:c r="C3" s="285"/>
      <x:c r="D3" s="285"/>
      <x:c r="E3" s="285"/>
      <x:c r="F3" s="285"/>
      <x:c r="G3" s="285"/>
      <x:c r="H3" s="285"/>
      <x:c r="I3" s="285"/>
      <x:c r="J3" s="285"/>
      <x:c r="K3" s="285"/>
      <x:c r="L3" s="285"/>
      <x:c r="M3" s="285"/>
      <x:c r="N3" s="285"/>
      <x:c r="O3" s="285"/>
      <x:c r="P3" s="285"/>
      <x:c r="Q3" s="285"/>
      <x:c r="R3" s="285"/>
      <x:c r="S3" s="285"/>
    </x:row>
    <x:row r="5" ht="12.399999618530273" customHeight="1">
      <x:c r="A5" s="152" t="s">
        <x:v>2662</x:v>
      </x:c>
      <x:c r="B5" s="151" t="s">
        <x:v>2573</x:v>
      </x:c>
      <x:c r="C5" s="151" t="s">
        <x:v>2663</x:v>
      </x:c>
      <x:c r="D5" s="151" t="s">
        <x:v>2664</x:v>
      </x:c>
      <x:c r="E5" s="151" t="s">
        <x:v>2665</x:v>
      </x:c>
      <x:c r="F5" s="151" t="s">
        <x:v>2666</x:v>
      </x:c>
      <x:c r="G5" s="151" t="s">
        <x:v>2667</x:v>
      </x:c>
      <x:c r="H5" s="151" t="s">
        <x:v>2668</x:v>
      </x:c>
      <x:c r="I5" s="151" t="s">
        <x:v>2669</x:v>
      </x:c>
      <x:c r="J5" s="151" t="s">
        <x:v>2670</x:v>
      </x:c>
      <x:c r="K5" s="151" t="s">
        <x:v>2671</x:v>
      </x:c>
      <x:c r="L5" s="151" t="s">
        <x:v>2672</x:v>
      </x:c>
      <x:c r="M5" s="151" t="s">
        <x:v>2673</x:v>
      </x:c>
      <x:c r="N5" s="151" t="s">
        <x:v>2624</x:v>
      </x:c>
      <x:c r="O5" s="151" t="s">
        <x:v>1276</x:v>
      </x:c>
      <x:c r="P5" s="151" t="s">
        <x:v>28</x:v>
      </x:c>
      <x:c r="Q5" s="151" t="s">
        <x:v>29</x:v>
      </x:c>
      <x:c r="R5" s="151" t="s">
        <x:v>30</x:v>
      </x:c>
      <x:c r="S5" s="150" t="s">
        <x:v>31</x:v>
      </x:c>
    </x:row>
    <x:row r="6" ht="12.399999618530273" customHeight="1">
      <x:c r="A6" s="149" t="s">
        <x:v>2674</x:v>
      </x:c>
      <x:c r="B6" s="148">
        <x:v>2014</x:v>
      </x:c>
      <x:c r="C6" s="148" t="s">
        <x:v>2675</x:v>
      </x:c>
      <x:c r="D6" s="148" t="s">
        <x:v>2676</x:v>
      </x:c>
      <x:c r="E6" s="148"/>
      <x:c r="F6" s="148">
        <x:v>14</x:v>
      </x:c>
      <x:c r="G6" s="164">
        <x:v>196.2</x:v>
      </x:c>
      <x:c r="H6" s="164"/>
      <x:c r="I6" s="163"/>
      <x:c r="J6" s="164" t="n">
        <x:f t="shared" ref="J6:J13" si="0">$G$6-G6</x:f>
        <x:v>0</x:v>
      </x:c>
      <x:c r="K6" s="163" t="n">
        <x:f t="shared" ref="K6:K13" si="1">IF($G$6=0,"",J6/$G$6)</x:f>
        <x:v>0</x:v>
      </x:c>
      <x:c r="L6" s="146" t="s">
        <x:v>2677</x:v>
      </x:c>
      <x:c r="M6" s="146" t="s">
        <x:v>2678</x:v>
      </x:c>
      <x:c r="N6" s="146" t="s">
        <x:v>2679</x:v>
      </x:c>
      <x:c r="O6" s="146" t="s">
        <x:v>2680</x:v>
      </x:c>
      <x:c r="P6" s="146" t="s">
        <x:v>1501</x:v>
      </x:c>
      <x:c r="Q6" s="146" t="s">
        <x:v>2681</x:v>
      </x:c>
      <x:c r="R6" s="146"/>
      <x:c r="S6" s="145"/>
    </x:row>
    <x:row r="7" ht="12.399999618530273" customHeight="1">
      <x:c r="A7" s="144" t="s">
        <x:v>2682</x:v>
      </x:c>
      <x:c r="B7" s="143">
        <x:v>2018</x:v>
      </x:c>
      <x:c r="C7" s="143" t="s">
        <x:v>2683</x:v>
      </x:c>
      <x:c r="D7" s="143" t="s">
        <x:v>2676</x:v>
      </x:c>
      <x:c r="E7" s="143"/>
      <x:c r="F7" s="143">
        <x:v>14</x:v>
      </x:c>
      <x:c r="G7" s="162">
        <x:v>187.89</x:v>
      </x:c>
      <x:c r="H7" s="162" t="n">
        <x:f t="shared" ref="H7:H13" si="2">G7-G6</x:f>
        <x:v>-8.310000000000002</x:v>
      </x:c>
      <x:c r="I7" s="161" t="n">
        <x:f t="shared" ref="I7:I13" si="3">IF(G6=0,"",H7/G6)</x:f>
        <x:v>-0.04235474006116209</x:v>
      </x:c>
      <x:c r="J7" s="162">
        <x:f t="shared" si="0"/>
        <x:v>8.3100000000000023</x:v>
      </x:c>
      <x:c r="K7" s="161">
        <x:f t="shared" si="1"/>
        <x:v>4.2354740061162091E-2</x:v>
      </x:c>
      <x:c r="L7" s="141" t="s">
        <x:v>2684</x:v>
      </x:c>
      <x:c r="M7" s="141" t="s">
        <x:v>2678</x:v>
      </x:c>
      <x:c r="N7" s="141" t="s">
        <x:v>2679</x:v>
      </x:c>
      <x:c r="O7" s="141" t="s">
        <x:v>2685</x:v>
      </x:c>
      <x:c r="P7" s="141" t="s">
        <x:v>1501</x:v>
      </x:c>
      <x:c r="Q7" s="141" t="s">
        <x:v>2681</x:v>
      </x:c>
      <x:c r="R7" s="141"/>
      <x:c r="S7" s="140"/>
    </x:row>
    <x:row r="8" ht="12.399999618530273" customHeight="1">
      <x:c r="A8" s="144" t="s">
        <x:v>2686</x:v>
      </x:c>
      <x:c r="B8" s="143">
        <x:v>2019</x:v>
      </x:c>
      <x:c r="C8" s="143" t="s">
        <x:v>2687</x:v>
      </x:c>
      <x:c r="D8" s="143" t="s">
        <x:v>2676</x:v>
      </x:c>
      <x:c r="E8" s="143"/>
      <x:c r="F8" s="143">
        <x:v>1</x:v>
      </x:c>
      <x:c r="G8" s="162">
        <x:v>21.9</x:v>
      </x:c>
      <x:c r="H8" s="162">
        <x:f t="shared" si="2"/>
        <x:v>-165.98999999999998</x:v>
      </x:c>
      <x:c r="I8" s="161">
        <x:f t="shared" si="3"/>
        <x:v>-0.88344243972537118</x:v>
      </x:c>
      <x:c r="J8" s="162">
        <x:f t="shared" si="0"/>
        <x:v>174.29999999999998</x:v>
      </x:c>
      <x:c r="K8" s="161">
        <x:f t="shared" si="1"/>
        <x:v>0.88837920489296629</x:v>
      </x:c>
      <x:c r="L8" s="141" t="s">
        <x:v>2688</x:v>
      </x:c>
      <x:c r="M8" s="141" t="s">
        <x:v>2678</x:v>
      </x:c>
      <x:c r="N8" s="141" t="s">
        <x:v>2679</x:v>
      </x:c>
      <x:c r="O8" s="141" t="s">
        <x:v>2689</x:v>
      </x:c>
      <x:c r="P8" s="141" t="s">
        <x:v>1501</x:v>
      </x:c>
      <x:c r="Q8" s="141" t="s">
        <x:v>2681</x:v>
      </x:c>
      <x:c r="R8" s="141"/>
      <x:c r="S8" s="140"/>
    </x:row>
    <x:row r="9" ht="12.399999618530273" customHeight="1">
      <x:c r="A9" s="144" t="s">
        <x:v>2690</x:v>
      </x:c>
      <x:c r="B9" s="143">
        <x:v>2020</x:v>
      </x:c>
      <x:c r="C9" s="143" t="s">
        <x:v>2691</x:v>
      </x:c>
      <x:c r="D9" s="143" t="s">
        <x:v>2692</x:v>
      </x:c>
      <x:c r="E9" s="143"/>
      <x:c r="F9" s="143">
        <x:v>8</x:v>
      </x:c>
      <x:c r="G9" s="162">
        <x:v>148.5</x:v>
      </x:c>
      <x:c r="H9" s="162">
        <x:f t="shared" si="2"/>
        <x:v>126.6</x:v>
      </x:c>
      <x:c r="I9" s="161">
        <x:f t="shared" si="3"/>
        <x:v>5.7808219178082192</x:v>
      </x:c>
      <x:c r="J9" s="162">
        <x:f t="shared" si="0"/>
        <x:v>47.699999999999989</x:v>
      </x:c>
      <x:c r="K9" s="161">
        <x:f t="shared" si="1"/>
        <x:v>0.24311926605504583</x:v>
      </x:c>
      <x:c r="L9" s="141" t="s">
        <x:v>2693</x:v>
      </x:c>
      <x:c r="M9" s="141" t="s">
        <x:v>2694</x:v>
      </x:c>
      <x:c r="N9" s="141" t="s">
        <x:v>2679</x:v>
      </x:c>
      <x:c r="O9" s="141" t="s">
        <x:v>2695</x:v>
      </x:c>
      <x:c r="P9" s="141" t="s">
        <x:v>1501</x:v>
      </x:c>
      <x:c r="Q9" s="141" t="s">
        <x:v>2681</x:v>
      </x:c>
      <x:c r="R9" s="141"/>
      <x:c r="S9" s="140"/>
    </x:row>
    <x:row r="10" ht="12.399999618530273" customHeight="1">
      <x:c r="A10" s="144" t="s">
        <x:v>2696</x:v>
      </x:c>
      <x:c r="B10" s="143">
        <x:v>2021</x:v>
      </x:c>
      <x:c r="C10" s="143" t="s">
        <x:v>2691</x:v>
      </x:c>
      <x:c r="D10" s="143" t="s">
        <x:v>2692</x:v>
      </x:c>
      <x:c r="E10" s="143"/>
      <x:c r="F10" s="143">
        <x:v>8</x:v>
      </x:c>
      <x:c r="G10" s="162">
        <x:v>150.09</x:v>
      </x:c>
      <x:c r="H10" s="162">
        <x:f t="shared" si="2"/>
        <x:v>1.5900000000000034</x:v>
      </x:c>
      <x:c r="I10" s="161">
        <x:f t="shared" si="3"/>
        <x:v>1.0707070707070729E-2</x:v>
      </x:c>
      <x:c r="J10" s="162">
        <x:f t="shared" si="0"/>
        <x:v>46.109999999999985</x:v>
      </x:c>
      <x:c r="K10" s="161">
        <x:f t="shared" si="1"/>
        <x:v>0.2350152905198776</x:v>
      </x:c>
      <x:c r="L10" s="141" t="s">
        <x:v>2697</x:v>
      </x:c>
      <x:c r="M10" s="141" t="s">
        <x:v>2694</x:v>
      </x:c>
      <x:c r="N10" s="141" t="s">
        <x:v>2679</x:v>
      </x:c>
      <x:c r="O10" s="141" t="s">
        <x:v>2698</x:v>
      </x:c>
      <x:c r="P10" s="141" t="s">
        <x:v>1501</x:v>
      </x:c>
      <x:c r="Q10" s="141" t="s">
        <x:v>2681</x:v>
      </x:c>
      <x:c r="R10" s="141"/>
      <x:c r="S10" s="140"/>
    </x:row>
    <x:row r="11" ht="12.399999618530273" customHeight="1">
      <x:c r="A11" s="144" t="s">
        <x:v>2699</x:v>
      </x:c>
      <x:c r="B11" s="143">
        <x:v>2022</x:v>
      </x:c>
      <x:c r="C11" s="143" t="s">
        <x:v>2691</x:v>
      </x:c>
      <x:c r="D11" s="143" t="s">
        <x:v>2692</x:v>
      </x:c>
      <x:c r="E11" s="143"/>
      <x:c r="F11" s="143">
        <x:v>6</x:v>
      </x:c>
      <x:c r="G11" s="162">
        <x:v>85.3</x:v>
      </x:c>
      <x:c r="H11" s="162">
        <x:f t="shared" si="2"/>
        <x:v>-64.790000000000006</x:v>
      </x:c>
      <x:c r="I11" s="161">
        <x:f t="shared" si="3"/>
        <x:v>-0.43167432873609168</x:v>
      </x:c>
      <x:c r="J11" s="162">
        <x:f t="shared" si="0"/>
        <x:v>110.89999999999999</x:v>
      </x:c>
      <x:c r="K11" s="161">
        <x:f t="shared" si="1"/>
        <x:v>0.56523955147808358</x:v>
      </x:c>
      <x:c r="L11" s="141" t="s">
        <x:v>2700</x:v>
      </x:c>
      <x:c r="M11" s="141" t="s">
        <x:v>2701</x:v>
      </x:c>
      <x:c r="N11" s="141" t="s">
        <x:v>2679</x:v>
      </x:c>
      <x:c r="O11" s="141" t="s">
        <x:v>2702</x:v>
      </x:c>
      <x:c r="P11" s="141" t="s">
        <x:v>1501</x:v>
      </x:c>
      <x:c r="Q11" s="141" t="s">
        <x:v>2681</x:v>
      </x:c>
      <x:c r="R11" s="141"/>
      <x:c r="S11" s="140"/>
    </x:row>
    <x:row r="12" ht="12.399999618530273" customHeight="1">
      <x:c r="A12" s="144" t="s">
        <x:v>2703</x:v>
      </x:c>
      <x:c r="B12" s="143">
        <x:v>2023</x:v>
      </x:c>
      <x:c r="C12" s="143" t="s">
        <x:v>2691</x:v>
      </x:c>
      <x:c r="D12" s="143" t="s">
        <x:v>2692</x:v>
      </x:c>
      <x:c r="E12" s="143"/>
      <x:c r="F12" s="143">
        <x:v>2</x:v>
      </x:c>
      <x:c r="G12" s="162">
        <x:v>28.43</x:v>
      </x:c>
      <x:c r="H12" s="162">
        <x:f t="shared" si="2"/>
        <x:v>-56.87</x:v>
      </x:c>
      <x:c r="I12" s="161">
        <x:f t="shared" si="3"/>
        <x:v>-0.6667057444314185</x:v>
      </x:c>
      <x:c r="J12" s="162">
        <x:f t="shared" si="0"/>
        <x:v>167.76999999999998</x:v>
      </x:c>
      <x:c r="K12" s="161">
        <x:f t="shared" si="1"/>
        <x:v>0.85509683995922525</x:v>
      </x:c>
      <x:c r="L12" s="141" t="s">
        <x:v>2704</x:v>
      </x:c>
      <x:c r="M12" s="141" t="s">
        <x:v>2701</x:v>
      </x:c>
      <x:c r="N12" s="141" t="s">
        <x:v>2679</x:v>
      </x:c>
      <x:c r="O12" s="141" t="s">
        <x:v>2705</x:v>
      </x:c>
      <x:c r="P12" s="141" t="s">
        <x:v>1501</x:v>
      </x:c>
      <x:c r="Q12" s="141" t="s">
        <x:v>2681</x:v>
      </x:c>
      <x:c r="R12" s="141"/>
      <x:c r="S12" s="140"/>
    </x:row>
    <x:row r="13" ht="12.399999618530273" customHeight="1">
      <x:c r="A13" s="139" t="s">
        <x:v>2706</x:v>
      </x:c>
      <x:c r="B13" s="138">
        <x:v>2024</x:v>
      </x:c>
      <x:c r="C13" s="138" t="s">
        <x:v>2707</x:v>
      </x:c>
      <x:c r="D13" s="138" t="s">
        <x:v>2692</x:v>
      </x:c>
      <x:c r="E13" s="138"/>
      <x:c r="F13" s="138">
        <x:v>2</x:v>
      </x:c>
      <x:c r="G13" s="160">
        <x:v>24.08</x:v>
      </x:c>
      <x:c r="H13" s="160">
        <x:f t="shared" si="2"/>
        <x:v>-4.3500000000000014</x:v>
      </x:c>
      <x:c r="I13" s="159">
        <x:f t="shared" si="3"/>
        <x:v>-0.15300738656348933</x:v>
      </x:c>
      <x:c r="J13" s="160">
        <x:f t="shared" si="0"/>
        <x:v>172.12</x:v>
      </x:c>
      <x:c r="K13" s="159">
        <x:f t="shared" si="1"/>
        <x:v>0.87726809378185533</x:v>
      </x:c>
      <x:c r="L13" s="136" t="s">
        <x:v>2708</x:v>
      </x:c>
      <x:c r="M13" s="136" t="s">
        <x:v>2701</x:v>
      </x:c>
      <x:c r="N13" s="136" t="s">
        <x:v>2709</x:v>
      </x:c>
      <x:c r="O13" s="136" t="s">
        <x:v>2710</x:v>
      </x:c>
      <x:c r="P13" s="136" t="s">
        <x:v>1501</x:v>
      </x:c>
      <x:c r="Q13" s="136" t="s">
        <x:v>2681</x:v>
      </x:c>
      <x:c r="R13" s="136"/>
      <x:c r="S13" s="135"/>
    </x:row>
    <x:row r="15" ht="7.150000095367432" customHeight="1">
      <x:c r="B15" s="288" t="s">
        <x:v>2711</x:v>
      </x:c>
      <x:c r="C15" s="288"/>
      <x:c r="D15" s="288"/>
      <x:c r="E15" s="288"/>
      <x:c r="F15" s="288"/>
      <x:c r="G15" s="158" t="s">
        <x:v>2712</x:v>
      </x:c>
    </x:row>
    <x:row r="16" ht="7.150000095367432" customHeight="1">
      <x:c r="B16" s="289" t="s">
        <x:v>2713</x:v>
      </x:c>
      <x:c r="C16" s="289"/>
      <x:c r="D16" s="289"/>
      <x:c r="E16" s="289"/>
      <x:c r="F16" s="289"/>
      <x:c r="G16" s="156" t="n">
        <x:f>G6</x:f>
        <x:v>196.2</x:v>
      </x:c>
    </x:row>
    <x:row r="17" ht="7.150000095367432" customHeight="1">
      <x:c r="B17" s="280" t="s">
        <x:v>2714</x:v>
      </x:c>
      <x:c r="C17" s="280"/>
      <x:c r="D17" s="280"/>
      <x:c r="E17" s="280"/>
      <x:c r="F17" s="280"/>
      <x:c r="G17" s="155" t="n">
        <x:f>G13</x:f>
        <x:v>24.08</x:v>
      </x:c>
    </x:row>
    <x:row r="18" ht="7.150000095367432" customHeight="1">
      <x:c r="B18" s="280" t="s">
        <x:v>2715</x:v>
      </x:c>
      <x:c r="C18" s="280"/>
      <x:c r="D18" s="280"/>
      <x:c r="E18" s="280"/>
      <x:c r="F18" s="280"/>
      <x:c r="G18" s="155" t="n">
        <x:f>G16-G17</x:f>
        <x:v>172.12</x:v>
      </x:c>
    </x:row>
    <x:row r="19" ht="7.150000095367432" customHeight="1">
      <x:c r="B19" s="287" t="s">
        <x:v>2716</x:v>
      </x:c>
      <x:c r="C19" s="287"/>
      <x:c r="D19" s="287"/>
      <x:c r="E19" s="287"/>
      <x:c r="F19" s="287"/>
      <x:c r="G19" s="153" t="n">
        <x:f>IF(G16=0,"",G18/G16)</x:f>
        <x:v>0.8772680937818553</x:v>
      </x:c>
    </x:row>
  </x:sheetData>
  <x:mergeCells>
    <x:mergeCell ref="B17:F17"/>
    <x:mergeCell ref="B18:F18"/>
    <x:mergeCell ref="B19:F19"/>
    <x:mergeCell ref="A1:S1"/>
    <x:mergeCell ref="A2:S2"/>
    <x:mergeCell ref="A3:S3"/>
    <x:mergeCell ref="B15:F15"/>
    <x:mergeCell ref="B16:F16"/>
  </x:mergeCells>
  <x:conditionalFormatting sqref="H6:H205">
    <x:cfRule type="expression" dxfId="7" priority="1">
      <x:formula>H6&lt;0</x:formula>
    </x:cfRule>
    <x:cfRule type="expression" dxfId="6" priority="2">
      <x:formula>H6&gt;0</x:formula>
    </x:cfRule>
  </x:conditionalFormatting>
  <x:conditionalFormatting sqref="N6:N205">
    <x:cfRule type="expression" dxfId="5" priority="3">
      <x:formula>N6="Terkini"</x:formula>
    </x:cfRule>
  </x:conditionalFormatting>
  <x:dataValidations count="4">
    <x:dataValidation type="list" sqref="Q6:Q205">
      <x:formula1>"Terverifikasi,Belum Diverifikasi,Perlu Konfirmasi Dokumen,Perlu Perbaikan"</x:formula1>
    </x:dataValidation>
    <x:dataValidation type="list" sqref="N6:N205">
      <x:formula1>"Historis,Terkini,Proses"</x:formula1>
    </x:dataValidation>
    <x:dataValidation type="list" sqref="M6:M205">
      <x:formula1>"Fase 1 — Penurunan awal,Fase 2 — Perubahan metode,Fase 3 — Penurunan konsisten,Fase berikutnya"</x:formula1>
    </x:dataValidation>
    <x:dataValidation type="list" sqref="C6:C205">
      <x:formula1>"Baseline/SK,Evaluasi,Berita Acara,Penetapan/Pemutakhiran,Verifikasi/Pemutakhiran"</x:formula1>
    </x:dataValidation>
  </x:dataValidations>
  <x:pageMargins left="0.7" right="0.7" top="0.75" bottom="0.75" header="0.3" footer="0.3"/>
</x:worksheet>
</file>

<file path=xl/worksheets/sheet12.xml><?xml version="1.0" encoding="utf-8"?>
<x:worksheet xmlns:x="http://schemas.openxmlformats.org/spreadsheetml/2006/main">
  <x:sheetFormatPr defaultRowHeight="14"/>
  <x:cols>
    <x:col min="1" max="1" width="21" customWidth="1"/>
    <x:col min="2" max="2" width="13" customWidth="1"/>
    <x:col min="3" max="3" width="34" customWidth="1"/>
    <x:col min="4" max="5" width="20" customWidth="1"/>
    <x:col min="6" max="6" width="12" customWidth="1"/>
    <x:col min="7" max="7" width="16.58203125" customWidth="1"/>
    <x:col min="8" max="8" width="23" customWidth="1"/>
    <x:col min="9" max="9" width="22" customWidth="1"/>
    <x:col min="10" max="10" width="17" customWidth="1"/>
    <x:col min="11" max="11" width="37" customWidth="1"/>
    <x:col min="12" max="12" width="23.83203125" customWidth="1"/>
    <x:col min="13" max="14" width="15" customWidth="1"/>
    <x:col min="15" max="15" width="40" customWidth="1"/>
    <x:col min="16" max="16" width="48" customWidth="1"/>
    <x:col min="17" max="17" width="29" customWidth="1"/>
    <x:col min="18" max="18" width="24" customWidth="1"/>
    <x:col min="19" max="19" width="17" customWidth="1"/>
    <x:col min="20" max="20" width="18" customWidth="1"/>
  </x:cols>
  <x:sheetData>
    <x:row r="1" ht="20">
      <x:c r="A1" s="283" t="s">
        <x:v>2717</x:v>
      </x:c>
      <x:c r="B1" s="283"/>
      <x:c r="C1" s="283"/>
      <x:c r="D1" s="283"/>
      <x:c r="E1" s="283"/>
      <x:c r="F1" s="283"/>
      <x:c r="G1" s="283"/>
      <x:c r="H1" s="283"/>
      <x:c r="I1" s="283"/>
      <x:c r="J1" s="283"/>
      <x:c r="K1" s="283"/>
      <x:c r="L1" s="283"/>
      <x:c r="M1" s="283"/>
      <x:c r="N1" s="283"/>
      <x:c r="O1" s="283"/>
      <x:c r="P1" s="283"/>
      <x:c r="Q1" s="283"/>
      <x:c r="R1" s="283"/>
      <x:c r="S1" s="283"/>
      <x:c r="T1" s="283"/>
    </x:row>
    <x:row r="2" ht="14.5">
      <x:c r="A2" s="284" t="s">
        <x:v>2718</x:v>
      </x:c>
      <x:c r="B2" s="284"/>
      <x:c r="C2" s="284"/>
      <x:c r="D2" s="284"/>
      <x:c r="E2" s="284"/>
      <x:c r="F2" s="284"/>
      <x:c r="G2" s="284"/>
      <x:c r="H2" s="284"/>
      <x:c r="I2" s="284"/>
      <x:c r="J2" s="284"/>
      <x:c r="K2" s="284"/>
      <x:c r="L2" s="284"/>
      <x:c r="M2" s="284"/>
      <x:c r="N2" s="284"/>
      <x:c r="O2" s="284"/>
      <x:c r="P2" s="284"/>
      <x:c r="Q2" s="284"/>
      <x:c r="R2" s="284"/>
      <x:c r="S2" s="284"/>
      <x:c r="T2" s="284"/>
    </x:row>
    <x:row r="3">
      <x:c r="A3" s="285" t="s">
        <x:v>2719</x:v>
      </x:c>
      <x:c r="B3" s="285"/>
      <x:c r="C3" s="285"/>
      <x:c r="D3" s="285"/>
      <x:c r="E3" s="285"/>
      <x:c r="F3" s="285"/>
      <x:c r="G3" s="285"/>
      <x:c r="H3" s="285"/>
      <x:c r="I3" s="285"/>
      <x:c r="J3" s="285"/>
      <x:c r="K3" s="285"/>
      <x:c r="L3" s="285"/>
      <x:c r="M3" s="285"/>
      <x:c r="N3" s="285"/>
      <x:c r="O3" s="285"/>
      <x:c r="P3" s="285"/>
      <x:c r="Q3" s="285"/>
      <x:c r="R3" s="285"/>
      <x:c r="S3" s="285"/>
      <x:c r="T3" s="285"/>
    </x:row>
    <x:row r="5" ht="26">
      <x:c r="A5" s="152" t="s">
        <x:v>2720</x:v>
      </x:c>
      <x:c r="B5" s="151" t="s">
        <x:v>27</x:v>
      </x:c>
      <x:c r="C5" s="151" t="s">
        <x:v>2721</x:v>
      </x:c>
      <x:c r="D5" s="151" t="s">
        <x:v>7</x:v>
      </x:c>
      <x:c r="E5" s="151" t="s">
        <x:v>1381</x:v>
      </x:c>
      <x:c r="F5" s="151" t="s">
        <x:v>2722</x:v>
      </x:c>
      <x:c r="G5" s="151" t="s">
        <x:v>2667</x:v>
      </x:c>
      <x:c r="H5" s="151" t="s">
        <x:v>2625</x:v>
      </x:c>
      <x:c r="I5" s="151" t="s">
        <x:v>1395</x:v>
      </x:c>
      <x:c r="J5" s="151" t="s">
        <x:v>2723</x:v>
      </x:c>
      <x:c r="K5" s="151" t="s">
        <x:v>2664</x:v>
      </x:c>
      <x:c r="L5" s="151" t="s">
        <x:v>2665</x:v>
      </x:c>
      <x:c r="M5" s="151" t="s">
        <x:v>24</x:v>
      </x:c>
      <x:c r="N5" s="151" t="s">
        <x:v>25</x:v>
      </x:c>
      <x:c r="O5" s="151" t="s">
        <x:v>26</x:v>
      </x:c>
      <x:c r="P5" s="151" t="s">
        <x:v>1276</x:v>
      </x:c>
      <x:c r="Q5" s="151" t="s">
        <x:v>28</x:v>
      </x:c>
      <x:c r="R5" s="151" t="s">
        <x:v>29</x:v>
      </x:c>
      <x:c r="S5" s="151" t="s">
        <x:v>30</x:v>
      </x:c>
      <x:c r="T5" s="150" t="s">
        <x:v>31</x:v>
      </x:c>
    </x:row>
    <x:row r="6" s="188" customFormat="1" ht="75">
      <x:c r="A6" s="177" t="s">
        <x:v>2724</x:v>
      </x:c>
      <x:c r="B6" s="177">
        <x:v>2014</x:v>
      </x:c>
      <x:c r="C6" s="177" t="s">
        <x:v>2725</x:v>
      </x:c>
      <x:c r="D6" s="177" t="s">
        <x:v>2726</x:v>
      </x:c>
      <x:c r="E6" s="177" t="s">
        <x:v>102</x:v>
      </x:c>
      <x:c r="F6" s="177">
        <x:v>6</x:v>
      </x:c>
      <x:c r="G6" s="178">
        <x:v>22.8</x:v>
      </x:c>
      <x:c r="H6" s="177" t="s">
        <x:v>2679</x:v>
      </x:c>
      <x:c r="I6" s="177" t="s">
        <x:v>1410</x:v>
      </x:c>
      <x:c r="J6" s="177">
        <x:v>2014</x:v>
      </x:c>
      <x:c r="K6" s="177" t="s">
        <x:v>2727</x:v>
      </x:c>
      <x:c r="L6" s="186" t="s">
        <x:v>2728</x:v>
      </x:c>
      <x:c r="M6" s="179" t="s">
        <x:v>2729</x:v>
      </x:c>
      <x:c r="N6" s="179" t="s">
        <x:v>2730</x:v>
      </x:c>
      <x:c r="O6" s="177"/>
      <x:c r="P6" s="180" t="s">
        <x:v>2731</x:v>
      </x:c>
      <x:c r="Q6" s="180" t="s">
        <x:v>2732</x:v>
      </x:c>
      <x:c r="R6" s="180" t="s">
        <x:v>223</x:v>
      </x:c>
      <x:c r="S6" s="180"/>
      <x:c r="T6" s="180" t="s">
        <x:v>1501</x:v>
      </x:c>
    </x:row>
    <x:row r="7" s="188" customFormat="1" ht="75">
      <x:c r="A7" s="177" t="s">
        <x:v>2733</x:v>
      </x:c>
      <x:c r="B7" s="177">
        <x:v>2014</x:v>
      </x:c>
      <x:c r="C7" s="177" t="s">
        <x:v>2734</x:v>
      </x:c>
      <x:c r="D7" s="177" t="s">
        <x:v>577</x:v>
      </x:c>
      <x:c r="E7" s="177" t="s">
        <x:v>102</x:v>
      </x:c>
      <x:c r="F7" s="177">
        <x:v>5</x:v>
      </x:c>
      <x:c r="G7" s="178">
        <x:v>15.6</x:v>
      </x:c>
      <x:c r="H7" s="177" t="s">
        <x:v>2679</x:v>
      </x:c>
      <x:c r="I7" s="177" t="s">
        <x:v>1410</x:v>
      </x:c>
      <x:c r="J7" s="177">
        <x:v>2014</x:v>
      </x:c>
      <x:c r="K7" s="177" t="s">
        <x:v>2727</x:v>
      </x:c>
      <x:c r="L7" s="186" t="s">
        <x:v>2728</x:v>
      </x:c>
      <x:c r="M7" s="179" t="s">
        <x:v>2735</x:v>
      </x:c>
      <x:c r="N7" s="179" t="s">
        <x:v>2736</x:v>
      </x:c>
      <x:c r="O7" s="177"/>
      <x:c r="P7" s="180" t="s">
        <x:v>2731</x:v>
      </x:c>
      <x:c r="Q7" s="180" t="s">
        <x:v>2732</x:v>
      </x:c>
      <x:c r="R7" s="180" t="s">
        <x:v>223</x:v>
      </x:c>
      <x:c r="S7" s="180"/>
      <x:c r="T7" s="180" t="s">
        <x:v>1501</x:v>
      </x:c>
    </x:row>
    <x:row r="8" s="188" customFormat="1" ht="75">
      <x:c r="A8" s="177" t="s">
        <x:v>2737</x:v>
      </x:c>
      <x:c r="B8" s="177">
        <x:v>2014</x:v>
      </x:c>
      <x:c r="C8" s="177" t="s">
        <x:v>2738</x:v>
      </x:c>
      <x:c r="D8" s="177" t="s">
        <x:v>2739</x:v>
      </x:c>
      <x:c r="E8" s="177" t="s">
        <x:v>433</x:v>
      </x:c>
      <x:c r="F8" s="177">
        <x:v>3</x:v>
      </x:c>
      <x:c r="G8" s="178">
        <x:v>8.3000000000000007</x:v>
      </x:c>
      <x:c r="H8" s="177" t="s">
        <x:v>2679</x:v>
      </x:c>
      <x:c r="I8" s="177" t="s">
        <x:v>1410</x:v>
      </x:c>
      <x:c r="J8" s="177">
        <x:v>2014</x:v>
      </x:c>
      <x:c r="K8" s="177" t="s">
        <x:v>2727</x:v>
      </x:c>
      <x:c r="L8" s="186" t="s">
        <x:v>2728</x:v>
      </x:c>
      <x:c r="M8" s="179" t="s">
        <x:v>2740</x:v>
      </x:c>
      <x:c r="N8" s="179" t="s">
        <x:v>2741</x:v>
      </x:c>
      <x:c r="O8" s="177"/>
      <x:c r="P8" s="180" t="s">
        <x:v>2731</x:v>
      </x:c>
      <x:c r="Q8" s="180" t="s">
        <x:v>2732</x:v>
      </x:c>
      <x:c r="R8" s="180" t="s">
        <x:v>223</x:v>
      </x:c>
      <x:c r="S8" s="180"/>
      <x:c r="T8" s="180" t="s">
        <x:v>1501</x:v>
      </x:c>
    </x:row>
    <x:row r="9" s="188" customFormat="1" ht="75">
      <x:c r="A9" s="177" t="s">
        <x:v>2742</x:v>
      </x:c>
      <x:c r="B9" s="177">
        <x:v>2014</x:v>
      </x:c>
      <x:c r="C9" s="177" t="s">
        <x:v>2743</x:v>
      </x:c>
      <x:c r="D9" s="177" t="s">
        <x:v>2744</x:v>
      </x:c>
      <x:c r="E9" s="177" t="s">
        <x:v>433</x:v>
      </x:c>
      <x:c r="F9" s="177">
        <x:v>2</x:v>
      </x:c>
      <x:c r="G9" s="178">
        <x:v>2.4</x:v>
      </x:c>
      <x:c r="H9" s="177" t="s">
        <x:v>2679</x:v>
      </x:c>
      <x:c r="I9" s="177" t="s">
        <x:v>1410</x:v>
      </x:c>
      <x:c r="J9" s="177">
        <x:v>2014</x:v>
      </x:c>
      <x:c r="K9" s="177" t="s">
        <x:v>2727</x:v>
      </x:c>
      <x:c r="L9" s="186" t="s">
        <x:v>2728</x:v>
      </x:c>
      <x:c r="M9" s="179" t="s">
        <x:v>2745</x:v>
      </x:c>
      <x:c r="N9" s="179" t="s">
        <x:v>2746</x:v>
      </x:c>
      <x:c r="O9" s="177"/>
      <x:c r="P9" s="180" t="s">
        <x:v>2731</x:v>
      </x:c>
      <x:c r="Q9" s="180" t="s">
        <x:v>2732</x:v>
      </x:c>
      <x:c r="R9" s="180" t="s">
        <x:v>223</x:v>
      </x:c>
      <x:c r="S9" s="180"/>
      <x:c r="T9" s="180" t="s">
        <x:v>1501</x:v>
      </x:c>
    </x:row>
    <x:row r="10" s="188" customFormat="1" ht="75">
      <x:c r="A10" s="177" t="s">
        <x:v>2747</x:v>
      </x:c>
      <x:c r="B10" s="177">
        <x:v>2014</x:v>
      </x:c>
      <x:c r="C10" s="177" t="s">
        <x:v>2748</x:v>
      </x:c>
      <x:c r="D10" s="177" t="s">
        <x:v>2749</x:v>
      </x:c>
      <x:c r="E10" s="177" t="s">
        <x:v>433</x:v>
      </x:c>
      <x:c r="F10" s="177">
        <x:v>5</x:v>
      </x:c>
      <x:c r="G10" s="178">
        <x:v>7.9</x:v>
      </x:c>
      <x:c r="H10" s="177" t="s">
        <x:v>2679</x:v>
      </x:c>
      <x:c r="I10" s="177" t="s">
        <x:v>1410</x:v>
      </x:c>
      <x:c r="J10" s="177">
        <x:v>2014</x:v>
      </x:c>
      <x:c r="K10" s="177" t="s">
        <x:v>2727</x:v>
      </x:c>
      <x:c r="L10" s="186" t="s">
        <x:v>2728</x:v>
      </x:c>
      <x:c r="M10" s="179" t="s">
        <x:v>2750</x:v>
      </x:c>
      <x:c r="N10" s="179" t="s">
        <x:v>2751</x:v>
      </x:c>
      <x:c r="O10" s="177"/>
      <x:c r="P10" s="180" t="s">
        <x:v>2731</x:v>
      </x:c>
      <x:c r="Q10" s="180" t="s">
        <x:v>2732</x:v>
      </x:c>
      <x:c r="R10" s="180" t="s">
        <x:v>223</x:v>
      </x:c>
      <x:c r="S10" s="180"/>
      <x:c r="T10" s="180" t="s">
        <x:v>1501</x:v>
      </x:c>
    </x:row>
    <x:row r="11" s="188" customFormat="1" ht="75">
      <x:c r="A11" s="177" t="s">
        <x:v>2752</x:v>
      </x:c>
      <x:c r="B11" s="177">
        <x:v>2014</x:v>
      </x:c>
      <x:c r="C11" s="177" t="s">
        <x:v>2753</x:v>
      </x:c>
      <x:c r="D11" s="177" t="s">
        <x:v>127</x:v>
      </x:c>
      <x:c r="E11" s="177" t="s">
        <x:v>126</x:v>
      </x:c>
      <x:c r="F11" s="177">
        <x:v>4</x:v>
      </x:c>
      <x:c r="G11" s="178">
        <x:v>16.2</x:v>
      </x:c>
      <x:c r="H11" s="177" t="s">
        <x:v>2679</x:v>
      </x:c>
      <x:c r="I11" s="177" t="s">
        <x:v>1410</x:v>
      </x:c>
      <x:c r="J11" s="177">
        <x:v>2014</x:v>
      </x:c>
      <x:c r="K11" s="177" t="s">
        <x:v>2727</x:v>
      </x:c>
      <x:c r="L11" s="186" t="s">
        <x:v>2728</x:v>
      </x:c>
      <x:c r="M11" s="179" t="s">
        <x:v>2754</x:v>
      </x:c>
      <x:c r="N11" s="179" t="s">
        <x:v>2755</x:v>
      </x:c>
      <x:c r="O11" s="177"/>
      <x:c r="P11" s="180" t="s">
        <x:v>2731</x:v>
      </x:c>
      <x:c r="Q11" s="180" t="s">
        <x:v>2732</x:v>
      </x:c>
      <x:c r="R11" s="180" t="s">
        <x:v>223</x:v>
      </x:c>
      <x:c r="S11" s="180"/>
      <x:c r="T11" s="180" t="s">
        <x:v>1501</x:v>
      </x:c>
    </x:row>
    <x:row r="12" s="188" customFormat="1" ht="75">
      <x:c r="A12" s="177" t="s">
        <x:v>2756</x:v>
      </x:c>
      <x:c r="B12" s="177">
        <x:v>2014</x:v>
      </x:c>
      <x:c r="C12" s="177" t="s">
        <x:v>2757</x:v>
      </x:c>
      <x:c r="D12" s="177" t="s">
        <x:v>291</x:v>
      </x:c>
      <x:c r="E12" s="177" t="s">
        <x:v>126</x:v>
      </x:c>
      <x:c r="F12" s="177">
        <x:v>2</x:v>
      </x:c>
      <x:c r="G12" s="178">
        <x:v>5.3</x:v>
      </x:c>
      <x:c r="H12" s="177" t="s">
        <x:v>2679</x:v>
      </x:c>
      <x:c r="I12" s="177" t="s">
        <x:v>1410</x:v>
      </x:c>
      <x:c r="J12" s="177">
        <x:v>2014</x:v>
      </x:c>
      <x:c r="K12" s="177" t="s">
        <x:v>2727</x:v>
      </x:c>
      <x:c r="L12" s="186" t="s">
        <x:v>2728</x:v>
      </x:c>
      <x:c r="M12" s="179" t="s">
        <x:v>2758</x:v>
      </x:c>
      <x:c r="N12" s="179" t="s">
        <x:v>2759</x:v>
      </x:c>
      <x:c r="O12" s="177"/>
      <x:c r="P12" s="180" t="s">
        <x:v>2731</x:v>
      </x:c>
      <x:c r="Q12" s="180" t="s">
        <x:v>2732</x:v>
      </x:c>
      <x:c r="R12" s="180" t="s">
        <x:v>223</x:v>
      </x:c>
      <x:c r="S12" s="180"/>
      <x:c r="T12" s="180" t="s">
        <x:v>1501</x:v>
      </x:c>
    </x:row>
    <x:row r="13" s="188" customFormat="1" ht="75">
      <x:c r="A13" s="177" t="s">
        <x:v>2760</x:v>
      </x:c>
      <x:c r="B13" s="177">
        <x:v>2014</x:v>
      </x:c>
      <x:c r="C13" s="177" t="s">
        <x:v>2761</x:v>
      </x:c>
      <x:c r="D13" s="177" t="s">
        <x:v>2762</x:v>
      </x:c>
      <x:c r="E13" s="177" t="s">
        <x:v>1200</x:v>
      </x:c>
      <x:c r="F13" s="177">
        <x:v>5</x:v>
      </x:c>
      <x:c r="G13" s="178">
        <x:v>6</x:v>
      </x:c>
      <x:c r="H13" s="177" t="s">
        <x:v>2679</x:v>
      </x:c>
      <x:c r="I13" s="177" t="s">
        <x:v>1410</x:v>
      </x:c>
      <x:c r="J13" s="177">
        <x:v>2014</x:v>
      </x:c>
      <x:c r="K13" s="177" t="s">
        <x:v>2727</x:v>
      </x:c>
      <x:c r="L13" s="186" t="s">
        <x:v>2728</x:v>
      </x:c>
      <x:c r="M13" s="179" t="s">
        <x:v>2763</x:v>
      </x:c>
      <x:c r="N13" s="179" t="s">
        <x:v>2764</x:v>
      </x:c>
      <x:c r="O13" s="177"/>
      <x:c r="P13" s="180" t="s">
        <x:v>2731</x:v>
      </x:c>
      <x:c r="Q13" s="180" t="s">
        <x:v>2732</x:v>
      </x:c>
      <x:c r="R13" s="180" t="s">
        <x:v>223</x:v>
      </x:c>
      <x:c r="S13" s="180"/>
      <x:c r="T13" s="180" t="s">
        <x:v>1501</x:v>
      </x:c>
    </x:row>
    <x:row r="14" s="188" customFormat="1" ht="75">
      <x:c r="A14" s="177" t="s">
        <x:v>2765</x:v>
      </x:c>
      <x:c r="B14" s="177">
        <x:v>2014</x:v>
      </x:c>
      <x:c r="C14" s="177" t="s">
        <x:v>2766</x:v>
      </x:c>
      <x:c r="D14" s="177" t="s">
        <x:v>2688</x:v>
      </x:c>
      <x:c r="E14" s="177" t="s">
        <x:v>1200</x:v>
      </x:c>
      <x:c r="F14" s="177">
        <x:v>8</x:v>
      </x:c>
      <x:c r="G14" s="178">
        <x:v>44.8</x:v>
      </x:c>
      <x:c r="H14" s="177" t="s">
        <x:v>2679</x:v>
      </x:c>
      <x:c r="I14" s="177" t="s">
        <x:v>1410</x:v>
      </x:c>
      <x:c r="J14" s="177">
        <x:v>2014</x:v>
      </x:c>
      <x:c r="K14" s="177" t="s">
        <x:v>2727</x:v>
      </x:c>
      <x:c r="L14" s="186" t="s">
        <x:v>2728</x:v>
      </x:c>
      <x:c r="M14" s="179" t="s">
        <x:v>2767</x:v>
      </x:c>
      <x:c r="N14" s="179" t="s">
        <x:v>2768</x:v>
      </x:c>
      <x:c r="O14" s="177"/>
      <x:c r="P14" s="180" t="s">
        <x:v>2731</x:v>
      </x:c>
      <x:c r="Q14" s="180" t="s">
        <x:v>2732</x:v>
      </x:c>
      <x:c r="R14" s="180" t="s">
        <x:v>223</x:v>
      </x:c>
      <x:c r="S14" s="180"/>
      <x:c r="T14" s="180" t="s">
        <x:v>1501</x:v>
      </x:c>
    </x:row>
    <x:row r="15" s="188" customFormat="1" ht="75">
      <x:c r="A15" s="177" t="s">
        <x:v>2769</x:v>
      </x:c>
      <x:c r="B15" s="177">
        <x:v>2014</x:v>
      </x:c>
      <x:c r="C15" s="177" t="s">
        <x:v>2770</x:v>
      </x:c>
      <x:c r="D15" s="177" t="s">
        <x:v>2771</x:v>
      </x:c>
      <x:c r="E15" s="177" t="s">
        <x:v>1354</x:v>
      </x:c>
      <x:c r="F15" s="177">
        <x:v>1</x:v>
      </x:c>
      <x:c r="G15" s="178">
        <x:v>1.8</x:v>
      </x:c>
      <x:c r="H15" s="177" t="s">
        <x:v>2679</x:v>
      </x:c>
      <x:c r="I15" s="177" t="s">
        <x:v>1410</x:v>
      </x:c>
      <x:c r="J15" s="177">
        <x:v>2014</x:v>
      </x:c>
      <x:c r="K15" s="177" t="s">
        <x:v>2727</x:v>
      </x:c>
      <x:c r="L15" s="186" t="s">
        <x:v>2728</x:v>
      </x:c>
      <x:c r="M15" s="179" t="s">
        <x:v>2772</x:v>
      </x:c>
      <x:c r="N15" s="179" t="s">
        <x:v>2773</x:v>
      </x:c>
      <x:c r="O15" s="177"/>
      <x:c r="P15" s="180" t="s">
        <x:v>2731</x:v>
      </x:c>
      <x:c r="Q15" s="180" t="s">
        <x:v>2732</x:v>
      </x:c>
      <x:c r="R15" s="180" t="s">
        <x:v>223</x:v>
      </x:c>
      <x:c r="S15" s="180"/>
      <x:c r="T15" s="180" t="s">
        <x:v>1501</x:v>
      </x:c>
    </x:row>
    <x:row r="16" s="188" customFormat="1" ht="75">
      <x:c r="A16" s="177" t="s">
        <x:v>2774</x:v>
      </x:c>
      <x:c r="B16" s="177">
        <x:v>2014</x:v>
      </x:c>
      <x:c r="C16" s="177" t="s">
        <x:v>2775</x:v>
      </x:c>
      <x:c r="D16" s="177" t="s">
        <x:v>2776</x:v>
      </x:c>
      <x:c r="E16" s="177" t="s">
        <x:v>1354</x:v>
      </x:c>
      <x:c r="F16" s="177">
        <x:v>2</x:v>
      </x:c>
      <x:c r="G16" s="178">
        <x:v>6.6</x:v>
      </x:c>
      <x:c r="H16" s="177" t="s">
        <x:v>2679</x:v>
      </x:c>
      <x:c r="I16" s="177" t="s">
        <x:v>1410</x:v>
      </x:c>
      <x:c r="J16" s="177">
        <x:v>2014</x:v>
      </x:c>
      <x:c r="K16" s="177" t="s">
        <x:v>2727</x:v>
      </x:c>
      <x:c r="L16" s="186" t="s">
        <x:v>2728</x:v>
      </x:c>
      <x:c r="M16" s="179" t="s">
        <x:v>2777</x:v>
      </x:c>
      <x:c r="N16" s="179" t="s">
        <x:v>2778</x:v>
      </x:c>
      <x:c r="O16" s="177"/>
      <x:c r="P16" s="180" t="s">
        <x:v>2731</x:v>
      </x:c>
      <x:c r="Q16" s="180" t="s">
        <x:v>2732</x:v>
      </x:c>
      <x:c r="R16" s="180" t="s">
        <x:v>223</x:v>
      </x:c>
      <x:c r="S16" s="180"/>
      <x:c r="T16" s="180" t="s">
        <x:v>1501</x:v>
      </x:c>
    </x:row>
    <x:row r="17" s="188" customFormat="1" ht="75">
      <x:c r="A17" s="177" t="s">
        <x:v>2779</x:v>
      </x:c>
      <x:c r="B17" s="177">
        <x:v>2014</x:v>
      </x:c>
      <x:c r="C17" s="177" t="s">
        <x:v>2780</x:v>
      </x:c>
      <x:c r="D17" s="177" t="s">
        <x:v>2781</x:v>
      </x:c>
      <x:c r="E17" s="177" t="s">
        <x:v>1354</x:v>
      </x:c>
      <x:c r="F17" s="177">
        <x:v>7</x:v>
      </x:c>
      <x:c r="G17" s="178">
        <x:v>24.5</x:v>
      </x:c>
      <x:c r="H17" s="177" t="s">
        <x:v>2679</x:v>
      </x:c>
      <x:c r="I17" s="177" t="s">
        <x:v>1410</x:v>
      </x:c>
      <x:c r="J17" s="177">
        <x:v>2014</x:v>
      </x:c>
      <x:c r="K17" s="177" t="s">
        <x:v>2727</x:v>
      </x:c>
      <x:c r="L17" s="186" t="s">
        <x:v>2728</x:v>
      </x:c>
      <x:c r="M17" s="179" t="s">
        <x:v>2782</x:v>
      </x:c>
      <x:c r="N17" s="179" t="s">
        <x:v>2783</x:v>
      </x:c>
      <x:c r="O17" s="177"/>
      <x:c r="P17" s="180" t="s">
        <x:v>2731</x:v>
      </x:c>
      <x:c r="Q17" s="180" t="s">
        <x:v>2732</x:v>
      </x:c>
      <x:c r="R17" s="180" t="s">
        <x:v>223</x:v>
      </x:c>
      <x:c r="S17" s="180"/>
      <x:c r="T17" s="180" t="s">
        <x:v>1501</x:v>
      </x:c>
    </x:row>
    <x:row r="18" s="188" customFormat="1" ht="75">
      <x:c r="A18" s="177" t="s">
        <x:v>2784</x:v>
      </x:c>
      <x:c r="B18" s="177">
        <x:v>2014</x:v>
      </x:c>
      <x:c r="C18" s="177" t="s">
        <x:v>2785</x:v>
      </x:c>
      <x:c r="D18" s="177" t="s">
        <x:v>2786</x:v>
      </x:c>
      <x:c r="E18" s="177" t="s">
        <x:v>1354</x:v>
      </x:c>
      <x:c r="F18" s="177">
        <x:v>4</x:v>
      </x:c>
      <x:c r="G18" s="178">
        <x:v>17.7</x:v>
      </x:c>
      <x:c r="H18" s="177" t="s">
        <x:v>2679</x:v>
      </x:c>
      <x:c r="I18" s="177" t="s">
        <x:v>1410</x:v>
      </x:c>
      <x:c r="J18" s="177">
        <x:v>2014</x:v>
      </x:c>
      <x:c r="K18" s="177" t="s">
        <x:v>2727</x:v>
      </x:c>
      <x:c r="L18" s="186" t="s">
        <x:v>2728</x:v>
      </x:c>
      <x:c r="M18" s="179" t="s">
        <x:v>2787</x:v>
      </x:c>
      <x:c r="N18" s="179" t="s">
        <x:v>2788</x:v>
      </x:c>
      <x:c r="O18" s="177"/>
      <x:c r="P18" s="180" t="s">
        <x:v>2731</x:v>
      </x:c>
      <x:c r="Q18" s="180" t="s">
        <x:v>2732</x:v>
      </x:c>
      <x:c r="R18" s="180" t="s">
        <x:v>223</x:v>
      </x:c>
      <x:c r="S18" s="180"/>
      <x:c r="T18" s="180" t="s">
        <x:v>1501</x:v>
      </x:c>
    </x:row>
    <x:row r="19" s="188" customFormat="1" ht="75">
      <x:c r="A19" s="177" t="s">
        <x:v>2789</x:v>
      </x:c>
      <x:c r="B19" s="177">
        <x:v>2014</x:v>
      </x:c>
      <x:c r="C19" s="177" t="s">
        <x:v>2790</x:v>
      </x:c>
      <x:c r="D19" s="177" t="s">
        <x:v>2791</x:v>
      </x:c>
      <x:c r="E19" s="177" t="s">
        <x:v>1354</x:v>
      </x:c>
      <x:c r="F19" s="177">
        <x:v>9</x:v>
      </x:c>
      <x:c r="G19" s="178">
        <x:v>16.3</x:v>
      </x:c>
      <x:c r="H19" s="177" t="s">
        <x:v>2679</x:v>
      </x:c>
      <x:c r="I19" s="177" t="s">
        <x:v>1410</x:v>
      </x:c>
      <x:c r="J19" s="177">
        <x:v>2014</x:v>
      </x:c>
      <x:c r="K19" s="177" t="s">
        <x:v>2727</x:v>
      </x:c>
      <x:c r="L19" s="186" t="s">
        <x:v>2728</x:v>
      </x:c>
      <x:c r="M19" s="179">
        <x:v>-212775</x:v>
      </x:c>
      <x:c r="N19" s="179" t="s">
        <x:v>2792</x:v>
      </x:c>
      <x:c r="O19" s="177"/>
      <x:c r="P19" s="180" t="s">
        <x:v>2731</x:v>
      </x:c>
      <x:c r="Q19" s="180" t="s">
        <x:v>2732</x:v>
      </x:c>
      <x:c r="R19" s="180" t="s">
        <x:v>223</x:v>
      </x:c>
      <x:c r="S19" s="180"/>
      <x:c r="T19" s="180" t="s">
        <x:v>1501</x:v>
      </x:c>
    </x:row>
    <x:row r="20" s="185" customFormat="1" ht="25">
      <x:c r="A20" s="173" t="s">
        <x:v>2793</x:v>
      </x:c>
      <x:c r="B20" s="173">
        <x:v>2018</x:v>
      </x:c>
      <x:c r="C20" s="173" t="s">
        <x:v>2725</x:v>
      </x:c>
      <x:c r="D20" s="173" t="s">
        <x:v>2726</x:v>
      </x:c>
      <x:c r="E20" s="173" t="s">
        <x:v>102</x:v>
      </x:c>
      <x:c r="F20" s="173">
        <x:v>6</x:v>
      </x:c>
      <x:c r="G20" s="174">
        <x:v>22.6</x:v>
      </x:c>
      <x:c r="H20" s="173" t="s">
        <x:v>2679</x:v>
      </x:c>
      <x:c r="I20" s="173" t="s">
        <x:v>1523</x:v>
      </x:c>
      <x:c r="J20" s="173">
        <x:v>2018</x:v>
      </x:c>
      <x:c r="K20" s="173" t="s">
        <x:v>2727</x:v>
      </x:c>
      <x:c r="L20" s="183" t="s">
        <x:v>2794</x:v>
      </x:c>
      <x:c r="M20" s="175" t="s">
        <x:v>2729</x:v>
      </x:c>
      <x:c r="N20" s="175" t="s">
        <x:v>2730</x:v>
      </x:c>
      <x:c r="O20" s="173"/>
      <x:c r="P20" s="176" t="s">
        <x:v>2795</x:v>
      </x:c>
      <x:c r="Q20" s="176" t="s">
        <x:v>2732</x:v>
      </x:c>
      <x:c r="R20" s="176" t="s">
        <x:v>223</x:v>
      </x:c>
      <x:c r="S20" s="176"/>
      <x:c r="T20" s="176" t="s">
        <x:v>1501</x:v>
      </x:c>
      <x:c r="U20" s="184"/>
    </x:row>
    <x:row r="21" s="185" customFormat="1" ht="25">
      <x:c r="A21" s="173" t="s">
        <x:v>2796</x:v>
      </x:c>
      <x:c r="B21" s="173">
        <x:v>2018</x:v>
      </x:c>
      <x:c r="C21" s="173" t="s">
        <x:v>2734</x:v>
      </x:c>
      <x:c r="D21" s="173" t="s">
        <x:v>577</x:v>
      </x:c>
      <x:c r="E21" s="173" t="s">
        <x:v>102</x:v>
      </x:c>
      <x:c r="F21" s="173">
        <x:v>5</x:v>
      </x:c>
      <x:c r="G21" s="174">
        <x:v>15.6</x:v>
      </x:c>
      <x:c r="H21" s="173" t="s">
        <x:v>2679</x:v>
      </x:c>
      <x:c r="I21" s="173" t="s">
        <x:v>1523</x:v>
      </x:c>
      <x:c r="J21" s="173">
        <x:v>2018</x:v>
      </x:c>
      <x:c r="K21" s="173" t="s">
        <x:v>2727</x:v>
      </x:c>
      <x:c r="L21" s="183" t="s">
        <x:v>2794</x:v>
      </x:c>
      <x:c r="M21" s="175" t="s">
        <x:v>2735</x:v>
      </x:c>
      <x:c r="N21" s="175" t="s">
        <x:v>2736</x:v>
      </x:c>
      <x:c r="O21" s="173"/>
      <x:c r="P21" s="176" t="s">
        <x:v>2795</x:v>
      </x:c>
      <x:c r="Q21" s="176" t="s">
        <x:v>2732</x:v>
      </x:c>
      <x:c r="R21" s="176" t="s">
        <x:v>223</x:v>
      </x:c>
      <x:c r="S21" s="176"/>
      <x:c r="T21" s="176" t="s">
        <x:v>1501</x:v>
      </x:c>
      <x:c r="U21" s="184"/>
    </x:row>
    <x:row r="22" s="185" customFormat="1" ht="25">
      <x:c r="A22" s="173" t="s">
        <x:v>2797</x:v>
      </x:c>
      <x:c r="B22" s="173">
        <x:v>2018</x:v>
      </x:c>
      <x:c r="C22" s="173" t="s">
        <x:v>2738</x:v>
      </x:c>
      <x:c r="D22" s="173" t="s">
        <x:v>2739</x:v>
      </x:c>
      <x:c r="E22" s="173" t="s">
        <x:v>433</x:v>
      </x:c>
      <x:c r="F22" s="173">
        <x:v>3</x:v>
      </x:c>
      <x:c r="G22" s="174">
        <x:v>0</x:v>
      </x:c>
      <x:c r="H22" s="173" t="s">
        <x:v>2679</x:v>
      </x:c>
      <x:c r="I22" s="173" t="s">
        <x:v>1523</x:v>
      </x:c>
      <x:c r="J22" s="173">
        <x:v>2018</x:v>
      </x:c>
      <x:c r="K22" s="173" t="s">
        <x:v>2727</x:v>
      </x:c>
      <x:c r="L22" s="183" t="s">
        <x:v>2794</x:v>
      </x:c>
      <x:c r="M22" s="175" t="s">
        <x:v>2740</x:v>
      </x:c>
      <x:c r="N22" s="175" t="s">
        <x:v>2741</x:v>
      </x:c>
      <x:c r="O22" s="173"/>
      <x:c r="P22" s="176" t="s">
        <x:v>2795</x:v>
      </x:c>
      <x:c r="Q22" s="176" t="s">
        <x:v>2732</x:v>
      </x:c>
      <x:c r="R22" s="176" t="s">
        <x:v>223</x:v>
      </x:c>
      <x:c r="S22" s="176"/>
      <x:c r="T22" s="176" t="s">
        <x:v>1501</x:v>
      </x:c>
      <x:c r="U22" s="184"/>
    </x:row>
    <x:row r="23" s="185" customFormat="1" ht="25">
      <x:c r="A23" s="173" t="s">
        <x:v>2798</x:v>
      </x:c>
      <x:c r="B23" s="173">
        <x:v>2018</x:v>
      </x:c>
      <x:c r="C23" s="173" t="s">
        <x:v>2743</x:v>
      </x:c>
      <x:c r="D23" s="173" t="s">
        <x:v>2744</x:v>
      </x:c>
      <x:c r="E23" s="173" t="s">
        <x:v>433</x:v>
      </x:c>
      <x:c r="F23" s="173">
        <x:v>2</x:v>
      </x:c>
      <x:c r="G23" s="174">
        <x:v>2.4</x:v>
      </x:c>
      <x:c r="H23" s="173" t="s">
        <x:v>2679</x:v>
      </x:c>
      <x:c r="I23" s="173" t="s">
        <x:v>1523</x:v>
      </x:c>
      <x:c r="J23" s="173">
        <x:v>2018</x:v>
      </x:c>
      <x:c r="K23" s="173" t="s">
        <x:v>2727</x:v>
      </x:c>
      <x:c r="L23" s="183" t="s">
        <x:v>2794</x:v>
      </x:c>
      <x:c r="M23" s="175" t="s">
        <x:v>2745</x:v>
      </x:c>
      <x:c r="N23" s="175" t="s">
        <x:v>2746</x:v>
      </x:c>
      <x:c r="O23" s="173"/>
      <x:c r="P23" s="176" t="s">
        <x:v>2795</x:v>
      </x:c>
      <x:c r="Q23" s="176" t="s">
        <x:v>2732</x:v>
      </x:c>
      <x:c r="R23" s="176" t="s">
        <x:v>223</x:v>
      </x:c>
      <x:c r="S23" s="176"/>
      <x:c r="T23" s="176" t="s">
        <x:v>1501</x:v>
      </x:c>
      <x:c r="U23" s="184"/>
    </x:row>
    <x:row r="24" s="185" customFormat="1" ht="25">
      <x:c r="A24" s="173" t="s">
        <x:v>2799</x:v>
      </x:c>
      <x:c r="B24" s="173">
        <x:v>2018</x:v>
      </x:c>
      <x:c r="C24" s="173" t="s">
        <x:v>2748</x:v>
      </x:c>
      <x:c r="D24" s="173" t="s">
        <x:v>2749</x:v>
      </x:c>
      <x:c r="E24" s="173" t="s">
        <x:v>433</x:v>
      </x:c>
      <x:c r="F24" s="173">
        <x:v>5</x:v>
      </x:c>
      <x:c r="G24" s="174">
        <x:v>7.9</x:v>
      </x:c>
      <x:c r="H24" s="173" t="s">
        <x:v>2679</x:v>
      </x:c>
      <x:c r="I24" s="173" t="s">
        <x:v>1523</x:v>
      </x:c>
      <x:c r="J24" s="173">
        <x:v>2018</x:v>
      </x:c>
      <x:c r="K24" s="173" t="s">
        <x:v>2727</x:v>
      </x:c>
      <x:c r="L24" s="183" t="s">
        <x:v>2794</x:v>
      </x:c>
      <x:c r="M24" s="175" t="s">
        <x:v>2750</x:v>
      </x:c>
      <x:c r="N24" s="175" t="s">
        <x:v>2751</x:v>
      </x:c>
      <x:c r="O24" s="173"/>
      <x:c r="P24" s="176" t="s">
        <x:v>2795</x:v>
      </x:c>
      <x:c r="Q24" s="176" t="s">
        <x:v>2732</x:v>
      </x:c>
      <x:c r="R24" s="176" t="s">
        <x:v>223</x:v>
      </x:c>
      <x:c r="S24" s="176"/>
      <x:c r="T24" s="176" t="s">
        <x:v>1501</x:v>
      </x:c>
      <x:c r="U24" s="184"/>
    </x:row>
    <x:row r="25" s="185" customFormat="1" ht="25">
      <x:c r="A25" s="173" t="s">
        <x:v>2800</x:v>
      </x:c>
      <x:c r="B25" s="173">
        <x:v>2018</x:v>
      </x:c>
      <x:c r="C25" s="173" t="s">
        <x:v>2753</x:v>
      </x:c>
      <x:c r="D25" s="173" t="s">
        <x:v>127</x:v>
      </x:c>
      <x:c r="E25" s="173" t="s">
        <x:v>126</x:v>
      </x:c>
      <x:c r="F25" s="173">
        <x:v>4</x:v>
      </x:c>
      <x:c r="G25" s="174">
        <x:v>16.2</x:v>
      </x:c>
      <x:c r="H25" s="173" t="s">
        <x:v>2679</x:v>
      </x:c>
      <x:c r="I25" s="173" t="s">
        <x:v>1523</x:v>
      </x:c>
      <x:c r="J25" s="173">
        <x:v>2018</x:v>
      </x:c>
      <x:c r="K25" s="173" t="s">
        <x:v>2727</x:v>
      </x:c>
      <x:c r="L25" s="183" t="s">
        <x:v>2794</x:v>
      </x:c>
      <x:c r="M25" s="175" t="s">
        <x:v>2754</x:v>
      </x:c>
      <x:c r="N25" s="175" t="s">
        <x:v>2755</x:v>
      </x:c>
      <x:c r="O25" s="173"/>
      <x:c r="P25" s="176" t="s">
        <x:v>2795</x:v>
      </x:c>
      <x:c r="Q25" s="176" t="s">
        <x:v>2732</x:v>
      </x:c>
      <x:c r="R25" s="176" t="s">
        <x:v>223</x:v>
      </x:c>
      <x:c r="S25" s="176"/>
      <x:c r="T25" s="176" t="s">
        <x:v>1501</x:v>
      </x:c>
      <x:c r="U25" s="184"/>
    </x:row>
    <x:row r="26" s="185" customFormat="1" ht="25">
      <x:c r="A26" s="173" t="s">
        <x:v>2801</x:v>
      </x:c>
      <x:c r="B26" s="173">
        <x:v>2018</x:v>
      </x:c>
      <x:c r="C26" s="173" t="s">
        <x:v>2757</x:v>
      </x:c>
      <x:c r="D26" s="173" t="s">
        <x:v>291</x:v>
      </x:c>
      <x:c r="E26" s="173" t="s">
        <x:v>126</x:v>
      </x:c>
      <x:c r="F26" s="173">
        <x:v>2</x:v>
      </x:c>
      <x:c r="G26" s="174">
        <x:v>5.3</x:v>
      </x:c>
      <x:c r="H26" s="173" t="s">
        <x:v>2679</x:v>
      </x:c>
      <x:c r="I26" s="173" t="s">
        <x:v>1523</x:v>
      </x:c>
      <x:c r="J26" s="173">
        <x:v>2018</x:v>
      </x:c>
      <x:c r="K26" s="173" t="s">
        <x:v>2727</x:v>
      </x:c>
      <x:c r="L26" s="183" t="s">
        <x:v>2794</x:v>
      </x:c>
      <x:c r="M26" s="175" t="s">
        <x:v>2758</x:v>
      </x:c>
      <x:c r="N26" s="175" t="s">
        <x:v>2759</x:v>
      </x:c>
      <x:c r="O26" s="173"/>
      <x:c r="P26" s="176" t="s">
        <x:v>2795</x:v>
      </x:c>
      <x:c r="Q26" s="176" t="s">
        <x:v>2732</x:v>
      </x:c>
      <x:c r="R26" s="176" t="s">
        <x:v>223</x:v>
      </x:c>
      <x:c r="S26" s="176"/>
      <x:c r="T26" s="176" t="s">
        <x:v>1501</x:v>
      </x:c>
      <x:c r="U26" s="184"/>
    </x:row>
    <x:row r="27" s="185" customFormat="1" ht="25">
      <x:c r="A27" s="173" t="s">
        <x:v>2802</x:v>
      </x:c>
      <x:c r="B27" s="173">
        <x:v>2018</x:v>
      </x:c>
      <x:c r="C27" s="173" t="s">
        <x:v>2761</x:v>
      </x:c>
      <x:c r="D27" s="173" t="s">
        <x:v>2762</x:v>
      </x:c>
      <x:c r="E27" s="173" t="s">
        <x:v>1200</x:v>
      </x:c>
      <x:c r="F27" s="173">
        <x:v>5</x:v>
      </x:c>
      <x:c r="G27" s="174">
        <x:v>6</x:v>
      </x:c>
      <x:c r="H27" s="173" t="s">
        <x:v>2679</x:v>
      </x:c>
      <x:c r="I27" s="173" t="s">
        <x:v>1523</x:v>
      </x:c>
      <x:c r="J27" s="173">
        <x:v>2018</x:v>
      </x:c>
      <x:c r="K27" s="173" t="s">
        <x:v>2727</x:v>
      </x:c>
      <x:c r="L27" s="183" t="s">
        <x:v>2794</x:v>
      </x:c>
      <x:c r="M27" s="175" t="s">
        <x:v>2763</x:v>
      </x:c>
      <x:c r="N27" s="175" t="s">
        <x:v>2764</x:v>
      </x:c>
      <x:c r="O27" s="173"/>
      <x:c r="P27" s="176" t="s">
        <x:v>2795</x:v>
      </x:c>
      <x:c r="Q27" s="176" t="s">
        <x:v>2732</x:v>
      </x:c>
      <x:c r="R27" s="176" t="s">
        <x:v>223</x:v>
      </x:c>
      <x:c r="S27" s="176"/>
      <x:c r="T27" s="176" t="s">
        <x:v>1501</x:v>
      </x:c>
      <x:c r="U27" s="184"/>
    </x:row>
    <x:row r="28" s="185" customFormat="1" ht="25">
      <x:c r="A28" s="173" t="s">
        <x:v>2803</x:v>
      </x:c>
      <x:c r="B28" s="173">
        <x:v>2018</x:v>
      </x:c>
      <x:c r="C28" s="173" t="s">
        <x:v>2766</x:v>
      </x:c>
      <x:c r="D28" s="173" t="s">
        <x:v>2688</x:v>
      </x:c>
      <x:c r="E28" s="173" t="s">
        <x:v>1200</x:v>
      </x:c>
      <x:c r="F28" s="173">
        <x:v>8</x:v>
      </x:c>
      <x:c r="G28" s="174">
        <x:v>44.8</x:v>
      </x:c>
      <x:c r="H28" s="173" t="s">
        <x:v>2679</x:v>
      </x:c>
      <x:c r="I28" s="173" t="s">
        <x:v>1523</x:v>
      </x:c>
      <x:c r="J28" s="173">
        <x:v>2018</x:v>
      </x:c>
      <x:c r="K28" s="173" t="s">
        <x:v>2727</x:v>
      </x:c>
      <x:c r="L28" s="183" t="s">
        <x:v>2794</x:v>
      </x:c>
      <x:c r="M28" s="175" t="s">
        <x:v>2767</x:v>
      </x:c>
      <x:c r="N28" s="175" t="s">
        <x:v>2768</x:v>
      </x:c>
      <x:c r="O28" s="173"/>
      <x:c r="P28" s="176" t="s">
        <x:v>2795</x:v>
      </x:c>
      <x:c r="Q28" s="176" t="s">
        <x:v>2732</x:v>
      </x:c>
      <x:c r="R28" s="176" t="s">
        <x:v>223</x:v>
      </x:c>
      <x:c r="S28" s="176"/>
      <x:c r="T28" s="176" t="s">
        <x:v>1501</x:v>
      </x:c>
      <x:c r="U28" s="184"/>
    </x:row>
    <x:row r="29" s="185" customFormat="1" ht="25">
      <x:c r="A29" s="173" t="s">
        <x:v>2804</x:v>
      </x:c>
      <x:c r="B29" s="173">
        <x:v>2018</x:v>
      </x:c>
      <x:c r="C29" s="173" t="s">
        <x:v>2770</x:v>
      </x:c>
      <x:c r="D29" s="173" t="s">
        <x:v>2771</x:v>
      </x:c>
      <x:c r="E29" s="173" t="s">
        <x:v>1354</x:v>
      </x:c>
      <x:c r="F29" s="173">
        <x:v>1</x:v>
      </x:c>
      <x:c r="G29" s="174">
        <x:v>1.89</x:v>
      </x:c>
      <x:c r="H29" s="173" t="s">
        <x:v>2679</x:v>
      </x:c>
      <x:c r="I29" s="173" t="s">
        <x:v>1523</x:v>
      </x:c>
      <x:c r="J29" s="173">
        <x:v>2018</x:v>
      </x:c>
      <x:c r="K29" s="173" t="s">
        <x:v>2727</x:v>
      </x:c>
      <x:c r="L29" s="183" t="s">
        <x:v>2794</x:v>
      </x:c>
      <x:c r="M29" s="175" t="s">
        <x:v>2772</x:v>
      </x:c>
      <x:c r="N29" s="175" t="s">
        <x:v>2773</x:v>
      </x:c>
      <x:c r="O29" s="173"/>
      <x:c r="P29" s="176" t="s">
        <x:v>2795</x:v>
      </x:c>
      <x:c r="Q29" s="176" t="s">
        <x:v>2732</x:v>
      </x:c>
      <x:c r="R29" s="176" t="s">
        <x:v>223</x:v>
      </x:c>
      <x:c r="S29" s="176"/>
      <x:c r="T29" s="176" t="s">
        <x:v>1501</x:v>
      </x:c>
      <x:c r="U29" s="184"/>
    </x:row>
    <x:row r="30" s="185" customFormat="1" ht="25">
      <x:c r="A30" s="173" t="s">
        <x:v>2805</x:v>
      </x:c>
      <x:c r="B30" s="173">
        <x:v>2018</x:v>
      </x:c>
      <x:c r="C30" s="173" t="s">
        <x:v>2775</x:v>
      </x:c>
      <x:c r="D30" s="173" t="s">
        <x:v>2776</x:v>
      </x:c>
      <x:c r="E30" s="173" t="s">
        <x:v>1354</x:v>
      </x:c>
      <x:c r="F30" s="173">
        <x:v>2</x:v>
      </x:c>
      <x:c r="G30" s="174">
        <x:v>6.6</x:v>
      </x:c>
      <x:c r="H30" s="173" t="s">
        <x:v>2679</x:v>
      </x:c>
      <x:c r="I30" s="173" t="s">
        <x:v>1523</x:v>
      </x:c>
      <x:c r="J30" s="173">
        <x:v>2018</x:v>
      </x:c>
      <x:c r="K30" s="173" t="s">
        <x:v>2727</x:v>
      </x:c>
      <x:c r="L30" s="183" t="s">
        <x:v>2794</x:v>
      </x:c>
      <x:c r="M30" s="175" t="s">
        <x:v>2777</x:v>
      </x:c>
      <x:c r="N30" s="175" t="s">
        <x:v>2778</x:v>
      </x:c>
      <x:c r="O30" s="173"/>
      <x:c r="P30" s="176" t="s">
        <x:v>2795</x:v>
      </x:c>
      <x:c r="Q30" s="176" t="s">
        <x:v>2732</x:v>
      </x:c>
      <x:c r="R30" s="176" t="s">
        <x:v>223</x:v>
      </x:c>
      <x:c r="S30" s="176"/>
      <x:c r="T30" s="176" t="s">
        <x:v>1501</x:v>
      </x:c>
      <x:c r="U30" s="184"/>
    </x:row>
    <x:row r="31" s="185" customFormat="1" ht="25">
      <x:c r="A31" s="173" t="s">
        <x:v>2806</x:v>
      </x:c>
      <x:c r="B31" s="173">
        <x:v>2018</x:v>
      </x:c>
      <x:c r="C31" s="173" t="s">
        <x:v>2780</x:v>
      </x:c>
      <x:c r="D31" s="173" t="s">
        <x:v>2781</x:v>
      </x:c>
      <x:c r="E31" s="173" t="s">
        <x:v>1354</x:v>
      </x:c>
      <x:c r="F31" s="173">
        <x:v>7</x:v>
      </x:c>
      <x:c r="G31" s="174">
        <x:v>24.6</x:v>
      </x:c>
      <x:c r="H31" s="173" t="s">
        <x:v>2679</x:v>
      </x:c>
      <x:c r="I31" s="173" t="s">
        <x:v>1523</x:v>
      </x:c>
      <x:c r="J31" s="173">
        <x:v>2018</x:v>
      </x:c>
      <x:c r="K31" s="173" t="s">
        <x:v>2727</x:v>
      </x:c>
      <x:c r="L31" s="183" t="s">
        <x:v>2794</x:v>
      </x:c>
      <x:c r="M31" s="175" t="s">
        <x:v>2782</x:v>
      </x:c>
      <x:c r="N31" s="175" t="s">
        <x:v>2783</x:v>
      </x:c>
      <x:c r="O31" s="173"/>
      <x:c r="P31" s="176" t="s">
        <x:v>2795</x:v>
      </x:c>
      <x:c r="Q31" s="176" t="s">
        <x:v>2732</x:v>
      </x:c>
      <x:c r="R31" s="176" t="s">
        <x:v>223</x:v>
      </x:c>
      <x:c r="S31" s="176"/>
      <x:c r="T31" s="176" t="s">
        <x:v>1501</x:v>
      </x:c>
      <x:c r="U31" s="184"/>
    </x:row>
    <x:row r="32" s="185" customFormat="1" ht="25">
      <x:c r="A32" s="173" t="s">
        <x:v>2807</x:v>
      </x:c>
      <x:c r="B32" s="173">
        <x:v>2018</x:v>
      </x:c>
      <x:c r="C32" s="173" t="s">
        <x:v>2785</x:v>
      </x:c>
      <x:c r="D32" s="173" t="s">
        <x:v>2786</x:v>
      </x:c>
      <x:c r="E32" s="173" t="s">
        <x:v>1354</x:v>
      </x:c>
      <x:c r="F32" s="173">
        <x:v>4</x:v>
      </x:c>
      <x:c r="G32" s="174">
        <x:v>17.7</x:v>
      </x:c>
      <x:c r="H32" s="173" t="s">
        <x:v>2679</x:v>
      </x:c>
      <x:c r="I32" s="173" t="s">
        <x:v>1523</x:v>
      </x:c>
      <x:c r="J32" s="173">
        <x:v>2018</x:v>
      </x:c>
      <x:c r="K32" s="173" t="s">
        <x:v>2727</x:v>
      </x:c>
      <x:c r="L32" s="183" t="s">
        <x:v>2794</x:v>
      </x:c>
      <x:c r="M32" s="175" t="s">
        <x:v>2787</x:v>
      </x:c>
      <x:c r="N32" s="175" t="s">
        <x:v>2788</x:v>
      </x:c>
      <x:c r="O32" s="173"/>
      <x:c r="P32" s="176" t="s">
        <x:v>2795</x:v>
      </x:c>
      <x:c r="Q32" s="176" t="s">
        <x:v>2732</x:v>
      </x:c>
      <x:c r="R32" s="176" t="s">
        <x:v>223</x:v>
      </x:c>
      <x:c r="S32" s="176"/>
      <x:c r="T32" s="176" t="s">
        <x:v>1501</x:v>
      </x:c>
      <x:c r="U32" s="184"/>
    </x:row>
    <x:row r="33" s="185" customFormat="1" ht="25">
      <x:c r="A33" s="173" t="s">
        <x:v>2808</x:v>
      </x:c>
      <x:c r="B33" s="173">
        <x:v>2018</x:v>
      </x:c>
      <x:c r="C33" s="173" t="s">
        <x:v>2790</x:v>
      </x:c>
      <x:c r="D33" s="173" t="s">
        <x:v>2791</x:v>
      </x:c>
      <x:c r="E33" s="173" t="s">
        <x:v>1354</x:v>
      </x:c>
      <x:c r="F33" s="173">
        <x:v>9</x:v>
      </x:c>
      <x:c r="G33" s="174">
        <x:v>16.3</x:v>
      </x:c>
      <x:c r="H33" s="173" t="s">
        <x:v>2679</x:v>
      </x:c>
      <x:c r="I33" s="173" t="s">
        <x:v>1523</x:v>
      </x:c>
      <x:c r="J33" s="173">
        <x:v>2018</x:v>
      </x:c>
      <x:c r="K33" s="173" t="s">
        <x:v>2727</x:v>
      </x:c>
      <x:c r="L33" s="183" t="s">
        <x:v>2794</x:v>
      </x:c>
      <x:c r="M33" s="175">
        <x:v>-212775</x:v>
      </x:c>
      <x:c r="N33" s="175" t="s">
        <x:v>2792</x:v>
      </x:c>
      <x:c r="O33" s="173"/>
      <x:c r="P33" s="176" t="s">
        <x:v>2795</x:v>
      </x:c>
      <x:c r="Q33" s="176" t="s">
        <x:v>2732</x:v>
      </x:c>
      <x:c r="R33" s="176" t="s">
        <x:v>223</x:v>
      </x:c>
      <x:c r="S33" s="176"/>
      <x:c r="T33" s="176" t="s">
        <x:v>1501</x:v>
      </x:c>
      <x:c r="U33" s="184"/>
    </x:row>
    <x:row r="34" s="182" customFormat="1" ht="37.5">
      <x:c r="A34" s="177" t="s">
        <x:v>2809</x:v>
      </x:c>
      <x:c r="B34" s="177">
        <x:v>2020</x:v>
      </x:c>
      <x:c r="C34" s="177" t="s">
        <x:v>2785</x:v>
      </x:c>
      <x:c r="D34" s="177" t="s">
        <x:v>2786</x:v>
      </x:c>
      <x:c r="E34" s="177" t="s">
        <x:v>1354</x:v>
      </x:c>
      <x:c r="F34" s="177">
        <x:v>3</x:v>
      </x:c>
      <x:c r="G34" s="178" t="n">
        <x:f>4+1.5+7.1</x:f>
        <x:v>12.6</x:v>
      </x:c>
      <x:c r="H34" s="177" t="s">
        <x:v>2679</x:v>
      </x:c>
      <x:c r="I34" s="177" t="s">
        <x:v>1523</x:v>
      </x:c>
      <x:c r="J34" s="177">
        <x:v>2020</x:v>
      </x:c>
      <x:c r="K34" s="177" t="s">
        <x:v>2692</x:v>
      </x:c>
      <x:c r="L34" s="186" t="s">
        <x:v>2810</x:v>
      </x:c>
      <x:c r="M34" s="179" t="s">
        <x:v>2787</x:v>
      </x:c>
      <x:c r="N34" s="179" t="s">
        <x:v>2788</x:v>
      </x:c>
      <x:c r="O34" s="177"/>
      <x:c r="P34" s="180" t="s">
        <x:v>2811</x:v>
      </x:c>
      <x:c r="Q34" s="180" t="s">
        <x:v>2732</x:v>
      </x:c>
      <x:c r="R34" s="180" t="s">
        <x:v>223</x:v>
      </x:c>
      <x:c r="S34" s="180"/>
      <x:c r="T34" s="180" t="s">
        <x:v>1501</x:v>
      </x:c>
      <x:c r="U34" s="181"/>
    </x:row>
    <x:row r="35" s="182" customFormat="1" ht="37.5">
      <x:c r="A35" s="177" t="s">
        <x:v>2812</x:v>
      </x:c>
      <x:c r="B35" s="177">
        <x:v>2020</x:v>
      </x:c>
      <x:c r="C35" s="177" t="s">
        <x:v>2775</x:v>
      </x:c>
      <x:c r="D35" s="177" t="s">
        <x:v>2776</x:v>
      </x:c>
      <x:c r="E35" s="177" t="s">
        <x:v>1354</x:v>
      </x:c>
      <x:c r="F35" s="177">
        <x:v>3</x:v>
      </x:c>
      <x:c r="G35" s="178" t="n">
        <x:f>3.4+1.4+6.9</x:f>
        <x:v>11.7</x:v>
      </x:c>
      <x:c r="H35" s="177" t="s">
        <x:v>2679</x:v>
      </x:c>
      <x:c r="I35" s="177" t="s">
        <x:v>1523</x:v>
      </x:c>
      <x:c r="J35" s="177">
        <x:v>2020</x:v>
      </x:c>
      <x:c r="K35" s="177" t="s">
        <x:v>2692</x:v>
      </x:c>
      <x:c r="L35" s="186" t="s">
        <x:v>2810</x:v>
      </x:c>
      <x:c r="M35" s="179" t="s">
        <x:v>2777</x:v>
      </x:c>
      <x:c r="N35" s="179" t="s">
        <x:v>2778</x:v>
      </x:c>
      <x:c r="O35" s="177"/>
      <x:c r="P35" s="180" t="s">
        <x:v>2811</x:v>
      </x:c>
      <x:c r="Q35" s="180" t="s">
        <x:v>2732</x:v>
      </x:c>
      <x:c r="R35" s="180" t="s">
        <x:v>223</x:v>
      </x:c>
      <x:c r="S35" s="180"/>
      <x:c r="T35" s="180" t="s">
        <x:v>1501</x:v>
      </x:c>
      <x:c r="U35" s="181"/>
    </x:row>
    <x:row r="36" s="182" customFormat="1" ht="37.5">
      <x:c r="A36" s="177" t="s">
        <x:v>2813</x:v>
      </x:c>
      <x:c r="B36" s="177">
        <x:v>2020</x:v>
      </x:c>
      <x:c r="C36" s="177" t="s">
        <x:v>2814</x:v>
      </x:c>
      <x:c r="D36" s="177" t="s">
        <x:v>1201</x:v>
      </x:c>
      <x:c r="E36" s="177" t="s">
        <x:v>1200</x:v>
      </x:c>
      <x:c r="F36" s="177">
        <x:v>1</x:v>
      </x:c>
      <x:c r="G36" s="178">
        <x:v>5.8</x:v>
      </x:c>
      <x:c r="H36" s="177" t="s">
        <x:v>2679</x:v>
      </x:c>
      <x:c r="I36" s="177" t="s">
        <x:v>1410</x:v>
      </x:c>
      <x:c r="J36" s="177">
        <x:v>2020</x:v>
      </x:c>
      <x:c r="K36" s="177" t="s">
        <x:v>2692</x:v>
      </x:c>
      <x:c r="L36" s="186" t="s">
        <x:v>2810</x:v>
      </x:c>
      <x:c r="M36" s="179" t="s">
        <x:v>2815</x:v>
      </x:c>
      <x:c r="N36" s="179" t="s">
        <x:v>2816</x:v>
      </x:c>
      <x:c r="O36" s="177"/>
      <x:c r="P36" s="180" t="s">
        <x:v>2817</x:v>
      </x:c>
      <x:c r="Q36" s="180" t="s">
        <x:v>2732</x:v>
      </x:c>
      <x:c r="R36" s="180" t="s">
        <x:v>223</x:v>
      </x:c>
      <x:c r="S36" s="180"/>
      <x:c r="T36" s="180" t="s">
        <x:v>1501</x:v>
      </x:c>
      <x:c r="U36" s="181"/>
    </x:row>
    <x:row r="37" s="182" customFormat="1" ht="37.5">
      <x:c r="A37" s="177" t="s">
        <x:v>2818</x:v>
      </x:c>
      <x:c r="B37" s="177">
        <x:v>2020</x:v>
      </x:c>
      <x:c r="C37" s="177" t="s">
        <x:v>2819</x:v>
      </x:c>
      <x:c r="D37" s="177" t="s">
        <x:v>2820</x:v>
      </x:c>
      <x:c r="E37" s="177" t="s">
        <x:v>1200</x:v>
      </x:c>
      <x:c r="F37" s="177">
        <x:v>3</x:v>
      </x:c>
      <x:c r="G37" s="178" t="n">
        <x:f>9.2+12.5+10.8</x:f>
        <x:v>32.5</x:v>
      </x:c>
      <x:c r="H37" s="177" t="s">
        <x:v>2679</x:v>
      </x:c>
      <x:c r="I37" s="177" t="s">
        <x:v>1410</x:v>
      </x:c>
      <x:c r="J37" s="177">
        <x:v>2020</x:v>
      </x:c>
      <x:c r="K37" s="177" t="s">
        <x:v>2692</x:v>
      </x:c>
      <x:c r="L37" s="186" t="s">
        <x:v>2810</x:v>
      </x:c>
      <x:c r="M37" s="179" t="s">
        <x:v>2821</x:v>
      </x:c>
      <x:c r="N37" s="179" t="s">
        <x:v>2822</x:v>
      </x:c>
      <x:c r="O37" s="177"/>
      <x:c r="P37" s="180" t="s">
        <x:v>2817</x:v>
      </x:c>
      <x:c r="Q37" s="180" t="s">
        <x:v>2732</x:v>
      </x:c>
      <x:c r="R37" s="180" t="s">
        <x:v>223</x:v>
      </x:c>
      <x:c r="S37" s="180"/>
      <x:c r="T37" s="180" t="s">
        <x:v>1501</x:v>
      </x:c>
      <x:c r="U37" s="181"/>
    </x:row>
    <x:row r="38" s="182" customFormat="1" ht="37.5">
      <x:c r="A38" s="177" t="s">
        <x:v>2823</x:v>
      </x:c>
      <x:c r="B38" s="177">
        <x:v>2020</x:v>
      </x:c>
      <x:c r="C38" s="177" t="s">
        <x:v>2824</x:v>
      </x:c>
      <x:c r="D38" s="177" t="s">
        <x:v>2825</x:v>
      </x:c>
      <x:c r="E38" s="177" t="s">
        <x:v>126</x:v>
      </x:c>
      <x:c r="F38" s="177">
        <x:v>3</x:v>
      </x:c>
      <x:c r="G38" s="178" t="n">
        <x:f>3.2+5.4+5.3</x:f>
        <x:v>13.900000000000002</x:v>
      </x:c>
      <x:c r="H38" s="177" t="s">
        <x:v>2679</x:v>
      </x:c>
      <x:c r="I38" s="177" t="s">
        <x:v>1410</x:v>
      </x:c>
      <x:c r="J38" s="177">
        <x:v>2020</x:v>
      </x:c>
      <x:c r="K38" s="177" t="s">
        <x:v>2692</x:v>
      </x:c>
      <x:c r="L38" s="186" t="s">
        <x:v>2810</x:v>
      </x:c>
      <x:c r="M38" s="179" t="s">
        <x:v>2826</x:v>
      </x:c>
      <x:c r="N38" s="179" t="s">
        <x:v>2827</x:v>
      </x:c>
      <x:c r="O38" s="177"/>
      <x:c r="P38" s="180" t="s">
        <x:v>2817</x:v>
      </x:c>
      <x:c r="Q38" s="180" t="s">
        <x:v>2732</x:v>
      </x:c>
      <x:c r="R38" s="180" t="s">
        <x:v>223</x:v>
      </x:c>
      <x:c r="S38" s="180"/>
      <x:c r="T38" s="180" t="s">
        <x:v>1501</x:v>
      </x:c>
      <x:c r="U38" s="181"/>
    </x:row>
    <x:row r="39" s="182" customFormat="1" ht="37.5">
      <x:c r="A39" s="177" t="s">
        <x:v>2828</x:v>
      </x:c>
      <x:c r="B39" s="177">
        <x:v>2020</x:v>
      </x:c>
      <x:c r="C39" s="177" t="s">
        <x:v>2829</x:v>
      </x:c>
      <x:c r="D39" s="177" t="s">
        <x:v>158</x:v>
      </x:c>
      <x:c r="E39" s="177" t="s">
        <x:v>102</x:v>
      </x:c>
      <x:c r="F39" s="177">
        <x:v>3</x:v>
      </x:c>
      <x:c r="G39" s="178" t="n">
        <x:f>6.2+4+6.9</x:f>
        <x:v>17.1</x:v>
      </x:c>
      <x:c r="H39" s="177" t="s">
        <x:v>2679</x:v>
      </x:c>
      <x:c r="I39" s="177" t="s">
        <x:v>1410</x:v>
      </x:c>
      <x:c r="J39" s="177">
        <x:v>2020</x:v>
      </x:c>
      <x:c r="K39" s="177" t="s">
        <x:v>2692</x:v>
      </x:c>
      <x:c r="L39" s="186" t="s">
        <x:v>2810</x:v>
      </x:c>
      <x:c r="M39" s="179" t="s">
        <x:v>2830</x:v>
      </x:c>
      <x:c r="N39" s="179" t="s">
        <x:v>2831</x:v>
      </x:c>
      <x:c r="O39" s="177"/>
      <x:c r="P39" s="180" t="s">
        <x:v>2817</x:v>
      </x:c>
      <x:c r="Q39" s="180" t="s">
        <x:v>2732</x:v>
      </x:c>
      <x:c r="R39" s="180" t="s">
        <x:v>223</x:v>
      </x:c>
      <x:c r="S39" s="180"/>
      <x:c r="T39" s="180" t="s">
        <x:v>1501</x:v>
      </x:c>
      <x:c r="U39" s="181"/>
    </x:row>
    <x:row r="40" s="182" customFormat="1" ht="37.5">
      <x:c r="A40" s="177" t="s">
        <x:v>2832</x:v>
      </x:c>
      <x:c r="B40" s="177">
        <x:v>2020</x:v>
      </x:c>
      <x:c r="C40" s="177" t="s">
        <x:v>2766</x:v>
      </x:c>
      <x:c r="D40" s="177" t="s">
        <x:v>2688</x:v>
      </x:c>
      <x:c r="E40" s="177" t="s">
        <x:v>1200</x:v>
      </x:c>
      <x:c r="F40" s="177">
        <x:v>5</x:v>
      </x:c>
      <x:c r="G40" s="178" t="n">
        <x:f>10.3+5.3+13.5+9.3+12.5</x:f>
        <x:v>50.900000000000006</x:v>
      </x:c>
      <x:c r="H40" s="177" t="s">
        <x:v>2679</x:v>
      </x:c>
      <x:c r="I40" s="177" t="s">
        <x:v>1410</x:v>
      </x:c>
      <x:c r="J40" s="177">
        <x:v>2020</x:v>
      </x:c>
      <x:c r="K40" s="177" t="s">
        <x:v>2692</x:v>
      </x:c>
      <x:c r="L40" s="186" t="s">
        <x:v>2810</x:v>
      </x:c>
      <x:c r="M40" s="179" t="s">
        <x:v>2833</x:v>
      </x:c>
      <x:c r="N40" s="179" t="s">
        <x:v>2834</x:v>
      </x:c>
      <x:c r="O40" s="177"/>
      <x:c r="P40" s="180" t="s">
        <x:v>2817</x:v>
      </x:c>
      <x:c r="Q40" s="180" t="s">
        <x:v>2732</x:v>
      </x:c>
      <x:c r="R40" s="180" t="s">
        <x:v>223</x:v>
      </x:c>
      <x:c r="S40" s="180"/>
      <x:c r="T40" s="180" t="s">
        <x:v>1501</x:v>
      </x:c>
      <x:c r="U40" s="181"/>
    </x:row>
    <x:row r="41" s="182" customFormat="1" ht="37.5">
      <x:c r="A41" s="177" t="s">
        <x:v>2835</x:v>
      </x:c>
      <x:c r="B41" s="177">
        <x:v>2020</x:v>
      </x:c>
      <x:c r="C41" s="177" t="s">
        <x:v>2761</x:v>
      </x:c>
      <x:c r="D41" s="177" t="s">
        <x:v>2762</x:v>
      </x:c>
      <x:c r="E41" s="177" t="s">
        <x:v>1200</x:v>
      </x:c>
      <x:c r="F41" s="177">
        <x:v>1</x:v>
      </x:c>
      <x:c r="G41" s="187">
        <x:v>3.9</x:v>
      </x:c>
      <x:c r="H41" s="177" t="s">
        <x:v>2679</x:v>
      </x:c>
      <x:c r="I41" s="177" t="s">
        <x:v>1410</x:v>
      </x:c>
      <x:c r="J41" s="177">
        <x:v>2020</x:v>
      </x:c>
      <x:c r="K41" s="177" t="s">
        <x:v>2692</x:v>
      </x:c>
      <x:c r="L41" s="186" t="s">
        <x:v>2810</x:v>
      </x:c>
      <x:c r="M41" s="179" t="s">
        <x:v>2836</x:v>
      </x:c>
      <x:c r="N41" s="179" t="s">
        <x:v>2837</x:v>
      </x:c>
      <x:c r="O41" s="177"/>
      <x:c r="P41" s="180" t="s">
        <x:v>2817</x:v>
      </x:c>
      <x:c r="Q41" s="180" t="s">
        <x:v>2732</x:v>
      </x:c>
      <x:c r="R41" s="180" t="s">
        <x:v>223</x:v>
      </x:c>
      <x:c r="S41" s="180"/>
      <x:c r="T41" s="180" t="s">
        <x:v>1501</x:v>
      </x:c>
      <x:c r="U41" s="181"/>
    </x:row>
    <x:row r="42" s="185" customFormat="1" ht="25">
      <x:c r="A42" s="173" t="s">
        <x:v>2838</x:v>
      </x:c>
      <x:c r="B42" s="173">
        <x:v>2021</x:v>
      </x:c>
      <x:c r="C42" s="173" t="s">
        <x:v>2839</x:v>
      </x:c>
      <x:c r="D42" s="173" t="s">
        <x:v>1201</x:v>
      </x:c>
      <x:c r="E42" s="173" t="s">
        <x:v>1200</x:v>
      </x:c>
      <x:c r="F42" s="173">
        <x:v>1</x:v>
      </x:c>
      <x:c r="G42" s="174">
        <x:v>5.8</x:v>
      </x:c>
      <x:c r="H42" s="173" t="s">
        <x:v>2679</x:v>
      </x:c>
      <x:c r="I42" s="173" t="s">
        <x:v>1523</x:v>
      </x:c>
      <x:c r="J42" s="173">
        <x:v>2021</x:v>
      </x:c>
      <x:c r="K42" s="173" t="s">
        <x:v>2692</x:v>
      </x:c>
      <x:c r="L42" s="183" t="s">
        <x:v>2840</x:v>
      </x:c>
      <x:c r="M42" s="175" t="s">
        <x:v>2815</x:v>
      </x:c>
      <x:c r="N42" s="175" t="s">
        <x:v>2816</x:v>
      </x:c>
      <x:c r="O42" s="173"/>
      <x:c r="P42" s="176" t="s">
        <x:v>2795</x:v>
      </x:c>
      <x:c r="Q42" s="176" t="s">
        <x:v>2732</x:v>
      </x:c>
      <x:c r="R42" s="176" t="s">
        <x:v>223</x:v>
      </x:c>
      <x:c r="S42" s="176"/>
      <x:c r="T42" s="176" t="s">
        <x:v>1501</x:v>
      </x:c>
      <x:c r="U42" s="184"/>
    </x:row>
    <x:row r="43" s="185" customFormat="1" ht="50">
      <x:c r="A43" s="173" t="s">
        <x:v>2841</x:v>
      </x:c>
      <x:c r="B43" s="173">
        <x:v>2021</x:v>
      </x:c>
      <x:c r="C43" s="173" t="s">
        <x:v>2819</x:v>
      </x:c>
      <x:c r="D43" s="173" t="s">
        <x:v>2820</x:v>
      </x:c>
      <x:c r="E43" s="173" t="s">
        <x:v>1200</x:v>
      </x:c>
      <x:c r="F43" s="173">
        <x:v>3</x:v>
      </x:c>
      <x:c r="G43" s="174">
        <x:v>32.520000000000003</x:v>
      </x:c>
      <x:c r="H43" s="173" t="s">
        <x:v>2679</x:v>
      </x:c>
      <x:c r="I43" s="173" t="s">
        <x:v>1523</x:v>
      </x:c>
      <x:c r="J43" s="173">
        <x:v>2021</x:v>
      </x:c>
      <x:c r="K43" s="173" t="s">
        <x:v>2692</x:v>
      </x:c>
      <x:c r="L43" s="183" t="s">
        <x:v>2840</x:v>
      </x:c>
      <x:c r="M43" s="175" t="s">
        <x:v>2821</x:v>
      </x:c>
      <x:c r="N43" s="175" t="s">
        <x:v>2822</x:v>
      </x:c>
      <x:c r="O43" s="173"/>
      <x:c r="P43" s="176" t="s">
        <x:v>2842</x:v>
      </x:c>
      <x:c r="Q43" s="176" t="s">
        <x:v>2732</x:v>
      </x:c>
      <x:c r="R43" s="176" t="s">
        <x:v>223</x:v>
      </x:c>
      <x:c r="S43" s="176"/>
      <x:c r="T43" s="176" t="s">
        <x:v>1501</x:v>
      </x:c>
      <x:c r="U43" s="184"/>
    </x:row>
    <x:row r="44" s="185" customFormat="1" ht="25">
      <x:c r="A44" s="173" t="s">
        <x:v>2843</x:v>
      </x:c>
      <x:c r="B44" s="173">
        <x:v>2021</x:v>
      </x:c>
      <x:c r="C44" s="173" t="s">
        <x:v>2824</x:v>
      </x:c>
      <x:c r="D44" s="173" t="s">
        <x:v>2825</x:v>
      </x:c>
      <x:c r="E44" s="173" t="s">
        <x:v>126</x:v>
      </x:c>
      <x:c r="F44" s="173">
        <x:v>3</x:v>
      </x:c>
      <x:c r="G44" s="174">
        <x:v>13.9</x:v>
      </x:c>
      <x:c r="H44" s="173" t="s">
        <x:v>2679</x:v>
      </x:c>
      <x:c r="I44" s="173" t="s">
        <x:v>1523</x:v>
      </x:c>
      <x:c r="J44" s="173">
        <x:v>2021</x:v>
      </x:c>
      <x:c r="K44" s="173" t="s">
        <x:v>2692</x:v>
      </x:c>
      <x:c r="L44" s="183" t="s">
        <x:v>2840</x:v>
      </x:c>
      <x:c r="M44" s="175" t="s">
        <x:v>2826</x:v>
      </x:c>
      <x:c r="N44" s="175" t="s">
        <x:v>2827</x:v>
      </x:c>
      <x:c r="O44" s="173"/>
      <x:c r="P44" s="176" t="s">
        <x:v>2795</x:v>
      </x:c>
      <x:c r="Q44" s="176" t="s">
        <x:v>2732</x:v>
      </x:c>
      <x:c r="R44" s="176" t="s">
        <x:v>223</x:v>
      </x:c>
      <x:c r="S44" s="176"/>
      <x:c r="T44" s="176" t="s">
        <x:v>1501</x:v>
      </x:c>
      <x:c r="U44" s="184"/>
    </x:row>
    <x:row r="45" s="185" customFormat="1" ht="25">
      <x:c r="A45" s="173" t="s">
        <x:v>2844</x:v>
      </x:c>
      <x:c r="B45" s="173">
        <x:v>2021</x:v>
      </x:c>
      <x:c r="C45" s="173" t="s">
        <x:v>2829</x:v>
      </x:c>
      <x:c r="D45" s="173" t="s">
        <x:v>158</x:v>
      </x:c>
      <x:c r="E45" s="173" t="s">
        <x:v>102</x:v>
      </x:c>
      <x:c r="F45" s="173">
        <x:v>3</x:v>
      </x:c>
      <x:c r="G45" s="174">
        <x:v>17.14</x:v>
      </x:c>
      <x:c r="H45" s="173" t="s">
        <x:v>2679</x:v>
      </x:c>
      <x:c r="I45" s="173" t="s">
        <x:v>1523</x:v>
      </x:c>
      <x:c r="J45" s="173">
        <x:v>2021</x:v>
      </x:c>
      <x:c r="K45" s="173" t="s">
        <x:v>2692</x:v>
      </x:c>
      <x:c r="L45" s="183" t="s">
        <x:v>2840</x:v>
      </x:c>
      <x:c r="M45" s="175" t="s">
        <x:v>2830</x:v>
      </x:c>
      <x:c r="N45" s="175" t="s">
        <x:v>2831</x:v>
      </x:c>
      <x:c r="O45" s="173"/>
      <x:c r="P45" s="176" t="s">
        <x:v>2795</x:v>
      </x:c>
      <x:c r="Q45" s="176" t="s">
        <x:v>2732</x:v>
      </x:c>
      <x:c r="R45" s="176" t="s">
        <x:v>223</x:v>
      </x:c>
      <x:c r="S45" s="176"/>
      <x:c r="T45" s="176" t="s">
        <x:v>1501</x:v>
      </x:c>
      <x:c r="U45" s="184"/>
    </x:row>
    <x:row r="46" s="185" customFormat="1" ht="50">
      <x:c r="A46" s="173" t="s">
        <x:v>2845</x:v>
      </x:c>
      <x:c r="B46" s="173">
        <x:v>2021</x:v>
      </x:c>
      <x:c r="C46" s="173" t="s">
        <x:v>2766</x:v>
      </x:c>
      <x:c r="D46" s="173" t="s">
        <x:v>2688</x:v>
      </x:c>
      <x:c r="E46" s="173" t="s">
        <x:v>1200</x:v>
      </x:c>
      <x:c r="F46" s="173">
        <x:v>5</x:v>
      </x:c>
      <x:c r="G46" s="174">
        <x:v>50.92</x:v>
      </x:c>
      <x:c r="H46" s="173" t="s">
        <x:v>2679</x:v>
      </x:c>
      <x:c r="I46" s="173" t="s">
        <x:v>1523</x:v>
      </x:c>
      <x:c r="J46" s="173">
        <x:v>2021</x:v>
      </x:c>
      <x:c r="K46" s="173" t="s">
        <x:v>2692</x:v>
      </x:c>
      <x:c r="L46" s="183" t="s">
        <x:v>2840</x:v>
      </x:c>
      <x:c r="M46" s="175" t="s">
        <x:v>2833</x:v>
      </x:c>
      <x:c r="N46" s="175" t="s">
        <x:v>2834</x:v>
      </x:c>
      <x:c r="O46" s="173"/>
      <x:c r="P46" s="176" t="s">
        <x:v>2846</x:v>
      </x:c>
      <x:c r="Q46" s="176" t="s">
        <x:v>2732</x:v>
      </x:c>
      <x:c r="R46" s="176" t="s">
        <x:v>223</x:v>
      </x:c>
      <x:c r="S46" s="176"/>
      <x:c r="T46" s="176" t="s">
        <x:v>1501</x:v>
      </x:c>
      <x:c r="U46" s="184"/>
    </x:row>
    <x:row r="47" s="185" customFormat="1" ht="37.5">
      <x:c r="A47" s="173" t="s">
        <x:v>2847</x:v>
      </x:c>
      <x:c r="B47" s="173">
        <x:v>2021</x:v>
      </x:c>
      <x:c r="C47" s="173" t="s">
        <x:v>2761</x:v>
      </x:c>
      <x:c r="D47" s="173" t="s">
        <x:v>2762</x:v>
      </x:c>
      <x:c r="E47" s="173" t="s">
        <x:v>1200</x:v>
      </x:c>
      <x:c r="F47" s="173">
        <x:v>1</x:v>
      </x:c>
      <x:c r="G47" s="174">
        <x:v>3.94</x:v>
      </x:c>
      <x:c r="H47" s="173" t="s">
        <x:v>2679</x:v>
      </x:c>
      <x:c r="I47" s="173" t="s">
        <x:v>2848</x:v>
      </x:c>
      <x:c r="J47" s="173">
        <x:v>2021</x:v>
      </x:c>
      <x:c r="K47" s="173" t="s">
        <x:v>2692</x:v>
      </x:c>
      <x:c r="L47" s="183" t="s">
        <x:v>2840</x:v>
      </x:c>
      <x:c r="M47" s="175" t="s">
        <x:v>2836</x:v>
      </x:c>
      <x:c r="N47" s="175" t="s">
        <x:v>2837</x:v>
      </x:c>
      <x:c r="O47" s="173"/>
      <x:c r="P47" s="176" t="s">
        <x:v>2849</x:v>
      </x:c>
      <x:c r="Q47" s="176" t="s">
        <x:v>2732</x:v>
      </x:c>
      <x:c r="R47" s="176" t="s">
        <x:v>223</x:v>
      </x:c>
      <x:c r="S47" s="176"/>
      <x:c r="T47" s="176" t="s">
        <x:v>1501</x:v>
      </x:c>
      <x:c r="U47" s="184"/>
    </x:row>
    <x:row r="48" s="185" customFormat="1" ht="25">
      <x:c r="A48" s="173" t="s">
        <x:v>2850</x:v>
      </x:c>
      <x:c r="B48" s="173">
        <x:v>2021</x:v>
      </x:c>
      <x:c r="C48" s="173" t="s">
        <x:v>2780</x:v>
      </x:c>
      <x:c r="D48" s="173" t="s">
        <x:v>2781</x:v>
      </x:c>
      <x:c r="E48" s="173" t="s">
        <x:v>1354</x:v>
      </x:c>
      <x:c r="F48" s="173">
        <x:v>6</x:v>
      </x:c>
      <x:c r="G48" s="174">
        <x:v>18.13</x:v>
      </x:c>
      <x:c r="H48" s="173" t="s">
        <x:v>2679</x:v>
      </x:c>
      <x:c r="I48" s="173" t="s">
        <x:v>1410</x:v>
      </x:c>
      <x:c r="J48" s="173">
        <x:v>2021</x:v>
      </x:c>
      <x:c r="K48" s="173" t="s">
        <x:v>2692</x:v>
      </x:c>
      <x:c r="L48" s="183" t="s">
        <x:v>2840</x:v>
      </x:c>
      <x:c r="M48" s="175" t="s">
        <x:v>2851</x:v>
      </x:c>
      <x:c r="N48" s="175" t="s">
        <x:v>2852</x:v>
      </x:c>
      <x:c r="O48" s="173"/>
      <x:c r="P48" s="176" t="s">
        <x:v>2853</x:v>
      </x:c>
      <x:c r="Q48" s="176" t="s">
        <x:v>2732</x:v>
      </x:c>
      <x:c r="R48" s="176" t="s">
        <x:v>223</x:v>
      </x:c>
      <x:c r="S48" s="176"/>
      <x:c r="T48" s="176" t="s">
        <x:v>1501</x:v>
      </x:c>
      <x:c r="U48" s="184"/>
    </x:row>
    <x:row r="49" s="185" customFormat="1" ht="25">
      <x:c r="A49" s="173" t="s">
        <x:v>2854</x:v>
      </x:c>
      <x:c r="B49" s="173">
        <x:v>2021</x:v>
      </x:c>
      <x:c r="C49" s="173" t="s">
        <x:v>2855</x:v>
      </x:c>
      <x:c r="D49" s="173" t="s">
        <x:v>2856</x:v>
      </x:c>
      <x:c r="E49" s="173" t="s">
        <x:v>1200</x:v>
      </x:c>
      <x:c r="F49" s="173">
        <x:v>1</x:v>
      </x:c>
      <x:c r="G49" s="174">
        <x:v>7.74</x:v>
      </x:c>
      <x:c r="H49" s="173" t="s">
        <x:v>2679</x:v>
      </x:c>
      <x:c r="I49" s="173" t="s">
        <x:v>1410</x:v>
      </x:c>
      <x:c r="J49" s="173">
        <x:v>2021</x:v>
      </x:c>
      <x:c r="K49" s="173" t="s">
        <x:v>2692</x:v>
      </x:c>
      <x:c r="L49" s="183" t="s">
        <x:v>2840</x:v>
      </x:c>
      <x:c r="M49" s="175" t="s">
        <x:v>2857</x:v>
      </x:c>
      <x:c r="N49" s="175" t="s">
        <x:v>2858</x:v>
      </x:c>
      <x:c r="O49" s="173"/>
      <x:c r="P49" s="176" t="s">
        <x:v>2853</x:v>
      </x:c>
      <x:c r="Q49" s="176" t="s">
        <x:v>2732</x:v>
      </x:c>
      <x:c r="R49" s="176" t="s">
        <x:v>223</x:v>
      </x:c>
      <x:c r="S49" s="176"/>
      <x:c r="T49" s="176" t="s">
        <x:v>1501</x:v>
      </x:c>
      <x:c r="U49" s="184"/>
    </x:row>
    <x:row r="50" s="182" customFormat="1" ht="25">
      <x:c r="A50" s="177" t="s">
        <x:v>2859</x:v>
      </x:c>
      <x:c r="B50" s="177">
        <x:v>2022</x:v>
      </x:c>
      <x:c r="C50" s="177" t="s">
        <x:v>2819</x:v>
      </x:c>
      <x:c r="D50" s="177" t="s">
        <x:v>2820</x:v>
      </x:c>
      <x:c r="E50" s="177" t="s">
        <x:v>1200</x:v>
      </x:c>
      <x:c r="F50" s="177">
        <x:v>1</x:v>
      </x:c>
      <x:c r="G50" s="178">
        <x:v>12.5</x:v>
      </x:c>
      <x:c r="H50" s="177" t="s">
        <x:v>2679</x:v>
      </x:c>
      <x:c r="I50" s="177" t="s">
        <x:v>1523</x:v>
      </x:c>
      <x:c r="J50" s="177">
        <x:v>2022</x:v>
      </x:c>
      <x:c r="K50" s="177" t="s">
        <x:v>2692</x:v>
      </x:c>
      <x:c r="L50" s="177" t="s">
        <x:v>2860</x:v>
      </x:c>
      <x:c r="M50" s="179" t="s">
        <x:v>2821</x:v>
      </x:c>
      <x:c r="N50" s="179" t="s">
        <x:v>2822</x:v>
      </x:c>
      <x:c r="O50" s="177"/>
      <x:c r="P50" s="180" t="s">
        <x:v>2795</x:v>
      </x:c>
      <x:c r="Q50" s="180" t="s">
        <x:v>1501</x:v>
      </x:c>
      <x:c r="R50" s="180" t="s">
        <x:v>223</x:v>
      </x:c>
      <x:c r="S50" s="180"/>
      <x:c r="T50" s="180" t="s">
        <x:v>1501</x:v>
      </x:c>
      <x:c r="U50" s="181"/>
    </x:row>
    <x:row r="51" s="182" customFormat="1" ht="50">
      <x:c r="A51" s="177" t="s">
        <x:v>2861</x:v>
      </x:c>
      <x:c r="B51" s="177">
        <x:v>2022</x:v>
      </x:c>
      <x:c r="C51" s="177" t="s">
        <x:v>2766</x:v>
      </x:c>
      <x:c r="D51" s="177" t="s">
        <x:v>2688</x:v>
      </x:c>
      <x:c r="E51" s="177" t="s">
        <x:v>1200</x:v>
      </x:c>
      <x:c r="F51" s="177">
        <x:v>3</x:v>
      </x:c>
      <x:c r="G51" s="178">
        <x:v>32.090000000000003</x:v>
      </x:c>
      <x:c r="H51" s="177" t="s">
        <x:v>2679</x:v>
      </x:c>
      <x:c r="I51" s="177" t="s">
        <x:v>1523</x:v>
      </x:c>
      <x:c r="J51" s="177">
        <x:v>2022</x:v>
      </x:c>
      <x:c r="K51" s="177" t="s">
        <x:v>2692</x:v>
      </x:c>
      <x:c r="L51" s="177" t="s">
        <x:v>2860</x:v>
      </x:c>
      <x:c r="M51" s="179" t="s">
        <x:v>2833</x:v>
      </x:c>
      <x:c r="N51" s="179" t="s">
        <x:v>2834</x:v>
      </x:c>
      <x:c r="O51" s="177"/>
      <x:c r="P51" s="180" t="s">
        <x:v>2862</x:v>
      </x:c>
      <x:c r="Q51" s="180" t="s">
        <x:v>1501</x:v>
      </x:c>
      <x:c r="R51" s="180" t="s">
        <x:v>223</x:v>
      </x:c>
      <x:c r="S51" s="180"/>
      <x:c r="T51" s="180" t="s">
        <x:v>1501</x:v>
      </x:c>
      <x:c r="U51" s="181"/>
    </x:row>
    <x:row r="52" s="182" customFormat="1" ht="25">
      <x:c r="A52" s="177" t="s">
        <x:v>2863</x:v>
      </x:c>
      <x:c r="B52" s="177">
        <x:v>2022</x:v>
      </x:c>
      <x:c r="C52" s="177" t="s">
        <x:v>2761</x:v>
      </x:c>
      <x:c r="D52" s="177" t="s">
        <x:v>2762</x:v>
      </x:c>
      <x:c r="E52" s="177" t="s">
        <x:v>1200</x:v>
      </x:c>
      <x:c r="F52" s="177">
        <x:v>1</x:v>
      </x:c>
      <x:c r="G52" s="178">
        <x:v>3.94</x:v>
      </x:c>
      <x:c r="H52" s="177" t="s">
        <x:v>2679</x:v>
      </x:c>
      <x:c r="I52" s="177" t="s">
        <x:v>1523</x:v>
      </x:c>
      <x:c r="J52" s="177">
        <x:v>2022</x:v>
      </x:c>
      <x:c r="K52" s="177" t="s">
        <x:v>2692</x:v>
      </x:c>
      <x:c r="L52" s="177" t="s">
        <x:v>2860</x:v>
      </x:c>
      <x:c r="M52" s="179" t="s">
        <x:v>2836</x:v>
      </x:c>
      <x:c r="N52" s="179" t="s">
        <x:v>2837</x:v>
      </x:c>
      <x:c r="O52" s="177"/>
      <x:c r="P52" s="180" t="s">
        <x:v>2795</x:v>
      </x:c>
      <x:c r="Q52" s="180" t="s">
        <x:v>1501</x:v>
      </x:c>
      <x:c r="R52" s="180" t="s">
        <x:v>223</x:v>
      </x:c>
      <x:c r="S52" s="180"/>
      <x:c r="T52" s="180" t="s">
        <x:v>1501</x:v>
      </x:c>
      <x:c r="U52" s="181"/>
    </x:row>
    <x:row r="53" s="182" customFormat="1" ht="37.5">
      <x:c r="A53" s="177" t="s">
        <x:v>2864</x:v>
      </x:c>
      <x:c r="B53" s="177">
        <x:v>2022</x:v>
      </x:c>
      <x:c r="C53" s="177" t="s">
        <x:v>2780</x:v>
      </x:c>
      <x:c r="D53" s="177" t="s">
        <x:v>2781</x:v>
      </x:c>
      <x:c r="E53" s="177" t="s">
        <x:v>1354</x:v>
      </x:c>
      <x:c r="F53" s="177">
        <x:v>6</x:v>
      </x:c>
      <x:c r="G53" s="178">
        <x:v>18.13</x:v>
      </x:c>
      <x:c r="H53" s="177" t="s">
        <x:v>2679</x:v>
      </x:c>
      <x:c r="I53" s="177" t="s">
        <x:v>2848</x:v>
      </x:c>
      <x:c r="J53" s="177">
        <x:v>2022</x:v>
      </x:c>
      <x:c r="K53" s="177" t="s">
        <x:v>2692</x:v>
      </x:c>
      <x:c r="L53" s="177" t="s">
        <x:v>2860</x:v>
      </x:c>
      <x:c r="M53" s="179" t="s">
        <x:v>2851</x:v>
      </x:c>
      <x:c r="N53" s="179" t="s">
        <x:v>2852</x:v>
      </x:c>
      <x:c r="O53" s="177"/>
      <x:c r="P53" s="180" t="s">
        <x:v>2849</x:v>
      </x:c>
      <x:c r="Q53" s="180" t="s">
        <x:v>1501</x:v>
      </x:c>
      <x:c r="R53" s="180" t="s">
        <x:v>223</x:v>
      </x:c>
      <x:c r="S53" s="180"/>
      <x:c r="T53" s="180" t="s">
        <x:v>1501</x:v>
      </x:c>
      <x:c r="U53" s="181"/>
    </x:row>
    <x:row r="54" s="182" customFormat="1" ht="25">
      <x:c r="A54" s="177" t="s">
        <x:v>2865</x:v>
      </x:c>
      <x:c r="B54" s="177">
        <x:v>2022</x:v>
      </x:c>
      <x:c r="C54" s="177" t="s">
        <x:v>2855</x:v>
      </x:c>
      <x:c r="D54" s="177" t="s">
        <x:v>2856</x:v>
      </x:c>
      <x:c r="E54" s="177" t="s">
        <x:v>1200</x:v>
      </x:c>
      <x:c r="F54" s="177">
        <x:v>1</x:v>
      </x:c>
      <x:c r="G54" s="178">
        <x:v>7.74</x:v>
      </x:c>
      <x:c r="H54" s="177" t="s">
        <x:v>2679</x:v>
      </x:c>
      <x:c r="I54" s="177" t="s">
        <x:v>1523</x:v>
      </x:c>
      <x:c r="J54" s="177">
        <x:v>2022</x:v>
      </x:c>
      <x:c r="K54" s="177" t="s">
        <x:v>2692</x:v>
      </x:c>
      <x:c r="L54" s="177" t="s">
        <x:v>2860</x:v>
      </x:c>
      <x:c r="M54" s="179" t="s">
        <x:v>2857</x:v>
      </x:c>
      <x:c r="N54" s="179" t="s">
        <x:v>2858</x:v>
      </x:c>
      <x:c r="O54" s="177"/>
      <x:c r="P54" s="180" t="s">
        <x:v>2795</x:v>
      </x:c>
      <x:c r="Q54" s="180" t="s">
        <x:v>1501</x:v>
      </x:c>
      <x:c r="R54" s="180" t="s">
        <x:v>223</x:v>
      </x:c>
      <x:c r="S54" s="180"/>
      <x:c r="T54" s="180" t="s">
        <x:v>1501</x:v>
      </x:c>
      <x:c r="U54" s="181"/>
    </x:row>
    <x:row r="55" s="182" customFormat="1" ht="25">
      <x:c r="A55" s="177" t="s">
        <x:v>2866</x:v>
      </x:c>
      <x:c r="B55" s="177">
        <x:v>2022</x:v>
      </x:c>
      <x:c r="C55" s="177" t="s">
        <x:v>2867</x:v>
      </x:c>
      <x:c r="D55" s="177" t="s">
        <x:v>114</x:v>
      </x:c>
      <x:c r="E55" s="177" t="s">
        <x:v>75</x:v>
      </x:c>
      <x:c r="F55" s="177">
        <x:v>2</x:v>
      </x:c>
      <x:c r="G55" s="178">
        <x:v>10.9</x:v>
      </x:c>
      <x:c r="H55" s="177" t="s">
        <x:v>2679</x:v>
      </x:c>
      <x:c r="I55" s="177" t="s">
        <x:v>1523</x:v>
      </x:c>
      <x:c r="J55" s="177">
        <x:v>2022</x:v>
      </x:c>
      <x:c r="K55" s="177" t="s">
        <x:v>2692</x:v>
      </x:c>
      <x:c r="L55" s="177" t="s">
        <x:v>2860</x:v>
      </x:c>
      <x:c r="M55" s="179" t="s">
        <x:v>2868</x:v>
      </x:c>
      <x:c r="N55" s="179" t="s">
        <x:v>2869</x:v>
      </x:c>
      <x:c r="O55" s="177"/>
      <x:c r="P55" s="180" t="s">
        <x:v>2795</x:v>
      </x:c>
      <x:c r="Q55" s="180" t="s">
        <x:v>1501</x:v>
      </x:c>
      <x:c r="R55" s="180" t="s">
        <x:v>223</x:v>
      </x:c>
      <x:c r="S55" s="180"/>
      <x:c r="T55" s="180" t="s">
        <x:v>1501</x:v>
      </x:c>
      <x:c r="U55" s="181"/>
    </x:row>
    <x:row r="56" ht="25">
      <x:c r="A56" s="173" t="s">
        <x:v>2870</x:v>
      </x:c>
      <x:c r="B56" s="173">
        <x:v>2024</x:v>
      </x:c>
      <x:c r="C56" s="173" t="s">
        <x:v>2766</x:v>
      </x:c>
      <x:c r="D56" s="173" t="s">
        <x:v>2688</x:v>
      </x:c>
      <x:c r="E56" s="173" t="s">
        <x:v>1200</x:v>
      </x:c>
      <x:c r="F56" s="173">
        <x:v>1</x:v>
      </x:c>
      <x:c r="G56" s="174">
        <x:v>8.8000000000000007</x:v>
      </x:c>
      <x:c r="H56" s="173" t="s">
        <x:v>2871</x:v>
      </x:c>
      <x:c r="I56" s="173" t="s">
        <x:v>1410</x:v>
      </x:c>
      <x:c r="J56" s="173">
        <x:v>2024</x:v>
      </x:c>
      <x:c r="K56" s="173" t="s">
        <x:v>2692</x:v>
      </x:c>
      <x:c r="L56" s="173"/>
      <x:c r="M56" s="175" t="s">
        <x:v>2833</x:v>
      </x:c>
      <x:c r="N56" s="175" t="s">
        <x:v>2834</x:v>
      </x:c>
      <x:c r="O56" s="183"/>
      <x:c r="P56" s="176" t="s">
        <x:v>2872</x:v>
      </x:c>
      <x:c r="Q56" s="176" t="s">
        <x:v>1501</x:v>
      </x:c>
      <x:c r="R56" s="176" t="s">
        <x:v>223</x:v>
      </x:c>
      <x:c r="S56" s="176"/>
      <x:c r="T56" s="176" t="s">
        <x:v>1501</x:v>
      </x:c>
    </x:row>
    <x:row r="57" ht="25">
      <x:c r="A57" s="173" t="s">
        <x:v>2873</x:v>
      </x:c>
      <x:c r="B57" s="173">
        <x:v>2024</x:v>
      </x:c>
      <x:c r="C57" s="173" t="s">
        <x:v>2780</x:v>
      </x:c>
      <x:c r="D57" s="173" t="s">
        <x:v>2781</x:v>
      </x:c>
      <x:c r="E57" s="173" t="s">
        <x:v>1354</x:v>
      </x:c>
      <x:c r="F57" s="173">
        <x:v>6</x:v>
      </x:c>
      <x:c r="G57" s="174">
        <x:v>15.28</x:v>
      </x:c>
      <x:c r="H57" s="173" t="s">
        <x:v>2871</x:v>
      </x:c>
      <x:c r="I57" s="173" t="s">
        <x:v>1410</x:v>
      </x:c>
      <x:c r="J57" s="173">
        <x:v>2024</x:v>
      </x:c>
      <x:c r="K57" s="173" t="s">
        <x:v>2692</x:v>
      </x:c>
      <x:c r="L57" s="173"/>
      <x:c r="M57" s="175" t="s">
        <x:v>2851</x:v>
      </x:c>
      <x:c r="N57" s="175" t="s">
        <x:v>2852</x:v>
      </x:c>
      <x:c r="O57" s="173"/>
      <x:c r="P57" s="176" t="s">
        <x:v>2874</x:v>
      </x:c>
      <x:c r="Q57" s="176" t="s">
        <x:v>1501</x:v>
      </x:c>
      <x:c r="R57" s="176" t="s">
        <x:v>223</x:v>
      </x:c>
      <x:c r="S57" s="176"/>
      <x:c r="T57" s="176" t="s">
        <x:v>1501</x:v>
      </x:c>
    </x:row>
    <x:row r="58">
      <x:c r="A58" s="139"/>
      <x:c r="B58" s="138"/>
      <x:c r="C58" s="138"/>
      <x:c r="D58" s="138"/>
      <x:c r="E58" s="138"/>
      <x:c r="F58" s="138"/>
      <x:c r="G58" s="160"/>
      <x:c r="H58" s="138"/>
      <x:c r="I58" s="138"/>
      <x:c r="J58" s="138"/>
      <x:c r="K58" s="138"/>
      <x:c r="L58" s="138"/>
      <x:c r="M58" s="166"/>
      <x:c r="N58" s="166"/>
      <x:c r="O58" s="138"/>
      <x:c r="P58" s="136"/>
      <x:c r="Q58" s="136"/>
      <x:c r="R58" s="136"/>
      <x:c r="S58" s="136"/>
      <x:c r="T58" s="135"/>
    </x:row>
    <x:row r="59">
      <x:c r="M59" s="165"/>
      <x:c r="N59" s="165"/>
    </x:row>
    <x:row r="60">
      <x:c r="B60" s="290" t="s">
        <x:v>2875</x:v>
      </x:c>
      <x:c r="C60" s="290"/>
      <x:c r="D60" s="290"/>
      <x:c r="E60" s="290"/>
      <x:c r="F60" s="290"/>
      <x:c r="G60" s="158" t="s">
        <x:v>2712</x:v>
      </x:c>
      <x:c r="M60" s="165"/>
      <x:c r="N60" s="165"/>
    </x:row>
    <x:row r="61">
      <x:c r="B61" s="289" t="s">
        <x:v>2876</x:v>
      </x:c>
      <x:c r="C61" s="289"/>
      <x:c r="D61" s="289"/>
      <x:c r="E61" s="289"/>
      <x:c r="F61" s="289"/>
      <x:c r="G61" s="157" t="n">
        <x:f>COUNTA(A6:A58)</x:f>
        <x:v>52</x:v>
      </x:c>
      <x:c r="M61" s="165"/>
      <x:c r="N61" s="165"/>
    </x:row>
    <x:row r="62">
      <x:c r="B62" s="280" t="s">
        <x:v>2877</x:v>
      </x:c>
      <x:c r="C62" s="280"/>
      <x:c r="D62" s="280"/>
      <x:c r="E62" s="280"/>
      <x:c r="F62" s="280"/>
      <x:c r="G62" s="131" t="n">
        <x:f>SUM(F6:F58)</x:f>
        <x:v>192</x:v>
      </x:c>
      <x:c r="M62" s="165"/>
      <x:c r="N62" s="165"/>
    </x:row>
    <x:row r="63">
      <x:c r="B63" s="280" t="s">
        <x:v>2878</x:v>
      </x:c>
      <x:c r="C63" s="280"/>
      <x:c r="D63" s="280"/>
      <x:c r="E63" s="280"/>
      <x:c r="F63" s="280"/>
      <x:c r="G63" s="155" t="n">
        <x:f>SUM(G6:G58)</x:f>
        <x:v>791.96</x:v>
      </x:c>
      <x:c r="M63" s="165"/>
      <x:c r="N63" s="165"/>
    </x:row>
    <x:row r="64">
      <x:c r="B64" s="287" t="s">
        <x:v>2879</x:v>
      </x:c>
      <x:c r="C64" s="287"/>
      <x:c r="D64" s="287"/>
      <x:c r="E64" s="287"/>
      <x:c r="F64" s="287"/>
      <x:c r="G64" s="154" t="n">
        <x:f>COUNTIFS(M6:M58,"&lt;&gt;",N6:N58,"&lt;&gt;")</x:f>
        <x:v>52</x:v>
      </x:c>
      <x:c r="M64" s="165"/>
      <x:c r="N64" s="165"/>
    </x:row>
    <x:row r="65">
      <x:c r="M65" s="165"/>
      <x:c r="N65" s="165"/>
    </x:row>
    <x:row r="66">
      <x:c r="M66" s="165"/>
      <x:c r="N66" s="165"/>
    </x:row>
    <x:row r="67">
      <x:c r="M67" s="165"/>
      <x:c r="N67" s="165"/>
    </x:row>
    <x:row r="68">
      <x:c r="M68" s="165"/>
      <x:c r="N68" s="165"/>
    </x:row>
    <x:row r="69">
      <x:c r="M69" s="165"/>
      <x:c r="N69" s="165"/>
    </x:row>
    <x:row r="70">
      <x:c r="M70" s="165"/>
      <x:c r="N70" s="165"/>
    </x:row>
    <x:row r="71">
      <x:c r="M71" s="165"/>
      <x:c r="N71" s="165"/>
    </x:row>
    <x:row r="72">
      <x:c r="M72" s="165"/>
      <x:c r="N72" s="165"/>
    </x:row>
    <x:row r="73">
      <x:c r="M73" s="165"/>
      <x:c r="N73" s="165"/>
    </x:row>
    <x:row r="74">
      <x:c r="M74" s="165"/>
      <x:c r="N74" s="165"/>
    </x:row>
    <x:row r="75">
      <x:c r="M75" s="165"/>
      <x:c r="N75" s="165"/>
    </x:row>
    <x:row r="76">
      <x:c r="M76" s="165"/>
      <x:c r="N76" s="165"/>
    </x:row>
    <x:row r="77">
      <x:c r="M77" s="165"/>
      <x:c r="N77" s="165"/>
    </x:row>
    <x:row r="78">
      <x:c r="M78" s="165"/>
      <x:c r="N78" s="165"/>
    </x:row>
    <x:row r="79">
      <x:c r="M79" s="165"/>
      <x:c r="N79" s="165"/>
    </x:row>
    <x:row r="80">
      <x:c r="M80" s="165"/>
      <x:c r="N80" s="165"/>
    </x:row>
    <x:row r="81">
      <x:c r="M81" s="165"/>
      <x:c r="N81" s="165"/>
    </x:row>
    <x:row r="82">
      <x:c r="M82" s="165"/>
      <x:c r="N82" s="165"/>
    </x:row>
    <x:row r="83">
      <x:c r="M83" s="165"/>
      <x:c r="N83" s="165"/>
    </x:row>
    <x:row r="84">
      <x:c r="M84" s="165"/>
      <x:c r="N84" s="165"/>
    </x:row>
    <x:row r="85">
      <x:c r="M85" s="165"/>
      <x:c r="N85" s="165"/>
    </x:row>
    <x:row r="86">
      <x:c r="M86" s="165"/>
      <x:c r="N86" s="165"/>
    </x:row>
    <x:row r="87">
      <x:c r="M87" s="165"/>
      <x:c r="N87" s="165"/>
    </x:row>
    <x:row r="88">
      <x:c r="M88" s="165"/>
      <x:c r="N88" s="165"/>
    </x:row>
    <x:row r="89">
      <x:c r="M89" s="165"/>
      <x:c r="N89" s="165"/>
    </x:row>
    <x:row r="90">
      <x:c r="M90" s="165"/>
      <x:c r="N90" s="165"/>
    </x:row>
    <x:row r="91">
      <x:c r="M91" s="165"/>
      <x:c r="N91" s="165"/>
    </x:row>
    <x:row r="92">
      <x:c r="M92" s="165"/>
      <x:c r="N92" s="165"/>
    </x:row>
    <x:row r="93">
      <x:c r="M93" s="165"/>
      <x:c r="N93" s="165"/>
    </x:row>
    <x:row r="94">
      <x:c r="M94" s="165"/>
      <x:c r="N94" s="165"/>
    </x:row>
    <x:row r="95">
      <x:c r="M95" s="165"/>
      <x:c r="N95" s="165"/>
    </x:row>
    <x:row r="96">
      <x:c r="M96" s="165"/>
      <x:c r="N96" s="165"/>
    </x:row>
    <x:row r="97">
      <x:c r="M97" s="165"/>
      <x:c r="N97" s="165"/>
    </x:row>
    <x:row r="98">
      <x:c r="M98" s="165"/>
      <x:c r="N98" s="165"/>
    </x:row>
    <x:row r="99">
      <x:c r="M99" s="165"/>
      <x:c r="N99" s="165"/>
    </x:row>
    <x:row r="100">
      <x:c r="M100" s="165"/>
      <x:c r="N100" s="165"/>
    </x:row>
    <x:row r="101">
      <x:c r="M101" s="165"/>
      <x:c r="N101" s="165"/>
    </x:row>
    <x:row r="102">
      <x:c r="M102" s="165"/>
      <x:c r="N102" s="165"/>
    </x:row>
    <x:row r="103">
      <x:c r="M103" s="165"/>
      <x:c r="N103" s="165"/>
    </x:row>
    <x:row r="104">
      <x:c r="M104" s="165"/>
      <x:c r="N104" s="165"/>
    </x:row>
    <x:row r="105">
      <x:c r="M105" s="165"/>
      <x:c r="N105" s="165"/>
    </x:row>
    <x:row r="106">
      <x:c r="M106" s="165"/>
      <x:c r="N106" s="165"/>
    </x:row>
    <x:row r="107">
      <x:c r="M107" s="165"/>
      <x:c r="N107" s="165"/>
    </x:row>
    <x:row r="108">
      <x:c r="M108" s="165"/>
      <x:c r="N108" s="165"/>
    </x:row>
    <x:row r="109">
      <x:c r="M109" s="165"/>
      <x:c r="N109" s="165"/>
    </x:row>
    <x:row r="110">
      <x:c r="M110" s="165"/>
      <x:c r="N110" s="165"/>
    </x:row>
    <x:row r="111">
      <x:c r="M111" s="165"/>
      <x:c r="N111" s="165"/>
    </x:row>
    <x:row r="112">
      <x:c r="M112" s="165"/>
      <x:c r="N112" s="165"/>
    </x:row>
    <x:row r="113">
      <x:c r="M113" s="165"/>
      <x:c r="N113" s="165"/>
    </x:row>
    <x:row r="114">
      <x:c r="M114" s="165"/>
      <x:c r="N114" s="165"/>
    </x:row>
    <x:row r="115">
      <x:c r="M115" s="165"/>
      <x:c r="N115" s="165"/>
    </x:row>
    <x:row r="116">
      <x:c r="M116" s="165"/>
      <x:c r="N116" s="165"/>
    </x:row>
    <x:row r="117">
      <x:c r="M117" s="165"/>
      <x:c r="N117" s="165"/>
    </x:row>
    <x:row r="118">
      <x:c r="M118" s="165"/>
      <x:c r="N118" s="165"/>
    </x:row>
    <x:row r="119">
      <x:c r="M119" s="165"/>
      <x:c r="N119" s="165"/>
    </x:row>
    <x:row r="120">
      <x:c r="M120" s="165"/>
      <x:c r="N120" s="165"/>
    </x:row>
    <x:row r="121">
      <x:c r="M121" s="165"/>
      <x:c r="N121" s="165"/>
    </x:row>
    <x:row r="122">
      <x:c r="M122" s="165"/>
      <x:c r="N122" s="165"/>
    </x:row>
    <x:row r="123">
      <x:c r="M123" s="165"/>
      <x:c r="N123" s="165"/>
    </x:row>
    <x:row r="124">
      <x:c r="M124" s="165"/>
      <x:c r="N124" s="165"/>
    </x:row>
    <x:row r="125">
      <x:c r="M125" s="165"/>
      <x:c r="N125" s="165"/>
    </x:row>
    <x:row r="126">
      <x:c r="M126" s="165"/>
      <x:c r="N126" s="165"/>
    </x:row>
    <x:row r="127">
      <x:c r="M127" s="165"/>
      <x:c r="N127" s="165"/>
    </x:row>
    <x:row r="128">
      <x:c r="M128" s="165"/>
      <x:c r="N128" s="165"/>
    </x:row>
    <x:row r="129">
      <x:c r="M129" s="165"/>
      <x:c r="N129" s="165"/>
    </x:row>
    <x:row r="130">
      <x:c r="M130" s="165"/>
      <x:c r="N130" s="165"/>
    </x:row>
    <x:row r="131">
      <x:c r="M131" s="165"/>
      <x:c r="N131" s="165"/>
    </x:row>
    <x:row r="132">
      <x:c r="M132" s="165"/>
      <x:c r="N132" s="165"/>
    </x:row>
    <x:row r="133">
      <x:c r="M133" s="165"/>
      <x:c r="N133" s="165"/>
    </x:row>
    <x:row r="134">
      <x:c r="M134" s="165"/>
      <x:c r="N134" s="165"/>
    </x:row>
    <x:row r="135">
      <x:c r="M135" s="165"/>
      <x:c r="N135" s="165"/>
    </x:row>
    <x:row r="136">
      <x:c r="M136" s="165"/>
      <x:c r="N136" s="165"/>
    </x:row>
    <x:row r="137">
      <x:c r="M137" s="165"/>
      <x:c r="N137" s="165"/>
    </x:row>
    <x:row r="138">
      <x:c r="M138" s="165"/>
      <x:c r="N138" s="165"/>
    </x:row>
    <x:row r="139">
      <x:c r="M139" s="165"/>
      <x:c r="N139" s="165"/>
    </x:row>
    <x:row r="140">
      <x:c r="M140" s="165"/>
      <x:c r="N140" s="165"/>
    </x:row>
    <x:row r="141">
      <x:c r="M141" s="165"/>
      <x:c r="N141" s="165"/>
    </x:row>
    <x:row r="142">
      <x:c r="M142" s="165"/>
      <x:c r="N142" s="165"/>
    </x:row>
    <x:row r="143">
      <x:c r="M143" s="165"/>
      <x:c r="N143" s="165"/>
    </x:row>
    <x:row r="144">
      <x:c r="M144" s="165"/>
      <x:c r="N144" s="165"/>
    </x:row>
    <x:row r="145">
      <x:c r="M145" s="165"/>
      <x:c r="N145" s="165"/>
    </x:row>
    <x:row r="146">
      <x:c r="M146" s="165"/>
      <x:c r="N146" s="165"/>
    </x:row>
    <x:row r="147">
      <x:c r="M147" s="165"/>
      <x:c r="N147" s="165"/>
    </x:row>
    <x:row r="148">
      <x:c r="M148" s="165"/>
      <x:c r="N148" s="165"/>
    </x:row>
    <x:row r="149">
      <x:c r="M149" s="165"/>
      <x:c r="N149" s="165"/>
    </x:row>
    <x:row r="150">
      <x:c r="M150" s="165"/>
      <x:c r="N150" s="165"/>
    </x:row>
    <x:row r="151">
      <x:c r="M151" s="165"/>
      <x:c r="N151" s="165"/>
    </x:row>
    <x:row r="152">
      <x:c r="M152" s="165"/>
      <x:c r="N152" s="165"/>
    </x:row>
    <x:row r="153">
      <x:c r="M153" s="165"/>
      <x:c r="N153" s="165"/>
    </x:row>
    <x:row r="154">
      <x:c r="M154" s="165"/>
      <x:c r="N154" s="165"/>
    </x:row>
    <x:row r="155">
      <x:c r="M155" s="165"/>
      <x:c r="N155" s="165"/>
    </x:row>
    <x:row r="156">
      <x:c r="M156" s="165"/>
      <x:c r="N156" s="165"/>
    </x:row>
    <x:row r="157">
      <x:c r="M157" s="165"/>
      <x:c r="N157" s="165"/>
    </x:row>
    <x:row r="158">
      <x:c r="M158" s="165"/>
      <x:c r="N158" s="165"/>
    </x:row>
    <x:row r="159">
      <x:c r="M159" s="165"/>
      <x:c r="N159" s="165"/>
    </x:row>
    <x:row r="160">
      <x:c r="M160" s="165"/>
      <x:c r="N160" s="165"/>
    </x:row>
    <x:row r="161">
      <x:c r="M161" s="165"/>
      <x:c r="N161" s="165"/>
    </x:row>
    <x:row r="162">
      <x:c r="M162" s="165"/>
      <x:c r="N162" s="165"/>
    </x:row>
    <x:row r="163">
      <x:c r="M163" s="165"/>
      <x:c r="N163" s="165"/>
    </x:row>
    <x:row r="164">
      <x:c r="M164" s="165"/>
      <x:c r="N164" s="165"/>
    </x:row>
    <x:row r="165">
      <x:c r="M165" s="165"/>
      <x:c r="N165" s="165"/>
    </x:row>
    <x:row r="166">
      <x:c r="M166" s="165"/>
      <x:c r="N166" s="165"/>
    </x:row>
    <x:row r="167">
      <x:c r="M167" s="165"/>
      <x:c r="N167" s="165"/>
    </x:row>
    <x:row r="168">
      <x:c r="M168" s="165"/>
      <x:c r="N168" s="165"/>
    </x:row>
    <x:row r="169">
      <x:c r="M169" s="165"/>
      <x:c r="N169" s="165"/>
    </x:row>
    <x:row r="170">
      <x:c r="M170" s="165"/>
      <x:c r="N170" s="165"/>
    </x:row>
    <x:row r="171">
      <x:c r="M171" s="165"/>
      <x:c r="N171" s="165"/>
    </x:row>
    <x:row r="172">
      <x:c r="M172" s="165"/>
      <x:c r="N172" s="165"/>
    </x:row>
    <x:row r="173">
      <x:c r="M173" s="165"/>
      <x:c r="N173" s="165"/>
    </x:row>
    <x:row r="174">
      <x:c r="M174" s="165"/>
      <x:c r="N174" s="165"/>
    </x:row>
    <x:row r="175">
      <x:c r="M175" s="165"/>
      <x:c r="N175" s="165"/>
    </x:row>
    <x:row r="176">
      <x:c r="M176" s="165"/>
      <x:c r="N176" s="165"/>
    </x:row>
    <x:row r="177">
      <x:c r="M177" s="165"/>
      <x:c r="N177" s="165"/>
    </x:row>
    <x:row r="178">
      <x:c r="M178" s="165"/>
      <x:c r="N178" s="165"/>
    </x:row>
    <x:row r="179">
      <x:c r="M179" s="165"/>
      <x:c r="N179" s="165"/>
    </x:row>
    <x:row r="180">
      <x:c r="M180" s="165"/>
      <x:c r="N180" s="165"/>
    </x:row>
    <x:row r="181">
      <x:c r="M181" s="165"/>
      <x:c r="N181" s="165"/>
    </x:row>
    <x:row r="182">
      <x:c r="M182" s="165"/>
      <x:c r="N182" s="165"/>
    </x:row>
    <x:row r="183">
      <x:c r="M183" s="165"/>
      <x:c r="N183" s="165"/>
    </x:row>
    <x:row r="184">
      <x:c r="M184" s="165"/>
      <x:c r="N184" s="165"/>
    </x:row>
    <x:row r="185">
      <x:c r="M185" s="165"/>
      <x:c r="N185" s="165"/>
    </x:row>
    <x:row r="186">
      <x:c r="M186" s="165"/>
      <x:c r="N186" s="165"/>
    </x:row>
    <x:row r="187">
      <x:c r="M187" s="165"/>
      <x:c r="N187" s="165"/>
    </x:row>
    <x:row r="188">
      <x:c r="M188" s="165"/>
      <x:c r="N188" s="165"/>
    </x:row>
    <x:row r="189">
      <x:c r="M189" s="165"/>
      <x:c r="N189" s="165"/>
    </x:row>
    <x:row r="190">
      <x:c r="M190" s="165"/>
      <x:c r="N190" s="165"/>
    </x:row>
    <x:row r="191">
      <x:c r="M191" s="165"/>
      <x:c r="N191" s="165"/>
    </x:row>
    <x:row r="192">
      <x:c r="M192" s="165"/>
      <x:c r="N192" s="165"/>
    </x:row>
    <x:row r="193">
      <x:c r="M193" s="165"/>
      <x:c r="N193" s="165"/>
    </x:row>
    <x:row r="194">
      <x:c r="M194" s="165"/>
      <x:c r="N194" s="165"/>
    </x:row>
    <x:row r="195">
      <x:c r="M195" s="165"/>
      <x:c r="N195" s="165"/>
    </x:row>
    <x:row r="196">
      <x:c r="M196" s="165"/>
      <x:c r="N196" s="165"/>
    </x:row>
    <x:row r="197">
      <x:c r="M197" s="165"/>
      <x:c r="N197" s="165"/>
    </x:row>
    <x:row r="198">
      <x:c r="M198" s="165"/>
      <x:c r="N198" s="165"/>
    </x:row>
    <x:row r="199">
      <x:c r="M199" s="165"/>
      <x:c r="N199" s="165"/>
    </x:row>
    <x:row r="200">
      <x:c r="M200" s="165"/>
      <x:c r="N200" s="165"/>
    </x:row>
    <x:row r="201">
      <x:c r="M201" s="165"/>
      <x:c r="N201" s="165"/>
    </x:row>
    <x:row r="202">
      <x:c r="M202" s="165"/>
      <x:c r="N202" s="165"/>
    </x:row>
    <x:row r="203">
      <x:c r="M203" s="165"/>
      <x:c r="N203" s="165"/>
    </x:row>
    <x:row r="204">
      <x:c r="M204" s="165"/>
      <x:c r="N204" s="165"/>
    </x:row>
    <x:row r="205">
      <x:c r="M205" s="165"/>
      <x:c r="N205" s="165"/>
    </x:row>
    <x:row r="206">
      <x:c r="M206" s="165"/>
      <x:c r="N206" s="165"/>
    </x:row>
    <x:row r="207">
      <x:c r="M207" s="165"/>
      <x:c r="N207" s="165"/>
    </x:row>
    <x:row r="208">
      <x:c r="M208" s="165"/>
      <x:c r="N208" s="165"/>
    </x:row>
    <x:row r="209">
      <x:c r="M209" s="165"/>
      <x:c r="N209" s="165"/>
    </x:row>
    <x:row r="210">
      <x:c r="M210" s="165"/>
      <x:c r="N210" s="165"/>
    </x:row>
    <x:row r="211">
      <x:c r="M211" s="165"/>
      <x:c r="N211" s="165"/>
    </x:row>
    <x:row r="212">
      <x:c r="M212" s="165"/>
      <x:c r="N212" s="165"/>
    </x:row>
    <x:row r="213">
      <x:c r="M213" s="165"/>
      <x:c r="N213" s="165"/>
    </x:row>
    <x:row r="214">
      <x:c r="M214" s="165"/>
      <x:c r="N214" s="165"/>
    </x:row>
    <x:row r="215">
      <x:c r="M215" s="165"/>
      <x:c r="N215" s="165"/>
    </x:row>
    <x:row r="216">
      <x:c r="M216" s="165"/>
      <x:c r="N216" s="165"/>
    </x:row>
    <x:row r="217">
      <x:c r="M217" s="165"/>
      <x:c r="N217" s="165"/>
    </x:row>
    <x:row r="218">
      <x:c r="M218" s="165"/>
      <x:c r="N218" s="165"/>
    </x:row>
    <x:row r="219">
      <x:c r="M219" s="165"/>
      <x:c r="N219" s="165"/>
    </x:row>
    <x:row r="220">
      <x:c r="M220" s="165"/>
      <x:c r="N220" s="165"/>
    </x:row>
    <x:row r="221">
      <x:c r="M221" s="165"/>
      <x:c r="N221" s="165"/>
    </x:row>
    <x:row r="222">
      <x:c r="M222" s="165"/>
      <x:c r="N222" s="165"/>
    </x:row>
    <x:row r="223">
      <x:c r="M223" s="165"/>
      <x:c r="N223" s="165"/>
    </x:row>
    <x:row r="224">
      <x:c r="M224" s="165"/>
      <x:c r="N224" s="165"/>
    </x:row>
    <x:row r="225">
      <x:c r="M225" s="165"/>
      <x:c r="N225" s="165"/>
    </x:row>
    <x:row r="226">
      <x:c r="M226" s="165"/>
      <x:c r="N226" s="165"/>
    </x:row>
    <x:row r="227">
      <x:c r="M227" s="165"/>
      <x:c r="N227" s="165"/>
    </x:row>
    <x:row r="228">
      <x:c r="M228" s="165"/>
      <x:c r="N228" s="165"/>
    </x:row>
    <x:row r="229">
      <x:c r="M229" s="165"/>
      <x:c r="N229" s="165"/>
    </x:row>
    <x:row r="230">
      <x:c r="M230" s="165"/>
      <x:c r="N230" s="165"/>
    </x:row>
    <x:row r="231">
      <x:c r="M231" s="165"/>
      <x:c r="N231" s="165"/>
    </x:row>
    <x:row r="232">
      <x:c r="M232" s="165"/>
      <x:c r="N232" s="165"/>
    </x:row>
    <x:row r="233">
      <x:c r="M233" s="165"/>
      <x:c r="N233" s="165"/>
    </x:row>
    <x:row r="234">
      <x:c r="M234" s="165"/>
      <x:c r="N234" s="165"/>
    </x:row>
    <x:row r="235">
      <x:c r="M235" s="165"/>
      <x:c r="N235" s="165"/>
    </x:row>
    <x:row r="236">
      <x:c r="M236" s="165"/>
      <x:c r="N236" s="165"/>
    </x:row>
    <x:row r="237">
      <x:c r="M237" s="165"/>
      <x:c r="N237" s="165"/>
    </x:row>
    <x:row r="238">
      <x:c r="M238" s="165"/>
      <x:c r="N238" s="165"/>
    </x:row>
    <x:row r="239">
      <x:c r="M239" s="165"/>
      <x:c r="N239" s="165"/>
    </x:row>
    <x:row r="240">
      <x:c r="M240" s="165"/>
      <x:c r="N240" s="165"/>
    </x:row>
    <x:row r="241">
      <x:c r="M241" s="165"/>
      <x:c r="N241" s="165"/>
    </x:row>
    <x:row r="242">
      <x:c r="M242" s="165"/>
      <x:c r="N242" s="165"/>
    </x:row>
    <x:row r="243">
      <x:c r="M243" s="165"/>
      <x:c r="N243" s="165"/>
    </x:row>
    <x:row r="244">
      <x:c r="M244" s="165"/>
      <x:c r="N244" s="165"/>
    </x:row>
    <x:row r="245">
      <x:c r="M245" s="165"/>
      <x:c r="N245" s="165"/>
    </x:row>
    <x:row r="246">
      <x:c r="M246" s="165"/>
      <x:c r="N246" s="165"/>
    </x:row>
    <x:row r="247">
      <x:c r="M247" s="165"/>
      <x:c r="N247" s="165"/>
    </x:row>
    <x:row r="248">
      <x:c r="M248" s="165"/>
      <x:c r="N248" s="165"/>
    </x:row>
    <x:row r="249">
      <x:c r="M249" s="165"/>
      <x:c r="N249" s="165"/>
    </x:row>
    <x:row r="250">
      <x:c r="M250" s="165"/>
      <x:c r="N250" s="165"/>
    </x:row>
    <x:row r="251">
      <x:c r="M251" s="165"/>
      <x:c r="N251" s="165"/>
    </x:row>
    <x:row r="252">
      <x:c r="M252" s="165"/>
      <x:c r="N252" s="165"/>
    </x:row>
    <x:row r="253">
      <x:c r="M253" s="165"/>
      <x:c r="N253" s="165"/>
    </x:row>
    <x:row r="254">
      <x:c r="M254" s="165"/>
      <x:c r="N254" s="165"/>
    </x:row>
    <x:row r="255">
      <x:c r="M255" s="165"/>
      <x:c r="N255" s="165"/>
    </x:row>
    <x:row r="256">
      <x:c r="M256" s="165"/>
      <x:c r="N256" s="165"/>
    </x:row>
  </x:sheetData>
  <x:mergeCells>
    <x:mergeCell ref="B62:F62"/>
    <x:mergeCell ref="B63:F63"/>
    <x:mergeCell ref="B64:F64"/>
    <x:mergeCell ref="A1:T1"/>
    <x:mergeCell ref="A2:T2"/>
    <x:mergeCell ref="A3:T3"/>
    <x:mergeCell ref="B60:F60"/>
    <x:mergeCell ref="B61:F61"/>
  </x:mergeCells>
  <x:conditionalFormatting sqref="H6:H256">
    <x:cfRule type="expression" dxfId="4" priority="1">
      <x:formula>H6="Kawasan Kumuh Tersisa"</x:formula>
    </x:cfRule>
  </x:conditionalFormatting>
  <x:conditionalFormatting sqref="I6:I256">
    <x:cfRule type="expression" dxfId="3" priority="2">
      <x:formula>I6="Dalam Penanganan"</x:formula>
    </x:cfRule>
    <x:cfRule type="expression" dxfId="2" priority="3">
      <x:formula>I6="Selesai Ditangani"</x:formula>
    </x:cfRule>
  </x:conditionalFormatting>
  <x:dataValidations count="3">
    <x:dataValidation type="list" sqref="R6:R256">
      <x:formula1>"Terverifikasi,Belum Diverifikasi,Perlu Konfirmasi Dokumen,Perlu Perbaikan"</x:formula1>
    </x:dataValidation>
    <x:dataValidation type="list" sqref="I6:I256">
      <x:formula1>"Belum Ditangani,Dalam Penanganan,Selesai Ditangani,Perlu Verifikasi"</x:formula1>
    </x:dataValidation>
    <x:dataValidation type="list" sqref="H6:H256">
      <x:formula1>"Kawasan Kumuh Tersisa,Dalam Evaluasi,Keluar dari SK,Historis"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4"/>
  <x:cols>
    <x:col min="1" max="1" width="18" customWidth="1"/>
    <x:col min="2" max="2" width="9" customWidth="1"/>
    <x:col min="3" max="3" width="15" customWidth="1"/>
    <x:col min="4" max="4" width="16" customWidth="1"/>
    <x:col min="5" max="5" width="18" customWidth="1"/>
    <x:col min="6" max="6" width="15" customWidth="1"/>
    <x:col min="7" max="7" width="16" customWidth="1"/>
    <x:col min="8" max="9" width="15" customWidth="1"/>
    <x:col min="10" max="10" width="14" customWidth="1"/>
    <x:col min="11" max="12" width="13" customWidth="1"/>
    <x:col min="13" max="13" width="16" customWidth="1"/>
    <x:col min="14" max="15" width="18" customWidth="1"/>
    <x:col min="16" max="16" width="20" customWidth="1"/>
    <x:col min="17" max="18" width="11" customWidth="1"/>
    <x:col min="19" max="19" width="16" customWidth="1"/>
    <x:col min="20" max="20" width="20" customWidth="1"/>
    <x:col min="21" max="21" width="19" customWidth="1"/>
    <x:col min="22" max="22" width="18" customWidth="1"/>
    <x:col min="23" max="23" width="25" customWidth="1"/>
    <x:col min="24" max="24" width="23" customWidth="1"/>
    <x:col min="25" max="25" width="22" customWidth="1"/>
    <x:col min="26" max="26" width="24" customWidth="1"/>
    <x:col min="27" max="27" width="25" customWidth="1"/>
    <x:col min="28" max="28" width="24" customWidth="1"/>
    <x:col min="29" max="29" width="34" customWidth="1"/>
    <x:col min="30" max="30" width="18" customWidth="1"/>
    <x:col min="31" max="31" width="16" customWidth="1"/>
  </x:cols>
  <x:sheetData>
    <x:row r="1" ht="7.75" customHeight="1">
      <x:c r="A1" s="291" t="s">
        <x:v>2880</x:v>
      </x:c>
      <x:c r="B1" s="291"/>
      <x:c r="C1" s="291"/>
      <x:c r="D1" s="291"/>
      <x:c r="E1" s="291"/>
      <x:c r="F1" s="291"/>
      <x:c r="G1" s="291"/>
      <x:c r="H1" s="291"/>
      <x:c r="I1" s="291"/>
      <x:c r="J1" s="291"/>
      <x:c r="K1" s="291"/>
      <x:c r="L1" s="291"/>
      <x:c r="M1" s="291"/>
      <x:c r="N1" s="291"/>
      <x:c r="O1" s="291"/>
      <x:c r="P1" s="291"/>
      <x:c r="Q1" s="291"/>
      <x:c r="R1" s="291"/>
      <x:c r="S1" s="291"/>
      <x:c r="T1" s="291"/>
      <x:c r="U1" s="291"/>
      <x:c r="V1" s="291"/>
      <x:c r="W1" s="291"/>
      <x:c r="X1" s="291"/>
      <x:c r="Y1" s="291"/>
      <x:c r="Z1" s="291"/>
      <x:c r="AA1" s="291"/>
      <x:c r="AB1" s="291"/>
      <x:c r="AC1" s="291"/>
      <x:c r="AD1" s="291"/>
      <x:c r="AE1" s="291"/>
    </x:row>
    <x:row r="2" ht="7.150000095367432" customHeight="1">
      <x:c r="A2" s="292" t="s">
        <x:v>2881</x:v>
      </x:c>
      <x:c r="B2" s="292"/>
      <x:c r="C2" s="292"/>
      <x:c r="D2" s="292"/>
      <x:c r="E2" s="292"/>
      <x:c r="F2" s="292"/>
      <x:c r="G2" s="292"/>
      <x:c r="H2" s="292"/>
      <x:c r="I2" s="292"/>
      <x:c r="J2" s="292"/>
      <x:c r="K2" s="292"/>
      <x:c r="L2" s="292"/>
      <x:c r="M2" s="292"/>
      <x:c r="N2" s="292"/>
      <x:c r="O2" s="292"/>
      <x:c r="P2" s="292"/>
      <x:c r="Q2" s="292"/>
      <x:c r="R2" s="292"/>
      <x:c r="S2" s="292"/>
      <x:c r="T2" s="292"/>
      <x:c r="U2" s="292"/>
      <x:c r="V2" s="292"/>
      <x:c r="W2" s="292"/>
      <x:c r="X2" s="292"/>
      <x:c r="Y2" s="292"/>
      <x:c r="Z2" s="292"/>
      <x:c r="AA2" s="292"/>
      <x:c r="AB2" s="292"/>
      <x:c r="AC2" s="292"/>
      <x:c r="AD2" s="292"/>
      <x:c r="AE2" s="292"/>
    </x:row>
    <x:row r="3" ht="9.5" customHeight="1">
      <x:c r="A3" s="293" t="s">
        <x:v>2882</x:v>
      </x:c>
      <x:c r="B3" s="293"/>
      <x:c r="C3" s="293"/>
      <x:c r="D3" s="293"/>
      <x:c r="E3" s="293"/>
      <x:c r="F3" s="293"/>
      <x:c r="G3" s="293"/>
      <x:c r="H3" s="293"/>
      <x:c r="I3" s="293"/>
      <x:c r="J3" s="293"/>
      <x:c r="K3" s="293"/>
      <x:c r="L3" s="293"/>
      <x:c r="M3" s="293"/>
      <x:c r="N3" s="293"/>
      <x:c r="O3" s="293"/>
      <x:c r="P3" s="293"/>
      <x:c r="Q3" s="293"/>
      <x:c r="R3" s="293"/>
      <x:c r="S3" s="293"/>
      <x:c r="T3" s="293"/>
      <x:c r="U3" s="293"/>
      <x:c r="V3" s="293"/>
      <x:c r="W3" s="293"/>
      <x:c r="X3" s="293"/>
      <x:c r="Y3" s="293"/>
      <x:c r="Z3" s="293"/>
      <x:c r="AA3" s="293"/>
      <x:c r="AB3" s="293"/>
      <x:c r="AC3" s="293"/>
      <x:c r="AD3" s="293"/>
      <x:c r="AE3" s="293"/>
    </x:row>
    <x:row r="5" ht="10.649999618530273" customHeight="1">
      <x:c r="A5" s="204" t="s">
        <x:v>2883</x:v>
      </x:c>
      <x:c r="B5" s="204" t="s">
        <x:v>2573</x:v>
      </x:c>
      <x:c r="C5" s="204" t="s">
        <x:v>2884</x:v>
      </x:c>
      <x:c r="D5" s="204" t="s">
        <x:v>1339</x:v>
      </x:c>
      <x:c r="E5" s="204" t="s">
        <x:v>2885</x:v>
      </x:c>
      <x:c r="F5" s="204" t="s">
        <x:v>2886</x:v>
      </x:c>
      <x:c r="G5" s="204" t="s">
        <x:v>2887</x:v>
      </x:c>
      <x:c r="H5" s="204" t="s">
        <x:v>2888</x:v>
      </x:c>
      <x:c r="I5" s="204" t="s">
        <x:v>2889</x:v>
      </x:c>
      <x:c r="J5" s="204" t="s">
        <x:v>2890</x:v>
      </x:c>
      <x:c r="K5" s="204" t="s">
        <x:v>2891</x:v>
      </x:c>
      <x:c r="L5" s="204" t="s">
        <x:v>2892</x:v>
      </x:c>
      <x:c r="M5" s="204" t="s">
        <x:v>2893</x:v>
      </x:c>
      <x:c r="N5" s="204" t="s">
        <x:v>1348</x:v>
      </x:c>
      <x:c r="O5" s="204" t="s">
        <x:v>2894</x:v>
      </x:c>
      <x:c r="P5" s="204" t="s">
        <x:v>2895</x:v>
      </x:c>
      <x:c r="Q5" s="204" t="s">
        <x:v>2896</x:v>
      </x:c>
      <x:c r="R5" s="204" t="s">
        <x:v>1370</x:v>
      </x:c>
      <x:c r="S5" s="204" t="s">
        <x:v>2897</x:v>
      </x:c>
      <x:c r="T5" s="204" t="s">
        <x:v>2898</x:v>
      </x:c>
      <x:c r="U5" s="204" t="s">
        <x:v>2899</x:v>
      </x:c>
      <x:c r="V5" s="204" t="s">
        <x:v>2900</x:v>
      </x:c>
      <x:c r="W5" s="204" t="s">
        <x:v>2901</x:v>
      </x:c>
      <x:c r="X5" s="204" t="s">
        <x:v>2902</x:v>
      </x:c>
      <x:c r="Y5" s="204" t="s">
        <x:v>2903</x:v>
      </x:c>
      <x:c r="Z5" s="204" t="s">
        <x:v>2904</x:v>
      </x:c>
      <x:c r="AA5" s="204" t="s">
        <x:v>2905</x:v>
      </x:c>
      <x:c r="AB5" s="204" t="s">
        <x:v>28</x:v>
      </x:c>
      <x:c r="AC5" s="204" t="s">
        <x:v>1276</x:v>
      </x:c>
      <x:c r="AD5" s="204" t="s">
        <x:v>31</x:v>
      </x:c>
      <x:c r="AE5" s="203" t="s">
        <x:v>30</x:v>
      </x:c>
    </x:row>
    <x:row r="6">
      <x:c r="A6" s="197"/>
      <x:c r="B6" s="202"/>
      <x:c r="C6" s="201"/>
      <x:c r="D6" s="197"/>
      <x:c r="E6" s="197"/>
      <x:c r="F6" s="197"/>
      <x:c r="G6" s="199"/>
      <x:c r="H6" s="199"/>
      <x:c r="I6" s="199"/>
      <x:c r="J6" s="199"/>
      <x:c r="K6" s="199"/>
      <x:c r="L6" s="199"/>
      <x:c r="M6" s="198" t="str">
        <x:f t="shared" ref="M6:M37" si="0">IF(OR($A6="",$G6=0),"",$K6/$G6)</x:f>
      </x:c>
      <x:c r="N6" s="199"/>
      <x:c r="O6" s="199"/>
      <x:c r="P6" s="199"/>
      <x:c r="Q6" s="199"/>
      <x:c r="R6" s="199"/>
      <x:c r="S6" s="200"/>
      <x:c r="T6" s="199"/>
      <x:c r="U6" s="199"/>
      <x:c r="V6" s="199"/>
      <x:c r="W6" s="199"/>
      <x:c r="X6" s="198" t="str">
        <x:f t="shared" ref="X6:X37" si="1">IF(OR($A6="",$T6=0),"",$U6/$T6)</x:f>
      </x:c>
      <x:c r="Y6" s="199"/>
      <x:c r="Z6" s="199"/>
      <x:c r="AA6" s="198" t="str">
        <x:f t="shared" ref="AA6:AA37" si="2">IF(OR($A6="",$Y6=0),"",$Z6/$Y6)</x:f>
      </x:c>
      <x:c r="AB6" s="197"/>
      <x:c r="AC6" s="197"/>
      <x:c r="AD6" s="197"/>
      <x:c r="AE6" s="196"/>
    </x:row>
    <x:row r="7">
      <x:c r="A7" s="197"/>
      <x:c r="B7" s="202"/>
      <x:c r="C7" s="201"/>
      <x:c r="D7" s="197"/>
      <x:c r="E7" s="197"/>
      <x:c r="F7" s="197"/>
      <x:c r="G7" s="199"/>
      <x:c r="H7" s="199"/>
      <x:c r="I7" s="199"/>
      <x:c r="J7" s="199"/>
      <x:c r="K7" s="199"/>
      <x:c r="L7" s="199"/>
      <x:c r="M7" s="198" t="str">
        <x:f t="shared" si="0"/>
      </x:c>
      <x:c r="N7" s="199"/>
      <x:c r="O7" s="199"/>
      <x:c r="P7" s="199"/>
      <x:c r="Q7" s="199"/>
      <x:c r="R7" s="199"/>
      <x:c r="S7" s="200"/>
      <x:c r="T7" s="199"/>
      <x:c r="U7" s="199"/>
      <x:c r="V7" s="199"/>
      <x:c r="W7" s="199"/>
      <x:c r="X7" s="198" t="str">
        <x:f t="shared" si="1"/>
      </x:c>
      <x:c r="Y7" s="199"/>
      <x:c r="Z7" s="199"/>
      <x:c r="AA7" s="198" t="str">
        <x:f t="shared" si="2"/>
      </x:c>
      <x:c r="AB7" s="197"/>
      <x:c r="AC7" s="197"/>
      <x:c r="AD7" s="197"/>
      <x:c r="AE7" s="196"/>
    </x:row>
    <x:row r="8">
      <x:c r="A8" s="197"/>
      <x:c r="B8" s="202"/>
      <x:c r="C8" s="201"/>
      <x:c r="D8" s="197"/>
      <x:c r="E8" s="197"/>
      <x:c r="F8" s="197"/>
      <x:c r="G8" s="199"/>
      <x:c r="H8" s="199"/>
      <x:c r="I8" s="199"/>
      <x:c r="J8" s="199"/>
      <x:c r="K8" s="199"/>
      <x:c r="L8" s="199"/>
      <x:c r="M8" s="198" t="str">
        <x:f t="shared" si="0"/>
      </x:c>
      <x:c r="N8" s="199"/>
      <x:c r="O8" s="199"/>
      <x:c r="P8" s="199"/>
      <x:c r="Q8" s="199"/>
      <x:c r="R8" s="199"/>
      <x:c r="S8" s="200"/>
      <x:c r="T8" s="199"/>
      <x:c r="U8" s="199"/>
      <x:c r="V8" s="199"/>
      <x:c r="W8" s="199"/>
      <x:c r="X8" s="198" t="str">
        <x:f t="shared" si="1"/>
      </x:c>
      <x:c r="Y8" s="199"/>
      <x:c r="Z8" s="199"/>
      <x:c r="AA8" s="198" t="str">
        <x:f t="shared" si="2"/>
      </x:c>
      <x:c r="AB8" s="197"/>
      <x:c r="AC8" s="197"/>
      <x:c r="AD8" s="197"/>
      <x:c r="AE8" s="196"/>
    </x:row>
    <x:row r="9">
      <x:c r="A9" s="197"/>
      <x:c r="B9" s="202"/>
      <x:c r="C9" s="201"/>
      <x:c r="D9" s="197"/>
      <x:c r="E9" s="197"/>
      <x:c r="F9" s="197"/>
      <x:c r="G9" s="199"/>
      <x:c r="H9" s="199"/>
      <x:c r="I9" s="199"/>
      <x:c r="J9" s="199"/>
      <x:c r="K9" s="199"/>
      <x:c r="L9" s="199"/>
      <x:c r="M9" s="198" t="str">
        <x:f t="shared" si="0"/>
      </x:c>
      <x:c r="N9" s="199"/>
      <x:c r="O9" s="199"/>
      <x:c r="P9" s="199"/>
      <x:c r="Q9" s="199"/>
      <x:c r="R9" s="199"/>
      <x:c r="S9" s="200"/>
      <x:c r="T9" s="199"/>
      <x:c r="U9" s="199"/>
      <x:c r="V9" s="199"/>
      <x:c r="W9" s="199"/>
      <x:c r="X9" s="198" t="str">
        <x:f t="shared" si="1"/>
      </x:c>
      <x:c r="Y9" s="199"/>
      <x:c r="Z9" s="199"/>
      <x:c r="AA9" s="198" t="str">
        <x:f t="shared" si="2"/>
      </x:c>
      <x:c r="AB9" s="197"/>
      <x:c r="AC9" s="197"/>
      <x:c r="AD9" s="197"/>
      <x:c r="AE9" s="196"/>
    </x:row>
    <x:row r="10">
      <x:c r="A10" s="197"/>
      <x:c r="B10" s="202"/>
      <x:c r="C10" s="201"/>
      <x:c r="D10" s="197"/>
      <x:c r="E10" s="197"/>
      <x:c r="F10" s="197"/>
      <x:c r="G10" s="199"/>
      <x:c r="H10" s="199"/>
      <x:c r="I10" s="199"/>
      <x:c r="J10" s="199"/>
      <x:c r="K10" s="199"/>
      <x:c r="L10" s="199"/>
      <x:c r="M10" s="198" t="str">
        <x:f t="shared" si="0"/>
      </x:c>
      <x:c r="N10" s="199"/>
      <x:c r="O10" s="199"/>
      <x:c r="P10" s="199"/>
      <x:c r="Q10" s="199"/>
      <x:c r="R10" s="199"/>
      <x:c r="S10" s="200"/>
      <x:c r="T10" s="199"/>
      <x:c r="U10" s="199"/>
      <x:c r="V10" s="199"/>
      <x:c r="W10" s="199"/>
      <x:c r="X10" s="198" t="str">
        <x:f t="shared" si="1"/>
      </x:c>
      <x:c r="Y10" s="199"/>
      <x:c r="Z10" s="199"/>
      <x:c r="AA10" s="198" t="str">
        <x:f t="shared" si="2"/>
      </x:c>
      <x:c r="AB10" s="197"/>
      <x:c r="AC10" s="197"/>
      <x:c r="AD10" s="197"/>
      <x:c r="AE10" s="196"/>
    </x:row>
    <x:row r="11">
      <x:c r="A11" s="197"/>
      <x:c r="B11" s="202"/>
      <x:c r="C11" s="201"/>
      <x:c r="D11" s="197"/>
      <x:c r="E11" s="197"/>
      <x:c r="F11" s="197"/>
      <x:c r="G11" s="199"/>
      <x:c r="H11" s="199"/>
      <x:c r="I11" s="199"/>
      <x:c r="J11" s="199"/>
      <x:c r="K11" s="199"/>
      <x:c r="L11" s="199"/>
      <x:c r="M11" s="198" t="str">
        <x:f t="shared" si="0"/>
      </x:c>
      <x:c r="N11" s="199"/>
      <x:c r="O11" s="199"/>
      <x:c r="P11" s="199"/>
      <x:c r="Q11" s="199"/>
      <x:c r="R11" s="199"/>
      <x:c r="S11" s="200"/>
      <x:c r="T11" s="199"/>
      <x:c r="U11" s="199"/>
      <x:c r="V11" s="199"/>
      <x:c r="W11" s="199"/>
      <x:c r="X11" s="198" t="str">
        <x:f t="shared" si="1"/>
      </x:c>
      <x:c r="Y11" s="199"/>
      <x:c r="Z11" s="199"/>
      <x:c r="AA11" s="198" t="str">
        <x:f t="shared" si="2"/>
      </x:c>
      <x:c r="AB11" s="197"/>
      <x:c r="AC11" s="197"/>
      <x:c r="AD11" s="197"/>
      <x:c r="AE11" s="196"/>
    </x:row>
    <x:row r="12">
      <x:c r="A12" s="197"/>
      <x:c r="B12" s="202"/>
      <x:c r="C12" s="201"/>
      <x:c r="D12" s="197"/>
      <x:c r="E12" s="197"/>
      <x:c r="F12" s="197"/>
      <x:c r="G12" s="199"/>
      <x:c r="H12" s="199"/>
      <x:c r="I12" s="199"/>
      <x:c r="J12" s="199"/>
      <x:c r="K12" s="199"/>
      <x:c r="L12" s="199"/>
      <x:c r="M12" s="198" t="str">
        <x:f t="shared" si="0"/>
      </x:c>
      <x:c r="N12" s="199"/>
      <x:c r="O12" s="199"/>
      <x:c r="P12" s="199"/>
      <x:c r="Q12" s="199"/>
      <x:c r="R12" s="199"/>
      <x:c r="S12" s="200"/>
      <x:c r="T12" s="199"/>
      <x:c r="U12" s="199"/>
      <x:c r="V12" s="199"/>
      <x:c r="W12" s="199"/>
      <x:c r="X12" s="198" t="str">
        <x:f t="shared" si="1"/>
      </x:c>
      <x:c r="Y12" s="199"/>
      <x:c r="Z12" s="199"/>
      <x:c r="AA12" s="198" t="str">
        <x:f t="shared" si="2"/>
      </x:c>
      <x:c r="AB12" s="197"/>
      <x:c r="AC12" s="197"/>
      <x:c r="AD12" s="197"/>
      <x:c r="AE12" s="196"/>
    </x:row>
    <x:row r="13">
      <x:c r="A13" s="197"/>
      <x:c r="B13" s="202"/>
      <x:c r="C13" s="201"/>
      <x:c r="D13" s="197"/>
      <x:c r="E13" s="197"/>
      <x:c r="F13" s="197"/>
      <x:c r="G13" s="199"/>
      <x:c r="H13" s="199"/>
      <x:c r="I13" s="199"/>
      <x:c r="J13" s="199"/>
      <x:c r="K13" s="199"/>
      <x:c r="L13" s="199"/>
      <x:c r="M13" s="198" t="str">
        <x:f t="shared" si="0"/>
      </x:c>
      <x:c r="N13" s="199"/>
      <x:c r="O13" s="199"/>
      <x:c r="P13" s="199"/>
      <x:c r="Q13" s="199"/>
      <x:c r="R13" s="199"/>
      <x:c r="S13" s="200"/>
      <x:c r="T13" s="199"/>
      <x:c r="U13" s="199"/>
      <x:c r="V13" s="199"/>
      <x:c r="W13" s="199"/>
      <x:c r="X13" s="198" t="str">
        <x:f t="shared" si="1"/>
      </x:c>
      <x:c r="Y13" s="199"/>
      <x:c r="Z13" s="199"/>
      <x:c r="AA13" s="198" t="str">
        <x:f t="shared" si="2"/>
      </x:c>
      <x:c r="AB13" s="197"/>
      <x:c r="AC13" s="197"/>
      <x:c r="AD13" s="197"/>
      <x:c r="AE13" s="196"/>
    </x:row>
    <x:row r="14">
      <x:c r="A14" s="197"/>
      <x:c r="B14" s="202"/>
      <x:c r="C14" s="201"/>
      <x:c r="D14" s="197"/>
      <x:c r="E14" s="197"/>
      <x:c r="F14" s="197"/>
      <x:c r="G14" s="199"/>
      <x:c r="H14" s="199"/>
      <x:c r="I14" s="199"/>
      <x:c r="J14" s="199"/>
      <x:c r="K14" s="199"/>
      <x:c r="L14" s="199"/>
      <x:c r="M14" s="198" t="str">
        <x:f t="shared" si="0"/>
      </x:c>
      <x:c r="N14" s="199"/>
      <x:c r="O14" s="199"/>
      <x:c r="P14" s="199"/>
      <x:c r="Q14" s="199"/>
      <x:c r="R14" s="199"/>
      <x:c r="S14" s="200"/>
      <x:c r="T14" s="199"/>
      <x:c r="U14" s="199"/>
      <x:c r="V14" s="199"/>
      <x:c r="W14" s="199"/>
      <x:c r="X14" s="198" t="str">
        <x:f t="shared" si="1"/>
      </x:c>
      <x:c r="Y14" s="199"/>
      <x:c r="Z14" s="199"/>
      <x:c r="AA14" s="198" t="str">
        <x:f t="shared" si="2"/>
      </x:c>
      <x:c r="AB14" s="197"/>
      <x:c r="AC14" s="197"/>
      <x:c r="AD14" s="197"/>
      <x:c r="AE14" s="196"/>
    </x:row>
    <x:row r="15">
      <x:c r="A15" s="197"/>
      <x:c r="B15" s="202"/>
      <x:c r="C15" s="201"/>
      <x:c r="D15" s="197"/>
      <x:c r="E15" s="197"/>
      <x:c r="F15" s="197"/>
      <x:c r="G15" s="199"/>
      <x:c r="H15" s="199"/>
      <x:c r="I15" s="199"/>
      <x:c r="J15" s="199"/>
      <x:c r="K15" s="199"/>
      <x:c r="L15" s="199"/>
      <x:c r="M15" s="198" t="str">
        <x:f t="shared" si="0"/>
      </x:c>
      <x:c r="N15" s="199"/>
      <x:c r="O15" s="199"/>
      <x:c r="P15" s="199"/>
      <x:c r="Q15" s="199"/>
      <x:c r="R15" s="199"/>
      <x:c r="S15" s="200"/>
      <x:c r="T15" s="199"/>
      <x:c r="U15" s="199"/>
      <x:c r="V15" s="199"/>
      <x:c r="W15" s="199"/>
      <x:c r="X15" s="198" t="str">
        <x:f t="shared" si="1"/>
      </x:c>
      <x:c r="Y15" s="199"/>
      <x:c r="Z15" s="199"/>
      <x:c r="AA15" s="198" t="str">
        <x:f t="shared" si="2"/>
      </x:c>
      <x:c r="AB15" s="197"/>
      <x:c r="AC15" s="197"/>
      <x:c r="AD15" s="197"/>
      <x:c r="AE15" s="196"/>
    </x:row>
    <x:row r="16">
      <x:c r="A16" s="197"/>
      <x:c r="B16" s="202"/>
      <x:c r="C16" s="201"/>
      <x:c r="D16" s="197"/>
      <x:c r="E16" s="197"/>
      <x:c r="F16" s="197"/>
      <x:c r="G16" s="199"/>
      <x:c r="H16" s="199"/>
      <x:c r="I16" s="199"/>
      <x:c r="J16" s="199"/>
      <x:c r="K16" s="199"/>
      <x:c r="L16" s="199"/>
      <x:c r="M16" s="198" t="str">
        <x:f t="shared" si="0"/>
      </x:c>
      <x:c r="N16" s="199"/>
      <x:c r="O16" s="199"/>
      <x:c r="P16" s="199"/>
      <x:c r="Q16" s="199"/>
      <x:c r="R16" s="199"/>
      <x:c r="S16" s="200"/>
      <x:c r="T16" s="199"/>
      <x:c r="U16" s="199"/>
      <x:c r="V16" s="199"/>
      <x:c r="W16" s="199"/>
      <x:c r="X16" s="198" t="str">
        <x:f t="shared" si="1"/>
      </x:c>
      <x:c r="Y16" s="199"/>
      <x:c r="Z16" s="199"/>
      <x:c r="AA16" s="198" t="str">
        <x:f t="shared" si="2"/>
      </x:c>
      <x:c r="AB16" s="197"/>
      <x:c r="AC16" s="197"/>
      <x:c r="AD16" s="197"/>
      <x:c r="AE16" s="196"/>
    </x:row>
    <x:row r="17">
      <x:c r="A17" s="197"/>
      <x:c r="B17" s="202"/>
      <x:c r="C17" s="201"/>
      <x:c r="D17" s="197"/>
      <x:c r="E17" s="197"/>
      <x:c r="F17" s="197"/>
      <x:c r="G17" s="199"/>
      <x:c r="H17" s="199"/>
      <x:c r="I17" s="199"/>
      <x:c r="J17" s="199"/>
      <x:c r="K17" s="199"/>
      <x:c r="L17" s="199"/>
      <x:c r="M17" s="198" t="str">
        <x:f t="shared" si="0"/>
      </x:c>
      <x:c r="N17" s="199"/>
      <x:c r="O17" s="199"/>
      <x:c r="P17" s="199"/>
      <x:c r="Q17" s="199"/>
      <x:c r="R17" s="199"/>
      <x:c r="S17" s="200"/>
      <x:c r="T17" s="199"/>
      <x:c r="U17" s="199"/>
      <x:c r="V17" s="199"/>
      <x:c r="W17" s="199"/>
      <x:c r="X17" s="198" t="str">
        <x:f t="shared" si="1"/>
      </x:c>
      <x:c r="Y17" s="199"/>
      <x:c r="Z17" s="199"/>
      <x:c r="AA17" s="198" t="str">
        <x:f t="shared" si="2"/>
      </x:c>
      <x:c r="AB17" s="197"/>
      <x:c r="AC17" s="197"/>
      <x:c r="AD17" s="197"/>
      <x:c r="AE17" s="196"/>
    </x:row>
    <x:row r="18">
      <x:c r="A18" s="197"/>
      <x:c r="B18" s="202"/>
      <x:c r="C18" s="201"/>
      <x:c r="D18" s="197"/>
      <x:c r="E18" s="197"/>
      <x:c r="F18" s="197"/>
      <x:c r="G18" s="199"/>
      <x:c r="H18" s="199"/>
      <x:c r="I18" s="199"/>
      <x:c r="J18" s="199"/>
      <x:c r="K18" s="199"/>
      <x:c r="L18" s="199"/>
      <x:c r="M18" s="198" t="str">
        <x:f t="shared" si="0"/>
      </x:c>
      <x:c r="N18" s="199"/>
      <x:c r="O18" s="199"/>
      <x:c r="P18" s="199"/>
      <x:c r="Q18" s="199"/>
      <x:c r="R18" s="199"/>
      <x:c r="S18" s="200"/>
      <x:c r="T18" s="199"/>
      <x:c r="U18" s="199"/>
      <x:c r="V18" s="199"/>
      <x:c r="W18" s="199"/>
      <x:c r="X18" s="198" t="str">
        <x:f t="shared" si="1"/>
      </x:c>
      <x:c r="Y18" s="199"/>
      <x:c r="Z18" s="199"/>
      <x:c r="AA18" s="198" t="str">
        <x:f t="shared" si="2"/>
      </x:c>
      <x:c r="AB18" s="197"/>
      <x:c r="AC18" s="197"/>
      <x:c r="AD18" s="197"/>
      <x:c r="AE18" s="196"/>
    </x:row>
    <x:row r="19">
      <x:c r="A19" s="197"/>
      <x:c r="B19" s="202"/>
      <x:c r="C19" s="201"/>
      <x:c r="D19" s="197"/>
      <x:c r="E19" s="197"/>
      <x:c r="F19" s="197"/>
      <x:c r="G19" s="199"/>
      <x:c r="H19" s="199"/>
      <x:c r="I19" s="199"/>
      <x:c r="J19" s="199"/>
      <x:c r="K19" s="199"/>
      <x:c r="L19" s="199"/>
      <x:c r="M19" s="198" t="str">
        <x:f t="shared" si="0"/>
      </x:c>
      <x:c r="N19" s="199"/>
      <x:c r="O19" s="199"/>
      <x:c r="P19" s="199"/>
      <x:c r="Q19" s="199"/>
      <x:c r="R19" s="199"/>
      <x:c r="S19" s="200"/>
      <x:c r="T19" s="199"/>
      <x:c r="U19" s="199"/>
      <x:c r="V19" s="199"/>
      <x:c r="W19" s="199"/>
      <x:c r="X19" s="198" t="str">
        <x:f t="shared" si="1"/>
      </x:c>
      <x:c r="Y19" s="199"/>
      <x:c r="Z19" s="199"/>
      <x:c r="AA19" s="198" t="str">
        <x:f t="shared" si="2"/>
      </x:c>
      <x:c r="AB19" s="197"/>
      <x:c r="AC19" s="197"/>
      <x:c r="AD19" s="197"/>
      <x:c r="AE19" s="196"/>
    </x:row>
    <x:row r="20">
      <x:c r="A20" s="197"/>
      <x:c r="B20" s="202"/>
      <x:c r="C20" s="201"/>
      <x:c r="D20" s="197"/>
      <x:c r="E20" s="197"/>
      <x:c r="F20" s="197"/>
      <x:c r="G20" s="199"/>
      <x:c r="H20" s="199"/>
      <x:c r="I20" s="199"/>
      <x:c r="J20" s="199"/>
      <x:c r="K20" s="199"/>
      <x:c r="L20" s="199"/>
      <x:c r="M20" s="198" t="str">
        <x:f t="shared" si="0"/>
      </x:c>
      <x:c r="N20" s="199"/>
      <x:c r="O20" s="199"/>
      <x:c r="P20" s="199"/>
      <x:c r="Q20" s="199"/>
      <x:c r="R20" s="199"/>
      <x:c r="S20" s="200"/>
      <x:c r="T20" s="199"/>
      <x:c r="U20" s="199"/>
      <x:c r="V20" s="199"/>
      <x:c r="W20" s="199"/>
      <x:c r="X20" s="198" t="str">
        <x:f t="shared" si="1"/>
      </x:c>
      <x:c r="Y20" s="199"/>
      <x:c r="Z20" s="199"/>
      <x:c r="AA20" s="198" t="str">
        <x:f t="shared" si="2"/>
      </x:c>
      <x:c r="AB20" s="197"/>
      <x:c r="AC20" s="197"/>
      <x:c r="AD20" s="197"/>
      <x:c r="AE20" s="196"/>
    </x:row>
    <x:row r="21">
      <x:c r="A21" s="197"/>
      <x:c r="B21" s="202"/>
      <x:c r="C21" s="201"/>
      <x:c r="D21" s="197"/>
      <x:c r="E21" s="197"/>
      <x:c r="F21" s="197"/>
      <x:c r="G21" s="199"/>
      <x:c r="H21" s="199"/>
      <x:c r="I21" s="199"/>
      <x:c r="J21" s="199"/>
      <x:c r="K21" s="199"/>
      <x:c r="L21" s="199"/>
      <x:c r="M21" s="198" t="str">
        <x:f t="shared" si="0"/>
      </x:c>
      <x:c r="N21" s="199"/>
      <x:c r="O21" s="199"/>
      <x:c r="P21" s="199"/>
      <x:c r="Q21" s="199"/>
      <x:c r="R21" s="199"/>
      <x:c r="S21" s="200"/>
      <x:c r="T21" s="199"/>
      <x:c r="U21" s="199"/>
      <x:c r="V21" s="199"/>
      <x:c r="W21" s="199"/>
      <x:c r="X21" s="198" t="str">
        <x:f t="shared" si="1"/>
      </x:c>
      <x:c r="Y21" s="199"/>
      <x:c r="Z21" s="199"/>
      <x:c r="AA21" s="198" t="str">
        <x:f t="shared" si="2"/>
      </x:c>
      <x:c r="AB21" s="197"/>
      <x:c r="AC21" s="197"/>
      <x:c r="AD21" s="197"/>
      <x:c r="AE21" s="196"/>
    </x:row>
    <x:row r="22">
      <x:c r="A22" s="197"/>
      <x:c r="B22" s="202"/>
      <x:c r="C22" s="201"/>
      <x:c r="D22" s="197"/>
      <x:c r="E22" s="197"/>
      <x:c r="F22" s="197"/>
      <x:c r="G22" s="199"/>
      <x:c r="H22" s="199"/>
      <x:c r="I22" s="199"/>
      <x:c r="J22" s="199"/>
      <x:c r="K22" s="199"/>
      <x:c r="L22" s="199"/>
      <x:c r="M22" s="198" t="str">
        <x:f t="shared" si="0"/>
      </x:c>
      <x:c r="N22" s="199"/>
      <x:c r="O22" s="199"/>
      <x:c r="P22" s="199"/>
      <x:c r="Q22" s="199"/>
      <x:c r="R22" s="199"/>
      <x:c r="S22" s="200"/>
      <x:c r="T22" s="199"/>
      <x:c r="U22" s="199"/>
      <x:c r="V22" s="199"/>
      <x:c r="W22" s="199"/>
      <x:c r="X22" s="198" t="str">
        <x:f t="shared" si="1"/>
      </x:c>
      <x:c r="Y22" s="199"/>
      <x:c r="Z22" s="199"/>
      <x:c r="AA22" s="198" t="str">
        <x:f t="shared" si="2"/>
      </x:c>
      <x:c r="AB22" s="197"/>
      <x:c r="AC22" s="197"/>
      <x:c r="AD22" s="197"/>
      <x:c r="AE22" s="196"/>
    </x:row>
    <x:row r="23">
      <x:c r="A23" s="197"/>
      <x:c r="B23" s="202"/>
      <x:c r="C23" s="201"/>
      <x:c r="D23" s="197"/>
      <x:c r="E23" s="197"/>
      <x:c r="F23" s="197"/>
      <x:c r="G23" s="199"/>
      <x:c r="H23" s="199"/>
      <x:c r="I23" s="199"/>
      <x:c r="J23" s="199"/>
      <x:c r="K23" s="199"/>
      <x:c r="L23" s="199"/>
      <x:c r="M23" s="198" t="str">
        <x:f t="shared" si="0"/>
      </x:c>
      <x:c r="N23" s="199"/>
      <x:c r="O23" s="199"/>
      <x:c r="P23" s="199"/>
      <x:c r="Q23" s="199"/>
      <x:c r="R23" s="199"/>
      <x:c r="S23" s="200"/>
      <x:c r="T23" s="199"/>
      <x:c r="U23" s="199"/>
      <x:c r="V23" s="199"/>
      <x:c r="W23" s="199"/>
      <x:c r="X23" s="198" t="str">
        <x:f t="shared" si="1"/>
      </x:c>
      <x:c r="Y23" s="199"/>
      <x:c r="Z23" s="199"/>
      <x:c r="AA23" s="198" t="str">
        <x:f t="shared" si="2"/>
      </x:c>
      <x:c r="AB23" s="197"/>
      <x:c r="AC23" s="197"/>
      <x:c r="AD23" s="197"/>
      <x:c r="AE23" s="196"/>
    </x:row>
    <x:row r="24">
      <x:c r="A24" s="197"/>
      <x:c r="B24" s="202"/>
      <x:c r="C24" s="201"/>
      <x:c r="D24" s="197"/>
      <x:c r="E24" s="197"/>
      <x:c r="F24" s="197"/>
      <x:c r="G24" s="199"/>
      <x:c r="H24" s="199"/>
      <x:c r="I24" s="199"/>
      <x:c r="J24" s="199"/>
      <x:c r="K24" s="199"/>
      <x:c r="L24" s="199"/>
      <x:c r="M24" s="198" t="str">
        <x:f t="shared" si="0"/>
      </x:c>
      <x:c r="N24" s="199"/>
      <x:c r="O24" s="199"/>
      <x:c r="P24" s="199"/>
      <x:c r="Q24" s="199"/>
      <x:c r="R24" s="199"/>
      <x:c r="S24" s="200"/>
      <x:c r="T24" s="199"/>
      <x:c r="U24" s="199"/>
      <x:c r="V24" s="199"/>
      <x:c r="W24" s="199"/>
      <x:c r="X24" s="198" t="str">
        <x:f t="shared" si="1"/>
      </x:c>
      <x:c r="Y24" s="199"/>
      <x:c r="Z24" s="199"/>
      <x:c r="AA24" s="198" t="str">
        <x:f t="shared" si="2"/>
      </x:c>
      <x:c r="AB24" s="197"/>
      <x:c r="AC24" s="197"/>
      <x:c r="AD24" s="197"/>
      <x:c r="AE24" s="196"/>
    </x:row>
    <x:row r="25">
      <x:c r="A25" s="197"/>
      <x:c r="B25" s="202"/>
      <x:c r="C25" s="201"/>
      <x:c r="D25" s="197"/>
      <x:c r="E25" s="197"/>
      <x:c r="F25" s="197"/>
      <x:c r="G25" s="199"/>
      <x:c r="H25" s="199"/>
      <x:c r="I25" s="199"/>
      <x:c r="J25" s="199"/>
      <x:c r="K25" s="199"/>
      <x:c r="L25" s="199"/>
      <x:c r="M25" s="198" t="str">
        <x:f t="shared" si="0"/>
      </x:c>
      <x:c r="N25" s="199"/>
      <x:c r="O25" s="199"/>
      <x:c r="P25" s="199"/>
      <x:c r="Q25" s="199"/>
      <x:c r="R25" s="199"/>
      <x:c r="S25" s="200"/>
      <x:c r="T25" s="199"/>
      <x:c r="U25" s="199"/>
      <x:c r="V25" s="199"/>
      <x:c r="W25" s="199"/>
      <x:c r="X25" s="198" t="str">
        <x:f t="shared" si="1"/>
      </x:c>
      <x:c r="Y25" s="199"/>
      <x:c r="Z25" s="199"/>
      <x:c r="AA25" s="198" t="str">
        <x:f t="shared" si="2"/>
      </x:c>
      <x:c r="AB25" s="197"/>
      <x:c r="AC25" s="197"/>
      <x:c r="AD25" s="197"/>
      <x:c r="AE25" s="196"/>
    </x:row>
    <x:row r="26">
      <x:c r="A26" s="197"/>
      <x:c r="B26" s="202"/>
      <x:c r="C26" s="201"/>
      <x:c r="D26" s="197"/>
      <x:c r="E26" s="197"/>
      <x:c r="F26" s="197"/>
      <x:c r="G26" s="199"/>
      <x:c r="H26" s="199"/>
      <x:c r="I26" s="199"/>
      <x:c r="J26" s="199"/>
      <x:c r="K26" s="199"/>
      <x:c r="L26" s="199"/>
      <x:c r="M26" s="198" t="str">
        <x:f t="shared" si="0"/>
      </x:c>
      <x:c r="N26" s="199"/>
      <x:c r="O26" s="199"/>
      <x:c r="P26" s="199"/>
      <x:c r="Q26" s="199"/>
      <x:c r="R26" s="199"/>
      <x:c r="S26" s="200"/>
      <x:c r="T26" s="199"/>
      <x:c r="U26" s="199"/>
      <x:c r="V26" s="199"/>
      <x:c r="W26" s="199"/>
      <x:c r="X26" s="198" t="str">
        <x:f t="shared" si="1"/>
      </x:c>
      <x:c r="Y26" s="199"/>
      <x:c r="Z26" s="199"/>
      <x:c r="AA26" s="198" t="str">
        <x:f t="shared" si="2"/>
      </x:c>
      <x:c r="AB26" s="197"/>
      <x:c r="AC26" s="197"/>
      <x:c r="AD26" s="197"/>
      <x:c r="AE26" s="196"/>
    </x:row>
    <x:row r="27">
      <x:c r="A27" s="197"/>
      <x:c r="B27" s="202"/>
      <x:c r="C27" s="201"/>
      <x:c r="D27" s="197"/>
      <x:c r="E27" s="197"/>
      <x:c r="F27" s="197"/>
      <x:c r="G27" s="199"/>
      <x:c r="H27" s="199"/>
      <x:c r="I27" s="199"/>
      <x:c r="J27" s="199"/>
      <x:c r="K27" s="199"/>
      <x:c r="L27" s="199"/>
      <x:c r="M27" s="198" t="str">
        <x:f t="shared" si="0"/>
      </x:c>
      <x:c r="N27" s="199"/>
      <x:c r="O27" s="199"/>
      <x:c r="P27" s="199"/>
      <x:c r="Q27" s="199"/>
      <x:c r="R27" s="199"/>
      <x:c r="S27" s="200"/>
      <x:c r="T27" s="199"/>
      <x:c r="U27" s="199"/>
      <x:c r="V27" s="199"/>
      <x:c r="W27" s="199"/>
      <x:c r="X27" s="198" t="str">
        <x:f t="shared" si="1"/>
      </x:c>
      <x:c r="Y27" s="199"/>
      <x:c r="Z27" s="199"/>
      <x:c r="AA27" s="198" t="str">
        <x:f t="shared" si="2"/>
      </x:c>
      <x:c r="AB27" s="197"/>
      <x:c r="AC27" s="197"/>
      <x:c r="AD27" s="197"/>
      <x:c r="AE27" s="196"/>
    </x:row>
    <x:row r="28">
      <x:c r="A28" s="197"/>
      <x:c r="B28" s="202"/>
      <x:c r="C28" s="201"/>
      <x:c r="D28" s="197"/>
      <x:c r="E28" s="197"/>
      <x:c r="F28" s="197"/>
      <x:c r="G28" s="199"/>
      <x:c r="H28" s="199"/>
      <x:c r="I28" s="199"/>
      <x:c r="J28" s="199"/>
      <x:c r="K28" s="199"/>
      <x:c r="L28" s="199"/>
      <x:c r="M28" s="198" t="str">
        <x:f t="shared" si="0"/>
      </x:c>
      <x:c r="N28" s="199"/>
      <x:c r="O28" s="199"/>
      <x:c r="P28" s="199"/>
      <x:c r="Q28" s="199"/>
      <x:c r="R28" s="199"/>
      <x:c r="S28" s="200"/>
      <x:c r="T28" s="199"/>
      <x:c r="U28" s="199"/>
      <x:c r="V28" s="199"/>
      <x:c r="W28" s="199"/>
      <x:c r="X28" s="198" t="str">
        <x:f t="shared" si="1"/>
      </x:c>
      <x:c r="Y28" s="199"/>
      <x:c r="Z28" s="199"/>
      <x:c r="AA28" s="198" t="str">
        <x:f t="shared" si="2"/>
      </x:c>
      <x:c r="AB28" s="197"/>
      <x:c r="AC28" s="197"/>
      <x:c r="AD28" s="197"/>
      <x:c r="AE28" s="196"/>
    </x:row>
    <x:row r="29">
      <x:c r="A29" s="197"/>
      <x:c r="B29" s="202"/>
      <x:c r="C29" s="201"/>
      <x:c r="D29" s="197"/>
      <x:c r="E29" s="197"/>
      <x:c r="F29" s="197"/>
      <x:c r="G29" s="199"/>
      <x:c r="H29" s="199"/>
      <x:c r="I29" s="199"/>
      <x:c r="J29" s="199"/>
      <x:c r="K29" s="199"/>
      <x:c r="L29" s="199"/>
      <x:c r="M29" s="198" t="str">
        <x:f t="shared" si="0"/>
      </x:c>
      <x:c r="N29" s="199"/>
      <x:c r="O29" s="199"/>
      <x:c r="P29" s="199"/>
      <x:c r="Q29" s="199"/>
      <x:c r="R29" s="199"/>
      <x:c r="S29" s="200"/>
      <x:c r="T29" s="199"/>
      <x:c r="U29" s="199"/>
      <x:c r="V29" s="199"/>
      <x:c r="W29" s="199"/>
      <x:c r="X29" s="198" t="str">
        <x:f t="shared" si="1"/>
      </x:c>
      <x:c r="Y29" s="199"/>
      <x:c r="Z29" s="199"/>
      <x:c r="AA29" s="198" t="str">
        <x:f t="shared" si="2"/>
      </x:c>
      <x:c r="AB29" s="197"/>
      <x:c r="AC29" s="197"/>
      <x:c r="AD29" s="197"/>
      <x:c r="AE29" s="196"/>
    </x:row>
    <x:row r="30">
      <x:c r="A30" s="197"/>
      <x:c r="B30" s="202"/>
      <x:c r="C30" s="201"/>
      <x:c r="D30" s="197"/>
      <x:c r="E30" s="197"/>
      <x:c r="F30" s="197"/>
      <x:c r="G30" s="199"/>
      <x:c r="H30" s="199"/>
      <x:c r="I30" s="199"/>
      <x:c r="J30" s="199"/>
      <x:c r="K30" s="199"/>
      <x:c r="L30" s="199"/>
      <x:c r="M30" s="198" t="str">
        <x:f t="shared" si="0"/>
      </x:c>
      <x:c r="N30" s="199"/>
      <x:c r="O30" s="199"/>
      <x:c r="P30" s="199"/>
      <x:c r="Q30" s="199"/>
      <x:c r="R30" s="199"/>
      <x:c r="S30" s="200"/>
      <x:c r="T30" s="199"/>
      <x:c r="U30" s="199"/>
      <x:c r="V30" s="199"/>
      <x:c r="W30" s="199"/>
      <x:c r="X30" s="198" t="str">
        <x:f t="shared" si="1"/>
      </x:c>
      <x:c r="Y30" s="199"/>
      <x:c r="Z30" s="199"/>
      <x:c r="AA30" s="198" t="str">
        <x:f t="shared" si="2"/>
      </x:c>
      <x:c r="AB30" s="197"/>
      <x:c r="AC30" s="197"/>
      <x:c r="AD30" s="197"/>
      <x:c r="AE30" s="196"/>
    </x:row>
    <x:row r="31">
      <x:c r="A31" s="197"/>
      <x:c r="B31" s="202"/>
      <x:c r="C31" s="201"/>
      <x:c r="D31" s="197"/>
      <x:c r="E31" s="197"/>
      <x:c r="F31" s="197"/>
      <x:c r="G31" s="199"/>
      <x:c r="H31" s="199"/>
      <x:c r="I31" s="199"/>
      <x:c r="J31" s="199"/>
      <x:c r="K31" s="199"/>
      <x:c r="L31" s="199"/>
      <x:c r="M31" s="198" t="str">
        <x:f t="shared" si="0"/>
      </x:c>
      <x:c r="N31" s="199"/>
      <x:c r="O31" s="199"/>
      <x:c r="P31" s="199"/>
      <x:c r="Q31" s="199"/>
      <x:c r="R31" s="199"/>
      <x:c r="S31" s="200"/>
      <x:c r="T31" s="199"/>
      <x:c r="U31" s="199"/>
      <x:c r="V31" s="199"/>
      <x:c r="W31" s="199"/>
      <x:c r="X31" s="198" t="str">
        <x:f t="shared" si="1"/>
      </x:c>
      <x:c r="Y31" s="199"/>
      <x:c r="Z31" s="199"/>
      <x:c r="AA31" s="198" t="str">
        <x:f t="shared" si="2"/>
      </x:c>
      <x:c r="AB31" s="197"/>
      <x:c r="AC31" s="197"/>
      <x:c r="AD31" s="197"/>
      <x:c r="AE31" s="196"/>
    </x:row>
    <x:row r="32">
      <x:c r="A32" s="197"/>
      <x:c r="B32" s="202"/>
      <x:c r="C32" s="201"/>
      <x:c r="D32" s="197"/>
      <x:c r="E32" s="197"/>
      <x:c r="F32" s="197"/>
      <x:c r="G32" s="199"/>
      <x:c r="H32" s="199"/>
      <x:c r="I32" s="199"/>
      <x:c r="J32" s="199"/>
      <x:c r="K32" s="199"/>
      <x:c r="L32" s="199"/>
      <x:c r="M32" s="198" t="str">
        <x:f t="shared" si="0"/>
      </x:c>
      <x:c r="N32" s="199"/>
      <x:c r="O32" s="199"/>
      <x:c r="P32" s="199"/>
      <x:c r="Q32" s="199"/>
      <x:c r="R32" s="199"/>
      <x:c r="S32" s="200"/>
      <x:c r="T32" s="199"/>
      <x:c r="U32" s="199"/>
      <x:c r="V32" s="199"/>
      <x:c r="W32" s="199"/>
      <x:c r="X32" s="198" t="str">
        <x:f t="shared" si="1"/>
      </x:c>
      <x:c r="Y32" s="199"/>
      <x:c r="Z32" s="199"/>
      <x:c r="AA32" s="198" t="str">
        <x:f t="shared" si="2"/>
      </x:c>
      <x:c r="AB32" s="197"/>
      <x:c r="AC32" s="197"/>
      <x:c r="AD32" s="197"/>
      <x:c r="AE32" s="196"/>
    </x:row>
    <x:row r="33">
      <x:c r="A33" s="197"/>
      <x:c r="B33" s="202"/>
      <x:c r="C33" s="201"/>
      <x:c r="D33" s="197"/>
      <x:c r="E33" s="197"/>
      <x:c r="F33" s="197"/>
      <x:c r="G33" s="199"/>
      <x:c r="H33" s="199"/>
      <x:c r="I33" s="199"/>
      <x:c r="J33" s="199"/>
      <x:c r="K33" s="199"/>
      <x:c r="L33" s="199"/>
      <x:c r="M33" s="198" t="str">
        <x:f t="shared" si="0"/>
      </x:c>
      <x:c r="N33" s="199"/>
      <x:c r="O33" s="199"/>
      <x:c r="P33" s="199"/>
      <x:c r="Q33" s="199"/>
      <x:c r="R33" s="199"/>
      <x:c r="S33" s="200"/>
      <x:c r="T33" s="199"/>
      <x:c r="U33" s="199"/>
      <x:c r="V33" s="199"/>
      <x:c r="W33" s="199"/>
      <x:c r="X33" s="198" t="str">
        <x:f t="shared" si="1"/>
      </x:c>
      <x:c r="Y33" s="199"/>
      <x:c r="Z33" s="199"/>
      <x:c r="AA33" s="198" t="str">
        <x:f t="shared" si="2"/>
      </x:c>
      <x:c r="AB33" s="197"/>
      <x:c r="AC33" s="197"/>
      <x:c r="AD33" s="197"/>
      <x:c r="AE33" s="196"/>
    </x:row>
    <x:row r="34">
      <x:c r="A34" s="197"/>
      <x:c r="B34" s="202"/>
      <x:c r="C34" s="201"/>
      <x:c r="D34" s="197"/>
      <x:c r="E34" s="197"/>
      <x:c r="F34" s="197"/>
      <x:c r="G34" s="199"/>
      <x:c r="H34" s="199"/>
      <x:c r="I34" s="199"/>
      <x:c r="J34" s="199"/>
      <x:c r="K34" s="199"/>
      <x:c r="L34" s="199"/>
      <x:c r="M34" s="198" t="str">
        <x:f t="shared" si="0"/>
      </x:c>
      <x:c r="N34" s="199"/>
      <x:c r="O34" s="199"/>
      <x:c r="P34" s="199"/>
      <x:c r="Q34" s="199"/>
      <x:c r="R34" s="199"/>
      <x:c r="S34" s="200"/>
      <x:c r="T34" s="199"/>
      <x:c r="U34" s="199"/>
      <x:c r="V34" s="199"/>
      <x:c r="W34" s="199"/>
      <x:c r="X34" s="198" t="str">
        <x:f t="shared" si="1"/>
      </x:c>
      <x:c r="Y34" s="199"/>
      <x:c r="Z34" s="199"/>
      <x:c r="AA34" s="198" t="str">
        <x:f t="shared" si="2"/>
      </x:c>
      <x:c r="AB34" s="197"/>
      <x:c r="AC34" s="197"/>
      <x:c r="AD34" s="197"/>
      <x:c r="AE34" s="196"/>
    </x:row>
    <x:row r="35">
      <x:c r="A35" s="197"/>
      <x:c r="B35" s="202"/>
      <x:c r="C35" s="201"/>
      <x:c r="D35" s="197"/>
      <x:c r="E35" s="197"/>
      <x:c r="F35" s="197"/>
      <x:c r="G35" s="199"/>
      <x:c r="H35" s="199"/>
      <x:c r="I35" s="199"/>
      <x:c r="J35" s="199"/>
      <x:c r="K35" s="199"/>
      <x:c r="L35" s="199"/>
      <x:c r="M35" s="198" t="str">
        <x:f t="shared" si="0"/>
      </x:c>
      <x:c r="N35" s="199"/>
      <x:c r="O35" s="199"/>
      <x:c r="P35" s="199"/>
      <x:c r="Q35" s="199"/>
      <x:c r="R35" s="199"/>
      <x:c r="S35" s="200"/>
      <x:c r="T35" s="199"/>
      <x:c r="U35" s="199"/>
      <x:c r="V35" s="199"/>
      <x:c r="W35" s="199"/>
      <x:c r="X35" s="198" t="str">
        <x:f t="shared" si="1"/>
      </x:c>
      <x:c r="Y35" s="199"/>
      <x:c r="Z35" s="199"/>
      <x:c r="AA35" s="198" t="str">
        <x:f t="shared" si="2"/>
      </x:c>
      <x:c r="AB35" s="197"/>
      <x:c r="AC35" s="197"/>
      <x:c r="AD35" s="197"/>
      <x:c r="AE35" s="196"/>
    </x:row>
    <x:row r="36">
      <x:c r="A36" s="197"/>
      <x:c r="B36" s="202"/>
      <x:c r="C36" s="201"/>
      <x:c r="D36" s="197"/>
      <x:c r="E36" s="197"/>
      <x:c r="F36" s="197"/>
      <x:c r="G36" s="199"/>
      <x:c r="H36" s="199"/>
      <x:c r="I36" s="199"/>
      <x:c r="J36" s="199"/>
      <x:c r="K36" s="199"/>
      <x:c r="L36" s="199"/>
      <x:c r="M36" s="198" t="str">
        <x:f t="shared" si="0"/>
      </x:c>
      <x:c r="N36" s="199"/>
      <x:c r="O36" s="199"/>
      <x:c r="P36" s="199"/>
      <x:c r="Q36" s="199"/>
      <x:c r="R36" s="199"/>
      <x:c r="S36" s="200"/>
      <x:c r="T36" s="199"/>
      <x:c r="U36" s="199"/>
      <x:c r="V36" s="199"/>
      <x:c r="W36" s="199"/>
      <x:c r="X36" s="198" t="str">
        <x:f t="shared" si="1"/>
      </x:c>
      <x:c r="Y36" s="199"/>
      <x:c r="Z36" s="199"/>
      <x:c r="AA36" s="198" t="str">
        <x:f t="shared" si="2"/>
      </x:c>
      <x:c r="AB36" s="197"/>
      <x:c r="AC36" s="197"/>
      <x:c r="AD36" s="197"/>
      <x:c r="AE36" s="196"/>
    </x:row>
    <x:row r="37">
      <x:c r="A37" s="197"/>
      <x:c r="B37" s="202"/>
      <x:c r="C37" s="201"/>
      <x:c r="D37" s="197"/>
      <x:c r="E37" s="197"/>
      <x:c r="F37" s="197"/>
      <x:c r="G37" s="199"/>
      <x:c r="H37" s="199"/>
      <x:c r="I37" s="199"/>
      <x:c r="J37" s="199"/>
      <x:c r="K37" s="199"/>
      <x:c r="L37" s="199"/>
      <x:c r="M37" s="198" t="str">
        <x:f t="shared" si="0"/>
      </x:c>
      <x:c r="N37" s="199"/>
      <x:c r="O37" s="199"/>
      <x:c r="P37" s="199"/>
      <x:c r="Q37" s="199"/>
      <x:c r="R37" s="199"/>
      <x:c r="S37" s="200"/>
      <x:c r="T37" s="199"/>
      <x:c r="U37" s="199"/>
      <x:c r="V37" s="199"/>
      <x:c r="W37" s="199"/>
      <x:c r="X37" s="198" t="str">
        <x:f t="shared" si="1"/>
      </x:c>
      <x:c r="Y37" s="199"/>
      <x:c r="Z37" s="199"/>
      <x:c r="AA37" s="198" t="str">
        <x:f t="shared" si="2"/>
      </x:c>
      <x:c r="AB37" s="197"/>
      <x:c r="AC37" s="197"/>
      <x:c r="AD37" s="197"/>
      <x:c r="AE37" s="196"/>
    </x:row>
    <x:row r="38">
      <x:c r="A38" s="197"/>
      <x:c r="B38" s="202"/>
      <x:c r="C38" s="201"/>
      <x:c r="D38" s="197"/>
      <x:c r="E38" s="197"/>
      <x:c r="F38" s="197"/>
      <x:c r="G38" s="199"/>
      <x:c r="H38" s="199"/>
      <x:c r="I38" s="199"/>
      <x:c r="J38" s="199"/>
      <x:c r="K38" s="199"/>
      <x:c r="L38" s="199"/>
      <x:c r="M38" s="198" t="str">
        <x:f t="shared" ref="M38:M69" si="3">IF(OR($A38="",$G38=0),"",$K38/$G38)</x:f>
      </x:c>
      <x:c r="N38" s="199"/>
      <x:c r="O38" s="199"/>
      <x:c r="P38" s="199"/>
      <x:c r="Q38" s="199"/>
      <x:c r="R38" s="199"/>
      <x:c r="S38" s="200"/>
      <x:c r="T38" s="199"/>
      <x:c r="U38" s="199"/>
      <x:c r="V38" s="199"/>
      <x:c r="W38" s="199"/>
      <x:c r="X38" s="198" t="str">
        <x:f t="shared" ref="X38:X69" si="4">IF(OR($A38="",$T38=0),"",$U38/$T38)</x:f>
      </x:c>
      <x:c r="Y38" s="199"/>
      <x:c r="Z38" s="199"/>
      <x:c r="AA38" s="198" t="str">
        <x:f t="shared" ref="AA38:AA69" si="5">IF(OR($A38="",$Y38=0),"",$Z38/$Y38)</x:f>
      </x:c>
      <x:c r="AB38" s="197"/>
      <x:c r="AC38" s="197"/>
      <x:c r="AD38" s="197"/>
      <x:c r="AE38" s="196"/>
    </x:row>
    <x:row r="39">
      <x:c r="A39" s="197"/>
      <x:c r="B39" s="202"/>
      <x:c r="C39" s="201"/>
      <x:c r="D39" s="197"/>
      <x:c r="E39" s="197"/>
      <x:c r="F39" s="197"/>
      <x:c r="G39" s="199"/>
      <x:c r="H39" s="199"/>
      <x:c r="I39" s="199"/>
      <x:c r="J39" s="199"/>
      <x:c r="K39" s="199"/>
      <x:c r="L39" s="199"/>
      <x:c r="M39" s="198" t="str">
        <x:f t="shared" si="3"/>
      </x:c>
      <x:c r="N39" s="199"/>
      <x:c r="O39" s="199"/>
      <x:c r="P39" s="199"/>
      <x:c r="Q39" s="199"/>
      <x:c r="R39" s="199"/>
      <x:c r="S39" s="200"/>
      <x:c r="T39" s="199"/>
      <x:c r="U39" s="199"/>
      <x:c r="V39" s="199"/>
      <x:c r="W39" s="199"/>
      <x:c r="X39" s="198" t="str">
        <x:f t="shared" si="4"/>
      </x:c>
      <x:c r="Y39" s="199"/>
      <x:c r="Z39" s="199"/>
      <x:c r="AA39" s="198" t="str">
        <x:f t="shared" si="5"/>
      </x:c>
      <x:c r="AB39" s="197"/>
      <x:c r="AC39" s="197"/>
      <x:c r="AD39" s="197"/>
      <x:c r="AE39" s="196"/>
    </x:row>
    <x:row r="40">
      <x:c r="A40" s="197"/>
      <x:c r="B40" s="202"/>
      <x:c r="C40" s="201"/>
      <x:c r="D40" s="197"/>
      <x:c r="E40" s="197"/>
      <x:c r="F40" s="197"/>
      <x:c r="G40" s="199"/>
      <x:c r="H40" s="199"/>
      <x:c r="I40" s="199"/>
      <x:c r="J40" s="199"/>
      <x:c r="K40" s="199"/>
      <x:c r="L40" s="199"/>
      <x:c r="M40" s="198" t="str">
        <x:f t="shared" si="3"/>
      </x:c>
      <x:c r="N40" s="199"/>
      <x:c r="O40" s="199"/>
      <x:c r="P40" s="199"/>
      <x:c r="Q40" s="199"/>
      <x:c r="R40" s="199"/>
      <x:c r="S40" s="200"/>
      <x:c r="T40" s="199"/>
      <x:c r="U40" s="199"/>
      <x:c r="V40" s="199"/>
      <x:c r="W40" s="199"/>
      <x:c r="X40" s="198" t="str">
        <x:f t="shared" si="4"/>
      </x:c>
      <x:c r="Y40" s="199"/>
      <x:c r="Z40" s="199"/>
      <x:c r="AA40" s="198" t="str">
        <x:f t="shared" si="5"/>
      </x:c>
      <x:c r="AB40" s="197"/>
      <x:c r="AC40" s="197"/>
      <x:c r="AD40" s="197"/>
      <x:c r="AE40" s="196"/>
    </x:row>
    <x:row r="41">
      <x:c r="A41" s="197"/>
      <x:c r="B41" s="202"/>
      <x:c r="C41" s="201"/>
      <x:c r="D41" s="197"/>
      <x:c r="E41" s="197"/>
      <x:c r="F41" s="197"/>
      <x:c r="G41" s="199"/>
      <x:c r="H41" s="199"/>
      <x:c r="I41" s="199"/>
      <x:c r="J41" s="199"/>
      <x:c r="K41" s="199"/>
      <x:c r="L41" s="199"/>
      <x:c r="M41" s="198" t="str">
        <x:f t="shared" si="3"/>
      </x:c>
      <x:c r="N41" s="199"/>
      <x:c r="O41" s="199"/>
      <x:c r="P41" s="199"/>
      <x:c r="Q41" s="199"/>
      <x:c r="R41" s="199"/>
      <x:c r="S41" s="200"/>
      <x:c r="T41" s="199"/>
      <x:c r="U41" s="199"/>
      <x:c r="V41" s="199"/>
      <x:c r="W41" s="199"/>
      <x:c r="X41" s="198" t="str">
        <x:f t="shared" si="4"/>
      </x:c>
      <x:c r="Y41" s="199"/>
      <x:c r="Z41" s="199"/>
      <x:c r="AA41" s="198" t="str">
        <x:f t="shared" si="5"/>
      </x:c>
      <x:c r="AB41" s="197"/>
      <x:c r="AC41" s="197"/>
      <x:c r="AD41" s="197"/>
      <x:c r="AE41" s="196"/>
    </x:row>
    <x:row r="42">
      <x:c r="A42" s="197"/>
      <x:c r="B42" s="202"/>
      <x:c r="C42" s="201"/>
      <x:c r="D42" s="197"/>
      <x:c r="E42" s="197"/>
      <x:c r="F42" s="197"/>
      <x:c r="G42" s="199"/>
      <x:c r="H42" s="199"/>
      <x:c r="I42" s="199"/>
      <x:c r="J42" s="199"/>
      <x:c r="K42" s="199"/>
      <x:c r="L42" s="199"/>
      <x:c r="M42" s="198" t="str">
        <x:f t="shared" si="3"/>
      </x:c>
      <x:c r="N42" s="199"/>
      <x:c r="O42" s="199"/>
      <x:c r="P42" s="199"/>
      <x:c r="Q42" s="199"/>
      <x:c r="R42" s="199"/>
      <x:c r="S42" s="200"/>
      <x:c r="T42" s="199"/>
      <x:c r="U42" s="199"/>
      <x:c r="V42" s="199"/>
      <x:c r="W42" s="199"/>
      <x:c r="X42" s="198" t="str">
        <x:f t="shared" si="4"/>
      </x:c>
      <x:c r="Y42" s="199"/>
      <x:c r="Z42" s="199"/>
      <x:c r="AA42" s="198" t="str">
        <x:f t="shared" si="5"/>
      </x:c>
      <x:c r="AB42" s="197"/>
      <x:c r="AC42" s="197"/>
      <x:c r="AD42" s="197"/>
      <x:c r="AE42" s="196"/>
    </x:row>
    <x:row r="43">
      <x:c r="A43" s="197"/>
      <x:c r="B43" s="202"/>
      <x:c r="C43" s="201"/>
      <x:c r="D43" s="197"/>
      <x:c r="E43" s="197"/>
      <x:c r="F43" s="197"/>
      <x:c r="G43" s="199"/>
      <x:c r="H43" s="199"/>
      <x:c r="I43" s="199"/>
      <x:c r="J43" s="199"/>
      <x:c r="K43" s="199"/>
      <x:c r="L43" s="199"/>
      <x:c r="M43" s="198" t="str">
        <x:f t="shared" si="3"/>
      </x:c>
      <x:c r="N43" s="199"/>
      <x:c r="O43" s="199"/>
      <x:c r="P43" s="199"/>
      <x:c r="Q43" s="199"/>
      <x:c r="R43" s="199"/>
      <x:c r="S43" s="200"/>
      <x:c r="T43" s="199"/>
      <x:c r="U43" s="199"/>
      <x:c r="V43" s="199"/>
      <x:c r="W43" s="199"/>
      <x:c r="X43" s="198" t="str">
        <x:f t="shared" si="4"/>
      </x:c>
      <x:c r="Y43" s="199"/>
      <x:c r="Z43" s="199"/>
      <x:c r="AA43" s="198" t="str">
        <x:f t="shared" si="5"/>
      </x:c>
      <x:c r="AB43" s="197"/>
      <x:c r="AC43" s="197"/>
      <x:c r="AD43" s="197"/>
      <x:c r="AE43" s="196"/>
    </x:row>
    <x:row r="44">
      <x:c r="A44" s="197"/>
      <x:c r="B44" s="202"/>
      <x:c r="C44" s="201"/>
      <x:c r="D44" s="197"/>
      <x:c r="E44" s="197"/>
      <x:c r="F44" s="197"/>
      <x:c r="G44" s="199"/>
      <x:c r="H44" s="199"/>
      <x:c r="I44" s="199"/>
      <x:c r="J44" s="199"/>
      <x:c r="K44" s="199"/>
      <x:c r="L44" s="199"/>
      <x:c r="M44" s="198" t="str">
        <x:f t="shared" si="3"/>
      </x:c>
      <x:c r="N44" s="199"/>
      <x:c r="O44" s="199"/>
      <x:c r="P44" s="199"/>
      <x:c r="Q44" s="199"/>
      <x:c r="R44" s="199"/>
      <x:c r="S44" s="200"/>
      <x:c r="T44" s="199"/>
      <x:c r="U44" s="199"/>
      <x:c r="V44" s="199"/>
      <x:c r="W44" s="199"/>
      <x:c r="X44" s="198" t="str">
        <x:f t="shared" si="4"/>
      </x:c>
      <x:c r="Y44" s="199"/>
      <x:c r="Z44" s="199"/>
      <x:c r="AA44" s="198" t="str">
        <x:f t="shared" si="5"/>
      </x:c>
      <x:c r="AB44" s="197"/>
      <x:c r="AC44" s="197"/>
      <x:c r="AD44" s="197"/>
      <x:c r="AE44" s="196"/>
    </x:row>
    <x:row r="45">
      <x:c r="A45" s="197"/>
      <x:c r="B45" s="202"/>
      <x:c r="C45" s="201"/>
      <x:c r="D45" s="197"/>
      <x:c r="E45" s="197"/>
      <x:c r="F45" s="197"/>
      <x:c r="G45" s="199"/>
      <x:c r="H45" s="199"/>
      <x:c r="I45" s="199"/>
      <x:c r="J45" s="199"/>
      <x:c r="K45" s="199"/>
      <x:c r="L45" s="199"/>
      <x:c r="M45" s="198" t="str">
        <x:f t="shared" si="3"/>
      </x:c>
      <x:c r="N45" s="199"/>
      <x:c r="O45" s="199"/>
      <x:c r="P45" s="199"/>
      <x:c r="Q45" s="199"/>
      <x:c r="R45" s="199"/>
      <x:c r="S45" s="200"/>
      <x:c r="T45" s="199"/>
      <x:c r="U45" s="199"/>
      <x:c r="V45" s="199"/>
      <x:c r="W45" s="199"/>
      <x:c r="X45" s="198" t="str">
        <x:f t="shared" si="4"/>
      </x:c>
      <x:c r="Y45" s="199"/>
      <x:c r="Z45" s="199"/>
      <x:c r="AA45" s="198" t="str">
        <x:f t="shared" si="5"/>
      </x:c>
      <x:c r="AB45" s="197"/>
      <x:c r="AC45" s="197"/>
      <x:c r="AD45" s="197"/>
      <x:c r="AE45" s="196"/>
    </x:row>
    <x:row r="46">
      <x:c r="A46" s="197"/>
      <x:c r="B46" s="202"/>
      <x:c r="C46" s="201"/>
      <x:c r="D46" s="197"/>
      <x:c r="E46" s="197"/>
      <x:c r="F46" s="197"/>
      <x:c r="G46" s="199"/>
      <x:c r="H46" s="199"/>
      <x:c r="I46" s="199"/>
      <x:c r="J46" s="199"/>
      <x:c r="K46" s="199"/>
      <x:c r="L46" s="199"/>
      <x:c r="M46" s="198" t="str">
        <x:f t="shared" si="3"/>
      </x:c>
      <x:c r="N46" s="199"/>
      <x:c r="O46" s="199"/>
      <x:c r="P46" s="199"/>
      <x:c r="Q46" s="199"/>
      <x:c r="R46" s="199"/>
      <x:c r="S46" s="200"/>
      <x:c r="T46" s="199"/>
      <x:c r="U46" s="199"/>
      <x:c r="V46" s="199"/>
      <x:c r="W46" s="199"/>
      <x:c r="X46" s="198" t="str">
        <x:f t="shared" si="4"/>
      </x:c>
      <x:c r="Y46" s="199"/>
      <x:c r="Z46" s="199"/>
      <x:c r="AA46" s="198" t="str">
        <x:f t="shared" si="5"/>
      </x:c>
      <x:c r="AB46" s="197"/>
      <x:c r="AC46" s="197"/>
      <x:c r="AD46" s="197"/>
      <x:c r="AE46" s="196"/>
    </x:row>
    <x:row r="47">
      <x:c r="A47" s="197"/>
      <x:c r="B47" s="202"/>
      <x:c r="C47" s="201"/>
      <x:c r="D47" s="197"/>
      <x:c r="E47" s="197"/>
      <x:c r="F47" s="197"/>
      <x:c r="G47" s="199"/>
      <x:c r="H47" s="199"/>
      <x:c r="I47" s="199"/>
      <x:c r="J47" s="199"/>
      <x:c r="K47" s="199"/>
      <x:c r="L47" s="199"/>
      <x:c r="M47" s="198" t="str">
        <x:f t="shared" si="3"/>
      </x:c>
      <x:c r="N47" s="199"/>
      <x:c r="O47" s="199"/>
      <x:c r="P47" s="199"/>
      <x:c r="Q47" s="199"/>
      <x:c r="R47" s="199"/>
      <x:c r="S47" s="200"/>
      <x:c r="T47" s="199"/>
      <x:c r="U47" s="199"/>
      <x:c r="V47" s="199"/>
      <x:c r="W47" s="199"/>
      <x:c r="X47" s="198" t="str">
        <x:f t="shared" si="4"/>
      </x:c>
      <x:c r="Y47" s="199"/>
      <x:c r="Z47" s="199"/>
      <x:c r="AA47" s="198" t="str">
        <x:f t="shared" si="5"/>
      </x:c>
      <x:c r="AB47" s="197"/>
      <x:c r="AC47" s="197"/>
      <x:c r="AD47" s="197"/>
      <x:c r="AE47" s="196"/>
    </x:row>
    <x:row r="48">
      <x:c r="A48" s="197"/>
      <x:c r="B48" s="202"/>
      <x:c r="C48" s="201"/>
      <x:c r="D48" s="197"/>
      <x:c r="E48" s="197"/>
      <x:c r="F48" s="197"/>
      <x:c r="G48" s="199"/>
      <x:c r="H48" s="199"/>
      <x:c r="I48" s="199"/>
      <x:c r="J48" s="199"/>
      <x:c r="K48" s="199"/>
      <x:c r="L48" s="199"/>
      <x:c r="M48" s="198" t="str">
        <x:f t="shared" si="3"/>
      </x:c>
      <x:c r="N48" s="199"/>
      <x:c r="O48" s="199"/>
      <x:c r="P48" s="199"/>
      <x:c r="Q48" s="199"/>
      <x:c r="R48" s="199"/>
      <x:c r="S48" s="200"/>
      <x:c r="T48" s="199"/>
      <x:c r="U48" s="199"/>
      <x:c r="V48" s="199"/>
      <x:c r="W48" s="199"/>
      <x:c r="X48" s="198" t="str">
        <x:f t="shared" si="4"/>
      </x:c>
      <x:c r="Y48" s="199"/>
      <x:c r="Z48" s="199"/>
      <x:c r="AA48" s="198" t="str">
        <x:f t="shared" si="5"/>
      </x:c>
      <x:c r="AB48" s="197"/>
      <x:c r="AC48" s="197"/>
      <x:c r="AD48" s="197"/>
      <x:c r="AE48" s="196"/>
    </x:row>
    <x:row r="49">
      <x:c r="A49" s="197"/>
      <x:c r="B49" s="202"/>
      <x:c r="C49" s="201"/>
      <x:c r="D49" s="197"/>
      <x:c r="E49" s="197"/>
      <x:c r="F49" s="197"/>
      <x:c r="G49" s="199"/>
      <x:c r="H49" s="199"/>
      <x:c r="I49" s="199"/>
      <x:c r="J49" s="199"/>
      <x:c r="K49" s="199"/>
      <x:c r="L49" s="199"/>
      <x:c r="M49" s="198" t="str">
        <x:f t="shared" si="3"/>
      </x:c>
      <x:c r="N49" s="199"/>
      <x:c r="O49" s="199"/>
      <x:c r="P49" s="199"/>
      <x:c r="Q49" s="199"/>
      <x:c r="R49" s="199"/>
      <x:c r="S49" s="200"/>
      <x:c r="T49" s="199"/>
      <x:c r="U49" s="199"/>
      <x:c r="V49" s="199"/>
      <x:c r="W49" s="199"/>
      <x:c r="X49" s="198" t="str">
        <x:f t="shared" si="4"/>
      </x:c>
      <x:c r="Y49" s="199"/>
      <x:c r="Z49" s="199"/>
      <x:c r="AA49" s="198" t="str">
        <x:f t="shared" si="5"/>
      </x:c>
      <x:c r="AB49" s="197"/>
      <x:c r="AC49" s="197"/>
      <x:c r="AD49" s="197"/>
      <x:c r="AE49" s="196"/>
    </x:row>
    <x:row r="50">
      <x:c r="A50" s="197"/>
      <x:c r="B50" s="202"/>
      <x:c r="C50" s="201"/>
      <x:c r="D50" s="197"/>
      <x:c r="E50" s="197"/>
      <x:c r="F50" s="197"/>
      <x:c r="G50" s="199"/>
      <x:c r="H50" s="199"/>
      <x:c r="I50" s="199"/>
      <x:c r="J50" s="199"/>
      <x:c r="K50" s="199"/>
      <x:c r="L50" s="199"/>
      <x:c r="M50" s="198" t="str">
        <x:f t="shared" si="3"/>
      </x:c>
      <x:c r="N50" s="199"/>
      <x:c r="O50" s="199"/>
      <x:c r="P50" s="199"/>
      <x:c r="Q50" s="199"/>
      <x:c r="R50" s="199"/>
      <x:c r="S50" s="200"/>
      <x:c r="T50" s="199"/>
      <x:c r="U50" s="199"/>
      <x:c r="V50" s="199"/>
      <x:c r="W50" s="199"/>
      <x:c r="X50" s="198" t="str">
        <x:f t="shared" si="4"/>
      </x:c>
      <x:c r="Y50" s="199"/>
      <x:c r="Z50" s="199"/>
      <x:c r="AA50" s="198" t="str">
        <x:f t="shared" si="5"/>
      </x:c>
      <x:c r="AB50" s="197"/>
      <x:c r="AC50" s="197"/>
      <x:c r="AD50" s="197"/>
      <x:c r="AE50" s="196"/>
    </x:row>
    <x:row r="51">
      <x:c r="A51" s="197"/>
      <x:c r="B51" s="202"/>
      <x:c r="C51" s="201"/>
      <x:c r="D51" s="197"/>
      <x:c r="E51" s="197"/>
      <x:c r="F51" s="197"/>
      <x:c r="G51" s="199"/>
      <x:c r="H51" s="199"/>
      <x:c r="I51" s="199"/>
      <x:c r="J51" s="199"/>
      <x:c r="K51" s="199"/>
      <x:c r="L51" s="199"/>
      <x:c r="M51" s="198" t="str">
        <x:f t="shared" si="3"/>
      </x:c>
      <x:c r="N51" s="199"/>
      <x:c r="O51" s="199"/>
      <x:c r="P51" s="199"/>
      <x:c r="Q51" s="199"/>
      <x:c r="R51" s="199"/>
      <x:c r="S51" s="200"/>
      <x:c r="T51" s="199"/>
      <x:c r="U51" s="199"/>
      <x:c r="V51" s="199"/>
      <x:c r="W51" s="199"/>
      <x:c r="X51" s="198" t="str">
        <x:f t="shared" si="4"/>
      </x:c>
      <x:c r="Y51" s="199"/>
      <x:c r="Z51" s="199"/>
      <x:c r="AA51" s="198" t="str">
        <x:f t="shared" si="5"/>
      </x:c>
      <x:c r="AB51" s="197"/>
      <x:c r="AC51" s="197"/>
      <x:c r="AD51" s="197"/>
      <x:c r="AE51" s="196"/>
    </x:row>
    <x:row r="52">
      <x:c r="A52" s="197"/>
      <x:c r="B52" s="202"/>
      <x:c r="C52" s="201"/>
      <x:c r="D52" s="197"/>
      <x:c r="E52" s="197"/>
      <x:c r="F52" s="197"/>
      <x:c r="G52" s="199"/>
      <x:c r="H52" s="199"/>
      <x:c r="I52" s="199"/>
      <x:c r="J52" s="199"/>
      <x:c r="K52" s="199"/>
      <x:c r="L52" s="199"/>
      <x:c r="M52" s="198" t="str">
        <x:f t="shared" si="3"/>
      </x:c>
      <x:c r="N52" s="199"/>
      <x:c r="O52" s="199"/>
      <x:c r="P52" s="199"/>
      <x:c r="Q52" s="199"/>
      <x:c r="R52" s="199"/>
      <x:c r="S52" s="200"/>
      <x:c r="T52" s="199"/>
      <x:c r="U52" s="199"/>
      <x:c r="V52" s="199"/>
      <x:c r="W52" s="199"/>
      <x:c r="X52" s="198" t="str">
        <x:f t="shared" si="4"/>
      </x:c>
      <x:c r="Y52" s="199"/>
      <x:c r="Z52" s="199"/>
      <x:c r="AA52" s="198" t="str">
        <x:f t="shared" si="5"/>
      </x:c>
      <x:c r="AB52" s="197"/>
      <x:c r="AC52" s="197"/>
      <x:c r="AD52" s="197"/>
      <x:c r="AE52" s="196"/>
    </x:row>
    <x:row r="53">
      <x:c r="A53" s="197"/>
      <x:c r="B53" s="202"/>
      <x:c r="C53" s="201"/>
      <x:c r="D53" s="197"/>
      <x:c r="E53" s="197"/>
      <x:c r="F53" s="197"/>
      <x:c r="G53" s="199"/>
      <x:c r="H53" s="199"/>
      <x:c r="I53" s="199"/>
      <x:c r="J53" s="199"/>
      <x:c r="K53" s="199"/>
      <x:c r="L53" s="199"/>
      <x:c r="M53" s="198" t="str">
        <x:f t="shared" si="3"/>
      </x:c>
      <x:c r="N53" s="199"/>
      <x:c r="O53" s="199"/>
      <x:c r="P53" s="199"/>
      <x:c r="Q53" s="199"/>
      <x:c r="R53" s="199"/>
      <x:c r="S53" s="200"/>
      <x:c r="T53" s="199"/>
      <x:c r="U53" s="199"/>
      <x:c r="V53" s="199"/>
      <x:c r="W53" s="199"/>
      <x:c r="X53" s="198" t="str">
        <x:f t="shared" si="4"/>
      </x:c>
      <x:c r="Y53" s="199"/>
      <x:c r="Z53" s="199"/>
      <x:c r="AA53" s="198" t="str">
        <x:f t="shared" si="5"/>
      </x:c>
      <x:c r="AB53" s="197"/>
      <x:c r="AC53" s="197"/>
      <x:c r="AD53" s="197"/>
      <x:c r="AE53" s="196"/>
    </x:row>
    <x:row r="54">
      <x:c r="A54" s="197"/>
      <x:c r="B54" s="202"/>
      <x:c r="C54" s="201"/>
      <x:c r="D54" s="197"/>
      <x:c r="E54" s="197"/>
      <x:c r="F54" s="197"/>
      <x:c r="G54" s="199"/>
      <x:c r="H54" s="199"/>
      <x:c r="I54" s="199"/>
      <x:c r="J54" s="199"/>
      <x:c r="K54" s="199"/>
      <x:c r="L54" s="199"/>
      <x:c r="M54" s="198" t="str">
        <x:f t="shared" si="3"/>
      </x:c>
      <x:c r="N54" s="199"/>
      <x:c r="O54" s="199"/>
      <x:c r="P54" s="199"/>
      <x:c r="Q54" s="199"/>
      <x:c r="R54" s="199"/>
      <x:c r="S54" s="200"/>
      <x:c r="T54" s="199"/>
      <x:c r="U54" s="199"/>
      <x:c r="V54" s="199"/>
      <x:c r="W54" s="199"/>
      <x:c r="X54" s="198" t="str">
        <x:f t="shared" si="4"/>
      </x:c>
      <x:c r="Y54" s="199"/>
      <x:c r="Z54" s="199"/>
      <x:c r="AA54" s="198" t="str">
        <x:f t="shared" si="5"/>
      </x:c>
      <x:c r="AB54" s="197"/>
      <x:c r="AC54" s="197"/>
      <x:c r="AD54" s="197"/>
      <x:c r="AE54" s="196"/>
    </x:row>
    <x:row r="55">
      <x:c r="A55" s="197"/>
      <x:c r="B55" s="202"/>
      <x:c r="C55" s="201"/>
      <x:c r="D55" s="197"/>
      <x:c r="E55" s="197"/>
      <x:c r="F55" s="197"/>
      <x:c r="G55" s="199"/>
      <x:c r="H55" s="199"/>
      <x:c r="I55" s="199"/>
      <x:c r="J55" s="199"/>
      <x:c r="K55" s="199"/>
      <x:c r="L55" s="199"/>
      <x:c r="M55" s="198" t="str">
        <x:f t="shared" si="3"/>
      </x:c>
      <x:c r="N55" s="199"/>
      <x:c r="O55" s="199"/>
      <x:c r="P55" s="199"/>
      <x:c r="Q55" s="199"/>
      <x:c r="R55" s="199"/>
      <x:c r="S55" s="200"/>
      <x:c r="T55" s="199"/>
      <x:c r="U55" s="199"/>
      <x:c r="V55" s="199"/>
      <x:c r="W55" s="199"/>
      <x:c r="X55" s="198" t="str">
        <x:f t="shared" si="4"/>
      </x:c>
      <x:c r="Y55" s="199"/>
      <x:c r="Z55" s="199"/>
      <x:c r="AA55" s="198" t="str">
        <x:f t="shared" si="5"/>
      </x:c>
      <x:c r="AB55" s="197"/>
      <x:c r="AC55" s="197"/>
      <x:c r="AD55" s="197"/>
      <x:c r="AE55" s="196"/>
    </x:row>
    <x:row r="56">
      <x:c r="A56" s="197"/>
      <x:c r="B56" s="202"/>
      <x:c r="C56" s="201"/>
      <x:c r="D56" s="197"/>
      <x:c r="E56" s="197"/>
      <x:c r="F56" s="197"/>
      <x:c r="G56" s="199"/>
      <x:c r="H56" s="199"/>
      <x:c r="I56" s="199"/>
      <x:c r="J56" s="199"/>
      <x:c r="K56" s="199"/>
      <x:c r="L56" s="199"/>
      <x:c r="M56" s="198" t="str">
        <x:f t="shared" si="3"/>
      </x:c>
      <x:c r="N56" s="199"/>
      <x:c r="O56" s="199"/>
      <x:c r="P56" s="199"/>
      <x:c r="Q56" s="199"/>
      <x:c r="R56" s="199"/>
      <x:c r="S56" s="200"/>
      <x:c r="T56" s="199"/>
      <x:c r="U56" s="199"/>
      <x:c r="V56" s="199"/>
      <x:c r="W56" s="199"/>
      <x:c r="X56" s="198" t="str">
        <x:f t="shared" si="4"/>
      </x:c>
      <x:c r="Y56" s="199"/>
      <x:c r="Z56" s="199"/>
      <x:c r="AA56" s="198" t="str">
        <x:f t="shared" si="5"/>
      </x:c>
      <x:c r="AB56" s="197"/>
      <x:c r="AC56" s="197"/>
      <x:c r="AD56" s="197"/>
      <x:c r="AE56" s="196"/>
    </x:row>
    <x:row r="57">
      <x:c r="A57" s="197"/>
      <x:c r="B57" s="202"/>
      <x:c r="C57" s="201"/>
      <x:c r="D57" s="197"/>
      <x:c r="E57" s="197"/>
      <x:c r="F57" s="197"/>
      <x:c r="G57" s="199"/>
      <x:c r="H57" s="199"/>
      <x:c r="I57" s="199"/>
      <x:c r="J57" s="199"/>
      <x:c r="K57" s="199"/>
      <x:c r="L57" s="199"/>
      <x:c r="M57" s="198" t="str">
        <x:f t="shared" si="3"/>
      </x:c>
      <x:c r="N57" s="199"/>
      <x:c r="O57" s="199"/>
      <x:c r="P57" s="199"/>
      <x:c r="Q57" s="199"/>
      <x:c r="R57" s="199"/>
      <x:c r="S57" s="200"/>
      <x:c r="T57" s="199"/>
      <x:c r="U57" s="199"/>
      <x:c r="V57" s="199"/>
      <x:c r="W57" s="199"/>
      <x:c r="X57" s="198" t="str">
        <x:f t="shared" si="4"/>
      </x:c>
      <x:c r="Y57" s="199"/>
      <x:c r="Z57" s="199"/>
      <x:c r="AA57" s="198" t="str">
        <x:f t="shared" si="5"/>
      </x:c>
      <x:c r="AB57" s="197"/>
      <x:c r="AC57" s="197"/>
      <x:c r="AD57" s="197"/>
      <x:c r="AE57" s="196"/>
    </x:row>
    <x:row r="58">
      <x:c r="A58" s="197"/>
      <x:c r="B58" s="202"/>
      <x:c r="C58" s="201"/>
      <x:c r="D58" s="197"/>
      <x:c r="E58" s="197"/>
      <x:c r="F58" s="197"/>
      <x:c r="G58" s="199"/>
      <x:c r="H58" s="199"/>
      <x:c r="I58" s="199"/>
      <x:c r="J58" s="199"/>
      <x:c r="K58" s="199"/>
      <x:c r="L58" s="199"/>
      <x:c r="M58" s="198" t="str">
        <x:f t="shared" si="3"/>
      </x:c>
      <x:c r="N58" s="199"/>
      <x:c r="O58" s="199"/>
      <x:c r="P58" s="199"/>
      <x:c r="Q58" s="199"/>
      <x:c r="R58" s="199"/>
      <x:c r="S58" s="200"/>
      <x:c r="T58" s="199"/>
      <x:c r="U58" s="199"/>
      <x:c r="V58" s="199"/>
      <x:c r="W58" s="199"/>
      <x:c r="X58" s="198" t="str">
        <x:f t="shared" si="4"/>
      </x:c>
      <x:c r="Y58" s="199"/>
      <x:c r="Z58" s="199"/>
      <x:c r="AA58" s="198" t="str">
        <x:f t="shared" si="5"/>
      </x:c>
      <x:c r="AB58" s="197"/>
      <x:c r="AC58" s="197"/>
      <x:c r="AD58" s="197"/>
      <x:c r="AE58" s="196"/>
    </x:row>
    <x:row r="59">
      <x:c r="A59" s="197"/>
      <x:c r="B59" s="202"/>
      <x:c r="C59" s="201"/>
      <x:c r="D59" s="197"/>
      <x:c r="E59" s="197"/>
      <x:c r="F59" s="197"/>
      <x:c r="G59" s="199"/>
      <x:c r="H59" s="199"/>
      <x:c r="I59" s="199"/>
      <x:c r="J59" s="199"/>
      <x:c r="K59" s="199"/>
      <x:c r="L59" s="199"/>
      <x:c r="M59" s="198" t="str">
        <x:f t="shared" si="3"/>
      </x:c>
      <x:c r="N59" s="199"/>
      <x:c r="O59" s="199"/>
      <x:c r="P59" s="199"/>
      <x:c r="Q59" s="199"/>
      <x:c r="R59" s="199"/>
      <x:c r="S59" s="200"/>
      <x:c r="T59" s="199"/>
      <x:c r="U59" s="199"/>
      <x:c r="V59" s="199"/>
      <x:c r="W59" s="199"/>
      <x:c r="X59" s="198" t="str">
        <x:f t="shared" si="4"/>
      </x:c>
      <x:c r="Y59" s="199"/>
      <x:c r="Z59" s="199"/>
      <x:c r="AA59" s="198" t="str">
        <x:f t="shared" si="5"/>
      </x:c>
      <x:c r="AB59" s="197"/>
      <x:c r="AC59" s="197"/>
      <x:c r="AD59" s="197"/>
      <x:c r="AE59" s="196"/>
    </x:row>
    <x:row r="60">
      <x:c r="A60" s="197"/>
      <x:c r="B60" s="202"/>
      <x:c r="C60" s="201"/>
      <x:c r="D60" s="197"/>
      <x:c r="E60" s="197"/>
      <x:c r="F60" s="197"/>
      <x:c r="G60" s="199"/>
      <x:c r="H60" s="199"/>
      <x:c r="I60" s="199"/>
      <x:c r="J60" s="199"/>
      <x:c r="K60" s="199"/>
      <x:c r="L60" s="199"/>
      <x:c r="M60" s="198" t="str">
        <x:f t="shared" si="3"/>
      </x:c>
      <x:c r="N60" s="199"/>
      <x:c r="O60" s="199"/>
      <x:c r="P60" s="199"/>
      <x:c r="Q60" s="199"/>
      <x:c r="R60" s="199"/>
      <x:c r="S60" s="200"/>
      <x:c r="T60" s="199"/>
      <x:c r="U60" s="199"/>
      <x:c r="V60" s="199"/>
      <x:c r="W60" s="199"/>
      <x:c r="X60" s="198" t="str">
        <x:f t="shared" si="4"/>
      </x:c>
      <x:c r="Y60" s="199"/>
      <x:c r="Z60" s="199"/>
      <x:c r="AA60" s="198" t="str">
        <x:f t="shared" si="5"/>
      </x:c>
      <x:c r="AB60" s="197"/>
      <x:c r="AC60" s="197"/>
      <x:c r="AD60" s="197"/>
      <x:c r="AE60" s="196"/>
    </x:row>
    <x:row r="61">
      <x:c r="A61" s="197"/>
      <x:c r="B61" s="202"/>
      <x:c r="C61" s="201"/>
      <x:c r="D61" s="197"/>
      <x:c r="E61" s="197"/>
      <x:c r="F61" s="197"/>
      <x:c r="G61" s="199"/>
      <x:c r="H61" s="199"/>
      <x:c r="I61" s="199"/>
      <x:c r="J61" s="199"/>
      <x:c r="K61" s="199"/>
      <x:c r="L61" s="199"/>
      <x:c r="M61" s="198" t="str">
        <x:f t="shared" si="3"/>
      </x:c>
      <x:c r="N61" s="199"/>
      <x:c r="O61" s="199"/>
      <x:c r="P61" s="199"/>
      <x:c r="Q61" s="199"/>
      <x:c r="R61" s="199"/>
      <x:c r="S61" s="200"/>
      <x:c r="T61" s="199"/>
      <x:c r="U61" s="199"/>
      <x:c r="V61" s="199"/>
      <x:c r="W61" s="199"/>
      <x:c r="X61" s="198" t="str">
        <x:f t="shared" si="4"/>
      </x:c>
      <x:c r="Y61" s="199"/>
      <x:c r="Z61" s="199"/>
      <x:c r="AA61" s="198" t="str">
        <x:f t="shared" si="5"/>
      </x:c>
      <x:c r="AB61" s="197"/>
      <x:c r="AC61" s="197"/>
      <x:c r="AD61" s="197"/>
      <x:c r="AE61" s="196"/>
    </x:row>
    <x:row r="62">
      <x:c r="A62" s="197"/>
      <x:c r="B62" s="202"/>
      <x:c r="C62" s="201"/>
      <x:c r="D62" s="197"/>
      <x:c r="E62" s="197"/>
      <x:c r="F62" s="197"/>
      <x:c r="G62" s="199"/>
      <x:c r="H62" s="199"/>
      <x:c r="I62" s="199"/>
      <x:c r="J62" s="199"/>
      <x:c r="K62" s="199"/>
      <x:c r="L62" s="199"/>
      <x:c r="M62" s="198" t="str">
        <x:f t="shared" si="3"/>
      </x:c>
      <x:c r="N62" s="199"/>
      <x:c r="O62" s="199"/>
      <x:c r="P62" s="199"/>
      <x:c r="Q62" s="199"/>
      <x:c r="R62" s="199"/>
      <x:c r="S62" s="200"/>
      <x:c r="T62" s="199"/>
      <x:c r="U62" s="199"/>
      <x:c r="V62" s="199"/>
      <x:c r="W62" s="199"/>
      <x:c r="X62" s="198" t="str">
        <x:f t="shared" si="4"/>
      </x:c>
      <x:c r="Y62" s="199"/>
      <x:c r="Z62" s="199"/>
      <x:c r="AA62" s="198" t="str">
        <x:f t="shared" si="5"/>
      </x:c>
      <x:c r="AB62" s="197"/>
      <x:c r="AC62" s="197"/>
      <x:c r="AD62" s="197"/>
      <x:c r="AE62" s="196"/>
    </x:row>
    <x:row r="63">
      <x:c r="A63" s="197"/>
      <x:c r="B63" s="202"/>
      <x:c r="C63" s="201"/>
      <x:c r="D63" s="197"/>
      <x:c r="E63" s="197"/>
      <x:c r="F63" s="197"/>
      <x:c r="G63" s="199"/>
      <x:c r="H63" s="199"/>
      <x:c r="I63" s="199"/>
      <x:c r="J63" s="199"/>
      <x:c r="K63" s="199"/>
      <x:c r="L63" s="199"/>
      <x:c r="M63" s="198" t="str">
        <x:f t="shared" si="3"/>
      </x:c>
      <x:c r="N63" s="199"/>
      <x:c r="O63" s="199"/>
      <x:c r="P63" s="199"/>
      <x:c r="Q63" s="199"/>
      <x:c r="R63" s="199"/>
      <x:c r="S63" s="200"/>
      <x:c r="T63" s="199"/>
      <x:c r="U63" s="199"/>
      <x:c r="V63" s="199"/>
      <x:c r="W63" s="199"/>
      <x:c r="X63" s="198" t="str">
        <x:f t="shared" si="4"/>
      </x:c>
      <x:c r="Y63" s="199"/>
      <x:c r="Z63" s="199"/>
      <x:c r="AA63" s="198" t="str">
        <x:f t="shared" si="5"/>
      </x:c>
      <x:c r="AB63" s="197"/>
      <x:c r="AC63" s="197"/>
      <x:c r="AD63" s="197"/>
      <x:c r="AE63" s="196"/>
    </x:row>
    <x:row r="64">
      <x:c r="A64" s="197"/>
      <x:c r="B64" s="202"/>
      <x:c r="C64" s="201"/>
      <x:c r="D64" s="197"/>
      <x:c r="E64" s="197"/>
      <x:c r="F64" s="197"/>
      <x:c r="G64" s="199"/>
      <x:c r="H64" s="199"/>
      <x:c r="I64" s="199"/>
      <x:c r="J64" s="199"/>
      <x:c r="K64" s="199"/>
      <x:c r="L64" s="199"/>
      <x:c r="M64" s="198" t="str">
        <x:f t="shared" si="3"/>
      </x:c>
      <x:c r="N64" s="199"/>
      <x:c r="O64" s="199"/>
      <x:c r="P64" s="199"/>
      <x:c r="Q64" s="199"/>
      <x:c r="R64" s="199"/>
      <x:c r="S64" s="200"/>
      <x:c r="T64" s="199"/>
      <x:c r="U64" s="199"/>
      <x:c r="V64" s="199"/>
      <x:c r="W64" s="199"/>
      <x:c r="X64" s="198" t="str">
        <x:f t="shared" si="4"/>
      </x:c>
      <x:c r="Y64" s="199"/>
      <x:c r="Z64" s="199"/>
      <x:c r="AA64" s="198" t="str">
        <x:f t="shared" si="5"/>
      </x:c>
      <x:c r="AB64" s="197"/>
      <x:c r="AC64" s="197"/>
      <x:c r="AD64" s="197"/>
      <x:c r="AE64" s="196"/>
    </x:row>
    <x:row r="65">
      <x:c r="A65" s="197"/>
      <x:c r="B65" s="202"/>
      <x:c r="C65" s="201"/>
      <x:c r="D65" s="197"/>
      <x:c r="E65" s="197"/>
      <x:c r="F65" s="197"/>
      <x:c r="G65" s="199"/>
      <x:c r="H65" s="199"/>
      <x:c r="I65" s="199"/>
      <x:c r="J65" s="199"/>
      <x:c r="K65" s="199"/>
      <x:c r="L65" s="199"/>
      <x:c r="M65" s="198" t="str">
        <x:f t="shared" si="3"/>
      </x:c>
      <x:c r="N65" s="199"/>
      <x:c r="O65" s="199"/>
      <x:c r="P65" s="199"/>
      <x:c r="Q65" s="199"/>
      <x:c r="R65" s="199"/>
      <x:c r="S65" s="200"/>
      <x:c r="T65" s="199"/>
      <x:c r="U65" s="199"/>
      <x:c r="V65" s="199"/>
      <x:c r="W65" s="199"/>
      <x:c r="X65" s="198" t="str">
        <x:f t="shared" si="4"/>
      </x:c>
      <x:c r="Y65" s="199"/>
      <x:c r="Z65" s="199"/>
      <x:c r="AA65" s="198" t="str">
        <x:f t="shared" si="5"/>
      </x:c>
      <x:c r="AB65" s="197"/>
      <x:c r="AC65" s="197"/>
      <x:c r="AD65" s="197"/>
      <x:c r="AE65" s="196"/>
    </x:row>
    <x:row r="66">
      <x:c r="A66" s="197"/>
      <x:c r="B66" s="202"/>
      <x:c r="C66" s="201"/>
      <x:c r="D66" s="197"/>
      <x:c r="E66" s="197"/>
      <x:c r="F66" s="197"/>
      <x:c r="G66" s="199"/>
      <x:c r="H66" s="199"/>
      <x:c r="I66" s="199"/>
      <x:c r="J66" s="199"/>
      <x:c r="K66" s="199"/>
      <x:c r="L66" s="199"/>
      <x:c r="M66" s="198" t="str">
        <x:f t="shared" si="3"/>
      </x:c>
      <x:c r="N66" s="199"/>
      <x:c r="O66" s="199"/>
      <x:c r="P66" s="199"/>
      <x:c r="Q66" s="199"/>
      <x:c r="R66" s="199"/>
      <x:c r="S66" s="200"/>
      <x:c r="T66" s="199"/>
      <x:c r="U66" s="199"/>
      <x:c r="V66" s="199"/>
      <x:c r="W66" s="199"/>
      <x:c r="X66" s="198" t="str">
        <x:f t="shared" si="4"/>
      </x:c>
      <x:c r="Y66" s="199"/>
      <x:c r="Z66" s="199"/>
      <x:c r="AA66" s="198" t="str">
        <x:f t="shared" si="5"/>
      </x:c>
      <x:c r="AB66" s="197"/>
      <x:c r="AC66" s="197"/>
      <x:c r="AD66" s="197"/>
      <x:c r="AE66" s="196"/>
    </x:row>
    <x:row r="67">
      <x:c r="A67" s="197"/>
      <x:c r="B67" s="202"/>
      <x:c r="C67" s="201"/>
      <x:c r="D67" s="197"/>
      <x:c r="E67" s="197"/>
      <x:c r="F67" s="197"/>
      <x:c r="G67" s="199"/>
      <x:c r="H67" s="199"/>
      <x:c r="I67" s="199"/>
      <x:c r="J67" s="199"/>
      <x:c r="K67" s="199"/>
      <x:c r="L67" s="199"/>
      <x:c r="M67" s="198" t="str">
        <x:f t="shared" si="3"/>
      </x:c>
      <x:c r="N67" s="199"/>
      <x:c r="O67" s="199"/>
      <x:c r="P67" s="199"/>
      <x:c r="Q67" s="199"/>
      <x:c r="R67" s="199"/>
      <x:c r="S67" s="200"/>
      <x:c r="T67" s="199"/>
      <x:c r="U67" s="199"/>
      <x:c r="V67" s="199"/>
      <x:c r="W67" s="199"/>
      <x:c r="X67" s="198" t="str">
        <x:f t="shared" si="4"/>
      </x:c>
      <x:c r="Y67" s="199"/>
      <x:c r="Z67" s="199"/>
      <x:c r="AA67" s="198" t="str">
        <x:f t="shared" si="5"/>
      </x:c>
      <x:c r="AB67" s="197"/>
      <x:c r="AC67" s="197"/>
      <x:c r="AD67" s="197"/>
      <x:c r="AE67" s="196"/>
    </x:row>
    <x:row r="68">
      <x:c r="A68" s="197"/>
      <x:c r="B68" s="202"/>
      <x:c r="C68" s="201"/>
      <x:c r="D68" s="197"/>
      <x:c r="E68" s="197"/>
      <x:c r="F68" s="197"/>
      <x:c r="G68" s="199"/>
      <x:c r="H68" s="199"/>
      <x:c r="I68" s="199"/>
      <x:c r="J68" s="199"/>
      <x:c r="K68" s="199"/>
      <x:c r="L68" s="199"/>
      <x:c r="M68" s="198" t="str">
        <x:f t="shared" si="3"/>
      </x:c>
      <x:c r="N68" s="199"/>
      <x:c r="O68" s="199"/>
      <x:c r="P68" s="199"/>
      <x:c r="Q68" s="199"/>
      <x:c r="R68" s="199"/>
      <x:c r="S68" s="200"/>
      <x:c r="T68" s="199"/>
      <x:c r="U68" s="199"/>
      <x:c r="V68" s="199"/>
      <x:c r="W68" s="199"/>
      <x:c r="X68" s="198" t="str">
        <x:f t="shared" si="4"/>
      </x:c>
      <x:c r="Y68" s="199"/>
      <x:c r="Z68" s="199"/>
      <x:c r="AA68" s="198" t="str">
        <x:f t="shared" si="5"/>
      </x:c>
      <x:c r="AB68" s="197"/>
      <x:c r="AC68" s="197"/>
      <x:c r="AD68" s="197"/>
      <x:c r="AE68" s="196"/>
    </x:row>
    <x:row r="69">
      <x:c r="A69" s="197"/>
      <x:c r="B69" s="202"/>
      <x:c r="C69" s="201"/>
      <x:c r="D69" s="197"/>
      <x:c r="E69" s="197"/>
      <x:c r="F69" s="197"/>
      <x:c r="G69" s="199"/>
      <x:c r="H69" s="199"/>
      <x:c r="I69" s="199"/>
      <x:c r="J69" s="199"/>
      <x:c r="K69" s="199"/>
      <x:c r="L69" s="199"/>
      <x:c r="M69" s="198" t="str">
        <x:f t="shared" si="3"/>
      </x:c>
      <x:c r="N69" s="199"/>
      <x:c r="O69" s="199"/>
      <x:c r="P69" s="199"/>
      <x:c r="Q69" s="199"/>
      <x:c r="R69" s="199"/>
      <x:c r="S69" s="200"/>
      <x:c r="T69" s="199"/>
      <x:c r="U69" s="199"/>
      <x:c r="V69" s="199"/>
      <x:c r="W69" s="199"/>
      <x:c r="X69" s="198" t="str">
        <x:f t="shared" si="4"/>
      </x:c>
      <x:c r="Y69" s="199"/>
      <x:c r="Z69" s="199"/>
      <x:c r="AA69" s="198" t="str">
        <x:f t="shared" si="5"/>
      </x:c>
      <x:c r="AB69" s="197"/>
      <x:c r="AC69" s="197"/>
      <x:c r="AD69" s="197"/>
      <x:c r="AE69" s="196"/>
    </x:row>
    <x:row r="70">
      <x:c r="A70" s="197"/>
      <x:c r="B70" s="202"/>
      <x:c r="C70" s="201"/>
      <x:c r="D70" s="197"/>
      <x:c r="E70" s="197"/>
      <x:c r="F70" s="197"/>
      <x:c r="G70" s="199"/>
      <x:c r="H70" s="199"/>
      <x:c r="I70" s="199"/>
      <x:c r="J70" s="199"/>
      <x:c r="K70" s="199"/>
      <x:c r="L70" s="199"/>
      <x:c r="M70" s="198" t="str">
        <x:f t="shared" ref="M70:M101" si="6">IF(OR($A70="",$G70=0),"",$K70/$G70)</x:f>
      </x:c>
      <x:c r="N70" s="199"/>
      <x:c r="O70" s="199"/>
      <x:c r="P70" s="199"/>
      <x:c r="Q70" s="199"/>
      <x:c r="R70" s="199"/>
      <x:c r="S70" s="200"/>
      <x:c r="T70" s="199"/>
      <x:c r="U70" s="199"/>
      <x:c r="V70" s="199"/>
      <x:c r="W70" s="199"/>
      <x:c r="X70" s="198" t="str">
        <x:f t="shared" ref="X70:X101" si="7">IF(OR($A70="",$T70=0),"",$U70/$T70)</x:f>
      </x:c>
      <x:c r="Y70" s="199"/>
      <x:c r="Z70" s="199"/>
      <x:c r="AA70" s="198" t="str">
        <x:f t="shared" ref="AA70:AA101" si="8">IF(OR($A70="",$Y70=0),"",$Z70/$Y70)</x:f>
      </x:c>
      <x:c r="AB70" s="197"/>
      <x:c r="AC70" s="197"/>
      <x:c r="AD70" s="197"/>
      <x:c r="AE70" s="196"/>
    </x:row>
    <x:row r="71">
      <x:c r="A71" s="197"/>
      <x:c r="B71" s="202"/>
      <x:c r="C71" s="201"/>
      <x:c r="D71" s="197"/>
      <x:c r="E71" s="197"/>
      <x:c r="F71" s="197"/>
      <x:c r="G71" s="199"/>
      <x:c r="H71" s="199"/>
      <x:c r="I71" s="199"/>
      <x:c r="J71" s="199"/>
      <x:c r="K71" s="199"/>
      <x:c r="L71" s="199"/>
      <x:c r="M71" s="198" t="str">
        <x:f t="shared" si="6"/>
      </x:c>
      <x:c r="N71" s="199"/>
      <x:c r="O71" s="199"/>
      <x:c r="P71" s="199"/>
      <x:c r="Q71" s="199"/>
      <x:c r="R71" s="199"/>
      <x:c r="S71" s="200"/>
      <x:c r="T71" s="199"/>
      <x:c r="U71" s="199"/>
      <x:c r="V71" s="199"/>
      <x:c r="W71" s="199"/>
      <x:c r="X71" s="198" t="str">
        <x:f t="shared" si="7"/>
      </x:c>
      <x:c r="Y71" s="199"/>
      <x:c r="Z71" s="199"/>
      <x:c r="AA71" s="198" t="str">
        <x:f t="shared" si="8"/>
      </x:c>
      <x:c r="AB71" s="197"/>
      <x:c r="AC71" s="197"/>
      <x:c r="AD71" s="197"/>
      <x:c r="AE71" s="196"/>
    </x:row>
    <x:row r="72">
      <x:c r="A72" s="197"/>
      <x:c r="B72" s="202"/>
      <x:c r="C72" s="201"/>
      <x:c r="D72" s="197"/>
      <x:c r="E72" s="197"/>
      <x:c r="F72" s="197"/>
      <x:c r="G72" s="199"/>
      <x:c r="H72" s="199"/>
      <x:c r="I72" s="199"/>
      <x:c r="J72" s="199"/>
      <x:c r="K72" s="199"/>
      <x:c r="L72" s="199"/>
      <x:c r="M72" s="198" t="str">
        <x:f t="shared" si="6"/>
      </x:c>
      <x:c r="N72" s="199"/>
      <x:c r="O72" s="199"/>
      <x:c r="P72" s="199"/>
      <x:c r="Q72" s="199"/>
      <x:c r="R72" s="199"/>
      <x:c r="S72" s="200"/>
      <x:c r="T72" s="199"/>
      <x:c r="U72" s="199"/>
      <x:c r="V72" s="199"/>
      <x:c r="W72" s="199"/>
      <x:c r="X72" s="198" t="str">
        <x:f t="shared" si="7"/>
      </x:c>
      <x:c r="Y72" s="199"/>
      <x:c r="Z72" s="199"/>
      <x:c r="AA72" s="198" t="str">
        <x:f t="shared" si="8"/>
      </x:c>
      <x:c r="AB72" s="197"/>
      <x:c r="AC72" s="197"/>
      <x:c r="AD72" s="197"/>
      <x:c r="AE72" s="196"/>
    </x:row>
    <x:row r="73">
      <x:c r="A73" s="197"/>
      <x:c r="B73" s="202"/>
      <x:c r="C73" s="201"/>
      <x:c r="D73" s="197"/>
      <x:c r="E73" s="197"/>
      <x:c r="F73" s="197"/>
      <x:c r="G73" s="199"/>
      <x:c r="H73" s="199"/>
      <x:c r="I73" s="199"/>
      <x:c r="J73" s="199"/>
      <x:c r="K73" s="199"/>
      <x:c r="L73" s="199"/>
      <x:c r="M73" s="198" t="str">
        <x:f t="shared" si="6"/>
      </x:c>
      <x:c r="N73" s="199"/>
      <x:c r="O73" s="199"/>
      <x:c r="P73" s="199"/>
      <x:c r="Q73" s="199"/>
      <x:c r="R73" s="199"/>
      <x:c r="S73" s="200"/>
      <x:c r="T73" s="199"/>
      <x:c r="U73" s="199"/>
      <x:c r="V73" s="199"/>
      <x:c r="W73" s="199"/>
      <x:c r="X73" s="198" t="str">
        <x:f t="shared" si="7"/>
      </x:c>
      <x:c r="Y73" s="199"/>
      <x:c r="Z73" s="199"/>
      <x:c r="AA73" s="198" t="str">
        <x:f t="shared" si="8"/>
      </x:c>
      <x:c r="AB73" s="197"/>
      <x:c r="AC73" s="197"/>
      <x:c r="AD73" s="197"/>
      <x:c r="AE73" s="196"/>
    </x:row>
    <x:row r="74">
      <x:c r="A74" s="197"/>
      <x:c r="B74" s="202"/>
      <x:c r="C74" s="201"/>
      <x:c r="D74" s="197"/>
      <x:c r="E74" s="197"/>
      <x:c r="F74" s="197"/>
      <x:c r="G74" s="199"/>
      <x:c r="H74" s="199"/>
      <x:c r="I74" s="199"/>
      <x:c r="J74" s="199"/>
      <x:c r="K74" s="199"/>
      <x:c r="L74" s="199"/>
      <x:c r="M74" s="198" t="str">
        <x:f t="shared" si="6"/>
      </x:c>
      <x:c r="N74" s="199"/>
      <x:c r="O74" s="199"/>
      <x:c r="P74" s="199"/>
      <x:c r="Q74" s="199"/>
      <x:c r="R74" s="199"/>
      <x:c r="S74" s="200"/>
      <x:c r="T74" s="199"/>
      <x:c r="U74" s="199"/>
      <x:c r="V74" s="199"/>
      <x:c r="W74" s="199"/>
      <x:c r="X74" s="198" t="str">
        <x:f t="shared" si="7"/>
      </x:c>
      <x:c r="Y74" s="199"/>
      <x:c r="Z74" s="199"/>
      <x:c r="AA74" s="198" t="str">
        <x:f t="shared" si="8"/>
      </x:c>
      <x:c r="AB74" s="197"/>
      <x:c r="AC74" s="197"/>
      <x:c r="AD74" s="197"/>
      <x:c r="AE74" s="196"/>
    </x:row>
    <x:row r="75">
      <x:c r="A75" s="197"/>
      <x:c r="B75" s="202"/>
      <x:c r="C75" s="201"/>
      <x:c r="D75" s="197"/>
      <x:c r="E75" s="197"/>
      <x:c r="F75" s="197"/>
      <x:c r="G75" s="199"/>
      <x:c r="H75" s="199"/>
      <x:c r="I75" s="199"/>
      <x:c r="J75" s="199"/>
      <x:c r="K75" s="199"/>
      <x:c r="L75" s="199"/>
      <x:c r="M75" s="198" t="str">
        <x:f t="shared" si="6"/>
      </x:c>
      <x:c r="N75" s="199"/>
      <x:c r="O75" s="199"/>
      <x:c r="P75" s="199"/>
      <x:c r="Q75" s="199"/>
      <x:c r="R75" s="199"/>
      <x:c r="S75" s="200"/>
      <x:c r="T75" s="199"/>
      <x:c r="U75" s="199"/>
      <x:c r="V75" s="199"/>
      <x:c r="W75" s="199"/>
      <x:c r="X75" s="198" t="str">
        <x:f t="shared" si="7"/>
      </x:c>
      <x:c r="Y75" s="199"/>
      <x:c r="Z75" s="199"/>
      <x:c r="AA75" s="198" t="str">
        <x:f t="shared" si="8"/>
      </x:c>
      <x:c r="AB75" s="197"/>
      <x:c r="AC75" s="197"/>
      <x:c r="AD75" s="197"/>
      <x:c r="AE75" s="196"/>
    </x:row>
    <x:row r="76">
      <x:c r="A76" s="197"/>
      <x:c r="B76" s="202"/>
      <x:c r="C76" s="201"/>
      <x:c r="D76" s="197"/>
      <x:c r="E76" s="197"/>
      <x:c r="F76" s="197"/>
      <x:c r="G76" s="199"/>
      <x:c r="H76" s="199"/>
      <x:c r="I76" s="199"/>
      <x:c r="J76" s="199"/>
      <x:c r="K76" s="199"/>
      <x:c r="L76" s="199"/>
      <x:c r="M76" s="198" t="str">
        <x:f t="shared" si="6"/>
      </x:c>
      <x:c r="N76" s="199"/>
      <x:c r="O76" s="199"/>
      <x:c r="P76" s="199"/>
      <x:c r="Q76" s="199"/>
      <x:c r="R76" s="199"/>
      <x:c r="S76" s="200"/>
      <x:c r="T76" s="199"/>
      <x:c r="U76" s="199"/>
      <x:c r="V76" s="199"/>
      <x:c r="W76" s="199"/>
      <x:c r="X76" s="198" t="str">
        <x:f t="shared" si="7"/>
      </x:c>
      <x:c r="Y76" s="199"/>
      <x:c r="Z76" s="199"/>
      <x:c r="AA76" s="198" t="str">
        <x:f t="shared" si="8"/>
      </x:c>
      <x:c r="AB76" s="197"/>
      <x:c r="AC76" s="197"/>
      <x:c r="AD76" s="197"/>
      <x:c r="AE76" s="196"/>
    </x:row>
    <x:row r="77">
      <x:c r="A77" s="197"/>
      <x:c r="B77" s="202"/>
      <x:c r="C77" s="201"/>
      <x:c r="D77" s="197"/>
      <x:c r="E77" s="197"/>
      <x:c r="F77" s="197"/>
      <x:c r="G77" s="199"/>
      <x:c r="H77" s="199"/>
      <x:c r="I77" s="199"/>
      <x:c r="J77" s="199"/>
      <x:c r="K77" s="199"/>
      <x:c r="L77" s="199"/>
      <x:c r="M77" s="198" t="str">
        <x:f t="shared" si="6"/>
      </x:c>
      <x:c r="N77" s="199"/>
      <x:c r="O77" s="199"/>
      <x:c r="P77" s="199"/>
      <x:c r="Q77" s="199"/>
      <x:c r="R77" s="199"/>
      <x:c r="S77" s="200"/>
      <x:c r="T77" s="199"/>
      <x:c r="U77" s="199"/>
      <x:c r="V77" s="199"/>
      <x:c r="W77" s="199"/>
      <x:c r="X77" s="198" t="str">
        <x:f t="shared" si="7"/>
      </x:c>
      <x:c r="Y77" s="199"/>
      <x:c r="Z77" s="199"/>
      <x:c r="AA77" s="198" t="str">
        <x:f t="shared" si="8"/>
      </x:c>
      <x:c r="AB77" s="197"/>
      <x:c r="AC77" s="197"/>
      <x:c r="AD77" s="197"/>
      <x:c r="AE77" s="196"/>
    </x:row>
    <x:row r="78">
      <x:c r="A78" s="197"/>
      <x:c r="B78" s="202"/>
      <x:c r="C78" s="201"/>
      <x:c r="D78" s="197"/>
      <x:c r="E78" s="197"/>
      <x:c r="F78" s="197"/>
      <x:c r="G78" s="199"/>
      <x:c r="H78" s="199"/>
      <x:c r="I78" s="199"/>
      <x:c r="J78" s="199"/>
      <x:c r="K78" s="199"/>
      <x:c r="L78" s="199"/>
      <x:c r="M78" s="198" t="str">
        <x:f t="shared" si="6"/>
      </x:c>
      <x:c r="N78" s="199"/>
      <x:c r="O78" s="199"/>
      <x:c r="P78" s="199"/>
      <x:c r="Q78" s="199"/>
      <x:c r="R78" s="199"/>
      <x:c r="S78" s="200"/>
      <x:c r="T78" s="199"/>
      <x:c r="U78" s="199"/>
      <x:c r="V78" s="199"/>
      <x:c r="W78" s="199"/>
      <x:c r="X78" s="198" t="str">
        <x:f t="shared" si="7"/>
      </x:c>
      <x:c r="Y78" s="199"/>
      <x:c r="Z78" s="199"/>
      <x:c r="AA78" s="198" t="str">
        <x:f t="shared" si="8"/>
      </x:c>
      <x:c r="AB78" s="197"/>
      <x:c r="AC78" s="197"/>
      <x:c r="AD78" s="197"/>
      <x:c r="AE78" s="196"/>
    </x:row>
    <x:row r="79">
      <x:c r="A79" s="197"/>
      <x:c r="B79" s="202"/>
      <x:c r="C79" s="201"/>
      <x:c r="D79" s="197"/>
      <x:c r="E79" s="197"/>
      <x:c r="F79" s="197"/>
      <x:c r="G79" s="199"/>
      <x:c r="H79" s="199"/>
      <x:c r="I79" s="199"/>
      <x:c r="J79" s="199"/>
      <x:c r="K79" s="199"/>
      <x:c r="L79" s="199"/>
      <x:c r="M79" s="198" t="str">
        <x:f t="shared" si="6"/>
      </x:c>
      <x:c r="N79" s="199"/>
      <x:c r="O79" s="199"/>
      <x:c r="P79" s="199"/>
      <x:c r="Q79" s="199"/>
      <x:c r="R79" s="199"/>
      <x:c r="S79" s="200"/>
      <x:c r="T79" s="199"/>
      <x:c r="U79" s="199"/>
      <x:c r="V79" s="199"/>
      <x:c r="W79" s="199"/>
      <x:c r="X79" s="198" t="str">
        <x:f t="shared" si="7"/>
      </x:c>
      <x:c r="Y79" s="199"/>
      <x:c r="Z79" s="199"/>
      <x:c r="AA79" s="198" t="str">
        <x:f t="shared" si="8"/>
      </x:c>
      <x:c r="AB79" s="197"/>
      <x:c r="AC79" s="197"/>
      <x:c r="AD79" s="197"/>
      <x:c r="AE79" s="196"/>
    </x:row>
    <x:row r="80">
      <x:c r="A80" s="197"/>
      <x:c r="B80" s="202"/>
      <x:c r="C80" s="201"/>
      <x:c r="D80" s="197"/>
      <x:c r="E80" s="197"/>
      <x:c r="F80" s="197"/>
      <x:c r="G80" s="199"/>
      <x:c r="H80" s="199"/>
      <x:c r="I80" s="199"/>
      <x:c r="J80" s="199"/>
      <x:c r="K80" s="199"/>
      <x:c r="L80" s="199"/>
      <x:c r="M80" s="198" t="str">
        <x:f t="shared" si="6"/>
      </x:c>
      <x:c r="N80" s="199"/>
      <x:c r="O80" s="199"/>
      <x:c r="P80" s="199"/>
      <x:c r="Q80" s="199"/>
      <x:c r="R80" s="199"/>
      <x:c r="S80" s="200"/>
      <x:c r="T80" s="199"/>
      <x:c r="U80" s="199"/>
      <x:c r="V80" s="199"/>
      <x:c r="W80" s="199"/>
      <x:c r="X80" s="198" t="str">
        <x:f t="shared" si="7"/>
      </x:c>
      <x:c r="Y80" s="199"/>
      <x:c r="Z80" s="199"/>
      <x:c r="AA80" s="198" t="str">
        <x:f t="shared" si="8"/>
      </x:c>
      <x:c r="AB80" s="197"/>
      <x:c r="AC80" s="197"/>
      <x:c r="AD80" s="197"/>
      <x:c r="AE80" s="196"/>
    </x:row>
    <x:row r="81">
      <x:c r="A81" s="197"/>
      <x:c r="B81" s="202"/>
      <x:c r="C81" s="201"/>
      <x:c r="D81" s="197"/>
      <x:c r="E81" s="197"/>
      <x:c r="F81" s="197"/>
      <x:c r="G81" s="199"/>
      <x:c r="H81" s="199"/>
      <x:c r="I81" s="199"/>
      <x:c r="J81" s="199"/>
      <x:c r="K81" s="199"/>
      <x:c r="L81" s="199"/>
      <x:c r="M81" s="198" t="str">
        <x:f t="shared" si="6"/>
      </x:c>
      <x:c r="N81" s="199"/>
      <x:c r="O81" s="199"/>
      <x:c r="P81" s="199"/>
      <x:c r="Q81" s="199"/>
      <x:c r="R81" s="199"/>
      <x:c r="S81" s="200"/>
      <x:c r="T81" s="199"/>
      <x:c r="U81" s="199"/>
      <x:c r="V81" s="199"/>
      <x:c r="W81" s="199"/>
      <x:c r="X81" s="198" t="str">
        <x:f t="shared" si="7"/>
      </x:c>
      <x:c r="Y81" s="199"/>
      <x:c r="Z81" s="199"/>
      <x:c r="AA81" s="198" t="str">
        <x:f t="shared" si="8"/>
      </x:c>
      <x:c r="AB81" s="197"/>
      <x:c r="AC81" s="197"/>
      <x:c r="AD81" s="197"/>
      <x:c r="AE81" s="196"/>
    </x:row>
    <x:row r="82">
      <x:c r="A82" s="197"/>
      <x:c r="B82" s="202"/>
      <x:c r="C82" s="201"/>
      <x:c r="D82" s="197"/>
      <x:c r="E82" s="197"/>
      <x:c r="F82" s="197"/>
      <x:c r="G82" s="199"/>
      <x:c r="H82" s="199"/>
      <x:c r="I82" s="199"/>
      <x:c r="J82" s="199"/>
      <x:c r="K82" s="199"/>
      <x:c r="L82" s="199"/>
      <x:c r="M82" s="198" t="str">
        <x:f t="shared" si="6"/>
      </x:c>
      <x:c r="N82" s="199"/>
      <x:c r="O82" s="199"/>
      <x:c r="P82" s="199"/>
      <x:c r="Q82" s="199"/>
      <x:c r="R82" s="199"/>
      <x:c r="S82" s="200"/>
      <x:c r="T82" s="199"/>
      <x:c r="U82" s="199"/>
      <x:c r="V82" s="199"/>
      <x:c r="W82" s="199"/>
      <x:c r="X82" s="198" t="str">
        <x:f t="shared" si="7"/>
      </x:c>
      <x:c r="Y82" s="199"/>
      <x:c r="Z82" s="199"/>
      <x:c r="AA82" s="198" t="str">
        <x:f t="shared" si="8"/>
      </x:c>
      <x:c r="AB82" s="197"/>
      <x:c r="AC82" s="197"/>
      <x:c r="AD82" s="197"/>
      <x:c r="AE82" s="196"/>
    </x:row>
    <x:row r="83">
      <x:c r="A83" s="197"/>
      <x:c r="B83" s="202"/>
      <x:c r="C83" s="201"/>
      <x:c r="D83" s="197"/>
      <x:c r="E83" s="197"/>
      <x:c r="F83" s="197"/>
      <x:c r="G83" s="199"/>
      <x:c r="H83" s="199"/>
      <x:c r="I83" s="199"/>
      <x:c r="J83" s="199"/>
      <x:c r="K83" s="199"/>
      <x:c r="L83" s="199"/>
      <x:c r="M83" s="198" t="str">
        <x:f t="shared" si="6"/>
      </x:c>
      <x:c r="N83" s="199"/>
      <x:c r="O83" s="199"/>
      <x:c r="P83" s="199"/>
      <x:c r="Q83" s="199"/>
      <x:c r="R83" s="199"/>
      <x:c r="S83" s="200"/>
      <x:c r="T83" s="199"/>
      <x:c r="U83" s="199"/>
      <x:c r="V83" s="199"/>
      <x:c r="W83" s="199"/>
      <x:c r="X83" s="198" t="str">
        <x:f t="shared" si="7"/>
      </x:c>
      <x:c r="Y83" s="199"/>
      <x:c r="Z83" s="199"/>
      <x:c r="AA83" s="198" t="str">
        <x:f t="shared" si="8"/>
      </x:c>
      <x:c r="AB83" s="197"/>
      <x:c r="AC83" s="197"/>
      <x:c r="AD83" s="197"/>
      <x:c r="AE83" s="196"/>
    </x:row>
    <x:row r="84">
      <x:c r="A84" s="197"/>
      <x:c r="B84" s="202"/>
      <x:c r="C84" s="201"/>
      <x:c r="D84" s="197"/>
      <x:c r="E84" s="197"/>
      <x:c r="F84" s="197"/>
      <x:c r="G84" s="199"/>
      <x:c r="H84" s="199"/>
      <x:c r="I84" s="199"/>
      <x:c r="J84" s="199"/>
      <x:c r="K84" s="199"/>
      <x:c r="L84" s="199"/>
      <x:c r="M84" s="198" t="str">
        <x:f t="shared" si="6"/>
      </x:c>
      <x:c r="N84" s="199"/>
      <x:c r="O84" s="199"/>
      <x:c r="P84" s="199"/>
      <x:c r="Q84" s="199"/>
      <x:c r="R84" s="199"/>
      <x:c r="S84" s="200"/>
      <x:c r="T84" s="199"/>
      <x:c r="U84" s="199"/>
      <x:c r="V84" s="199"/>
      <x:c r="W84" s="199"/>
      <x:c r="X84" s="198" t="str">
        <x:f t="shared" si="7"/>
      </x:c>
      <x:c r="Y84" s="199"/>
      <x:c r="Z84" s="199"/>
      <x:c r="AA84" s="198" t="str">
        <x:f t="shared" si="8"/>
      </x:c>
      <x:c r="AB84" s="197"/>
      <x:c r="AC84" s="197"/>
      <x:c r="AD84" s="197"/>
      <x:c r="AE84" s="196"/>
    </x:row>
    <x:row r="85">
      <x:c r="A85" s="197"/>
      <x:c r="B85" s="202"/>
      <x:c r="C85" s="201"/>
      <x:c r="D85" s="197"/>
      <x:c r="E85" s="197"/>
      <x:c r="F85" s="197"/>
      <x:c r="G85" s="199"/>
      <x:c r="H85" s="199"/>
      <x:c r="I85" s="199"/>
      <x:c r="J85" s="199"/>
      <x:c r="K85" s="199"/>
      <x:c r="L85" s="199"/>
      <x:c r="M85" s="198" t="str">
        <x:f t="shared" si="6"/>
      </x:c>
      <x:c r="N85" s="199"/>
      <x:c r="O85" s="199"/>
      <x:c r="P85" s="199"/>
      <x:c r="Q85" s="199"/>
      <x:c r="R85" s="199"/>
      <x:c r="S85" s="200"/>
      <x:c r="T85" s="199"/>
      <x:c r="U85" s="199"/>
      <x:c r="V85" s="199"/>
      <x:c r="W85" s="199"/>
      <x:c r="X85" s="198" t="str">
        <x:f t="shared" si="7"/>
      </x:c>
      <x:c r="Y85" s="199"/>
      <x:c r="Z85" s="199"/>
      <x:c r="AA85" s="198" t="str">
        <x:f t="shared" si="8"/>
      </x:c>
      <x:c r="AB85" s="197"/>
      <x:c r="AC85" s="197"/>
      <x:c r="AD85" s="197"/>
      <x:c r="AE85" s="196"/>
    </x:row>
    <x:row r="86">
      <x:c r="A86" s="197"/>
      <x:c r="B86" s="202"/>
      <x:c r="C86" s="201"/>
      <x:c r="D86" s="197"/>
      <x:c r="E86" s="197"/>
      <x:c r="F86" s="197"/>
      <x:c r="G86" s="199"/>
      <x:c r="H86" s="199"/>
      <x:c r="I86" s="199"/>
      <x:c r="J86" s="199"/>
      <x:c r="K86" s="199"/>
      <x:c r="L86" s="199"/>
      <x:c r="M86" s="198" t="str">
        <x:f t="shared" si="6"/>
      </x:c>
      <x:c r="N86" s="199"/>
      <x:c r="O86" s="199"/>
      <x:c r="P86" s="199"/>
      <x:c r="Q86" s="199"/>
      <x:c r="R86" s="199"/>
      <x:c r="S86" s="200"/>
      <x:c r="T86" s="199"/>
      <x:c r="U86" s="199"/>
      <x:c r="V86" s="199"/>
      <x:c r="W86" s="199"/>
      <x:c r="X86" s="198" t="str">
        <x:f t="shared" si="7"/>
      </x:c>
      <x:c r="Y86" s="199"/>
      <x:c r="Z86" s="199"/>
      <x:c r="AA86" s="198" t="str">
        <x:f t="shared" si="8"/>
      </x:c>
      <x:c r="AB86" s="197"/>
      <x:c r="AC86" s="197"/>
      <x:c r="AD86" s="197"/>
      <x:c r="AE86" s="196"/>
    </x:row>
    <x:row r="87">
      <x:c r="A87" s="197"/>
      <x:c r="B87" s="202"/>
      <x:c r="C87" s="201"/>
      <x:c r="D87" s="197"/>
      <x:c r="E87" s="197"/>
      <x:c r="F87" s="197"/>
      <x:c r="G87" s="199"/>
      <x:c r="H87" s="199"/>
      <x:c r="I87" s="199"/>
      <x:c r="J87" s="199"/>
      <x:c r="K87" s="199"/>
      <x:c r="L87" s="199"/>
      <x:c r="M87" s="198" t="str">
        <x:f t="shared" si="6"/>
      </x:c>
      <x:c r="N87" s="199"/>
      <x:c r="O87" s="199"/>
      <x:c r="P87" s="199"/>
      <x:c r="Q87" s="199"/>
      <x:c r="R87" s="199"/>
      <x:c r="S87" s="200"/>
      <x:c r="T87" s="199"/>
      <x:c r="U87" s="199"/>
      <x:c r="V87" s="199"/>
      <x:c r="W87" s="199"/>
      <x:c r="X87" s="198" t="str">
        <x:f t="shared" si="7"/>
      </x:c>
      <x:c r="Y87" s="199"/>
      <x:c r="Z87" s="199"/>
      <x:c r="AA87" s="198" t="str">
        <x:f t="shared" si="8"/>
      </x:c>
      <x:c r="AB87" s="197"/>
      <x:c r="AC87" s="197"/>
      <x:c r="AD87" s="197"/>
      <x:c r="AE87" s="196"/>
    </x:row>
    <x:row r="88">
      <x:c r="A88" s="197"/>
      <x:c r="B88" s="202"/>
      <x:c r="C88" s="201"/>
      <x:c r="D88" s="197"/>
      <x:c r="E88" s="197"/>
      <x:c r="F88" s="197"/>
      <x:c r="G88" s="199"/>
      <x:c r="H88" s="199"/>
      <x:c r="I88" s="199"/>
      <x:c r="J88" s="199"/>
      <x:c r="K88" s="199"/>
      <x:c r="L88" s="199"/>
      <x:c r="M88" s="198" t="str">
        <x:f t="shared" si="6"/>
      </x:c>
      <x:c r="N88" s="199"/>
      <x:c r="O88" s="199"/>
      <x:c r="P88" s="199"/>
      <x:c r="Q88" s="199"/>
      <x:c r="R88" s="199"/>
      <x:c r="S88" s="200"/>
      <x:c r="T88" s="199"/>
      <x:c r="U88" s="199"/>
      <x:c r="V88" s="199"/>
      <x:c r="W88" s="199"/>
      <x:c r="X88" s="198" t="str">
        <x:f t="shared" si="7"/>
      </x:c>
      <x:c r="Y88" s="199"/>
      <x:c r="Z88" s="199"/>
      <x:c r="AA88" s="198" t="str">
        <x:f t="shared" si="8"/>
      </x:c>
      <x:c r="AB88" s="197"/>
      <x:c r="AC88" s="197"/>
      <x:c r="AD88" s="197"/>
      <x:c r="AE88" s="196"/>
    </x:row>
    <x:row r="89">
      <x:c r="A89" s="197"/>
      <x:c r="B89" s="202"/>
      <x:c r="C89" s="201"/>
      <x:c r="D89" s="197"/>
      <x:c r="E89" s="197"/>
      <x:c r="F89" s="197"/>
      <x:c r="G89" s="199"/>
      <x:c r="H89" s="199"/>
      <x:c r="I89" s="199"/>
      <x:c r="J89" s="199"/>
      <x:c r="K89" s="199"/>
      <x:c r="L89" s="199"/>
      <x:c r="M89" s="198" t="str">
        <x:f t="shared" si="6"/>
      </x:c>
      <x:c r="N89" s="199"/>
      <x:c r="O89" s="199"/>
      <x:c r="P89" s="199"/>
      <x:c r="Q89" s="199"/>
      <x:c r="R89" s="199"/>
      <x:c r="S89" s="200"/>
      <x:c r="T89" s="199"/>
      <x:c r="U89" s="199"/>
      <x:c r="V89" s="199"/>
      <x:c r="W89" s="199"/>
      <x:c r="X89" s="198" t="str">
        <x:f t="shared" si="7"/>
      </x:c>
      <x:c r="Y89" s="199"/>
      <x:c r="Z89" s="199"/>
      <x:c r="AA89" s="198" t="str">
        <x:f t="shared" si="8"/>
      </x:c>
      <x:c r="AB89" s="197"/>
      <x:c r="AC89" s="197"/>
      <x:c r="AD89" s="197"/>
      <x:c r="AE89" s="196"/>
    </x:row>
    <x:row r="90">
      <x:c r="A90" s="197"/>
      <x:c r="B90" s="202"/>
      <x:c r="C90" s="201"/>
      <x:c r="D90" s="197"/>
      <x:c r="E90" s="197"/>
      <x:c r="F90" s="197"/>
      <x:c r="G90" s="199"/>
      <x:c r="H90" s="199"/>
      <x:c r="I90" s="199"/>
      <x:c r="J90" s="199"/>
      <x:c r="K90" s="199"/>
      <x:c r="L90" s="199"/>
      <x:c r="M90" s="198" t="str">
        <x:f t="shared" si="6"/>
      </x:c>
      <x:c r="N90" s="199"/>
      <x:c r="O90" s="199"/>
      <x:c r="P90" s="199"/>
      <x:c r="Q90" s="199"/>
      <x:c r="R90" s="199"/>
      <x:c r="S90" s="200"/>
      <x:c r="T90" s="199"/>
      <x:c r="U90" s="199"/>
      <x:c r="V90" s="199"/>
      <x:c r="W90" s="199"/>
      <x:c r="X90" s="198" t="str">
        <x:f t="shared" si="7"/>
      </x:c>
      <x:c r="Y90" s="199"/>
      <x:c r="Z90" s="199"/>
      <x:c r="AA90" s="198" t="str">
        <x:f t="shared" si="8"/>
      </x:c>
      <x:c r="AB90" s="197"/>
      <x:c r="AC90" s="197"/>
      <x:c r="AD90" s="197"/>
      <x:c r="AE90" s="196"/>
    </x:row>
    <x:row r="91">
      <x:c r="A91" s="197"/>
      <x:c r="B91" s="202"/>
      <x:c r="C91" s="201"/>
      <x:c r="D91" s="197"/>
      <x:c r="E91" s="197"/>
      <x:c r="F91" s="197"/>
      <x:c r="G91" s="199"/>
      <x:c r="H91" s="199"/>
      <x:c r="I91" s="199"/>
      <x:c r="J91" s="199"/>
      <x:c r="K91" s="199"/>
      <x:c r="L91" s="199"/>
      <x:c r="M91" s="198" t="str">
        <x:f t="shared" si="6"/>
      </x:c>
      <x:c r="N91" s="199"/>
      <x:c r="O91" s="199"/>
      <x:c r="P91" s="199"/>
      <x:c r="Q91" s="199"/>
      <x:c r="R91" s="199"/>
      <x:c r="S91" s="200"/>
      <x:c r="T91" s="199"/>
      <x:c r="U91" s="199"/>
      <x:c r="V91" s="199"/>
      <x:c r="W91" s="199"/>
      <x:c r="X91" s="198" t="str">
        <x:f t="shared" si="7"/>
      </x:c>
      <x:c r="Y91" s="199"/>
      <x:c r="Z91" s="199"/>
      <x:c r="AA91" s="198" t="str">
        <x:f t="shared" si="8"/>
      </x:c>
      <x:c r="AB91" s="197"/>
      <x:c r="AC91" s="197"/>
      <x:c r="AD91" s="197"/>
      <x:c r="AE91" s="196"/>
    </x:row>
    <x:row r="92">
      <x:c r="A92" s="197"/>
      <x:c r="B92" s="202"/>
      <x:c r="C92" s="201"/>
      <x:c r="D92" s="197"/>
      <x:c r="E92" s="197"/>
      <x:c r="F92" s="197"/>
      <x:c r="G92" s="199"/>
      <x:c r="H92" s="199"/>
      <x:c r="I92" s="199"/>
      <x:c r="J92" s="199"/>
      <x:c r="K92" s="199"/>
      <x:c r="L92" s="199"/>
      <x:c r="M92" s="198" t="str">
        <x:f t="shared" si="6"/>
      </x:c>
      <x:c r="N92" s="199"/>
      <x:c r="O92" s="199"/>
      <x:c r="P92" s="199"/>
      <x:c r="Q92" s="199"/>
      <x:c r="R92" s="199"/>
      <x:c r="S92" s="200"/>
      <x:c r="T92" s="199"/>
      <x:c r="U92" s="199"/>
      <x:c r="V92" s="199"/>
      <x:c r="W92" s="199"/>
      <x:c r="X92" s="198" t="str">
        <x:f t="shared" si="7"/>
      </x:c>
      <x:c r="Y92" s="199"/>
      <x:c r="Z92" s="199"/>
      <x:c r="AA92" s="198" t="str">
        <x:f t="shared" si="8"/>
      </x:c>
      <x:c r="AB92" s="197"/>
      <x:c r="AC92" s="197"/>
      <x:c r="AD92" s="197"/>
      <x:c r="AE92" s="196"/>
    </x:row>
    <x:row r="93">
      <x:c r="A93" s="197"/>
      <x:c r="B93" s="202"/>
      <x:c r="C93" s="201"/>
      <x:c r="D93" s="197"/>
      <x:c r="E93" s="197"/>
      <x:c r="F93" s="197"/>
      <x:c r="G93" s="199"/>
      <x:c r="H93" s="199"/>
      <x:c r="I93" s="199"/>
      <x:c r="J93" s="199"/>
      <x:c r="K93" s="199"/>
      <x:c r="L93" s="199"/>
      <x:c r="M93" s="198" t="str">
        <x:f t="shared" si="6"/>
      </x:c>
      <x:c r="N93" s="199"/>
      <x:c r="O93" s="199"/>
      <x:c r="P93" s="199"/>
      <x:c r="Q93" s="199"/>
      <x:c r="R93" s="199"/>
      <x:c r="S93" s="200"/>
      <x:c r="T93" s="199"/>
      <x:c r="U93" s="199"/>
      <x:c r="V93" s="199"/>
      <x:c r="W93" s="199"/>
      <x:c r="X93" s="198" t="str">
        <x:f t="shared" si="7"/>
      </x:c>
      <x:c r="Y93" s="199"/>
      <x:c r="Z93" s="199"/>
      <x:c r="AA93" s="198" t="str">
        <x:f t="shared" si="8"/>
      </x:c>
      <x:c r="AB93" s="197"/>
      <x:c r="AC93" s="197"/>
      <x:c r="AD93" s="197"/>
      <x:c r="AE93" s="196"/>
    </x:row>
    <x:row r="94">
      <x:c r="A94" s="197"/>
      <x:c r="B94" s="202"/>
      <x:c r="C94" s="201"/>
      <x:c r="D94" s="197"/>
      <x:c r="E94" s="197"/>
      <x:c r="F94" s="197"/>
      <x:c r="G94" s="199"/>
      <x:c r="H94" s="199"/>
      <x:c r="I94" s="199"/>
      <x:c r="J94" s="199"/>
      <x:c r="K94" s="199"/>
      <x:c r="L94" s="199"/>
      <x:c r="M94" s="198" t="str">
        <x:f t="shared" si="6"/>
      </x:c>
      <x:c r="N94" s="199"/>
      <x:c r="O94" s="199"/>
      <x:c r="P94" s="199"/>
      <x:c r="Q94" s="199"/>
      <x:c r="R94" s="199"/>
      <x:c r="S94" s="200"/>
      <x:c r="T94" s="199"/>
      <x:c r="U94" s="199"/>
      <x:c r="V94" s="199"/>
      <x:c r="W94" s="199"/>
      <x:c r="X94" s="198" t="str">
        <x:f t="shared" si="7"/>
      </x:c>
      <x:c r="Y94" s="199"/>
      <x:c r="Z94" s="199"/>
      <x:c r="AA94" s="198" t="str">
        <x:f t="shared" si="8"/>
      </x:c>
      <x:c r="AB94" s="197"/>
      <x:c r="AC94" s="197"/>
      <x:c r="AD94" s="197"/>
      <x:c r="AE94" s="196"/>
    </x:row>
    <x:row r="95">
      <x:c r="A95" s="197"/>
      <x:c r="B95" s="202"/>
      <x:c r="C95" s="201"/>
      <x:c r="D95" s="197"/>
      <x:c r="E95" s="197"/>
      <x:c r="F95" s="197"/>
      <x:c r="G95" s="199"/>
      <x:c r="H95" s="199"/>
      <x:c r="I95" s="199"/>
      <x:c r="J95" s="199"/>
      <x:c r="K95" s="199"/>
      <x:c r="L95" s="199"/>
      <x:c r="M95" s="198" t="str">
        <x:f t="shared" si="6"/>
      </x:c>
      <x:c r="N95" s="199"/>
      <x:c r="O95" s="199"/>
      <x:c r="P95" s="199"/>
      <x:c r="Q95" s="199"/>
      <x:c r="R95" s="199"/>
      <x:c r="S95" s="200"/>
      <x:c r="T95" s="199"/>
      <x:c r="U95" s="199"/>
      <x:c r="V95" s="199"/>
      <x:c r="W95" s="199"/>
      <x:c r="X95" s="198" t="str">
        <x:f t="shared" si="7"/>
      </x:c>
      <x:c r="Y95" s="199"/>
      <x:c r="Z95" s="199"/>
      <x:c r="AA95" s="198" t="str">
        <x:f t="shared" si="8"/>
      </x:c>
      <x:c r="AB95" s="197"/>
      <x:c r="AC95" s="197"/>
      <x:c r="AD95" s="197"/>
      <x:c r="AE95" s="196"/>
    </x:row>
    <x:row r="96">
      <x:c r="A96" s="197"/>
      <x:c r="B96" s="202"/>
      <x:c r="C96" s="201"/>
      <x:c r="D96" s="197"/>
      <x:c r="E96" s="197"/>
      <x:c r="F96" s="197"/>
      <x:c r="G96" s="199"/>
      <x:c r="H96" s="199"/>
      <x:c r="I96" s="199"/>
      <x:c r="J96" s="199"/>
      <x:c r="K96" s="199"/>
      <x:c r="L96" s="199"/>
      <x:c r="M96" s="198" t="str">
        <x:f t="shared" si="6"/>
      </x:c>
      <x:c r="N96" s="199"/>
      <x:c r="O96" s="199"/>
      <x:c r="P96" s="199"/>
      <x:c r="Q96" s="199"/>
      <x:c r="R96" s="199"/>
      <x:c r="S96" s="200"/>
      <x:c r="T96" s="199"/>
      <x:c r="U96" s="199"/>
      <x:c r="V96" s="199"/>
      <x:c r="W96" s="199"/>
      <x:c r="X96" s="198" t="str">
        <x:f t="shared" si="7"/>
      </x:c>
      <x:c r="Y96" s="199"/>
      <x:c r="Z96" s="199"/>
      <x:c r="AA96" s="198" t="str">
        <x:f t="shared" si="8"/>
      </x:c>
      <x:c r="AB96" s="197"/>
      <x:c r="AC96" s="197"/>
      <x:c r="AD96" s="197"/>
      <x:c r="AE96" s="196"/>
    </x:row>
    <x:row r="97">
      <x:c r="A97" s="197"/>
      <x:c r="B97" s="202"/>
      <x:c r="C97" s="201"/>
      <x:c r="D97" s="197"/>
      <x:c r="E97" s="197"/>
      <x:c r="F97" s="197"/>
      <x:c r="G97" s="199"/>
      <x:c r="H97" s="199"/>
      <x:c r="I97" s="199"/>
      <x:c r="J97" s="199"/>
      <x:c r="K97" s="199"/>
      <x:c r="L97" s="199"/>
      <x:c r="M97" s="198" t="str">
        <x:f t="shared" si="6"/>
      </x:c>
      <x:c r="N97" s="199"/>
      <x:c r="O97" s="199"/>
      <x:c r="P97" s="199"/>
      <x:c r="Q97" s="199"/>
      <x:c r="R97" s="199"/>
      <x:c r="S97" s="200"/>
      <x:c r="T97" s="199"/>
      <x:c r="U97" s="199"/>
      <x:c r="V97" s="199"/>
      <x:c r="W97" s="199"/>
      <x:c r="X97" s="198" t="str">
        <x:f t="shared" si="7"/>
      </x:c>
      <x:c r="Y97" s="199"/>
      <x:c r="Z97" s="199"/>
      <x:c r="AA97" s="198" t="str">
        <x:f t="shared" si="8"/>
      </x:c>
      <x:c r="AB97" s="197"/>
      <x:c r="AC97" s="197"/>
      <x:c r="AD97" s="197"/>
      <x:c r="AE97" s="196"/>
    </x:row>
    <x:row r="98">
      <x:c r="A98" s="197"/>
      <x:c r="B98" s="202"/>
      <x:c r="C98" s="201"/>
      <x:c r="D98" s="197"/>
      <x:c r="E98" s="197"/>
      <x:c r="F98" s="197"/>
      <x:c r="G98" s="199"/>
      <x:c r="H98" s="199"/>
      <x:c r="I98" s="199"/>
      <x:c r="J98" s="199"/>
      <x:c r="K98" s="199"/>
      <x:c r="L98" s="199"/>
      <x:c r="M98" s="198" t="str">
        <x:f t="shared" si="6"/>
      </x:c>
      <x:c r="N98" s="199"/>
      <x:c r="O98" s="199"/>
      <x:c r="P98" s="199"/>
      <x:c r="Q98" s="199"/>
      <x:c r="R98" s="199"/>
      <x:c r="S98" s="200"/>
      <x:c r="T98" s="199"/>
      <x:c r="U98" s="199"/>
      <x:c r="V98" s="199"/>
      <x:c r="W98" s="199"/>
      <x:c r="X98" s="198" t="str">
        <x:f t="shared" si="7"/>
      </x:c>
      <x:c r="Y98" s="199"/>
      <x:c r="Z98" s="199"/>
      <x:c r="AA98" s="198" t="str">
        <x:f t="shared" si="8"/>
      </x:c>
      <x:c r="AB98" s="197"/>
      <x:c r="AC98" s="197"/>
      <x:c r="AD98" s="197"/>
      <x:c r="AE98" s="196"/>
    </x:row>
    <x:row r="99">
      <x:c r="A99" s="197"/>
      <x:c r="B99" s="202"/>
      <x:c r="C99" s="201"/>
      <x:c r="D99" s="197"/>
      <x:c r="E99" s="197"/>
      <x:c r="F99" s="197"/>
      <x:c r="G99" s="199"/>
      <x:c r="H99" s="199"/>
      <x:c r="I99" s="199"/>
      <x:c r="J99" s="199"/>
      <x:c r="K99" s="199"/>
      <x:c r="L99" s="199"/>
      <x:c r="M99" s="198" t="str">
        <x:f t="shared" si="6"/>
      </x:c>
      <x:c r="N99" s="199"/>
      <x:c r="O99" s="199"/>
      <x:c r="P99" s="199"/>
      <x:c r="Q99" s="199"/>
      <x:c r="R99" s="199"/>
      <x:c r="S99" s="200"/>
      <x:c r="T99" s="199"/>
      <x:c r="U99" s="199"/>
      <x:c r="V99" s="199"/>
      <x:c r="W99" s="199"/>
      <x:c r="X99" s="198" t="str">
        <x:f t="shared" si="7"/>
      </x:c>
      <x:c r="Y99" s="199"/>
      <x:c r="Z99" s="199"/>
      <x:c r="AA99" s="198" t="str">
        <x:f t="shared" si="8"/>
      </x:c>
      <x:c r="AB99" s="197"/>
      <x:c r="AC99" s="197"/>
      <x:c r="AD99" s="197"/>
      <x:c r="AE99" s="196"/>
    </x:row>
    <x:row r="100">
      <x:c r="A100" s="197"/>
      <x:c r="B100" s="202"/>
      <x:c r="C100" s="201"/>
      <x:c r="D100" s="197"/>
      <x:c r="E100" s="197"/>
      <x:c r="F100" s="197"/>
      <x:c r="G100" s="199"/>
      <x:c r="H100" s="199"/>
      <x:c r="I100" s="199"/>
      <x:c r="J100" s="199"/>
      <x:c r="K100" s="199"/>
      <x:c r="L100" s="199"/>
      <x:c r="M100" s="198" t="str">
        <x:f t="shared" si="6"/>
      </x:c>
      <x:c r="N100" s="199"/>
      <x:c r="O100" s="199"/>
      <x:c r="P100" s="199"/>
      <x:c r="Q100" s="199"/>
      <x:c r="R100" s="199"/>
      <x:c r="S100" s="200"/>
      <x:c r="T100" s="199"/>
      <x:c r="U100" s="199"/>
      <x:c r="V100" s="199"/>
      <x:c r="W100" s="199"/>
      <x:c r="X100" s="198" t="str">
        <x:f t="shared" si="7"/>
      </x:c>
      <x:c r="Y100" s="199"/>
      <x:c r="Z100" s="199"/>
      <x:c r="AA100" s="198" t="str">
        <x:f t="shared" si="8"/>
      </x:c>
      <x:c r="AB100" s="197"/>
      <x:c r="AC100" s="197"/>
      <x:c r="AD100" s="197"/>
      <x:c r="AE100" s="196"/>
    </x:row>
    <x:row r="101">
      <x:c r="A101" s="197"/>
      <x:c r="B101" s="202"/>
      <x:c r="C101" s="201"/>
      <x:c r="D101" s="197"/>
      <x:c r="E101" s="197"/>
      <x:c r="F101" s="197"/>
      <x:c r="G101" s="199"/>
      <x:c r="H101" s="199"/>
      <x:c r="I101" s="199"/>
      <x:c r="J101" s="199"/>
      <x:c r="K101" s="199"/>
      <x:c r="L101" s="199"/>
      <x:c r="M101" s="198" t="str">
        <x:f t="shared" si="6"/>
      </x:c>
      <x:c r="N101" s="199"/>
      <x:c r="O101" s="199"/>
      <x:c r="P101" s="199"/>
      <x:c r="Q101" s="199"/>
      <x:c r="R101" s="199"/>
      <x:c r="S101" s="200"/>
      <x:c r="T101" s="199"/>
      <x:c r="U101" s="199"/>
      <x:c r="V101" s="199"/>
      <x:c r="W101" s="199"/>
      <x:c r="X101" s="198" t="str">
        <x:f t="shared" si="7"/>
      </x:c>
      <x:c r="Y101" s="199"/>
      <x:c r="Z101" s="199"/>
      <x:c r="AA101" s="198" t="str">
        <x:f t="shared" si="8"/>
      </x:c>
      <x:c r="AB101" s="197"/>
      <x:c r="AC101" s="197"/>
      <x:c r="AD101" s="197"/>
      <x:c r="AE101" s="196"/>
    </x:row>
    <x:row r="102">
      <x:c r="A102" s="197"/>
      <x:c r="B102" s="202"/>
      <x:c r="C102" s="201"/>
      <x:c r="D102" s="197"/>
      <x:c r="E102" s="197"/>
      <x:c r="F102" s="197"/>
      <x:c r="G102" s="199"/>
      <x:c r="H102" s="199"/>
      <x:c r="I102" s="199"/>
      <x:c r="J102" s="199"/>
      <x:c r="K102" s="199"/>
      <x:c r="L102" s="199"/>
      <x:c r="M102" s="198" t="str">
        <x:f t="shared" ref="M102:M133" si="9">IF(OR($A102="",$G102=0),"",$K102/$G102)</x:f>
      </x:c>
      <x:c r="N102" s="199"/>
      <x:c r="O102" s="199"/>
      <x:c r="P102" s="199"/>
      <x:c r="Q102" s="199"/>
      <x:c r="R102" s="199"/>
      <x:c r="S102" s="200"/>
      <x:c r="T102" s="199"/>
      <x:c r="U102" s="199"/>
      <x:c r="V102" s="199"/>
      <x:c r="W102" s="199"/>
      <x:c r="X102" s="198" t="str">
        <x:f t="shared" ref="X102:X133" si="10">IF(OR($A102="",$T102=0),"",$U102/$T102)</x:f>
      </x:c>
      <x:c r="Y102" s="199"/>
      <x:c r="Z102" s="199"/>
      <x:c r="AA102" s="198" t="str">
        <x:f t="shared" ref="AA102:AA133" si="11">IF(OR($A102="",$Y102=0),"",$Z102/$Y102)</x:f>
      </x:c>
      <x:c r="AB102" s="197"/>
      <x:c r="AC102" s="197"/>
      <x:c r="AD102" s="197"/>
      <x:c r="AE102" s="196"/>
    </x:row>
    <x:row r="103">
      <x:c r="A103" s="197"/>
      <x:c r="B103" s="202"/>
      <x:c r="C103" s="201"/>
      <x:c r="D103" s="197"/>
      <x:c r="E103" s="197"/>
      <x:c r="F103" s="197"/>
      <x:c r="G103" s="199"/>
      <x:c r="H103" s="199"/>
      <x:c r="I103" s="199"/>
      <x:c r="J103" s="199"/>
      <x:c r="K103" s="199"/>
      <x:c r="L103" s="199"/>
      <x:c r="M103" s="198" t="str">
        <x:f t="shared" si="9"/>
      </x:c>
      <x:c r="N103" s="199"/>
      <x:c r="O103" s="199"/>
      <x:c r="P103" s="199"/>
      <x:c r="Q103" s="199"/>
      <x:c r="R103" s="199"/>
      <x:c r="S103" s="200"/>
      <x:c r="T103" s="199"/>
      <x:c r="U103" s="199"/>
      <x:c r="V103" s="199"/>
      <x:c r="W103" s="199"/>
      <x:c r="X103" s="198" t="str">
        <x:f t="shared" si="10"/>
      </x:c>
      <x:c r="Y103" s="199"/>
      <x:c r="Z103" s="199"/>
      <x:c r="AA103" s="198" t="str">
        <x:f t="shared" si="11"/>
      </x:c>
      <x:c r="AB103" s="197"/>
      <x:c r="AC103" s="197"/>
      <x:c r="AD103" s="197"/>
      <x:c r="AE103" s="196"/>
    </x:row>
    <x:row r="104">
      <x:c r="A104" s="197"/>
      <x:c r="B104" s="202"/>
      <x:c r="C104" s="201"/>
      <x:c r="D104" s="197"/>
      <x:c r="E104" s="197"/>
      <x:c r="F104" s="197"/>
      <x:c r="G104" s="199"/>
      <x:c r="H104" s="199"/>
      <x:c r="I104" s="199"/>
      <x:c r="J104" s="199"/>
      <x:c r="K104" s="199"/>
      <x:c r="L104" s="199"/>
      <x:c r="M104" s="198" t="str">
        <x:f t="shared" si="9"/>
      </x:c>
      <x:c r="N104" s="199"/>
      <x:c r="O104" s="199"/>
      <x:c r="P104" s="199"/>
      <x:c r="Q104" s="199"/>
      <x:c r="R104" s="199"/>
      <x:c r="S104" s="200"/>
      <x:c r="T104" s="199"/>
      <x:c r="U104" s="199"/>
      <x:c r="V104" s="199"/>
      <x:c r="W104" s="199"/>
      <x:c r="X104" s="198" t="str">
        <x:f t="shared" si="10"/>
      </x:c>
      <x:c r="Y104" s="199"/>
      <x:c r="Z104" s="199"/>
      <x:c r="AA104" s="198" t="str">
        <x:f t="shared" si="11"/>
      </x:c>
      <x:c r="AB104" s="197"/>
      <x:c r="AC104" s="197"/>
      <x:c r="AD104" s="197"/>
      <x:c r="AE104" s="196"/>
    </x:row>
    <x:row r="105">
      <x:c r="A105" s="197"/>
      <x:c r="B105" s="202"/>
      <x:c r="C105" s="201"/>
      <x:c r="D105" s="197"/>
      <x:c r="E105" s="197"/>
      <x:c r="F105" s="197"/>
      <x:c r="G105" s="199"/>
      <x:c r="H105" s="199"/>
      <x:c r="I105" s="199"/>
      <x:c r="J105" s="199"/>
      <x:c r="K105" s="199"/>
      <x:c r="L105" s="199"/>
      <x:c r="M105" s="198" t="str">
        <x:f t="shared" si="9"/>
      </x:c>
      <x:c r="N105" s="199"/>
      <x:c r="O105" s="199"/>
      <x:c r="P105" s="199"/>
      <x:c r="Q105" s="199"/>
      <x:c r="R105" s="199"/>
      <x:c r="S105" s="200"/>
      <x:c r="T105" s="199"/>
      <x:c r="U105" s="199"/>
      <x:c r="V105" s="199"/>
      <x:c r="W105" s="199"/>
      <x:c r="X105" s="198" t="str">
        <x:f t="shared" si="10"/>
      </x:c>
      <x:c r="Y105" s="199"/>
      <x:c r="Z105" s="199"/>
      <x:c r="AA105" s="198" t="str">
        <x:f t="shared" si="11"/>
      </x:c>
      <x:c r="AB105" s="197"/>
      <x:c r="AC105" s="197"/>
      <x:c r="AD105" s="197"/>
      <x:c r="AE105" s="196"/>
    </x:row>
    <x:row r="106">
      <x:c r="A106" s="197"/>
      <x:c r="B106" s="202"/>
      <x:c r="C106" s="201"/>
      <x:c r="D106" s="197"/>
      <x:c r="E106" s="197"/>
      <x:c r="F106" s="197"/>
      <x:c r="G106" s="199"/>
      <x:c r="H106" s="199"/>
      <x:c r="I106" s="199"/>
      <x:c r="J106" s="199"/>
      <x:c r="K106" s="199"/>
      <x:c r="L106" s="199"/>
      <x:c r="M106" s="198" t="str">
        <x:f t="shared" si="9"/>
      </x:c>
      <x:c r="N106" s="199"/>
      <x:c r="O106" s="199"/>
      <x:c r="P106" s="199"/>
      <x:c r="Q106" s="199"/>
      <x:c r="R106" s="199"/>
      <x:c r="S106" s="200"/>
      <x:c r="T106" s="199"/>
      <x:c r="U106" s="199"/>
      <x:c r="V106" s="199"/>
      <x:c r="W106" s="199"/>
      <x:c r="X106" s="198" t="str">
        <x:f t="shared" si="10"/>
      </x:c>
      <x:c r="Y106" s="199"/>
      <x:c r="Z106" s="199"/>
      <x:c r="AA106" s="198" t="str">
        <x:f t="shared" si="11"/>
      </x:c>
      <x:c r="AB106" s="197"/>
      <x:c r="AC106" s="197"/>
      <x:c r="AD106" s="197"/>
      <x:c r="AE106" s="196"/>
    </x:row>
    <x:row r="107">
      <x:c r="A107" s="197"/>
      <x:c r="B107" s="202"/>
      <x:c r="C107" s="201"/>
      <x:c r="D107" s="197"/>
      <x:c r="E107" s="197"/>
      <x:c r="F107" s="197"/>
      <x:c r="G107" s="199"/>
      <x:c r="H107" s="199"/>
      <x:c r="I107" s="199"/>
      <x:c r="J107" s="199"/>
      <x:c r="K107" s="199"/>
      <x:c r="L107" s="199"/>
      <x:c r="M107" s="198" t="str">
        <x:f t="shared" si="9"/>
      </x:c>
      <x:c r="N107" s="199"/>
      <x:c r="O107" s="199"/>
      <x:c r="P107" s="199"/>
      <x:c r="Q107" s="199"/>
      <x:c r="R107" s="199"/>
      <x:c r="S107" s="200"/>
      <x:c r="T107" s="199"/>
      <x:c r="U107" s="199"/>
      <x:c r="V107" s="199"/>
      <x:c r="W107" s="199"/>
      <x:c r="X107" s="198" t="str">
        <x:f t="shared" si="10"/>
      </x:c>
      <x:c r="Y107" s="199"/>
      <x:c r="Z107" s="199"/>
      <x:c r="AA107" s="198" t="str">
        <x:f t="shared" si="11"/>
      </x:c>
      <x:c r="AB107" s="197"/>
      <x:c r="AC107" s="197"/>
      <x:c r="AD107" s="197"/>
      <x:c r="AE107" s="196"/>
    </x:row>
    <x:row r="108">
      <x:c r="A108" s="197"/>
      <x:c r="B108" s="202"/>
      <x:c r="C108" s="201"/>
      <x:c r="D108" s="197"/>
      <x:c r="E108" s="197"/>
      <x:c r="F108" s="197"/>
      <x:c r="G108" s="199"/>
      <x:c r="H108" s="199"/>
      <x:c r="I108" s="199"/>
      <x:c r="J108" s="199"/>
      <x:c r="K108" s="199"/>
      <x:c r="L108" s="199"/>
      <x:c r="M108" s="198" t="str">
        <x:f t="shared" si="9"/>
      </x:c>
      <x:c r="N108" s="199"/>
      <x:c r="O108" s="199"/>
      <x:c r="P108" s="199"/>
      <x:c r="Q108" s="199"/>
      <x:c r="R108" s="199"/>
      <x:c r="S108" s="200"/>
      <x:c r="T108" s="199"/>
      <x:c r="U108" s="199"/>
      <x:c r="V108" s="199"/>
      <x:c r="W108" s="199"/>
      <x:c r="X108" s="198" t="str">
        <x:f t="shared" si="10"/>
      </x:c>
      <x:c r="Y108" s="199"/>
      <x:c r="Z108" s="199"/>
      <x:c r="AA108" s="198" t="str">
        <x:f t="shared" si="11"/>
      </x:c>
      <x:c r="AB108" s="197"/>
      <x:c r="AC108" s="197"/>
      <x:c r="AD108" s="197"/>
      <x:c r="AE108" s="196"/>
    </x:row>
    <x:row r="109">
      <x:c r="A109" s="197"/>
      <x:c r="B109" s="202"/>
      <x:c r="C109" s="201"/>
      <x:c r="D109" s="197"/>
      <x:c r="E109" s="197"/>
      <x:c r="F109" s="197"/>
      <x:c r="G109" s="199"/>
      <x:c r="H109" s="199"/>
      <x:c r="I109" s="199"/>
      <x:c r="J109" s="199"/>
      <x:c r="K109" s="199"/>
      <x:c r="L109" s="199"/>
      <x:c r="M109" s="198" t="str">
        <x:f t="shared" si="9"/>
      </x:c>
      <x:c r="N109" s="199"/>
      <x:c r="O109" s="199"/>
      <x:c r="P109" s="199"/>
      <x:c r="Q109" s="199"/>
      <x:c r="R109" s="199"/>
      <x:c r="S109" s="200"/>
      <x:c r="T109" s="199"/>
      <x:c r="U109" s="199"/>
      <x:c r="V109" s="199"/>
      <x:c r="W109" s="199"/>
      <x:c r="X109" s="198" t="str">
        <x:f t="shared" si="10"/>
      </x:c>
      <x:c r="Y109" s="199"/>
      <x:c r="Z109" s="199"/>
      <x:c r="AA109" s="198" t="str">
        <x:f t="shared" si="11"/>
      </x:c>
      <x:c r="AB109" s="197"/>
      <x:c r="AC109" s="197"/>
      <x:c r="AD109" s="197"/>
      <x:c r="AE109" s="196"/>
    </x:row>
    <x:row r="110">
      <x:c r="A110" s="197"/>
      <x:c r="B110" s="202"/>
      <x:c r="C110" s="201"/>
      <x:c r="D110" s="197"/>
      <x:c r="E110" s="197"/>
      <x:c r="F110" s="197"/>
      <x:c r="G110" s="199"/>
      <x:c r="H110" s="199"/>
      <x:c r="I110" s="199"/>
      <x:c r="J110" s="199"/>
      <x:c r="K110" s="199"/>
      <x:c r="L110" s="199"/>
      <x:c r="M110" s="198" t="str">
        <x:f t="shared" si="9"/>
      </x:c>
      <x:c r="N110" s="199"/>
      <x:c r="O110" s="199"/>
      <x:c r="P110" s="199"/>
      <x:c r="Q110" s="199"/>
      <x:c r="R110" s="199"/>
      <x:c r="S110" s="200"/>
      <x:c r="T110" s="199"/>
      <x:c r="U110" s="199"/>
      <x:c r="V110" s="199"/>
      <x:c r="W110" s="199"/>
      <x:c r="X110" s="198" t="str">
        <x:f t="shared" si="10"/>
      </x:c>
      <x:c r="Y110" s="199"/>
      <x:c r="Z110" s="199"/>
      <x:c r="AA110" s="198" t="str">
        <x:f t="shared" si="11"/>
      </x:c>
      <x:c r="AB110" s="197"/>
      <x:c r="AC110" s="197"/>
      <x:c r="AD110" s="197"/>
      <x:c r="AE110" s="196"/>
    </x:row>
    <x:row r="111">
      <x:c r="A111" s="197"/>
      <x:c r="B111" s="202"/>
      <x:c r="C111" s="201"/>
      <x:c r="D111" s="197"/>
      <x:c r="E111" s="197"/>
      <x:c r="F111" s="197"/>
      <x:c r="G111" s="199"/>
      <x:c r="H111" s="199"/>
      <x:c r="I111" s="199"/>
      <x:c r="J111" s="199"/>
      <x:c r="K111" s="199"/>
      <x:c r="L111" s="199"/>
      <x:c r="M111" s="198" t="str">
        <x:f t="shared" si="9"/>
      </x:c>
      <x:c r="N111" s="199"/>
      <x:c r="O111" s="199"/>
      <x:c r="P111" s="199"/>
      <x:c r="Q111" s="199"/>
      <x:c r="R111" s="199"/>
      <x:c r="S111" s="200"/>
      <x:c r="T111" s="199"/>
      <x:c r="U111" s="199"/>
      <x:c r="V111" s="199"/>
      <x:c r="W111" s="199"/>
      <x:c r="X111" s="198" t="str">
        <x:f t="shared" si="10"/>
      </x:c>
      <x:c r="Y111" s="199"/>
      <x:c r="Z111" s="199"/>
      <x:c r="AA111" s="198" t="str">
        <x:f t="shared" si="11"/>
      </x:c>
      <x:c r="AB111" s="197"/>
      <x:c r="AC111" s="197"/>
      <x:c r="AD111" s="197"/>
      <x:c r="AE111" s="196"/>
    </x:row>
    <x:row r="112">
      <x:c r="A112" s="197"/>
      <x:c r="B112" s="202"/>
      <x:c r="C112" s="201"/>
      <x:c r="D112" s="197"/>
      <x:c r="E112" s="197"/>
      <x:c r="F112" s="197"/>
      <x:c r="G112" s="199"/>
      <x:c r="H112" s="199"/>
      <x:c r="I112" s="199"/>
      <x:c r="J112" s="199"/>
      <x:c r="K112" s="199"/>
      <x:c r="L112" s="199"/>
      <x:c r="M112" s="198" t="str">
        <x:f t="shared" si="9"/>
      </x:c>
      <x:c r="N112" s="199"/>
      <x:c r="O112" s="199"/>
      <x:c r="P112" s="199"/>
      <x:c r="Q112" s="199"/>
      <x:c r="R112" s="199"/>
      <x:c r="S112" s="200"/>
      <x:c r="T112" s="199"/>
      <x:c r="U112" s="199"/>
      <x:c r="V112" s="199"/>
      <x:c r="W112" s="199"/>
      <x:c r="X112" s="198" t="str">
        <x:f t="shared" si="10"/>
      </x:c>
      <x:c r="Y112" s="199"/>
      <x:c r="Z112" s="199"/>
      <x:c r="AA112" s="198" t="str">
        <x:f t="shared" si="11"/>
      </x:c>
      <x:c r="AB112" s="197"/>
      <x:c r="AC112" s="197"/>
      <x:c r="AD112" s="197"/>
      <x:c r="AE112" s="196"/>
    </x:row>
    <x:row r="113">
      <x:c r="A113" s="197"/>
      <x:c r="B113" s="202"/>
      <x:c r="C113" s="201"/>
      <x:c r="D113" s="197"/>
      <x:c r="E113" s="197"/>
      <x:c r="F113" s="197"/>
      <x:c r="G113" s="199"/>
      <x:c r="H113" s="199"/>
      <x:c r="I113" s="199"/>
      <x:c r="J113" s="199"/>
      <x:c r="K113" s="199"/>
      <x:c r="L113" s="199"/>
      <x:c r="M113" s="198" t="str">
        <x:f t="shared" si="9"/>
      </x:c>
      <x:c r="N113" s="199"/>
      <x:c r="O113" s="199"/>
      <x:c r="P113" s="199"/>
      <x:c r="Q113" s="199"/>
      <x:c r="R113" s="199"/>
      <x:c r="S113" s="200"/>
      <x:c r="T113" s="199"/>
      <x:c r="U113" s="199"/>
      <x:c r="V113" s="199"/>
      <x:c r="W113" s="199"/>
      <x:c r="X113" s="198" t="str">
        <x:f t="shared" si="10"/>
      </x:c>
      <x:c r="Y113" s="199"/>
      <x:c r="Z113" s="199"/>
      <x:c r="AA113" s="198" t="str">
        <x:f t="shared" si="11"/>
      </x:c>
      <x:c r="AB113" s="197"/>
      <x:c r="AC113" s="197"/>
      <x:c r="AD113" s="197"/>
      <x:c r="AE113" s="196"/>
    </x:row>
    <x:row r="114">
      <x:c r="A114" s="197"/>
      <x:c r="B114" s="202"/>
      <x:c r="C114" s="201"/>
      <x:c r="D114" s="197"/>
      <x:c r="E114" s="197"/>
      <x:c r="F114" s="197"/>
      <x:c r="G114" s="199"/>
      <x:c r="H114" s="199"/>
      <x:c r="I114" s="199"/>
      <x:c r="J114" s="199"/>
      <x:c r="K114" s="199"/>
      <x:c r="L114" s="199"/>
      <x:c r="M114" s="198" t="str">
        <x:f t="shared" si="9"/>
      </x:c>
      <x:c r="N114" s="199"/>
      <x:c r="O114" s="199"/>
      <x:c r="P114" s="199"/>
      <x:c r="Q114" s="199"/>
      <x:c r="R114" s="199"/>
      <x:c r="S114" s="200"/>
      <x:c r="T114" s="199"/>
      <x:c r="U114" s="199"/>
      <x:c r="V114" s="199"/>
      <x:c r="W114" s="199"/>
      <x:c r="X114" s="198" t="str">
        <x:f t="shared" si="10"/>
      </x:c>
      <x:c r="Y114" s="199"/>
      <x:c r="Z114" s="199"/>
      <x:c r="AA114" s="198" t="str">
        <x:f t="shared" si="11"/>
      </x:c>
      <x:c r="AB114" s="197"/>
      <x:c r="AC114" s="197"/>
      <x:c r="AD114" s="197"/>
      <x:c r="AE114" s="196"/>
    </x:row>
    <x:row r="115">
      <x:c r="A115" s="197"/>
      <x:c r="B115" s="202"/>
      <x:c r="C115" s="201"/>
      <x:c r="D115" s="197"/>
      <x:c r="E115" s="197"/>
      <x:c r="F115" s="197"/>
      <x:c r="G115" s="199"/>
      <x:c r="H115" s="199"/>
      <x:c r="I115" s="199"/>
      <x:c r="J115" s="199"/>
      <x:c r="K115" s="199"/>
      <x:c r="L115" s="199"/>
      <x:c r="M115" s="198" t="str">
        <x:f t="shared" si="9"/>
      </x:c>
      <x:c r="N115" s="199"/>
      <x:c r="O115" s="199"/>
      <x:c r="P115" s="199"/>
      <x:c r="Q115" s="199"/>
      <x:c r="R115" s="199"/>
      <x:c r="S115" s="200"/>
      <x:c r="T115" s="199"/>
      <x:c r="U115" s="199"/>
      <x:c r="V115" s="199"/>
      <x:c r="W115" s="199"/>
      <x:c r="X115" s="198" t="str">
        <x:f t="shared" si="10"/>
      </x:c>
      <x:c r="Y115" s="199"/>
      <x:c r="Z115" s="199"/>
      <x:c r="AA115" s="198" t="str">
        <x:f t="shared" si="11"/>
      </x:c>
      <x:c r="AB115" s="197"/>
      <x:c r="AC115" s="197"/>
      <x:c r="AD115" s="197"/>
      <x:c r="AE115" s="196"/>
    </x:row>
    <x:row r="116">
      <x:c r="A116" s="197"/>
      <x:c r="B116" s="202"/>
      <x:c r="C116" s="201"/>
      <x:c r="D116" s="197"/>
      <x:c r="E116" s="197"/>
      <x:c r="F116" s="197"/>
      <x:c r="G116" s="199"/>
      <x:c r="H116" s="199"/>
      <x:c r="I116" s="199"/>
      <x:c r="J116" s="199"/>
      <x:c r="K116" s="199"/>
      <x:c r="L116" s="199"/>
      <x:c r="M116" s="198" t="str">
        <x:f t="shared" si="9"/>
      </x:c>
      <x:c r="N116" s="199"/>
      <x:c r="O116" s="199"/>
      <x:c r="P116" s="199"/>
      <x:c r="Q116" s="199"/>
      <x:c r="R116" s="199"/>
      <x:c r="S116" s="200"/>
      <x:c r="T116" s="199"/>
      <x:c r="U116" s="199"/>
      <x:c r="V116" s="199"/>
      <x:c r="W116" s="199"/>
      <x:c r="X116" s="198" t="str">
        <x:f t="shared" si="10"/>
      </x:c>
      <x:c r="Y116" s="199"/>
      <x:c r="Z116" s="199"/>
      <x:c r="AA116" s="198" t="str">
        <x:f t="shared" si="11"/>
      </x:c>
      <x:c r="AB116" s="197"/>
      <x:c r="AC116" s="197"/>
      <x:c r="AD116" s="197"/>
      <x:c r="AE116" s="196"/>
    </x:row>
    <x:row r="117">
      <x:c r="A117" s="197"/>
      <x:c r="B117" s="202"/>
      <x:c r="C117" s="201"/>
      <x:c r="D117" s="197"/>
      <x:c r="E117" s="197"/>
      <x:c r="F117" s="197"/>
      <x:c r="G117" s="199"/>
      <x:c r="H117" s="199"/>
      <x:c r="I117" s="199"/>
      <x:c r="J117" s="199"/>
      <x:c r="K117" s="199"/>
      <x:c r="L117" s="199"/>
      <x:c r="M117" s="198" t="str">
        <x:f t="shared" si="9"/>
      </x:c>
      <x:c r="N117" s="199"/>
      <x:c r="O117" s="199"/>
      <x:c r="P117" s="199"/>
      <x:c r="Q117" s="199"/>
      <x:c r="R117" s="199"/>
      <x:c r="S117" s="200"/>
      <x:c r="T117" s="199"/>
      <x:c r="U117" s="199"/>
      <x:c r="V117" s="199"/>
      <x:c r="W117" s="199"/>
      <x:c r="X117" s="198" t="str">
        <x:f t="shared" si="10"/>
      </x:c>
      <x:c r="Y117" s="199"/>
      <x:c r="Z117" s="199"/>
      <x:c r="AA117" s="198" t="str">
        <x:f t="shared" si="11"/>
      </x:c>
      <x:c r="AB117" s="197"/>
      <x:c r="AC117" s="197"/>
      <x:c r="AD117" s="197"/>
      <x:c r="AE117" s="196"/>
    </x:row>
    <x:row r="118">
      <x:c r="A118" s="197"/>
      <x:c r="B118" s="202"/>
      <x:c r="C118" s="201"/>
      <x:c r="D118" s="197"/>
      <x:c r="E118" s="197"/>
      <x:c r="F118" s="197"/>
      <x:c r="G118" s="199"/>
      <x:c r="H118" s="199"/>
      <x:c r="I118" s="199"/>
      <x:c r="J118" s="199"/>
      <x:c r="K118" s="199"/>
      <x:c r="L118" s="199"/>
      <x:c r="M118" s="198" t="str">
        <x:f t="shared" si="9"/>
      </x:c>
      <x:c r="N118" s="199"/>
      <x:c r="O118" s="199"/>
      <x:c r="P118" s="199"/>
      <x:c r="Q118" s="199"/>
      <x:c r="R118" s="199"/>
      <x:c r="S118" s="200"/>
      <x:c r="T118" s="199"/>
      <x:c r="U118" s="199"/>
      <x:c r="V118" s="199"/>
      <x:c r="W118" s="199"/>
      <x:c r="X118" s="198" t="str">
        <x:f t="shared" si="10"/>
      </x:c>
      <x:c r="Y118" s="199"/>
      <x:c r="Z118" s="199"/>
      <x:c r="AA118" s="198" t="str">
        <x:f t="shared" si="11"/>
      </x:c>
      <x:c r="AB118" s="197"/>
      <x:c r="AC118" s="197"/>
      <x:c r="AD118" s="197"/>
      <x:c r="AE118" s="196"/>
    </x:row>
    <x:row r="119">
      <x:c r="A119" s="197"/>
      <x:c r="B119" s="202"/>
      <x:c r="C119" s="201"/>
      <x:c r="D119" s="197"/>
      <x:c r="E119" s="197"/>
      <x:c r="F119" s="197"/>
      <x:c r="G119" s="199"/>
      <x:c r="H119" s="199"/>
      <x:c r="I119" s="199"/>
      <x:c r="J119" s="199"/>
      <x:c r="K119" s="199"/>
      <x:c r="L119" s="199"/>
      <x:c r="M119" s="198" t="str">
        <x:f t="shared" si="9"/>
      </x:c>
      <x:c r="N119" s="199"/>
      <x:c r="O119" s="199"/>
      <x:c r="P119" s="199"/>
      <x:c r="Q119" s="199"/>
      <x:c r="R119" s="199"/>
      <x:c r="S119" s="200"/>
      <x:c r="T119" s="199"/>
      <x:c r="U119" s="199"/>
      <x:c r="V119" s="199"/>
      <x:c r="W119" s="199"/>
      <x:c r="X119" s="198" t="str">
        <x:f t="shared" si="10"/>
      </x:c>
      <x:c r="Y119" s="199"/>
      <x:c r="Z119" s="199"/>
      <x:c r="AA119" s="198" t="str">
        <x:f t="shared" si="11"/>
      </x:c>
      <x:c r="AB119" s="197"/>
      <x:c r="AC119" s="197"/>
      <x:c r="AD119" s="197"/>
      <x:c r="AE119" s="196"/>
    </x:row>
    <x:row r="120">
      <x:c r="A120" s="197"/>
      <x:c r="B120" s="202"/>
      <x:c r="C120" s="201"/>
      <x:c r="D120" s="197"/>
      <x:c r="E120" s="197"/>
      <x:c r="F120" s="197"/>
      <x:c r="G120" s="199"/>
      <x:c r="H120" s="199"/>
      <x:c r="I120" s="199"/>
      <x:c r="J120" s="199"/>
      <x:c r="K120" s="199"/>
      <x:c r="L120" s="199"/>
      <x:c r="M120" s="198" t="str">
        <x:f t="shared" si="9"/>
      </x:c>
      <x:c r="N120" s="199"/>
      <x:c r="O120" s="199"/>
      <x:c r="P120" s="199"/>
      <x:c r="Q120" s="199"/>
      <x:c r="R120" s="199"/>
      <x:c r="S120" s="200"/>
      <x:c r="T120" s="199"/>
      <x:c r="U120" s="199"/>
      <x:c r="V120" s="199"/>
      <x:c r="W120" s="199"/>
      <x:c r="X120" s="198" t="str">
        <x:f t="shared" si="10"/>
      </x:c>
      <x:c r="Y120" s="199"/>
      <x:c r="Z120" s="199"/>
      <x:c r="AA120" s="198" t="str">
        <x:f t="shared" si="11"/>
      </x:c>
      <x:c r="AB120" s="197"/>
      <x:c r="AC120" s="197"/>
      <x:c r="AD120" s="197"/>
      <x:c r="AE120" s="196"/>
    </x:row>
    <x:row r="121">
      <x:c r="A121" s="197"/>
      <x:c r="B121" s="202"/>
      <x:c r="C121" s="201"/>
      <x:c r="D121" s="197"/>
      <x:c r="E121" s="197"/>
      <x:c r="F121" s="197"/>
      <x:c r="G121" s="199"/>
      <x:c r="H121" s="199"/>
      <x:c r="I121" s="199"/>
      <x:c r="J121" s="199"/>
      <x:c r="K121" s="199"/>
      <x:c r="L121" s="199"/>
      <x:c r="M121" s="198" t="str">
        <x:f t="shared" si="9"/>
      </x:c>
      <x:c r="N121" s="199"/>
      <x:c r="O121" s="199"/>
      <x:c r="P121" s="199"/>
      <x:c r="Q121" s="199"/>
      <x:c r="R121" s="199"/>
      <x:c r="S121" s="200"/>
      <x:c r="T121" s="199"/>
      <x:c r="U121" s="199"/>
      <x:c r="V121" s="199"/>
      <x:c r="W121" s="199"/>
      <x:c r="X121" s="198" t="str">
        <x:f t="shared" si="10"/>
      </x:c>
      <x:c r="Y121" s="199"/>
      <x:c r="Z121" s="199"/>
      <x:c r="AA121" s="198" t="str">
        <x:f t="shared" si="11"/>
      </x:c>
      <x:c r="AB121" s="197"/>
      <x:c r="AC121" s="197"/>
      <x:c r="AD121" s="197"/>
      <x:c r="AE121" s="196"/>
    </x:row>
    <x:row r="122">
      <x:c r="A122" s="197"/>
      <x:c r="B122" s="202"/>
      <x:c r="C122" s="201"/>
      <x:c r="D122" s="197"/>
      <x:c r="E122" s="197"/>
      <x:c r="F122" s="197"/>
      <x:c r="G122" s="199"/>
      <x:c r="H122" s="199"/>
      <x:c r="I122" s="199"/>
      <x:c r="J122" s="199"/>
      <x:c r="K122" s="199"/>
      <x:c r="L122" s="199"/>
      <x:c r="M122" s="198" t="str">
        <x:f t="shared" si="9"/>
      </x:c>
      <x:c r="N122" s="199"/>
      <x:c r="O122" s="199"/>
      <x:c r="P122" s="199"/>
      <x:c r="Q122" s="199"/>
      <x:c r="R122" s="199"/>
      <x:c r="S122" s="200"/>
      <x:c r="T122" s="199"/>
      <x:c r="U122" s="199"/>
      <x:c r="V122" s="199"/>
      <x:c r="W122" s="199"/>
      <x:c r="X122" s="198" t="str">
        <x:f t="shared" si="10"/>
      </x:c>
      <x:c r="Y122" s="199"/>
      <x:c r="Z122" s="199"/>
      <x:c r="AA122" s="198" t="str">
        <x:f t="shared" si="11"/>
      </x:c>
      <x:c r="AB122" s="197"/>
      <x:c r="AC122" s="197"/>
      <x:c r="AD122" s="197"/>
      <x:c r="AE122" s="196"/>
    </x:row>
    <x:row r="123">
      <x:c r="A123" s="197"/>
      <x:c r="B123" s="202"/>
      <x:c r="C123" s="201"/>
      <x:c r="D123" s="197"/>
      <x:c r="E123" s="197"/>
      <x:c r="F123" s="197"/>
      <x:c r="G123" s="199"/>
      <x:c r="H123" s="199"/>
      <x:c r="I123" s="199"/>
      <x:c r="J123" s="199"/>
      <x:c r="K123" s="199"/>
      <x:c r="L123" s="199"/>
      <x:c r="M123" s="198" t="str">
        <x:f t="shared" si="9"/>
      </x:c>
      <x:c r="N123" s="199"/>
      <x:c r="O123" s="199"/>
      <x:c r="P123" s="199"/>
      <x:c r="Q123" s="199"/>
      <x:c r="R123" s="199"/>
      <x:c r="S123" s="200"/>
      <x:c r="T123" s="199"/>
      <x:c r="U123" s="199"/>
      <x:c r="V123" s="199"/>
      <x:c r="W123" s="199"/>
      <x:c r="X123" s="198" t="str">
        <x:f t="shared" si="10"/>
      </x:c>
      <x:c r="Y123" s="199"/>
      <x:c r="Z123" s="199"/>
      <x:c r="AA123" s="198" t="str">
        <x:f t="shared" si="11"/>
      </x:c>
      <x:c r="AB123" s="197"/>
      <x:c r="AC123" s="197"/>
      <x:c r="AD123" s="197"/>
      <x:c r="AE123" s="196"/>
    </x:row>
    <x:row r="124">
      <x:c r="A124" s="197"/>
      <x:c r="B124" s="202"/>
      <x:c r="C124" s="201"/>
      <x:c r="D124" s="197"/>
      <x:c r="E124" s="197"/>
      <x:c r="F124" s="197"/>
      <x:c r="G124" s="199"/>
      <x:c r="H124" s="199"/>
      <x:c r="I124" s="199"/>
      <x:c r="J124" s="199"/>
      <x:c r="K124" s="199"/>
      <x:c r="L124" s="199"/>
      <x:c r="M124" s="198" t="str">
        <x:f t="shared" si="9"/>
      </x:c>
      <x:c r="N124" s="199"/>
      <x:c r="O124" s="199"/>
      <x:c r="P124" s="199"/>
      <x:c r="Q124" s="199"/>
      <x:c r="R124" s="199"/>
      <x:c r="S124" s="200"/>
      <x:c r="T124" s="199"/>
      <x:c r="U124" s="199"/>
      <x:c r="V124" s="199"/>
      <x:c r="W124" s="199"/>
      <x:c r="X124" s="198" t="str">
        <x:f t="shared" si="10"/>
      </x:c>
      <x:c r="Y124" s="199"/>
      <x:c r="Z124" s="199"/>
      <x:c r="AA124" s="198" t="str">
        <x:f t="shared" si="11"/>
      </x:c>
      <x:c r="AB124" s="197"/>
      <x:c r="AC124" s="197"/>
      <x:c r="AD124" s="197"/>
      <x:c r="AE124" s="196"/>
    </x:row>
    <x:row r="125">
      <x:c r="A125" s="197"/>
      <x:c r="B125" s="202"/>
      <x:c r="C125" s="201"/>
      <x:c r="D125" s="197"/>
      <x:c r="E125" s="197"/>
      <x:c r="F125" s="197"/>
      <x:c r="G125" s="199"/>
      <x:c r="H125" s="199"/>
      <x:c r="I125" s="199"/>
      <x:c r="J125" s="199"/>
      <x:c r="K125" s="199"/>
      <x:c r="L125" s="199"/>
      <x:c r="M125" s="198" t="str">
        <x:f t="shared" si="9"/>
      </x:c>
      <x:c r="N125" s="199"/>
      <x:c r="O125" s="199"/>
      <x:c r="P125" s="199"/>
      <x:c r="Q125" s="199"/>
      <x:c r="R125" s="199"/>
      <x:c r="S125" s="200"/>
      <x:c r="T125" s="199"/>
      <x:c r="U125" s="199"/>
      <x:c r="V125" s="199"/>
      <x:c r="W125" s="199"/>
      <x:c r="X125" s="198" t="str">
        <x:f t="shared" si="10"/>
      </x:c>
      <x:c r="Y125" s="199"/>
      <x:c r="Z125" s="199"/>
      <x:c r="AA125" s="198" t="str">
        <x:f t="shared" si="11"/>
      </x:c>
      <x:c r="AB125" s="197"/>
      <x:c r="AC125" s="197"/>
      <x:c r="AD125" s="197"/>
      <x:c r="AE125" s="196"/>
    </x:row>
    <x:row r="126">
      <x:c r="A126" s="197"/>
      <x:c r="B126" s="202"/>
      <x:c r="C126" s="201"/>
      <x:c r="D126" s="197"/>
      <x:c r="E126" s="197"/>
      <x:c r="F126" s="197"/>
      <x:c r="G126" s="199"/>
      <x:c r="H126" s="199"/>
      <x:c r="I126" s="199"/>
      <x:c r="J126" s="199"/>
      <x:c r="K126" s="199"/>
      <x:c r="L126" s="199"/>
      <x:c r="M126" s="198" t="str">
        <x:f t="shared" si="9"/>
      </x:c>
      <x:c r="N126" s="199"/>
      <x:c r="O126" s="199"/>
      <x:c r="P126" s="199"/>
      <x:c r="Q126" s="199"/>
      <x:c r="R126" s="199"/>
      <x:c r="S126" s="200"/>
      <x:c r="T126" s="199"/>
      <x:c r="U126" s="199"/>
      <x:c r="V126" s="199"/>
      <x:c r="W126" s="199"/>
      <x:c r="X126" s="198" t="str">
        <x:f t="shared" si="10"/>
      </x:c>
      <x:c r="Y126" s="199"/>
      <x:c r="Z126" s="199"/>
      <x:c r="AA126" s="198" t="str">
        <x:f t="shared" si="11"/>
      </x:c>
      <x:c r="AB126" s="197"/>
      <x:c r="AC126" s="197"/>
      <x:c r="AD126" s="197"/>
      <x:c r="AE126" s="196"/>
    </x:row>
    <x:row r="127">
      <x:c r="A127" s="197"/>
      <x:c r="B127" s="202"/>
      <x:c r="C127" s="201"/>
      <x:c r="D127" s="197"/>
      <x:c r="E127" s="197"/>
      <x:c r="F127" s="197"/>
      <x:c r="G127" s="199"/>
      <x:c r="H127" s="199"/>
      <x:c r="I127" s="199"/>
      <x:c r="J127" s="199"/>
      <x:c r="K127" s="199"/>
      <x:c r="L127" s="199"/>
      <x:c r="M127" s="198" t="str">
        <x:f t="shared" si="9"/>
      </x:c>
      <x:c r="N127" s="199"/>
      <x:c r="O127" s="199"/>
      <x:c r="P127" s="199"/>
      <x:c r="Q127" s="199"/>
      <x:c r="R127" s="199"/>
      <x:c r="S127" s="200"/>
      <x:c r="T127" s="199"/>
      <x:c r="U127" s="199"/>
      <x:c r="V127" s="199"/>
      <x:c r="W127" s="199"/>
      <x:c r="X127" s="198" t="str">
        <x:f t="shared" si="10"/>
      </x:c>
      <x:c r="Y127" s="199"/>
      <x:c r="Z127" s="199"/>
      <x:c r="AA127" s="198" t="str">
        <x:f t="shared" si="11"/>
      </x:c>
      <x:c r="AB127" s="197"/>
      <x:c r="AC127" s="197"/>
      <x:c r="AD127" s="197"/>
      <x:c r="AE127" s="196"/>
    </x:row>
    <x:row r="128">
      <x:c r="A128" s="197"/>
      <x:c r="B128" s="202"/>
      <x:c r="C128" s="201"/>
      <x:c r="D128" s="197"/>
      <x:c r="E128" s="197"/>
      <x:c r="F128" s="197"/>
      <x:c r="G128" s="199"/>
      <x:c r="H128" s="199"/>
      <x:c r="I128" s="199"/>
      <x:c r="J128" s="199"/>
      <x:c r="K128" s="199"/>
      <x:c r="L128" s="199"/>
      <x:c r="M128" s="198" t="str">
        <x:f t="shared" si="9"/>
      </x:c>
      <x:c r="N128" s="199"/>
      <x:c r="O128" s="199"/>
      <x:c r="P128" s="199"/>
      <x:c r="Q128" s="199"/>
      <x:c r="R128" s="199"/>
      <x:c r="S128" s="200"/>
      <x:c r="T128" s="199"/>
      <x:c r="U128" s="199"/>
      <x:c r="V128" s="199"/>
      <x:c r="W128" s="199"/>
      <x:c r="X128" s="198" t="str">
        <x:f t="shared" si="10"/>
      </x:c>
      <x:c r="Y128" s="199"/>
      <x:c r="Z128" s="199"/>
      <x:c r="AA128" s="198" t="str">
        <x:f t="shared" si="11"/>
      </x:c>
      <x:c r="AB128" s="197"/>
      <x:c r="AC128" s="197"/>
      <x:c r="AD128" s="197"/>
      <x:c r="AE128" s="196"/>
    </x:row>
    <x:row r="129">
      <x:c r="A129" s="197"/>
      <x:c r="B129" s="202"/>
      <x:c r="C129" s="201"/>
      <x:c r="D129" s="197"/>
      <x:c r="E129" s="197"/>
      <x:c r="F129" s="197"/>
      <x:c r="G129" s="199"/>
      <x:c r="H129" s="199"/>
      <x:c r="I129" s="199"/>
      <x:c r="J129" s="199"/>
      <x:c r="K129" s="199"/>
      <x:c r="L129" s="199"/>
      <x:c r="M129" s="198" t="str">
        <x:f t="shared" si="9"/>
      </x:c>
      <x:c r="N129" s="199"/>
      <x:c r="O129" s="199"/>
      <x:c r="P129" s="199"/>
      <x:c r="Q129" s="199"/>
      <x:c r="R129" s="199"/>
      <x:c r="S129" s="200"/>
      <x:c r="T129" s="199"/>
      <x:c r="U129" s="199"/>
      <x:c r="V129" s="199"/>
      <x:c r="W129" s="199"/>
      <x:c r="X129" s="198" t="str">
        <x:f t="shared" si="10"/>
      </x:c>
      <x:c r="Y129" s="199"/>
      <x:c r="Z129" s="199"/>
      <x:c r="AA129" s="198" t="str">
        <x:f t="shared" si="11"/>
      </x:c>
      <x:c r="AB129" s="197"/>
      <x:c r="AC129" s="197"/>
      <x:c r="AD129" s="197"/>
      <x:c r="AE129" s="196"/>
    </x:row>
    <x:row r="130">
      <x:c r="A130" s="197"/>
      <x:c r="B130" s="202"/>
      <x:c r="C130" s="201"/>
      <x:c r="D130" s="197"/>
      <x:c r="E130" s="197"/>
      <x:c r="F130" s="197"/>
      <x:c r="G130" s="199"/>
      <x:c r="H130" s="199"/>
      <x:c r="I130" s="199"/>
      <x:c r="J130" s="199"/>
      <x:c r="K130" s="199"/>
      <x:c r="L130" s="199"/>
      <x:c r="M130" s="198" t="str">
        <x:f t="shared" si="9"/>
      </x:c>
      <x:c r="N130" s="199"/>
      <x:c r="O130" s="199"/>
      <x:c r="P130" s="199"/>
      <x:c r="Q130" s="199"/>
      <x:c r="R130" s="199"/>
      <x:c r="S130" s="200"/>
      <x:c r="T130" s="199"/>
      <x:c r="U130" s="199"/>
      <x:c r="V130" s="199"/>
      <x:c r="W130" s="199"/>
      <x:c r="X130" s="198" t="str">
        <x:f t="shared" si="10"/>
      </x:c>
      <x:c r="Y130" s="199"/>
      <x:c r="Z130" s="199"/>
      <x:c r="AA130" s="198" t="str">
        <x:f t="shared" si="11"/>
      </x:c>
      <x:c r="AB130" s="197"/>
      <x:c r="AC130" s="197"/>
      <x:c r="AD130" s="197"/>
      <x:c r="AE130" s="196"/>
    </x:row>
    <x:row r="131">
      <x:c r="A131" s="197"/>
      <x:c r="B131" s="202"/>
      <x:c r="C131" s="201"/>
      <x:c r="D131" s="197"/>
      <x:c r="E131" s="197"/>
      <x:c r="F131" s="197"/>
      <x:c r="G131" s="199"/>
      <x:c r="H131" s="199"/>
      <x:c r="I131" s="199"/>
      <x:c r="J131" s="199"/>
      <x:c r="K131" s="199"/>
      <x:c r="L131" s="199"/>
      <x:c r="M131" s="198" t="str">
        <x:f t="shared" si="9"/>
      </x:c>
      <x:c r="N131" s="199"/>
      <x:c r="O131" s="199"/>
      <x:c r="P131" s="199"/>
      <x:c r="Q131" s="199"/>
      <x:c r="R131" s="199"/>
      <x:c r="S131" s="200"/>
      <x:c r="T131" s="199"/>
      <x:c r="U131" s="199"/>
      <x:c r="V131" s="199"/>
      <x:c r="W131" s="199"/>
      <x:c r="X131" s="198" t="str">
        <x:f t="shared" si="10"/>
      </x:c>
      <x:c r="Y131" s="199"/>
      <x:c r="Z131" s="199"/>
      <x:c r="AA131" s="198" t="str">
        <x:f t="shared" si="11"/>
      </x:c>
      <x:c r="AB131" s="197"/>
      <x:c r="AC131" s="197"/>
      <x:c r="AD131" s="197"/>
      <x:c r="AE131" s="196"/>
    </x:row>
    <x:row r="132">
      <x:c r="A132" s="197"/>
      <x:c r="B132" s="202"/>
      <x:c r="C132" s="201"/>
      <x:c r="D132" s="197"/>
      <x:c r="E132" s="197"/>
      <x:c r="F132" s="197"/>
      <x:c r="G132" s="199"/>
      <x:c r="H132" s="199"/>
      <x:c r="I132" s="199"/>
      <x:c r="J132" s="199"/>
      <x:c r="K132" s="199"/>
      <x:c r="L132" s="199"/>
      <x:c r="M132" s="198" t="str">
        <x:f t="shared" si="9"/>
      </x:c>
      <x:c r="N132" s="199"/>
      <x:c r="O132" s="199"/>
      <x:c r="P132" s="199"/>
      <x:c r="Q132" s="199"/>
      <x:c r="R132" s="199"/>
      <x:c r="S132" s="200"/>
      <x:c r="T132" s="199"/>
      <x:c r="U132" s="199"/>
      <x:c r="V132" s="199"/>
      <x:c r="W132" s="199"/>
      <x:c r="X132" s="198" t="str">
        <x:f t="shared" si="10"/>
      </x:c>
      <x:c r="Y132" s="199"/>
      <x:c r="Z132" s="199"/>
      <x:c r="AA132" s="198" t="str">
        <x:f t="shared" si="11"/>
      </x:c>
      <x:c r="AB132" s="197"/>
      <x:c r="AC132" s="197"/>
      <x:c r="AD132" s="197"/>
      <x:c r="AE132" s="196"/>
    </x:row>
    <x:row r="133">
      <x:c r="A133" s="197"/>
      <x:c r="B133" s="202"/>
      <x:c r="C133" s="201"/>
      <x:c r="D133" s="197"/>
      <x:c r="E133" s="197"/>
      <x:c r="F133" s="197"/>
      <x:c r="G133" s="199"/>
      <x:c r="H133" s="199"/>
      <x:c r="I133" s="199"/>
      <x:c r="J133" s="199"/>
      <x:c r="K133" s="199"/>
      <x:c r="L133" s="199"/>
      <x:c r="M133" s="198" t="str">
        <x:f t="shared" si="9"/>
      </x:c>
      <x:c r="N133" s="199"/>
      <x:c r="O133" s="199"/>
      <x:c r="P133" s="199"/>
      <x:c r="Q133" s="199"/>
      <x:c r="R133" s="199"/>
      <x:c r="S133" s="200"/>
      <x:c r="T133" s="199"/>
      <x:c r="U133" s="199"/>
      <x:c r="V133" s="199"/>
      <x:c r="W133" s="199"/>
      <x:c r="X133" s="198" t="str">
        <x:f t="shared" si="10"/>
      </x:c>
      <x:c r="Y133" s="199"/>
      <x:c r="Z133" s="199"/>
      <x:c r="AA133" s="198" t="str">
        <x:f t="shared" si="11"/>
      </x:c>
      <x:c r="AB133" s="197"/>
      <x:c r="AC133" s="197"/>
      <x:c r="AD133" s="197"/>
      <x:c r="AE133" s="196"/>
    </x:row>
    <x:row r="134">
      <x:c r="A134" s="197"/>
      <x:c r="B134" s="202"/>
      <x:c r="C134" s="201"/>
      <x:c r="D134" s="197"/>
      <x:c r="E134" s="197"/>
      <x:c r="F134" s="197"/>
      <x:c r="G134" s="199"/>
      <x:c r="H134" s="199"/>
      <x:c r="I134" s="199"/>
      <x:c r="J134" s="199"/>
      <x:c r="K134" s="199"/>
      <x:c r="L134" s="199"/>
      <x:c r="M134" s="198" t="str">
        <x:f t="shared" ref="M134:M165" si="12">IF(OR($A134="",$G134=0),"",$K134/$G134)</x:f>
      </x:c>
      <x:c r="N134" s="199"/>
      <x:c r="O134" s="199"/>
      <x:c r="P134" s="199"/>
      <x:c r="Q134" s="199"/>
      <x:c r="R134" s="199"/>
      <x:c r="S134" s="200"/>
      <x:c r="T134" s="199"/>
      <x:c r="U134" s="199"/>
      <x:c r="V134" s="199"/>
      <x:c r="W134" s="199"/>
      <x:c r="X134" s="198" t="str">
        <x:f t="shared" ref="X134:X165" si="13">IF(OR($A134="",$T134=0),"",$U134/$T134)</x:f>
      </x:c>
      <x:c r="Y134" s="199"/>
      <x:c r="Z134" s="199"/>
      <x:c r="AA134" s="198" t="str">
        <x:f t="shared" ref="AA134:AA165" si="14">IF(OR($A134="",$Y134=0),"",$Z134/$Y134)</x:f>
      </x:c>
      <x:c r="AB134" s="197"/>
      <x:c r="AC134" s="197"/>
      <x:c r="AD134" s="197"/>
      <x:c r="AE134" s="196"/>
    </x:row>
    <x:row r="135">
      <x:c r="A135" s="197"/>
      <x:c r="B135" s="202"/>
      <x:c r="C135" s="201"/>
      <x:c r="D135" s="197"/>
      <x:c r="E135" s="197"/>
      <x:c r="F135" s="197"/>
      <x:c r="G135" s="199"/>
      <x:c r="H135" s="199"/>
      <x:c r="I135" s="199"/>
      <x:c r="J135" s="199"/>
      <x:c r="K135" s="199"/>
      <x:c r="L135" s="199"/>
      <x:c r="M135" s="198" t="str">
        <x:f t="shared" si="12"/>
      </x:c>
      <x:c r="N135" s="199"/>
      <x:c r="O135" s="199"/>
      <x:c r="P135" s="199"/>
      <x:c r="Q135" s="199"/>
      <x:c r="R135" s="199"/>
      <x:c r="S135" s="200"/>
      <x:c r="T135" s="199"/>
      <x:c r="U135" s="199"/>
      <x:c r="V135" s="199"/>
      <x:c r="W135" s="199"/>
      <x:c r="X135" s="198" t="str">
        <x:f t="shared" si="13"/>
      </x:c>
      <x:c r="Y135" s="199"/>
      <x:c r="Z135" s="199"/>
      <x:c r="AA135" s="198" t="str">
        <x:f t="shared" si="14"/>
      </x:c>
      <x:c r="AB135" s="197"/>
      <x:c r="AC135" s="197"/>
      <x:c r="AD135" s="197"/>
      <x:c r="AE135" s="196"/>
    </x:row>
    <x:row r="136">
      <x:c r="A136" s="197"/>
      <x:c r="B136" s="202"/>
      <x:c r="C136" s="201"/>
      <x:c r="D136" s="197"/>
      <x:c r="E136" s="197"/>
      <x:c r="F136" s="197"/>
      <x:c r="G136" s="199"/>
      <x:c r="H136" s="199"/>
      <x:c r="I136" s="199"/>
      <x:c r="J136" s="199"/>
      <x:c r="K136" s="199"/>
      <x:c r="L136" s="199"/>
      <x:c r="M136" s="198" t="str">
        <x:f t="shared" si="12"/>
      </x:c>
      <x:c r="N136" s="199"/>
      <x:c r="O136" s="199"/>
      <x:c r="P136" s="199"/>
      <x:c r="Q136" s="199"/>
      <x:c r="R136" s="199"/>
      <x:c r="S136" s="200"/>
      <x:c r="T136" s="199"/>
      <x:c r="U136" s="199"/>
      <x:c r="V136" s="199"/>
      <x:c r="W136" s="199"/>
      <x:c r="X136" s="198" t="str">
        <x:f t="shared" si="13"/>
      </x:c>
      <x:c r="Y136" s="199"/>
      <x:c r="Z136" s="199"/>
      <x:c r="AA136" s="198" t="str">
        <x:f t="shared" si="14"/>
      </x:c>
      <x:c r="AB136" s="197"/>
      <x:c r="AC136" s="197"/>
      <x:c r="AD136" s="197"/>
      <x:c r="AE136" s="196"/>
    </x:row>
    <x:row r="137">
      <x:c r="A137" s="197"/>
      <x:c r="B137" s="202"/>
      <x:c r="C137" s="201"/>
      <x:c r="D137" s="197"/>
      <x:c r="E137" s="197"/>
      <x:c r="F137" s="197"/>
      <x:c r="G137" s="199"/>
      <x:c r="H137" s="199"/>
      <x:c r="I137" s="199"/>
      <x:c r="J137" s="199"/>
      <x:c r="K137" s="199"/>
      <x:c r="L137" s="199"/>
      <x:c r="M137" s="198" t="str">
        <x:f t="shared" si="12"/>
      </x:c>
      <x:c r="N137" s="199"/>
      <x:c r="O137" s="199"/>
      <x:c r="P137" s="199"/>
      <x:c r="Q137" s="199"/>
      <x:c r="R137" s="199"/>
      <x:c r="S137" s="200"/>
      <x:c r="T137" s="199"/>
      <x:c r="U137" s="199"/>
      <x:c r="V137" s="199"/>
      <x:c r="W137" s="199"/>
      <x:c r="X137" s="198" t="str">
        <x:f t="shared" si="13"/>
      </x:c>
      <x:c r="Y137" s="199"/>
      <x:c r="Z137" s="199"/>
      <x:c r="AA137" s="198" t="str">
        <x:f t="shared" si="14"/>
      </x:c>
      <x:c r="AB137" s="197"/>
      <x:c r="AC137" s="197"/>
      <x:c r="AD137" s="197"/>
      <x:c r="AE137" s="196"/>
    </x:row>
    <x:row r="138">
      <x:c r="A138" s="197"/>
      <x:c r="B138" s="202"/>
      <x:c r="C138" s="201"/>
      <x:c r="D138" s="197"/>
      <x:c r="E138" s="197"/>
      <x:c r="F138" s="197"/>
      <x:c r="G138" s="199"/>
      <x:c r="H138" s="199"/>
      <x:c r="I138" s="199"/>
      <x:c r="J138" s="199"/>
      <x:c r="K138" s="199"/>
      <x:c r="L138" s="199"/>
      <x:c r="M138" s="198" t="str">
        <x:f t="shared" si="12"/>
      </x:c>
      <x:c r="N138" s="199"/>
      <x:c r="O138" s="199"/>
      <x:c r="P138" s="199"/>
      <x:c r="Q138" s="199"/>
      <x:c r="R138" s="199"/>
      <x:c r="S138" s="200"/>
      <x:c r="T138" s="199"/>
      <x:c r="U138" s="199"/>
      <x:c r="V138" s="199"/>
      <x:c r="W138" s="199"/>
      <x:c r="X138" s="198" t="str">
        <x:f t="shared" si="13"/>
      </x:c>
      <x:c r="Y138" s="199"/>
      <x:c r="Z138" s="199"/>
      <x:c r="AA138" s="198" t="str">
        <x:f t="shared" si="14"/>
      </x:c>
      <x:c r="AB138" s="197"/>
      <x:c r="AC138" s="197"/>
      <x:c r="AD138" s="197"/>
      <x:c r="AE138" s="196"/>
    </x:row>
    <x:row r="139">
      <x:c r="A139" s="197"/>
      <x:c r="B139" s="202"/>
      <x:c r="C139" s="201"/>
      <x:c r="D139" s="197"/>
      <x:c r="E139" s="197"/>
      <x:c r="F139" s="197"/>
      <x:c r="G139" s="199"/>
      <x:c r="H139" s="199"/>
      <x:c r="I139" s="199"/>
      <x:c r="J139" s="199"/>
      <x:c r="K139" s="199"/>
      <x:c r="L139" s="199"/>
      <x:c r="M139" s="198" t="str">
        <x:f t="shared" si="12"/>
      </x:c>
      <x:c r="N139" s="199"/>
      <x:c r="O139" s="199"/>
      <x:c r="P139" s="199"/>
      <x:c r="Q139" s="199"/>
      <x:c r="R139" s="199"/>
      <x:c r="S139" s="200"/>
      <x:c r="T139" s="199"/>
      <x:c r="U139" s="199"/>
      <x:c r="V139" s="199"/>
      <x:c r="W139" s="199"/>
      <x:c r="X139" s="198" t="str">
        <x:f t="shared" si="13"/>
      </x:c>
      <x:c r="Y139" s="199"/>
      <x:c r="Z139" s="199"/>
      <x:c r="AA139" s="198" t="str">
        <x:f t="shared" si="14"/>
      </x:c>
      <x:c r="AB139" s="197"/>
      <x:c r="AC139" s="197"/>
      <x:c r="AD139" s="197"/>
      <x:c r="AE139" s="196"/>
    </x:row>
    <x:row r="140">
      <x:c r="A140" s="197"/>
      <x:c r="B140" s="202"/>
      <x:c r="C140" s="201"/>
      <x:c r="D140" s="197"/>
      <x:c r="E140" s="197"/>
      <x:c r="F140" s="197"/>
      <x:c r="G140" s="199"/>
      <x:c r="H140" s="199"/>
      <x:c r="I140" s="199"/>
      <x:c r="J140" s="199"/>
      <x:c r="K140" s="199"/>
      <x:c r="L140" s="199"/>
      <x:c r="M140" s="198" t="str">
        <x:f t="shared" si="12"/>
      </x:c>
      <x:c r="N140" s="199"/>
      <x:c r="O140" s="199"/>
      <x:c r="P140" s="199"/>
      <x:c r="Q140" s="199"/>
      <x:c r="R140" s="199"/>
      <x:c r="S140" s="200"/>
      <x:c r="T140" s="199"/>
      <x:c r="U140" s="199"/>
      <x:c r="V140" s="199"/>
      <x:c r="W140" s="199"/>
      <x:c r="X140" s="198" t="str">
        <x:f t="shared" si="13"/>
      </x:c>
      <x:c r="Y140" s="199"/>
      <x:c r="Z140" s="199"/>
      <x:c r="AA140" s="198" t="str">
        <x:f t="shared" si="14"/>
      </x:c>
      <x:c r="AB140" s="197"/>
      <x:c r="AC140" s="197"/>
      <x:c r="AD140" s="197"/>
      <x:c r="AE140" s="196"/>
    </x:row>
    <x:row r="141">
      <x:c r="A141" s="197"/>
      <x:c r="B141" s="202"/>
      <x:c r="C141" s="201"/>
      <x:c r="D141" s="197"/>
      <x:c r="E141" s="197"/>
      <x:c r="F141" s="197"/>
      <x:c r="G141" s="199"/>
      <x:c r="H141" s="199"/>
      <x:c r="I141" s="199"/>
      <x:c r="J141" s="199"/>
      <x:c r="K141" s="199"/>
      <x:c r="L141" s="199"/>
      <x:c r="M141" s="198" t="str">
        <x:f t="shared" si="12"/>
      </x:c>
      <x:c r="N141" s="199"/>
      <x:c r="O141" s="199"/>
      <x:c r="P141" s="199"/>
      <x:c r="Q141" s="199"/>
      <x:c r="R141" s="199"/>
      <x:c r="S141" s="200"/>
      <x:c r="T141" s="199"/>
      <x:c r="U141" s="199"/>
      <x:c r="V141" s="199"/>
      <x:c r="W141" s="199"/>
      <x:c r="X141" s="198" t="str">
        <x:f t="shared" si="13"/>
      </x:c>
      <x:c r="Y141" s="199"/>
      <x:c r="Z141" s="199"/>
      <x:c r="AA141" s="198" t="str">
        <x:f t="shared" si="14"/>
      </x:c>
      <x:c r="AB141" s="197"/>
      <x:c r="AC141" s="197"/>
      <x:c r="AD141" s="197"/>
      <x:c r="AE141" s="196"/>
    </x:row>
    <x:row r="142">
      <x:c r="A142" s="197"/>
      <x:c r="B142" s="202"/>
      <x:c r="C142" s="201"/>
      <x:c r="D142" s="197"/>
      <x:c r="E142" s="197"/>
      <x:c r="F142" s="197"/>
      <x:c r="G142" s="199"/>
      <x:c r="H142" s="199"/>
      <x:c r="I142" s="199"/>
      <x:c r="J142" s="199"/>
      <x:c r="K142" s="199"/>
      <x:c r="L142" s="199"/>
      <x:c r="M142" s="198" t="str">
        <x:f t="shared" si="12"/>
      </x:c>
      <x:c r="N142" s="199"/>
      <x:c r="O142" s="199"/>
      <x:c r="P142" s="199"/>
      <x:c r="Q142" s="199"/>
      <x:c r="R142" s="199"/>
      <x:c r="S142" s="200"/>
      <x:c r="T142" s="199"/>
      <x:c r="U142" s="199"/>
      <x:c r="V142" s="199"/>
      <x:c r="W142" s="199"/>
      <x:c r="X142" s="198" t="str">
        <x:f t="shared" si="13"/>
      </x:c>
      <x:c r="Y142" s="199"/>
      <x:c r="Z142" s="199"/>
      <x:c r="AA142" s="198" t="str">
        <x:f t="shared" si="14"/>
      </x:c>
      <x:c r="AB142" s="197"/>
      <x:c r="AC142" s="197"/>
      <x:c r="AD142" s="197"/>
      <x:c r="AE142" s="196"/>
    </x:row>
    <x:row r="143">
      <x:c r="A143" s="197"/>
      <x:c r="B143" s="202"/>
      <x:c r="C143" s="201"/>
      <x:c r="D143" s="197"/>
      <x:c r="E143" s="197"/>
      <x:c r="F143" s="197"/>
      <x:c r="G143" s="199"/>
      <x:c r="H143" s="199"/>
      <x:c r="I143" s="199"/>
      <x:c r="J143" s="199"/>
      <x:c r="K143" s="199"/>
      <x:c r="L143" s="199"/>
      <x:c r="M143" s="198" t="str">
        <x:f t="shared" si="12"/>
      </x:c>
      <x:c r="N143" s="199"/>
      <x:c r="O143" s="199"/>
      <x:c r="P143" s="199"/>
      <x:c r="Q143" s="199"/>
      <x:c r="R143" s="199"/>
      <x:c r="S143" s="200"/>
      <x:c r="T143" s="199"/>
      <x:c r="U143" s="199"/>
      <x:c r="V143" s="199"/>
      <x:c r="W143" s="199"/>
      <x:c r="X143" s="198" t="str">
        <x:f t="shared" si="13"/>
      </x:c>
      <x:c r="Y143" s="199"/>
      <x:c r="Z143" s="199"/>
      <x:c r="AA143" s="198" t="str">
        <x:f t="shared" si="14"/>
      </x:c>
      <x:c r="AB143" s="197"/>
      <x:c r="AC143" s="197"/>
      <x:c r="AD143" s="197"/>
      <x:c r="AE143" s="196"/>
    </x:row>
    <x:row r="144">
      <x:c r="A144" s="197"/>
      <x:c r="B144" s="202"/>
      <x:c r="C144" s="201"/>
      <x:c r="D144" s="197"/>
      <x:c r="E144" s="197"/>
      <x:c r="F144" s="197"/>
      <x:c r="G144" s="199"/>
      <x:c r="H144" s="199"/>
      <x:c r="I144" s="199"/>
      <x:c r="J144" s="199"/>
      <x:c r="K144" s="199"/>
      <x:c r="L144" s="199"/>
      <x:c r="M144" s="198" t="str">
        <x:f t="shared" si="12"/>
      </x:c>
      <x:c r="N144" s="199"/>
      <x:c r="O144" s="199"/>
      <x:c r="P144" s="199"/>
      <x:c r="Q144" s="199"/>
      <x:c r="R144" s="199"/>
      <x:c r="S144" s="200"/>
      <x:c r="T144" s="199"/>
      <x:c r="U144" s="199"/>
      <x:c r="V144" s="199"/>
      <x:c r="W144" s="199"/>
      <x:c r="X144" s="198" t="str">
        <x:f t="shared" si="13"/>
      </x:c>
      <x:c r="Y144" s="199"/>
      <x:c r="Z144" s="199"/>
      <x:c r="AA144" s="198" t="str">
        <x:f t="shared" si="14"/>
      </x:c>
      <x:c r="AB144" s="197"/>
      <x:c r="AC144" s="197"/>
      <x:c r="AD144" s="197"/>
      <x:c r="AE144" s="196"/>
    </x:row>
    <x:row r="145">
      <x:c r="A145" s="197"/>
      <x:c r="B145" s="202"/>
      <x:c r="C145" s="201"/>
      <x:c r="D145" s="197"/>
      <x:c r="E145" s="197"/>
      <x:c r="F145" s="197"/>
      <x:c r="G145" s="199"/>
      <x:c r="H145" s="199"/>
      <x:c r="I145" s="199"/>
      <x:c r="J145" s="199"/>
      <x:c r="K145" s="199"/>
      <x:c r="L145" s="199"/>
      <x:c r="M145" s="198" t="str">
        <x:f t="shared" si="12"/>
      </x:c>
      <x:c r="N145" s="199"/>
      <x:c r="O145" s="199"/>
      <x:c r="P145" s="199"/>
      <x:c r="Q145" s="199"/>
      <x:c r="R145" s="199"/>
      <x:c r="S145" s="200"/>
      <x:c r="T145" s="199"/>
      <x:c r="U145" s="199"/>
      <x:c r="V145" s="199"/>
      <x:c r="W145" s="199"/>
      <x:c r="X145" s="198" t="str">
        <x:f t="shared" si="13"/>
      </x:c>
      <x:c r="Y145" s="199"/>
      <x:c r="Z145" s="199"/>
      <x:c r="AA145" s="198" t="str">
        <x:f t="shared" si="14"/>
      </x:c>
      <x:c r="AB145" s="197"/>
      <x:c r="AC145" s="197"/>
      <x:c r="AD145" s="197"/>
      <x:c r="AE145" s="196"/>
    </x:row>
    <x:row r="146">
      <x:c r="A146" s="197"/>
      <x:c r="B146" s="202"/>
      <x:c r="C146" s="201"/>
      <x:c r="D146" s="197"/>
      <x:c r="E146" s="197"/>
      <x:c r="F146" s="197"/>
      <x:c r="G146" s="199"/>
      <x:c r="H146" s="199"/>
      <x:c r="I146" s="199"/>
      <x:c r="J146" s="199"/>
      <x:c r="K146" s="199"/>
      <x:c r="L146" s="199"/>
      <x:c r="M146" s="198" t="str">
        <x:f t="shared" si="12"/>
      </x:c>
      <x:c r="N146" s="199"/>
      <x:c r="O146" s="199"/>
      <x:c r="P146" s="199"/>
      <x:c r="Q146" s="199"/>
      <x:c r="R146" s="199"/>
      <x:c r="S146" s="200"/>
      <x:c r="T146" s="199"/>
      <x:c r="U146" s="199"/>
      <x:c r="V146" s="199"/>
      <x:c r="W146" s="199"/>
      <x:c r="X146" s="198" t="str">
        <x:f t="shared" si="13"/>
      </x:c>
      <x:c r="Y146" s="199"/>
      <x:c r="Z146" s="199"/>
      <x:c r="AA146" s="198" t="str">
        <x:f t="shared" si="14"/>
      </x:c>
      <x:c r="AB146" s="197"/>
      <x:c r="AC146" s="197"/>
      <x:c r="AD146" s="197"/>
      <x:c r="AE146" s="196"/>
    </x:row>
    <x:row r="147">
      <x:c r="A147" s="197"/>
      <x:c r="B147" s="202"/>
      <x:c r="C147" s="201"/>
      <x:c r="D147" s="197"/>
      <x:c r="E147" s="197"/>
      <x:c r="F147" s="197"/>
      <x:c r="G147" s="199"/>
      <x:c r="H147" s="199"/>
      <x:c r="I147" s="199"/>
      <x:c r="J147" s="199"/>
      <x:c r="K147" s="199"/>
      <x:c r="L147" s="199"/>
      <x:c r="M147" s="198" t="str">
        <x:f t="shared" si="12"/>
      </x:c>
      <x:c r="N147" s="199"/>
      <x:c r="O147" s="199"/>
      <x:c r="P147" s="199"/>
      <x:c r="Q147" s="199"/>
      <x:c r="R147" s="199"/>
      <x:c r="S147" s="200"/>
      <x:c r="T147" s="199"/>
      <x:c r="U147" s="199"/>
      <x:c r="V147" s="199"/>
      <x:c r="W147" s="199"/>
      <x:c r="X147" s="198" t="str">
        <x:f t="shared" si="13"/>
      </x:c>
      <x:c r="Y147" s="199"/>
      <x:c r="Z147" s="199"/>
      <x:c r="AA147" s="198" t="str">
        <x:f t="shared" si="14"/>
      </x:c>
      <x:c r="AB147" s="197"/>
      <x:c r="AC147" s="197"/>
      <x:c r="AD147" s="197"/>
      <x:c r="AE147" s="196"/>
    </x:row>
    <x:row r="148">
      <x:c r="A148" s="197"/>
      <x:c r="B148" s="202"/>
      <x:c r="C148" s="201"/>
      <x:c r="D148" s="197"/>
      <x:c r="E148" s="197"/>
      <x:c r="F148" s="197"/>
      <x:c r="G148" s="199"/>
      <x:c r="H148" s="199"/>
      <x:c r="I148" s="199"/>
      <x:c r="J148" s="199"/>
      <x:c r="K148" s="199"/>
      <x:c r="L148" s="199"/>
      <x:c r="M148" s="198" t="str">
        <x:f t="shared" si="12"/>
      </x:c>
      <x:c r="N148" s="199"/>
      <x:c r="O148" s="199"/>
      <x:c r="P148" s="199"/>
      <x:c r="Q148" s="199"/>
      <x:c r="R148" s="199"/>
      <x:c r="S148" s="200"/>
      <x:c r="T148" s="199"/>
      <x:c r="U148" s="199"/>
      <x:c r="V148" s="199"/>
      <x:c r="W148" s="199"/>
      <x:c r="X148" s="198" t="str">
        <x:f t="shared" si="13"/>
      </x:c>
      <x:c r="Y148" s="199"/>
      <x:c r="Z148" s="199"/>
      <x:c r="AA148" s="198" t="str">
        <x:f t="shared" si="14"/>
      </x:c>
      <x:c r="AB148" s="197"/>
      <x:c r="AC148" s="197"/>
      <x:c r="AD148" s="197"/>
      <x:c r="AE148" s="196"/>
    </x:row>
    <x:row r="149">
      <x:c r="A149" s="197"/>
      <x:c r="B149" s="202"/>
      <x:c r="C149" s="201"/>
      <x:c r="D149" s="197"/>
      <x:c r="E149" s="197"/>
      <x:c r="F149" s="197"/>
      <x:c r="G149" s="199"/>
      <x:c r="H149" s="199"/>
      <x:c r="I149" s="199"/>
      <x:c r="J149" s="199"/>
      <x:c r="K149" s="199"/>
      <x:c r="L149" s="199"/>
      <x:c r="M149" s="198" t="str">
        <x:f t="shared" si="12"/>
      </x:c>
      <x:c r="N149" s="199"/>
      <x:c r="O149" s="199"/>
      <x:c r="P149" s="199"/>
      <x:c r="Q149" s="199"/>
      <x:c r="R149" s="199"/>
      <x:c r="S149" s="200"/>
      <x:c r="T149" s="199"/>
      <x:c r="U149" s="199"/>
      <x:c r="V149" s="199"/>
      <x:c r="W149" s="199"/>
      <x:c r="X149" s="198" t="str">
        <x:f t="shared" si="13"/>
      </x:c>
      <x:c r="Y149" s="199"/>
      <x:c r="Z149" s="199"/>
      <x:c r="AA149" s="198" t="str">
        <x:f t="shared" si="14"/>
      </x:c>
      <x:c r="AB149" s="197"/>
      <x:c r="AC149" s="197"/>
      <x:c r="AD149" s="197"/>
      <x:c r="AE149" s="196"/>
    </x:row>
    <x:row r="150">
      <x:c r="A150" s="197"/>
      <x:c r="B150" s="202"/>
      <x:c r="C150" s="201"/>
      <x:c r="D150" s="197"/>
      <x:c r="E150" s="197"/>
      <x:c r="F150" s="197"/>
      <x:c r="G150" s="199"/>
      <x:c r="H150" s="199"/>
      <x:c r="I150" s="199"/>
      <x:c r="J150" s="199"/>
      <x:c r="K150" s="199"/>
      <x:c r="L150" s="199"/>
      <x:c r="M150" s="198" t="str">
        <x:f t="shared" si="12"/>
      </x:c>
      <x:c r="N150" s="199"/>
      <x:c r="O150" s="199"/>
      <x:c r="P150" s="199"/>
      <x:c r="Q150" s="199"/>
      <x:c r="R150" s="199"/>
      <x:c r="S150" s="200"/>
      <x:c r="T150" s="199"/>
      <x:c r="U150" s="199"/>
      <x:c r="V150" s="199"/>
      <x:c r="W150" s="199"/>
      <x:c r="X150" s="198" t="str">
        <x:f t="shared" si="13"/>
      </x:c>
      <x:c r="Y150" s="199"/>
      <x:c r="Z150" s="199"/>
      <x:c r="AA150" s="198" t="str">
        <x:f t="shared" si="14"/>
      </x:c>
      <x:c r="AB150" s="197"/>
      <x:c r="AC150" s="197"/>
      <x:c r="AD150" s="197"/>
      <x:c r="AE150" s="196"/>
    </x:row>
    <x:row r="151">
      <x:c r="A151" s="197"/>
      <x:c r="B151" s="202"/>
      <x:c r="C151" s="201"/>
      <x:c r="D151" s="197"/>
      <x:c r="E151" s="197"/>
      <x:c r="F151" s="197"/>
      <x:c r="G151" s="199"/>
      <x:c r="H151" s="199"/>
      <x:c r="I151" s="199"/>
      <x:c r="J151" s="199"/>
      <x:c r="K151" s="199"/>
      <x:c r="L151" s="199"/>
      <x:c r="M151" s="198" t="str">
        <x:f t="shared" si="12"/>
      </x:c>
      <x:c r="N151" s="199"/>
      <x:c r="O151" s="199"/>
      <x:c r="P151" s="199"/>
      <x:c r="Q151" s="199"/>
      <x:c r="R151" s="199"/>
      <x:c r="S151" s="200"/>
      <x:c r="T151" s="199"/>
      <x:c r="U151" s="199"/>
      <x:c r="V151" s="199"/>
      <x:c r="W151" s="199"/>
      <x:c r="X151" s="198" t="str">
        <x:f t="shared" si="13"/>
      </x:c>
      <x:c r="Y151" s="199"/>
      <x:c r="Z151" s="199"/>
      <x:c r="AA151" s="198" t="str">
        <x:f t="shared" si="14"/>
      </x:c>
      <x:c r="AB151" s="197"/>
      <x:c r="AC151" s="197"/>
      <x:c r="AD151" s="197"/>
      <x:c r="AE151" s="196"/>
    </x:row>
    <x:row r="152">
      <x:c r="A152" s="197"/>
      <x:c r="B152" s="202"/>
      <x:c r="C152" s="201"/>
      <x:c r="D152" s="197"/>
      <x:c r="E152" s="197"/>
      <x:c r="F152" s="197"/>
      <x:c r="G152" s="199"/>
      <x:c r="H152" s="199"/>
      <x:c r="I152" s="199"/>
      <x:c r="J152" s="199"/>
      <x:c r="K152" s="199"/>
      <x:c r="L152" s="199"/>
      <x:c r="M152" s="198" t="str">
        <x:f t="shared" si="12"/>
      </x:c>
      <x:c r="N152" s="199"/>
      <x:c r="O152" s="199"/>
      <x:c r="P152" s="199"/>
      <x:c r="Q152" s="199"/>
      <x:c r="R152" s="199"/>
      <x:c r="S152" s="200"/>
      <x:c r="T152" s="199"/>
      <x:c r="U152" s="199"/>
      <x:c r="V152" s="199"/>
      <x:c r="W152" s="199"/>
      <x:c r="X152" s="198" t="str">
        <x:f t="shared" si="13"/>
      </x:c>
      <x:c r="Y152" s="199"/>
      <x:c r="Z152" s="199"/>
      <x:c r="AA152" s="198" t="str">
        <x:f t="shared" si="14"/>
      </x:c>
      <x:c r="AB152" s="197"/>
      <x:c r="AC152" s="197"/>
      <x:c r="AD152" s="197"/>
      <x:c r="AE152" s="196"/>
    </x:row>
    <x:row r="153">
      <x:c r="A153" s="197"/>
      <x:c r="B153" s="202"/>
      <x:c r="C153" s="201"/>
      <x:c r="D153" s="197"/>
      <x:c r="E153" s="197"/>
      <x:c r="F153" s="197"/>
      <x:c r="G153" s="199"/>
      <x:c r="H153" s="199"/>
      <x:c r="I153" s="199"/>
      <x:c r="J153" s="199"/>
      <x:c r="K153" s="199"/>
      <x:c r="L153" s="199"/>
      <x:c r="M153" s="198" t="str">
        <x:f t="shared" si="12"/>
      </x:c>
      <x:c r="N153" s="199"/>
      <x:c r="O153" s="199"/>
      <x:c r="P153" s="199"/>
      <x:c r="Q153" s="199"/>
      <x:c r="R153" s="199"/>
      <x:c r="S153" s="200"/>
      <x:c r="T153" s="199"/>
      <x:c r="U153" s="199"/>
      <x:c r="V153" s="199"/>
      <x:c r="W153" s="199"/>
      <x:c r="X153" s="198" t="str">
        <x:f t="shared" si="13"/>
      </x:c>
      <x:c r="Y153" s="199"/>
      <x:c r="Z153" s="199"/>
      <x:c r="AA153" s="198" t="str">
        <x:f t="shared" si="14"/>
      </x:c>
      <x:c r="AB153" s="197"/>
      <x:c r="AC153" s="197"/>
      <x:c r="AD153" s="197"/>
      <x:c r="AE153" s="196"/>
    </x:row>
    <x:row r="154">
      <x:c r="A154" s="197"/>
      <x:c r="B154" s="202"/>
      <x:c r="C154" s="201"/>
      <x:c r="D154" s="197"/>
      <x:c r="E154" s="197"/>
      <x:c r="F154" s="197"/>
      <x:c r="G154" s="199"/>
      <x:c r="H154" s="199"/>
      <x:c r="I154" s="199"/>
      <x:c r="J154" s="199"/>
      <x:c r="K154" s="199"/>
      <x:c r="L154" s="199"/>
      <x:c r="M154" s="198" t="str">
        <x:f t="shared" si="12"/>
      </x:c>
      <x:c r="N154" s="199"/>
      <x:c r="O154" s="199"/>
      <x:c r="P154" s="199"/>
      <x:c r="Q154" s="199"/>
      <x:c r="R154" s="199"/>
      <x:c r="S154" s="200"/>
      <x:c r="T154" s="199"/>
      <x:c r="U154" s="199"/>
      <x:c r="V154" s="199"/>
      <x:c r="W154" s="199"/>
      <x:c r="X154" s="198" t="str">
        <x:f t="shared" si="13"/>
      </x:c>
      <x:c r="Y154" s="199"/>
      <x:c r="Z154" s="199"/>
      <x:c r="AA154" s="198" t="str">
        <x:f t="shared" si="14"/>
      </x:c>
      <x:c r="AB154" s="197"/>
      <x:c r="AC154" s="197"/>
      <x:c r="AD154" s="197"/>
      <x:c r="AE154" s="196"/>
    </x:row>
    <x:row r="155">
      <x:c r="A155" s="197"/>
      <x:c r="B155" s="202"/>
      <x:c r="C155" s="201"/>
      <x:c r="D155" s="197"/>
      <x:c r="E155" s="197"/>
      <x:c r="F155" s="197"/>
      <x:c r="G155" s="199"/>
      <x:c r="H155" s="199"/>
      <x:c r="I155" s="199"/>
      <x:c r="J155" s="199"/>
      <x:c r="K155" s="199"/>
      <x:c r="L155" s="199"/>
      <x:c r="M155" s="198" t="str">
        <x:f t="shared" si="12"/>
      </x:c>
      <x:c r="N155" s="199"/>
      <x:c r="O155" s="199"/>
      <x:c r="P155" s="199"/>
      <x:c r="Q155" s="199"/>
      <x:c r="R155" s="199"/>
      <x:c r="S155" s="200"/>
      <x:c r="T155" s="199"/>
      <x:c r="U155" s="199"/>
      <x:c r="V155" s="199"/>
      <x:c r="W155" s="199"/>
      <x:c r="X155" s="198" t="str">
        <x:f t="shared" si="13"/>
      </x:c>
      <x:c r="Y155" s="199"/>
      <x:c r="Z155" s="199"/>
      <x:c r="AA155" s="198" t="str">
        <x:f t="shared" si="14"/>
      </x:c>
      <x:c r="AB155" s="197"/>
      <x:c r="AC155" s="197"/>
      <x:c r="AD155" s="197"/>
      <x:c r="AE155" s="196"/>
    </x:row>
    <x:row r="156">
      <x:c r="A156" s="197"/>
      <x:c r="B156" s="202"/>
      <x:c r="C156" s="201"/>
      <x:c r="D156" s="197"/>
      <x:c r="E156" s="197"/>
      <x:c r="F156" s="197"/>
      <x:c r="G156" s="199"/>
      <x:c r="H156" s="199"/>
      <x:c r="I156" s="199"/>
      <x:c r="J156" s="199"/>
      <x:c r="K156" s="199"/>
      <x:c r="L156" s="199"/>
      <x:c r="M156" s="198" t="str">
        <x:f t="shared" si="12"/>
      </x:c>
      <x:c r="N156" s="199"/>
      <x:c r="O156" s="199"/>
      <x:c r="P156" s="199"/>
      <x:c r="Q156" s="199"/>
      <x:c r="R156" s="199"/>
      <x:c r="S156" s="200"/>
      <x:c r="T156" s="199"/>
      <x:c r="U156" s="199"/>
      <x:c r="V156" s="199"/>
      <x:c r="W156" s="199"/>
      <x:c r="X156" s="198" t="str">
        <x:f t="shared" si="13"/>
      </x:c>
      <x:c r="Y156" s="199"/>
      <x:c r="Z156" s="199"/>
      <x:c r="AA156" s="198" t="str">
        <x:f t="shared" si="14"/>
      </x:c>
      <x:c r="AB156" s="197"/>
      <x:c r="AC156" s="197"/>
      <x:c r="AD156" s="197"/>
      <x:c r="AE156" s="196"/>
    </x:row>
    <x:row r="157">
      <x:c r="A157" s="197"/>
      <x:c r="B157" s="202"/>
      <x:c r="C157" s="201"/>
      <x:c r="D157" s="197"/>
      <x:c r="E157" s="197"/>
      <x:c r="F157" s="197"/>
      <x:c r="G157" s="199"/>
      <x:c r="H157" s="199"/>
      <x:c r="I157" s="199"/>
      <x:c r="J157" s="199"/>
      <x:c r="K157" s="199"/>
      <x:c r="L157" s="199"/>
      <x:c r="M157" s="198" t="str">
        <x:f t="shared" si="12"/>
      </x:c>
      <x:c r="N157" s="199"/>
      <x:c r="O157" s="199"/>
      <x:c r="P157" s="199"/>
      <x:c r="Q157" s="199"/>
      <x:c r="R157" s="199"/>
      <x:c r="S157" s="200"/>
      <x:c r="T157" s="199"/>
      <x:c r="U157" s="199"/>
      <x:c r="V157" s="199"/>
      <x:c r="W157" s="199"/>
      <x:c r="X157" s="198" t="str">
        <x:f t="shared" si="13"/>
      </x:c>
      <x:c r="Y157" s="199"/>
      <x:c r="Z157" s="199"/>
      <x:c r="AA157" s="198" t="str">
        <x:f t="shared" si="14"/>
      </x:c>
      <x:c r="AB157" s="197"/>
      <x:c r="AC157" s="197"/>
      <x:c r="AD157" s="197"/>
      <x:c r="AE157" s="196"/>
    </x:row>
    <x:row r="158">
      <x:c r="A158" s="197"/>
      <x:c r="B158" s="202"/>
      <x:c r="C158" s="201"/>
      <x:c r="D158" s="197"/>
      <x:c r="E158" s="197"/>
      <x:c r="F158" s="197"/>
      <x:c r="G158" s="199"/>
      <x:c r="H158" s="199"/>
      <x:c r="I158" s="199"/>
      <x:c r="J158" s="199"/>
      <x:c r="K158" s="199"/>
      <x:c r="L158" s="199"/>
      <x:c r="M158" s="198" t="str">
        <x:f t="shared" si="12"/>
      </x:c>
      <x:c r="N158" s="199"/>
      <x:c r="O158" s="199"/>
      <x:c r="P158" s="199"/>
      <x:c r="Q158" s="199"/>
      <x:c r="R158" s="199"/>
      <x:c r="S158" s="200"/>
      <x:c r="T158" s="199"/>
      <x:c r="U158" s="199"/>
      <x:c r="V158" s="199"/>
      <x:c r="W158" s="199"/>
      <x:c r="X158" s="198" t="str">
        <x:f t="shared" si="13"/>
      </x:c>
      <x:c r="Y158" s="199"/>
      <x:c r="Z158" s="199"/>
      <x:c r="AA158" s="198" t="str">
        <x:f t="shared" si="14"/>
      </x:c>
      <x:c r="AB158" s="197"/>
      <x:c r="AC158" s="197"/>
      <x:c r="AD158" s="197"/>
      <x:c r="AE158" s="196"/>
    </x:row>
    <x:row r="159">
      <x:c r="A159" s="197"/>
      <x:c r="B159" s="202"/>
      <x:c r="C159" s="201"/>
      <x:c r="D159" s="197"/>
      <x:c r="E159" s="197"/>
      <x:c r="F159" s="197"/>
      <x:c r="G159" s="199"/>
      <x:c r="H159" s="199"/>
      <x:c r="I159" s="199"/>
      <x:c r="J159" s="199"/>
      <x:c r="K159" s="199"/>
      <x:c r="L159" s="199"/>
      <x:c r="M159" s="198" t="str">
        <x:f t="shared" si="12"/>
      </x:c>
      <x:c r="N159" s="199"/>
      <x:c r="O159" s="199"/>
      <x:c r="P159" s="199"/>
      <x:c r="Q159" s="199"/>
      <x:c r="R159" s="199"/>
      <x:c r="S159" s="200"/>
      <x:c r="T159" s="199"/>
      <x:c r="U159" s="199"/>
      <x:c r="V159" s="199"/>
      <x:c r="W159" s="199"/>
      <x:c r="X159" s="198" t="str">
        <x:f t="shared" si="13"/>
      </x:c>
      <x:c r="Y159" s="199"/>
      <x:c r="Z159" s="199"/>
      <x:c r="AA159" s="198" t="str">
        <x:f t="shared" si="14"/>
      </x:c>
      <x:c r="AB159" s="197"/>
      <x:c r="AC159" s="197"/>
      <x:c r="AD159" s="197"/>
      <x:c r="AE159" s="196"/>
    </x:row>
    <x:row r="160">
      <x:c r="A160" s="197"/>
      <x:c r="B160" s="202"/>
      <x:c r="C160" s="201"/>
      <x:c r="D160" s="197"/>
      <x:c r="E160" s="197"/>
      <x:c r="F160" s="197"/>
      <x:c r="G160" s="199"/>
      <x:c r="H160" s="199"/>
      <x:c r="I160" s="199"/>
      <x:c r="J160" s="199"/>
      <x:c r="K160" s="199"/>
      <x:c r="L160" s="199"/>
      <x:c r="M160" s="198" t="str">
        <x:f t="shared" si="12"/>
      </x:c>
      <x:c r="N160" s="199"/>
      <x:c r="O160" s="199"/>
      <x:c r="P160" s="199"/>
      <x:c r="Q160" s="199"/>
      <x:c r="R160" s="199"/>
      <x:c r="S160" s="200"/>
      <x:c r="T160" s="199"/>
      <x:c r="U160" s="199"/>
      <x:c r="V160" s="199"/>
      <x:c r="W160" s="199"/>
      <x:c r="X160" s="198" t="str">
        <x:f t="shared" si="13"/>
      </x:c>
      <x:c r="Y160" s="199"/>
      <x:c r="Z160" s="199"/>
      <x:c r="AA160" s="198" t="str">
        <x:f t="shared" si="14"/>
      </x:c>
      <x:c r="AB160" s="197"/>
      <x:c r="AC160" s="197"/>
      <x:c r="AD160" s="197"/>
      <x:c r="AE160" s="196"/>
    </x:row>
    <x:row r="161">
      <x:c r="A161" s="197"/>
      <x:c r="B161" s="202"/>
      <x:c r="C161" s="201"/>
      <x:c r="D161" s="197"/>
      <x:c r="E161" s="197"/>
      <x:c r="F161" s="197"/>
      <x:c r="G161" s="199"/>
      <x:c r="H161" s="199"/>
      <x:c r="I161" s="199"/>
      <x:c r="J161" s="199"/>
      <x:c r="K161" s="199"/>
      <x:c r="L161" s="199"/>
      <x:c r="M161" s="198" t="str">
        <x:f t="shared" si="12"/>
      </x:c>
      <x:c r="N161" s="199"/>
      <x:c r="O161" s="199"/>
      <x:c r="P161" s="199"/>
      <x:c r="Q161" s="199"/>
      <x:c r="R161" s="199"/>
      <x:c r="S161" s="200"/>
      <x:c r="T161" s="199"/>
      <x:c r="U161" s="199"/>
      <x:c r="V161" s="199"/>
      <x:c r="W161" s="199"/>
      <x:c r="X161" s="198" t="str">
        <x:f t="shared" si="13"/>
      </x:c>
      <x:c r="Y161" s="199"/>
      <x:c r="Z161" s="199"/>
      <x:c r="AA161" s="198" t="str">
        <x:f t="shared" si="14"/>
      </x:c>
      <x:c r="AB161" s="197"/>
      <x:c r="AC161" s="197"/>
      <x:c r="AD161" s="197"/>
      <x:c r="AE161" s="196"/>
    </x:row>
    <x:row r="162">
      <x:c r="A162" s="197"/>
      <x:c r="B162" s="202"/>
      <x:c r="C162" s="201"/>
      <x:c r="D162" s="197"/>
      <x:c r="E162" s="197"/>
      <x:c r="F162" s="197"/>
      <x:c r="G162" s="199"/>
      <x:c r="H162" s="199"/>
      <x:c r="I162" s="199"/>
      <x:c r="J162" s="199"/>
      <x:c r="K162" s="199"/>
      <x:c r="L162" s="199"/>
      <x:c r="M162" s="198" t="str">
        <x:f t="shared" si="12"/>
      </x:c>
      <x:c r="N162" s="199"/>
      <x:c r="O162" s="199"/>
      <x:c r="P162" s="199"/>
      <x:c r="Q162" s="199"/>
      <x:c r="R162" s="199"/>
      <x:c r="S162" s="200"/>
      <x:c r="T162" s="199"/>
      <x:c r="U162" s="199"/>
      <x:c r="V162" s="199"/>
      <x:c r="W162" s="199"/>
      <x:c r="X162" s="198" t="str">
        <x:f t="shared" si="13"/>
      </x:c>
      <x:c r="Y162" s="199"/>
      <x:c r="Z162" s="199"/>
      <x:c r="AA162" s="198" t="str">
        <x:f t="shared" si="14"/>
      </x:c>
      <x:c r="AB162" s="197"/>
      <x:c r="AC162" s="197"/>
      <x:c r="AD162" s="197"/>
      <x:c r="AE162" s="196"/>
    </x:row>
    <x:row r="163">
      <x:c r="A163" s="197"/>
      <x:c r="B163" s="202"/>
      <x:c r="C163" s="201"/>
      <x:c r="D163" s="197"/>
      <x:c r="E163" s="197"/>
      <x:c r="F163" s="197"/>
      <x:c r="G163" s="199"/>
      <x:c r="H163" s="199"/>
      <x:c r="I163" s="199"/>
      <x:c r="J163" s="199"/>
      <x:c r="K163" s="199"/>
      <x:c r="L163" s="199"/>
      <x:c r="M163" s="198" t="str">
        <x:f t="shared" si="12"/>
      </x:c>
      <x:c r="N163" s="199"/>
      <x:c r="O163" s="199"/>
      <x:c r="P163" s="199"/>
      <x:c r="Q163" s="199"/>
      <x:c r="R163" s="199"/>
      <x:c r="S163" s="200"/>
      <x:c r="T163" s="199"/>
      <x:c r="U163" s="199"/>
      <x:c r="V163" s="199"/>
      <x:c r="W163" s="199"/>
      <x:c r="X163" s="198" t="str">
        <x:f t="shared" si="13"/>
      </x:c>
      <x:c r="Y163" s="199"/>
      <x:c r="Z163" s="199"/>
      <x:c r="AA163" s="198" t="str">
        <x:f t="shared" si="14"/>
      </x:c>
      <x:c r="AB163" s="197"/>
      <x:c r="AC163" s="197"/>
      <x:c r="AD163" s="197"/>
      <x:c r="AE163" s="196"/>
    </x:row>
    <x:row r="164">
      <x:c r="A164" s="197"/>
      <x:c r="B164" s="202"/>
      <x:c r="C164" s="201"/>
      <x:c r="D164" s="197"/>
      <x:c r="E164" s="197"/>
      <x:c r="F164" s="197"/>
      <x:c r="G164" s="199"/>
      <x:c r="H164" s="199"/>
      <x:c r="I164" s="199"/>
      <x:c r="J164" s="199"/>
      <x:c r="K164" s="199"/>
      <x:c r="L164" s="199"/>
      <x:c r="M164" s="198" t="str">
        <x:f t="shared" si="12"/>
      </x:c>
      <x:c r="N164" s="199"/>
      <x:c r="O164" s="199"/>
      <x:c r="P164" s="199"/>
      <x:c r="Q164" s="199"/>
      <x:c r="R164" s="199"/>
      <x:c r="S164" s="200"/>
      <x:c r="T164" s="199"/>
      <x:c r="U164" s="199"/>
      <x:c r="V164" s="199"/>
      <x:c r="W164" s="199"/>
      <x:c r="X164" s="198" t="str">
        <x:f t="shared" si="13"/>
      </x:c>
      <x:c r="Y164" s="199"/>
      <x:c r="Z164" s="199"/>
      <x:c r="AA164" s="198" t="str">
        <x:f t="shared" si="14"/>
      </x:c>
      <x:c r="AB164" s="197"/>
      <x:c r="AC164" s="197"/>
      <x:c r="AD164" s="197"/>
      <x:c r="AE164" s="196"/>
    </x:row>
    <x:row r="165">
      <x:c r="A165" s="197"/>
      <x:c r="B165" s="202"/>
      <x:c r="C165" s="201"/>
      <x:c r="D165" s="197"/>
      <x:c r="E165" s="197"/>
      <x:c r="F165" s="197"/>
      <x:c r="G165" s="199"/>
      <x:c r="H165" s="199"/>
      <x:c r="I165" s="199"/>
      <x:c r="J165" s="199"/>
      <x:c r="K165" s="199"/>
      <x:c r="L165" s="199"/>
      <x:c r="M165" s="198" t="str">
        <x:f t="shared" si="12"/>
      </x:c>
      <x:c r="N165" s="199"/>
      <x:c r="O165" s="199"/>
      <x:c r="P165" s="199"/>
      <x:c r="Q165" s="199"/>
      <x:c r="R165" s="199"/>
      <x:c r="S165" s="200"/>
      <x:c r="T165" s="199"/>
      <x:c r="U165" s="199"/>
      <x:c r="V165" s="199"/>
      <x:c r="W165" s="199"/>
      <x:c r="X165" s="198" t="str">
        <x:f t="shared" si="13"/>
      </x:c>
      <x:c r="Y165" s="199"/>
      <x:c r="Z165" s="199"/>
      <x:c r="AA165" s="198" t="str">
        <x:f t="shared" si="14"/>
      </x:c>
      <x:c r="AB165" s="197"/>
      <x:c r="AC165" s="197"/>
      <x:c r="AD165" s="197"/>
      <x:c r="AE165" s="196"/>
    </x:row>
    <x:row r="166">
      <x:c r="A166" s="197"/>
      <x:c r="B166" s="202"/>
      <x:c r="C166" s="201"/>
      <x:c r="D166" s="197"/>
      <x:c r="E166" s="197"/>
      <x:c r="F166" s="197"/>
      <x:c r="G166" s="199"/>
      <x:c r="H166" s="199"/>
      <x:c r="I166" s="199"/>
      <x:c r="J166" s="199"/>
      <x:c r="K166" s="199"/>
      <x:c r="L166" s="199"/>
      <x:c r="M166" s="198" t="str">
        <x:f t="shared" ref="M166:M197" si="15">IF(OR($A166="",$G166=0),"",$K166/$G166)</x:f>
      </x:c>
      <x:c r="N166" s="199"/>
      <x:c r="O166" s="199"/>
      <x:c r="P166" s="199"/>
      <x:c r="Q166" s="199"/>
      <x:c r="R166" s="199"/>
      <x:c r="S166" s="200"/>
      <x:c r="T166" s="199"/>
      <x:c r="U166" s="199"/>
      <x:c r="V166" s="199"/>
      <x:c r="W166" s="199"/>
      <x:c r="X166" s="198" t="str">
        <x:f t="shared" ref="X166:X197" si="16">IF(OR($A166="",$T166=0),"",$U166/$T166)</x:f>
      </x:c>
      <x:c r="Y166" s="199"/>
      <x:c r="Z166" s="199"/>
      <x:c r="AA166" s="198" t="str">
        <x:f t="shared" ref="AA166:AA197" si="17">IF(OR($A166="",$Y166=0),"",$Z166/$Y166)</x:f>
      </x:c>
      <x:c r="AB166" s="197"/>
      <x:c r="AC166" s="197"/>
      <x:c r="AD166" s="197"/>
      <x:c r="AE166" s="196"/>
    </x:row>
    <x:row r="167">
      <x:c r="A167" s="197"/>
      <x:c r="B167" s="202"/>
      <x:c r="C167" s="201"/>
      <x:c r="D167" s="197"/>
      <x:c r="E167" s="197"/>
      <x:c r="F167" s="197"/>
      <x:c r="G167" s="199"/>
      <x:c r="H167" s="199"/>
      <x:c r="I167" s="199"/>
      <x:c r="J167" s="199"/>
      <x:c r="K167" s="199"/>
      <x:c r="L167" s="199"/>
      <x:c r="M167" s="198" t="str">
        <x:f t="shared" si="15"/>
      </x:c>
      <x:c r="N167" s="199"/>
      <x:c r="O167" s="199"/>
      <x:c r="P167" s="199"/>
      <x:c r="Q167" s="199"/>
      <x:c r="R167" s="199"/>
      <x:c r="S167" s="200"/>
      <x:c r="T167" s="199"/>
      <x:c r="U167" s="199"/>
      <x:c r="V167" s="199"/>
      <x:c r="W167" s="199"/>
      <x:c r="X167" s="198" t="str">
        <x:f t="shared" si="16"/>
      </x:c>
      <x:c r="Y167" s="199"/>
      <x:c r="Z167" s="199"/>
      <x:c r="AA167" s="198" t="str">
        <x:f t="shared" si="17"/>
      </x:c>
      <x:c r="AB167" s="197"/>
      <x:c r="AC167" s="197"/>
      <x:c r="AD167" s="197"/>
      <x:c r="AE167" s="196"/>
    </x:row>
    <x:row r="168">
      <x:c r="A168" s="197"/>
      <x:c r="B168" s="202"/>
      <x:c r="C168" s="201"/>
      <x:c r="D168" s="197"/>
      <x:c r="E168" s="197"/>
      <x:c r="F168" s="197"/>
      <x:c r="G168" s="199"/>
      <x:c r="H168" s="199"/>
      <x:c r="I168" s="199"/>
      <x:c r="J168" s="199"/>
      <x:c r="K168" s="199"/>
      <x:c r="L168" s="199"/>
      <x:c r="M168" s="198" t="str">
        <x:f t="shared" si="15"/>
      </x:c>
      <x:c r="N168" s="199"/>
      <x:c r="O168" s="199"/>
      <x:c r="P168" s="199"/>
      <x:c r="Q168" s="199"/>
      <x:c r="R168" s="199"/>
      <x:c r="S168" s="200"/>
      <x:c r="T168" s="199"/>
      <x:c r="U168" s="199"/>
      <x:c r="V168" s="199"/>
      <x:c r="W168" s="199"/>
      <x:c r="X168" s="198" t="str">
        <x:f t="shared" si="16"/>
      </x:c>
      <x:c r="Y168" s="199"/>
      <x:c r="Z168" s="199"/>
      <x:c r="AA168" s="198" t="str">
        <x:f t="shared" si="17"/>
      </x:c>
      <x:c r="AB168" s="197"/>
      <x:c r="AC168" s="197"/>
      <x:c r="AD168" s="197"/>
      <x:c r="AE168" s="196"/>
    </x:row>
    <x:row r="169">
      <x:c r="A169" s="197"/>
      <x:c r="B169" s="202"/>
      <x:c r="C169" s="201"/>
      <x:c r="D169" s="197"/>
      <x:c r="E169" s="197"/>
      <x:c r="F169" s="197"/>
      <x:c r="G169" s="199"/>
      <x:c r="H169" s="199"/>
      <x:c r="I169" s="199"/>
      <x:c r="J169" s="199"/>
      <x:c r="K169" s="199"/>
      <x:c r="L169" s="199"/>
      <x:c r="M169" s="198" t="str">
        <x:f t="shared" si="15"/>
      </x:c>
      <x:c r="N169" s="199"/>
      <x:c r="O169" s="199"/>
      <x:c r="P169" s="199"/>
      <x:c r="Q169" s="199"/>
      <x:c r="R169" s="199"/>
      <x:c r="S169" s="200"/>
      <x:c r="T169" s="199"/>
      <x:c r="U169" s="199"/>
      <x:c r="V169" s="199"/>
      <x:c r="W169" s="199"/>
      <x:c r="X169" s="198" t="str">
        <x:f t="shared" si="16"/>
      </x:c>
      <x:c r="Y169" s="199"/>
      <x:c r="Z169" s="199"/>
      <x:c r="AA169" s="198" t="str">
        <x:f t="shared" si="17"/>
      </x:c>
      <x:c r="AB169" s="197"/>
      <x:c r="AC169" s="197"/>
      <x:c r="AD169" s="197"/>
      <x:c r="AE169" s="196"/>
    </x:row>
    <x:row r="170">
      <x:c r="A170" s="197"/>
      <x:c r="B170" s="202"/>
      <x:c r="C170" s="201"/>
      <x:c r="D170" s="197"/>
      <x:c r="E170" s="197"/>
      <x:c r="F170" s="197"/>
      <x:c r="G170" s="199"/>
      <x:c r="H170" s="199"/>
      <x:c r="I170" s="199"/>
      <x:c r="J170" s="199"/>
      <x:c r="K170" s="199"/>
      <x:c r="L170" s="199"/>
      <x:c r="M170" s="198" t="str">
        <x:f t="shared" si="15"/>
      </x:c>
      <x:c r="N170" s="199"/>
      <x:c r="O170" s="199"/>
      <x:c r="P170" s="199"/>
      <x:c r="Q170" s="199"/>
      <x:c r="R170" s="199"/>
      <x:c r="S170" s="200"/>
      <x:c r="T170" s="199"/>
      <x:c r="U170" s="199"/>
      <x:c r="V170" s="199"/>
      <x:c r="W170" s="199"/>
      <x:c r="X170" s="198" t="str">
        <x:f t="shared" si="16"/>
      </x:c>
      <x:c r="Y170" s="199"/>
      <x:c r="Z170" s="199"/>
      <x:c r="AA170" s="198" t="str">
        <x:f t="shared" si="17"/>
      </x:c>
      <x:c r="AB170" s="197"/>
      <x:c r="AC170" s="197"/>
      <x:c r="AD170" s="197"/>
      <x:c r="AE170" s="196"/>
    </x:row>
    <x:row r="171">
      <x:c r="A171" s="197"/>
      <x:c r="B171" s="202"/>
      <x:c r="C171" s="201"/>
      <x:c r="D171" s="197"/>
      <x:c r="E171" s="197"/>
      <x:c r="F171" s="197"/>
      <x:c r="G171" s="199"/>
      <x:c r="H171" s="199"/>
      <x:c r="I171" s="199"/>
      <x:c r="J171" s="199"/>
      <x:c r="K171" s="199"/>
      <x:c r="L171" s="199"/>
      <x:c r="M171" s="198" t="str">
        <x:f t="shared" si="15"/>
      </x:c>
      <x:c r="N171" s="199"/>
      <x:c r="O171" s="199"/>
      <x:c r="P171" s="199"/>
      <x:c r="Q171" s="199"/>
      <x:c r="R171" s="199"/>
      <x:c r="S171" s="200"/>
      <x:c r="T171" s="199"/>
      <x:c r="U171" s="199"/>
      <x:c r="V171" s="199"/>
      <x:c r="W171" s="199"/>
      <x:c r="X171" s="198" t="str">
        <x:f t="shared" si="16"/>
      </x:c>
      <x:c r="Y171" s="199"/>
      <x:c r="Z171" s="199"/>
      <x:c r="AA171" s="198" t="str">
        <x:f t="shared" si="17"/>
      </x:c>
      <x:c r="AB171" s="197"/>
      <x:c r="AC171" s="197"/>
      <x:c r="AD171" s="197"/>
      <x:c r="AE171" s="196"/>
    </x:row>
    <x:row r="172">
      <x:c r="A172" s="197"/>
      <x:c r="B172" s="202"/>
      <x:c r="C172" s="201"/>
      <x:c r="D172" s="197"/>
      <x:c r="E172" s="197"/>
      <x:c r="F172" s="197"/>
      <x:c r="G172" s="199"/>
      <x:c r="H172" s="199"/>
      <x:c r="I172" s="199"/>
      <x:c r="J172" s="199"/>
      <x:c r="K172" s="199"/>
      <x:c r="L172" s="199"/>
      <x:c r="M172" s="198" t="str">
        <x:f t="shared" si="15"/>
      </x:c>
      <x:c r="N172" s="199"/>
      <x:c r="O172" s="199"/>
      <x:c r="P172" s="199"/>
      <x:c r="Q172" s="199"/>
      <x:c r="R172" s="199"/>
      <x:c r="S172" s="200"/>
      <x:c r="T172" s="199"/>
      <x:c r="U172" s="199"/>
      <x:c r="V172" s="199"/>
      <x:c r="W172" s="199"/>
      <x:c r="X172" s="198" t="str">
        <x:f t="shared" si="16"/>
      </x:c>
      <x:c r="Y172" s="199"/>
      <x:c r="Z172" s="199"/>
      <x:c r="AA172" s="198" t="str">
        <x:f t="shared" si="17"/>
      </x:c>
      <x:c r="AB172" s="197"/>
      <x:c r="AC172" s="197"/>
      <x:c r="AD172" s="197"/>
      <x:c r="AE172" s="196"/>
    </x:row>
    <x:row r="173">
      <x:c r="A173" s="197"/>
      <x:c r="B173" s="202"/>
      <x:c r="C173" s="201"/>
      <x:c r="D173" s="197"/>
      <x:c r="E173" s="197"/>
      <x:c r="F173" s="197"/>
      <x:c r="G173" s="199"/>
      <x:c r="H173" s="199"/>
      <x:c r="I173" s="199"/>
      <x:c r="J173" s="199"/>
      <x:c r="K173" s="199"/>
      <x:c r="L173" s="199"/>
      <x:c r="M173" s="198" t="str">
        <x:f t="shared" si="15"/>
      </x:c>
      <x:c r="N173" s="199"/>
      <x:c r="O173" s="199"/>
      <x:c r="P173" s="199"/>
      <x:c r="Q173" s="199"/>
      <x:c r="R173" s="199"/>
      <x:c r="S173" s="200"/>
      <x:c r="T173" s="199"/>
      <x:c r="U173" s="199"/>
      <x:c r="V173" s="199"/>
      <x:c r="W173" s="199"/>
      <x:c r="X173" s="198" t="str">
        <x:f t="shared" si="16"/>
      </x:c>
      <x:c r="Y173" s="199"/>
      <x:c r="Z173" s="199"/>
      <x:c r="AA173" s="198" t="str">
        <x:f t="shared" si="17"/>
      </x:c>
      <x:c r="AB173" s="197"/>
      <x:c r="AC173" s="197"/>
      <x:c r="AD173" s="197"/>
      <x:c r="AE173" s="196"/>
    </x:row>
    <x:row r="174">
      <x:c r="A174" s="197"/>
      <x:c r="B174" s="202"/>
      <x:c r="C174" s="201"/>
      <x:c r="D174" s="197"/>
      <x:c r="E174" s="197"/>
      <x:c r="F174" s="197"/>
      <x:c r="G174" s="199"/>
      <x:c r="H174" s="199"/>
      <x:c r="I174" s="199"/>
      <x:c r="J174" s="199"/>
      <x:c r="K174" s="199"/>
      <x:c r="L174" s="199"/>
      <x:c r="M174" s="198" t="str">
        <x:f t="shared" si="15"/>
      </x:c>
      <x:c r="N174" s="199"/>
      <x:c r="O174" s="199"/>
      <x:c r="P174" s="199"/>
      <x:c r="Q174" s="199"/>
      <x:c r="R174" s="199"/>
      <x:c r="S174" s="200"/>
      <x:c r="T174" s="199"/>
      <x:c r="U174" s="199"/>
      <x:c r="V174" s="199"/>
      <x:c r="W174" s="199"/>
      <x:c r="X174" s="198" t="str">
        <x:f t="shared" si="16"/>
      </x:c>
      <x:c r="Y174" s="199"/>
      <x:c r="Z174" s="199"/>
      <x:c r="AA174" s="198" t="str">
        <x:f t="shared" si="17"/>
      </x:c>
      <x:c r="AB174" s="197"/>
      <x:c r="AC174" s="197"/>
      <x:c r="AD174" s="197"/>
      <x:c r="AE174" s="196"/>
    </x:row>
    <x:row r="175">
      <x:c r="A175" s="197"/>
      <x:c r="B175" s="202"/>
      <x:c r="C175" s="201"/>
      <x:c r="D175" s="197"/>
      <x:c r="E175" s="197"/>
      <x:c r="F175" s="197"/>
      <x:c r="G175" s="199"/>
      <x:c r="H175" s="199"/>
      <x:c r="I175" s="199"/>
      <x:c r="J175" s="199"/>
      <x:c r="K175" s="199"/>
      <x:c r="L175" s="199"/>
      <x:c r="M175" s="198" t="str">
        <x:f t="shared" si="15"/>
      </x:c>
      <x:c r="N175" s="199"/>
      <x:c r="O175" s="199"/>
      <x:c r="P175" s="199"/>
      <x:c r="Q175" s="199"/>
      <x:c r="R175" s="199"/>
      <x:c r="S175" s="200"/>
      <x:c r="T175" s="199"/>
      <x:c r="U175" s="199"/>
      <x:c r="V175" s="199"/>
      <x:c r="W175" s="199"/>
      <x:c r="X175" s="198" t="str">
        <x:f t="shared" si="16"/>
      </x:c>
      <x:c r="Y175" s="199"/>
      <x:c r="Z175" s="199"/>
      <x:c r="AA175" s="198" t="str">
        <x:f t="shared" si="17"/>
      </x:c>
      <x:c r="AB175" s="197"/>
      <x:c r="AC175" s="197"/>
      <x:c r="AD175" s="197"/>
      <x:c r="AE175" s="196"/>
    </x:row>
    <x:row r="176">
      <x:c r="A176" s="197"/>
      <x:c r="B176" s="202"/>
      <x:c r="C176" s="201"/>
      <x:c r="D176" s="197"/>
      <x:c r="E176" s="197"/>
      <x:c r="F176" s="197"/>
      <x:c r="G176" s="199"/>
      <x:c r="H176" s="199"/>
      <x:c r="I176" s="199"/>
      <x:c r="J176" s="199"/>
      <x:c r="K176" s="199"/>
      <x:c r="L176" s="199"/>
      <x:c r="M176" s="198" t="str">
        <x:f t="shared" si="15"/>
      </x:c>
      <x:c r="N176" s="199"/>
      <x:c r="O176" s="199"/>
      <x:c r="P176" s="199"/>
      <x:c r="Q176" s="199"/>
      <x:c r="R176" s="199"/>
      <x:c r="S176" s="200"/>
      <x:c r="T176" s="199"/>
      <x:c r="U176" s="199"/>
      <x:c r="V176" s="199"/>
      <x:c r="W176" s="199"/>
      <x:c r="X176" s="198" t="str">
        <x:f t="shared" si="16"/>
      </x:c>
      <x:c r="Y176" s="199"/>
      <x:c r="Z176" s="199"/>
      <x:c r="AA176" s="198" t="str">
        <x:f t="shared" si="17"/>
      </x:c>
      <x:c r="AB176" s="197"/>
      <x:c r="AC176" s="197"/>
      <x:c r="AD176" s="197"/>
      <x:c r="AE176" s="196"/>
    </x:row>
    <x:row r="177">
      <x:c r="A177" s="197"/>
      <x:c r="B177" s="202"/>
      <x:c r="C177" s="201"/>
      <x:c r="D177" s="197"/>
      <x:c r="E177" s="197"/>
      <x:c r="F177" s="197"/>
      <x:c r="G177" s="199"/>
      <x:c r="H177" s="199"/>
      <x:c r="I177" s="199"/>
      <x:c r="J177" s="199"/>
      <x:c r="K177" s="199"/>
      <x:c r="L177" s="199"/>
      <x:c r="M177" s="198" t="str">
        <x:f t="shared" si="15"/>
      </x:c>
      <x:c r="N177" s="199"/>
      <x:c r="O177" s="199"/>
      <x:c r="P177" s="199"/>
      <x:c r="Q177" s="199"/>
      <x:c r="R177" s="199"/>
      <x:c r="S177" s="200"/>
      <x:c r="T177" s="199"/>
      <x:c r="U177" s="199"/>
      <x:c r="V177" s="199"/>
      <x:c r="W177" s="199"/>
      <x:c r="X177" s="198" t="str">
        <x:f t="shared" si="16"/>
      </x:c>
      <x:c r="Y177" s="199"/>
      <x:c r="Z177" s="199"/>
      <x:c r="AA177" s="198" t="str">
        <x:f t="shared" si="17"/>
      </x:c>
      <x:c r="AB177" s="197"/>
      <x:c r="AC177" s="197"/>
      <x:c r="AD177" s="197"/>
      <x:c r="AE177" s="196"/>
    </x:row>
    <x:row r="178">
      <x:c r="A178" s="197"/>
      <x:c r="B178" s="202"/>
      <x:c r="C178" s="201"/>
      <x:c r="D178" s="197"/>
      <x:c r="E178" s="197"/>
      <x:c r="F178" s="197"/>
      <x:c r="G178" s="199"/>
      <x:c r="H178" s="199"/>
      <x:c r="I178" s="199"/>
      <x:c r="J178" s="199"/>
      <x:c r="K178" s="199"/>
      <x:c r="L178" s="199"/>
      <x:c r="M178" s="198" t="str">
        <x:f t="shared" si="15"/>
      </x:c>
      <x:c r="N178" s="199"/>
      <x:c r="O178" s="199"/>
      <x:c r="P178" s="199"/>
      <x:c r="Q178" s="199"/>
      <x:c r="R178" s="199"/>
      <x:c r="S178" s="200"/>
      <x:c r="T178" s="199"/>
      <x:c r="U178" s="199"/>
      <x:c r="V178" s="199"/>
      <x:c r="W178" s="199"/>
      <x:c r="X178" s="198" t="str">
        <x:f t="shared" si="16"/>
      </x:c>
      <x:c r="Y178" s="199"/>
      <x:c r="Z178" s="199"/>
      <x:c r="AA178" s="198" t="str">
        <x:f t="shared" si="17"/>
      </x:c>
      <x:c r="AB178" s="197"/>
      <x:c r="AC178" s="197"/>
      <x:c r="AD178" s="197"/>
      <x:c r="AE178" s="196"/>
    </x:row>
    <x:row r="179">
      <x:c r="A179" s="197"/>
      <x:c r="B179" s="202"/>
      <x:c r="C179" s="201"/>
      <x:c r="D179" s="197"/>
      <x:c r="E179" s="197"/>
      <x:c r="F179" s="197"/>
      <x:c r="G179" s="199"/>
      <x:c r="H179" s="199"/>
      <x:c r="I179" s="199"/>
      <x:c r="J179" s="199"/>
      <x:c r="K179" s="199"/>
      <x:c r="L179" s="199"/>
      <x:c r="M179" s="198" t="str">
        <x:f t="shared" si="15"/>
      </x:c>
      <x:c r="N179" s="199"/>
      <x:c r="O179" s="199"/>
      <x:c r="P179" s="199"/>
      <x:c r="Q179" s="199"/>
      <x:c r="R179" s="199"/>
      <x:c r="S179" s="200"/>
      <x:c r="T179" s="199"/>
      <x:c r="U179" s="199"/>
      <x:c r="V179" s="199"/>
      <x:c r="W179" s="199"/>
      <x:c r="X179" s="198" t="str">
        <x:f t="shared" si="16"/>
      </x:c>
      <x:c r="Y179" s="199"/>
      <x:c r="Z179" s="199"/>
      <x:c r="AA179" s="198" t="str">
        <x:f t="shared" si="17"/>
      </x:c>
      <x:c r="AB179" s="197"/>
      <x:c r="AC179" s="197"/>
      <x:c r="AD179" s="197"/>
      <x:c r="AE179" s="196"/>
    </x:row>
    <x:row r="180">
      <x:c r="A180" s="197"/>
      <x:c r="B180" s="202"/>
      <x:c r="C180" s="201"/>
      <x:c r="D180" s="197"/>
      <x:c r="E180" s="197"/>
      <x:c r="F180" s="197"/>
      <x:c r="G180" s="199"/>
      <x:c r="H180" s="199"/>
      <x:c r="I180" s="199"/>
      <x:c r="J180" s="199"/>
      <x:c r="K180" s="199"/>
      <x:c r="L180" s="199"/>
      <x:c r="M180" s="198" t="str">
        <x:f t="shared" si="15"/>
      </x:c>
      <x:c r="N180" s="199"/>
      <x:c r="O180" s="199"/>
      <x:c r="P180" s="199"/>
      <x:c r="Q180" s="199"/>
      <x:c r="R180" s="199"/>
      <x:c r="S180" s="200"/>
      <x:c r="T180" s="199"/>
      <x:c r="U180" s="199"/>
      <x:c r="V180" s="199"/>
      <x:c r="W180" s="199"/>
      <x:c r="X180" s="198" t="str">
        <x:f t="shared" si="16"/>
      </x:c>
      <x:c r="Y180" s="199"/>
      <x:c r="Z180" s="199"/>
      <x:c r="AA180" s="198" t="str">
        <x:f t="shared" si="17"/>
      </x:c>
      <x:c r="AB180" s="197"/>
      <x:c r="AC180" s="197"/>
      <x:c r="AD180" s="197"/>
      <x:c r="AE180" s="196"/>
    </x:row>
    <x:row r="181">
      <x:c r="A181" s="197"/>
      <x:c r="B181" s="202"/>
      <x:c r="C181" s="201"/>
      <x:c r="D181" s="197"/>
      <x:c r="E181" s="197"/>
      <x:c r="F181" s="197"/>
      <x:c r="G181" s="199"/>
      <x:c r="H181" s="199"/>
      <x:c r="I181" s="199"/>
      <x:c r="J181" s="199"/>
      <x:c r="K181" s="199"/>
      <x:c r="L181" s="199"/>
      <x:c r="M181" s="198" t="str">
        <x:f t="shared" si="15"/>
      </x:c>
      <x:c r="N181" s="199"/>
      <x:c r="O181" s="199"/>
      <x:c r="P181" s="199"/>
      <x:c r="Q181" s="199"/>
      <x:c r="R181" s="199"/>
      <x:c r="S181" s="200"/>
      <x:c r="T181" s="199"/>
      <x:c r="U181" s="199"/>
      <x:c r="V181" s="199"/>
      <x:c r="W181" s="199"/>
      <x:c r="X181" s="198" t="str">
        <x:f t="shared" si="16"/>
      </x:c>
      <x:c r="Y181" s="199"/>
      <x:c r="Z181" s="199"/>
      <x:c r="AA181" s="198" t="str">
        <x:f t="shared" si="17"/>
      </x:c>
      <x:c r="AB181" s="197"/>
      <x:c r="AC181" s="197"/>
      <x:c r="AD181" s="197"/>
      <x:c r="AE181" s="196"/>
    </x:row>
    <x:row r="182">
      <x:c r="A182" s="197"/>
      <x:c r="B182" s="202"/>
      <x:c r="C182" s="201"/>
      <x:c r="D182" s="197"/>
      <x:c r="E182" s="197"/>
      <x:c r="F182" s="197"/>
      <x:c r="G182" s="199"/>
      <x:c r="H182" s="199"/>
      <x:c r="I182" s="199"/>
      <x:c r="J182" s="199"/>
      <x:c r="K182" s="199"/>
      <x:c r="L182" s="199"/>
      <x:c r="M182" s="198" t="str">
        <x:f t="shared" si="15"/>
      </x:c>
      <x:c r="N182" s="199"/>
      <x:c r="O182" s="199"/>
      <x:c r="P182" s="199"/>
      <x:c r="Q182" s="199"/>
      <x:c r="R182" s="199"/>
      <x:c r="S182" s="200"/>
      <x:c r="T182" s="199"/>
      <x:c r="U182" s="199"/>
      <x:c r="V182" s="199"/>
      <x:c r="W182" s="199"/>
      <x:c r="X182" s="198" t="str">
        <x:f t="shared" si="16"/>
      </x:c>
      <x:c r="Y182" s="199"/>
      <x:c r="Z182" s="199"/>
      <x:c r="AA182" s="198" t="str">
        <x:f t="shared" si="17"/>
      </x:c>
      <x:c r="AB182" s="197"/>
      <x:c r="AC182" s="197"/>
      <x:c r="AD182" s="197"/>
      <x:c r="AE182" s="196"/>
    </x:row>
    <x:row r="183">
      <x:c r="A183" s="197"/>
      <x:c r="B183" s="202"/>
      <x:c r="C183" s="201"/>
      <x:c r="D183" s="197"/>
      <x:c r="E183" s="197"/>
      <x:c r="F183" s="197"/>
      <x:c r="G183" s="199"/>
      <x:c r="H183" s="199"/>
      <x:c r="I183" s="199"/>
      <x:c r="J183" s="199"/>
      <x:c r="K183" s="199"/>
      <x:c r="L183" s="199"/>
      <x:c r="M183" s="198" t="str">
        <x:f t="shared" si="15"/>
      </x:c>
      <x:c r="N183" s="199"/>
      <x:c r="O183" s="199"/>
      <x:c r="P183" s="199"/>
      <x:c r="Q183" s="199"/>
      <x:c r="R183" s="199"/>
      <x:c r="S183" s="200"/>
      <x:c r="T183" s="199"/>
      <x:c r="U183" s="199"/>
      <x:c r="V183" s="199"/>
      <x:c r="W183" s="199"/>
      <x:c r="X183" s="198" t="str">
        <x:f t="shared" si="16"/>
      </x:c>
      <x:c r="Y183" s="199"/>
      <x:c r="Z183" s="199"/>
      <x:c r="AA183" s="198" t="str">
        <x:f t="shared" si="17"/>
      </x:c>
      <x:c r="AB183" s="197"/>
      <x:c r="AC183" s="197"/>
      <x:c r="AD183" s="197"/>
      <x:c r="AE183" s="196"/>
    </x:row>
    <x:row r="184">
      <x:c r="A184" s="197"/>
      <x:c r="B184" s="202"/>
      <x:c r="C184" s="201"/>
      <x:c r="D184" s="197"/>
      <x:c r="E184" s="197"/>
      <x:c r="F184" s="197"/>
      <x:c r="G184" s="199"/>
      <x:c r="H184" s="199"/>
      <x:c r="I184" s="199"/>
      <x:c r="J184" s="199"/>
      <x:c r="K184" s="199"/>
      <x:c r="L184" s="199"/>
      <x:c r="M184" s="198" t="str">
        <x:f t="shared" si="15"/>
      </x:c>
      <x:c r="N184" s="199"/>
      <x:c r="O184" s="199"/>
      <x:c r="P184" s="199"/>
      <x:c r="Q184" s="199"/>
      <x:c r="R184" s="199"/>
      <x:c r="S184" s="200"/>
      <x:c r="T184" s="199"/>
      <x:c r="U184" s="199"/>
      <x:c r="V184" s="199"/>
      <x:c r="W184" s="199"/>
      <x:c r="X184" s="198" t="str">
        <x:f t="shared" si="16"/>
      </x:c>
      <x:c r="Y184" s="199"/>
      <x:c r="Z184" s="199"/>
      <x:c r="AA184" s="198" t="str">
        <x:f t="shared" si="17"/>
      </x:c>
      <x:c r="AB184" s="197"/>
      <x:c r="AC184" s="197"/>
      <x:c r="AD184" s="197"/>
      <x:c r="AE184" s="196"/>
    </x:row>
    <x:row r="185">
      <x:c r="A185" s="197"/>
      <x:c r="B185" s="202"/>
      <x:c r="C185" s="201"/>
      <x:c r="D185" s="197"/>
      <x:c r="E185" s="197"/>
      <x:c r="F185" s="197"/>
      <x:c r="G185" s="199"/>
      <x:c r="H185" s="199"/>
      <x:c r="I185" s="199"/>
      <x:c r="J185" s="199"/>
      <x:c r="K185" s="199"/>
      <x:c r="L185" s="199"/>
      <x:c r="M185" s="198" t="str">
        <x:f t="shared" si="15"/>
      </x:c>
      <x:c r="N185" s="199"/>
      <x:c r="O185" s="199"/>
      <x:c r="P185" s="199"/>
      <x:c r="Q185" s="199"/>
      <x:c r="R185" s="199"/>
      <x:c r="S185" s="200"/>
      <x:c r="T185" s="199"/>
      <x:c r="U185" s="199"/>
      <x:c r="V185" s="199"/>
      <x:c r="W185" s="199"/>
      <x:c r="X185" s="198" t="str">
        <x:f t="shared" si="16"/>
      </x:c>
      <x:c r="Y185" s="199"/>
      <x:c r="Z185" s="199"/>
      <x:c r="AA185" s="198" t="str">
        <x:f t="shared" si="17"/>
      </x:c>
      <x:c r="AB185" s="197"/>
      <x:c r="AC185" s="197"/>
      <x:c r="AD185" s="197"/>
      <x:c r="AE185" s="196"/>
    </x:row>
    <x:row r="186">
      <x:c r="A186" s="197"/>
      <x:c r="B186" s="202"/>
      <x:c r="C186" s="201"/>
      <x:c r="D186" s="197"/>
      <x:c r="E186" s="197"/>
      <x:c r="F186" s="197"/>
      <x:c r="G186" s="199"/>
      <x:c r="H186" s="199"/>
      <x:c r="I186" s="199"/>
      <x:c r="J186" s="199"/>
      <x:c r="K186" s="199"/>
      <x:c r="L186" s="199"/>
      <x:c r="M186" s="198" t="str">
        <x:f t="shared" si="15"/>
      </x:c>
      <x:c r="N186" s="199"/>
      <x:c r="O186" s="199"/>
      <x:c r="P186" s="199"/>
      <x:c r="Q186" s="199"/>
      <x:c r="R186" s="199"/>
      <x:c r="S186" s="200"/>
      <x:c r="T186" s="199"/>
      <x:c r="U186" s="199"/>
      <x:c r="V186" s="199"/>
      <x:c r="W186" s="199"/>
      <x:c r="X186" s="198" t="str">
        <x:f t="shared" si="16"/>
      </x:c>
      <x:c r="Y186" s="199"/>
      <x:c r="Z186" s="199"/>
      <x:c r="AA186" s="198" t="str">
        <x:f t="shared" si="17"/>
      </x:c>
      <x:c r="AB186" s="197"/>
      <x:c r="AC186" s="197"/>
      <x:c r="AD186" s="197"/>
      <x:c r="AE186" s="196"/>
    </x:row>
    <x:row r="187">
      <x:c r="A187" s="197"/>
      <x:c r="B187" s="202"/>
      <x:c r="C187" s="201"/>
      <x:c r="D187" s="197"/>
      <x:c r="E187" s="197"/>
      <x:c r="F187" s="197"/>
      <x:c r="G187" s="199"/>
      <x:c r="H187" s="199"/>
      <x:c r="I187" s="199"/>
      <x:c r="J187" s="199"/>
      <x:c r="K187" s="199"/>
      <x:c r="L187" s="199"/>
      <x:c r="M187" s="198" t="str">
        <x:f t="shared" si="15"/>
      </x:c>
      <x:c r="N187" s="199"/>
      <x:c r="O187" s="199"/>
      <x:c r="P187" s="199"/>
      <x:c r="Q187" s="199"/>
      <x:c r="R187" s="199"/>
      <x:c r="S187" s="200"/>
      <x:c r="T187" s="199"/>
      <x:c r="U187" s="199"/>
      <x:c r="V187" s="199"/>
      <x:c r="W187" s="199"/>
      <x:c r="X187" s="198" t="str">
        <x:f t="shared" si="16"/>
      </x:c>
      <x:c r="Y187" s="199"/>
      <x:c r="Z187" s="199"/>
      <x:c r="AA187" s="198" t="str">
        <x:f t="shared" si="17"/>
      </x:c>
      <x:c r="AB187" s="197"/>
      <x:c r="AC187" s="197"/>
      <x:c r="AD187" s="197"/>
      <x:c r="AE187" s="196"/>
    </x:row>
    <x:row r="188">
      <x:c r="A188" s="197"/>
      <x:c r="B188" s="202"/>
      <x:c r="C188" s="201"/>
      <x:c r="D188" s="197"/>
      <x:c r="E188" s="197"/>
      <x:c r="F188" s="197"/>
      <x:c r="G188" s="199"/>
      <x:c r="H188" s="199"/>
      <x:c r="I188" s="199"/>
      <x:c r="J188" s="199"/>
      <x:c r="K188" s="199"/>
      <x:c r="L188" s="199"/>
      <x:c r="M188" s="198" t="str">
        <x:f t="shared" si="15"/>
      </x:c>
      <x:c r="N188" s="199"/>
      <x:c r="O188" s="199"/>
      <x:c r="P188" s="199"/>
      <x:c r="Q188" s="199"/>
      <x:c r="R188" s="199"/>
      <x:c r="S188" s="200"/>
      <x:c r="T188" s="199"/>
      <x:c r="U188" s="199"/>
      <x:c r="V188" s="199"/>
      <x:c r="W188" s="199"/>
      <x:c r="X188" s="198" t="str">
        <x:f t="shared" si="16"/>
      </x:c>
      <x:c r="Y188" s="199"/>
      <x:c r="Z188" s="199"/>
      <x:c r="AA188" s="198" t="str">
        <x:f t="shared" si="17"/>
      </x:c>
      <x:c r="AB188" s="197"/>
      <x:c r="AC188" s="197"/>
      <x:c r="AD188" s="197"/>
      <x:c r="AE188" s="196"/>
    </x:row>
    <x:row r="189">
      <x:c r="A189" s="197"/>
      <x:c r="B189" s="202"/>
      <x:c r="C189" s="201"/>
      <x:c r="D189" s="197"/>
      <x:c r="E189" s="197"/>
      <x:c r="F189" s="197"/>
      <x:c r="G189" s="199"/>
      <x:c r="H189" s="199"/>
      <x:c r="I189" s="199"/>
      <x:c r="J189" s="199"/>
      <x:c r="K189" s="199"/>
      <x:c r="L189" s="199"/>
      <x:c r="M189" s="198" t="str">
        <x:f t="shared" si="15"/>
      </x:c>
      <x:c r="N189" s="199"/>
      <x:c r="O189" s="199"/>
      <x:c r="P189" s="199"/>
      <x:c r="Q189" s="199"/>
      <x:c r="R189" s="199"/>
      <x:c r="S189" s="200"/>
      <x:c r="T189" s="199"/>
      <x:c r="U189" s="199"/>
      <x:c r="V189" s="199"/>
      <x:c r="W189" s="199"/>
      <x:c r="X189" s="198" t="str">
        <x:f t="shared" si="16"/>
      </x:c>
      <x:c r="Y189" s="199"/>
      <x:c r="Z189" s="199"/>
      <x:c r="AA189" s="198" t="str">
        <x:f t="shared" si="17"/>
      </x:c>
      <x:c r="AB189" s="197"/>
      <x:c r="AC189" s="197"/>
      <x:c r="AD189" s="197"/>
      <x:c r="AE189" s="196"/>
    </x:row>
    <x:row r="190">
      <x:c r="A190" s="197"/>
      <x:c r="B190" s="202"/>
      <x:c r="C190" s="201"/>
      <x:c r="D190" s="197"/>
      <x:c r="E190" s="197"/>
      <x:c r="F190" s="197"/>
      <x:c r="G190" s="199"/>
      <x:c r="H190" s="199"/>
      <x:c r="I190" s="199"/>
      <x:c r="J190" s="199"/>
      <x:c r="K190" s="199"/>
      <x:c r="L190" s="199"/>
      <x:c r="M190" s="198" t="str">
        <x:f t="shared" si="15"/>
      </x:c>
      <x:c r="N190" s="199"/>
      <x:c r="O190" s="199"/>
      <x:c r="P190" s="199"/>
      <x:c r="Q190" s="199"/>
      <x:c r="R190" s="199"/>
      <x:c r="S190" s="200"/>
      <x:c r="T190" s="199"/>
      <x:c r="U190" s="199"/>
      <x:c r="V190" s="199"/>
      <x:c r="W190" s="199"/>
      <x:c r="X190" s="198" t="str">
        <x:f t="shared" si="16"/>
      </x:c>
      <x:c r="Y190" s="199"/>
      <x:c r="Z190" s="199"/>
      <x:c r="AA190" s="198" t="str">
        <x:f t="shared" si="17"/>
      </x:c>
      <x:c r="AB190" s="197"/>
      <x:c r="AC190" s="197"/>
      <x:c r="AD190" s="197"/>
      <x:c r="AE190" s="196"/>
    </x:row>
    <x:row r="191">
      <x:c r="A191" s="197"/>
      <x:c r="B191" s="202"/>
      <x:c r="C191" s="201"/>
      <x:c r="D191" s="197"/>
      <x:c r="E191" s="197"/>
      <x:c r="F191" s="197"/>
      <x:c r="G191" s="199"/>
      <x:c r="H191" s="199"/>
      <x:c r="I191" s="199"/>
      <x:c r="J191" s="199"/>
      <x:c r="K191" s="199"/>
      <x:c r="L191" s="199"/>
      <x:c r="M191" s="198" t="str">
        <x:f t="shared" si="15"/>
      </x:c>
      <x:c r="N191" s="199"/>
      <x:c r="O191" s="199"/>
      <x:c r="P191" s="199"/>
      <x:c r="Q191" s="199"/>
      <x:c r="R191" s="199"/>
      <x:c r="S191" s="200"/>
      <x:c r="T191" s="199"/>
      <x:c r="U191" s="199"/>
      <x:c r="V191" s="199"/>
      <x:c r="W191" s="199"/>
      <x:c r="X191" s="198" t="str">
        <x:f t="shared" si="16"/>
      </x:c>
      <x:c r="Y191" s="199"/>
      <x:c r="Z191" s="199"/>
      <x:c r="AA191" s="198" t="str">
        <x:f t="shared" si="17"/>
      </x:c>
      <x:c r="AB191" s="197"/>
      <x:c r="AC191" s="197"/>
      <x:c r="AD191" s="197"/>
      <x:c r="AE191" s="196"/>
    </x:row>
    <x:row r="192">
      <x:c r="A192" s="197"/>
      <x:c r="B192" s="202"/>
      <x:c r="C192" s="201"/>
      <x:c r="D192" s="197"/>
      <x:c r="E192" s="197"/>
      <x:c r="F192" s="197"/>
      <x:c r="G192" s="199"/>
      <x:c r="H192" s="199"/>
      <x:c r="I192" s="199"/>
      <x:c r="J192" s="199"/>
      <x:c r="K192" s="199"/>
      <x:c r="L192" s="199"/>
      <x:c r="M192" s="198" t="str">
        <x:f t="shared" si="15"/>
      </x:c>
      <x:c r="N192" s="199"/>
      <x:c r="O192" s="199"/>
      <x:c r="P192" s="199"/>
      <x:c r="Q192" s="199"/>
      <x:c r="R192" s="199"/>
      <x:c r="S192" s="200"/>
      <x:c r="T192" s="199"/>
      <x:c r="U192" s="199"/>
      <x:c r="V192" s="199"/>
      <x:c r="W192" s="199"/>
      <x:c r="X192" s="198" t="str">
        <x:f t="shared" si="16"/>
      </x:c>
      <x:c r="Y192" s="199"/>
      <x:c r="Z192" s="199"/>
      <x:c r="AA192" s="198" t="str">
        <x:f t="shared" si="17"/>
      </x:c>
      <x:c r="AB192" s="197"/>
      <x:c r="AC192" s="197"/>
      <x:c r="AD192" s="197"/>
      <x:c r="AE192" s="196"/>
    </x:row>
    <x:row r="193">
      <x:c r="A193" s="197"/>
      <x:c r="B193" s="202"/>
      <x:c r="C193" s="201"/>
      <x:c r="D193" s="197"/>
      <x:c r="E193" s="197"/>
      <x:c r="F193" s="197"/>
      <x:c r="G193" s="199"/>
      <x:c r="H193" s="199"/>
      <x:c r="I193" s="199"/>
      <x:c r="J193" s="199"/>
      <x:c r="K193" s="199"/>
      <x:c r="L193" s="199"/>
      <x:c r="M193" s="198" t="str">
        <x:f t="shared" si="15"/>
      </x:c>
      <x:c r="N193" s="199"/>
      <x:c r="O193" s="199"/>
      <x:c r="P193" s="199"/>
      <x:c r="Q193" s="199"/>
      <x:c r="R193" s="199"/>
      <x:c r="S193" s="200"/>
      <x:c r="T193" s="199"/>
      <x:c r="U193" s="199"/>
      <x:c r="V193" s="199"/>
      <x:c r="W193" s="199"/>
      <x:c r="X193" s="198" t="str">
        <x:f t="shared" si="16"/>
      </x:c>
      <x:c r="Y193" s="199"/>
      <x:c r="Z193" s="199"/>
      <x:c r="AA193" s="198" t="str">
        <x:f t="shared" si="17"/>
      </x:c>
      <x:c r="AB193" s="197"/>
      <x:c r="AC193" s="197"/>
      <x:c r="AD193" s="197"/>
      <x:c r="AE193" s="196"/>
    </x:row>
    <x:row r="194">
      <x:c r="A194" s="197"/>
      <x:c r="B194" s="202"/>
      <x:c r="C194" s="201"/>
      <x:c r="D194" s="197"/>
      <x:c r="E194" s="197"/>
      <x:c r="F194" s="197"/>
      <x:c r="G194" s="199"/>
      <x:c r="H194" s="199"/>
      <x:c r="I194" s="199"/>
      <x:c r="J194" s="199"/>
      <x:c r="K194" s="199"/>
      <x:c r="L194" s="199"/>
      <x:c r="M194" s="198" t="str">
        <x:f t="shared" si="15"/>
      </x:c>
      <x:c r="N194" s="199"/>
      <x:c r="O194" s="199"/>
      <x:c r="P194" s="199"/>
      <x:c r="Q194" s="199"/>
      <x:c r="R194" s="199"/>
      <x:c r="S194" s="200"/>
      <x:c r="T194" s="199"/>
      <x:c r="U194" s="199"/>
      <x:c r="V194" s="199"/>
      <x:c r="W194" s="199"/>
      <x:c r="X194" s="198" t="str">
        <x:f t="shared" si="16"/>
      </x:c>
      <x:c r="Y194" s="199"/>
      <x:c r="Z194" s="199"/>
      <x:c r="AA194" s="198" t="str">
        <x:f t="shared" si="17"/>
      </x:c>
      <x:c r="AB194" s="197"/>
      <x:c r="AC194" s="197"/>
      <x:c r="AD194" s="197"/>
      <x:c r="AE194" s="196"/>
    </x:row>
    <x:row r="195">
      <x:c r="A195" s="197"/>
      <x:c r="B195" s="202"/>
      <x:c r="C195" s="201"/>
      <x:c r="D195" s="197"/>
      <x:c r="E195" s="197"/>
      <x:c r="F195" s="197"/>
      <x:c r="G195" s="199"/>
      <x:c r="H195" s="199"/>
      <x:c r="I195" s="199"/>
      <x:c r="J195" s="199"/>
      <x:c r="K195" s="199"/>
      <x:c r="L195" s="199"/>
      <x:c r="M195" s="198" t="str">
        <x:f t="shared" si="15"/>
      </x:c>
      <x:c r="N195" s="199"/>
      <x:c r="O195" s="199"/>
      <x:c r="P195" s="199"/>
      <x:c r="Q195" s="199"/>
      <x:c r="R195" s="199"/>
      <x:c r="S195" s="200"/>
      <x:c r="T195" s="199"/>
      <x:c r="U195" s="199"/>
      <x:c r="V195" s="199"/>
      <x:c r="W195" s="199"/>
      <x:c r="X195" s="198" t="str">
        <x:f t="shared" si="16"/>
      </x:c>
      <x:c r="Y195" s="199"/>
      <x:c r="Z195" s="199"/>
      <x:c r="AA195" s="198" t="str">
        <x:f t="shared" si="17"/>
      </x:c>
      <x:c r="AB195" s="197"/>
      <x:c r="AC195" s="197"/>
      <x:c r="AD195" s="197"/>
      <x:c r="AE195" s="196"/>
    </x:row>
    <x:row r="196">
      <x:c r="A196" s="197"/>
      <x:c r="B196" s="202"/>
      <x:c r="C196" s="201"/>
      <x:c r="D196" s="197"/>
      <x:c r="E196" s="197"/>
      <x:c r="F196" s="197"/>
      <x:c r="G196" s="199"/>
      <x:c r="H196" s="199"/>
      <x:c r="I196" s="199"/>
      <x:c r="J196" s="199"/>
      <x:c r="K196" s="199"/>
      <x:c r="L196" s="199"/>
      <x:c r="M196" s="198" t="str">
        <x:f t="shared" si="15"/>
      </x:c>
      <x:c r="N196" s="199"/>
      <x:c r="O196" s="199"/>
      <x:c r="P196" s="199"/>
      <x:c r="Q196" s="199"/>
      <x:c r="R196" s="199"/>
      <x:c r="S196" s="200"/>
      <x:c r="T196" s="199"/>
      <x:c r="U196" s="199"/>
      <x:c r="V196" s="199"/>
      <x:c r="W196" s="199"/>
      <x:c r="X196" s="198" t="str">
        <x:f t="shared" si="16"/>
      </x:c>
      <x:c r="Y196" s="199"/>
      <x:c r="Z196" s="199"/>
      <x:c r="AA196" s="198" t="str">
        <x:f t="shared" si="17"/>
      </x:c>
      <x:c r="AB196" s="197"/>
      <x:c r="AC196" s="197"/>
      <x:c r="AD196" s="197"/>
      <x:c r="AE196" s="196"/>
    </x:row>
    <x:row r="197">
      <x:c r="A197" s="197"/>
      <x:c r="B197" s="202"/>
      <x:c r="C197" s="201"/>
      <x:c r="D197" s="197"/>
      <x:c r="E197" s="197"/>
      <x:c r="F197" s="197"/>
      <x:c r="G197" s="199"/>
      <x:c r="H197" s="199"/>
      <x:c r="I197" s="199"/>
      <x:c r="J197" s="199"/>
      <x:c r="K197" s="199"/>
      <x:c r="L197" s="199"/>
      <x:c r="M197" s="198" t="str">
        <x:f t="shared" si="15"/>
      </x:c>
      <x:c r="N197" s="199"/>
      <x:c r="O197" s="199"/>
      <x:c r="P197" s="199"/>
      <x:c r="Q197" s="199"/>
      <x:c r="R197" s="199"/>
      <x:c r="S197" s="200"/>
      <x:c r="T197" s="199"/>
      <x:c r="U197" s="199"/>
      <x:c r="V197" s="199"/>
      <x:c r="W197" s="199"/>
      <x:c r="X197" s="198" t="str">
        <x:f t="shared" si="16"/>
      </x:c>
      <x:c r="Y197" s="199"/>
      <x:c r="Z197" s="199"/>
      <x:c r="AA197" s="198" t="str">
        <x:f t="shared" si="17"/>
      </x:c>
      <x:c r="AB197" s="197"/>
      <x:c r="AC197" s="197"/>
      <x:c r="AD197" s="197"/>
      <x:c r="AE197" s="196"/>
    </x:row>
    <x:row r="198">
      <x:c r="A198" s="197"/>
      <x:c r="B198" s="202"/>
      <x:c r="C198" s="201"/>
      <x:c r="D198" s="197"/>
      <x:c r="E198" s="197"/>
      <x:c r="F198" s="197"/>
      <x:c r="G198" s="199"/>
      <x:c r="H198" s="199"/>
      <x:c r="I198" s="199"/>
      <x:c r="J198" s="199"/>
      <x:c r="K198" s="199"/>
      <x:c r="L198" s="199"/>
      <x:c r="M198" s="198" t="str">
        <x:f t="shared" ref="M198:M205" si="18">IF(OR($A198="",$G198=0),"",$K198/$G198)</x:f>
      </x:c>
      <x:c r="N198" s="199"/>
      <x:c r="O198" s="199"/>
      <x:c r="P198" s="199"/>
      <x:c r="Q198" s="199"/>
      <x:c r="R198" s="199"/>
      <x:c r="S198" s="200"/>
      <x:c r="T198" s="199"/>
      <x:c r="U198" s="199"/>
      <x:c r="V198" s="199"/>
      <x:c r="W198" s="199"/>
      <x:c r="X198" s="198" t="str">
        <x:f t="shared" ref="X198:X205" si="19">IF(OR($A198="",$T198=0),"",$U198/$T198)</x:f>
      </x:c>
      <x:c r="Y198" s="199"/>
      <x:c r="Z198" s="199"/>
      <x:c r="AA198" s="198" t="str">
        <x:f t="shared" ref="AA198:AA205" si="20">IF(OR($A198="",$Y198=0),"",$Z198/$Y198)</x:f>
      </x:c>
      <x:c r="AB198" s="197"/>
      <x:c r="AC198" s="197"/>
      <x:c r="AD198" s="197"/>
      <x:c r="AE198" s="196"/>
    </x:row>
    <x:row r="199">
      <x:c r="A199" s="197"/>
      <x:c r="B199" s="202"/>
      <x:c r="C199" s="201"/>
      <x:c r="D199" s="197"/>
      <x:c r="E199" s="197"/>
      <x:c r="F199" s="197"/>
      <x:c r="G199" s="199"/>
      <x:c r="H199" s="199"/>
      <x:c r="I199" s="199"/>
      <x:c r="J199" s="199"/>
      <x:c r="K199" s="199"/>
      <x:c r="L199" s="199"/>
      <x:c r="M199" s="198" t="str">
        <x:f t="shared" si="18"/>
      </x:c>
      <x:c r="N199" s="199"/>
      <x:c r="O199" s="199"/>
      <x:c r="P199" s="199"/>
      <x:c r="Q199" s="199"/>
      <x:c r="R199" s="199"/>
      <x:c r="S199" s="200"/>
      <x:c r="T199" s="199"/>
      <x:c r="U199" s="199"/>
      <x:c r="V199" s="199"/>
      <x:c r="W199" s="199"/>
      <x:c r="X199" s="198" t="str">
        <x:f t="shared" si="19"/>
      </x:c>
      <x:c r="Y199" s="199"/>
      <x:c r="Z199" s="199"/>
      <x:c r="AA199" s="198" t="str">
        <x:f t="shared" si="20"/>
      </x:c>
      <x:c r="AB199" s="197"/>
      <x:c r="AC199" s="197"/>
      <x:c r="AD199" s="197"/>
      <x:c r="AE199" s="196"/>
    </x:row>
    <x:row r="200">
      <x:c r="A200" s="197"/>
      <x:c r="B200" s="202"/>
      <x:c r="C200" s="201"/>
      <x:c r="D200" s="197"/>
      <x:c r="E200" s="197"/>
      <x:c r="F200" s="197"/>
      <x:c r="G200" s="199"/>
      <x:c r="H200" s="199"/>
      <x:c r="I200" s="199"/>
      <x:c r="J200" s="199"/>
      <x:c r="K200" s="199"/>
      <x:c r="L200" s="199"/>
      <x:c r="M200" s="198" t="str">
        <x:f t="shared" si="18"/>
      </x:c>
      <x:c r="N200" s="199"/>
      <x:c r="O200" s="199"/>
      <x:c r="P200" s="199"/>
      <x:c r="Q200" s="199"/>
      <x:c r="R200" s="199"/>
      <x:c r="S200" s="200"/>
      <x:c r="T200" s="199"/>
      <x:c r="U200" s="199"/>
      <x:c r="V200" s="199"/>
      <x:c r="W200" s="199"/>
      <x:c r="X200" s="198" t="str">
        <x:f t="shared" si="19"/>
      </x:c>
      <x:c r="Y200" s="199"/>
      <x:c r="Z200" s="199"/>
      <x:c r="AA200" s="198" t="str">
        <x:f t="shared" si="20"/>
      </x:c>
      <x:c r="AB200" s="197"/>
      <x:c r="AC200" s="197"/>
      <x:c r="AD200" s="197"/>
      <x:c r="AE200" s="196"/>
    </x:row>
    <x:row r="201">
      <x:c r="A201" s="197"/>
      <x:c r="B201" s="202"/>
      <x:c r="C201" s="201"/>
      <x:c r="D201" s="197"/>
      <x:c r="E201" s="197"/>
      <x:c r="F201" s="197"/>
      <x:c r="G201" s="199"/>
      <x:c r="H201" s="199"/>
      <x:c r="I201" s="199"/>
      <x:c r="J201" s="199"/>
      <x:c r="K201" s="199"/>
      <x:c r="L201" s="199"/>
      <x:c r="M201" s="198" t="str">
        <x:f t="shared" si="18"/>
      </x:c>
      <x:c r="N201" s="199"/>
      <x:c r="O201" s="199"/>
      <x:c r="P201" s="199"/>
      <x:c r="Q201" s="199"/>
      <x:c r="R201" s="199"/>
      <x:c r="S201" s="200"/>
      <x:c r="T201" s="199"/>
      <x:c r="U201" s="199"/>
      <x:c r="V201" s="199"/>
      <x:c r="W201" s="199"/>
      <x:c r="X201" s="198" t="str">
        <x:f t="shared" si="19"/>
      </x:c>
      <x:c r="Y201" s="199"/>
      <x:c r="Z201" s="199"/>
      <x:c r="AA201" s="198" t="str">
        <x:f t="shared" si="20"/>
      </x:c>
      <x:c r="AB201" s="197"/>
      <x:c r="AC201" s="197"/>
      <x:c r="AD201" s="197"/>
      <x:c r="AE201" s="196"/>
    </x:row>
    <x:row r="202">
      <x:c r="A202" s="197"/>
      <x:c r="B202" s="202"/>
      <x:c r="C202" s="201"/>
      <x:c r="D202" s="197"/>
      <x:c r="E202" s="197"/>
      <x:c r="F202" s="197"/>
      <x:c r="G202" s="199"/>
      <x:c r="H202" s="199"/>
      <x:c r="I202" s="199"/>
      <x:c r="J202" s="199"/>
      <x:c r="K202" s="199"/>
      <x:c r="L202" s="199"/>
      <x:c r="M202" s="198" t="str">
        <x:f t="shared" si="18"/>
      </x:c>
      <x:c r="N202" s="199"/>
      <x:c r="O202" s="199"/>
      <x:c r="P202" s="199"/>
      <x:c r="Q202" s="199"/>
      <x:c r="R202" s="199"/>
      <x:c r="S202" s="200"/>
      <x:c r="T202" s="199"/>
      <x:c r="U202" s="199"/>
      <x:c r="V202" s="199"/>
      <x:c r="W202" s="199"/>
      <x:c r="X202" s="198" t="str">
        <x:f t="shared" si="19"/>
      </x:c>
      <x:c r="Y202" s="199"/>
      <x:c r="Z202" s="199"/>
      <x:c r="AA202" s="198" t="str">
        <x:f t="shared" si="20"/>
      </x:c>
      <x:c r="AB202" s="197"/>
      <x:c r="AC202" s="197"/>
      <x:c r="AD202" s="197"/>
      <x:c r="AE202" s="196"/>
    </x:row>
    <x:row r="203">
      <x:c r="A203" s="197"/>
      <x:c r="B203" s="202"/>
      <x:c r="C203" s="201"/>
      <x:c r="D203" s="197"/>
      <x:c r="E203" s="197"/>
      <x:c r="F203" s="197"/>
      <x:c r="G203" s="199"/>
      <x:c r="H203" s="199"/>
      <x:c r="I203" s="199"/>
      <x:c r="J203" s="199"/>
      <x:c r="K203" s="199"/>
      <x:c r="L203" s="199"/>
      <x:c r="M203" s="198" t="str">
        <x:f t="shared" si="18"/>
      </x:c>
      <x:c r="N203" s="199"/>
      <x:c r="O203" s="199"/>
      <x:c r="P203" s="199"/>
      <x:c r="Q203" s="199"/>
      <x:c r="R203" s="199"/>
      <x:c r="S203" s="200"/>
      <x:c r="T203" s="199"/>
      <x:c r="U203" s="199"/>
      <x:c r="V203" s="199"/>
      <x:c r="W203" s="199"/>
      <x:c r="X203" s="198" t="str">
        <x:f t="shared" si="19"/>
      </x:c>
      <x:c r="Y203" s="199"/>
      <x:c r="Z203" s="199"/>
      <x:c r="AA203" s="198" t="str">
        <x:f t="shared" si="20"/>
      </x:c>
      <x:c r="AB203" s="197"/>
      <x:c r="AC203" s="197"/>
      <x:c r="AD203" s="197"/>
      <x:c r="AE203" s="196"/>
    </x:row>
    <x:row r="204">
      <x:c r="A204" s="197"/>
      <x:c r="B204" s="202"/>
      <x:c r="C204" s="201"/>
      <x:c r="D204" s="197"/>
      <x:c r="E204" s="197"/>
      <x:c r="F204" s="197"/>
      <x:c r="G204" s="199"/>
      <x:c r="H204" s="199"/>
      <x:c r="I204" s="199"/>
      <x:c r="J204" s="199"/>
      <x:c r="K204" s="199"/>
      <x:c r="L204" s="199"/>
      <x:c r="M204" s="198" t="str">
        <x:f t="shared" si="18"/>
      </x:c>
      <x:c r="N204" s="199"/>
      <x:c r="O204" s="199"/>
      <x:c r="P204" s="199"/>
      <x:c r="Q204" s="199"/>
      <x:c r="R204" s="199"/>
      <x:c r="S204" s="200"/>
      <x:c r="T204" s="199"/>
      <x:c r="U204" s="199"/>
      <x:c r="V204" s="199"/>
      <x:c r="W204" s="199"/>
      <x:c r="X204" s="198" t="str">
        <x:f t="shared" si="19"/>
      </x:c>
      <x:c r="Y204" s="199"/>
      <x:c r="Z204" s="199"/>
      <x:c r="AA204" s="198" t="str">
        <x:f t="shared" si="20"/>
      </x:c>
      <x:c r="AB204" s="197"/>
      <x:c r="AC204" s="197"/>
      <x:c r="AD204" s="197"/>
      <x:c r="AE204" s="196"/>
    </x:row>
    <x:row r="205">
      <x:c r="A205" s="190"/>
      <x:c r="B205" s="195"/>
      <x:c r="C205" s="194"/>
      <x:c r="D205" s="190"/>
      <x:c r="E205" s="190"/>
      <x:c r="F205" s="190"/>
      <x:c r="G205" s="192"/>
      <x:c r="H205" s="192"/>
      <x:c r="I205" s="192"/>
      <x:c r="J205" s="192"/>
      <x:c r="K205" s="192"/>
      <x:c r="L205" s="192"/>
      <x:c r="M205" s="191" t="str">
        <x:f t="shared" si="18"/>
      </x:c>
      <x:c r="N205" s="192"/>
      <x:c r="O205" s="192"/>
      <x:c r="P205" s="192"/>
      <x:c r="Q205" s="192"/>
      <x:c r="R205" s="192"/>
      <x:c r="S205" s="193"/>
      <x:c r="T205" s="192"/>
      <x:c r="U205" s="192"/>
      <x:c r="V205" s="192"/>
      <x:c r="W205" s="192"/>
      <x:c r="X205" s="191" t="str">
        <x:f t="shared" si="19"/>
      </x:c>
      <x:c r="Y205" s="192"/>
      <x:c r="Z205" s="192"/>
      <x:c r="AA205" s="191" t="str">
        <x:f t="shared" si="20"/>
      </x:c>
      <x:c r="AB205" s="190"/>
      <x:c r="AC205" s="190"/>
      <x:c r="AD205" s="190"/>
      <x:c r="AE205" s="189"/>
    </x:row>
  </x:sheetData>
  <x:mergeCells>
    <x:mergeCell ref="A1:AE1"/>
    <x:mergeCell ref="A2:AE2"/>
    <x:mergeCell ref="A3:AE3"/>
  </x:mergeCells>
  <x:conditionalFormatting sqref="F6:F205">
    <x:cfRule type="expression" dxfId="1" priority="1">
      <x:formula>F6="FINAL"</x:formula>
    </x:cfRule>
    <x:cfRule type="expression" dxfId="0" priority="2">
      <x:formula>F6="DRAFT"</x:formula>
    </x:cfRule>
  </x:conditionalFormatting>
  <x:dataValidations count="2">
    <x:dataValidation type="list" sqref="F6:F205">
      <x:formula1>"DRAFT,FINAL"</x:formula1>
    </x:dataValidation>
    <x:dataValidation type="list" sqref="D6:D205">
      <x:formula1>"KOTA,KECAMATAN"</x:formula1>
    </x:dataValidation>
  </x:dataValidations>
  <x:pageMargins left="0.7" right="0.7" top="0.75" bottom="0.75" header="0.3" footer="0.3"/>
</x:worksheet>
</file>