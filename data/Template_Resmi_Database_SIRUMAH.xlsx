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8_{0645DD09-891A-4033-B8A2-806AF2F69661}" xr6:coauthVersionLast="47" xr6:coauthVersionMax="47" xr10:uidLastSave="{00000000-0000-0000-0000-000000000000}"/>
  <bookViews>
    <workbookView xWindow="-110" yWindow="-110" windowWidth="25820" windowHeight="15500" activeTab="1" xr2:uid="{00000000-000D-0000-FFFF-FFFF00000000}"/>
  </bookViews>
  <sheets>
    <sheet name="DOKUMEN_PENDUKUNG" sheetId="14" r:id="rId1"/>
    <sheet name="PERUMAHAN" sheetId="1" r:id="rId2"/>
    <sheet name="BACKLOG_KECAMATAN" sheetId="8" r:id="rId3"/>
    <sheet name="RTLH_RLH_KECAMATAN" sheetId="3" r:id="rId4"/>
    <sheet name="RTLH_INDIVIDU" sheetId="7" r:id="rId5"/>
    <sheet name="RUSUNAWA_UNIT" sheetId="4" r:id="rId6"/>
    <sheet name="RUSUNAWA_RETRIBUSI" sheetId="5" r:id="rId7"/>
    <sheet name="RUSUNAWA_SARPRAS" sheetId="6" r:id="rId8"/>
    <sheet name="KOLABORASI_RTLH" sheetId="9" r:id="rId9"/>
    <sheet name="KAWASAN_KUMUH_REKAP" sheetId="10" r:id="rId10"/>
    <sheet name="KAWASAN_KUMUH_LOKASI" sheetId="11" r:id="rId11"/>
    <sheet name="SNAPSHOT_TAHUNAN" sheetId="13" r:id="rId12"/>
    <sheet name="Sheet1" sheetId="1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 i="13" l="1"/>
  <c r="X6" i="13"/>
  <c r="AA6" i="13"/>
  <c r="M7" i="13"/>
  <c r="X7" i="13"/>
  <c r="AA7" i="13"/>
  <c r="M8" i="13"/>
  <c r="X8" i="13"/>
  <c r="AA8" i="13"/>
  <c r="M9" i="13"/>
  <c r="X9" i="13"/>
  <c r="AA9" i="13"/>
  <c r="M10" i="13"/>
  <c r="X10" i="13"/>
  <c r="AA10" i="13"/>
  <c r="M11" i="13"/>
  <c r="X11" i="13"/>
  <c r="AA11" i="13"/>
  <c r="M12" i="13"/>
  <c r="X12" i="13"/>
  <c r="AA12" i="13"/>
  <c r="M13" i="13"/>
  <c r="X13" i="13"/>
  <c r="AA13" i="13"/>
  <c r="M14" i="13"/>
  <c r="X14" i="13"/>
  <c r="AA14" i="13"/>
  <c r="M15" i="13"/>
  <c r="X15" i="13"/>
  <c r="AA15" i="13"/>
  <c r="M16" i="13"/>
  <c r="X16" i="13"/>
  <c r="AA16" i="13"/>
  <c r="M17" i="13"/>
  <c r="X17" i="13"/>
  <c r="AA17" i="13"/>
  <c r="M18" i="13"/>
  <c r="X18" i="13"/>
  <c r="AA18" i="13"/>
  <c r="M19" i="13"/>
  <c r="X19" i="13"/>
  <c r="AA19" i="13"/>
  <c r="M20" i="13"/>
  <c r="X20" i="13"/>
  <c r="AA20" i="13"/>
  <c r="M21" i="13"/>
  <c r="X21" i="13"/>
  <c r="AA21" i="13"/>
  <c r="M22" i="13"/>
  <c r="X22" i="13"/>
  <c r="AA22" i="13"/>
  <c r="M23" i="13"/>
  <c r="X23" i="13"/>
  <c r="AA23" i="13"/>
  <c r="M24" i="13"/>
  <c r="X24" i="13"/>
  <c r="AA24" i="13"/>
  <c r="M25" i="13"/>
  <c r="X25" i="13"/>
  <c r="AA25" i="13"/>
  <c r="M26" i="13"/>
  <c r="X26" i="13"/>
  <c r="AA26" i="13"/>
  <c r="M27" i="13"/>
  <c r="X27" i="13"/>
  <c r="AA27" i="13"/>
  <c r="M28" i="13"/>
  <c r="X28" i="13"/>
  <c r="AA28" i="13"/>
  <c r="M29" i="13"/>
  <c r="X29" i="13"/>
  <c r="AA29" i="13"/>
  <c r="M30" i="13"/>
  <c r="X30" i="13"/>
  <c r="AA30" i="13"/>
  <c r="M31" i="13"/>
  <c r="X31" i="13"/>
  <c r="AA31" i="13"/>
  <c r="M32" i="13"/>
  <c r="X32" i="13"/>
  <c r="AA32" i="13"/>
  <c r="M33" i="13"/>
  <c r="X33" i="13"/>
  <c r="AA33" i="13"/>
  <c r="M34" i="13"/>
  <c r="X34" i="13"/>
  <c r="AA34" i="13"/>
  <c r="M35" i="13"/>
  <c r="X35" i="13"/>
  <c r="AA35" i="13"/>
  <c r="M36" i="13"/>
  <c r="X36" i="13"/>
  <c r="AA36" i="13"/>
  <c r="M37" i="13"/>
  <c r="X37" i="13"/>
  <c r="AA37" i="13"/>
  <c r="M38" i="13"/>
  <c r="X38" i="13"/>
  <c r="AA38" i="13"/>
  <c r="M39" i="13"/>
  <c r="X39" i="13"/>
  <c r="AA39" i="13"/>
  <c r="M40" i="13"/>
  <c r="X40" i="13"/>
  <c r="AA40" i="13"/>
  <c r="M41" i="13"/>
  <c r="X41" i="13"/>
  <c r="AA41" i="13"/>
  <c r="M42" i="13"/>
  <c r="X42" i="13"/>
  <c r="AA42" i="13"/>
  <c r="M43" i="13"/>
  <c r="X43" i="13"/>
  <c r="AA43" i="13"/>
  <c r="M44" i="13"/>
  <c r="X44" i="13"/>
  <c r="AA44" i="13"/>
  <c r="M45" i="13"/>
  <c r="X45" i="13"/>
  <c r="AA45" i="13"/>
  <c r="M46" i="13"/>
  <c r="X46" i="13"/>
  <c r="AA46" i="13"/>
  <c r="M47" i="13"/>
  <c r="X47" i="13"/>
  <c r="AA47" i="13"/>
  <c r="M48" i="13"/>
  <c r="X48" i="13"/>
  <c r="AA48" i="13"/>
  <c r="M49" i="13"/>
  <c r="X49" i="13"/>
  <c r="AA49" i="13"/>
  <c r="M50" i="13"/>
  <c r="X50" i="13"/>
  <c r="AA50" i="13"/>
  <c r="M51" i="13"/>
  <c r="X51" i="13"/>
  <c r="AA51" i="13"/>
  <c r="M52" i="13"/>
  <c r="X52" i="13"/>
  <c r="AA52" i="13"/>
  <c r="M53" i="13"/>
  <c r="X53" i="13"/>
  <c r="AA53" i="13"/>
  <c r="M54" i="13"/>
  <c r="X54" i="13"/>
  <c r="AA54" i="13"/>
  <c r="M55" i="13"/>
  <c r="X55" i="13"/>
  <c r="AA55" i="13"/>
  <c r="M56" i="13"/>
  <c r="X56" i="13"/>
  <c r="AA56" i="13"/>
  <c r="M57" i="13"/>
  <c r="X57" i="13"/>
  <c r="AA57" i="13"/>
  <c r="M58" i="13"/>
  <c r="X58" i="13"/>
  <c r="AA58" i="13"/>
  <c r="M59" i="13"/>
  <c r="X59" i="13"/>
  <c r="AA59" i="13"/>
  <c r="M60" i="13"/>
  <c r="X60" i="13"/>
  <c r="AA60" i="13"/>
  <c r="M61" i="13"/>
  <c r="X61" i="13"/>
  <c r="AA61" i="13"/>
  <c r="M62" i="13"/>
  <c r="X62" i="13"/>
  <c r="AA62" i="13"/>
  <c r="M63" i="13"/>
  <c r="X63" i="13"/>
  <c r="AA63" i="13"/>
  <c r="M64" i="13"/>
  <c r="X64" i="13"/>
  <c r="AA64" i="13"/>
  <c r="M65" i="13"/>
  <c r="X65" i="13"/>
  <c r="AA65" i="13"/>
  <c r="M66" i="13"/>
  <c r="X66" i="13"/>
  <c r="AA66" i="13"/>
  <c r="M67" i="13"/>
  <c r="X67" i="13"/>
  <c r="AA67" i="13"/>
  <c r="M68" i="13"/>
  <c r="X68" i="13"/>
  <c r="AA68" i="13"/>
  <c r="M69" i="13"/>
  <c r="X69" i="13"/>
  <c r="AA69" i="13"/>
  <c r="M70" i="13"/>
  <c r="X70" i="13"/>
  <c r="AA70" i="13"/>
  <c r="M71" i="13"/>
  <c r="X71" i="13"/>
  <c r="AA71" i="13"/>
  <c r="M72" i="13"/>
  <c r="X72" i="13"/>
  <c r="AA72" i="13"/>
  <c r="M73" i="13"/>
  <c r="X73" i="13"/>
  <c r="AA73" i="13"/>
  <c r="M74" i="13"/>
  <c r="X74" i="13"/>
  <c r="AA74" i="13"/>
  <c r="M75" i="13"/>
  <c r="X75" i="13"/>
  <c r="AA75" i="13"/>
  <c r="M76" i="13"/>
  <c r="X76" i="13"/>
  <c r="AA76" i="13"/>
  <c r="M77" i="13"/>
  <c r="X77" i="13"/>
  <c r="AA77" i="13"/>
  <c r="M78" i="13"/>
  <c r="X78" i="13"/>
  <c r="AA78" i="13"/>
  <c r="M79" i="13"/>
  <c r="X79" i="13"/>
  <c r="AA79" i="13"/>
  <c r="M80" i="13"/>
  <c r="X80" i="13"/>
  <c r="AA80" i="13"/>
  <c r="M81" i="13"/>
  <c r="X81" i="13"/>
  <c r="AA81" i="13"/>
  <c r="M82" i="13"/>
  <c r="X82" i="13"/>
  <c r="AA82" i="13"/>
  <c r="M83" i="13"/>
  <c r="X83" i="13"/>
  <c r="AA83" i="13"/>
  <c r="M84" i="13"/>
  <c r="X84" i="13"/>
  <c r="AA84" i="13"/>
  <c r="M85" i="13"/>
  <c r="X85" i="13"/>
  <c r="AA85" i="13"/>
  <c r="M86" i="13"/>
  <c r="X86" i="13"/>
  <c r="AA86" i="13"/>
  <c r="M87" i="13"/>
  <c r="X87" i="13"/>
  <c r="AA87" i="13"/>
  <c r="M88" i="13"/>
  <c r="X88" i="13"/>
  <c r="AA88" i="13"/>
  <c r="M89" i="13"/>
  <c r="X89" i="13"/>
  <c r="AA89" i="13"/>
  <c r="M90" i="13"/>
  <c r="X90" i="13"/>
  <c r="AA90" i="13"/>
  <c r="M91" i="13"/>
  <c r="X91" i="13"/>
  <c r="AA91" i="13"/>
  <c r="M92" i="13"/>
  <c r="X92" i="13"/>
  <c r="AA92" i="13"/>
  <c r="M93" i="13"/>
  <c r="X93" i="13"/>
  <c r="AA93" i="13"/>
  <c r="M94" i="13"/>
  <c r="X94" i="13"/>
  <c r="AA94" i="13"/>
  <c r="M95" i="13"/>
  <c r="X95" i="13"/>
  <c r="AA95" i="13"/>
  <c r="M96" i="13"/>
  <c r="X96" i="13"/>
  <c r="AA96" i="13"/>
  <c r="M97" i="13"/>
  <c r="X97" i="13"/>
  <c r="AA97" i="13"/>
  <c r="M98" i="13"/>
  <c r="X98" i="13"/>
  <c r="AA98" i="13"/>
  <c r="M99" i="13"/>
  <c r="X99" i="13"/>
  <c r="AA99" i="13"/>
  <c r="M100" i="13"/>
  <c r="X100" i="13"/>
  <c r="AA100" i="13"/>
  <c r="M101" i="13"/>
  <c r="X101" i="13"/>
  <c r="AA101" i="13"/>
  <c r="M102" i="13"/>
  <c r="X102" i="13"/>
  <c r="AA102" i="13"/>
  <c r="M103" i="13"/>
  <c r="X103" i="13"/>
  <c r="AA103" i="13"/>
  <c r="M104" i="13"/>
  <c r="X104" i="13"/>
  <c r="AA104" i="13"/>
  <c r="M105" i="13"/>
  <c r="X105" i="13"/>
  <c r="AA105" i="13"/>
  <c r="M106" i="13"/>
  <c r="X106" i="13"/>
  <c r="AA106" i="13"/>
  <c r="M107" i="13"/>
  <c r="X107" i="13"/>
  <c r="AA107" i="13"/>
  <c r="M108" i="13"/>
  <c r="X108" i="13"/>
  <c r="AA108" i="13"/>
  <c r="M109" i="13"/>
  <c r="X109" i="13"/>
  <c r="AA109" i="13"/>
  <c r="M110" i="13"/>
  <c r="X110" i="13"/>
  <c r="AA110" i="13"/>
  <c r="M111" i="13"/>
  <c r="X111" i="13"/>
  <c r="AA111" i="13"/>
  <c r="M112" i="13"/>
  <c r="X112" i="13"/>
  <c r="AA112" i="13"/>
  <c r="M113" i="13"/>
  <c r="X113" i="13"/>
  <c r="AA113" i="13"/>
  <c r="M114" i="13"/>
  <c r="X114" i="13"/>
  <c r="AA114" i="13"/>
  <c r="M115" i="13"/>
  <c r="X115" i="13"/>
  <c r="AA115" i="13"/>
  <c r="M116" i="13"/>
  <c r="X116" i="13"/>
  <c r="AA116" i="13"/>
  <c r="M117" i="13"/>
  <c r="X117" i="13"/>
  <c r="AA117" i="13"/>
  <c r="M118" i="13"/>
  <c r="X118" i="13"/>
  <c r="AA118" i="13"/>
  <c r="M119" i="13"/>
  <c r="X119" i="13"/>
  <c r="AA119" i="13"/>
  <c r="M120" i="13"/>
  <c r="X120" i="13"/>
  <c r="AA120" i="13"/>
  <c r="M121" i="13"/>
  <c r="X121" i="13"/>
  <c r="AA121" i="13"/>
  <c r="M122" i="13"/>
  <c r="X122" i="13"/>
  <c r="AA122" i="13"/>
  <c r="M123" i="13"/>
  <c r="X123" i="13"/>
  <c r="AA123" i="13"/>
  <c r="M124" i="13"/>
  <c r="X124" i="13"/>
  <c r="AA124" i="13"/>
  <c r="M125" i="13"/>
  <c r="X125" i="13"/>
  <c r="AA125" i="13"/>
  <c r="M126" i="13"/>
  <c r="X126" i="13"/>
  <c r="AA126" i="13"/>
  <c r="M127" i="13"/>
  <c r="X127" i="13"/>
  <c r="AA127" i="13"/>
  <c r="M128" i="13"/>
  <c r="X128" i="13"/>
  <c r="AA128" i="13"/>
  <c r="M129" i="13"/>
  <c r="X129" i="13"/>
  <c r="AA129" i="13"/>
  <c r="M130" i="13"/>
  <c r="X130" i="13"/>
  <c r="AA130" i="13"/>
  <c r="M131" i="13"/>
  <c r="X131" i="13"/>
  <c r="AA131" i="13"/>
  <c r="M132" i="13"/>
  <c r="X132" i="13"/>
  <c r="AA132" i="13"/>
  <c r="M133" i="13"/>
  <c r="X133" i="13"/>
  <c r="AA133" i="13"/>
  <c r="M134" i="13"/>
  <c r="X134" i="13"/>
  <c r="AA134" i="13"/>
  <c r="M135" i="13"/>
  <c r="X135" i="13"/>
  <c r="AA135" i="13"/>
  <c r="M136" i="13"/>
  <c r="X136" i="13"/>
  <c r="AA136" i="13"/>
  <c r="M137" i="13"/>
  <c r="X137" i="13"/>
  <c r="AA137" i="13"/>
  <c r="M138" i="13"/>
  <c r="X138" i="13"/>
  <c r="AA138" i="13"/>
  <c r="M139" i="13"/>
  <c r="X139" i="13"/>
  <c r="AA139" i="13"/>
  <c r="M140" i="13"/>
  <c r="X140" i="13"/>
  <c r="AA140" i="13"/>
  <c r="M141" i="13"/>
  <c r="X141" i="13"/>
  <c r="AA141" i="13"/>
  <c r="M142" i="13"/>
  <c r="X142" i="13"/>
  <c r="AA142" i="13"/>
  <c r="M143" i="13"/>
  <c r="X143" i="13"/>
  <c r="AA143" i="13"/>
  <c r="M144" i="13"/>
  <c r="X144" i="13"/>
  <c r="AA144" i="13"/>
  <c r="M145" i="13"/>
  <c r="X145" i="13"/>
  <c r="AA145" i="13"/>
  <c r="M146" i="13"/>
  <c r="X146" i="13"/>
  <c r="AA146" i="13"/>
  <c r="M147" i="13"/>
  <c r="X147" i="13"/>
  <c r="AA147" i="13"/>
  <c r="M148" i="13"/>
  <c r="X148" i="13"/>
  <c r="AA148" i="13"/>
  <c r="M149" i="13"/>
  <c r="X149" i="13"/>
  <c r="AA149" i="13"/>
  <c r="M150" i="13"/>
  <c r="X150" i="13"/>
  <c r="AA150" i="13"/>
  <c r="M151" i="13"/>
  <c r="X151" i="13"/>
  <c r="AA151" i="13"/>
  <c r="M152" i="13"/>
  <c r="X152" i="13"/>
  <c r="AA152" i="13"/>
  <c r="M153" i="13"/>
  <c r="X153" i="13"/>
  <c r="AA153" i="13"/>
  <c r="M154" i="13"/>
  <c r="X154" i="13"/>
  <c r="AA154" i="13"/>
  <c r="M155" i="13"/>
  <c r="X155" i="13"/>
  <c r="AA155" i="13"/>
  <c r="M156" i="13"/>
  <c r="X156" i="13"/>
  <c r="AA156" i="13"/>
  <c r="M157" i="13"/>
  <c r="X157" i="13"/>
  <c r="AA157" i="13"/>
  <c r="M158" i="13"/>
  <c r="X158" i="13"/>
  <c r="AA158" i="13"/>
  <c r="M159" i="13"/>
  <c r="X159" i="13"/>
  <c r="AA159" i="13"/>
  <c r="M160" i="13"/>
  <c r="X160" i="13"/>
  <c r="AA160" i="13"/>
  <c r="M161" i="13"/>
  <c r="X161" i="13"/>
  <c r="AA161" i="13"/>
  <c r="M162" i="13"/>
  <c r="X162" i="13"/>
  <c r="AA162" i="13"/>
  <c r="M163" i="13"/>
  <c r="X163" i="13"/>
  <c r="AA163" i="13"/>
  <c r="M164" i="13"/>
  <c r="X164" i="13"/>
  <c r="AA164" i="13"/>
  <c r="M165" i="13"/>
  <c r="X165" i="13"/>
  <c r="AA165" i="13"/>
  <c r="M166" i="13"/>
  <c r="X166" i="13"/>
  <c r="AA166" i="13"/>
  <c r="M167" i="13"/>
  <c r="X167" i="13"/>
  <c r="AA167" i="13"/>
  <c r="M168" i="13"/>
  <c r="X168" i="13"/>
  <c r="AA168" i="13"/>
  <c r="M169" i="13"/>
  <c r="X169" i="13"/>
  <c r="AA169" i="13"/>
  <c r="M170" i="13"/>
  <c r="X170" i="13"/>
  <c r="AA170" i="13"/>
  <c r="M171" i="13"/>
  <c r="X171" i="13"/>
  <c r="AA171" i="13"/>
  <c r="M172" i="13"/>
  <c r="X172" i="13"/>
  <c r="AA172" i="13"/>
  <c r="M173" i="13"/>
  <c r="X173" i="13"/>
  <c r="AA173" i="13"/>
  <c r="M174" i="13"/>
  <c r="X174" i="13"/>
  <c r="AA174" i="13"/>
  <c r="M175" i="13"/>
  <c r="X175" i="13"/>
  <c r="AA175" i="13"/>
  <c r="M176" i="13"/>
  <c r="X176" i="13"/>
  <c r="AA176" i="13"/>
  <c r="M177" i="13"/>
  <c r="X177" i="13"/>
  <c r="AA177" i="13"/>
  <c r="M178" i="13"/>
  <c r="X178" i="13"/>
  <c r="AA178" i="13"/>
  <c r="M179" i="13"/>
  <c r="X179" i="13"/>
  <c r="AA179" i="13"/>
  <c r="M180" i="13"/>
  <c r="X180" i="13"/>
  <c r="AA180" i="13"/>
  <c r="M181" i="13"/>
  <c r="X181" i="13"/>
  <c r="AA181" i="13"/>
  <c r="M182" i="13"/>
  <c r="X182" i="13"/>
  <c r="AA182" i="13"/>
  <c r="M183" i="13"/>
  <c r="X183" i="13"/>
  <c r="AA183" i="13"/>
  <c r="M184" i="13"/>
  <c r="X184" i="13"/>
  <c r="AA184" i="13"/>
  <c r="M185" i="13"/>
  <c r="X185" i="13"/>
  <c r="AA185" i="13"/>
  <c r="M186" i="13"/>
  <c r="X186" i="13"/>
  <c r="AA186" i="13"/>
  <c r="M187" i="13"/>
  <c r="X187" i="13"/>
  <c r="AA187" i="13"/>
  <c r="M188" i="13"/>
  <c r="X188" i="13"/>
  <c r="AA188" i="13"/>
  <c r="M189" i="13"/>
  <c r="X189" i="13"/>
  <c r="AA189" i="13"/>
  <c r="M190" i="13"/>
  <c r="X190" i="13"/>
  <c r="AA190" i="13"/>
  <c r="M191" i="13"/>
  <c r="X191" i="13"/>
  <c r="AA191" i="13"/>
  <c r="M192" i="13"/>
  <c r="X192" i="13"/>
  <c r="AA192" i="13"/>
  <c r="M193" i="13"/>
  <c r="X193" i="13"/>
  <c r="AA193" i="13"/>
  <c r="M194" i="13"/>
  <c r="X194" i="13"/>
  <c r="AA194" i="13"/>
  <c r="M195" i="13"/>
  <c r="X195" i="13"/>
  <c r="AA195" i="13"/>
  <c r="M196" i="13"/>
  <c r="X196" i="13"/>
  <c r="AA196" i="13"/>
  <c r="M197" i="13"/>
  <c r="X197" i="13"/>
  <c r="AA197" i="13"/>
  <c r="M198" i="13"/>
  <c r="X198" i="13"/>
  <c r="AA198" i="13"/>
  <c r="M199" i="13"/>
  <c r="X199" i="13"/>
  <c r="AA199" i="13"/>
  <c r="M200" i="13"/>
  <c r="X200" i="13"/>
  <c r="AA200" i="13"/>
  <c r="M201" i="13"/>
  <c r="X201" i="13"/>
  <c r="AA201" i="13"/>
  <c r="M202" i="13"/>
  <c r="X202" i="13"/>
  <c r="AA202" i="13"/>
  <c r="M203" i="13"/>
  <c r="X203" i="13"/>
  <c r="AA203" i="13"/>
  <c r="M204" i="13"/>
  <c r="X204" i="13"/>
  <c r="AA204" i="13"/>
  <c r="M205" i="13"/>
  <c r="X205" i="13"/>
  <c r="AA205" i="13"/>
  <c r="G40" i="11"/>
  <c r="G39" i="11"/>
  <c r="G38" i="11"/>
  <c r="G37" i="11"/>
  <c r="G63" i="11" s="1"/>
  <c r="G35" i="11"/>
  <c r="G34" i="11"/>
  <c r="G61" i="11"/>
  <c r="G62" i="11"/>
  <c r="G64" i="11"/>
  <c r="D12" i="3"/>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AB18" i="7" s="1"/>
  <c r="AS18" i="7" s="1"/>
  <c r="AT18" i="7" s="1"/>
  <c r="Y18" i="7"/>
  <c r="X18" i="7"/>
  <c r="AR17" i="7"/>
  <c r="AO17" i="7" s="1"/>
  <c r="AQ17" i="7"/>
  <c r="AN17" i="7"/>
  <c r="AA17" i="7"/>
  <c r="AB17" i="7" s="1"/>
  <c r="AS17" i="7" s="1"/>
  <c r="AT17" i="7" s="1"/>
  <c r="Z17" i="7"/>
  <c r="Y17" i="7"/>
  <c r="X17" i="7"/>
  <c r="AR16" i="7"/>
  <c r="AO16" i="7" s="1"/>
  <c r="AQ16" i="7"/>
  <c r="AN16" i="7"/>
  <c r="AA16" i="7"/>
  <c r="Z16" i="7"/>
  <c r="AB16" i="7" s="1"/>
  <c r="AS16" i="7" s="1"/>
  <c r="AT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S42" i="7" l="1"/>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D143" i="1"/>
  <c r="AE143" i="1"/>
  <c r="AD144" i="1"/>
  <c r="AE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<sst xmlns="http://schemas.openxmlformats.org/spreadsheetml/2006/main" count="14467" uniqueCount="2820">
  <si>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</si>
  <si>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</si>
  <si>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</si>
  <si>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</si>
  <si>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</si>
  <si>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</si>
  <si>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</si>
  <si>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</si>
  <si>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</si>
  <si>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</si>
  <si>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</si>
  <si>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</si>
  <si>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</si>
  <si>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</si>
  <si>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</si>
  <si>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</si>
  <si>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</si>
  <si>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</si>
  <si>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</si>
  <si>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</si>
  <si>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</si>
  <si>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</si>
  <si>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</si>
  <si>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</si>
  <si>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</si>
  <si>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</si>
  <si>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</si>
  <si>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</si>
  <si>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</si>
  <si>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</si>
  <si>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</si>
  <si>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</si>
  <si>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</si>
  <si>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</si>
  <si>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</si>
  <si>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</si>
  <si>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</si>
  <si>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</si>
  <si>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</si>
  <si>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</si>
  <si>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</si>
  <si>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</si>
  <si>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</si>
  <si>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</si>
  <si>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</si>
  <si>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</si>
  <si>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</si>
  <si>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</si>
  <si>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</si>
  <si>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</si>
  <si>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</si>
  <si>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</si>
  <si>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</si>
  <si>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</si>
  <si>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</si>
  <si>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</si>
  <si>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</si>
  <si>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</si>
  <si>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</si>
  <si>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</si>
  <si>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</si>
  <si>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</si>
  <si>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</si>
  <si>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</si>
  <si>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</si>
  <si>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</si>
  <si>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</si>
  <si>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</si>
  <si>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</si>
  <si>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</si>
  <si>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</si>
  <si>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</si>
  <si>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</si>
  <si>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</si>
  <si>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</si>
  <si>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</si>
  <si>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</si>
  <si>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</si>
  <si>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</si>
  <si>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</si>
  <si>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</si>
  <si>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</si>
  <si>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</si>
  <si>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</si>
  <si>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</si>
  <si>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</si>
  <si>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</si>
  <si>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</si>
  <si>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</si>
  <si>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</si>
  <si>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</si>
  <si>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</si>
  <si>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</si>
  <si>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</si>
  <si>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</si>
  <si>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</si>
  <si>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</si>
  <si>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</si>
  <si>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</si>
  <si>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</si>
  <si>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</si>
  <si>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</si>
  <si>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</si>
  <si>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</si>
  <si>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</si>
  <si>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</si>
  <si>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</si>
  <si>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</si>
  <si>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</si>
  <si>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</si>
  <si>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</si>
  <si>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</si>
  <si>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</si>
  <si>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</si>
  <si>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</si>
  <si>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</si>
  <si>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</si>
  <si>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</si>
  <si>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</si>
  <si>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</si>
  <si>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</si>
  <si>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</si>
  <si>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</si>
  <si>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</si>
  <si>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</si>
  <si>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</si>
  <si>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</si>
  <si>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</si>
  <si>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</si>
  <si>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</si>
  <si>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</si>
  <si>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</si>
  <si>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</si>
  <si>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</si>
  <si>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</si>
  <si>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</si>
  <si>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</si>
  <si>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</si>
  <si>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</si>
  <si>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</si>
  <si>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</si>
  <si>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</si>
  <si>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</si>
  <si>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</si>
  <si>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</si>
  <si>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</si>
  <si>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</si>
  <si>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</si>
  <si>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</si>
  <si>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</si>
  <si>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</si>
  <si>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</si>
  <si>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</si>
  <si>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</si>
  <si>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</si>
  <si>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</si>
  <si>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</si>
  <si>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</si>
  <si>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</si>
  <si>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</si>
  <si>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</si>
  <si>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</si>
  <si>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</si>
  <si>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</si>
  <si>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</si>
  <si>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</si>
  <si>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</si>
  <si>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</si>
  <si>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</si>
  <si>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</si>
  <si>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</si>
  <si>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</si>
  <si>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</si>
  <si>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</si>
  <si>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</si>
  <si>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</si>
  <si>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</si>
  <si>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</si>
  <si>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</si>
  <si>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</si>
  <si>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</si>
  <si>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</si>
  <si>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</si>
  <si>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</si>
  <si>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</si>
  <si>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</si>
  <si>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</si>
  <si>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</si>
  <si>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</si>
  <si>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</si>
  <si>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</si>
  <si>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</si>
  <si>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</si>
  <si>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</si>
  <si>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</si>
  <si>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</si>
  <si>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</si>
  <si>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</si>
  <si>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</si>
  <si>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</si>
  <si>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</si>
  <si>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</si>
  <si>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</si>
  <si>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</si>
  <si>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</si>
  <si>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</si>
  <si>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</si>
  <si>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</si>
  <si>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</si>
  <si>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</si>
  <si>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</si>
  <si>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</si>
  <si>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</si>
  <si>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</si>
  <si>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</si>
  <si>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</si>
  <si>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</si>
  <si>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</si>
  <si>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</si>
  <si>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</si>
  <si>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</si>
  <si>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</si>
  <si>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</si>
  <si>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</si>
  <si>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</si>
  <si>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</si>
  <si>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</si>
  <si>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</si>
  <si>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</si>
  <si>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</si>
  <si>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</si>
  <si>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</si>
  <si>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</si>
  <si>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</si>
  <si>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</si>
  <si>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</si>
  <si>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</si>
  <si>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</si>
  <si>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</si>
  <si>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</si>
  <si>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</si>
  <si>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</si>
  <si>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</si>
  <si>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</si>
  <si>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</si>
  <si>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</si>
  <si>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</si>
  <si>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</si>
  <si>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</si>
  <si>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</si>
  <si>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</si>
  <si>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</si>
  <si>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</si>
  <si>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</si>
  <si>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</si>
  <si>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</si>
  <si>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</si>
  <si>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</si>
  <si>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</si>
  <si>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</si>
  <si>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</si>
  <si>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</si>
  <si>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</si>
  <si>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</si>
  <si>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</si>
  <si>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</si>
  <si>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</si>
  <si>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</si>
  <si>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</si>
  <si>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</si>
  <si>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</si>
  <si>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</si>
  <si>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</si>
  <si>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</si>
  <si>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</si>
  <si>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</si>
  <si>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</si>
  <si>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</si>
  <si>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</si>
  <si>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</si>
  <si>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</si>
  <si>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</si>
  <si>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</si>
  <si>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</si>
  <si>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</si>
  <si>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</si>
  <si>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</si>
  <si>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</si>
  <si>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</si>
  <si>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</si>
  <si>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</si>
  <si>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</si>
  <si>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</si>
  <si>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</si>
  <si>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</si>
  <si>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</si>
  <si>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</si>
  <si>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</si>
  <si>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</si>
  <si>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</si>
  <si>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</si>
  <si>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</si>
  <si>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</si>
  <si>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</si>
  <si>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</si>
  <si>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</si>
  <si>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</si>
  <si>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</si>
  <si>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</si>
  <si>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</si>
  <si>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</si>
  <si>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</si>
  <si>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</si>
  <si>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</si>
  <si>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</si>
  <si>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</si>
  <si>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</si>
  <si>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</si>
  <si>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</si>
  <si>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</si>
  <si>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</si>
  <si>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</si>
  <si>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</si>
  <si>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</si>
  <si>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</si>
  <si>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</si>
  <si>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</si>
  <si>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</si>
  <si>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</si>
  <si>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</si>
  <si>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</si>
  <si>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</si>
  <si>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</si>
  <si>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</si>
  <si>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</si>
  <si>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</si>
  <si>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</si>
  <si>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</si>
  <si>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</si>
  <si>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</si>
  <si>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</si>
  <si>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</si>
  <si>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</si>
  <si>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</si>
  <si>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</si>
  <si>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</si>
  <si>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</si>
  <si>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</si>
  <si>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</si>
  <si>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</si>
  <si>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</si>
  <si>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</si>
  <si>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</si>
  <si>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</si>
  <si>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</si>
  <si>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</si>
  <si>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</si>
  <si>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</si>
  <si>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</si>
  <si>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</si>
  <si>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</si>
  <si>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</si>
  <si>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</si>
  <si>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</si>
  <si>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</si>
  <si>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</si>
  <si>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</si>
  <si>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</si>
  <si>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</si>
  <si>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</si>
  <si>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</si>
  <si>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</si>
  <si>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</si>
  <si>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</si>
  <si>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</si>
  <si>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</si>
  <si>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</si>
  <si>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</si>
  <si>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</si>
  <si>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</si>
  <si>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</si>
  <si>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</si>
  <si>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</si>
  <si>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</si>
  <si>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</si>
  <si>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</si>
  <si>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</si>
  <si>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</si>
  <si>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</si>
  <si>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</si>
  <si>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</si>
  <si>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</si>
  <si>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</si>
  <si>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</si>
  <si>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</si>
  <si>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</si>
  <si>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</si>
  <si>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</si>
  <si>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</si>
  <si>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</si>
  <si>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</si>
  <si>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</si>
  <si>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</si>
  <si>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</si>
  <si>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</si>
  <si>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</si>
  <si>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</si>
  <si>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</si>
  <si>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</si>
  <si>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</si>
  <si>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</si>
  <si>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</si>
  <si>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</si>
  <si>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</si>
  <si>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</si>
  <si>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</si>
  <si>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</si>
  <si>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</si>
  <si>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</si>
  <si>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</si>
  <si>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</si>
  <si>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</si>
  <si>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</si>
  <si>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</si>
  <si>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</si>
  <si>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</si>
  <si>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</si>
  <si>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</si>
  <si>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</si>
  <si>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</si>
  <si>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</si>
  <si>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</si>
  <si>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</si>
  <si>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</si>
  <si>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</si>
  <si>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</si>
  <si>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</si>
  <si>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</si>
  <si>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</si>
  <si>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</si>
  <si>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</si>
  <si>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</si>
  <si>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</si>
  <si>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</si>
  <si>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</si>
  <si>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</si>
  <si>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</si>
  <si>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</si>
  <si>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</si>
  <si>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</si>
  <si>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</si>
  <si>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</si>
  <si>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</si>
  <si>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</si>
  <si>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</si>
  <si>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</si>
  <si>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</si>
  <si>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</si>
  <si>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</si>
  <si>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</si>
  <si>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</si>
  <si>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</si>
  <si>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</si>
  <si>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</si>
  <si>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</si>
  <si>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</si>
  <si>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</si>
  <si>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</si>
  <si>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</si>
  <si>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</si>
  <si>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</si>
  <si>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</si>
  <si>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</si>
  <si>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</si>
  <si>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</si>
  <si>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</si>
  <si>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</si>
  <si>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</si>
  <si>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</si>
  <si>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</si>
  <si>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</si>
  <si>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</si>
  <si>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</si>
  <si>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</si>
  <si>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</si>
  <si>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</si>
  <si>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</si>
  <si>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</si>
  <si>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</si>
  <si>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</si>
  <si>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</si>
  <si>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</si>
  <si>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</si>
  <si>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</si>
  <si>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</si>
  <si>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</si>
  <si>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</si>
  <si>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</si>
  <si>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</si>
  <si>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</si>
  <si>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</si>
  <si>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</si>
  <si>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</si>
  <si>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</si>
  <si>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</si>
  <si>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</si>
  <si>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</si>
  <si>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</si>
  <si>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</si>
  <si>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</si>
  <si>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</si>
  <si>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</si>
  <si>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</si>
  <si>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</si>
  <si>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</si>
  <si>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</si>
  <si>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</si>
  <si>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</si>
  <si>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</si>
  <si>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</si>
  <si>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</si>
  <si>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</si>
  <si>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</si>
  <si>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</si>
  <si>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</si>
  <si>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</si>
  <si>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</si>
  <si>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</si>
  <si>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</si>
  <si>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</si>
  <si>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</si>
  <si>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</si>
  <si>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</si>
  <si>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</si>
  <si>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</si>
  <si>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</si>
  <si>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</si>
  <si>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</si>
  <si>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</si>
  <si>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</si>
  <si>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</si>
  <si>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</si>
  <si>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</si>
  <si>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</si>
  <si>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</si>
  <si>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</si>
  <si>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</si>
  <si>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</si>
  <si>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</si>
  <si>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</si>
  <si>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</si>
  <si>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</si>
  <si>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</si>
  <si>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</si>
  <si>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</si>
  <si>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</si>
  <si>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</si>
  <si>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</si>
  <si>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</si>
  <si>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</si>
  <si>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</si>
  <si>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</si>
  <si>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</si>
  <si>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</si>
  <si>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</si>
  <si>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</si>
  <si>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</si>
  <si>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</si>
  <si>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</si>
  <si>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</si>
  <si>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</si>
  <si>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</si>
  <si>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</si>
  <si>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</si>
  <si>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</si>
  <si>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</si>
  <si>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</si>
  <si>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</si>
  <si>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</si>
  <si>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</si>
  <si>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</si>
  <si>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</si>
  <si>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</si>
  <si>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</si>
  <si>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</si>
  <si>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</si>
  <si>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</si>
  <si>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</si>
  <si>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</si>
  <si>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</si>
  <si>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</si>
  <si>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</si>
  <si>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</si>
  <si>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</si>
  <si>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</si>
  <si>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</si>
  <si>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</si>
  <si>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</si>
  <si>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</si>
  <si>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</si>
  <si>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</si>
  <si>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</si>
  <si>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</si>
  <si>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</si>
  <si>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</si>
  <si>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</si>
  <si>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</si>
  <si>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</si>
  <si>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</si>
  <si>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</si>
  <si>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</si>
  <si>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</si>
  <si>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</si>
  <si>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</si>
  <si>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</si>
  <si>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</si>
  <si>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</si>
  <si>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</si>
  <si>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</si>
  <si>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</si>
  <si>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</si>
  <si>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</si>
  <si>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</si>
  <si>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</si>
  <si>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</si>
  <si>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</si>
  <si>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</si>
  <si>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</si>
  <si>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</si>
  <si>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</si>
  <si>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</si>
  <si>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</si>
  <si>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</si>
  <si>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</si>
  <si>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</si>
  <si>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</si>
  <si>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</si>
  <si>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</si>
  <si>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</si>
  <si>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</si>
  <si>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</si>
  <si>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</si>
  <si>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</si>
  <si>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</si>
  <si>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</si>
  <si>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</si>
  <si>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</si>
  <si>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</si>
  <si>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</si>
  <si>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</si>
  <si>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</si>
  <si>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</si>
  <si>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</si>
  <si>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</si>
  <si>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</si>
  <si>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</si>
  <si>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</si>
  <si>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</si>
  <si>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</si>
  <si>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</si>
  <si>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</si>
  <si>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</si>
  <si>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</si>
  <si>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</si>
  <si>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</si>
  <si>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</si>
  <si>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</si>
  <si>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</si>
  <si>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</si>
  <si>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</si>
  <si>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</si>
  <si>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</si>
  <si>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</si>
  <si>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</si>
  <si>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</si>
  <si>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</si>
  <si>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</si>
  <si>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</si>
  <si>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</si>
  <si>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</si>
  <si>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</si>
  <si>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</si>
  <si>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</si>
  <si>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</si>
  <si>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</si>
  <si>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</si>
  <si>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</si>
  <si>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</si>
  <si>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</si>
  <si>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</si>
  <si>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</si>
  <si>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</si>
  <si>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</si>
  <si>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</si>
  <si>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</si>
  <si>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</si>
  <si>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</si>
  <si>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</si>
  <si>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</si>
  <si>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</si>
  <si>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</si>
  <si>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</si>
  <si>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</si>
  <si>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</si>
  <si>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</si>
  <si>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</si>
  <si>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</si>
  <si>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</si>
  <si>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</si>
  <si>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</si>
  <si>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</si>
  <si>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</si>
  <si>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</si>
  <si>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</si>
  <si>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</si>
  <si>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</si>
  <si>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</si>
  <si>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</si>
  <si>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</si>
  <si>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</si>
  <si>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</si>
  <si>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</si>
  <si>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</si>
  <si>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</si>
  <si>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</si>
  <si>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</si>
  <si>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</si>
  <si>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</si>
  <si>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</si>
  <si>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</si>
  <si>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</si>
  <si>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</si>
  <si>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</si>
  <si>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</si>
  <si>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</si>
  <si>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</si>
  <si>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</si>
  <si>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</si>
  <si>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</si>
  <si>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</si>
  <si>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</si>
  <si>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</si>
  <si>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</si>
  <si>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</si>
  <si>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</si>
  <si>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</si>
  <si>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</si>
  <si>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</si>
  <si>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</si>
  <si>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</si>
  <si>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</si>
  <si>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</si>
  <si>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</si>
  <si>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</si>
  <si>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</si>
  <si>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</si>
  <si>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</si>
  <si>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</si>
  <si>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</si>
  <si>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</si>
  <si>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</si>
  <si>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</si>
  <si>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</si>
  <si>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</si>
  <si>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</si>
  <si>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</si>
  <si>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</si>
  <si>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</si>
  <si>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</si>
  <si>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</si>
  <si>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</si>
  <si>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</si>
  <si>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</si>
  <si>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</si>
  <si>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</si>
  <si>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</si>
  <si>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</si>
  <si>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</si>
  <si>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</si>
  <si>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</si>
  <si>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</si>
  <si>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</si>
  <si>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</si>
  <si>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</si>
  <si>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</si>
  <si>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</si>
  <si>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</si>
  <si>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</si>
  <si>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</si>
  <si>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</si>
  <si>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</si>
  <si>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</si>
  <si>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</si>
  <si>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</si>
  <si>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</si>
  <si>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</si>
  <si>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</si>
  <si>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</si>
  <si>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</si>
  <si>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</si>
  <si>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</si>
  <si>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</si>
  <si>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</si>
  <si>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</si>
  <si>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</si>
  <si>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</si>
  <si>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</si>
  <si>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</si>
  <si>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</si>
  <si>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</si>
  <si>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</si>
  <si>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</si>
  <si>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</si>
  <si>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</si>
  <si>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</si>
  <si>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</si>
  <si>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</si>
  <si>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</si>
  <si>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</si>
  <si>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</si>
  <si>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</si>
  <si>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</si>
  <si>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</si>
  <si>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</si>
  <si>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</si>
  <si>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</si>
  <si>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</si>
  <si>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</si>
  <si>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</si>
  <si>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</si>
  <si>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</si>
  <si>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</si>
  <si>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</si>
  <si>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</si>
  <si>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</si>
  <si>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</si>
  <si>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</si>
  <si>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</si>
  <si>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</si>
  <si>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</si>
  <si>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</si>
  <si>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</si>
  <si>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</si>
  <si>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</si>
  <si>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</si>
  <si>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</si>
  <si>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</si>
  <si>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</si>
  <si>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</si>
  <si>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</si>
  <si>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</si>
  <si>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</si>
  <si>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</si>
  <si>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</si>
  <si>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</si>
  <si>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</si>
  <si>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</si>
  <si>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</si>
  <si>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</si>
  <si>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</si>
  <si>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</si>
  <si>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</si>
  <si>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</si>
  <si>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</si>
  <si>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</si>
  <si>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</si>
  <si>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</si>
  <si>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</si>
  <si>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</si>
  <si>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</si>
  <si>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</si>
  <si>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</si>
  <si>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</si>
  <si>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</si>
  <si>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</si>
  <si>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</si>
  <si>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</si>
  <si>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</si>
  <si>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</si>
  <si>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</si>
  <si>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</si>
  <si>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</si>
  <si>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</si>
  <si>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</si>
  <si>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</si>
  <si>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</si>
  <si>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</si>
  <si>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</si>
  <si>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</si>
  <si>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</si>
  <si>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</si>
  <si>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</si>
  <si>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</si>
  <si>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</si>
  <si>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</si>
  <si>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</si>
  <si>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</si>
  <si>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</si>
  <si>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</si>
  <si>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</si>
  <si>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</si>
  <si>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</si>
  <si>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</si>
  <si>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</si>
  <si>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</si>
  <si>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</si>
  <si>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</si>
  <si>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</si>
  <si>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</si>
  <si>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</si>
  <si>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</si>
  <si>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</si>
  <si>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</si>
  <si>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</si>
  <si>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</si>
  <si>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</si>
  <si>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</si>
  <si>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</si>
  <si>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</si>
  <si>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</si>
  <si>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</si>
  <si>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</si>
  <si>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</si>
  <si>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</si>
  <si>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</si>
  <si>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</si>
  <si>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</si>
  <si>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</si>
  <si>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</si>
  <si>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</si>
  <si>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</si>
  <si>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</si>
  <si>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</si>
  <si>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</si>
  <si>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</si>
  <si>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</si>
  <si>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</si>
  <si>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</si>
  <si>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</si>
  <si>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</si>
  <si>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</si>
  <si>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</si>
  <si>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</si>
  <si>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</si>
  <si>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</si>
  <si>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</si>
  <si>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</si>
  <si>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</si>
  <si>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</si>
  <si>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</si>
  <si>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</si>
  <si>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</si>
  <si>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</si>
  <si>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</si>
  <si>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</si>
  <si>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</si>
  <si>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</si>
  <si>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</si>
  <si>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</si>
  <si>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</si>
  <si>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</si>
  <si>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</si>
  <si>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</si>
  <si>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</si>
  <si>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</si>
  <si>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</si>
  <si>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</si>
  <si>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</si>
  <si>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</si>
  <si>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</si>
  <si>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</si>
  <si>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</si>
  <si>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</si>
  <si>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</si>
  <si>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</si>
  <si>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</si>
  <si>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</si>
  <si>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</si>
  <si>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</si>
  <si>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</si>
  <si>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</si>
  <si>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</si>
  <si>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</si>
  <si>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</si>
  <si>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</si>
  <si>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</si>
  <si>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</si>
  <si>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</si>
  <si>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</si>
  <si>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</si>
  <si>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</si>
  <si>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</si>
  <si>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</si>
  <si>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</si>
  <si>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</si>
  <si>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</si>
  <si>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</si>
  <si>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</si>
  <si>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</si>
  <si>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</si>
  <si>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</si>
  <si>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</si>
  <si>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</si>
  <si>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</si>
  <si>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</si>
  <si>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</si>
  <si>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</si>
  <si>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</si>
  <si>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</si>
  <si>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</si>
  <si>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</si>
  <si>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</si>
  <si>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</si>
  <si>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</si>
  <si>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</si>
  <si>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</si>
  <si>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</si>
  <si>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</si>
  <si>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</si>
  <si>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</si>
  <si>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</si>
  <si>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</si>
  <si>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</si>
  <si>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</si>
  <si>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</si>
  <si>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</si>
  <si>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</si>
  <si>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</si>
  <si>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</si>
  <si>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</si>
  <si>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</si>
  <si>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</si>
  <si>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</si>
  <si>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</si>
  <si>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</si>
  <si>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</si>
  <si>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</si>
  <si>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</si>
  <si>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</si>
  <si>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</si>
  <si>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</si>
  <si>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</si>
  <si>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</si>
  <si>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</si>
  <si>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</si>
  <si>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</si>
  <si>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</si>
  <si>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</si>
  <si>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</si>
  <si>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</si>
  <si>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</si>
  <si>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</si>
  <si>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</si>
  <si>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</si>
  <si>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</si>
  <si>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</si>
  <si>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</si>
  <si>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</si>
  <si>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</si>
  <si>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</si>
  <si>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</si>
  <si>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</si>
  <si>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</si>
  <si>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</si>
  <si>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</si>
  <si>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</si>
  <si>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</si>
  <si>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</si>
  <si>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</si>
  <si>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</si>
  <si>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</si>
  <si>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</si>
  <si>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</si>
  <si>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</si>
  <si>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</si>
  <si>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</si>
  <si>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</si>
  <si>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</si>
  <si>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</si>
  <si>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</si>
  <si>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</si>
  <si>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</si>
  <si>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</si>
  <si>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</si>
  <si>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</si>
  <si>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</si>
  <si>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</si>
  <si>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</si>
  <si>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</si>
  <si>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</si>
  <si>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</si>
  <si>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</si>
  <si>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</si>
  <si>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</si>
  <si>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</si>
  <si>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</si>
  <si>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</si>
  <si>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</si>
  <si>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</si>
  <si>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</si>
  <si>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</si>
  <si>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</si>
  <si>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</si>
  <si>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</si>
  <si>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</si>
  <si>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</si>
  <si>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</si>
  <si>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</si>
  <si>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</si>
  <si>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</si>
  <si>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</si>
  <si>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</si>
  <si>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</si>
  <si>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</si>
  <si>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</si>
  <si>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</si>
  <si>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</si>
  <si>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</si>
  <si>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</si>
  <si>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</si>
  <si>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</si>
  <si>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</si>
  <si>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</si>
  <si>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</si>
  <si>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</si>
  <si>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</si>
  <si>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</si>
  <si>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</si>
  <si>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</si>
  <si>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</si>
  <si>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</si>
  <si>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</si>
  <si>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</si>
  <si>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</si>
  <si>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</si>
  <si>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</si>
  <si>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</si>
  <si>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</si>
  <si>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</si>
  <si>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</si>
  <si>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</si>
  <si>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</si>
  <si>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</si>
  <si>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</si>
  <si>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</si>
  <si>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</si>
  <si>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</si>
  <si>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</si>
  <si>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</si>
  <si>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</si>
  <si>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</si>
  <si>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</si>
  <si>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</si>
  <si>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</si>
  <si>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</si>
  <si>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</si>
  <si>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</si>
  <si>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</si>
  <si>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</si>
  <si>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</si>
  <si>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</si>
  <si>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</si>
  <si>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</si>
  <si>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</si>
  <si>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</si>
  <si>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</si>
  <si>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</si>
  <si>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</si>
  <si>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</si>
  <si>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</si>
  <si>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</si>
  <si>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</si>
  <si>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</si>
  <si>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</si>
  <si>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</si>
  <si>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</si>
  <si>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</si>
  <si>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</si>
  <si>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</si>
  <si>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</si>
  <si>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</si>
  <si>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</si>
  <si>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</si>
  <si>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</si>
  <si>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</si>
  <si>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</si>
  <si>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</si>
  <si>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</si>
  <si>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</si>
  <si>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</si>
  <si>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</si>
  <si>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</si>
  <si>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</si>
  <si>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</si>
  <si>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</si>
  <si>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</si>
  <si>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</si>
  <si>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</si>
  <si>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</si>
  <si>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</si>
  <si>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</si>
  <si>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</si>
  <si>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</si>
  <si>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</si>
  <si>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</si>
  <si>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</si>
  <si>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</si>
  <si>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</si>
  <si>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</si>
  <si>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</si>
  <si>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</si>
  <si>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</si>
  <si>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</si>
  <si>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</si>
  <si>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</si>
  <si>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</si>
  <si>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</si>
  <si>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</si>
  <si>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</si>
  <si>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</si>
  <si>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</si>
  <si>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</si>
  <si>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</si>
  <si>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</si>
  <si>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</si>
  <si>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</si>
  <si>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</si>
  <si>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</si>
  <si>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</si>
  <si>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</si>
  <si>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</si>
  <si>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</si>
  <si>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</si>
  <si>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</si>
  <si>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</si>
  <si>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</si>
  <si>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</si>
  <si>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</si>
  <si>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</si>
  <si>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</si>
  <si>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</si>
  <si>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</si>
  <si>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</si>
  <si>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</si>
  <si>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</si>
  <si>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</si>
  <si>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</si>
  <si>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</si>
  <si>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</si>
  <si>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</si>
  <si>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</si>
  <si>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</si>
  <si>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</si>
  <si>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</si>
  <si>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</si>
  <si>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</si>
  <si>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</si>
  <si>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</si>
  <si>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</si>
  <si>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</si>
  <si>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</si>
  <si>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</si>
  <si>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</si>
  <si>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</si>
  <si>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</si>
  <si>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</si>
  <si>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</si>
  <si>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</si>
  <si>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</si>
  <si>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</si>
  <si>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</si>
  <si>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</si>
  <si>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</si>
  <si>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</si>
  <si>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</si>
  <si>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</si>
  <si>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</si>
  <si>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</si>
  <si>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</si>
  <si>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</si>
  <si>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</si>
  <si>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</si>
  <si>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</si>
  <si>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</si>
  <si>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</si>
  <si>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</si>
  <si>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</si>
  <si>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</si>
  <si>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</si>
  <si>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</si>
  <si>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</si>
  <si>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</si>
  <si>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</si>
  <si>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</si>
  <si>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</si>
  <si>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</si>
  <si>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</si>
  <si>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</si>
  <si>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</si>
  <si>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</si>
  <si>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</si>
  <si>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</si>
  <si>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</si>
  <si>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</si>
  <si>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</si>
  <si>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</si>
  <si>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</si>
  <si>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</si>
  <si>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</si>
  <si>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</si>
  <si>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</si>
  <si>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</si>
  <si>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</si>
  <si>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</si>
  <si>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</si>
  <si>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</si>
  <si>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</si>
  <si>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</si>
  <si>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</si>
  <si>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</si>
  <si>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</si>
  <si>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</si>
  <si>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</si>
  <si>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</si>
  <si>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</si>
  <si>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</si>
  <si>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</si>
  <si>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</si>
  <si>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</si>
  <si>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</si>
  <si>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</si>
  <si>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</si>
  <si>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</si>
  <si>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</si>
  <si>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</si>
  <si>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</si>
  <si>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</si>
  <si>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</si>
  <si>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</si>
  <si>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</si>
  <si>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</si>
  <si>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</si>
  <si>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</si>
  <si>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</si>
  <si>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</si>
  <si>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</si>
  <si>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</si>
  <si>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</si>
  <si>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</si>
  <si>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</si>
  <si>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</si>
  <si>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</si>
  <si>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</si>
  <si>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</si>
  <si>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</si>
  <si>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</si>
  <si>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</si>
  <si>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</si>
  <si>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</si>
  <si>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</si>
  <si>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</si>
  <si>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</si>
  <si>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</si>
  <si>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</si>
  <si>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</si>
  <si>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</si>
  <si>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</si>
  <si>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</si>
  <si>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</si>
  <si>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</si>
  <si>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</si>
  <si>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</si>
  <si>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</si>
  <si>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</si>
  <si>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</si>
  <si>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</si>
  <si>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</si>
  <si>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</si>
  <si>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</si>
  <si>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</si>
  <si>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</si>
  <si>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</si>
  <si>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</si>
  <si>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</si>
  <si>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</si>
  <si>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</si>
  <si>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</si>
  <si>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</si>
  <si>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</si>
  <si>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</si>
  <si>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</si>
  <si>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</si>
  <si>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</si>
  <si>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</si>
  <si>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</si>
  <si>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</si>
  <si>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</si>
  <si>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</si>
  <si>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</si>
  <si>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</si>
  <si>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</si>
  <si>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</si>
  <si>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</si>
  <si>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</si>
  <si>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</si>
  <si>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</si>
  <si>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</si>
  <si>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</si>
  <si>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</si>
  <si>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</si>
  <si>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</si>
  <si>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</si>
  <si>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</si>
  <si>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</si>
  <si>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</si>
  <si>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</si>
  <si>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</si>
  <si>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</si>
  <si>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</si>
  <si>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</si>
  <si>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</si>
  <si>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</si>
  <si>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</si>
  <si>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</si>
  <si>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</si>
  <si>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</si>
  <si>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</si>
  <si>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</si>
  <si>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</si>
  <si>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</si>
  <si>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</si>
  <si>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</si>
  <si>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</si>
  <si>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</si>
  <si>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</si>
  <si>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</si>
  <si>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</si>
  <si>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</si>
  <si>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</si>
  <si>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</si>
  <si>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</si>
  <si>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</si>
  <si>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</si>
  <si>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</si>
  <si>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</si>
  <si>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</si>
  <si>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</si>
  <si>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</si>
  <si>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</si>
  <si>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</si>
  <si>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</si>
  <si>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</si>
  <si>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</si>
  <si>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</si>
  <si>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</si>
  <si>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</si>
  <si>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</si>
  <si>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</si>
  <si>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</si>
  <si>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</si>
  <si>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</si>
  <si>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</si>
  <si>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</si>
  <si>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</si>
  <si>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</si>
  <si>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</si>
  <si>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</si>
  <si>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</si>
  <si>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</si>
  <si>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</si>
  <si>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</si>
  <si>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</si>
  <si>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</si>
  <si>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</si>
  <si>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</si>
  <si>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</si>
  <si>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</si>
  <si>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</si>
  <si>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</si>
  <si>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</si>
  <si>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</si>
  <si>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</si>
  <si>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</si>
  <si>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</si>
  <si>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</si>
  <si>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</si>
  <si>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</si>
  <si>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</si>
  <si>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</si>
  <si>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</si>
  <si>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</si>
  <si>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</si>
  <si>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</si>
  <si>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</si>
  <si>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</si>
  <si>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</si>
  <si>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</si>
  <si>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</si>
  <si>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</si>
  <si>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</si>
  <si>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</si>
  <si>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</si>
  <si>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</si>
  <si>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</si>
  <si>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</si>
  <si>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</si>
  <si>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</si>
  <si>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</si>
  <si>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</si>
  <si>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</si>
  <si>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</si>
  <si>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</si>
  <si>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</si>
  <si>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</si>
  <si>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</si>
  <si>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</si>
  <si>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</si>
  <si>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</si>
  <si>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</si>
  <si>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</si>
  <si>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</si>
  <si>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</si>
  <si>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</si>
  <si>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</si>
  <si>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</si>
  <si>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</si>
  <si>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</si>
  <si>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</si>
  <si>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</si>
  <si>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</si>
  <si>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</si>
  <si>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</si>
  <si>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</si>
  <si>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</si>
  <si>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</si>
  <si>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</si>
  <si>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</si>
  <si>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</si>
  <si>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</si>
  <si>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</si>
  <si>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</si>
  <si>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</si>
  <si>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</si>
  <si>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</si>
  <si>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</si>
  <si>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</si>
  <si>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</si>
  <si>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</si>
  <si>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</si>
  <si>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</si>
  <si>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</si>
  <si>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</si>
  <si>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</si>
  <si>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</si>
  <si>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</si>
  <si>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</si>
  <si>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</si>
  <si>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</si>
  <si>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</si>
  <si>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</si>
  <si>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</si>
  <si>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</si>
  <si>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</si>
  <si>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</si>
  <si>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</si>
  <si>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</si>
  <si>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</si>
  <si>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</si>
  <si>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</si>
  <si>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</si>
  <si>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</si>
  <si>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</si>
  <si>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</si>
  <si>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</si>
  <si>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</si>
  <si>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</si>
  <si>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</si>
  <si>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</si>
  <si>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</si>
  <si>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</si>
  <si>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</si>
  <si>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</si>
  <si>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</si>
  <si>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</si>
  <si>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</si>
  <si>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</si>
  <si>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</si>
  <si>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</si>
  <si>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</si>
  <si>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</si>
  <si>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</si>
  <si>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</si>
  <si>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</si>
  <si>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</si>
  <si>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</si>
  <si>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</si>
  <si>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</si>
  <si>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</si>
  <si>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</si>
  <si>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</si>
  <si>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</si>
  <si>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</si>
  <si>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</si>
  <si>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</si>
  <si>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</si>
  <si>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</si>
  <si>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</si>
  <si>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</si>
  <si>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</si>
  <si>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</si>
  <si>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</si>
  <si>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</si>
  <si>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</si>
  <si>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</si>
  <si>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</si>
  <si>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</si>
  <si>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</si>
  <si>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</si>
  <si>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</si>
  <si>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</si>
  <si>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</si>
  <si>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</si>
  <si>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</si>
  <si>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</si>
  <si>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</si>
  <si>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</si>
  <si>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</si>
  <si>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</si>
  <si>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</si>
  <si>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</si>
  <si>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</si>
  <si>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</si>
  <si>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</si>
  <si>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</si>
  <si>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</si>
  <si>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</si>
  <si>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</si>
  <si>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</si>
  <si>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</si>
  <si>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</si>
  <si>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</si>
  <si>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</si>
  <si>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</si>
  <si>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</si>
  <si>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</si>
  <si>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</si>
  <si>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</si>
  <si>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</si>
  <si>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</si>
  <si>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</si>
  <si>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</si>
  <si>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</si>
  <si>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</si>
  <si>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</si>
  <si>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</si>
  <si>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</si>
  <si>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</si>
  <si>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</si>
  <si>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</si>
  <si>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</si>
  <si>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</si>
  <si>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</si>
  <si>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</si>
  <si>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</si>
  <si>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</si>
  <si>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</si>
  <si>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</si>
  <si>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</si>
  <si>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</si>
  <si>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</si>
  <si>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</si>
  <si>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</si>
  <si>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</si>
  <si>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</si>
  <si>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</si>
  <si>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</si>
  <si>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</si>
  <si>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</si>
  <si>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</si>
  <si>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</si>
  <si>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</si>
  <si>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</si>
  <si>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</si>
  <si>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</si>
  <si>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</si>
  <si>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</si>
  <si>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</si>
  <si>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</si>
  <si>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</si>
  <si>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</si>
  <si>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</si>
  <si>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</si>
  <si>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</si>
  <si>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</si>
  <si>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</si>
  <si>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</si>
  <si>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</si>
  <si>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</si>
  <si>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</si>
  <si>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</si>
  <si>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</si>
  <si>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</si>
  <si>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</si>
  <si>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</si>
  <si>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</si>
  <si>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</si>
  <si>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</si>
  <si>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</si>
  <si>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</si>
  <si>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</si>
  <si>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</si>
  <si>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</si>
  <si>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</si>
  <si>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</si>
  <si>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</si>
  <si>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</si>
  <si>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</si>
  <si>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</si>
  <si>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</si>
  <si>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</si>
  <si>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</si>
  <si>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</si>
  <si>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</si>
  <si>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</si>
  <si>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</si>
  <si>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</si>
  <si>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</si>
  <si>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</si>
  <si>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</si>
  <si>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</si>
  <si>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</si>
  <si>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</si>
  <si>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</si>
  <si>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</si>
  <si>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</si>
  <si>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</si>
  <si>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</si>
  <si>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</si>
  <si>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</si>
  <si>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</si>
  <si>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</si>
  <si>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</si>
  <si>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</si>
  <si>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</si>
  <si>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</si>
  <si>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</si>
  <si>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</si>
  <si>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</si>
  <si>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</si>
  <si>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</si>
  <si>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</si>
  <si>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</si>
  <si>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</si>
  <si>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</si>
  <si>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</si>
  <si>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</si>
  <si>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</si>
  <si>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</si>
  <si>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</si>
  <si>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</si>
  <si>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</si>
  <si>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</si>
  <si>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</si>
  <si>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</si>
  <si>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</si>
  <si>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</si>
  <si>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</si>
  <si>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</si>
  <si>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</si>
  <si>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</si>
  <si>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</si>
  <si>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</si>
  <si>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</si>
  <si>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</si>
  <si>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</si>
  <si>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</si>
  <si>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</si>
  <si>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</si>
  <si>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</si>
  <si>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</si>
  <si>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</si>
  <si>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</si>
  <si>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</si>
  <si>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</si>
  <si>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</si>
  <si>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</si>
  <si>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</si>
  <si>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</si>
  <si>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</si>
  <si>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</si>
  <si>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</si>
  <si>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</si>
  <si>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</si>
  <si>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</si>
  <si>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</si>
  <si>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</si>
  <si>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</si>
  <si>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</si>
  <si>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</si>
  <si>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</si>
  <si>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</si>
  <si>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</si>
  <si>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</si>
  <si>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</si>
  <si>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</si>
  <si>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</si>
  <si>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</si>
  <si>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</si>
  <si>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</si>
  <si>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</si>
  <si>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</si>
  <si>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</si>
  <si>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</si>
  <si>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</si>
  <si>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</si>
  <si>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</si>
  <si>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</si>
  <si>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</si>
  <si>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</si>
  <si>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</si>
  <si>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</si>
  <si>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</si>
  <si>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</si>
  <si>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</si>
  <si>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</si>
  <si>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</si>
  <si>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</si>
  <si>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</si>
  <si>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</si>
  <si>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</si>
  <si>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</si>
  <si>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</si>
  <si>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</si>
  <si>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</si>
  <si>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</si>
  <si>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</si>
  <si>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</si>
  <si>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</si>
  <si>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</si>
  <si>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</si>
  <si>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</si>
  <si>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</si>
  <si>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</si>
  <si>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</si>
  <si>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</si>
  <si>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</si>
  <si>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</si>
  <si>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</si>
  <si>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</si>
  <si>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</si>
  <si>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</si>
  <si>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</si>
  <si>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</si>
  <si>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</si>
  <si>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</si>
  <si>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</si>
  <si>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</si>
  <si>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</si>
  <si>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</si>
  <si>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</si>
  <si>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</si>
  <si>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</si>
  <si>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</si>
  <si>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</si>
  <si>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</si>
  <si>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</si>
  <si>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</si>
  <si>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</si>
  <si>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</si>
  <si>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</si>
  <si>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</si>
  <si>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</si>
  <si>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</si>
  <si>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</si>
  <si>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</si>
  <si>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</si>
  <si>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</si>
  <si>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</si>
  <si>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</si>
  <si>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</si>
  <si>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</si>
  <si>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</si>
  <si>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</si>
  <si>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</si>
  <si>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</si>
  <si>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</si>
  <si>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</si>
  <si>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</si>
  <si>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</si>
  <si>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</si>
  <si>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</si>
  <si>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</si>
  <si>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</si>
  <si>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</si>
  <si>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</si>
  <si>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</si>
  <si>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</si>
  <si>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</si>
  <si>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</si>
  <si>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</si>
  <si>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</si>
  <si>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</si>
  <si>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</si>
  <si>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</si>
  <si>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</si>
  <si>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</si>
  <si>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</si>
  <si>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</si>
  <si>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</si>
  <si>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</si>
  <si>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</si>
  <si>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</si>
  <si>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</si>
  <si>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</si>
  <si>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</si>
  <si>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</si>
  <si>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</si>
  <si>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</si>
  <si>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</si>
  <si>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</si>
  <si>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</si>
  <si>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</si>
  <si>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</si>
  <si>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</si>
  <si>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</si>
  <si>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</si>
  <si>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</si>
  <si>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</si>
  <si>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</si>
  <si>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</si>
  <si>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</si>
  <si>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</si>
  <si>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</si>
  <si>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</si>
  <si>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</si>
  <si>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</si>
  <si>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</si>
  <si>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</si>
  <si>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</si>
  <si>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</si>
  <si>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</si>
  <si>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</si>
  <si>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</si>
  <si>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</si>
  <si>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</si>
  <si>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</si>
  <si>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</si>
  <si>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</si>
  <si>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</si>
  <si>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</si>
  <si>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</si>
  <si>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</si>
  <si>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</si>
  <si>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</si>
  <si>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</si>
  <si>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</si>
  <si>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</si>
  <si>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</si>
  <si>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</si>
  <si>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</si>
  <si>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</si>
  <si>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</si>
  <si>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</si>
  <si>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</si>
  <si>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</si>
  <si>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</si>
  <si>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</si>
  <si>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</si>
  <si>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</si>
  <si>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</si>
  <si>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</si>
  <si>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</si>
  <si>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</si>
  <si>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</si>
  <si>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</si>
  <si>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</si>
  <si>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</si>
  <si>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</si>
  <si>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</si>
  <si>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</si>
  <si>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</si>
  <si>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</si>
  <si>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</si>
  <si>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</si>
  <si>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</si>
  <si>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</si>
  <si>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</si>
  <si>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</si>
  <si>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</si>
  <si>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</si>
  <si>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</si>
  <si>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</si>
  <si>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</si>
  <si>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</si>
  <si>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</si>
  <si>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</si>
  <si>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</si>
  <si>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</si>
  <si>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</si>
  <si>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</si>
  <si>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</si>
  <si>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</si>
  <si>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</si>
  <si>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</si>
  <si>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</si>
  <si>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</si>
  <si>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</si>
  <si>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</si>
  <si>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</si>
  <si>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</si>
  <si>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</si>
  <si>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</si>
  <si>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</si>
  <si>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</si>
  <si>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</si>
  <si>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</si>
  <si>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</si>
  <si>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</si>
  <si>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</si>
  <si>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</si>
  <si>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</si>
  <si>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</si>
  <si>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</si>
  <si>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</si>
  <si>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</si>
  <si>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</si>
  <si>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</si>
  <si>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</si>
  <si>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</si>
  <si>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</si>
  <si>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</si>
  <si>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</si>
  <si>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</si>
  <si>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</si>
  <si>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</si>
  <si>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</si>
  <si>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</si>
  <si>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</si>
  <si>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</si>
  <si>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</si>
  <si>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</si>
  <si>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</si>
  <si>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</si>
  <si>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</si>
  <si>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</si>
  <si>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</si>
  <si>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</si>
  <si>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</si>
  <si>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</si>
  <si>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</si>
  <si>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</si>
  <si>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</si>
  <si>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</si>
  <si>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</si>
  <si>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</si>
  <si>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</si>
  <si>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</si>
  <si>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</si>
  <si>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</si>
  <si>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</si>
  <si>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</si>
  <si>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</si>
  <si>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</si>
  <si>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</si>
  <si>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</si>
  <si>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</si>
  <si>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</si>
  <si>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</si>
  <si>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</si>
  <si>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</si>
  <si>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</si>
  <si>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</si>
  <si>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</si>
  <si>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</si>
  <si>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</si>
  <si>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</si>
  <si>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</si>
  <si>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</si>
  <si>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</si>
  <si>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</si>
  <si>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</si>
  <si>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</si>
  <si>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</si>
  <si>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</si>
  <si>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</si>
  <si>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</si>
  <si>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</si>
  <si>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</si>
  <si>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</si>
  <si>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</si>
  <si>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</si>
  <si>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</si>
  <si>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</si>
  <si>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</si>
  <si>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</si>
  <si>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</si>
  <si>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</si>
  <si>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</si>
  <si>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</si>
  <si>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</si>
  <si>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</si>
  <si>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</si>
  <si>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</si>
  <si>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</si>
  <si>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</si>
  <si>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</si>
  <si>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</si>
  <si>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</si>
  <si>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</si>
  <si>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</si>
  <si>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</si>
  <si>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</si>
  <si>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</si>
  <si>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</si>
  <si>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</si>
  <si>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</si>
  <si>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</si>
  <si>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</si>
  <si>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</si>
  <si>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</si>
  <si>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</si>
  <si>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</si>
  <si>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</si>
  <si>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</si>
  <si>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</si>
  <si>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</si>
  <si>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</si>
  <si>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</si>
  <si>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</si>
  <si>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</si>
  <si>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</si>
  <si>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</si>
  <si>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</si>
  <si>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</si>
  <si>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</si>
  <si>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</si>
  <si>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</si>
  <si>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</si>
  <si>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</si>
  <si>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</si>
  <si>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</si>
  <si>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</si>
  <si>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</si>
  <si>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</si>
  <si>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</si>
  <si>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</si>
  <si>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</si>
  <si>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</si>
  <si>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</si>
  <si>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</si>
  <si>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</si>
  <si>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</si>
  <si>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</si>
  <si>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</si>
  <si>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</si>
  <si>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</si>
  <si>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</si>
  <si>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</si>
  <si>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</si>
  <si>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</si>
  <si>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</si>
  <si>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</si>
  <si>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</si>
  <si>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</si>
  <si>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</si>
  <si>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</si>
  <si>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Kawasan Kumuh Tersisa</t>
  </si>
  <si>
    <t>Kejaksaan</t>
  </si>
  <si>
    <t>Delineasi Kawasan Kumuh Kejaksaan</t>
  </si>
  <si>
    <t>KUMUH-LOC-2024-02</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</si>
  <si>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</si>
  <si>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</si>
  <si>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</si>
  <si>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</si>
  <si>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</si>
  <si>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</si>
  <si>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</si>
  <si>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</si>
  <si>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</si>
  <si>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</si>
  <si>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</si>
  <si>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</si>
  <si>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</si>
  <si>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</si>
  <si>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</si>
  <si>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</si>
  <si>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</si>
  <si>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</si>
  <si>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</si>
  <si>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</si>
  <si>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</si>
  <si>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</si>
  <si>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</si>
  <si>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</si>
  <si>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</si>
  <si>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</si>
  <si>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</si>
  <si>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</si>
  <si>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</si>
  <si>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</si>
  <si>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</si>
  <si>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</si>
  <si>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</si>
  <si>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</si>
  <si>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</si>
  <si>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</si>
  <si>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</si>
  <si>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</si>
  <si>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</si>
  <si>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</si>
  <si>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</si>
  <si>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</si>
  <si>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</si>
  <si>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</si>
  <si>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</si>
  <si>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</si>
  <si>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</si>
  <si>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</si>
  <si>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</si>
  <si>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</si>
  <si>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</si>
  <si>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</si>
  <si>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</si>
  <si>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</si>
  <si>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</si>
  <si>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</si>
  <si>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</si>
  <si>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</si>
  <si>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</si>
  <si>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</si>
  <si>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</si>
  <si>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</si>
  <si>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</si>
  <si>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</si>
  <si>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</si>
  <si>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</si>
  <si>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</si>
  <si>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</si>
  <si>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</si>
  <si>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</si>
  <si>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</si>
  <si>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</si>
  <si>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</si>
  <si>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</si>
  <si>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</si>
  <si>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</si>
  <si>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</si>
  <si>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</si>
  <si>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</si>
  <si>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</si>
  <si>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</si>
  <si>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</si>
  <si>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</si>
  <si>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</si>
  <si>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</si>
  <si>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</si>
  <si>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</si>
  <si>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</si>
  <si>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</si>
  <si>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</si>
  <si>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</si>
  <si>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</si>
  <si>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</si>
  <si>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</si>
  <si>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</si>
  <si>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</si>
  <si>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</si>
  <si>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</si>
  <si>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</si>
  <si>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</si>
  <si>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</si>
  <si>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</si>
  <si>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</si>
  <si>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</si>
  <si>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</si>
  <si>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</si>
  <si>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</si>
  <si>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Juni</t>
  </si>
  <si>
    <t>RET-2026-006</t>
  </si>
  <si>
    <t>-2.139584</t>
  </si>
  <si>
    <t>106.111468</t>
  </si>
  <si>
    <t>Pengurangan Luasan hasil verifikasi BPBPK Babel menjadi 8,80 Ha pada 1 RT yang semula 10,30 Ha</t>
  </si>
  <si>
    <t>-2.127368</t>
  </si>
  <si>
    <t>106.104078</t>
  </si>
  <si>
    <t>Pengurangan Luasan hasil verifikasi BPBPK Babel menjadi 15,28 Ha pada 6 RT yang semula 18,13 Ha</t>
  </si>
  <si>
    <t>KUMUH-LOC-2022-01</t>
  </si>
  <si>
    <t>Delineasi Kawasan Kumuh Keramat</t>
  </si>
  <si>
    <t>Keramat</t>
  </si>
  <si>
    <t>237/KEP/PERKIM/VII/2022</t>
  </si>
  <si>
    <t>-2138574</t>
  </si>
  <si>
    <t>106.090707</t>
  </si>
  <si>
    <t xml:space="preserve">Luasan kumuh berkurang setelah di intervensi menjadi 0 Ha (Tuntas) </t>
  </si>
  <si>
    <t>KUMUH-LOC-2022-02</t>
  </si>
  <si>
    <t>Luasan kumuh berkurang setelah di intervensi di 2 RT menyisakan 10,30 Ha Kumuh yang tertuang dalam BA Perhitungan dan Penetapan Penguranagn Luasan Kumuh Kota Pangkal Pinang, NO. 650.4/10/PERKIM/IX/2023</t>
  </si>
  <si>
    <t>KUMUH-LOC-2022-03</t>
  </si>
  <si>
    <t>Delineasi Kawasan Kumuh Bintang</t>
  </si>
  <si>
    <t>Bintang</t>
  </si>
  <si>
    <t>-2.136562</t>
  </si>
  <si>
    <t>106.112882</t>
  </si>
  <si>
    <t>KUMUH-LOC-2022-04</t>
  </si>
  <si>
    <t>Dalam Penanganan</t>
  </si>
  <si>
    <t>Intervensi yang dilakukan pada wilayah ini tidak membuat luasan wilayah kumuh berkurang, hanya saja nilai kekumuhan berkurang</t>
  </si>
  <si>
    <t>KUMUH-LOC-2022-05</t>
  </si>
  <si>
    <t>Delineasi Kawasan Kumuh Pintu Air</t>
  </si>
  <si>
    <t>-2.131628</t>
  </si>
  <si>
    <t>106.103006</t>
  </si>
  <si>
    <t>KUMUH-LOC-2022-06</t>
  </si>
  <si>
    <t>Delineasi Kawasan Kumuh Selindung</t>
  </si>
  <si>
    <t>-2.082876</t>
  </si>
  <si>
    <t>106.124794</t>
  </si>
  <si>
    <t>KUMUH-LOC-2021-01</t>
  </si>
  <si>
    <t>Delineasi Kawasan Kumuh Asam</t>
  </si>
  <si>
    <t>426/KEP/BAPPEDA&amp;LITBANG/X/2021</t>
  </si>
  <si>
    <t>-2.143522</t>
  </si>
  <si>
    <t>106.102554</t>
  </si>
  <si>
    <t>Bapperida Kota Pangkal Pinang</t>
  </si>
  <si>
    <t>KUMUH-LOC-2021-02</t>
  </si>
  <si>
    <t>Luasan kumuh berkurang setelah di intervensi di 2 RT menyisakan 12,50 Ha Kumuh yang tertuang dalam BA Perhitungan dan Penetapan Penguranagn Luasan Kumuh Kota Pangkal Pinang, NO. 050/332/Bappeda-Litbang/XI/2021</t>
  </si>
  <si>
    <t>KUMUH-LOC-2021-03</t>
  </si>
  <si>
    <t>Delineasi Kawasan Kumuh Rejosari</t>
  </si>
  <si>
    <t>Rejosari</t>
  </si>
  <si>
    <t>-2.109298</t>
  </si>
  <si>
    <t>106.119221</t>
  </si>
  <si>
    <t>KUMUH-LOC-2021-04</t>
  </si>
  <si>
    <t>Delineasi Kawasan Kumuh Temberan</t>
  </si>
  <si>
    <t>-2.140322</t>
  </si>
  <si>
    <t>106.159168</t>
  </si>
  <si>
    <t>KUMUH-LOC-2021-05</t>
  </si>
  <si>
    <t>Luasan kumuh berkurang setelah di intervensi di 2 RT menyisakan 32,09 Ha Kumuh yang tertuang dalam BA Perhitungan dan Penetapan Penguranagn Luasan Kumuh Kota Pangkal Pinang, NO. 050/332/Bappeda-Litbang/XI/2021</t>
  </si>
  <si>
    <t>KUMUH-LOC-2021-06</t>
  </si>
  <si>
    <t>KUMUH-LOC-2021-07</t>
  </si>
  <si>
    <t>Wilayah Kumuh baru yang belum di tangani pada tahun berjalan</t>
  </si>
  <si>
    <t>KUMUH-LOC-2021-08</t>
  </si>
  <si>
    <t>KUMUH-LOC-2020-01</t>
  </si>
  <si>
    <t>Delineasi Kawasan Kumuh Opas Indah</t>
  </si>
  <si>
    <t>Opas Indah</t>
  </si>
  <si>
    <t>465/KEP/BAPPEDA&amp;LITBANG/IX/2020</t>
  </si>
  <si>
    <t>-2.120490</t>
  </si>
  <si>
    <t>106.116940</t>
  </si>
  <si>
    <t>Melanjutkan intervensi sebelumnya untuk Skala Kawasan Opas Genas sehingga hanya 2 kelurahan ini yang berkurang luasan kumuhnya</t>
  </si>
  <si>
    <t>KUMUH-LOC-2020-02</t>
  </si>
  <si>
    <t>Delineasi Kawasan Kumuh Gedung Nasional</t>
  </si>
  <si>
    <t>Gedung Nasional</t>
  </si>
  <si>
    <t>-2.121099</t>
  </si>
  <si>
    <t>106.117040</t>
  </si>
  <si>
    <t>KUMUH-LOC-2020-03</t>
  </si>
  <si>
    <t>Deliniase Kawasan Kumuh Asam</t>
  </si>
  <si>
    <t>Wilayah Kumuh baru yang belum di tangani pada tahun berjalan karena perubahan kebijakan yang menjadi dasar perhitungan nilai kumuh</t>
  </si>
  <si>
    <t>KUMUH-LOC-2020-04</t>
  </si>
  <si>
    <t>KUMUH-LOC-2020-05</t>
  </si>
  <si>
    <t>KUMUH-LOC-2020-06</t>
  </si>
  <si>
    <t>KUMUH-LOC-2020-07</t>
  </si>
  <si>
    <t>KUMUH-LOC-2020-08</t>
  </si>
  <si>
    <t>KUMUH-LOC-2018-01</t>
  </si>
  <si>
    <t>Delineasi Kawasan Kumuh Pasir Putih</t>
  </si>
  <si>
    <t>Pasir Putih</t>
  </si>
  <si>
    <t>Permen PUPR Nomor 02/PRT/M/2016</t>
  </si>
  <si>
    <t>282/KEP/BAPPEDA&amp;LITBANG/IV/2018</t>
  </si>
  <si>
    <t>-2.12956</t>
  </si>
  <si>
    <t>106.12142</t>
  </si>
  <si>
    <t>KUMUH-LOC-2018-02</t>
  </si>
  <si>
    <t>Delineasi Kawasan Kumuh Semabung Lama</t>
  </si>
  <si>
    <t>-2.13760</t>
  </si>
  <si>
    <t>106.12749</t>
  </si>
  <si>
    <t>KUMUH-LOC-2018-03</t>
  </si>
  <si>
    <t>Delineasi Kawasan Kumuh Batu Intan</t>
  </si>
  <si>
    <t>Batu Intan</t>
  </si>
  <si>
    <t>-2.13511</t>
  </si>
  <si>
    <t>106.11641</t>
  </si>
  <si>
    <t>KUMUH-LOC-2018-04</t>
  </si>
  <si>
    <t>Delineasi Kawasan Kumuh Pasar Padi</t>
  </si>
  <si>
    <t>Pasar Padi</t>
  </si>
  <si>
    <t>-2.12653</t>
  </si>
  <si>
    <t>106.11832</t>
  </si>
  <si>
    <t>KUMUH-LOC-2018-05</t>
  </si>
  <si>
    <t>Delineasi Kawasan Kumuh Semabung Baru</t>
  </si>
  <si>
    <t>Semabung Baru</t>
  </si>
  <si>
    <t>-2.13353</t>
  </si>
  <si>
    <t>106.12177</t>
  </si>
  <si>
    <t>KUMUH-LOC-2018-06</t>
  </si>
  <si>
    <t>Delineasi Kawasan Kumuh Ketapang</t>
  </si>
  <si>
    <t>-2.10357</t>
  </si>
  <si>
    <t>106.131171</t>
  </si>
  <si>
    <t>KUMUH-LOC-2018-07</t>
  </si>
  <si>
    <t>Delineasi Kawasan Kumuh Lontong Pancur</t>
  </si>
  <si>
    <t>-2.09231</t>
  </si>
  <si>
    <t>106.12019</t>
  </si>
  <si>
    <t>KUMUH-LOC-2018-08</t>
  </si>
  <si>
    <t>-2.13671</t>
  </si>
  <si>
    <t>106.11008</t>
  </si>
  <si>
    <t>KUMUH-LOC-2018-09</t>
  </si>
  <si>
    <t>-2.14030</t>
  </si>
  <si>
    <t>106.11197\</t>
  </si>
  <si>
    <t>KUMUH-LOC-2018-10</t>
  </si>
  <si>
    <t>Delineasi Kawasan Kumuh Batin Tikal</t>
  </si>
  <si>
    <t>Batin Tikal</t>
  </si>
  <si>
    <t>-2.12338</t>
  </si>
  <si>
    <t>106.11147</t>
  </si>
  <si>
    <t>KUMUH-LOC-2018-11</t>
  </si>
  <si>
    <t>KUMUH-LOC-2018-12</t>
  </si>
  <si>
    <t>-2.12804</t>
  </si>
  <si>
    <t>106.10393</t>
  </si>
  <si>
    <t>KUMUH-LOC-2018-13</t>
  </si>
  <si>
    <t>KUMUH-LOC-2018-14</t>
  </si>
  <si>
    <t>Delineasi Kawasan Kumuh Rawa Bangun</t>
  </si>
  <si>
    <t>Rawa Bangun</t>
  </si>
  <si>
    <t>106.11025</t>
  </si>
  <si>
    <t>KUMUH-LOC-2014-01</t>
  </si>
  <si>
    <t>388/KEP/BAPPEDA/XII/2014</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</si>
  <si>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</si>
  <si>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KUMUH-LOC-2014-02</t>
  </si>
  <si>
    <t>KUMUH-LOC-2014-03</t>
  </si>
  <si>
    <t>KUMUH-LOC-2014-04</t>
  </si>
  <si>
    <t>KUMUH-LOC-2014-05</t>
  </si>
  <si>
    <t>KUMUH-LOC-2014-06</t>
  </si>
  <si>
    <t>KUMUH-LOC-2014-07</t>
  </si>
  <si>
    <t>KUMUH-LOC-2014-08</t>
  </si>
  <si>
    <t>KUMUH-LOC-2014-09</t>
  </si>
  <si>
    <t>KUMUH-LOC-2014-10</t>
  </si>
  <si>
    <t>KUMUH-LOC-2014-11</t>
  </si>
  <si>
    <t>KUMUH-LOC-2014-12</t>
  </si>
  <si>
    <t>KUMUH-LOC-2014-13</t>
  </si>
  <si>
    <t>KUMUH-LOC-2014-14</t>
  </si>
  <si>
    <t>{"type":"Polygon","coordinates":[[[106.100000,-2.120000],[106.101000,-2.120000],[106.101000,-2.121000],[106.100000,-2.121000],[106.100000,-2.120000]]]}</t>
  </si>
  <si>
    <t>Kantor</t>
  </si>
  <si>
    <t>Pengembang masih aktif</t>
  </si>
  <si>
    <t>RUSUNAWA_CAPAIAN_RETRIBUSI_PERSEN</t>
  </si>
  <si>
    <t>RUSUNAWA_REALISASI_RETRIBUSI</t>
  </si>
  <si>
    <t>RUSUNAWA_TARGET_RETRIBUSI</t>
  </si>
  <si>
    <t>RUSUNAWA_TINGKAT_HUNIAN_PERSEN</t>
  </si>
  <si>
    <t>RUSUNAWA_UNIT_TIDAK_DAPAT_DIGUNAKAN</t>
  </si>
  <si>
    <t>RUSUNAWA_UNIT_KOSONG</t>
  </si>
  <si>
    <t>RUSUNAWA_UNIT_TERISI</t>
  </si>
  <si>
    <t>RUSUNAWA_JUMLAH_UNIT</t>
  </si>
  <si>
    <t>LUAS_KUMUH_HA</t>
  </si>
  <si>
    <t>RTLH</t>
  </si>
  <si>
    <t>JUMLAH_RUMAH_AGREGAT</t>
  </si>
  <si>
    <t>BACKLOG_PENGHUNIAN</t>
  </si>
  <si>
    <t>CAPAIAN_PSU_PERSEN</t>
  </si>
  <si>
    <t>PSU_BELUM</t>
  </si>
  <si>
    <t>PSU_SUDAH</t>
  </si>
  <si>
    <t>UNIT_TERHUNI</t>
  </si>
  <si>
    <t>UNIT_TERBANGUN</t>
  </si>
  <si>
    <t>RENCANA_UNIT</t>
  </si>
  <si>
    <t>TOTAL_PERUMAHAN</t>
  </si>
  <si>
    <t>STATUS_SNAPSHOT*</t>
  </si>
  <si>
    <t>WILAYAH*</t>
  </si>
  <si>
    <t>TANGGAL_SNAPSHOT*</t>
  </si>
  <si>
    <t>ID_SNAPSHOT*</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</si>
  <si>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</si>
  <si>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Satu baris mewakili satu snapshot resmi untuk satu tahun dan satu wilayah. Snapshot menyimpan kondisi indikator pada periode tersebut agar tidak berubah ketika database operasional diperbarui.</t>
  </si>
  <si>
    <t>TEMPLATE RESMI DATABASE SIRUMAH — SNAPSHOT TAHUNAN INDIKATOR</t>
  </si>
  <si>
    <t>AKSES*</t>
  </si>
  <si>
    <t>URL_DOKUMEN*</t>
  </si>
  <si>
    <t>TANGGAL_DOKUMEN</t>
  </si>
  <si>
    <t>NOMOR_DOKUMEN</t>
  </si>
  <si>
    <t>JUDUL_DOKUMEN*</t>
  </si>
  <si>
    <t>JENIS_DOKUMEN*</t>
  </si>
  <si>
    <t>ID_OBJEK*</t>
  </si>
  <si>
    <t>JENIS_OBJEK*</t>
  </si>
  <si>
    <t>ID_DOKUMEN*</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</si>
  <si>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</si>
  <si>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Satu baris mewakili satu dokumen atau bukti pendukung yang dikaitkan dengan satu objek SIRUMAH melalui JENIS_OBJEK dan ID_OBJEK. File fisik tetap disimpan pada Google Drive/OneDrive/penyimpanan resmi; sheet ini hanya menyimpan metadata dan URL.</t>
  </si>
  <si>
    <t>TEMPLATE RESMI DATABASE SIRUMAH — DOKUMEN PENDUKUNG / DATA EVIDENCE</t>
  </si>
  <si>
    <t>PRM-0001</t>
  </si>
  <si>
    <t>PRM-0002</t>
  </si>
  <si>
    <t>PRM-0003</t>
  </si>
  <si>
    <t>PRM-0004</t>
  </si>
  <si>
    <t>PRM-0005</t>
  </si>
  <si>
    <t>PRM-0006</t>
  </si>
  <si>
    <t>PRM-0007</t>
  </si>
  <si>
    <t>PRM-0008</t>
  </si>
  <si>
    <t>PRM-0009</t>
  </si>
  <si>
    <t>PRM-0010</t>
  </si>
  <si>
    <t>PRM-0011</t>
  </si>
  <si>
    <t>PRM-0012</t>
  </si>
  <si>
    <t>PRM-0013</t>
  </si>
  <si>
    <t>PRM-0014</t>
  </si>
  <si>
    <t>PRM-0015</t>
  </si>
  <si>
    <t>PRM-0016</t>
  </si>
  <si>
    <t>PRM-0017</t>
  </si>
  <si>
    <t>PRM-0018</t>
  </si>
  <si>
    <t>PRM-0019</t>
  </si>
  <si>
    <t>PRM-0020</t>
  </si>
  <si>
    <t>PRM-0021</t>
  </si>
  <si>
    <t>PRM-0022</t>
  </si>
  <si>
    <t>PRM-0023</t>
  </si>
  <si>
    <t>PRM-0024</t>
  </si>
  <si>
    <t>PRM-0025</t>
  </si>
  <si>
    <t>PRM-0026</t>
  </si>
  <si>
    <t>PRM-0027</t>
  </si>
  <si>
    <t>PRM-0028</t>
  </si>
  <si>
    <t>PRM-0029</t>
  </si>
  <si>
    <t>PRM-0030</t>
  </si>
  <si>
    <t>PRM-0031</t>
  </si>
  <si>
    <t>PRM-0032</t>
  </si>
  <si>
    <t>PRM-0033</t>
  </si>
  <si>
    <t>PRM-0034</t>
  </si>
  <si>
    <t>PRM-0035</t>
  </si>
  <si>
    <t>PRM-0036</t>
  </si>
  <si>
    <t>PRM-0037</t>
  </si>
  <si>
    <t>PRM-0038</t>
  </si>
  <si>
    <t>PRM-0039</t>
  </si>
  <si>
    <t>PRM-0040</t>
  </si>
  <si>
    <t>PRM-0041</t>
  </si>
  <si>
    <t>PRM-0042</t>
  </si>
  <si>
    <t>PRM-0043</t>
  </si>
  <si>
    <t>PRM-0044</t>
  </si>
  <si>
    <t>PRM-0045</t>
  </si>
  <si>
    <t>PRM-0046</t>
  </si>
  <si>
    <t>PRM-0047</t>
  </si>
  <si>
    <t>PRM-0048</t>
  </si>
  <si>
    <t>PRM-0049</t>
  </si>
  <si>
    <t>PRM-0050</t>
  </si>
  <si>
    <t>PRM-0051</t>
  </si>
  <si>
    <t>PRM-0052</t>
  </si>
  <si>
    <t>PRM-0053</t>
  </si>
  <si>
    <t>PRM-0054</t>
  </si>
  <si>
    <t>PRM-0055</t>
  </si>
  <si>
    <t>PRM-0056</t>
  </si>
  <si>
    <t>PRM-0057</t>
  </si>
  <si>
    <t>PRM-0058</t>
  </si>
  <si>
    <t>PRM-0059</t>
  </si>
  <si>
    <t>PRM-0060</t>
  </si>
  <si>
    <t>PRM-0061</t>
  </si>
  <si>
    <t>PRM-0062</t>
  </si>
  <si>
    <t>PRM-0063</t>
  </si>
  <si>
    <t>PRM-0064</t>
  </si>
  <si>
    <t>PRM-0065</t>
  </si>
  <si>
    <t>PRM-0066</t>
  </si>
  <si>
    <t>PRM-0067</t>
  </si>
  <si>
    <t>PRM-0068</t>
  </si>
  <si>
    <t>PRM-0069</t>
  </si>
  <si>
    <t>PRM-0070</t>
  </si>
  <si>
    <t>PRM-0071</t>
  </si>
  <si>
    <t>PRM-0072</t>
  </si>
  <si>
    <t>PRM-0073</t>
  </si>
  <si>
    <t>PRM-0074</t>
  </si>
  <si>
    <t>PRM-0075</t>
  </si>
  <si>
    <t>PRM-0076</t>
  </si>
  <si>
    <t>PRM-0077</t>
  </si>
  <si>
    <t>PRM-0078</t>
  </si>
  <si>
    <t>PRM-0079</t>
  </si>
  <si>
    <t>PRM-0080</t>
  </si>
  <si>
    <t>PRM-0081</t>
  </si>
  <si>
    <t>PRM-0082</t>
  </si>
  <si>
    <t>PRM-0083</t>
  </si>
  <si>
    <t>PRM-0084</t>
  </si>
  <si>
    <t>PRM-0085</t>
  </si>
  <si>
    <t>PRM-0086</t>
  </si>
  <si>
    <t>PRM-0087</t>
  </si>
  <si>
    <t>PRM-0088</t>
  </si>
  <si>
    <t>PRM-0089</t>
  </si>
  <si>
    <t>PRM-0090</t>
  </si>
  <si>
    <t>PRM-0091</t>
  </si>
  <si>
    <t>PRM-0092</t>
  </si>
  <si>
    <t>PRM-0093</t>
  </si>
  <si>
    <t>PRM-0094</t>
  </si>
  <si>
    <t>PRM-0095</t>
  </si>
  <si>
    <t>PRM-0096</t>
  </si>
  <si>
    <t>PRM-0097</t>
  </si>
  <si>
    <t>PRM-0098</t>
  </si>
  <si>
    <t>PRM-0099</t>
  </si>
  <si>
    <t>PRM-0100</t>
  </si>
  <si>
    <t>PRM-0101</t>
  </si>
  <si>
    <t>PRM-0102</t>
  </si>
  <si>
    <t>PRM-0103</t>
  </si>
  <si>
    <t>PRM-0104</t>
  </si>
  <si>
    <t>PRM-0105</t>
  </si>
  <si>
    <t>PRM-0106</t>
  </si>
  <si>
    <t>PRM-0107</t>
  </si>
  <si>
    <t>PRM-0108</t>
  </si>
  <si>
    <t>PRM-0109</t>
  </si>
  <si>
    <t>PRM-0110</t>
  </si>
  <si>
    <t>PRM-0111</t>
  </si>
  <si>
    <t>PRM-0112</t>
  </si>
  <si>
    <t>PRM-0113</t>
  </si>
  <si>
    <t>PRM-0114</t>
  </si>
  <si>
    <t>PRM-0115</t>
  </si>
  <si>
    <t>PRM-0116</t>
  </si>
  <si>
    <t>PRM-0117</t>
  </si>
  <si>
    <t>PRM-0118</t>
  </si>
  <si>
    <t>PRM-0119</t>
  </si>
  <si>
    <t>PRM-0120</t>
  </si>
  <si>
    <t>PRM-0121</t>
  </si>
  <si>
    <t>PRM-0122</t>
  </si>
  <si>
    <t>PRM-0123</t>
  </si>
  <si>
    <t>PRM-0124</t>
  </si>
  <si>
    <t>PRM-0125</t>
  </si>
  <si>
    <t>PRM-0126</t>
  </si>
  <si>
    <t>PRM-0127</t>
  </si>
  <si>
    <t>PRM-0128</t>
  </si>
  <si>
    <t>PRM-0129</t>
  </si>
  <si>
    <t>PRM-0130</t>
  </si>
  <si>
    <t>PRM-0131</t>
  </si>
  <si>
    <t>PRM-0132</t>
  </si>
  <si>
    <t>PRM-0133</t>
  </si>
  <si>
    <t>PRM-0134</t>
  </si>
  <si>
    <t>PRM-0135</t>
  </si>
  <si>
    <t>PRM-0136</t>
  </si>
  <si>
    <t>PRM-0137</t>
  </si>
  <si>
    <t>PRM-0138</t>
  </si>
  <si>
    <t>PRM-0139</t>
  </si>
  <si>
    <t>PRM-0140</t>
  </si>
  <si>
    <t>PRM-0141</t>
  </si>
  <si>
    <t>PRM-0142</t>
  </si>
  <si>
    <t>PRM-0143</t>
  </si>
  <si>
    <t>PRM-0144</t>
  </si>
  <si>
    <t>PRM-0145</t>
  </si>
  <si>
    <t>PRM-0146</t>
  </si>
  <si>
    <t>PRM-0147</t>
  </si>
  <si>
    <t>PRM-0148</t>
  </si>
  <si>
    <t>PRM-0149</t>
  </si>
  <si>
    <t>PRM-0150</t>
  </si>
  <si>
    <t>PRM-0151</t>
  </si>
  <si>
    <t>PRM-0152</t>
  </si>
  <si>
    <t>PRM-0153</t>
  </si>
  <si>
    <t>PRM-0154</t>
  </si>
  <si>
    <t>PRM-0155</t>
  </si>
  <si>
    <t>PRM-0156</t>
  </si>
  <si>
    <t>PRM-0157</t>
  </si>
  <si>
    <t>PRM-0158</t>
  </si>
  <si>
    <t>PRM-0159</t>
  </si>
  <si>
    <t>PRM-0160</t>
  </si>
  <si>
    <t>PRM-0161</t>
  </si>
  <si>
    <t>PRM-0162</t>
  </si>
  <si>
    <t>PRM-0163</t>
  </si>
  <si>
    <t>PRM-0164</t>
  </si>
  <si>
    <t>PRM-0165</t>
  </si>
  <si>
    <t>PRM-0166</t>
  </si>
  <si>
    <t>PRM-0167</t>
  </si>
  <si>
    <t>PRM-0168</t>
  </si>
  <si>
    <t>PRM-0169</t>
  </si>
  <si>
    <t>PRM-0170</t>
  </si>
  <si>
    <t>PRM-0171</t>
  </si>
  <si>
    <t>PRM-0172</t>
  </si>
  <si>
    <t>PRM-0173</t>
  </si>
  <si>
    <t>PRM-0174</t>
  </si>
  <si>
    <t>PRM-0175</t>
  </si>
  <si>
    <t>PRM-0176</t>
  </si>
  <si>
    <t>PRM-0177</t>
  </si>
  <si>
    <t>PRM-0178</t>
  </si>
  <si>
    <t>PRM-0179</t>
  </si>
  <si>
    <t>PRM-0180</t>
  </si>
  <si>
    <t>PRM-0181</t>
  </si>
  <si>
    <t>PRM-0182</t>
  </si>
  <si>
    <t>PRM-0183</t>
  </si>
  <si>
    <t>PRM-0184</t>
  </si>
  <si>
    <t>PRM-0185</t>
  </si>
  <si>
    <t>PRM-0186</t>
  </si>
  <si>
    <t>PRM-0187</t>
  </si>
  <si>
    <t>PRM-0188</t>
  </si>
  <si>
    <t>PRM-0189</t>
  </si>
  <si>
    <t>PRM-0190</t>
  </si>
  <si>
    <t>PRM-0191</t>
  </si>
  <si>
    <t>PRM-0192</t>
  </si>
  <si>
    <t>PRM-0193</t>
  </si>
  <si>
    <t>PRM-0194</t>
  </si>
  <si>
    <t>PRM-0195</t>
  </si>
  <si>
    <t>PRM-0196</t>
  </si>
  <si>
    <t>PRM-0197</t>
  </si>
  <si>
    <t>PRM-0198</t>
  </si>
  <si>
    <t>PRM-0199</t>
  </si>
  <si>
    <t>PRM-0200</t>
  </si>
  <si>
    <t>PRM-0201</t>
  </si>
  <si>
    <t>PRM-0202</t>
  </si>
  <si>
    <t>PRM-0203</t>
  </si>
  <si>
    <t>PRM-0204</t>
  </si>
  <si>
    <t>PRM-0205</t>
  </si>
  <si>
    <t>PRM-0206</t>
  </si>
  <si>
    <t>PRM-0207</t>
  </si>
  <si>
    <t>PRM-0208</t>
  </si>
  <si>
    <t>PRM-0209</t>
  </si>
  <si>
    <t>PRM-0210</t>
  </si>
  <si>
    <t>PRM-0211</t>
  </si>
  <si>
    <t>PRM-0212</t>
  </si>
  <si>
    <t>PRM-0213</t>
  </si>
  <si>
    <t>PRM-0214</t>
  </si>
  <si>
    <t>PRM-0215</t>
  </si>
  <si>
    <t>PRM-0216</t>
  </si>
  <si>
    <t>PRM-0217</t>
  </si>
  <si>
    <t>PRM-0218</t>
  </si>
  <si>
    <t>PRM-0219</t>
  </si>
  <si>
    <t>PRM-0220</t>
  </si>
  <si>
    <t>PRM-0221</t>
  </si>
  <si>
    <t>PRM-0222</t>
  </si>
  <si>
    <t>PRM-0223</t>
  </si>
  <si>
    <t>PRM-0224</t>
  </si>
  <si>
    <t>PRM-0225</t>
  </si>
  <si>
    <t>PRM-0226</t>
  </si>
  <si>
    <t>PRM-0227</t>
  </si>
  <si>
    <t>PRM-0228</t>
  </si>
  <si>
    <t>PRM-0229</t>
  </si>
  <si>
    <t>PRM-0230</t>
  </si>
  <si>
    <t>PRM-0231</t>
  </si>
  <si>
    <t>PRM-0232</t>
  </si>
  <si>
    <t>PRM-0233</t>
  </si>
  <si>
    <t>PRM-0234</t>
  </si>
  <si>
    <t>PRM-0235</t>
  </si>
  <si>
    <t>PRM-0236</t>
  </si>
  <si>
    <t>PRM-0237</t>
  </si>
  <si>
    <t>PRM-0238</t>
  </si>
  <si>
    <t>PRM-0239</t>
  </si>
  <si>
    <t>PRM-0240</t>
  </si>
  <si>
    <t>PRM-0241</t>
  </si>
  <si>
    <t>PRM-0242</t>
  </si>
  <si>
    <t>PRM-0243</t>
  </si>
  <si>
    <t>PRM-0244</t>
  </si>
  <si>
    <t>PRM-0245</t>
  </si>
  <si>
    <t>PRM-0246</t>
  </si>
  <si>
    <t>PRM-0247</t>
  </si>
  <si>
    <t>PRM-0248</t>
  </si>
  <si>
    <t>PRM-0249</t>
  </si>
  <si>
    <t>PRM-0250</t>
  </si>
  <si>
    <t>PRM-0251</t>
  </si>
  <si>
    <t>PRM-0252</t>
  </si>
  <si>
    <t>PRM-0253</t>
  </si>
  <si>
    <t>PRM-0254</t>
  </si>
  <si>
    <t>PRM-0255</t>
  </si>
  <si>
    <t>PRM-0256</t>
  </si>
  <si>
    <t>PRM-0257</t>
  </si>
  <si>
    <t>PRM-0258</t>
  </si>
  <si>
    <t>PRM-0259</t>
  </si>
  <si>
    <t>PRM-0260</t>
  </si>
  <si>
    <t>PRM-0261</t>
  </si>
  <si>
    <t>PRM-0262</t>
  </si>
  <si>
    <t>PRM-0263</t>
  </si>
  <si>
    <t>PRM-0264</t>
  </si>
  <si>
    <t>PRM-0265</t>
  </si>
  <si>
    <t>PRM-0266</t>
  </si>
  <si>
    <t>PRM-0267</t>
  </si>
  <si>
    <t>PRM-0268</t>
  </si>
  <si>
    <t>PRM-0269</t>
  </si>
  <si>
    <t>PRM-0270</t>
  </si>
  <si>
    <t>PRM-0271</t>
  </si>
  <si>
    <t>PRM-0272</t>
  </si>
  <si>
    <t>PRM-0273</t>
  </si>
  <si>
    <t>PRM-0274</t>
  </si>
  <si>
    <t>PRM-0275</t>
  </si>
  <si>
    <t>PRM-0276</t>
  </si>
  <si>
    <t>PRM-0277</t>
  </si>
  <si>
    <t>PRM-0278</t>
  </si>
  <si>
    <t>PRM-0279</t>
  </si>
  <si>
    <t>PRM-0280</t>
  </si>
  <si>
    <t>PRM-0281</t>
  </si>
  <si>
    <t>PRM-0282</t>
  </si>
  <si>
    <t>PRM-0283</t>
  </si>
  <si>
    <t>PRM-0284</t>
  </si>
  <si>
    <t>PRM-0285</t>
  </si>
  <si>
    <t>PRM-0286</t>
  </si>
  <si>
    <t>PRM-0287</t>
  </si>
  <si>
    <t>PRM-0288</t>
  </si>
  <si>
    <t>PRM-0289</t>
  </si>
  <si>
    <t>PRM-0290</t>
  </si>
  <si>
    <t>PRM-0291</t>
  </si>
  <si>
    <t>PRM-0292</t>
  </si>
  <si>
    <t>PRM-0293</t>
  </si>
  <si>
    <t>PRM-0294</t>
  </si>
  <si>
    <t>PRM-0295</t>
  </si>
  <si>
    <t>PRM-0296</t>
  </si>
  <si>
    <t>PRM-0297</t>
  </si>
  <si>
    <t>PRM-0298</t>
  </si>
  <si>
    <t>PRM-0299</t>
  </si>
  <si>
    <t>PRM-0300</t>
  </si>
  <si>
    <t>PRM-0301</t>
  </si>
  <si>
    <t>PRM-0302</t>
  </si>
  <si>
    <t>PRM-0303</t>
  </si>
  <si>
    <t>PRM-0304</t>
  </si>
  <si>
    <t>PRM-0305</t>
  </si>
  <si>
    <t>PRM-0306</t>
  </si>
  <si>
    <t>PRM-0307</t>
  </si>
  <si>
    <t>PRM-0308</t>
  </si>
  <si>
    <t>PRM-0309</t>
  </si>
  <si>
    <t>PRM-0310</t>
  </si>
  <si>
    <t>PRM-0311</t>
  </si>
  <si>
    <t>PRM-0312</t>
  </si>
  <si>
    <t>PRM-0313</t>
  </si>
  <si>
    <t>PRM-0314</t>
  </si>
  <si>
    <t>PRM-0315</t>
  </si>
  <si>
    <t>PRM-0316</t>
  </si>
  <si>
    <t>PRM-0317</t>
  </si>
  <si>
    <t>PRM-0318</t>
  </si>
  <si>
    <t>PRM-0319</t>
  </si>
  <si>
    <t>PRM-0320</t>
  </si>
  <si>
    <t>PRM-0321</t>
  </si>
  <si>
    <t>PRM-0322</t>
  </si>
  <si>
    <t>PRM-0323</t>
  </si>
  <si>
    <t>PRM-0324</t>
  </si>
  <si>
    <t>PRM-0325</t>
  </si>
  <si>
    <t>PRM-0326</t>
  </si>
  <si>
    <t>PRM-0327</t>
  </si>
  <si>
    <t>PRM-0328</t>
  </si>
  <si>
    <t>PRM-0329</t>
  </si>
  <si>
    <t>PRM-0330</t>
  </si>
  <si>
    <t>PRM-0331</t>
  </si>
  <si>
    <t>PRM-0332</t>
  </si>
  <si>
    <t>PRM-0333</t>
  </si>
  <si>
    <t>PRM-0334</t>
  </si>
  <si>
    <t>PRM-0335</t>
  </si>
  <si>
    <t>PRM-0336</t>
  </si>
  <si>
    <t>PRM-0337</t>
  </si>
  <si>
    <t>PRM-0338</t>
  </si>
  <si>
    <t>PRM-0339</t>
  </si>
  <si>
    <t>PRM-0340</t>
  </si>
  <si>
    <t>PRM-0341</t>
  </si>
  <si>
    <t>PRM-0342</t>
  </si>
  <si>
    <t>PRM-0343</t>
  </si>
  <si>
    <t>PRM-0344</t>
  </si>
  <si>
    <t>PRM-0345</t>
  </si>
  <si>
    <t>PRM-0346</t>
  </si>
  <si>
    <t>PRM-0347</t>
  </si>
  <si>
    <t>PRM-0348</t>
  </si>
  <si>
    <t>PRM-0349</t>
  </si>
  <si>
    <t>PRM-0350</t>
  </si>
  <si>
    <t>PRM-0351</t>
  </si>
  <si>
    <t>PRM-0352</t>
  </si>
  <si>
    <t>PRM-0353</t>
  </si>
  <si>
    <t>PRM-0354</t>
  </si>
  <si>
    <t>PRM-0355</t>
  </si>
  <si>
    <t>PRM-0356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</si>
</sst>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u/>
      <sz val="11"/>
      <color theme="10"/>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
      <patternFill patternType="solid">
        <fgColor theme="3" tint="0.89999084444715716"/>
        <bgColor indexed="64"/>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s>
  <cellStyleXfs count="2">
    <xf numFmtId="0" fontId="0" fillId="0" borderId="0"/>
    <xf numFmtId="0" fontId="38" fillId="0" borderId="0" applyNumberFormat="0" applyFill="0" applyBorder="0" applyAlignment="0" applyProtection="0"/>
  </cellStyleXfs>
  <cellXfs count="265">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xf numFmtId="0" fontId="27" fillId="36" borderId="36" xfId="0" applyFont="1" applyFill="1" applyBorder="1" applyAlignment="1">
      <alignment horizontal="center" vertical="center"/>
    </xf>
    <xf numFmtId="2" fontId="27" fillId="36" borderId="36" xfId="0" applyNumberFormat="1" applyFont="1" applyFill="1" applyBorder="1" applyAlignment="1">
      <alignment horizontal="center" vertical="center"/>
    </xf>
    <xf numFmtId="1" fontId="27" fillId="36" borderId="36" xfId="0" applyNumberFormat="1" applyFont="1" applyFill="1" applyBorder="1" applyAlignment="1">
      <alignment horizontal="center" vertical="center"/>
    </xf>
    <xf numFmtId="0" fontId="27" fillId="36" borderId="36" xfId="0" applyFont="1" applyFill="1" applyBorder="1" applyAlignment="1">
      <alignment vertical="center" wrapText="1"/>
    </xf>
    <xf numFmtId="0" fontId="27" fillId="39" borderId="36" xfId="0" applyFont="1" applyFill="1" applyBorder="1" applyAlignment="1">
      <alignment horizontal="center" vertical="center"/>
    </xf>
    <xf numFmtId="2" fontId="27" fillId="39" borderId="36" xfId="0" applyNumberFormat="1" applyFont="1" applyFill="1" applyBorder="1" applyAlignment="1">
      <alignment horizontal="center" vertical="center"/>
    </xf>
    <xf numFmtId="1" fontId="27" fillId="39" borderId="36" xfId="0" quotePrefix="1" applyNumberFormat="1" applyFont="1" applyFill="1" applyBorder="1" applyAlignment="1">
      <alignment horizontal="center" vertical="center"/>
    </xf>
    <xf numFmtId="0" fontId="27" fillId="39" borderId="36" xfId="0" applyFont="1" applyFill="1" applyBorder="1" applyAlignment="1">
      <alignment vertical="center" wrapText="1"/>
    </xf>
    <xf numFmtId="0" fontId="0" fillId="39" borderId="37" xfId="0" applyFill="1" applyBorder="1"/>
    <xf numFmtId="0" fontId="0" fillId="39" borderId="36" xfId="0" applyFill="1" applyBorder="1"/>
    <xf numFmtId="0" fontId="27" fillId="36" borderId="36" xfId="0" applyFont="1" applyFill="1" applyBorder="1" applyAlignment="1">
      <alignment horizontal="center" vertical="center" wrapText="1"/>
    </xf>
    <xf numFmtId="1" fontId="27" fillId="36" borderId="36" xfId="0" quotePrefix="1" applyNumberFormat="1" applyFont="1" applyFill="1" applyBorder="1" applyAlignment="1">
      <alignment horizontal="center" vertical="center"/>
    </xf>
    <xf numFmtId="0" fontId="0" fillId="0" borderId="37" xfId="0" applyBorder="1"/>
    <xf numFmtId="0" fontId="0" fillId="0" borderId="36" xfId="0" applyBorder="1"/>
    <xf numFmtId="0" fontId="27" fillId="39" borderId="36" xfId="0" applyFont="1" applyFill="1" applyBorder="1" applyAlignment="1">
      <alignment horizontal="center" vertical="center" wrapText="1"/>
    </xf>
    <xf numFmtId="1" fontId="27" fillId="39" borderId="36" xfId="0" applyNumberFormat="1" applyFont="1" applyFill="1" applyBorder="1" applyAlignment="1">
      <alignment horizontal="center" vertical="center"/>
    </xf>
    <xf numFmtId="168" fontId="27" fillId="39" borderId="36" xfId="0" applyNumberFormat="1" applyFont="1" applyFill="1" applyBorder="1" applyAlignment="1">
      <alignment horizontal="center" vertical="center"/>
    </xf>
    <xf numFmtId="0" fontId="0" fillId="39" borderId="0" xfId="0" applyFill="1"/>
    <xf numFmtId="164" fontId="31" fillId="40" borderId="38" xfId="0" applyNumberFormat="1" applyFont="1" applyFill="1" applyBorder="1" applyAlignment="1">
      <alignment vertical="center" wrapText="1"/>
    </xf>
    <xf numFmtId="0" fontId="31" fillId="40" borderId="39" xfId="0" applyFont="1" applyFill="1" applyBorder="1" applyAlignment="1">
      <alignment vertical="center" wrapText="1"/>
    </xf>
    <xf numFmtId="10" fontId="31" fillId="41" borderId="39" xfId="0" applyNumberFormat="1" applyFont="1" applyFill="1" applyBorder="1" applyAlignment="1">
      <alignment vertical="center" wrapText="1"/>
    </xf>
    <xf numFmtId="3" fontId="31" fillId="40" borderId="39" xfId="0" applyNumberFormat="1" applyFont="1" applyFill="1" applyBorder="1" applyAlignment="1">
      <alignment vertical="center" wrapText="1"/>
    </xf>
    <xf numFmtId="2" fontId="31" fillId="40" borderId="39" xfId="0" applyNumberFormat="1" applyFont="1" applyFill="1" applyBorder="1" applyAlignment="1">
      <alignment vertical="center" wrapText="1"/>
    </xf>
    <xf numFmtId="164" fontId="31" fillId="40" borderId="39" xfId="0" applyNumberFormat="1" applyFont="1" applyFill="1" applyBorder="1" applyAlignment="1">
      <alignment vertical="center" wrapText="1"/>
    </xf>
    <xf numFmtId="1" fontId="31" fillId="40" borderId="39" xfId="0" applyNumberFormat="1" applyFont="1" applyFill="1" applyBorder="1" applyAlignment="1">
      <alignment vertical="center" wrapText="1"/>
    </xf>
    <xf numFmtId="164" fontId="31" fillId="40" borderId="40" xfId="0" applyNumberFormat="1" applyFont="1" applyFill="1" applyBorder="1" applyAlignment="1">
      <alignment vertical="center" wrapText="1"/>
    </xf>
    <xf numFmtId="0" fontId="31" fillId="40" borderId="0" xfId="0" applyFont="1" applyFill="1" applyAlignment="1">
      <alignment vertical="center" wrapText="1"/>
    </xf>
    <xf numFmtId="10" fontId="31" fillId="41" borderId="0" xfId="0" applyNumberFormat="1" applyFont="1" applyFill="1" applyAlignment="1">
      <alignment vertical="center" wrapText="1"/>
    </xf>
    <xf numFmtId="3" fontId="31" fillId="40" borderId="0" xfId="0" applyNumberFormat="1" applyFont="1" applyFill="1" applyAlignment="1">
      <alignment vertical="center" wrapText="1"/>
    </xf>
    <xf numFmtId="2" fontId="31" fillId="40" borderId="0" xfId="0" applyNumberFormat="1" applyFont="1" applyFill="1" applyAlignment="1">
      <alignment vertical="center" wrapText="1"/>
    </xf>
    <xf numFmtId="164" fontId="31" fillId="40" borderId="0" xfId="0" applyNumberFormat="1" applyFont="1" applyFill="1" applyAlignment="1">
      <alignment vertical="center" wrapText="1"/>
    </xf>
    <xf numFmtId="1" fontId="31" fillId="40" borderId="0" xfId="0" applyNumberFormat="1" applyFont="1" applyFill="1" applyAlignment="1">
      <alignment vertical="center" wrapText="1"/>
    </xf>
    <xf numFmtId="0" fontId="32" fillId="42" borderId="41" xfId="0" applyFont="1" applyFill="1" applyBorder="1" applyAlignment="1">
      <alignment horizontal="center" vertical="center" wrapText="1"/>
    </xf>
    <xf numFmtId="0" fontId="32" fillId="42" borderId="42" xfId="0" applyFont="1" applyFill="1" applyBorder="1" applyAlignment="1">
      <alignment horizontal="center" vertical="center" wrapText="1"/>
    </xf>
    <xf numFmtId="164" fontId="0" fillId="0" borderId="0" xfId="0" applyNumberFormat="1"/>
    <xf numFmtId="0" fontId="36" fillId="6" borderId="43" xfId="0" applyFont="1" applyFill="1" applyBorder="1" applyAlignment="1">
      <alignment vertical="top" wrapText="1"/>
    </xf>
    <xf numFmtId="164" fontId="36" fillId="6" borderId="43" xfId="0" applyNumberFormat="1" applyFont="1" applyFill="1" applyBorder="1" applyAlignment="1">
      <alignment vertical="top" wrapText="1"/>
    </xf>
    <xf numFmtId="0" fontId="36" fillId="6" borderId="0" xfId="0" applyFont="1" applyFill="1" applyAlignment="1">
      <alignment vertical="top" wrapText="1"/>
    </xf>
    <xf numFmtId="164" fontId="36" fillId="6" borderId="0" xfId="0" applyNumberFormat="1" applyFont="1" applyFill="1" applyAlignment="1">
      <alignment vertical="top" wrapText="1"/>
    </xf>
    <xf numFmtId="0" fontId="37" fillId="24" borderId="3" xfId="0" applyFont="1" applyFill="1" applyBorder="1" applyAlignment="1">
      <alignment horizontal="center" vertical="center" wrapText="1"/>
    </xf>
    <xf numFmtId="167" fontId="37" fillId="24" borderId="3" xfId="0" applyNumberFormat="1" applyFont="1" applyFill="1" applyBorder="1" applyAlignment="1">
      <alignment horizontal="center" vertical="center" wrapText="1"/>
    </xf>
    <xf numFmtId="167" fontId="36" fillId="6" borderId="0" xfId="0" applyNumberFormat="1" applyFont="1" applyFill="1" applyAlignment="1">
      <alignment vertical="top" wrapText="1"/>
    </xf>
    <xf numFmtId="167" fontId="36" fillId="6" borderId="43" xfId="0" applyNumberFormat="1" applyFont="1" applyFill="1" applyBorder="1" applyAlignment="1">
      <alignment vertical="top" wrapText="1"/>
    </xf>
    <xf numFmtId="0" fontId="38" fillId="6" borderId="0" xfId="1" applyFill="1" applyAlignment="1">
      <alignment vertical="top" wrapText="1"/>
    </xf>
    <xf numFmtId="0" fontId="35"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0" fontId="26" fillId="33" borderId="34" xfId="0" applyFont="1" applyFill="1" applyBorder="1" applyAlignment="1">
      <alignment vertical="center"/>
    </xf>
    <xf numFmtId="0" fontId="35" fillId="44" borderId="0" xfId="0" applyFont="1" applyFill="1" applyAlignment="1">
      <alignment vertical="center"/>
    </xf>
    <xf numFmtId="0" fontId="34" fillId="6" borderId="0" xfId="0" applyFont="1" applyFill="1" applyAlignment="1">
      <alignment vertical="center" wrapText="1"/>
    </xf>
    <xf numFmtId="0" fontId="33" fillId="43" borderId="0" xfId="0" applyFont="1" applyFill="1" applyAlignment="1">
      <alignment vertical="center" wrapText="1"/>
    </xf>
  </cellXfs>
  <cellStyles count="2">
    <cellStyle name="Hyperlink" xfId="1" builtinId="8"/>
    <cellStyle name="Normal" xfId="0" builtinId="0"/>
  </cellStyles>
  <dxfs count="31">
    <dxf>
      <font>
        <b val="0"/>
        <i val="0"/>
        <strike val="0"/>
        <condense val="0"/>
        <extend val="0"/>
        <outline val="0"/>
        <shadow val="0"/>
        <u val="none"/>
        <vertAlign val="baseline"/>
        <sz val="10"/>
        <color auto="1"/>
        <name val="Carlito"/>
        <scheme val="none"/>
      </font>
      <fill>
        <patternFill patternType="solid">
          <fgColor indexed="64"/>
          <bgColor rgb="FFFFF8DD"/>
        </patternFill>
      </fill>
    </dxf>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ont>
        <b/>
        <color rgb="FF92400E"/>
      </font>
      <fill>
        <patternFill patternType="solid">
          <bgColor rgb="FFFEF3C7"/>
        </patternFill>
      </fill>
    </dxf>
    <dxf>
      <font>
        <b/>
        <color rgb="FF166534"/>
      </font>
      <fill>
        <patternFill patternType="solid">
          <bgColor rgb="FFDCFCE7"/>
        </patternFill>
      </fill>
    </dxf>
    <dxf>
      <font>
        <b/>
        <color rgb="FF075985"/>
      </font>
      <fill>
        <patternFill patternType="solid">
          <bgColor rgb="FFE0F2FE"/>
        </patternFill>
      </fill>
    </dxf>
    <dxf>
      <font>
        <b/>
        <color rgb="FF166534"/>
      </font>
      <fill>
        <patternFill patternType="solid">
          <bgColor rgb="FFDCFCE7"/>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C-0000-FFFF-FFFF00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0"/>
    <tableColumn id="23" xr3:uid="{00000000-0010-0000-0000-000017000000}" name="LONGITUDE"/>
    <tableColumn id="31" xr3:uid="{84DAEC89-F03F-4791-85FC-01D32CC654F6}" name="GEOJSON" dataDxfId="0"/>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9"/>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28" headerRowBorderDxfId="27">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26"/>
    <tableColumn id="18" xr3:uid="{87150178-4EDB-4AD7-8CF1-40D42CE5D161}" name="RENTAN_LANSIA*" dataDxfId="25"/>
    <tableColumn id="19" xr3:uid="{B0DB39C7-11DA-47A7-9AC4-A90CCE10CE2B}" name="RENTAN_DISABILITAS*" dataDxfId="24"/>
    <tableColumn id="20" xr3:uid="{C4A70515-B1AF-4F29-A8AD-C5BA67C4C29E}" name="RENTAN_KEPALA_KELUARGA_PEREMPUAN*" dataDxfId="23"/>
    <tableColumn id="21" xr3:uid="{178CA43F-97A2-4CDF-9E72-3286F7C03E82}" name="RENTAN_BALITA*" dataDxfId="22"/>
    <tableColumn id="22" xr3:uid="{ED3E9D21-191E-4986-B2E2-72A7314ECB14}" name="RENTAN_KETERGANTUNGAN_TINGGI*" dataDxfId="21"/>
    <tableColumn id="23" xr3:uid="{CC088685-63AF-4289-BA4C-402759191666}" name="CATATAN_KERENTANAN_PENGHUNI"/>
    <tableColumn id="24" xr3:uid="{263EBDC8-D390-4B46-A921-9C43C72D752B}" name="FAKTOR_KERENTANAN_TERPILIH" dataDxfId="20">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19">
      <calculatedColumnFormula>IF(COUNTIF(R6:V6,"Belum Dinilai")&gt;0,"Belum Dinilai",IF(COUNTIF(R6:V6,"Ya")=0,"Tidak Ada Faktor Rentan",IF(COUNTIF(R6:V6,"Ya")=1,"1 Faktor Rentan","2 atau Lebih Faktor Rentan")))</calculatedColumnFormula>
    </tableColumn>
    <tableColumn id="26" xr3:uid="{AE6C0F4D-F797-4E6E-9443-50835488A9C0}" name="SKOR_MBR" dataDxfId="18">
      <calculatedColumnFormula>IF(OR(Q6="",Q6="Belum Dinilai"),"",IF(Q6="Terverifikasi DTKS/P3KE/MBR",10,IF(Q6="Diusulkan, Belum Terverifikasi",5,0)))</calculatedColumnFormula>
    </tableColumn>
    <tableColumn id="27" xr3:uid="{FEF98D34-8976-4F06-94FB-3B500F1FD969}" name="SKOR_FAKTOR_RENTAN" dataDxfId="17">
      <calculatedColumnFormula>IF(COUNTIF(R6:V6,"Belum Dinilai")&gt;0,"",IF(COUNTIF(R6:V6,"Ya")=0,0,IF(COUNTIF(R6:V6,"Ya")=1,5,10)))</calculatedColumnFormula>
    </tableColumn>
    <tableColumn id="28" xr3:uid="{B665D4B9-59B8-47A8-B372-F603C3C42E26}" name="SKOR_KERENTANAN" dataDxfId="16">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15">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14">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54ED3-85D2-4007-A8FF-E5923EAF4E7A}">
  <dimension ref="A1:N500"/>
  <sheetViews>
    <sheetView workbookViewId="0">
      <selection activeCell="A6" sqref="A6:L13"/>
    </sheetView>
  </sheetViews>
  <sheetFormatPr defaultRowHeight="14"/>
  <cols>
    <col min="1" max="2" width="16" customWidth="1"/>
    <col min="3" max="3" width="17" customWidth="1"/>
    <col min="4" max="4" width="25" customWidth="1"/>
    <col min="5" max="5" width="34" customWidth="1"/>
    <col min="6" max="6" width="22" customWidth="1"/>
    <col min="7" max="7" width="16" style="82"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6" customHeight="1">
      <c r="A1" s="229" t="s">
        <v>2463</v>
      </c>
      <c r="B1" s="229"/>
      <c r="C1" s="229"/>
      <c r="D1" s="229"/>
      <c r="E1" s="229"/>
      <c r="F1" s="229"/>
      <c r="G1" s="229"/>
      <c r="H1" s="229"/>
      <c r="I1" s="229"/>
      <c r="J1" s="229"/>
      <c r="K1" s="229"/>
      <c r="L1" s="229"/>
      <c r="M1" s="229"/>
      <c r="N1" s="229"/>
    </row>
    <row r="2" spans="1:14" ht="24" customHeight="1">
      <c r="A2" s="230" t="s">
        <v>2462</v>
      </c>
      <c r="B2" s="230"/>
      <c r="C2" s="230"/>
      <c r="D2" s="230"/>
      <c r="E2" s="230"/>
      <c r="F2" s="230"/>
      <c r="G2" s="230"/>
      <c r="H2" s="230"/>
      <c r="I2" s="230"/>
      <c r="J2" s="230"/>
      <c r="K2" s="230"/>
      <c r="L2" s="230"/>
      <c r="M2" s="230"/>
      <c r="N2" s="230"/>
    </row>
    <row r="3" spans="1:14" ht="30.65" customHeight="1">
      <c r="A3" s="231" t="s">
        <v>2461</v>
      </c>
      <c r="B3" s="231"/>
      <c r="C3" s="231"/>
      <c r="D3" s="231"/>
      <c r="E3" s="231"/>
      <c r="F3" s="231"/>
      <c r="G3" s="231"/>
      <c r="H3" s="231"/>
      <c r="I3" s="231"/>
      <c r="J3" s="231"/>
      <c r="K3" s="231"/>
      <c r="L3" s="231"/>
      <c r="M3" s="231"/>
      <c r="N3" s="231"/>
    </row>
    <row r="5" spans="1:14" ht="22.65" customHeight="1">
      <c r="A5" s="224" t="s">
        <v>2460</v>
      </c>
      <c r="B5" s="224" t="s">
        <v>2459</v>
      </c>
      <c r="C5" s="224" t="s">
        <v>2458</v>
      </c>
      <c r="D5" s="224" t="s">
        <v>2457</v>
      </c>
      <c r="E5" s="224" t="s">
        <v>2456</v>
      </c>
      <c r="F5" s="224" t="s">
        <v>2455</v>
      </c>
      <c r="G5" s="225" t="s">
        <v>2454</v>
      </c>
      <c r="H5" s="224" t="s">
        <v>2453</v>
      </c>
      <c r="I5" s="224" t="s">
        <v>2452</v>
      </c>
      <c r="J5" s="224" t="s">
        <v>28</v>
      </c>
      <c r="K5" s="224" t="s">
        <v>853</v>
      </c>
      <c r="L5" s="224" t="s">
        <v>1179</v>
      </c>
      <c r="M5" s="224" t="s">
        <v>29</v>
      </c>
      <c r="N5" s="224" t="s">
        <v>30</v>
      </c>
    </row>
    <row r="6" spans="1:14" ht="16" customHeight="1">
      <c r="B6" s="222"/>
      <c r="D6" s="222"/>
      <c r="E6" s="222"/>
      <c r="F6" s="222"/>
      <c r="G6" s="226"/>
      <c r="H6" s="228"/>
      <c r="I6" s="222"/>
      <c r="J6" s="222"/>
      <c r="K6" s="222"/>
      <c r="L6" s="222"/>
      <c r="M6" s="223"/>
      <c r="N6" s="222"/>
    </row>
    <row r="7" spans="1:14" ht="16" customHeight="1">
      <c r="B7" s="222"/>
      <c r="D7" s="222"/>
      <c r="E7" s="222"/>
      <c r="F7" s="222"/>
      <c r="G7" s="226"/>
      <c r="H7" s="228"/>
      <c r="I7" s="222"/>
      <c r="J7" s="222"/>
      <c r="K7" s="222"/>
      <c r="L7" s="222"/>
      <c r="M7" s="223"/>
      <c r="N7" s="222"/>
    </row>
    <row r="8" spans="1:14" ht="16" customHeight="1">
      <c r="A8" s="222"/>
      <c r="B8" s="222"/>
      <c r="C8" s="222"/>
      <c r="D8" s="222"/>
      <c r="E8" s="222"/>
      <c r="F8" s="222"/>
      <c r="G8" s="226"/>
      <c r="H8" s="222"/>
      <c r="I8" s="222"/>
      <c r="J8" s="222"/>
      <c r="K8" s="222"/>
      <c r="L8" s="222"/>
      <c r="M8" s="223"/>
      <c r="N8" s="222"/>
    </row>
    <row r="9" spans="1:14" ht="16" customHeight="1">
      <c r="A9" s="222"/>
      <c r="B9" s="222"/>
      <c r="C9" s="222"/>
      <c r="D9" s="222"/>
      <c r="E9" s="222"/>
      <c r="F9" s="222"/>
      <c r="G9" s="226"/>
      <c r="H9" s="222"/>
      <c r="I9" s="222"/>
      <c r="J9" s="222"/>
      <c r="K9" s="222"/>
      <c r="L9" s="222"/>
      <c r="M9" s="223"/>
      <c r="N9" s="222"/>
    </row>
    <row r="10" spans="1:14" ht="16" customHeight="1">
      <c r="A10" s="222"/>
      <c r="B10" s="222"/>
      <c r="C10" s="222"/>
      <c r="D10" s="222"/>
      <c r="E10" s="222"/>
      <c r="F10" s="222"/>
      <c r="G10" s="226"/>
      <c r="H10" s="222"/>
      <c r="I10" s="222"/>
      <c r="J10" s="222"/>
      <c r="K10" s="222"/>
      <c r="L10" s="222"/>
      <c r="M10" s="223"/>
      <c r="N10" s="222"/>
    </row>
    <row r="11" spans="1:14" ht="16" customHeight="1">
      <c r="A11" s="222"/>
      <c r="B11" s="222"/>
      <c r="C11" s="222"/>
      <c r="D11" s="222"/>
      <c r="E11" s="222"/>
      <c r="F11" s="222"/>
      <c r="G11" s="226"/>
      <c r="H11" s="222"/>
      <c r="I11" s="222"/>
      <c r="J11" s="222"/>
      <c r="K11" s="222"/>
      <c r="L11" s="222"/>
      <c r="M11" s="223"/>
      <c r="N11" s="222"/>
    </row>
    <row r="12" spans="1:14" ht="16" customHeight="1">
      <c r="A12" s="222"/>
      <c r="B12" s="222"/>
      <c r="C12" s="222"/>
      <c r="D12" s="222"/>
      <c r="E12" s="222"/>
      <c r="F12" s="222"/>
      <c r="G12" s="226"/>
      <c r="H12" s="222"/>
      <c r="I12" s="222"/>
      <c r="J12" s="222"/>
      <c r="K12" s="222"/>
      <c r="L12" s="222"/>
      <c r="M12" s="223"/>
      <c r="N12" s="222"/>
    </row>
    <row r="13" spans="1:14" ht="16" customHeight="1">
      <c r="A13" s="222"/>
      <c r="B13" s="222"/>
      <c r="C13" s="222"/>
      <c r="D13" s="222"/>
      <c r="E13" s="222"/>
      <c r="F13" s="222"/>
      <c r="G13" s="226"/>
      <c r="H13" s="222"/>
      <c r="I13" s="222"/>
      <c r="J13" s="222"/>
      <c r="K13" s="222"/>
      <c r="L13" s="222"/>
      <c r="M13" s="223"/>
      <c r="N13" s="222"/>
    </row>
    <row r="14" spans="1:14" ht="16" customHeight="1">
      <c r="A14" s="222"/>
      <c r="B14" s="222"/>
      <c r="C14" s="222"/>
      <c r="D14" s="222"/>
      <c r="E14" s="222"/>
      <c r="F14" s="222"/>
      <c r="G14" s="226"/>
      <c r="H14" s="222"/>
      <c r="I14" s="222"/>
      <c r="J14" s="222"/>
      <c r="K14" s="222"/>
      <c r="L14" s="222"/>
      <c r="M14" s="223"/>
      <c r="N14" s="222"/>
    </row>
    <row r="15" spans="1:14" ht="16" customHeight="1">
      <c r="A15" s="222"/>
      <c r="B15" s="222"/>
      <c r="C15" s="222"/>
      <c r="D15" s="222"/>
      <c r="E15" s="222"/>
      <c r="F15" s="222"/>
      <c r="G15" s="226"/>
      <c r="H15" s="222"/>
      <c r="I15" s="222"/>
      <c r="J15" s="222"/>
      <c r="K15" s="222"/>
      <c r="L15" s="222"/>
      <c r="M15" s="223"/>
      <c r="N15" s="222"/>
    </row>
    <row r="16" spans="1:14" ht="16" customHeight="1">
      <c r="A16" s="222"/>
      <c r="B16" s="222"/>
      <c r="C16" s="222"/>
      <c r="D16" s="222"/>
      <c r="E16" s="222"/>
      <c r="F16" s="222"/>
      <c r="G16" s="226"/>
      <c r="H16" s="222"/>
      <c r="I16" s="222"/>
      <c r="J16" s="222"/>
      <c r="K16" s="222"/>
      <c r="L16" s="222"/>
      <c r="M16" s="223"/>
      <c r="N16" s="222"/>
    </row>
    <row r="17" spans="1:14" ht="16" customHeight="1">
      <c r="A17" s="222"/>
      <c r="B17" s="222"/>
      <c r="C17" s="222"/>
      <c r="D17" s="222"/>
      <c r="E17" s="222"/>
      <c r="F17" s="222"/>
      <c r="G17" s="226"/>
      <c r="H17" s="222"/>
      <c r="I17" s="222"/>
      <c r="J17" s="222"/>
      <c r="K17" s="222"/>
      <c r="L17" s="222"/>
      <c r="M17" s="223"/>
      <c r="N17" s="222"/>
    </row>
    <row r="18" spans="1:14" ht="16" customHeight="1">
      <c r="A18" s="222"/>
      <c r="B18" s="222"/>
      <c r="C18" s="222"/>
      <c r="D18" s="222"/>
      <c r="E18" s="222"/>
      <c r="F18" s="222"/>
      <c r="G18" s="226"/>
      <c r="H18" s="222"/>
      <c r="I18" s="222"/>
      <c r="J18" s="222"/>
      <c r="K18" s="222"/>
      <c r="L18" s="222"/>
      <c r="M18" s="223"/>
      <c r="N18" s="222"/>
    </row>
    <row r="19" spans="1:14" ht="16" customHeight="1">
      <c r="A19" s="222"/>
      <c r="B19" s="222"/>
      <c r="C19" s="222"/>
      <c r="D19" s="222"/>
      <c r="E19" s="222"/>
      <c r="F19" s="222"/>
      <c r="G19" s="226"/>
      <c r="H19" s="222"/>
      <c r="I19" s="222"/>
      <c r="J19" s="222"/>
      <c r="K19" s="222"/>
      <c r="L19" s="222"/>
      <c r="M19" s="223"/>
      <c r="N19" s="222"/>
    </row>
    <row r="20" spans="1:14" ht="16" customHeight="1">
      <c r="A20" s="222"/>
      <c r="B20" s="222"/>
      <c r="C20" s="222"/>
      <c r="D20" s="222"/>
      <c r="E20" s="222"/>
      <c r="F20" s="222"/>
      <c r="G20" s="226"/>
      <c r="H20" s="222"/>
      <c r="I20" s="222"/>
      <c r="J20" s="222"/>
      <c r="K20" s="222"/>
      <c r="L20" s="222"/>
      <c r="M20" s="223"/>
      <c r="N20" s="222"/>
    </row>
    <row r="21" spans="1:14" ht="16" customHeight="1">
      <c r="A21" s="222"/>
      <c r="B21" s="222"/>
      <c r="C21" s="222"/>
      <c r="D21" s="222"/>
      <c r="E21" s="222"/>
      <c r="F21" s="222"/>
      <c r="G21" s="226"/>
      <c r="H21" s="222"/>
      <c r="I21" s="222"/>
      <c r="J21" s="222"/>
      <c r="K21" s="222"/>
      <c r="L21" s="222"/>
      <c r="M21" s="223"/>
      <c r="N21" s="222"/>
    </row>
    <row r="22" spans="1:14" ht="16" customHeight="1">
      <c r="A22" s="222"/>
      <c r="B22" s="222"/>
      <c r="C22" s="222"/>
      <c r="D22" s="222"/>
      <c r="E22" s="222"/>
      <c r="F22" s="222"/>
      <c r="G22" s="226"/>
      <c r="H22" s="222"/>
      <c r="I22" s="222"/>
      <c r="J22" s="222"/>
      <c r="K22" s="222"/>
      <c r="L22" s="222"/>
      <c r="M22" s="223"/>
      <c r="N22" s="222"/>
    </row>
    <row r="23" spans="1:14" ht="16" customHeight="1">
      <c r="A23" s="222"/>
      <c r="B23" s="222"/>
      <c r="C23" s="222"/>
      <c r="D23" s="222"/>
      <c r="E23" s="222"/>
      <c r="F23" s="222"/>
      <c r="G23" s="226"/>
      <c r="H23" s="222"/>
      <c r="I23" s="222"/>
      <c r="J23" s="222"/>
      <c r="K23" s="222"/>
      <c r="L23" s="222"/>
      <c r="M23" s="223"/>
      <c r="N23" s="222"/>
    </row>
    <row r="24" spans="1:14" ht="16" customHeight="1">
      <c r="A24" s="222"/>
      <c r="B24" s="222"/>
      <c r="C24" s="222"/>
      <c r="D24" s="222"/>
      <c r="E24" s="222"/>
      <c r="F24" s="222"/>
      <c r="G24" s="226"/>
      <c r="H24" s="222"/>
      <c r="I24" s="222"/>
      <c r="J24" s="222"/>
      <c r="K24" s="222"/>
      <c r="L24" s="222"/>
      <c r="M24" s="223"/>
      <c r="N24" s="222"/>
    </row>
    <row r="25" spans="1:14" ht="16" customHeight="1">
      <c r="A25" s="220"/>
      <c r="B25" s="220"/>
      <c r="C25" s="220"/>
      <c r="D25" s="220"/>
      <c r="E25" s="220"/>
      <c r="F25" s="220"/>
      <c r="G25" s="227"/>
      <c r="H25" s="220"/>
      <c r="I25" s="220"/>
      <c r="J25" s="220"/>
      <c r="K25" s="220"/>
      <c r="L25" s="220"/>
      <c r="M25" s="221"/>
      <c r="N25" s="220"/>
    </row>
    <row r="26" spans="1:14">
      <c r="M26" s="219"/>
    </row>
    <row r="27" spans="1:14">
      <c r="M27" s="219"/>
    </row>
    <row r="28" spans="1:14">
      <c r="M28" s="219"/>
    </row>
    <row r="29" spans="1:14">
      <c r="M29" s="219"/>
    </row>
    <row r="30" spans="1:14">
      <c r="M30" s="219"/>
    </row>
    <row r="31" spans="1:14">
      <c r="M31" s="219"/>
    </row>
    <row r="32" spans="1:14">
      <c r="M32" s="219"/>
    </row>
    <row r="33" spans="13:13">
      <c r="M33" s="219"/>
    </row>
    <row r="34" spans="13:13">
      <c r="M34" s="219"/>
    </row>
    <row r="35" spans="13:13">
      <c r="M35" s="219"/>
    </row>
    <row r="36" spans="13:13">
      <c r="M36" s="219"/>
    </row>
    <row r="37" spans="13:13">
      <c r="M37" s="219"/>
    </row>
    <row r="38" spans="13:13">
      <c r="M38" s="219"/>
    </row>
    <row r="39" spans="13:13">
      <c r="M39" s="219"/>
    </row>
    <row r="40" spans="13:13">
      <c r="M40" s="219"/>
    </row>
    <row r="41" spans="13:13">
      <c r="M41" s="219"/>
    </row>
    <row r="42" spans="13:13">
      <c r="M42" s="219"/>
    </row>
    <row r="43" spans="13:13">
      <c r="M43" s="219"/>
    </row>
    <row r="44" spans="13:13">
      <c r="M44" s="219"/>
    </row>
    <row r="45" spans="13:13">
      <c r="M45" s="219"/>
    </row>
    <row r="46" spans="13:13">
      <c r="M46" s="219"/>
    </row>
    <row r="47" spans="13:13">
      <c r="M47" s="219"/>
    </row>
    <row r="48" spans="13:13">
      <c r="M48" s="219"/>
    </row>
    <row r="49" spans="13:13">
      <c r="M49" s="219"/>
    </row>
    <row r="50" spans="13:13">
      <c r="M50" s="219"/>
    </row>
    <row r="51" spans="13:13">
      <c r="M51" s="219"/>
    </row>
    <row r="52" spans="13:13">
      <c r="M52" s="219"/>
    </row>
    <row r="53" spans="13:13">
      <c r="M53" s="219"/>
    </row>
    <row r="54" spans="13:13">
      <c r="M54" s="219"/>
    </row>
    <row r="55" spans="13:13">
      <c r="M55" s="219"/>
    </row>
    <row r="56" spans="13:13">
      <c r="M56" s="219"/>
    </row>
    <row r="57" spans="13:13">
      <c r="M57" s="219"/>
    </row>
    <row r="58" spans="13:13">
      <c r="M58" s="219"/>
    </row>
    <row r="59" spans="13:13">
      <c r="M59" s="219"/>
    </row>
    <row r="60" spans="13:13">
      <c r="M60" s="219"/>
    </row>
    <row r="61" spans="13:13">
      <c r="M61" s="219"/>
    </row>
    <row r="62" spans="13:13">
      <c r="M62" s="219"/>
    </row>
    <row r="63" spans="13:13">
      <c r="M63" s="219"/>
    </row>
    <row r="64" spans="13:13">
      <c r="M64" s="219"/>
    </row>
    <row r="65" spans="13:13">
      <c r="M65" s="219"/>
    </row>
    <row r="66" spans="13:13">
      <c r="M66" s="219"/>
    </row>
    <row r="67" spans="13:13">
      <c r="M67" s="219"/>
    </row>
    <row r="68" spans="13:13">
      <c r="M68" s="219"/>
    </row>
    <row r="69" spans="13:13">
      <c r="M69" s="219"/>
    </row>
    <row r="70" spans="13:13">
      <c r="M70" s="219"/>
    </row>
    <row r="71" spans="13:13">
      <c r="M71" s="219"/>
    </row>
    <row r="72" spans="13:13">
      <c r="M72" s="219"/>
    </row>
    <row r="73" spans="13:13">
      <c r="M73" s="219"/>
    </row>
    <row r="74" spans="13:13">
      <c r="M74" s="219"/>
    </row>
    <row r="75" spans="13:13">
      <c r="M75" s="219"/>
    </row>
    <row r="76" spans="13:13">
      <c r="M76" s="219"/>
    </row>
    <row r="77" spans="13:13">
      <c r="M77" s="219"/>
    </row>
    <row r="78" spans="13:13">
      <c r="M78" s="219"/>
    </row>
    <row r="79" spans="13:13">
      <c r="M79" s="219"/>
    </row>
    <row r="80" spans="13:13">
      <c r="M80" s="219"/>
    </row>
    <row r="81" spans="13:13">
      <c r="M81" s="219"/>
    </row>
    <row r="82" spans="13:13">
      <c r="M82" s="219"/>
    </row>
    <row r="83" spans="13:13">
      <c r="M83" s="219"/>
    </row>
    <row r="84" spans="13:13">
      <c r="M84" s="219"/>
    </row>
    <row r="85" spans="13:13">
      <c r="M85" s="219"/>
    </row>
    <row r="86" spans="13:13">
      <c r="M86" s="219"/>
    </row>
    <row r="87" spans="13:13">
      <c r="M87" s="219"/>
    </row>
    <row r="88" spans="13:13">
      <c r="M88" s="219"/>
    </row>
    <row r="89" spans="13:13">
      <c r="M89" s="219"/>
    </row>
    <row r="90" spans="13:13">
      <c r="M90" s="219"/>
    </row>
    <row r="91" spans="13:13">
      <c r="M91" s="219"/>
    </row>
    <row r="92" spans="13:13">
      <c r="M92" s="219"/>
    </row>
    <row r="93" spans="13:13">
      <c r="M93" s="219"/>
    </row>
    <row r="94" spans="13:13">
      <c r="M94" s="219"/>
    </row>
    <row r="95" spans="13:13">
      <c r="M95" s="219"/>
    </row>
    <row r="96" spans="13:13">
      <c r="M96" s="219"/>
    </row>
    <row r="97" spans="13:13">
      <c r="M97" s="219"/>
    </row>
    <row r="98" spans="13:13">
      <c r="M98" s="219"/>
    </row>
    <row r="99" spans="13:13">
      <c r="M99" s="219"/>
    </row>
    <row r="100" spans="13:13">
      <c r="M100" s="219"/>
    </row>
    <row r="101" spans="13:13">
      <c r="M101" s="219"/>
    </row>
    <row r="102" spans="13:13">
      <c r="M102" s="219"/>
    </row>
    <row r="103" spans="13:13">
      <c r="M103" s="219"/>
    </row>
    <row r="104" spans="13:13">
      <c r="M104" s="219"/>
    </row>
    <row r="105" spans="13:13">
      <c r="M105" s="219"/>
    </row>
    <row r="106" spans="13:13">
      <c r="M106" s="219"/>
    </row>
    <row r="107" spans="13:13">
      <c r="M107" s="219"/>
    </row>
    <row r="108" spans="13:13">
      <c r="M108" s="219"/>
    </row>
    <row r="109" spans="13:13">
      <c r="M109" s="219"/>
    </row>
    <row r="110" spans="13:13">
      <c r="M110" s="219"/>
    </row>
    <row r="111" spans="13:13">
      <c r="M111" s="219"/>
    </row>
    <row r="112" spans="13:13">
      <c r="M112" s="219"/>
    </row>
    <row r="113" spans="13:13">
      <c r="M113" s="219"/>
    </row>
    <row r="114" spans="13:13">
      <c r="M114" s="219"/>
    </row>
    <row r="115" spans="13:13">
      <c r="M115" s="219"/>
    </row>
    <row r="116" spans="13:13">
      <c r="M116" s="219"/>
    </row>
    <row r="117" spans="13:13">
      <c r="M117" s="219"/>
    </row>
    <row r="118" spans="13:13">
      <c r="M118" s="219"/>
    </row>
    <row r="119" spans="13:13">
      <c r="M119" s="219"/>
    </row>
    <row r="120" spans="13:13">
      <c r="M120" s="219"/>
    </row>
    <row r="121" spans="13:13">
      <c r="M121" s="219"/>
    </row>
    <row r="122" spans="13:13">
      <c r="M122" s="219"/>
    </row>
    <row r="123" spans="13:13">
      <c r="M123" s="219"/>
    </row>
    <row r="124" spans="13:13">
      <c r="M124" s="219"/>
    </row>
    <row r="125" spans="13:13">
      <c r="M125" s="219"/>
    </row>
    <row r="126" spans="13:13">
      <c r="M126" s="219"/>
    </row>
    <row r="127" spans="13:13">
      <c r="M127" s="219"/>
    </row>
    <row r="128" spans="13:13">
      <c r="M128" s="219"/>
    </row>
    <row r="129" spans="13:13">
      <c r="M129" s="219"/>
    </row>
    <row r="130" spans="13:13">
      <c r="M130" s="219"/>
    </row>
    <row r="131" spans="13:13">
      <c r="M131" s="219"/>
    </row>
    <row r="132" spans="13:13">
      <c r="M132" s="219"/>
    </row>
    <row r="133" spans="13:13">
      <c r="M133" s="219"/>
    </row>
    <row r="134" spans="13:13">
      <c r="M134" s="219"/>
    </row>
    <row r="135" spans="13:13">
      <c r="M135" s="219"/>
    </row>
    <row r="136" spans="13:13">
      <c r="M136" s="219"/>
    </row>
    <row r="137" spans="13:13">
      <c r="M137" s="219"/>
    </row>
    <row r="138" spans="13:13">
      <c r="M138" s="219"/>
    </row>
    <row r="139" spans="13:13">
      <c r="M139" s="219"/>
    </row>
    <row r="140" spans="13:13">
      <c r="M140" s="219"/>
    </row>
    <row r="141" spans="13:13">
      <c r="M141" s="219"/>
    </row>
    <row r="142" spans="13:13">
      <c r="M142" s="219"/>
    </row>
    <row r="143" spans="13:13">
      <c r="M143" s="219"/>
    </row>
    <row r="144" spans="13:13">
      <c r="M144" s="219"/>
    </row>
    <row r="145" spans="13:13">
      <c r="M145" s="219"/>
    </row>
    <row r="146" spans="13:13">
      <c r="M146" s="219"/>
    </row>
    <row r="147" spans="13:13">
      <c r="M147" s="219"/>
    </row>
    <row r="148" spans="13:13">
      <c r="M148" s="219"/>
    </row>
    <row r="149" spans="13:13">
      <c r="M149" s="219"/>
    </row>
    <row r="150" spans="13:13">
      <c r="M150" s="219"/>
    </row>
    <row r="151" spans="13:13">
      <c r="M151" s="219"/>
    </row>
    <row r="152" spans="13:13">
      <c r="M152" s="219"/>
    </row>
    <row r="153" spans="13:13">
      <c r="M153" s="219"/>
    </row>
    <row r="154" spans="13:13">
      <c r="M154" s="219"/>
    </row>
    <row r="155" spans="13:13">
      <c r="M155" s="219"/>
    </row>
    <row r="156" spans="13:13">
      <c r="M156" s="219"/>
    </row>
    <row r="157" spans="13:13">
      <c r="M157" s="219"/>
    </row>
    <row r="158" spans="13:13">
      <c r="M158" s="219"/>
    </row>
    <row r="159" spans="13:13">
      <c r="M159" s="219"/>
    </row>
    <row r="160" spans="13:13">
      <c r="M160" s="219"/>
    </row>
    <row r="161" spans="13:13">
      <c r="M161" s="219"/>
    </row>
    <row r="162" spans="13:13">
      <c r="M162" s="219"/>
    </row>
    <row r="163" spans="13:13">
      <c r="M163" s="219"/>
    </row>
    <row r="164" spans="13:13">
      <c r="M164" s="219"/>
    </row>
    <row r="165" spans="13:13">
      <c r="M165" s="219"/>
    </row>
    <row r="166" spans="13:13">
      <c r="M166" s="219"/>
    </row>
    <row r="167" spans="13:13">
      <c r="M167" s="219"/>
    </row>
    <row r="168" spans="13:13">
      <c r="M168" s="219"/>
    </row>
    <row r="169" spans="13:13">
      <c r="M169" s="219"/>
    </row>
    <row r="170" spans="13:13">
      <c r="M170" s="219"/>
    </row>
    <row r="171" spans="13:13">
      <c r="M171" s="219"/>
    </row>
    <row r="172" spans="13:13">
      <c r="M172" s="219"/>
    </row>
    <row r="173" spans="13:13">
      <c r="M173" s="219"/>
    </row>
    <row r="174" spans="13:13">
      <c r="M174" s="219"/>
    </row>
    <row r="175" spans="13:13">
      <c r="M175" s="219"/>
    </row>
    <row r="176" spans="13:13">
      <c r="M176" s="219"/>
    </row>
    <row r="177" spans="13:13">
      <c r="M177" s="219"/>
    </row>
    <row r="178" spans="13:13">
      <c r="M178" s="219"/>
    </row>
    <row r="179" spans="13:13">
      <c r="M179" s="219"/>
    </row>
    <row r="180" spans="13:13">
      <c r="M180" s="219"/>
    </row>
    <row r="181" spans="13:13">
      <c r="M181" s="219"/>
    </row>
    <row r="182" spans="13:13">
      <c r="M182" s="219"/>
    </row>
    <row r="183" spans="13:13">
      <c r="M183" s="219"/>
    </row>
    <row r="184" spans="13:13">
      <c r="M184" s="219"/>
    </row>
    <row r="185" spans="13:13">
      <c r="M185" s="219"/>
    </row>
    <row r="186" spans="13:13">
      <c r="M186" s="219"/>
    </row>
    <row r="187" spans="13:13">
      <c r="M187" s="219"/>
    </row>
    <row r="188" spans="13:13">
      <c r="M188" s="219"/>
    </row>
    <row r="189" spans="13:13">
      <c r="M189" s="219"/>
    </row>
    <row r="190" spans="13:13">
      <c r="M190" s="219"/>
    </row>
    <row r="191" spans="13:13">
      <c r="M191" s="219"/>
    </row>
    <row r="192" spans="13:13">
      <c r="M192" s="219"/>
    </row>
    <row r="193" spans="13:13">
      <c r="M193" s="219"/>
    </row>
    <row r="194" spans="13:13">
      <c r="M194" s="219"/>
    </row>
    <row r="195" spans="13:13">
      <c r="M195" s="219"/>
    </row>
    <row r="196" spans="13:13">
      <c r="M196" s="219"/>
    </row>
    <row r="197" spans="13:13">
      <c r="M197" s="219"/>
    </row>
    <row r="198" spans="13:13">
      <c r="M198" s="219"/>
    </row>
    <row r="199" spans="13:13">
      <c r="M199" s="219"/>
    </row>
    <row r="200" spans="13:13">
      <c r="M200" s="219"/>
    </row>
    <row r="201" spans="13:13">
      <c r="M201" s="219"/>
    </row>
    <row r="202" spans="13:13">
      <c r="M202" s="219"/>
    </row>
    <row r="203" spans="13:13">
      <c r="M203" s="219"/>
    </row>
    <row r="204" spans="13:13">
      <c r="M204" s="219"/>
    </row>
    <row r="205" spans="13:13">
      <c r="M205" s="219"/>
    </row>
    <row r="206" spans="13:13">
      <c r="M206" s="219"/>
    </row>
    <row r="207" spans="13:13">
      <c r="M207" s="219"/>
    </row>
    <row r="208" spans="13:13">
      <c r="M208" s="219"/>
    </row>
    <row r="209" spans="13:13">
      <c r="M209" s="219"/>
    </row>
    <row r="210" spans="13:13">
      <c r="M210" s="219"/>
    </row>
    <row r="211" spans="13:13">
      <c r="M211" s="219"/>
    </row>
    <row r="212" spans="13:13">
      <c r="M212" s="219"/>
    </row>
    <row r="213" spans="13:13">
      <c r="M213" s="219"/>
    </row>
    <row r="214" spans="13:13">
      <c r="M214" s="219"/>
    </row>
    <row r="215" spans="13:13">
      <c r="M215" s="219"/>
    </row>
    <row r="216" spans="13:13">
      <c r="M216" s="219"/>
    </row>
    <row r="217" spans="13:13">
      <c r="M217" s="219"/>
    </row>
    <row r="218" spans="13:13">
      <c r="M218" s="219"/>
    </row>
    <row r="219" spans="13:13">
      <c r="M219" s="219"/>
    </row>
    <row r="220" spans="13:13">
      <c r="M220" s="219"/>
    </row>
    <row r="221" spans="13:13">
      <c r="M221" s="219"/>
    </row>
    <row r="222" spans="13:13">
      <c r="M222" s="219"/>
    </row>
    <row r="223" spans="13:13">
      <c r="M223" s="219"/>
    </row>
    <row r="224" spans="13:13">
      <c r="M224" s="219"/>
    </row>
    <row r="225" spans="13:13">
      <c r="M225" s="219"/>
    </row>
    <row r="226" spans="13:13">
      <c r="M226" s="219"/>
    </row>
    <row r="227" spans="13:13">
      <c r="M227" s="219"/>
    </row>
    <row r="228" spans="13:13">
      <c r="M228" s="219"/>
    </row>
    <row r="229" spans="13:13">
      <c r="M229" s="219"/>
    </row>
    <row r="230" spans="13:13">
      <c r="M230" s="219"/>
    </row>
    <row r="231" spans="13:13">
      <c r="M231" s="219"/>
    </row>
    <row r="232" spans="13:13">
      <c r="M232" s="219"/>
    </row>
    <row r="233" spans="13:13">
      <c r="M233" s="219"/>
    </row>
    <row r="234" spans="13:13">
      <c r="M234" s="219"/>
    </row>
    <row r="235" spans="13:13">
      <c r="M235" s="219"/>
    </row>
    <row r="236" spans="13:13">
      <c r="M236" s="219"/>
    </row>
    <row r="237" spans="13:13">
      <c r="M237" s="219"/>
    </row>
    <row r="238" spans="13:13">
      <c r="M238" s="219"/>
    </row>
    <row r="239" spans="13:13">
      <c r="M239" s="219"/>
    </row>
    <row r="240" spans="13:13">
      <c r="M240" s="219"/>
    </row>
    <row r="241" spans="13:13">
      <c r="M241" s="219"/>
    </row>
    <row r="242" spans="13:13">
      <c r="M242" s="219"/>
    </row>
    <row r="243" spans="13:13">
      <c r="M243" s="219"/>
    </row>
    <row r="244" spans="13:13">
      <c r="M244" s="219"/>
    </row>
    <row r="245" spans="13:13">
      <c r="M245" s="219"/>
    </row>
    <row r="246" spans="13:13">
      <c r="M246" s="219"/>
    </row>
    <row r="247" spans="13:13">
      <c r="M247" s="219"/>
    </row>
    <row r="248" spans="13:13">
      <c r="M248" s="219"/>
    </row>
    <row r="249" spans="13:13">
      <c r="M249" s="219"/>
    </row>
    <row r="250" spans="13:13">
      <c r="M250" s="219"/>
    </row>
    <row r="251" spans="13:13">
      <c r="M251" s="219"/>
    </row>
    <row r="252" spans="13:13">
      <c r="M252" s="219"/>
    </row>
    <row r="253" spans="13:13">
      <c r="M253" s="219"/>
    </row>
    <row r="254" spans="13:13">
      <c r="M254" s="219"/>
    </row>
    <row r="255" spans="13:13">
      <c r="M255" s="219"/>
    </row>
    <row r="256" spans="13:13">
      <c r="M256" s="219"/>
    </row>
    <row r="257" spans="13:13">
      <c r="M257" s="219"/>
    </row>
    <row r="258" spans="13:13">
      <c r="M258" s="219"/>
    </row>
    <row r="259" spans="13:13">
      <c r="M259" s="219"/>
    </row>
    <row r="260" spans="13:13">
      <c r="M260" s="219"/>
    </row>
    <row r="261" spans="13:13">
      <c r="M261" s="219"/>
    </row>
    <row r="262" spans="13:13">
      <c r="M262" s="219"/>
    </row>
    <row r="263" spans="13:13">
      <c r="M263" s="219"/>
    </row>
    <row r="264" spans="13:13">
      <c r="M264" s="219"/>
    </row>
    <row r="265" spans="13:13">
      <c r="M265" s="219"/>
    </row>
    <row r="266" spans="13:13">
      <c r="M266" s="219"/>
    </row>
    <row r="267" spans="13:13">
      <c r="M267" s="219"/>
    </row>
    <row r="268" spans="13:13">
      <c r="M268" s="219"/>
    </row>
    <row r="269" spans="13:13">
      <c r="M269" s="219"/>
    </row>
    <row r="270" spans="13:13">
      <c r="M270" s="219"/>
    </row>
    <row r="271" spans="13:13">
      <c r="M271" s="219"/>
    </row>
    <row r="272" spans="13:13">
      <c r="M272" s="219"/>
    </row>
    <row r="273" spans="13:13">
      <c r="M273" s="219"/>
    </row>
    <row r="274" spans="13:13">
      <c r="M274" s="219"/>
    </row>
    <row r="275" spans="13:13">
      <c r="M275" s="219"/>
    </row>
    <row r="276" spans="13:13">
      <c r="M276" s="219"/>
    </row>
    <row r="277" spans="13:13">
      <c r="M277" s="219"/>
    </row>
    <row r="278" spans="13:13">
      <c r="M278" s="219"/>
    </row>
    <row r="279" spans="13:13">
      <c r="M279" s="219"/>
    </row>
    <row r="280" spans="13:13">
      <c r="M280" s="219"/>
    </row>
    <row r="281" spans="13:13">
      <c r="M281" s="219"/>
    </row>
    <row r="282" spans="13:13">
      <c r="M282" s="219"/>
    </row>
    <row r="283" spans="13:13">
      <c r="M283" s="219"/>
    </row>
    <row r="284" spans="13:13">
      <c r="M284" s="219"/>
    </row>
    <row r="285" spans="13:13">
      <c r="M285" s="219"/>
    </row>
    <row r="286" spans="13:13">
      <c r="M286" s="219"/>
    </row>
    <row r="287" spans="13:13">
      <c r="M287" s="219"/>
    </row>
    <row r="288" spans="13:13">
      <c r="M288" s="219"/>
    </row>
    <row r="289" spans="13:13">
      <c r="M289" s="219"/>
    </row>
    <row r="290" spans="13:13">
      <c r="M290" s="219"/>
    </row>
    <row r="291" spans="13:13">
      <c r="M291" s="219"/>
    </row>
    <row r="292" spans="13:13">
      <c r="M292" s="219"/>
    </row>
    <row r="293" spans="13:13">
      <c r="M293" s="219"/>
    </row>
    <row r="294" spans="13:13">
      <c r="M294" s="219"/>
    </row>
    <row r="295" spans="13:13">
      <c r="M295" s="219"/>
    </row>
    <row r="296" spans="13:13">
      <c r="M296" s="219"/>
    </row>
    <row r="297" spans="13:13">
      <c r="M297" s="219"/>
    </row>
    <row r="298" spans="13:13">
      <c r="M298" s="219"/>
    </row>
    <row r="299" spans="13:13">
      <c r="M299" s="219"/>
    </row>
    <row r="300" spans="13:13">
      <c r="M300" s="219"/>
    </row>
    <row r="301" spans="13:13">
      <c r="M301" s="219"/>
    </row>
    <row r="302" spans="13:13">
      <c r="M302" s="219"/>
    </row>
    <row r="303" spans="13:13">
      <c r="M303" s="219"/>
    </row>
    <row r="304" spans="13:13">
      <c r="M304" s="219"/>
    </row>
    <row r="305" spans="13:13">
      <c r="M305" s="219"/>
    </row>
    <row r="306" spans="13:13">
      <c r="M306" s="219"/>
    </row>
    <row r="307" spans="13:13">
      <c r="M307" s="219"/>
    </row>
    <row r="308" spans="13:13">
      <c r="M308" s="219"/>
    </row>
    <row r="309" spans="13:13">
      <c r="M309" s="219"/>
    </row>
    <row r="310" spans="13:13">
      <c r="M310" s="219"/>
    </row>
    <row r="311" spans="13:13">
      <c r="M311" s="219"/>
    </row>
    <row r="312" spans="13:13">
      <c r="M312" s="219"/>
    </row>
    <row r="313" spans="13:13">
      <c r="M313" s="219"/>
    </row>
    <row r="314" spans="13:13">
      <c r="M314" s="219"/>
    </row>
    <row r="315" spans="13:13">
      <c r="M315" s="219"/>
    </row>
    <row r="316" spans="13:13">
      <c r="M316" s="219"/>
    </row>
    <row r="317" spans="13:13">
      <c r="M317" s="219"/>
    </row>
    <row r="318" spans="13:13">
      <c r="M318" s="219"/>
    </row>
    <row r="319" spans="13:13">
      <c r="M319" s="219"/>
    </row>
    <row r="320" spans="13:13">
      <c r="M320" s="219"/>
    </row>
    <row r="321" spans="13:13">
      <c r="M321" s="219"/>
    </row>
    <row r="322" spans="13:13">
      <c r="M322" s="219"/>
    </row>
    <row r="323" spans="13:13">
      <c r="M323" s="219"/>
    </row>
    <row r="324" spans="13:13">
      <c r="M324" s="219"/>
    </row>
    <row r="325" spans="13:13">
      <c r="M325" s="219"/>
    </row>
    <row r="326" spans="13:13">
      <c r="M326" s="219"/>
    </row>
    <row r="327" spans="13:13">
      <c r="M327" s="219"/>
    </row>
    <row r="328" spans="13:13">
      <c r="M328" s="219"/>
    </row>
    <row r="329" spans="13:13">
      <c r="M329" s="219"/>
    </row>
    <row r="330" spans="13:13">
      <c r="M330" s="219"/>
    </row>
    <row r="331" spans="13:13">
      <c r="M331" s="219"/>
    </row>
    <row r="332" spans="13:13">
      <c r="M332" s="219"/>
    </row>
    <row r="333" spans="13:13">
      <c r="M333" s="219"/>
    </row>
    <row r="334" spans="13:13">
      <c r="M334" s="219"/>
    </row>
    <row r="335" spans="13:13">
      <c r="M335" s="219"/>
    </row>
    <row r="336" spans="13:13">
      <c r="M336" s="219"/>
    </row>
    <row r="337" spans="13:13">
      <c r="M337" s="219"/>
    </row>
    <row r="338" spans="13:13">
      <c r="M338" s="219"/>
    </row>
    <row r="339" spans="13:13">
      <c r="M339" s="219"/>
    </row>
    <row r="340" spans="13:13">
      <c r="M340" s="219"/>
    </row>
    <row r="341" spans="13:13">
      <c r="M341" s="219"/>
    </row>
    <row r="342" spans="13:13">
      <c r="M342" s="219"/>
    </row>
    <row r="343" spans="13:13">
      <c r="M343" s="219"/>
    </row>
    <row r="344" spans="13:13">
      <c r="M344" s="219"/>
    </row>
    <row r="345" spans="13:13">
      <c r="M345" s="219"/>
    </row>
    <row r="346" spans="13:13">
      <c r="M346" s="219"/>
    </row>
    <row r="347" spans="13:13">
      <c r="M347" s="219"/>
    </row>
    <row r="348" spans="13:13">
      <c r="M348" s="219"/>
    </row>
    <row r="349" spans="13:13">
      <c r="M349" s="219"/>
    </row>
    <row r="350" spans="13:13">
      <c r="M350" s="219"/>
    </row>
    <row r="351" spans="13:13">
      <c r="M351" s="219"/>
    </row>
    <row r="352" spans="13:13">
      <c r="M352" s="219"/>
    </row>
    <row r="353" spans="13:13">
      <c r="M353" s="219"/>
    </row>
    <row r="354" spans="13:13">
      <c r="M354" s="219"/>
    </row>
    <row r="355" spans="13:13">
      <c r="M355" s="219"/>
    </row>
    <row r="356" spans="13:13">
      <c r="M356" s="219"/>
    </row>
    <row r="357" spans="13:13">
      <c r="M357" s="219"/>
    </row>
    <row r="358" spans="13:13">
      <c r="M358" s="219"/>
    </row>
    <row r="359" spans="13:13">
      <c r="M359" s="219"/>
    </row>
    <row r="360" spans="13:13">
      <c r="M360" s="219"/>
    </row>
    <row r="361" spans="13:13">
      <c r="M361" s="219"/>
    </row>
    <row r="362" spans="13:13">
      <c r="M362" s="219"/>
    </row>
    <row r="363" spans="13:13">
      <c r="M363" s="219"/>
    </row>
    <row r="364" spans="13:13">
      <c r="M364" s="219"/>
    </row>
    <row r="365" spans="13:13">
      <c r="M365" s="219"/>
    </row>
    <row r="366" spans="13:13">
      <c r="M366" s="219"/>
    </row>
    <row r="367" spans="13:13">
      <c r="M367" s="219"/>
    </row>
    <row r="368" spans="13:13">
      <c r="M368" s="219"/>
    </row>
    <row r="369" spans="13:13">
      <c r="M369" s="219"/>
    </row>
    <row r="370" spans="13:13">
      <c r="M370" s="219"/>
    </row>
    <row r="371" spans="13:13">
      <c r="M371" s="219"/>
    </row>
    <row r="372" spans="13:13">
      <c r="M372" s="219"/>
    </row>
    <row r="373" spans="13:13">
      <c r="M373" s="219"/>
    </row>
    <row r="374" spans="13:13">
      <c r="M374" s="219"/>
    </row>
    <row r="375" spans="13:13">
      <c r="M375" s="219"/>
    </row>
    <row r="376" spans="13:13">
      <c r="M376" s="219"/>
    </row>
    <row r="377" spans="13:13">
      <c r="M377" s="219"/>
    </row>
    <row r="378" spans="13:13">
      <c r="M378" s="219"/>
    </row>
    <row r="379" spans="13:13">
      <c r="M379" s="219"/>
    </row>
    <row r="380" spans="13:13">
      <c r="M380" s="219"/>
    </row>
    <row r="381" spans="13:13">
      <c r="M381" s="219"/>
    </row>
    <row r="382" spans="13:13">
      <c r="M382" s="219"/>
    </row>
    <row r="383" spans="13:13">
      <c r="M383" s="219"/>
    </row>
    <row r="384" spans="13:13">
      <c r="M384" s="219"/>
    </row>
    <row r="385" spans="13:13">
      <c r="M385" s="219"/>
    </row>
    <row r="386" spans="13:13">
      <c r="M386" s="219"/>
    </row>
    <row r="387" spans="13:13">
      <c r="M387" s="219"/>
    </row>
    <row r="388" spans="13:13">
      <c r="M388" s="219"/>
    </row>
    <row r="389" spans="13:13">
      <c r="M389" s="219"/>
    </row>
    <row r="390" spans="13:13">
      <c r="M390" s="219"/>
    </row>
    <row r="391" spans="13:13">
      <c r="M391" s="219"/>
    </row>
    <row r="392" spans="13:13">
      <c r="M392" s="219"/>
    </row>
    <row r="393" spans="13:13">
      <c r="M393" s="219"/>
    </row>
    <row r="394" spans="13:13">
      <c r="M394" s="219"/>
    </row>
    <row r="395" spans="13:13">
      <c r="M395" s="219"/>
    </row>
    <row r="396" spans="13:13">
      <c r="M396" s="219"/>
    </row>
    <row r="397" spans="13:13">
      <c r="M397" s="219"/>
    </row>
    <row r="398" spans="13:13">
      <c r="M398" s="219"/>
    </row>
    <row r="399" spans="13:13">
      <c r="M399" s="219"/>
    </row>
    <row r="400" spans="13:13">
      <c r="M400" s="219"/>
    </row>
    <row r="401" spans="13:13">
      <c r="M401" s="219"/>
    </row>
    <row r="402" spans="13:13">
      <c r="M402" s="219"/>
    </row>
    <row r="403" spans="13:13">
      <c r="M403" s="219"/>
    </row>
    <row r="404" spans="13:13">
      <c r="M404" s="219"/>
    </row>
    <row r="405" spans="13:13">
      <c r="M405" s="219"/>
    </row>
    <row r="406" spans="13:13">
      <c r="M406" s="219"/>
    </row>
    <row r="407" spans="13:13">
      <c r="M407" s="219"/>
    </row>
    <row r="408" spans="13:13">
      <c r="M408" s="219"/>
    </row>
    <row r="409" spans="13:13">
      <c r="M409" s="219"/>
    </row>
    <row r="410" spans="13:13">
      <c r="M410" s="219"/>
    </row>
    <row r="411" spans="13:13">
      <c r="M411" s="219"/>
    </row>
    <row r="412" spans="13:13">
      <c r="M412" s="219"/>
    </row>
    <row r="413" spans="13:13">
      <c r="M413" s="219"/>
    </row>
    <row r="414" spans="13:13">
      <c r="M414" s="219"/>
    </row>
    <row r="415" spans="13:13">
      <c r="M415" s="219"/>
    </row>
    <row r="416" spans="13:13">
      <c r="M416" s="219"/>
    </row>
    <row r="417" spans="13:13">
      <c r="M417" s="219"/>
    </row>
    <row r="418" spans="13:13">
      <c r="M418" s="219"/>
    </row>
    <row r="419" spans="13:13">
      <c r="M419" s="219"/>
    </row>
    <row r="420" spans="13:13">
      <c r="M420" s="219"/>
    </row>
    <row r="421" spans="13:13">
      <c r="M421" s="219"/>
    </row>
    <row r="422" spans="13:13">
      <c r="M422" s="219"/>
    </row>
    <row r="423" spans="13:13">
      <c r="M423" s="219"/>
    </row>
    <row r="424" spans="13:13">
      <c r="M424" s="219"/>
    </row>
    <row r="425" spans="13:13">
      <c r="M425" s="219"/>
    </row>
    <row r="426" spans="13:13">
      <c r="M426" s="219"/>
    </row>
    <row r="427" spans="13:13">
      <c r="M427" s="219"/>
    </row>
    <row r="428" spans="13:13">
      <c r="M428" s="219"/>
    </row>
    <row r="429" spans="13:13">
      <c r="M429" s="219"/>
    </row>
    <row r="430" spans="13:13">
      <c r="M430" s="219"/>
    </row>
    <row r="431" spans="13:13">
      <c r="M431" s="219"/>
    </row>
    <row r="432" spans="13:13">
      <c r="M432" s="219"/>
    </row>
    <row r="433" spans="13:13">
      <c r="M433" s="219"/>
    </row>
    <row r="434" spans="13:13">
      <c r="M434" s="219"/>
    </row>
    <row r="435" spans="13:13">
      <c r="M435" s="219"/>
    </row>
    <row r="436" spans="13:13">
      <c r="M436" s="219"/>
    </row>
    <row r="437" spans="13:13">
      <c r="M437" s="219"/>
    </row>
    <row r="438" spans="13:13">
      <c r="M438" s="219"/>
    </row>
    <row r="439" spans="13:13">
      <c r="M439" s="219"/>
    </row>
    <row r="440" spans="13:13">
      <c r="M440" s="219"/>
    </row>
    <row r="441" spans="13:13">
      <c r="M441" s="219"/>
    </row>
    <row r="442" spans="13:13">
      <c r="M442" s="219"/>
    </row>
    <row r="443" spans="13:13">
      <c r="M443" s="219"/>
    </row>
    <row r="444" spans="13:13">
      <c r="M444" s="219"/>
    </row>
    <row r="445" spans="13:13">
      <c r="M445" s="219"/>
    </row>
    <row r="446" spans="13:13">
      <c r="M446" s="219"/>
    </row>
    <row r="447" spans="13:13">
      <c r="M447" s="219"/>
    </row>
    <row r="448" spans="13:13">
      <c r="M448" s="219"/>
    </row>
    <row r="449" spans="13:13">
      <c r="M449" s="219"/>
    </row>
    <row r="450" spans="13:13">
      <c r="M450" s="219"/>
    </row>
    <row r="451" spans="13:13">
      <c r="M451" s="219"/>
    </row>
    <row r="452" spans="13:13">
      <c r="M452" s="219"/>
    </row>
    <row r="453" spans="13:13">
      <c r="M453" s="219"/>
    </row>
    <row r="454" spans="13:13">
      <c r="M454" s="219"/>
    </row>
    <row r="455" spans="13:13">
      <c r="M455" s="219"/>
    </row>
    <row r="456" spans="13:13">
      <c r="M456" s="219"/>
    </row>
    <row r="457" spans="13:13">
      <c r="M457" s="219"/>
    </row>
    <row r="458" spans="13:13">
      <c r="M458" s="219"/>
    </row>
    <row r="459" spans="13:13">
      <c r="M459" s="219"/>
    </row>
    <row r="460" spans="13:13">
      <c r="M460" s="219"/>
    </row>
    <row r="461" spans="13:13">
      <c r="M461" s="219"/>
    </row>
    <row r="462" spans="13:13">
      <c r="M462" s="219"/>
    </row>
    <row r="463" spans="13:13">
      <c r="M463" s="219"/>
    </row>
    <row r="464" spans="13:13">
      <c r="M464" s="219"/>
    </row>
    <row r="465" spans="13:13">
      <c r="M465" s="219"/>
    </row>
    <row r="466" spans="13:13">
      <c r="M466" s="219"/>
    </row>
    <row r="467" spans="13:13">
      <c r="M467" s="219"/>
    </row>
    <row r="468" spans="13:13">
      <c r="M468" s="219"/>
    </row>
    <row r="469" spans="13:13">
      <c r="M469" s="219"/>
    </row>
    <row r="470" spans="13:13">
      <c r="M470" s="219"/>
    </row>
    <row r="471" spans="13:13">
      <c r="M471" s="219"/>
    </row>
    <row r="472" spans="13:13">
      <c r="M472" s="219"/>
    </row>
    <row r="473" spans="13:13">
      <c r="M473" s="219"/>
    </row>
    <row r="474" spans="13:13">
      <c r="M474" s="219"/>
    </row>
    <row r="475" spans="13:13">
      <c r="M475" s="219"/>
    </row>
    <row r="476" spans="13:13">
      <c r="M476" s="219"/>
    </row>
    <row r="477" spans="13:13">
      <c r="M477" s="219"/>
    </row>
    <row r="478" spans="13:13">
      <c r="M478" s="219"/>
    </row>
    <row r="479" spans="13:13">
      <c r="M479" s="219"/>
    </row>
    <row r="480" spans="13:13">
      <c r="M480" s="219"/>
    </row>
    <row r="481" spans="13:13">
      <c r="M481" s="219"/>
    </row>
    <row r="482" spans="13:13">
      <c r="M482" s="219"/>
    </row>
    <row r="483" spans="13:13">
      <c r="M483" s="219"/>
    </row>
    <row r="484" spans="13:13">
      <c r="M484" s="219"/>
    </row>
    <row r="485" spans="13:13">
      <c r="M485" s="219"/>
    </row>
    <row r="486" spans="13:13">
      <c r="M486" s="219"/>
    </row>
    <row r="487" spans="13:13">
      <c r="M487" s="219"/>
    </row>
    <row r="488" spans="13:13">
      <c r="M488" s="219"/>
    </row>
    <row r="489" spans="13:13">
      <c r="M489" s="219"/>
    </row>
    <row r="490" spans="13:13">
      <c r="M490" s="219"/>
    </row>
    <row r="491" spans="13:13">
      <c r="M491" s="219"/>
    </row>
    <row r="492" spans="13:13">
      <c r="M492" s="219"/>
    </row>
    <row r="493" spans="13:13">
      <c r="M493" s="219"/>
    </row>
    <row r="494" spans="13:13">
      <c r="M494" s="219"/>
    </row>
    <row r="495" spans="13:13">
      <c r="M495" s="219"/>
    </row>
    <row r="496" spans="13:13">
      <c r="M496" s="219"/>
    </row>
    <row r="497" spans="13:13">
      <c r="M497" s="219"/>
    </row>
    <row r="498" spans="13:13">
      <c r="M498" s="219"/>
    </row>
    <row r="499" spans="13:13">
      <c r="M499" s="219"/>
    </row>
    <row r="500" spans="13:13">
      <c r="M500" s="219"/>
    </row>
  </sheetData>
  <mergeCells count="3">
    <mergeCell ref="A1:N1"/>
    <mergeCell ref="A2:N2"/>
    <mergeCell ref="A3:N3"/>
  </mergeCells>
  <phoneticPr fontId="17" type="noConversion"/>
  <conditionalFormatting sqref="I6:I500">
    <cfRule type="expression" dxfId="13" priority="1">
      <formula>I6="PUBLIK"</formula>
    </cfRule>
    <cfRule type="expression" dxfId="12" priority="2">
      <formula>I6="INTERNAL"</formula>
    </cfRule>
  </conditionalFormatting>
  <conditionalFormatting sqref="J6:J500">
    <cfRule type="expression" dxfId="11" priority="3">
      <formula>J6="TERVERIFIKASI"</formula>
    </cfRule>
    <cfRule type="expression" dxfId="10" priority="4">
      <formula>J6="BELUM DIVERIFIKASI"</formula>
    </cfRule>
  </conditionalFormatting>
  <dataValidations count="4">
    <dataValidation type="list" sqref="J6:J500" xr:uid="{00000000-0002-0000-0B00-000003000000}">
      <formula1>"TERVERIFIKASI,BELUM DIVERIFIKASI"</formula1>
    </dataValidation>
    <dataValidation type="list" sqref="I6:I500" xr:uid="{00000000-0002-0000-0B00-000002000000}">
      <formula1>"PUBLIK,INTERNAL"</formula1>
    </dataValidation>
    <dataValidation type="list" sqref="D6:D500" xr:uid="{00000000-0002-0000-0B00-000001000000}">
      <formula1>"SITE_PLAN,BAST_PSU,BERITA_ACARA_VERIFIKASI,SK,PETA,FOTO_DOKUMENTASI,LAPORAN,SURAT,DOKUMEN_LAINNYA"</formula1>
    </dataValidation>
    <dataValidation type="list" sqref="B6:B500" xr:uid="{00000000-0002-0000-0B00-000000000000}">
      <formula1>"PERUMAHAN,PSU,RTLH,RUSUNAWA,KAWASAN_KUMUH,SNAPSHOT"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361"/>
  <sheetViews>
    <sheetView tabSelected="1" workbookViewId="0">
      <pane xSplit="2" ySplit="3" topLeftCell="U4" activePane="bottomRight" state="frozen"/>
      <selection pane="topRight" activeCell="C1" sqref="C1"/>
      <selection pane="bottomLeft" activeCell="A4" sqref="A4"/>
      <selection pane="bottomRight" activeCell="X11" sqref="X11"/>
    </sheetView>
  </sheetViews>
  <sheetFormatPr defaultRowHeight="14"/>
  <cols>
    <col min="1" max="1" width="10.83203125" bestFit="1"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3" width="18" customWidth="1"/>
    <col min="24" max="24" width="22" customWidth="1"/>
    <col min="25" max="27" width="18" customWidth="1"/>
    <col min="28" max="28" width="18" style="82" customWidth="1"/>
    <col min="29" max="31" width="18" customWidth="1"/>
  </cols>
  <sheetData>
    <row r="1" spans="1:31" ht="23">
      <c r="A1" s="232" t="s">
        <v>0</v>
      </c>
      <c r="B1" s="232"/>
      <c r="C1" s="232"/>
      <c r="D1" s="232"/>
      <c r="E1" s="232"/>
      <c r="F1" s="232"/>
      <c r="G1" s="232"/>
      <c r="H1" s="232"/>
      <c r="I1" s="232"/>
      <c r="J1" s="232"/>
      <c r="K1" s="232"/>
      <c r="L1" s="232"/>
      <c r="M1" s="232"/>
      <c r="N1" s="232"/>
      <c r="O1" s="232"/>
      <c r="P1" s="232"/>
      <c r="Q1" s="232"/>
      <c r="R1" s="232"/>
      <c r="S1" s="232"/>
      <c r="T1" s="232"/>
      <c r="U1" s="232"/>
      <c r="V1" s="232"/>
      <c r="W1" s="232"/>
      <c r="X1" s="232"/>
      <c r="Y1" s="232"/>
      <c r="Z1" s="232"/>
      <c r="AA1" s="233"/>
      <c r="AB1" s="233"/>
      <c r="AC1" s="233"/>
      <c r="AD1" s="233"/>
      <c r="AE1" s="233"/>
    </row>
    <row r="2" spans="1:31">
      <c r="A2" s="234" t="s">
        <v>1</v>
      </c>
      <c r="B2" s="234"/>
      <c r="C2" s="234"/>
      <c r="D2" s="234"/>
      <c r="E2" s="234"/>
      <c r="F2" s="234"/>
      <c r="G2" s="234"/>
      <c r="H2" s="234"/>
      <c r="I2" s="234"/>
      <c r="J2" s="234"/>
      <c r="K2" s="234"/>
      <c r="L2" s="234"/>
      <c r="M2" s="234"/>
      <c r="N2" s="234"/>
      <c r="O2" s="234"/>
      <c r="P2" s="234"/>
      <c r="Q2" s="234"/>
      <c r="R2" s="234"/>
      <c r="S2" s="234"/>
      <c r="T2" s="234"/>
      <c r="U2" s="234"/>
      <c r="V2" s="234"/>
      <c r="W2" s="234"/>
      <c r="X2" s="234"/>
      <c r="Y2" s="234"/>
      <c r="Z2" s="234"/>
      <c r="AA2" s="233"/>
      <c r="AB2" s="233"/>
      <c r="AC2" s="233"/>
      <c r="AD2" s="233"/>
      <c r="AE2" s="233"/>
    </row>
    <row r="3" spans="1:31">
      <c r="A3" s="235" t="s">
        <v>2</v>
      </c>
      <c r="B3" s="235"/>
      <c r="C3" s="235"/>
      <c r="D3" s="235"/>
      <c r="E3" s="235"/>
      <c r="F3" s="235"/>
      <c r="G3" s="235"/>
      <c r="H3" s="235"/>
      <c r="I3" s="235"/>
      <c r="J3" s="235"/>
      <c r="K3" s="235"/>
      <c r="L3" s="235"/>
      <c r="M3" s="235"/>
      <c r="N3" s="235"/>
      <c r="O3" s="235"/>
      <c r="P3" s="235"/>
      <c r="Q3" s="235"/>
      <c r="R3" s="235"/>
      <c r="S3" s="235"/>
      <c r="T3" s="235"/>
      <c r="U3" s="235"/>
      <c r="V3" s="235"/>
      <c r="W3" s="235"/>
      <c r="X3" s="235"/>
      <c r="Y3" s="235"/>
      <c r="Z3" s="235"/>
      <c r="AA3" s="236"/>
      <c r="AB3" s="236"/>
      <c r="AC3" s="236"/>
      <c r="AD3" s="236"/>
      <c r="AE3" s="236"/>
    </row>
    <row r="5" spans="1:31" ht="28">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2172</v>
      </c>
      <c r="Y5" s="2" t="s">
        <v>26</v>
      </c>
      <c r="Z5" s="3" t="s">
        <v>27</v>
      </c>
      <c r="AA5" s="41" t="s">
        <v>28</v>
      </c>
      <c r="AB5" s="78" t="s">
        <v>29</v>
      </c>
      <c r="AC5" s="44" t="s">
        <v>30</v>
      </c>
      <c r="AD5" t="s">
        <v>31</v>
      </c>
      <c r="AE5" t="s">
        <v>32</v>
      </c>
    </row>
    <row r="6" spans="1:31">
      <c r="A6" s="29" t="s">
        <v>2464</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t="s">
        <v>2425</v>
      </c>
      <c r="T6" s="8" t="s">
        <v>44</v>
      </c>
      <c r="U6" s="8"/>
      <c r="V6" s="74">
        <v>-2.0965340000000001</v>
      </c>
      <c r="W6" s="8">
        <v>106.07686699999999</v>
      </c>
      <c r="X6" s="8"/>
      <c r="Y6" s="52">
        <v>2025</v>
      </c>
      <c r="Z6" s="26"/>
      <c r="AA6" s="42" t="s">
        <v>857</v>
      </c>
      <c r="AB6" s="79">
        <v>46220</v>
      </c>
      <c r="AC6" s="45"/>
      <c r="AD6">
        <f t="shared" ref="AD6:AD51" si="0">IF(A6="","",IFERROR(L6/K6,0))</f>
        <v>1</v>
      </c>
      <c r="AE6">
        <f t="shared" ref="AE6:AE51" si="1">IF(A6="","",IFERROR(M6/L6,0))</f>
        <v>1</v>
      </c>
    </row>
    <row r="7" spans="1:31">
      <c r="A7" s="29" t="s">
        <v>2465</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9"/>
      <c r="Y7" s="52">
        <v>2025</v>
      </c>
      <c r="Z7" s="26"/>
      <c r="AA7" s="42" t="s">
        <v>857</v>
      </c>
      <c r="AB7" s="79">
        <v>46220</v>
      </c>
      <c r="AC7" s="46"/>
      <c r="AD7">
        <f t="shared" si="0"/>
        <v>0.86956521739130432</v>
      </c>
      <c r="AE7">
        <f t="shared" si="1"/>
        <v>1</v>
      </c>
    </row>
    <row r="8" spans="1:31">
      <c r="A8" s="29" t="s">
        <v>2466</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9"/>
      <c r="Y8" s="52">
        <v>2025</v>
      </c>
      <c r="Z8" s="26"/>
      <c r="AA8" s="42" t="s">
        <v>857</v>
      </c>
      <c r="AB8" s="79">
        <v>46220</v>
      </c>
      <c r="AC8" s="46"/>
      <c r="AD8">
        <f t="shared" si="0"/>
        <v>1</v>
      </c>
      <c r="AE8">
        <f t="shared" si="1"/>
        <v>1</v>
      </c>
    </row>
    <row r="9" spans="1:31">
      <c r="A9" s="29" t="s">
        <v>2467</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9"/>
      <c r="Y9" s="53"/>
      <c r="Z9" s="27"/>
      <c r="AA9" s="43"/>
      <c r="AB9" s="80"/>
      <c r="AC9" s="46"/>
      <c r="AD9">
        <f t="shared" si="0"/>
        <v>1</v>
      </c>
      <c r="AE9">
        <f t="shared" si="1"/>
        <v>1</v>
      </c>
    </row>
    <row r="10" spans="1:31">
      <c r="A10" s="29" t="s">
        <v>2468</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9"/>
      <c r="Y10" s="53"/>
      <c r="Z10" s="27"/>
      <c r="AA10" s="43"/>
      <c r="AB10" s="80"/>
      <c r="AC10" s="46"/>
      <c r="AD10">
        <f t="shared" si="0"/>
        <v>1</v>
      </c>
      <c r="AE10">
        <f t="shared" si="1"/>
        <v>1</v>
      </c>
    </row>
    <row r="11" spans="1:31">
      <c r="A11" s="29" t="s">
        <v>2469</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9"/>
      <c r="Y11" s="53"/>
      <c r="Z11" s="27"/>
      <c r="AA11" s="43"/>
      <c r="AB11" s="80"/>
      <c r="AC11" s="46"/>
      <c r="AD11">
        <f t="shared" si="0"/>
        <v>0.3125</v>
      </c>
      <c r="AE11">
        <f t="shared" si="1"/>
        <v>0</v>
      </c>
    </row>
    <row r="12" spans="1:31" ht="25">
      <c r="A12" s="29" t="s">
        <v>2470</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9"/>
      <c r="Y12" s="53"/>
      <c r="Z12" s="27"/>
      <c r="AA12" s="43"/>
      <c r="AB12" s="80"/>
      <c r="AC12" s="46"/>
      <c r="AD12">
        <f t="shared" si="0"/>
        <v>1</v>
      </c>
      <c r="AE12">
        <f t="shared" si="1"/>
        <v>1</v>
      </c>
    </row>
    <row r="13" spans="1:31" ht="25">
      <c r="A13" s="29" t="s">
        <v>2471</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9"/>
      <c r="Y13" s="53"/>
      <c r="Z13" s="27"/>
      <c r="AA13" s="43"/>
      <c r="AB13" s="80"/>
      <c r="AC13" s="46"/>
      <c r="AD13">
        <f t="shared" si="0"/>
        <v>1</v>
      </c>
      <c r="AE13">
        <f t="shared" si="1"/>
        <v>1</v>
      </c>
    </row>
    <row r="14" spans="1:31" ht="25">
      <c r="A14" s="29" t="s">
        <v>2472</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9"/>
      <c r="Y14" s="53"/>
      <c r="Z14" s="27"/>
      <c r="AA14" s="43"/>
      <c r="AB14" s="80"/>
      <c r="AC14" s="46"/>
      <c r="AD14">
        <f t="shared" si="0"/>
        <v>1</v>
      </c>
      <c r="AE14">
        <f t="shared" si="1"/>
        <v>1</v>
      </c>
    </row>
    <row r="15" spans="1:31" ht="25">
      <c r="A15" s="29" t="s">
        <v>2473</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9"/>
      <c r="Y15" s="53"/>
      <c r="Z15" s="27"/>
      <c r="AA15" s="43"/>
      <c r="AB15" s="80"/>
      <c r="AC15" s="46"/>
      <c r="AD15">
        <f t="shared" si="0"/>
        <v>1</v>
      </c>
      <c r="AE15">
        <f t="shared" si="1"/>
        <v>1</v>
      </c>
    </row>
    <row r="16" spans="1:31" ht="25">
      <c r="A16" s="29" t="s">
        <v>2474</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9"/>
      <c r="Y16" s="53"/>
      <c r="Z16" s="27"/>
      <c r="AA16" s="43"/>
      <c r="AB16" s="80"/>
      <c r="AC16" s="46"/>
      <c r="AD16">
        <f t="shared" si="0"/>
        <v>1</v>
      </c>
      <c r="AE16">
        <f t="shared" si="1"/>
        <v>1</v>
      </c>
    </row>
    <row r="17" spans="1:31" ht="25">
      <c r="A17" s="29" t="s">
        <v>2475</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9"/>
      <c r="Y17" s="53"/>
      <c r="Z17" s="27"/>
      <c r="AA17" s="43"/>
      <c r="AB17" s="80"/>
      <c r="AC17" s="46"/>
      <c r="AD17">
        <f t="shared" si="0"/>
        <v>0.6071428571428571</v>
      </c>
      <c r="AE17">
        <f t="shared" si="1"/>
        <v>0.74509803921568629</v>
      </c>
    </row>
    <row r="18" spans="1:31">
      <c r="A18" s="29" t="s">
        <v>2476</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9"/>
      <c r="Y18" s="53"/>
      <c r="Z18" s="27"/>
      <c r="AA18" s="43"/>
      <c r="AB18" s="80"/>
      <c r="AC18" s="46"/>
      <c r="AD18">
        <f t="shared" si="0"/>
        <v>0.9732142857142857</v>
      </c>
      <c r="AE18">
        <f t="shared" si="1"/>
        <v>1</v>
      </c>
    </row>
    <row r="19" spans="1:31">
      <c r="A19" s="29" t="s">
        <v>2477</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9"/>
      <c r="Y19" s="53"/>
      <c r="Z19" s="27"/>
      <c r="AA19" s="43"/>
      <c r="AB19" s="80"/>
      <c r="AC19" s="46"/>
      <c r="AD19">
        <f t="shared" si="0"/>
        <v>0.90243902439024393</v>
      </c>
      <c r="AE19">
        <f t="shared" si="1"/>
        <v>1</v>
      </c>
    </row>
    <row r="20" spans="1:31" ht="25">
      <c r="A20" s="29" t="s">
        <v>2478</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9"/>
      <c r="Y20" s="53"/>
      <c r="Z20" s="27"/>
      <c r="AA20" s="43"/>
      <c r="AB20" s="80"/>
      <c r="AC20" s="46"/>
      <c r="AD20">
        <f t="shared" si="0"/>
        <v>0.84112149532710279</v>
      </c>
      <c r="AE20">
        <f t="shared" si="1"/>
        <v>0</v>
      </c>
    </row>
    <row r="21" spans="1:31">
      <c r="A21" s="29" t="s">
        <v>2479</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9"/>
      <c r="Y21" s="53"/>
      <c r="Z21" s="27"/>
      <c r="AA21" s="43"/>
      <c r="AB21" s="80"/>
      <c r="AC21" s="46"/>
      <c r="AD21">
        <f t="shared" si="0"/>
        <v>0</v>
      </c>
      <c r="AE21">
        <f t="shared" si="1"/>
        <v>0</v>
      </c>
    </row>
    <row r="22" spans="1:31">
      <c r="A22" s="29" t="s">
        <v>2480</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9"/>
      <c r="Y22" s="53"/>
      <c r="Z22" s="27"/>
      <c r="AA22" s="43"/>
      <c r="AB22" s="80"/>
      <c r="AC22" s="46"/>
      <c r="AD22">
        <f t="shared" si="0"/>
        <v>5.5555555555555552E-2</v>
      </c>
      <c r="AE22">
        <f t="shared" si="1"/>
        <v>0.75</v>
      </c>
    </row>
    <row r="23" spans="1:31">
      <c r="A23" s="29" t="s">
        <v>2481</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9"/>
      <c r="Y23" s="53"/>
      <c r="Z23" s="27"/>
      <c r="AA23" s="43"/>
      <c r="AB23" s="80"/>
      <c r="AC23" s="46"/>
      <c r="AD23">
        <f t="shared" si="0"/>
        <v>0</v>
      </c>
      <c r="AE23">
        <f t="shared" si="1"/>
        <v>0</v>
      </c>
    </row>
    <row r="24" spans="1:31" ht="25">
      <c r="A24" s="29" t="s">
        <v>2482</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9"/>
      <c r="Y24" s="53"/>
      <c r="Z24" s="27"/>
      <c r="AA24" s="43"/>
      <c r="AB24" s="80"/>
      <c r="AC24" s="46"/>
      <c r="AD24">
        <f t="shared" si="0"/>
        <v>0.3235294117647059</v>
      </c>
      <c r="AE24">
        <f t="shared" si="1"/>
        <v>0</v>
      </c>
    </row>
    <row r="25" spans="1:31" ht="25">
      <c r="A25" s="29" t="s">
        <v>2483</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9"/>
      <c r="Y25" s="53"/>
      <c r="Z25" s="27"/>
      <c r="AA25" s="43"/>
      <c r="AB25" s="80"/>
      <c r="AC25" s="46"/>
      <c r="AD25">
        <f t="shared" si="0"/>
        <v>1</v>
      </c>
      <c r="AE25">
        <f t="shared" si="1"/>
        <v>1</v>
      </c>
    </row>
    <row r="26" spans="1:31" ht="25">
      <c r="A26" s="29" t="s">
        <v>2484</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9"/>
      <c r="Y26" s="53"/>
      <c r="Z26" s="27"/>
      <c r="AA26" s="43"/>
      <c r="AB26" s="80"/>
      <c r="AC26" s="46"/>
      <c r="AD26">
        <f t="shared" si="0"/>
        <v>0.66666666666666663</v>
      </c>
      <c r="AE26">
        <f t="shared" si="1"/>
        <v>1</v>
      </c>
    </row>
    <row r="27" spans="1:31">
      <c r="A27" s="29" t="s">
        <v>2485</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9"/>
      <c r="Y27" s="53"/>
      <c r="Z27" s="27"/>
      <c r="AA27" s="43"/>
      <c r="AB27" s="80"/>
      <c r="AC27" s="46"/>
      <c r="AD27">
        <f t="shared" si="0"/>
        <v>1</v>
      </c>
      <c r="AE27">
        <f t="shared" si="1"/>
        <v>0.93939393939393945</v>
      </c>
    </row>
    <row r="28" spans="1:31">
      <c r="A28" s="29" t="s">
        <v>2486</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9"/>
      <c r="Y28" s="53"/>
      <c r="Z28" s="27"/>
      <c r="AA28" s="43"/>
      <c r="AB28" s="80"/>
      <c r="AC28" s="46"/>
      <c r="AD28">
        <f t="shared" si="0"/>
        <v>1</v>
      </c>
      <c r="AE28">
        <f t="shared" si="1"/>
        <v>0.84782608695652173</v>
      </c>
    </row>
    <row r="29" spans="1:31">
      <c r="A29" s="29" t="s">
        <v>2487</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9"/>
      <c r="Y29" s="53"/>
      <c r="Z29" s="27"/>
      <c r="AA29" s="43"/>
      <c r="AB29" s="80"/>
      <c r="AC29" s="46"/>
      <c r="AD29">
        <f t="shared" si="0"/>
        <v>1</v>
      </c>
      <c r="AE29">
        <f t="shared" si="1"/>
        <v>1</v>
      </c>
    </row>
    <row r="30" spans="1:31">
      <c r="A30" s="29" t="s">
        <v>2488</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9"/>
      <c r="Y30" s="53"/>
      <c r="Z30" s="27"/>
      <c r="AA30" s="43"/>
      <c r="AB30" s="80"/>
      <c r="AC30" s="46"/>
      <c r="AD30">
        <f t="shared" si="0"/>
        <v>1</v>
      </c>
      <c r="AE30">
        <f t="shared" si="1"/>
        <v>1</v>
      </c>
    </row>
    <row r="31" spans="1:31">
      <c r="A31" s="29" t="s">
        <v>2489</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9"/>
      <c r="Y31" s="53"/>
      <c r="Z31" s="27"/>
      <c r="AA31" s="43"/>
      <c r="AB31" s="80"/>
      <c r="AC31" s="46"/>
      <c r="AD31">
        <f t="shared" si="0"/>
        <v>0.6470588235294118</v>
      </c>
      <c r="AE31">
        <f t="shared" si="1"/>
        <v>0.75757575757575757</v>
      </c>
    </row>
    <row r="32" spans="1:31">
      <c r="A32" s="29" t="s">
        <v>2490</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9"/>
      <c r="Y32" s="53"/>
      <c r="Z32" s="27"/>
      <c r="AA32" s="43"/>
      <c r="AB32" s="80"/>
      <c r="AC32" s="46"/>
      <c r="AD32">
        <f t="shared" si="0"/>
        <v>1</v>
      </c>
      <c r="AE32">
        <f t="shared" si="1"/>
        <v>1</v>
      </c>
    </row>
    <row r="33" spans="1:31">
      <c r="A33" s="29" t="s">
        <v>2491</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9"/>
      <c r="Y33" s="53"/>
      <c r="Z33" s="27"/>
      <c r="AA33" s="43"/>
      <c r="AB33" s="80"/>
      <c r="AC33" s="46"/>
      <c r="AD33">
        <f t="shared" si="0"/>
        <v>1</v>
      </c>
      <c r="AE33">
        <f t="shared" si="1"/>
        <v>0.91666666666666663</v>
      </c>
    </row>
    <row r="34" spans="1:31">
      <c r="A34" s="29" t="s">
        <v>2492</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9"/>
      <c r="Y34" s="53"/>
      <c r="Z34" s="27"/>
      <c r="AA34" s="43"/>
      <c r="AB34" s="80"/>
      <c r="AC34" s="46"/>
      <c r="AD34">
        <f t="shared" si="0"/>
        <v>1</v>
      </c>
      <c r="AE34">
        <f t="shared" si="1"/>
        <v>0.88095238095238093</v>
      </c>
    </row>
    <row r="35" spans="1:31">
      <c r="A35" s="29" t="s">
        <v>2493</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9"/>
      <c r="Y35" s="53"/>
      <c r="Z35" s="27"/>
      <c r="AA35" s="43"/>
      <c r="AB35" s="80"/>
      <c r="AC35" s="46"/>
      <c r="AD35">
        <f t="shared" si="0"/>
        <v>0.96610169491525422</v>
      </c>
      <c r="AE35">
        <f t="shared" si="1"/>
        <v>1</v>
      </c>
    </row>
    <row r="36" spans="1:31">
      <c r="A36" s="29" t="s">
        <v>2494</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9"/>
      <c r="Y36" s="53"/>
      <c r="Z36" s="27"/>
      <c r="AA36" s="43"/>
      <c r="AB36" s="80"/>
      <c r="AC36" s="46"/>
      <c r="AD36">
        <f t="shared" si="0"/>
        <v>1</v>
      </c>
      <c r="AE36">
        <f t="shared" si="1"/>
        <v>1</v>
      </c>
    </row>
    <row r="37" spans="1:31">
      <c r="A37" s="29" t="s">
        <v>2495</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9"/>
      <c r="Y37" s="53"/>
      <c r="Z37" s="27"/>
      <c r="AA37" s="43"/>
      <c r="AB37" s="80"/>
      <c r="AC37" s="46"/>
      <c r="AD37">
        <f t="shared" si="0"/>
        <v>1</v>
      </c>
      <c r="AE37">
        <f t="shared" si="1"/>
        <v>1</v>
      </c>
    </row>
    <row r="38" spans="1:31">
      <c r="A38" s="29" t="s">
        <v>2496</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9"/>
      <c r="Y38" s="53"/>
      <c r="Z38" s="27"/>
      <c r="AA38" s="43"/>
      <c r="AB38" s="80"/>
      <c r="AC38" s="46"/>
      <c r="AD38">
        <f t="shared" si="0"/>
        <v>1</v>
      </c>
      <c r="AE38">
        <f t="shared" si="1"/>
        <v>1</v>
      </c>
    </row>
    <row r="39" spans="1:31">
      <c r="A39" s="29" t="s">
        <v>2497</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9"/>
      <c r="Y39" s="53"/>
      <c r="Z39" s="27"/>
      <c r="AA39" s="43"/>
      <c r="AB39" s="80"/>
      <c r="AC39" s="46"/>
      <c r="AD39">
        <f t="shared" si="0"/>
        <v>1</v>
      </c>
      <c r="AE39">
        <f t="shared" si="1"/>
        <v>1</v>
      </c>
    </row>
    <row r="40" spans="1:31">
      <c r="A40" s="29" t="s">
        <v>2498</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9"/>
      <c r="Y40" s="53"/>
      <c r="Z40" s="27"/>
      <c r="AA40" s="43"/>
      <c r="AB40" s="80"/>
      <c r="AC40" s="46"/>
      <c r="AD40">
        <f t="shared" si="0"/>
        <v>0.75</v>
      </c>
      <c r="AE40">
        <f t="shared" si="1"/>
        <v>1</v>
      </c>
    </row>
    <row r="41" spans="1:31">
      <c r="A41" s="29" t="s">
        <v>2499</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9"/>
      <c r="Y41" s="53"/>
      <c r="Z41" s="27"/>
      <c r="AA41" s="43"/>
      <c r="AB41" s="80"/>
      <c r="AC41" s="46"/>
      <c r="AD41">
        <f t="shared" si="0"/>
        <v>1</v>
      </c>
      <c r="AE41">
        <f t="shared" si="1"/>
        <v>1</v>
      </c>
    </row>
    <row r="42" spans="1:31">
      <c r="A42" s="29" t="s">
        <v>2500</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9"/>
      <c r="Y42" s="53"/>
      <c r="Z42" s="27"/>
      <c r="AA42" s="43"/>
      <c r="AB42" s="80"/>
      <c r="AC42" s="46"/>
      <c r="AD42">
        <f t="shared" si="0"/>
        <v>1</v>
      </c>
      <c r="AE42">
        <f t="shared" si="1"/>
        <v>1</v>
      </c>
    </row>
    <row r="43" spans="1:31">
      <c r="A43" s="29" t="s">
        <v>2501</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9"/>
      <c r="Y43" s="53"/>
      <c r="Z43" s="27"/>
      <c r="AA43" s="43"/>
      <c r="AB43" s="80"/>
      <c r="AC43" s="46"/>
      <c r="AD43">
        <f t="shared" si="0"/>
        <v>0</v>
      </c>
      <c r="AE43">
        <f t="shared" si="1"/>
        <v>0</v>
      </c>
    </row>
    <row r="44" spans="1:31">
      <c r="A44" s="29" t="s">
        <v>2502</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9"/>
      <c r="Y44" s="53"/>
      <c r="Z44" s="27"/>
      <c r="AA44" s="43"/>
      <c r="AB44" s="80"/>
      <c r="AC44" s="46"/>
      <c r="AD44">
        <f t="shared" si="0"/>
        <v>0.25</v>
      </c>
      <c r="AE44">
        <f t="shared" si="1"/>
        <v>0.29411764705882354</v>
      </c>
    </row>
    <row r="45" spans="1:31">
      <c r="A45" s="29" t="s">
        <v>2503</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9"/>
      <c r="Y45" s="53"/>
      <c r="Z45" s="27"/>
      <c r="AA45" s="43"/>
      <c r="AB45" s="80"/>
      <c r="AC45" s="46"/>
      <c r="AD45">
        <f t="shared" si="0"/>
        <v>0.95652173913043481</v>
      </c>
      <c r="AE45">
        <f t="shared" si="1"/>
        <v>0.9242424242424242</v>
      </c>
    </row>
    <row r="46" spans="1:31">
      <c r="A46" s="29" t="s">
        <v>2504</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9"/>
      <c r="Y46" s="53"/>
      <c r="Z46" s="27"/>
      <c r="AA46" s="43"/>
      <c r="AB46" s="80"/>
      <c r="AC46" s="46"/>
      <c r="AD46">
        <f t="shared" si="0"/>
        <v>1</v>
      </c>
      <c r="AE46">
        <f t="shared" si="1"/>
        <v>1</v>
      </c>
    </row>
    <row r="47" spans="1:31">
      <c r="A47" s="29" t="s">
        <v>2505</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9"/>
      <c r="Y47" s="53"/>
      <c r="Z47" s="27"/>
      <c r="AA47" s="43"/>
      <c r="AB47" s="80"/>
      <c r="AC47" s="46"/>
      <c r="AD47">
        <f t="shared" si="0"/>
        <v>0.61403508771929827</v>
      </c>
      <c r="AE47">
        <f t="shared" si="1"/>
        <v>1</v>
      </c>
    </row>
    <row r="48" spans="1:31">
      <c r="A48" s="29" t="s">
        <v>2506</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9"/>
      <c r="Y48" s="53"/>
      <c r="Z48" s="27"/>
      <c r="AA48" s="43"/>
      <c r="AB48" s="80"/>
      <c r="AC48" s="46"/>
      <c r="AD48">
        <f t="shared" si="0"/>
        <v>1</v>
      </c>
      <c r="AE48">
        <f t="shared" si="1"/>
        <v>1</v>
      </c>
    </row>
    <row r="49" spans="1:31">
      <c r="A49" s="29" t="s">
        <v>2507</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9"/>
      <c r="Y49" s="53"/>
      <c r="Z49" s="27"/>
      <c r="AA49" s="43"/>
      <c r="AB49" s="80"/>
      <c r="AC49" s="46"/>
      <c r="AD49">
        <f t="shared" si="0"/>
        <v>1</v>
      </c>
      <c r="AE49">
        <f t="shared" si="1"/>
        <v>1</v>
      </c>
    </row>
    <row r="50" spans="1:31">
      <c r="A50" s="29" t="s">
        <v>2508</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9"/>
      <c r="Y50" s="53"/>
      <c r="Z50" s="27"/>
      <c r="AA50" s="43"/>
      <c r="AB50" s="80"/>
      <c r="AC50" s="46"/>
      <c r="AD50">
        <f t="shared" si="0"/>
        <v>0.11764705882352941</v>
      </c>
      <c r="AE50">
        <f t="shared" si="1"/>
        <v>1</v>
      </c>
    </row>
    <row r="51" spans="1:31">
      <c r="A51" s="29" t="s">
        <v>2509</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9"/>
      <c r="Y51" s="53"/>
      <c r="Z51" s="27"/>
      <c r="AA51" s="43"/>
      <c r="AB51" s="80"/>
      <c r="AC51" s="46"/>
      <c r="AD51">
        <f t="shared" si="0"/>
        <v>0.16901408450704225</v>
      </c>
      <c r="AE51">
        <f t="shared" si="1"/>
        <v>0.58333333333333337</v>
      </c>
    </row>
    <row r="52" spans="1:31">
      <c r="A52" s="29" t="s">
        <v>2510</v>
      </c>
      <c r="B52" s="9" t="s">
        <v>1877</v>
      </c>
      <c r="C52" s="5" t="s">
        <v>34</v>
      </c>
      <c r="D52" s="9" t="s">
        <v>35</v>
      </c>
      <c r="E52" s="9" t="s">
        <v>136</v>
      </c>
      <c r="F52" s="5" t="s">
        <v>1878</v>
      </c>
      <c r="G52" s="5" t="s">
        <v>1879</v>
      </c>
      <c r="H52" s="15" t="s">
        <v>1880</v>
      </c>
      <c r="I52" s="15"/>
      <c r="J52" s="5">
        <v>2026</v>
      </c>
      <c r="K52" s="15">
        <v>43</v>
      </c>
      <c r="L52" s="9">
        <v>0</v>
      </c>
      <c r="M52" s="15">
        <v>0</v>
      </c>
      <c r="N52" s="15" t="s">
        <v>41</v>
      </c>
      <c r="O52" s="5" t="s">
        <v>42</v>
      </c>
      <c r="P52" s="5"/>
      <c r="Q52" s="21" t="s">
        <v>72</v>
      </c>
      <c r="R52" s="21" t="s">
        <v>88</v>
      </c>
      <c r="S52" s="18"/>
      <c r="T52" s="9"/>
      <c r="U52" s="9"/>
      <c r="V52" s="75"/>
      <c r="W52" s="9"/>
      <c r="X52" s="9"/>
      <c r="Y52" s="53"/>
      <c r="Z52" s="65"/>
      <c r="AA52" s="43"/>
      <c r="AB52" s="80"/>
      <c r="AC52" s="73"/>
    </row>
    <row r="53" spans="1:31">
      <c r="A53" s="29" t="s">
        <v>2511</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9"/>
      <c r="Y53" s="53"/>
      <c r="Z53" s="27"/>
      <c r="AA53" s="43"/>
      <c r="AB53" s="80"/>
      <c r="AC53" s="46"/>
      <c r="AD53">
        <f t="shared" ref="AD53:AD84" si="2">IF(A53="","",IFERROR(L53/K53,0))</f>
        <v>1</v>
      </c>
      <c r="AE53">
        <f t="shared" ref="AE53:AE84" si="3">IF(A53="","",IFERROR(M53/L53,0))</f>
        <v>1</v>
      </c>
    </row>
    <row r="54" spans="1:31">
      <c r="A54" s="29" t="s">
        <v>2512</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9"/>
      <c r="Y54" s="53"/>
      <c r="Z54" s="27"/>
      <c r="AA54" s="43"/>
      <c r="AB54" s="80"/>
      <c r="AC54" s="46"/>
      <c r="AD54">
        <f t="shared" si="2"/>
        <v>1</v>
      </c>
      <c r="AE54">
        <f t="shared" si="3"/>
        <v>0.6</v>
      </c>
    </row>
    <row r="55" spans="1:31">
      <c r="A55" s="29" t="s">
        <v>2513</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9"/>
      <c r="Y55" s="53"/>
      <c r="Z55" s="27"/>
      <c r="AA55" s="43"/>
      <c r="AB55" s="80"/>
      <c r="AC55" s="46"/>
      <c r="AD55">
        <f t="shared" si="2"/>
        <v>1</v>
      </c>
      <c r="AE55">
        <f t="shared" si="3"/>
        <v>1</v>
      </c>
    </row>
    <row r="56" spans="1:31">
      <c r="A56" s="29" t="s">
        <v>2514</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9"/>
      <c r="Y56" s="53"/>
      <c r="Z56" s="27"/>
      <c r="AA56" s="43"/>
      <c r="AB56" s="80"/>
      <c r="AC56" s="46"/>
      <c r="AD56">
        <f t="shared" si="2"/>
        <v>1</v>
      </c>
      <c r="AE56">
        <f t="shared" si="3"/>
        <v>1</v>
      </c>
    </row>
    <row r="57" spans="1:31">
      <c r="A57" s="29" t="s">
        <v>2515</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9"/>
      <c r="Y57" s="53"/>
      <c r="Z57" s="27"/>
      <c r="AA57" s="43"/>
      <c r="AB57" s="80"/>
      <c r="AC57" s="46"/>
      <c r="AD57">
        <f t="shared" si="2"/>
        <v>0</v>
      </c>
      <c r="AE57">
        <f t="shared" si="3"/>
        <v>0</v>
      </c>
    </row>
    <row r="58" spans="1:31">
      <c r="A58" s="29" t="s">
        <v>2516</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9"/>
      <c r="Y58" s="53"/>
      <c r="Z58" s="27"/>
      <c r="AA58" s="43"/>
      <c r="AB58" s="80"/>
      <c r="AC58" s="46"/>
      <c r="AD58">
        <f t="shared" si="2"/>
        <v>0.6</v>
      </c>
      <c r="AE58">
        <f t="shared" si="3"/>
        <v>1</v>
      </c>
    </row>
    <row r="59" spans="1:31">
      <c r="A59" s="29" t="s">
        <v>2517</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9"/>
      <c r="Y59" s="53"/>
      <c r="Z59" s="27"/>
      <c r="AA59" s="43"/>
      <c r="AB59" s="80"/>
      <c r="AC59" s="46"/>
      <c r="AD59">
        <f t="shared" si="2"/>
        <v>0</v>
      </c>
      <c r="AE59">
        <f t="shared" si="3"/>
        <v>0</v>
      </c>
    </row>
    <row r="60" spans="1:31">
      <c r="A60" s="29" t="s">
        <v>2518</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9"/>
      <c r="Y60" s="53"/>
      <c r="Z60" s="27"/>
      <c r="AA60" s="43"/>
      <c r="AB60" s="80"/>
      <c r="AC60" s="46"/>
      <c r="AD60">
        <f t="shared" si="2"/>
        <v>0.8441558441558441</v>
      </c>
      <c r="AE60">
        <f t="shared" si="3"/>
        <v>0.93846153846153846</v>
      </c>
    </row>
    <row r="61" spans="1:31">
      <c r="A61" s="29" t="s">
        <v>2519</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9"/>
      <c r="Y61" s="53"/>
      <c r="Z61" s="27"/>
      <c r="AA61" s="43"/>
      <c r="AB61" s="80"/>
      <c r="AC61" s="46"/>
      <c r="AD61">
        <f t="shared" si="2"/>
        <v>0.36974789915966388</v>
      </c>
      <c r="AE61">
        <f t="shared" si="3"/>
        <v>1</v>
      </c>
    </row>
    <row r="62" spans="1:31">
      <c r="A62" s="29" t="s">
        <v>2520</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9"/>
      <c r="Y62" s="53"/>
      <c r="Z62" s="27"/>
      <c r="AA62" s="43"/>
      <c r="AB62" s="80"/>
      <c r="AC62" s="46"/>
      <c r="AD62">
        <f t="shared" si="2"/>
        <v>0.28244274809160308</v>
      </c>
      <c r="AE62">
        <f t="shared" si="3"/>
        <v>1</v>
      </c>
    </row>
    <row r="63" spans="1:31">
      <c r="A63" s="29" t="s">
        <v>2521</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9"/>
      <c r="Y63" s="53"/>
      <c r="Z63" s="27"/>
      <c r="AA63" s="43"/>
      <c r="AB63" s="80"/>
      <c r="AC63" s="46"/>
      <c r="AD63">
        <f t="shared" si="2"/>
        <v>0</v>
      </c>
      <c r="AE63">
        <f t="shared" si="3"/>
        <v>0</v>
      </c>
    </row>
    <row r="64" spans="1:31">
      <c r="A64" s="29" t="s">
        <v>2522</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9"/>
      <c r="Y64" s="53"/>
      <c r="Z64" s="27"/>
      <c r="AA64" s="43"/>
      <c r="AB64" s="80"/>
      <c r="AC64" s="46"/>
      <c r="AD64">
        <f t="shared" si="2"/>
        <v>0.75376884422110557</v>
      </c>
      <c r="AE64">
        <f t="shared" si="3"/>
        <v>0.93333333333333335</v>
      </c>
    </row>
    <row r="65" spans="1:31">
      <c r="A65" s="29" t="s">
        <v>2523</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9"/>
      <c r="Y65" s="53"/>
      <c r="Z65" s="27"/>
      <c r="AA65" s="43"/>
      <c r="AB65" s="80"/>
      <c r="AC65" s="46"/>
      <c r="AD65">
        <f t="shared" si="2"/>
        <v>0.28000000000000003</v>
      </c>
      <c r="AE65">
        <f t="shared" si="3"/>
        <v>1</v>
      </c>
    </row>
    <row r="66" spans="1:31">
      <c r="A66" s="29" t="s">
        <v>2524</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9"/>
      <c r="Y66" s="53"/>
      <c r="Z66" s="27"/>
      <c r="AA66" s="43"/>
      <c r="AB66" s="80"/>
      <c r="AC66" s="46"/>
      <c r="AD66">
        <f t="shared" si="2"/>
        <v>0.87179487179487181</v>
      </c>
      <c r="AE66">
        <f t="shared" si="3"/>
        <v>0.8529411764705882</v>
      </c>
    </row>
    <row r="67" spans="1:31">
      <c r="A67" s="29" t="s">
        <v>2525</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9"/>
      <c r="Y67" s="53"/>
      <c r="Z67" s="27"/>
      <c r="AA67" s="43"/>
      <c r="AB67" s="80"/>
      <c r="AC67" s="46"/>
      <c r="AD67">
        <f t="shared" si="2"/>
        <v>1</v>
      </c>
      <c r="AE67">
        <f t="shared" si="3"/>
        <v>1</v>
      </c>
    </row>
    <row r="68" spans="1:31">
      <c r="A68" s="29" t="s">
        <v>2526</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9"/>
      <c r="Y68" s="53"/>
      <c r="Z68" s="27"/>
      <c r="AA68" s="43"/>
      <c r="AB68" s="80"/>
      <c r="AC68" s="46"/>
      <c r="AD68">
        <f t="shared" si="2"/>
        <v>1</v>
      </c>
      <c r="AE68">
        <f t="shared" si="3"/>
        <v>1</v>
      </c>
    </row>
    <row r="69" spans="1:31">
      <c r="A69" s="29" t="s">
        <v>2527</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9"/>
      <c r="Y69" s="53"/>
      <c r="Z69" s="27"/>
      <c r="AA69" s="43"/>
      <c r="AB69" s="80"/>
      <c r="AC69" s="46"/>
      <c r="AD69">
        <f t="shared" si="2"/>
        <v>1</v>
      </c>
      <c r="AE69">
        <f t="shared" si="3"/>
        <v>1</v>
      </c>
    </row>
    <row r="70" spans="1:31">
      <c r="A70" s="29" t="s">
        <v>2528</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9"/>
      <c r="Y70" s="53"/>
      <c r="Z70" s="27"/>
      <c r="AA70" s="43"/>
      <c r="AB70" s="80"/>
      <c r="AC70" s="46"/>
      <c r="AD70">
        <f t="shared" si="2"/>
        <v>1</v>
      </c>
      <c r="AE70">
        <f t="shared" si="3"/>
        <v>1</v>
      </c>
    </row>
    <row r="71" spans="1:31">
      <c r="A71" s="29" t="s">
        <v>2529</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9"/>
      <c r="Y71" s="53"/>
      <c r="Z71" s="27"/>
      <c r="AA71" s="43"/>
      <c r="AB71" s="80"/>
      <c r="AC71" s="46"/>
      <c r="AD71">
        <f t="shared" si="2"/>
        <v>1</v>
      </c>
      <c r="AE71">
        <f t="shared" si="3"/>
        <v>1</v>
      </c>
    </row>
    <row r="72" spans="1:31">
      <c r="A72" s="29" t="s">
        <v>2530</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9"/>
      <c r="Y72" s="53"/>
      <c r="Z72" s="27"/>
      <c r="AA72" s="43"/>
      <c r="AB72" s="80"/>
      <c r="AC72" s="46"/>
      <c r="AD72">
        <f t="shared" si="2"/>
        <v>1</v>
      </c>
      <c r="AE72">
        <f t="shared" si="3"/>
        <v>1</v>
      </c>
    </row>
    <row r="73" spans="1:31">
      <c r="A73" s="29" t="s">
        <v>2531</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9"/>
      <c r="Y73" s="53"/>
      <c r="Z73" s="27"/>
      <c r="AA73" s="43"/>
      <c r="AB73" s="80"/>
      <c r="AC73" s="46"/>
      <c r="AD73">
        <f t="shared" si="2"/>
        <v>1</v>
      </c>
      <c r="AE73">
        <f t="shared" si="3"/>
        <v>1</v>
      </c>
    </row>
    <row r="74" spans="1:31">
      <c r="A74" s="29" t="s">
        <v>2532</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9"/>
      <c r="Y74" s="53"/>
      <c r="Z74" s="27"/>
      <c r="AA74" s="43"/>
      <c r="AB74" s="80"/>
      <c r="AC74" s="46"/>
      <c r="AD74">
        <f t="shared" si="2"/>
        <v>1</v>
      </c>
      <c r="AE74">
        <f t="shared" si="3"/>
        <v>1</v>
      </c>
    </row>
    <row r="75" spans="1:31">
      <c r="A75" s="29" t="s">
        <v>2533</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9"/>
      <c r="Y75" s="53"/>
      <c r="Z75" s="27"/>
      <c r="AA75" s="43"/>
      <c r="AB75" s="80"/>
      <c r="AC75" s="46"/>
      <c r="AD75">
        <f t="shared" si="2"/>
        <v>1</v>
      </c>
      <c r="AE75">
        <f t="shared" si="3"/>
        <v>1</v>
      </c>
    </row>
    <row r="76" spans="1:31">
      <c r="A76" s="29" t="s">
        <v>2534</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9"/>
      <c r="Y76" s="53"/>
      <c r="Z76" s="27"/>
      <c r="AA76" s="43"/>
      <c r="AB76" s="80"/>
      <c r="AC76" s="46"/>
      <c r="AD76">
        <f t="shared" si="2"/>
        <v>1</v>
      </c>
      <c r="AE76">
        <f t="shared" si="3"/>
        <v>1</v>
      </c>
    </row>
    <row r="77" spans="1:31">
      <c r="A77" s="29" t="s">
        <v>2535</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9"/>
      <c r="Y77" s="53"/>
      <c r="Z77" s="27"/>
      <c r="AA77" s="43"/>
      <c r="AB77" s="80"/>
      <c r="AC77" s="46"/>
      <c r="AD77">
        <f t="shared" si="2"/>
        <v>1</v>
      </c>
      <c r="AE77">
        <f t="shared" si="3"/>
        <v>0</v>
      </c>
    </row>
    <row r="78" spans="1:31">
      <c r="A78" s="29" t="s">
        <v>2536</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9"/>
      <c r="Y78" s="53"/>
      <c r="Z78" s="27"/>
      <c r="AA78" s="43"/>
      <c r="AB78" s="80"/>
      <c r="AC78" s="46"/>
      <c r="AD78">
        <f t="shared" si="2"/>
        <v>1</v>
      </c>
      <c r="AE78">
        <f t="shared" si="3"/>
        <v>1</v>
      </c>
    </row>
    <row r="79" spans="1:31">
      <c r="A79" s="29" t="s">
        <v>2537</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9"/>
      <c r="Y79" s="53"/>
      <c r="Z79" s="27"/>
      <c r="AA79" s="43"/>
      <c r="AB79" s="80"/>
      <c r="AC79" s="46"/>
      <c r="AD79">
        <f t="shared" si="2"/>
        <v>1</v>
      </c>
      <c r="AE79">
        <f t="shared" si="3"/>
        <v>1</v>
      </c>
    </row>
    <row r="80" spans="1:31">
      <c r="A80" s="29" t="s">
        <v>2538</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9"/>
      <c r="Y80" s="53"/>
      <c r="Z80" s="27"/>
      <c r="AA80" s="43"/>
      <c r="AB80" s="80"/>
      <c r="AC80" s="46"/>
      <c r="AD80">
        <f t="shared" si="2"/>
        <v>1</v>
      </c>
      <c r="AE80">
        <f t="shared" si="3"/>
        <v>1</v>
      </c>
    </row>
    <row r="81" spans="1:31">
      <c r="A81" s="29" t="s">
        <v>2539</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9"/>
      <c r="Y81" s="53"/>
      <c r="Z81" s="27"/>
      <c r="AA81" s="43"/>
      <c r="AB81" s="80"/>
      <c r="AC81" s="46"/>
      <c r="AD81">
        <f t="shared" si="2"/>
        <v>1</v>
      </c>
      <c r="AE81">
        <f t="shared" si="3"/>
        <v>1</v>
      </c>
    </row>
    <row r="82" spans="1:31">
      <c r="A82" s="29" t="s">
        <v>2540</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9"/>
      <c r="Y82" s="53"/>
      <c r="Z82" s="27"/>
      <c r="AA82" s="43"/>
      <c r="AB82" s="80"/>
      <c r="AC82" s="46"/>
      <c r="AD82">
        <f t="shared" si="2"/>
        <v>1</v>
      </c>
      <c r="AE82">
        <f t="shared" si="3"/>
        <v>1</v>
      </c>
    </row>
    <row r="83" spans="1:31">
      <c r="A83" s="29" t="s">
        <v>2541</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9"/>
      <c r="Y83" s="53"/>
      <c r="Z83" s="27"/>
      <c r="AA83" s="43"/>
      <c r="AB83" s="80"/>
      <c r="AC83" s="46"/>
      <c r="AD83">
        <f t="shared" si="2"/>
        <v>1</v>
      </c>
      <c r="AE83">
        <f t="shared" si="3"/>
        <v>1</v>
      </c>
    </row>
    <row r="84" spans="1:31">
      <c r="A84" s="29" t="s">
        <v>2542</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9"/>
      <c r="Y84" s="53"/>
      <c r="Z84" s="27"/>
      <c r="AA84" s="43"/>
      <c r="AB84" s="80"/>
      <c r="AC84" s="46"/>
      <c r="AD84">
        <f t="shared" si="2"/>
        <v>1</v>
      </c>
      <c r="AE84">
        <f t="shared" si="3"/>
        <v>0.95180722891566261</v>
      </c>
    </row>
    <row r="85" spans="1:31">
      <c r="A85" s="29" t="s">
        <v>2543</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5">
        <v>-2.1202122999999999</v>
      </c>
      <c r="W85" s="9">
        <v>106.0750427</v>
      </c>
      <c r="X85" s="9"/>
      <c r="Y85" s="53"/>
      <c r="Z85" s="27"/>
      <c r="AA85" s="43"/>
      <c r="AB85" s="80"/>
      <c r="AC85" s="46"/>
      <c r="AD85">
        <f t="shared" ref="AD85:AD107" si="4">IF(A85="","",IFERROR(L85/K85,0))</f>
        <v>1</v>
      </c>
      <c r="AE85">
        <f t="shared" ref="AE85:AE107" si="5">IF(A85="","",IFERROR(M85/L85,0))</f>
        <v>1</v>
      </c>
    </row>
    <row r="86" spans="1:31">
      <c r="A86" s="29" t="s">
        <v>2544</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9"/>
      <c r="Y86" s="53"/>
      <c r="Z86" s="27"/>
      <c r="AA86" s="43"/>
      <c r="AB86" s="80"/>
      <c r="AC86" s="46"/>
      <c r="AD86">
        <f t="shared" si="4"/>
        <v>1</v>
      </c>
      <c r="AE86">
        <f t="shared" si="5"/>
        <v>1</v>
      </c>
    </row>
    <row r="87" spans="1:31">
      <c r="A87" s="29" t="s">
        <v>2545</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9"/>
      <c r="Y87" s="53"/>
      <c r="Z87" s="27"/>
      <c r="AA87" s="43"/>
      <c r="AB87" s="80"/>
      <c r="AC87" s="46"/>
      <c r="AD87">
        <f t="shared" si="4"/>
        <v>1</v>
      </c>
      <c r="AE87">
        <f t="shared" si="5"/>
        <v>1</v>
      </c>
    </row>
    <row r="88" spans="1:31">
      <c r="A88" s="29" t="s">
        <v>2546</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9"/>
      <c r="Y88" s="53"/>
      <c r="Z88" s="27"/>
      <c r="AA88" s="43"/>
      <c r="AB88" s="80"/>
      <c r="AC88" s="46"/>
      <c r="AD88">
        <f t="shared" si="4"/>
        <v>1</v>
      </c>
      <c r="AE88">
        <f t="shared" si="5"/>
        <v>1</v>
      </c>
    </row>
    <row r="89" spans="1:31">
      <c r="A89" s="29" t="s">
        <v>2547</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9"/>
      <c r="Y89" s="53"/>
      <c r="Z89" s="27"/>
      <c r="AA89" s="43"/>
      <c r="AB89" s="80"/>
      <c r="AC89" s="46"/>
      <c r="AD89">
        <f t="shared" si="4"/>
        <v>1</v>
      </c>
      <c r="AE89">
        <f t="shared" si="5"/>
        <v>1</v>
      </c>
    </row>
    <row r="90" spans="1:31">
      <c r="A90" s="29" t="s">
        <v>2548</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9"/>
      <c r="Y90" s="53"/>
      <c r="Z90" s="27"/>
      <c r="AA90" s="43"/>
      <c r="AB90" s="80"/>
      <c r="AC90" s="46"/>
      <c r="AD90">
        <f t="shared" si="4"/>
        <v>0.70501474926253682</v>
      </c>
      <c r="AE90">
        <f t="shared" si="5"/>
        <v>0.56066945606694563</v>
      </c>
    </row>
    <row r="91" spans="1:31">
      <c r="A91" s="29" t="s">
        <v>2549</v>
      </c>
      <c r="B91" s="9" t="s">
        <v>1895</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9"/>
      <c r="Y91" s="53"/>
      <c r="Z91" s="27"/>
      <c r="AA91" s="43"/>
      <c r="AB91" s="80"/>
      <c r="AC91" s="46"/>
      <c r="AD91">
        <f t="shared" si="4"/>
        <v>0.8</v>
      </c>
      <c r="AE91">
        <f t="shared" si="5"/>
        <v>1</v>
      </c>
    </row>
    <row r="92" spans="1:31" ht="25">
      <c r="A92" s="29" t="s">
        <v>2550</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9"/>
      <c r="Y92" s="53"/>
      <c r="Z92" s="27"/>
      <c r="AA92" s="43"/>
      <c r="AB92" s="80"/>
      <c r="AC92" s="46"/>
      <c r="AD92">
        <f t="shared" si="4"/>
        <v>1</v>
      </c>
      <c r="AE92">
        <f t="shared" si="5"/>
        <v>0.93452380952380953</v>
      </c>
    </row>
    <row r="93" spans="1:31">
      <c r="A93" s="29" t="s">
        <v>2551</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9"/>
      <c r="Y93" s="53"/>
      <c r="Z93" s="27"/>
      <c r="AA93" s="43"/>
      <c r="AB93" s="80"/>
      <c r="AC93" s="46"/>
      <c r="AD93">
        <f t="shared" si="4"/>
        <v>1</v>
      </c>
      <c r="AE93">
        <f t="shared" si="5"/>
        <v>1</v>
      </c>
    </row>
    <row r="94" spans="1:31">
      <c r="A94" s="29" t="s">
        <v>2552</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9"/>
      <c r="Y94" s="53"/>
      <c r="Z94" s="27"/>
      <c r="AA94" s="43"/>
      <c r="AB94" s="80"/>
      <c r="AC94" s="46"/>
      <c r="AD94">
        <f t="shared" si="4"/>
        <v>1</v>
      </c>
      <c r="AE94">
        <f t="shared" si="5"/>
        <v>0.83720930232558144</v>
      </c>
    </row>
    <row r="95" spans="1:31">
      <c r="A95" s="29" t="s">
        <v>2553</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9"/>
      <c r="Y95" s="53"/>
      <c r="Z95" s="27"/>
      <c r="AA95" s="43"/>
      <c r="AB95" s="80"/>
      <c r="AC95" s="46"/>
      <c r="AD95">
        <f t="shared" si="4"/>
        <v>1</v>
      </c>
      <c r="AE95">
        <f t="shared" si="5"/>
        <v>1</v>
      </c>
    </row>
    <row r="96" spans="1:31">
      <c r="A96" s="29" t="s">
        <v>2554</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9"/>
      <c r="Y96" s="53"/>
      <c r="Z96" s="27"/>
      <c r="AA96" s="43"/>
      <c r="AB96" s="80"/>
      <c r="AC96" s="46"/>
      <c r="AD96">
        <f t="shared" si="4"/>
        <v>0</v>
      </c>
      <c r="AE96">
        <f t="shared" si="5"/>
        <v>0</v>
      </c>
    </row>
    <row r="97" spans="1:31">
      <c r="A97" s="29" t="s">
        <v>2555</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9"/>
      <c r="Y97" s="53"/>
      <c r="Z97" s="27"/>
      <c r="AA97" s="43"/>
      <c r="AB97" s="80"/>
      <c r="AC97" s="46"/>
      <c r="AD97">
        <f t="shared" si="4"/>
        <v>0.91836734693877553</v>
      </c>
      <c r="AE97">
        <f t="shared" si="5"/>
        <v>0.93333333333333335</v>
      </c>
    </row>
    <row r="98" spans="1:31">
      <c r="A98" s="29" t="s">
        <v>2556</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9"/>
      <c r="Y98" s="53"/>
      <c r="Z98" s="27"/>
      <c r="AA98" s="43"/>
      <c r="AB98" s="80"/>
      <c r="AC98" s="46"/>
      <c r="AD98">
        <f t="shared" si="4"/>
        <v>1</v>
      </c>
      <c r="AE98">
        <f t="shared" si="5"/>
        <v>0.97841726618705038</v>
      </c>
    </row>
    <row r="99" spans="1:31">
      <c r="A99" s="29" t="s">
        <v>2557</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9"/>
      <c r="Y99" s="53"/>
      <c r="Z99" s="27"/>
      <c r="AA99" s="43"/>
      <c r="AB99" s="80"/>
      <c r="AC99" s="46"/>
      <c r="AD99">
        <f t="shared" si="4"/>
        <v>0.8035714285714286</v>
      </c>
      <c r="AE99">
        <f t="shared" si="5"/>
        <v>1</v>
      </c>
    </row>
    <row r="100" spans="1:31">
      <c r="A100" s="29" t="s">
        <v>2558</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9"/>
      <c r="Y100" s="53"/>
      <c r="Z100" s="27"/>
      <c r="AA100" s="43"/>
      <c r="AB100" s="80"/>
      <c r="AC100" s="46"/>
      <c r="AD100">
        <f t="shared" si="4"/>
        <v>0.16901408450704225</v>
      </c>
      <c r="AE100">
        <f t="shared" si="5"/>
        <v>0</v>
      </c>
    </row>
    <row r="101" spans="1:31">
      <c r="A101" s="29" t="s">
        <v>2559</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9"/>
      <c r="Y101" s="53"/>
      <c r="Z101" s="27"/>
      <c r="AA101" s="43"/>
      <c r="AB101" s="80"/>
      <c r="AC101" s="46"/>
      <c r="AD101">
        <f t="shared" si="4"/>
        <v>0.5864661654135338</v>
      </c>
      <c r="AE101">
        <f t="shared" si="5"/>
        <v>0.42307692307692307</v>
      </c>
    </row>
    <row r="102" spans="1:31">
      <c r="A102" s="29" t="s">
        <v>2560</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9"/>
      <c r="Y102" s="53"/>
      <c r="Z102" s="27"/>
      <c r="AA102" s="43"/>
      <c r="AB102" s="80"/>
      <c r="AC102" s="46"/>
      <c r="AD102">
        <f t="shared" si="4"/>
        <v>0.35384615384615387</v>
      </c>
      <c r="AE102">
        <f t="shared" si="5"/>
        <v>0.39130434782608697</v>
      </c>
    </row>
    <row r="103" spans="1:31">
      <c r="A103" s="29" t="s">
        <v>2561</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9"/>
      <c r="Y103" s="53"/>
      <c r="Z103" s="27"/>
      <c r="AA103" s="43"/>
      <c r="AB103" s="80"/>
      <c r="AC103" s="46"/>
      <c r="AD103">
        <f t="shared" si="4"/>
        <v>1</v>
      </c>
      <c r="AE103">
        <f t="shared" si="5"/>
        <v>1</v>
      </c>
    </row>
    <row r="104" spans="1:31" ht="25">
      <c r="A104" s="29" t="s">
        <v>2562</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9"/>
      <c r="Y104" s="53"/>
      <c r="Z104" s="27"/>
      <c r="AA104" s="43"/>
      <c r="AB104" s="80"/>
      <c r="AC104" s="46"/>
      <c r="AD104">
        <f t="shared" si="4"/>
        <v>1</v>
      </c>
      <c r="AE104">
        <f t="shared" si="5"/>
        <v>0.96835443037974689</v>
      </c>
    </row>
    <row r="105" spans="1:31" ht="25">
      <c r="A105" s="29" t="s">
        <v>2563</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9"/>
      <c r="Y105" s="53"/>
      <c r="Z105" s="27"/>
      <c r="AA105" s="43"/>
      <c r="AB105" s="80"/>
      <c r="AC105" s="46"/>
      <c r="AD105">
        <f t="shared" si="4"/>
        <v>1</v>
      </c>
      <c r="AE105">
        <f t="shared" si="5"/>
        <v>1</v>
      </c>
    </row>
    <row r="106" spans="1:31">
      <c r="A106" s="29" t="s">
        <v>2564</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9"/>
      <c r="Y106" s="53"/>
      <c r="Z106" s="27"/>
      <c r="AA106" s="43"/>
      <c r="AB106" s="80"/>
      <c r="AC106" s="46"/>
      <c r="AD106">
        <f t="shared" si="4"/>
        <v>1</v>
      </c>
      <c r="AE106">
        <f t="shared" si="5"/>
        <v>0.94</v>
      </c>
    </row>
    <row r="107" spans="1:31">
      <c r="A107" s="29" t="s">
        <v>2565</v>
      </c>
      <c r="B107" s="9" t="s">
        <v>1899</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9"/>
      <c r="Y107" s="53"/>
      <c r="Z107" s="27"/>
      <c r="AA107" s="43"/>
      <c r="AB107" s="80"/>
      <c r="AC107" s="46"/>
      <c r="AD107">
        <f t="shared" si="4"/>
        <v>0.20588235294117646</v>
      </c>
      <c r="AE107">
        <f t="shared" si="5"/>
        <v>1</v>
      </c>
    </row>
    <row r="108" spans="1:31">
      <c r="A108" s="29" t="s">
        <v>2566</v>
      </c>
      <c r="B108" s="9" t="s">
        <v>1872</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9"/>
      <c r="Y108" s="53"/>
      <c r="Z108" s="65"/>
      <c r="AA108" s="43"/>
      <c r="AB108" s="80"/>
      <c r="AC108" s="73"/>
    </row>
    <row r="109" spans="1:31" ht="25">
      <c r="A109" s="29" t="s">
        <v>2567</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9"/>
      <c r="Y109" s="53"/>
      <c r="Z109" s="27"/>
      <c r="AA109" s="43"/>
      <c r="AB109" s="80"/>
      <c r="AC109" s="46"/>
      <c r="AD109">
        <f t="shared" ref="AD109:AD114" si="6">IF(A109="","",IFERROR(L109/K109,0))</f>
        <v>1</v>
      </c>
      <c r="AE109">
        <f t="shared" ref="AE109:AE114" si="7">IF(A109="","",IFERROR(M109/L109,0))</f>
        <v>1</v>
      </c>
    </row>
    <row r="110" spans="1:31">
      <c r="A110" s="29" t="s">
        <v>2568</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9"/>
      <c r="Y110" s="53"/>
      <c r="Z110" s="27"/>
      <c r="AA110" s="43"/>
      <c r="AB110" s="80"/>
      <c r="AC110" s="46"/>
      <c r="AD110">
        <f t="shared" si="6"/>
        <v>0.16666666666666666</v>
      </c>
      <c r="AE110">
        <f t="shared" si="7"/>
        <v>1</v>
      </c>
    </row>
    <row r="111" spans="1:31">
      <c r="A111" s="29" t="s">
        <v>2569</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9"/>
      <c r="Y111" s="53"/>
      <c r="Z111" s="27"/>
      <c r="AA111" s="43"/>
      <c r="AB111" s="80"/>
      <c r="AC111" s="46"/>
      <c r="AD111">
        <f t="shared" si="6"/>
        <v>0.95833333333333337</v>
      </c>
      <c r="AE111">
        <f t="shared" si="7"/>
        <v>1</v>
      </c>
    </row>
    <row r="112" spans="1:31">
      <c r="A112" s="29" t="s">
        <v>2570</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9"/>
      <c r="Y112" s="53"/>
      <c r="Z112" s="27"/>
      <c r="AA112" s="43"/>
      <c r="AB112" s="80"/>
      <c r="AC112" s="46"/>
      <c r="AD112">
        <f t="shared" si="6"/>
        <v>0.86956521739130432</v>
      </c>
      <c r="AE112">
        <f t="shared" si="7"/>
        <v>1</v>
      </c>
    </row>
    <row r="113" spans="1:31">
      <c r="A113" s="29" t="s">
        <v>2571</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9"/>
      <c r="Y113" s="53"/>
      <c r="Z113" s="27"/>
      <c r="AA113" s="43"/>
      <c r="AB113" s="80"/>
      <c r="AC113" s="46"/>
      <c r="AD113">
        <f t="shared" si="6"/>
        <v>1</v>
      </c>
      <c r="AE113">
        <f t="shared" si="7"/>
        <v>1</v>
      </c>
    </row>
    <row r="114" spans="1:31">
      <c r="A114" s="29" t="s">
        <v>2572</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9"/>
      <c r="Y114" s="53"/>
      <c r="Z114" s="27"/>
      <c r="AA114" s="43"/>
      <c r="AB114" s="80"/>
      <c r="AC114" s="46"/>
      <c r="AD114">
        <f t="shared" si="6"/>
        <v>0.89830508474576276</v>
      </c>
      <c r="AE114">
        <f t="shared" si="7"/>
        <v>1</v>
      </c>
    </row>
    <row r="115" spans="1:31">
      <c r="A115" s="29" t="s">
        <v>2573</v>
      </c>
      <c r="B115" s="9" t="s">
        <v>1881</v>
      </c>
      <c r="C115" s="5" t="s">
        <v>34</v>
      </c>
      <c r="D115" s="9" t="s">
        <v>81</v>
      </c>
      <c r="E115" s="9" t="s">
        <v>122</v>
      </c>
      <c r="F115" s="5" t="s">
        <v>325</v>
      </c>
      <c r="G115" s="5" t="s">
        <v>1882</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9"/>
      <c r="Y115" s="53"/>
      <c r="Z115" s="65"/>
      <c r="AA115" s="43"/>
      <c r="AB115" s="80"/>
      <c r="AC115" s="73"/>
    </row>
    <row r="116" spans="1:31" ht="25">
      <c r="A116" s="29" t="s">
        <v>2574</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9"/>
      <c r="Y116" s="53"/>
      <c r="Z116" s="27"/>
      <c r="AA116" s="43"/>
      <c r="AB116" s="80"/>
      <c r="AC116" s="46"/>
      <c r="AD116">
        <f t="shared" ref="AD116:AD142" si="8">IF(A116="","",IFERROR(L116/K116,0))</f>
        <v>0.46666666666666667</v>
      </c>
      <c r="AE116">
        <f t="shared" ref="AE116:AE142" si="9">IF(A116="","",IFERROR(M116/L116,0))</f>
        <v>1</v>
      </c>
    </row>
    <row r="117" spans="1:31" ht="25">
      <c r="A117" s="29" t="s">
        <v>2575</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9"/>
      <c r="Y117" s="53"/>
      <c r="Z117" s="27"/>
      <c r="AA117" s="43"/>
      <c r="AB117" s="80"/>
      <c r="AC117" s="46"/>
      <c r="AD117">
        <f t="shared" si="8"/>
        <v>0.1111111111111111</v>
      </c>
      <c r="AE117">
        <f t="shared" si="9"/>
        <v>0</v>
      </c>
    </row>
    <row r="118" spans="1:31">
      <c r="A118" s="29" t="s">
        <v>2576</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9"/>
      <c r="Y118" s="53"/>
      <c r="Z118" s="27"/>
      <c r="AA118" s="43"/>
      <c r="AB118" s="80"/>
      <c r="AC118" s="46"/>
      <c r="AD118">
        <f t="shared" si="8"/>
        <v>1</v>
      </c>
      <c r="AE118">
        <f t="shared" si="9"/>
        <v>1</v>
      </c>
    </row>
    <row r="119" spans="1:31" ht="25">
      <c r="A119" s="29" t="s">
        <v>2577</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9"/>
      <c r="Y119" s="53"/>
      <c r="Z119" s="27"/>
      <c r="AA119" s="43"/>
      <c r="AB119" s="80"/>
      <c r="AC119" s="46"/>
      <c r="AD119">
        <f t="shared" si="8"/>
        <v>0.55000000000000004</v>
      </c>
      <c r="AE119">
        <f t="shared" si="9"/>
        <v>1</v>
      </c>
    </row>
    <row r="120" spans="1:31">
      <c r="A120" s="29" t="s">
        <v>2578</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9"/>
      <c r="Y120" s="53"/>
      <c r="Z120" s="27"/>
      <c r="AA120" s="43"/>
      <c r="AB120" s="80"/>
      <c r="AC120" s="46"/>
      <c r="AD120">
        <f t="shared" si="8"/>
        <v>0.91176470588235292</v>
      </c>
      <c r="AE120">
        <f t="shared" si="9"/>
        <v>1</v>
      </c>
    </row>
    <row r="121" spans="1:31">
      <c r="A121" s="29" t="s">
        <v>2579</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9"/>
      <c r="Y121" s="53"/>
      <c r="Z121" s="27"/>
      <c r="AA121" s="43"/>
      <c r="AB121" s="80"/>
      <c r="AC121" s="46"/>
      <c r="AD121">
        <f t="shared" si="8"/>
        <v>1</v>
      </c>
      <c r="AE121">
        <f t="shared" si="9"/>
        <v>1</v>
      </c>
    </row>
    <row r="122" spans="1:31">
      <c r="A122" s="29" t="s">
        <v>2580</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9"/>
      <c r="Y122" s="53"/>
      <c r="Z122" s="27"/>
      <c r="AA122" s="43"/>
      <c r="AB122" s="80"/>
      <c r="AC122" s="46"/>
      <c r="AD122">
        <f t="shared" si="8"/>
        <v>1</v>
      </c>
      <c r="AE122">
        <f t="shared" si="9"/>
        <v>0.97674418604651159</v>
      </c>
    </row>
    <row r="123" spans="1:31">
      <c r="A123" s="29" t="s">
        <v>2581</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9"/>
      <c r="Y123" s="53"/>
      <c r="Z123" s="27"/>
      <c r="AA123" s="43"/>
      <c r="AB123" s="80"/>
      <c r="AC123" s="46"/>
      <c r="AD123">
        <f t="shared" si="8"/>
        <v>0.92647058823529416</v>
      </c>
      <c r="AE123">
        <f t="shared" si="9"/>
        <v>1</v>
      </c>
    </row>
    <row r="124" spans="1:31">
      <c r="A124" s="29" t="s">
        <v>2582</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9"/>
      <c r="Y124" s="53"/>
      <c r="Z124" s="27"/>
      <c r="AA124" s="43"/>
      <c r="AB124" s="80"/>
      <c r="AC124" s="46"/>
      <c r="AD124">
        <f t="shared" si="8"/>
        <v>0.46875</v>
      </c>
      <c r="AE124">
        <f t="shared" si="9"/>
        <v>1</v>
      </c>
    </row>
    <row r="125" spans="1:31">
      <c r="A125" s="29" t="s">
        <v>2583</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9"/>
      <c r="Y125" s="53"/>
      <c r="Z125" s="27"/>
      <c r="AA125" s="43"/>
      <c r="AB125" s="80"/>
      <c r="AC125" s="46"/>
      <c r="AD125">
        <f t="shared" si="8"/>
        <v>1</v>
      </c>
      <c r="AE125">
        <f t="shared" si="9"/>
        <v>1</v>
      </c>
    </row>
    <row r="126" spans="1:31">
      <c r="A126" s="29" t="s">
        <v>2584</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9"/>
      <c r="Y126" s="53"/>
      <c r="Z126" s="27"/>
      <c r="AA126" s="43"/>
      <c r="AB126" s="80"/>
      <c r="AC126" s="46"/>
      <c r="AD126">
        <f t="shared" si="8"/>
        <v>1</v>
      </c>
      <c r="AE126">
        <f t="shared" si="9"/>
        <v>1</v>
      </c>
    </row>
    <row r="127" spans="1:31">
      <c r="A127" s="29" t="s">
        <v>2585</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9"/>
      <c r="Y127" s="53"/>
      <c r="Z127" s="27"/>
      <c r="AA127" s="43"/>
      <c r="AB127" s="80"/>
      <c r="AC127" s="46"/>
      <c r="AD127">
        <f t="shared" si="8"/>
        <v>1</v>
      </c>
      <c r="AE127">
        <f t="shared" si="9"/>
        <v>1</v>
      </c>
    </row>
    <row r="128" spans="1:31">
      <c r="A128" s="29" t="s">
        <v>2586</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9"/>
      <c r="Y128" s="53"/>
      <c r="Z128" s="27"/>
      <c r="AA128" s="43"/>
      <c r="AB128" s="80"/>
      <c r="AC128" s="46"/>
      <c r="AD128">
        <f t="shared" si="8"/>
        <v>0.9285714285714286</v>
      </c>
      <c r="AE128">
        <f t="shared" si="9"/>
        <v>1</v>
      </c>
    </row>
    <row r="129" spans="1:31">
      <c r="A129" s="29" t="s">
        <v>2587</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9"/>
      <c r="Y129" s="53"/>
      <c r="Z129" s="27"/>
      <c r="AA129" s="43"/>
      <c r="AB129" s="80"/>
      <c r="AC129" s="46"/>
      <c r="AD129">
        <f t="shared" si="8"/>
        <v>0.56756756756756754</v>
      </c>
      <c r="AE129">
        <f t="shared" si="9"/>
        <v>0.8571428571428571</v>
      </c>
    </row>
    <row r="130" spans="1:31">
      <c r="A130" s="29" t="s">
        <v>2588</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9"/>
      <c r="Y130" s="53"/>
      <c r="Z130" s="27"/>
      <c r="AA130" s="43"/>
      <c r="AB130" s="80"/>
      <c r="AC130" s="46"/>
      <c r="AD130">
        <f t="shared" si="8"/>
        <v>1</v>
      </c>
      <c r="AE130">
        <f t="shared" si="9"/>
        <v>1</v>
      </c>
    </row>
    <row r="131" spans="1:31">
      <c r="A131" s="29" t="s">
        <v>2589</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9"/>
      <c r="Y131" s="53"/>
      <c r="Z131" s="27"/>
      <c r="AA131" s="43"/>
      <c r="AB131" s="80"/>
      <c r="AC131" s="46"/>
      <c r="AD131">
        <f t="shared" si="8"/>
        <v>1</v>
      </c>
      <c r="AE131">
        <f t="shared" si="9"/>
        <v>1</v>
      </c>
    </row>
    <row r="132" spans="1:31">
      <c r="A132" s="29" t="s">
        <v>2590</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9"/>
      <c r="Y132" s="53"/>
      <c r="Z132" s="27"/>
      <c r="AA132" s="43"/>
      <c r="AB132" s="80"/>
      <c r="AC132" s="46"/>
      <c r="AD132">
        <f t="shared" si="8"/>
        <v>0.7441860465116279</v>
      </c>
      <c r="AE132">
        <f t="shared" si="9"/>
        <v>1</v>
      </c>
    </row>
    <row r="133" spans="1:31">
      <c r="A133" s="29" t="s">
        <v>2591</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9"/>
      <c r="Y133" s="53"/>
      <c r="Z133" s="27"/>
      <c r="AA133" s="43"/>
      <c r="AB133" s="80"/>
      <c r="AC133" s="46"/>
      <c r="AD133">
        <f t="shared" si="8"/>
        <v>1</v>
      </c>
      <c r="AE133">
        <f t="shared" si="9"/>
        <v>1</v>
      </c>
    </row>
    <row r="134" spans="1:31">
      <c r="A134" s="29" t="s">
        <v>2592</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9"/>
      <c r="Y134" s="53"/>
      <c r="Z134" s="27"/>
      <c r="AA134" s="43"/>
      <c r="AB134" s="80"/>
      <c r="AC134" s="46"/>
      <c r="AD134">
        <f t="shared" si="8"/>
        <v>0.65693430656934304</v>
      </c>
      <c r="AE134">
        <f t="shared" si="9"/>
        <v>0.66666666666666663</v>
      </c>
    </row>
    <row r="135" spans="1:31">
      <c r="A135" s="29" t="s">
        <v>2593</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9"/>
      <c r="Y135" s="53"/>
      <c r="Z135" s="27"/>
      <c r="AA135" s="43"/>
      <c r="AB135" s="80"/>
      <c r="AC135" s="46"/>
      <c r="AD135">
        <f t="shared" si="8"/>
        <v>1</v>
      </c>
      <c r="AE135">
        <f t="shared" si="9"/>
        <v>1</v>
      </c>
    </row>
    <row r="136" spans="1:31">
      <c r="A136" s="29" t="s">
        <v>2594</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9"/>
      <c r="Y136" s="53"/>
      <c r="Z136" s="27"/>
      <c r="AA136" s="43"/>
      <c r="AB136" s="80"/>
      <c r="AC136" s="46"/>
      <c r="AD136">
        <f t="shared" si="8"/>
        <v>0.77272727272727271</v>
      </c>
      <c r="AE136">
        <f t="shared" si="9"/>
        <v>1</v>
      </c>
    </row>
    <row r="137" spans="1:31">
      <c r="A137" s="29" t="s">
        <v>2595</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9"/>
      <c r="Y137" s="53"/>
      <c r="Z137" s="27"/>
      <c r="AA137" s="43"/>
      <c r="AB137" s="80"/>
      <c r="AC137" s="46"/>
      <c r="AD137">
        <f t="shared" si="8"/>
        <v>0.90291262135922334</v>
      </c>
      <c r="AE137">
        <f t="shared" si="9"/>
        <v>1</v>
      </c>
    </row>
    <row r="138" spans="1:31">
      <c r="A138" s="29" t="s">
        <v>2596</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9"/>
      <c r="Y138" s="53"/>
      <c r="Z138" s="27"/>
      <c r="AA138" s="43"/>
      <c r="AB138" s="80"/>
      <c r="AC138" s="46"/>
      <c r="AD138">
        <f t="shared" si="8"/>
        <v>0.22784810126582278</v>
      </c>
      <c r="AE138">
        <f t="shared" si="9"/>
        <v>0.83333333333333337</v>
      </c>
    </row>
    <row r="139" spans="1:31">
      <c r="A139" s="29" t="s">
        <v>2597</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9"/>
      <c r="Y139" s="53"/>
      <c r="Z139" s="27"/>
      <c r="AA139" s="43"/>
      <c r="AB139" s="80"/>
      <c r="AC139" s="46"/>
      <c r="AD139">
        <f t="shared" si="8"/>
        <v>0.19540229885057472</v>
      </c>
      <c r="AE139">
        <f t="shared" si="9"/>
        <v>0.88235294117647056</v>
      </c>
    </row>
    <row r="140" spans="1:31">
      <c r="A140" s="29" t="s">
        <v>2598</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9"/>
      <c r="Y140" s="53"/>
      <c r="Z140" s="27"/>
      <c r="AA140" s="43"/>
      <c r="AB140" s="80"/>
      <c r="AC140" s="46"/>
      <c r="AD140">
        <f t="shared" si="8"/>
        <v>0.89655172413793105</v>
      </c>
      <c r="AE140">
        <f t="shared" si="9"/>
        <v>1</v>
      </c>
    </row>
    <row r="141" spans="1:31" ht="25">
      <c r="A141" s="29" t="s">
        <v>2599</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9"/>
      <c r="Y141" s="53"/>
      <c r="Z141" s="27"/>
      <c r="AA141" s="43"/>
      <c r="AB141" s="80"/>
      <c r="AC141" s="46"/>
      <c r="AD141">
        <f t="shared" si="8"/>
        <v>0.92380952380952386</v>
      </c>
      <c r="AE141">
        <f t="shared" si="9"/>
        <v>1</v>
      </c>
    </row>
    <row r="142" spans="1:31" ht="25">
      <c r="A142" s="29" t="s">
        <v>2600</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9"/>
      <c r="Y142" s="53"/>
      <c r="Z142" s="27"/>
      <c r="AA142" s="43"/>
      <c r="AB142" s="80"/>
      <c r="AC142" s="46"/>
      <c r="AD142">
        <f t="shared" si="8"/>
        <v>0.52439024390243905</v>
      </c>
      <c r="AE142">
        <f t="shared" si="9"/>
        <v>1</v>
      </c>
    </row>
    <row r="143" spans="1:31">
      <c r="A143" s="29" t="s">
        <v>2601</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9"/>
      <c r="Y143" s="53"/>
      <c r="Z143" s="27"/>
      <c r="AA143" s="43"/>
      <c r="AB143" s="80"/>
      <c r="AC143" s="46"/>
      <c r="AD143">
        <f t="shared" ref="AD143:AD144" si="10">IF(A143="","",IFERROR(L143/K143,0))</f>
        <v>0.13761467889908258</v>
      </c>
      <c r="AE143">
        <f t="shared" ref="AE143:AE144" si="11">IF(A143="","",IFERROR(M143/L143,0))</f>
        <v>0.4</v>
      </c>
    </row>
    <row r="144" spans="1:31">
      <c r="A144" s="29" t="s">
        <v>2602</v>
      </c>
      <c r="B144" s="9" t="s">
        <v>1873</v>
      </c>
      <c r="C144" s="5" t="s">
        <v>34</v>
      </c>
      <c r="D144" s="9" t="s">
        <v>81</v>
      </c>
      <c r="E144" s="9" t="s">
        <v>122</v>
      </c>
      <c r="F144" s="5" t="s">
        <v>1874</v>
      </c>
      <c r="G144" s="5" t="s">
        <v>1875</v>
      </c>
      <c r="H144" s="15" t="s">
        <v>1876</v>
      </c>
      <c r="I144" s="15" t="s">
        <v>42</v>
      </c>
      <c r="J144" s="5">
        <v>2025</v>
      </c>
      <c r="K144" s="15">
        <v>60</v>
      </c>
      <c r="L144" s="9">
        <v>28</v>
      </c>
      <c r="M144" s="15">
        <v>20</v>
      </c>
      <c r="N144" s="15" t="s">
        <v>41</v>
      </c>
      <c r="O144" s="5" t="s">
        <v>42</v>
      </c>
      <c r="P144" s="5"/>
      <c r="Q144" s="21" t="s">
        <v>72</v>
      </c>
      <c r="R144" s="21" t="s">
        <v>88</v>
      </c>
      <c r="S144" s="18"/>
      <c r="T144" s="9"/>
      <c r="U144" s="9"/>
      <c r="V144" s="75"/>
      <c r="W144" s="9"/>
      <c r="X144" s="9"/>
      <c r="Y144" s="53"/>
      <c r="Z144" s="65"/>
      <c r="AA144" s="43"/>
      <c r="AB144" s="80"/>
      <c r="AC144" s="73"/>
      <c r="AD144">
        <f t="shared" si="10"/>
        <v>0.46666666666666667</v>
      </c>
      <c r="AE144">
        <f t="shared" si="11"/>
        <v>0.7142857142857143</v>
      </c>
    </row>
    <row r="145" spans="1:31" ht="25">
      <c r="A145" s="29" t="s">
        <v>2603</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9"/>
      <c r="Y145" s="53"/>
      <c r="Z145" s="27"/>
      <c r="AA145" s="43"/>
      <c r="AB145" s="80"/>
      <c r="AC145" s="46"/>
      <c r="AD145">
        <f t="shared" ref="AD145:AD163" si="12">IF(A145="","",IFERROR(L145/K145,0))</f>
        <v>0.84615384615384615</v>
      </c>
      <c r="AE145">
        <f t="shared" ref="AE145:AE163" si="13">IF(A145="","",IFERROR(M145/L145,0))</f>
        <v>0.76623376623376627</v>
      </c>
    </row>
    <row r="146" spans="1:31">
      <c r="A146" s="29" t="s">
        <v>2604</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9"/>
      <c r="Y146" s="53"/>
      <c r="Z146" s="27"/>
      <c r="AA146" s="43"/>
      <c r="AB146" s="80"/>
      <c r="AC146" s="46"/>
      <c r="AD146">
        <f t="shared" si="12"/>
        <v>0.58445945945945943</v>
      </c>
      <c r="AE146">
        <f t="shared" si="13"/>
        <v>1</v>
      </c>
    </row>
    <row r="147" spans="1:31">
      <c r="A147" s="29" t="s">
        <v>2605</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9"/>
      <c r="Y147" s="53"/>
      <c r="Z147" s="27"/>
      <c r="AA147" s="43"/>
      <c r="AB147" s="80"/>
      <c r="AC147" s="46"/>
      <c r="AD147">
        <f t="shared" si="12"/>
        <v>1</v>
      </c>
      <c r="AE147">
        <f t="shared" si="13"/>
        <v>0</v>
      </c>
    </row>
    <row r="148" spans="1:31">
      <c r="A148" s="29" t="s">
        <v>2606</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9"/>
      <c r="Y148" s="53"/>
      <c r="Z148" s="27"/>
      <c r="AA148" s="43"/>
      <c r="AB148" s="80"/>
      <c r="AC148" s="46"/>
      <c r="AD148">
        <f t="shared" si="12"/>
        <v>0.9916666666666667</v>
      </c>
      <c r="AE148">
        <f t="shared" si="13"/>
        <v>0.84873949579831931</v>
      </c>
    </row>
    <row r="149" spans="1:31">
      <c r="A149" s="29" t="s">
        <v>2607</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9"/>
      <c r="Y149" s="53"/>
      <c r="Z149" s="27"/>
      <c r="AA149" s="43"/>
      <c r="AB149" s="80"/>
      <c r="AC149" s="46"/>
      <c r="AD149">
        <f t="shared" si="12"/>
        <v>0.87234042553191493</v>
      </c>
      <c r="AE149">
        <f t="shared" si="13"/>
        <v>1</v>
      </c>
    </row>
    <row r="150" spans="1:31">
      <c r="A150" s="29" t="s">
        <v>2608</v>
      </c>
      <c r="B150" s="9" t="s">
        <v>1896</v>
      </c>
      <c r="C150" s="5" t="s">
        <v>170</v>
      </c>
      <c r="D150" s="9" t="s">
        <v>60</v>
      </c>
      <c r="E150" s="9" t="s">
        <v>368</v>
      </c>
      <c r="F150" s="5" t="s">
        <v>1897</v>
      </c>
      <c r="G150" s="5" t="s">
        <v>477</v>
      </c>
      <c r="H150" s="15" t="s">
        <v>1885</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9"/>
      <c r="Y150" s="53"/>
      <c r="Z150" s="65"/>
      <c r="AA150" s="43"/>
      <c r="AB150" s="80"/>
      <c r="AC150" s="73"/>
    </row>
    <row r="151" spans="1:31">
      <c r="A151" s="29" t="s">
        <v>2609</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9"/>
      <c r="Y151" s="53"/>
      <c r="Z151" s="27"/>
      <c r="AA151" s="43"/>
      <c r="AB151" s="80"/>
      <c r="AC151" s="46"/>
      <c r="AD151">
        <f t="shared" si="12"/>
        <v>0</v>
      </c>
      <c r="AE151">
        <f t="shared" si="13"/>
        <v>0</v>
      </c>
    </row>
    <row r="152" spans="1:31" ht="25">
      <c r="A152" s="29" t="s">
        <v>2610</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9"/>
      <c r="Y152" s="53"/>
      <c r="Z152" s="27"/>
      <c r="AA152" s="43"/>
      <c r="AB152" s="80"/>
      <c r="AC152" s="46"/>
      <c r="AD152">
        <f t="shared" si="12"/>
        <v>0</v>
      </c>
      <c r="AE152">
        <f t="shared" si="13"/>
        <v>0</v>
      </c>
    </row>
    <row r="153" spans="1:31" ht="25">
      <c r="A153" s="29" t="s">
        <v>2611</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9"/>
      <c r="Y153" s="53"/>
      <c r="Z153" s="27"/>
      <c r="AA153" s="43"/>
      <c r="AB153" s="80"/>
      <c r="AC153" s="46"/>
      <c r="AD153">
        <f t="shared" si="12"/>
        <v>1</v>
      </c>
      <c r="AE153">
        <f t="shared" si="13"/>
        <v>1</v>
      </c>
    </row>
    <row r="154" spans="1:31" ht="25">
      <c r="A154" s="29" t="s">
        <v>2612</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9"/>
      <c r="Y154" s="53"/>
      <c r="Z154" s="27"/>
      <c r="AA154" s="43"/>
      <c r="AB154" s="80"/>
      <c r="AC154" s="46"/>
      <c r="AD154">
        <f t="shared" si="12"/>
        <v>1</v>
      </c>
      <c r="AE154">
        <f t="shared" si="13"/>
        <v>1</v>
      </c>
    </row>
    <row r="155" spans="1:31" ht="25">
      <c r="A155" s="29" t="s">
        <v>2613</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9"/>
      <c r="Y155" s="53"/>
      <c r="Z155" s="27"/>
      <c r="AA155" s="43"/>
      <c r="AB155" s="80"/>
      <c r="AC155" s="46"/>
      <c r="AD155">
        <f t="shared" si="12"/>
        <v>0.72499999999999998</v>
      </c>
      <c r="AE155">
        <f t="shared" si="13"/>
        <v>0.60344827586206895</v>
      </c>
    </row>
    <row r="156" spans="1:31">
      <c r="A156" s="29" t="s">
        <v>2614</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9"/>
      <c r="Y156" s="53"/>
      <c r="Z156" s="27"/>
      <c r="AA156" s="43"/>
      <c r="AB156" s="80"/>
      <c r="AC156" s="46"/>
      <c r="AD156">
        <f t="shared" si="12"/>
        <v>1</v>
      </c>
      <c r="AE156">
        <f t="shared" si="13"/>
        <v>1</v>
      </c>
    </row>
    <row r="157" spans="1:31" ht="25">
      <c r="A157" s="29" t="s">
        <v>2615</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9"/>
      <c r="Y157" s="53"/>
      <c r="Z157" s="27"/>
      <c r="AA157" s="43"/>
      <c r="AB157" s="80"/>
      <c r="AC157" s="46"/>
      <c r="AD157">
        <f t="shared" si="12"/>
        <v>0.967741935483871</v>
      </c>
      <c r="AE157">
        <f t="shared" si="13"/>
        <v>0.91666666666666663</v>
      </c>
    </row>
    <row r="158" spans="1:31" ht="25">
      <c r="A158" s="29" t="s">
        <v>2616</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9"/>
      <c r="Y158" s="53"/>
      <c r="Z158" s="27"/>
      <c r="AA158" s="43"/>
      <c r="AB158" s="80"/>
      <c r="AC158" s="46"/>
      <c r="AD158">
        <f t="shared" si="12"/>
        <v>0.967741935483871</v>
      </c>
      <c r="AE158">
        <f t="shared" si="13"/>
        <v>0</v>
      </c>
    </row>
    <row r="159" spans="1:31" ht="25">
      <c r="A159" s="29" t="s">
        <v>2617</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9"/>
      <c r="Y159" s="53"/>
      <c r="Z159" s="27"/>
      <c r="AA159" s="43"/>
      <c r="AB159" s="80"/>
      <c r="AC159" s="46"/>
      <c r="AD159">
        <f t="shared" si="12"/>
        <v>0.84905660377358494</v>
      </c>
      <c r="AE159">
        <f t="shared" si="13"/>
        <v>0.8666666666666667</v>
      </c>
    </row>
    <row r="160" spans="1:31" ht="25">
      <c r="A160" s="29" t="s">
        <v>2618</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9"/>
      <c r="Y160" s="53"/>
      <c r="Z160" s="27"/>
      <c r="AA160" s="43"/>
      <c r="AB160" s="80"/>
      <c r="AC160" s="46"/>
      <c r="AD160">
        <f t="shared" si="12"/>
        <v>0.5625</v>
      </c>
      <c r="AE160">
        <f t="shared" si="13"/>
        <v>1</v>
      </c>
    </row>
    <row r="161" spans="1:31">
      <c r="A161" s="29" t="s">
        <v>2619</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9"/>
      <c r="Y161" s="53"/>
      <c r="Z161" s="27"/>
      <c r="AA161" s="43"/>
      <c r="AB161" s="80"/>
      <c r="AC161" s="46"/>
      <c r="AD161">
        <f t="shared" si="12"/>
        <v>0.93939393939393945</v>
      </c>
      <c r="AE161">
        <f t="shared" si="13"/>
        <v>1</v>
      </c>
    </row>
    <row r="162" spans="1:31" ht="25">
      <c r="A162" s="29" t="s">
        <v>2620</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9"/>
      <c r="Y162" s="53"/>
      <c r="Z162" s="27"/>
      <c r="AA162" s="43"/>
      <c r="AB162" s="80"/>
      <c r="AC162" s="46"/>
      <c r="AD162">
        <f t="shared" si="12"/>
        <v>0.92391304347826086</v>
      </c>
      <c r="AE162">
        <f t="shared" si="13"/>
        <v>1</v>
      </c>
    </row>
    <row r="163" spans="1:31" ht="25">
      <c r="A163" s="29" t="s">
        <v>2621</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9"/>
      <c r="Y163" s="53"/>
      <c r="Z163" s="27"/>
      <c r="AA163" s="43"/>
      <c r="AB163" s="80"/>
      <c r="AC163" s="46"/>
      <c r="AD163">
        <f t="shared" si="12"/>
        <v>0.5714285714285714</v>
      </c>
      <c r="AE163">
        <f t="shared" si="13"/>
        <v>1</v>
      </c>
    </row>
    <row r="164" spans="1:31" ht="25">
      <c r="A164" s="29" t="s">
        <v>2622</v>
      </c>
      <c r="B164" s="9" t="s">
        <v>1883</v>
      </c>
      <c r="C164" s="5" t="s">
        <v>34</v>
      </c>
      <c r="D164" s="9" t="s">
        <v>35</v>
      </c>
      <c r="E164" s="9" t="s">
        <v>36</v>
      </c>
      <c r="F164" s="5" t="s">
        <v>387</v>
      </c>
      <c r="G164" s="5" t="s">
        <v>1884</v>
      </c>
      <c r="H164" s="15" t="s">
        <v>1885</v>
      </c>
      <c r="I164" s="15"/>
      <c r="J164" s="5">
        <v>2026</v>
      </c>
      <c r="K164" s="15">
        <v>31</v>
      </c>
      <c r="L164" s="9">
        <v>0</v>
      </c>
      <c r="M164" s="15">
        <v>0</v>
      </c>
      <c r="N164" s="15" t="s">
        <v>41</v>
      </c>
      <c r="O164" s="5" t="s">
        <v>42</v>
      </c>
      <c r="P164" s="5"/>
      <c r="Q164" s="21" t="s">
        <v>43</v>
      </c>
      <c r="R164" s="21" t="s">
        <v>88</v>
      </c>
      <c r="S164" s="18"/>
      <c r="T164" s="9"/>
      <c r="U164" s="9"/>
      <c r="V164" s="75"/>
      <c r="W164" s="9"/>
      <c r="X164" s="9"/>
      <c r="Y164" s="53"/>
      <c r="Z164" s="65"/>
      <c r="AA164" s="43"/>
      <c r="AB164" s="80"/>
      <c r="AC164" s="73"/>
    </row>
    <row r="165" spans="1:31">
      <c r="A165" s="29" t="s">
        <v>2623</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9"/>
      <c r="Y165" s="53"/>
      <c r="Z165" s="27"/>
      <c r="AA165" s="43"/>
      <c r="AB165" s="80"/>
      <c r="AC165" s="46"/>
      <c r="AD165">
        <f t="shared" ref="AD165:AD205" si="14">IF(A165="","",IFERROR(L165/K165,0))</f>
        <v>0.86111111111111116</v>
      </c>
      <c r="AE165">
        <f t="shared" ref="AE165:AE205" si="15">IF(A165="","",IFERROR(M165/L165,0))</f>
        <v>0.90322580645161288</v>
      </c>
    </row>
    <row r="166" spans="1:31" ht="25">
      <c r="A166" s="29" t="s">
        <v>2624</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9"/>
      <c r="Y166" s="53"/>
      <c r="Z166" s="27"/>
      <c r="AA166" s="43"/>
      <c r="AB166" s="80"/>
      <c r="AC166" s="46"/>
      <c r="AD166">
        <f t="shared" si="14"/>
        <v>0</v>
      </c>
      <c r="AE166">
        <f t="shared" si="15"/>
        <v>0</v>
      </c>
    </row>
    <row r="167" spans="1:31">
      <c r="A167" s="29" t="s">
        <v>2625</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9"/>
      <c r="Y167" s="53"/>
      <c r="Z167" s="27"/>
      <c r="AA167" s="43"/>
      <c r="AB167" s="80"/>
      <c r="AC167" s="46"/>
      <c r="AD167">
        <f t="shared" si="14"/>
        <v>1</v>
      </c>
      <c r="AE167">
        <f t="shared" si="15"/>
        <v>1</v>
      </c>
    </row>
    <row r="168" spans="1:31">
      <c r="A168" s="29" t="s">
        <v>2626</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9"/>
      <c r="Y168" s="53"/>
      <c r="Z168" s="27"/>
      <c r="AA168" s="43"/>
      <c r="AB168" s="80"/>
      <c r="AC168" s="46"/>
      <c r="AD168">
        <f t="shared" si="14"/>
        <v>0</v>
      </c>
      <c r="AE168">
        <f t="shared" si="15"/>
        <v>0</v>
      </c>
    </row>
    <row r="169" spans="1:31">
      <c r="A169" s="29" t="s">
        <v>2627</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9"/>
      <c r="Y169" s="53"/>
      <c r="Z169" s="27"/>
      <c r="AA169" s="43"/>
      <c r="AB169" s="80"/>
      <c r="AC169" s="46"/>
      <c r="AD169">
        <f t="shared" si="14"/>
        <v>1</v>
      </c>
      <c r="AE169">
        <f t="shared" si="15"/>
        <v>0.9464285714285714</v>
      </c>
    </row>
    <row r="170" spans="1:31">
      <c r="A170" s="29" t="s">
        <v>2628</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9"/>
      <c r="Y170" s="53"/>
      <c r="Z170" s="27"/>
      <c r="AA170" s="43"/>
      <c r="AB170" s="80"/>
      <c r="AC170" s="46"/>
      <c r="AD170">
        <f t="shared" si="14"/>
        <v>1</v>
      </c>
      <c r="AE170">
        <f t="shared" si="15"/>
        <v>1</v>
      </c>
    </row>
    <row r="171" spans="1:31">
      <c r="A171" s="29" t="s">
        <v>2629</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9"/>
      <c r="Y171" s="53"/>
      <c r="Z171" s="27"/>
      <c r="AA171" s="43"/>
      <c r="AB171" s="80"/>
      <c r="AC171" s="46"/>
      <c r="AD171">
        <f t="shared" si="14"/>
        <v>0.87142857142857144</v>
      </c>
      <c r="AE171">
        <f t="shared" si="15"/>
        <v>1</v>
      </c>
    </row>
    <row r="172" spans="1:31">
      <c r="A172" s="29" t="s">
        <v>2630</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9"/>
      <c r="Y172" s="53"/>
      <c r="Z172" s="27"/>
      <c r="AA172" s="43"/>
      <c r="AB172" s="80"/>
      <c r="AC172" s="46"/>
      <c r="AD172">
        <f t="shared" si="14"/>
        <v>0.921875</v>
      </c>
      <c r="AE172">
        <f t="shared" si="15"/>
        <v>0.77966101694915257</v>
      </c>
    </row>
    <row r="173" spans="1:31" ht="25">
      <c r="A173" s="29" t="s">
        <v>2631</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9"/>
      <c r="Y173" s="53"/>
      <c r="Z173" s="27"/>
      <c r="AA173" s="43"/>
      <c r="AB173" s="80"/>
      <c r="AC173" s="46"/>
      <c r="AD173">
        <f t="shared" si="14"/>
        <v>1</v>
      </c>
      <c r="AE173">
        <f t="shared" si="15"/>
        <v>1</v>
      </c>
    </row>
    <row r="174" spans="1:31">
      <c r="A174" s="29" t="s">
        <v>2632</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9"/>
      <c r="Y174" s="53"/>
      <c r="Z174" s="27"/>
      <c r="AA174" s="43"/>
      <c r="AB174" s="80"/>
      <c r="AC174" s="46"/>
      <c r="AD174">
        <f t="shared" si="14"/>
        <v>0.9555555555555556</v>
      </c>
      <c r="AE174">
        <f t="shared" si="15"/>
        <v>1</v>
      </c>
    </row>
    <row r="175" spans="1:31" ht="25">
      <c r="A175" s="29" t="s">
        <v>2633</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9"/>
      <c r="Y175" s="53"/>
      <c r="Z175" s="27"/>
      <c r="AA175" s="43"/>
      <c r="AB175" s="80"/>
      <c r="AC175" s="46"/>
      <c r="AD175">
        <f t="shared" si="14"/>
        <v>0.13333333333333333</v>
      </c>
      <c r="AE175">
        <f t="shared" si="15"/>
        <v>0.5</v>
      </c>
    </row>
    <row r="176" spans="1:31">
      <c r="A176" s="29" t="s">
        <v>2634</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9"/>
      <c r="Y176" s="53"/>
      <c r="Z176" s="27"/>
      <c r="AA176" s="43"/>
      <c r="AB176" s="80"/>
      <c r="AC176" s="46"/>
      <c r="AD176">
        <f t="shared" si="14"/>
        <v>1</v>
      </c>
      <c r="AE176">
        <f t="shared" si="15"/>
        <v>0.87272727272727268</v>
      </c>
    </row>
    <row r="177" spans="1:31">
      <c r="A177" s="29" t="s">
        <v>2635</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9"/>
      <c r="Y177" s="53"/>
      <c r="Z177" s="27"/>
      <c r="AA177" s="43"/>
      <c r="AB177" s="80"/>
      <c r="AC177" s="46"/>
      <c r="AD177">
        <f t="shared" si="14"/>
        <v>1</v>
      </c>
      <c r="AE177">
        <f t="shared" si="15"/>
        <v>1</v>
      </c>
    </row>
    <row r="178" spans="1:31">
      <c r="A178" s="29" t="s">
        <v>2636</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9"/>
      <c r="Y178" s="53"/>
      <c r="Z178" s="27"/>
      <c r="AA178" s="43"/>
      <c r="AB178" s="80"/>
      <c r="AC178" s="46"/>
      <c r="AD178">
        <f t="shared" si="14"/>
        <v>1</v>
      </c>
      <c r="AE178">
        <f t="shared" si="15"/>
        <v>0.88888888888888884</v>
      </c>
    </row>
    <row r="179" spans="1:31">
      <c r="A179" s="29" t="s">
        <v>2637</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9"/>
      <c r="Y179" s="53"/>
      <c r="Z179" s="27"/>
      <c r="AA179" s="43"/>
      <c r="AB179" s="80"/>
      <c r="AC179" s="46"/>
      <c r="AD179">
        <f t="shared" si="14"/>
        <v>1</v>
      </c>
      <c r="AE179">
        <f t="shared" si="15"/>
        <v>1</v>
      </c>
    </row>
    <row r="180" spans="1:31">
      <c r="A180" s="29" t="s">
        <v>2638</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9"/>
      <c r="Y180" s="53"/>
      <c r="Z180" s="27"/>
      <c r="AA180" s="43"/>
      <c r="AB180" s="80"/>
      <c r="AC180" s="46"/>
      <c r="AD180">
        <f t="shared" si="14"/>
        <v>1</v>
      </c>
      <c r="AE180">
        <f t="shared" si="15"/>
        <v>1</v>
      </c>
    </row>
    <row r="181" spans="1:31">
      <c r="A181" s="29" t="s">
        <v>2639</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9"/>
      <c r="Y181" s="53"/>
      <c r="Z181" s="27"/>
      <c r="AA181" s="43"/>
      <c r="AB181" s="80"/>
      <c r="AC181" s="46"/>
      <c r="AD181">
        <f t="shared" si="14"/>
        <v>0.81034482758620685</v>
      </c>
      <c r="AE181">
        <f t="shared" si="15"/>
        <v>1</v>
      </c>
    </row>
    <row r="182" spans="1:31">
      <c r="A182" s="29" t="s">
        <v>2640</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9"/>
      <c r="Y182" s="53"/>
      <c r="Z182" s="27"/>
      <c r="AA182" s="43"/>
      <c r="AB182" s="80"/>
      <c r="AC182" s="46"/>
      <c r="AD182">
        <f t="shared" si="14"/>
        <v>1</v>
      </c>
      <c r="AE182">
        <f t="shared" si="15"/>
        <v>1</v>
      </c>
    </row>
    <row r="183" spans="1:31">
      <c r="A183" s="29" t="s">
        <v>2641</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9"/>
      <c r="Y183" s="53"/>
      <c r="Z183" s="27"/>
      <c r="AA183" s="43"/>
      <c r="AB183" s="80"/>
      <c r="AC183" s="46"/>
      <c r="AD183">
        <f t="shared" si="14"/>
        <v>0.65384615384615385</v>
      </c>
      <c r="AE183">
        <f t="shared" si="15"/>
        <v>0.23529411764705882</v>
      </c>
    </row>
    <row r="184" spans="1:31">
      <c r="A184" s="29" t="s">
        <v>2642</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9"/>
      <c r="Y184" s="53"/>
      <c r="Z184" s="27"/>
      <c r="AA184" s="43"/>
      <c r="AB184" s="80"/>
      <c r="AC184" s="46"/>
      <c r="AD184">
        <f t="shared" si="14"/>
        <v>0</v>
      </c>
      <c r="AE184">
        <f t="shared" si="15"/>
        <v>0</v>
      </c>
    </row>
    <row r="185" spans="1:31">
      <c r="A185" s="29" t="s">
        <v>2643</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9"/>
      <c r="Y185" s="53"/>
      <c r="Z185" s="27"/>
      <c r="AA185" s="43"/>
      <c r="AB185" s="80"/>
      <c r="AC185" s="46"/>
      <c r="AD185">
        <f t="shared" si="14"/>
        <v>1</v>
      </c>
      <c r="AE185">
        <f t="shared" si="15"/>
        <v>1</v>
      </c>
    </row>
    <row r="186" spans="1:31">
      <c r="A186" s="29" t="s">
        <v>2644</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9"/>
      <c r="Y186" s="53"/>
      <c r="Z186" s="27"/>
      <c r="AA186" s="43"/>
      <c r="AB186" s="80"/>
      <c r="AC186" s="46"/>
      <c r="AD186">
        <f t="shared" si="14"/>
        <v>1</v>
      </c>
      <c r="AE186">
        <f t="shared" si="15"/>
        <v>1</v>
      </c>
    </row>
    <row r="187" spans="1:31">
      <c r="A187" s="29" t="s">
        <v>2645</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9"/>
      <c r="Y187" s="53"/>
      <c r="Z187" s="27"/>
      <c r="AA187" s="43"/>
      <c r="AB187" s="80"/>
      <c r="AC187" s="46"/>
      <c r="AD187">
        <f t="shared" si="14"/>
        <v>1</v>
      </c>
      <c r="AE187">
        <f t="shared" si="15"/>
        <v>1</v>
      </c>
    </row>
    <row r="188" spans="1:31">
      <c r="A188" s="29" t="s">
        <v>2646</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9"/>
      <c r="Y188" s="53"/>
      <c r="Z188" s="27"/>
      <c r="AA188" s="43"/>
      <c r="AB188" s="80"/>
      <c r="AC188" s="46"/>
      <c r="AD188">
        <f t="shared" si="14"/>
        <v>1</v>
      </c>
      <c r="AE188">
        <f t="shared" si="15"/>
        <v>0.54491017964071853</v>
      </c>
    </row>
    <row r="189" spans="1:31">
      <c r="A189" s="29" t="s">
        <v>2647</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9"/>
      <c r="Y189" s="53"/>
      <c r="Z189" s="27"/>
      <c r="AA189" s="43"/>
      <c r="AB189" s="80"/>
      <c r="AC189" s="46"/>
      <c r="AD189">
        <f t="shared" si="14"/>
        <v>0</v>
      </c>
      <c r="AE189">
        <f t="shared" si="15"/>
        <v>0</v>
      </c>
    </row>
    <row r="190" spans="1:31">
      <c r="A190" s="29" t="s">
        <v>2648</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9"/>
      <c r="Y190" s="53"/>
      <c r="Z190" s="27"/>
      <c r="AA190" s="43"/>
      <c r="AB190" s="80"/>
      <c r="AC190" s="46"/>
      <c r="AD190">
        <f t="shared" si="14"/>
        <v>0.31034482758620691</v>
      </c>
      <c r="AE190">
        <f t="shared" si="15"/>
        <v>0.91666666666666663</v>
      </c>
    </row>
    <row r="191" spans="1:31">
      <c r="A191" s="29" t="s">
        <v>2649</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9"/>
      <c r="Y191" s="53"/>
      <c r="Z191" s="27"/>
      <c r="AA191" s="43"/>
      <c r="AB191" s="80"/>
      <c r="AC191" s="46"/>
      <c r="AD191">
        <f t="shared" si="14"/>
        <v>0.68421052631578949</v>
      </c>
      <c r="AE191">
        <f t="shared" si="15"/>
        <v>1</v>
      </c>
    </row>
    <row r="192" spans="1:31">
      <c r="A192" s="29" t="s">
        <v>2650</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9"/>
      <c r="Y192" s="53"/>
      <c r="Z192" s="27"/>
      <c r="AA192" s="43"/>
      <c r="AB192" s="80"/>
      <c r="AC192" s="46"/>
      <c r="AD192">
        <f t="shared" si="14"/>
        <v>0.78378378378378377</v>
      </c>
      <c r="AE192">
        <f t="shared" si="15"/>
        <v>0.68965517241379315</v>
      </c>
    </row>
    <row r="193" spans="1:31">
      <c r="A193" s="29" t="s">
        <v>2651</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9"/>
      <c r="Y193" s="53"/>
      <c r="Z193" s="27"/>
      <c r="AA193" s="43"/>
      <c r="AB193" s="80"/>
      <c r="AC193" s="46"/>
      <c r="AD193">
        <f t="shared" si="14"/>
        <v>0</v>
      </c>
      <c r="AE193">
        <f t="shared" si="15"/>
        <v>0</v>
      </c>
    </row>
    <row r="194" spans="1:31">
      <c r="A194" s="29" t="s">
        <v>2652</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9"/>
      <c r="Y194" s="53"/>
      <c r="Z194" s="27"/>
      <c r="AA194" s="43"/>
      <c r="AB194" s="80"/>
      <c r="AC194" s="46"/>
      <c r="AD194">
        <f t="shared" si="14"/>
        <v>0</v>
      </c>
      <c r="AE194">
        <f t="shared" si="15"/>
        <v>0</v>
      </c>
    </row>
    <row r="195" spans="1:31">
      <c r="A195" s="29" t="s">
        <v>2653</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9"/>
      <c r="Y195" s="53"/>
      <c r="Z195" s="27"/>
      <c r="AA195" s="43"/>
      <c r="AB195" s="80"/>
      <c r="AC195" s="46"/>
      <c r="AD195">
        <f t="shared" si="14"/>
        <v>0.7068965517241379</v>
      </c>
      <c r="AE195">
        <f t="shared" si="15"/>
        <v>1</v>
      </c>
    </row>
    <row r="196" spans="1:31">
      <c r="A196" s="29" t="s">
        <v>2654</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9"/>
      <c r="Y196" s="53"/>
      <c r="Z196" s="27"/>
      <c r="AA196" s="43"/>
      <c r="AB196" s="80"/>
      <c r="AC196" s="46"/>
      <c r="AD196">
        <f t="shared" si="14"/>
        <v>1</v>
      </c>
      <c r="AE196">
        <f t="shared" si="15"/>
        <v>1</v>
      </c>
    </row>
    <row r="197" spans="1:31">
      <c r="A197" s="29" t="s">
        <v>2655</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9"/>
      <c r="Y197" s="53"/>
      <c r="Z197" s="27"/>
      <c r="AA197" s="43"/>
      <c r="AB197" s="80"/>
      <c r="AC197" s="46"/>
      <c r="AD197">
        <f t="shared" si="14"/>
        <v>1</v>
      </c>
      <c r="AE197">
        <f t="shared" si="15"/>
        <v>1</v>
      </c>
    </row>
    <row r="198" spans="1:31">
      <c r="A198" s="29" t="s">
        <v>2656</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9"/>
      <c r="Y198" s="53"/>
      <c r="Z198" s="27"/>
      <c r="AA198" s="43"/>
      <c r="AB198" s="80"/>
      <c r="AC198" s="46"/>
      <c r="AD198">
        <f t="shared" si="14"/>
        <v>1</v>
      </c>
      <c r="AE198">
        <f t="shared" si="15"/>
        <v>1</v>
      </c>
    </row>
    <row r="199" spans="1:31">
      <c r="A199" s="29" t="s">
        <v>2657</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9"/>
      <c r="Y199" s="53"/>
      <c r="Z199" s="27"/>
      <c r="AA199" s="43"/>
      <c r="AB199" s="80"/>
      <c r="AC199" s="46"/>
      <c r="AD199">
        <f t="shared" si="14"/>
        <v>1</v>
      </c>
      <c r="AE199">
        <f t="shared" si="15"/>
        <v>1</v>
      </c>
    </row>
    <row r="200" spans="1:31">
      <c r="A200" s="29" t="s">
        <v>2658</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9"/>
      <c r="Y200" s="53"/>
      <c r="Z200" s="27"/>
      <c r="AA200" s="43"/>
      <c r="AB200" s="80"/>
      <c r="AC200" s="46"/>
      <c r="AD200">
        <f t="shared" si="14"/>
        <v>1</v>
      </c>
      <c r="AE200">
        <f t="shared" si="15"/>
        <v>1</v>
      </c>
    </row>
    <row r="201" spans="1:31">
      <c r="A201" s="29" t="s">
        <v>2659</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9"/>
      <c r="Y201" s="53"/>
      <c r="Z201" s="27"/>
      <c r="AA201" s="43"/>
      <c r="AB201" s="80"/>
      <c r="AC201" s="46"/>
      <c r="AD201">
        <f t="shared" si="14"/>
        <v>1</v>
      </c>
      <c r="AE201">
        <f t="shared" si="15"/>
        <v>1</v>
      </c>
    </row>
    <row r="202" spans="1:31">
      <c r="A202" s="29" t="s">
        <v>2660</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9"/>
      <c r="Y202" s="53"/>
      <c r="Z202" s="27"/>
      <c r="AA202" s="43"/>
      <c r="AB202" s="80"/>
      <c r="AC202" s="46"/>
      <c r="AD202">
        <f t="shared" si="14"/>
        <v>1</v>
      </c>
      <c r="AE202">
        <f t="shared" si="15"/>
        <v>1</v>
      </c>
    </row>
    <row r="203" spans="1:31">
      <c r="A203" s="29" t="s">
        <v>2661</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9"/>
      <c r="Y203" s="53"/>
      <c r="Z203" s="27"/>
      <c r="AA203" s="43"/>
      <c r="AB203" s="80"/>
      <c r="AC203" s="46"/>
      <c r="AD203">
        <f t="shared" si="14"/>
        <v>1</v>
      </c>
      <c r="AE203">
        <f t="shared" si="15"/>
        <v>1</v>
      </c>
    </row>
    <row r="204" spans="1:31">
      <c r="A204" s="29" t="s">
        <v>2662</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9"/>
      <c r="Y204" s="53"/>
      <c r="Z204" s="27"/>
      <c r="AA204" s="43"/>
      <c r="AB204" s="80"/>
      <c r="AC204" s="46"/>
      <c r="AD204">
        <f t="shared" si="14"/>
        <v>1</v>
      </c>
      <c r="AE204">
        <f t="shared" si="15"/>
        <v>1</v>
      </c>
    </row>
    <row r="205" spans="1:31" ht="25">
      <c r="A205" s="29" t="s">
        <v>2663</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9"/>
      <c r="Y205" s="53"/>
      <c r="Z205" s="27"/>
      <c r="AA205" s="43"/>
      <c r="AB205" s="80"/>
      <c r="AC205" s="46"/>
      <c r="AD205">
        <f t="shared" si="14"/>
        <v>1</v>
      </c>
      <c r="AE205">
        <f t="shared" si="15"/>
        <v>1</v>
      </c>
    </row>
    <row r="206" spans="1:31" ht="25">
      <c r="A206" s="29" t="s">
        <v>2664</v>
      </c>
      <c r="B206" s="9" t="s">
        <v>1886</v>
      </c>
      <c r="C206" s="5" t="s">
        <v>34</v>
      </c>
      <c r="D206" s="9" t="s">
        <v>35</v>
      </c>
      <c r="E206" s="9" t="s">
        <v>46</v>
      </c>
      <c r="F206" s="5" t="s">
        <v>1887</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9"/>
      <c r="Y206" s="53"/>
      <c r="Z206" s="65"/>
      <c r="AA206" s="43"/>
      <c r="AB206" s="80"/>
      <c r="AC206" s="73"/>
    </row>
    <row r="207" spans="1:31">
      <c r="A207" s="29" t="s">
        <v>2665</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9"/>
      <c r="Y207" s="53"/>
      <c r="Z207" s="27"/>
      <c r="AA207" s="43"/>
      <c r="AB207" s="80"/>
      <c r="AC207" s="46"/>
      <c r="AD207">
        <f>IF(A207="","",IFERROR(L207/K207,0))</f>
        <v>1</v>
      </c>
      <c r="AE207">
        <f>IF(A207="","",IFERROR(M207/L207,0))</f>
        <v>1</v>
      </c>
    </row>
    <row r="208" spans="1:31">
      <c r="A208" s="29" t="s">
        <v>2666</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9"/>
      <c r="Y208" s="53"/>
      <c r="Z208" s="27"/>
      <c r="AA208" s="43"/>
      <c r="AB208" s="80"/>
      <c r="AC208" s="46"/>
      <c r="AD208">
        <f>IF(A208="","",IFERROR(L208/K208,0))</f>
        <v>1</v>
      </c>
      <c r="AE208">
        <f>IF(A208="","",IFERROR(M208/L208,0))</f>
        <v>1</v>
      </c>
    </row>
    <row r="209" spans="1:31">
      <c r="A209" s="29" t="s">
        <v>2667</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9"/>
      <c r="Y209" s="53"/>
      <c r="Z209" s="27"/>
      <c r="AA209" s="43"/>
      <c r="AB209" s="80"/>
      <c r="AC209" s="46"/>
      <c r="AD209">
        <f>IF(A209="","",IFERROR(L209/K209,0))</f>
        <v>1</v>
      </c>
      <c r="AE209">
        <f>IF(A209="","",IFERROR(M209/L209,0))</f>
        <v>1</v>
      </c>
    </row>
    <row r="210" spans="1:31">
      <c r="A210" s="29" t="s">
        <v>2668</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9"/>
      <c r="Y210" s="53"/>
      <c r="Z210" s="27"/>
      <c r="AA210" s="43"/>
      <c r="AB210" s="80"/>
      <c r="AC210" s="46"/>
      <c r="AD210">
        <f>IF(A210="","",IFERROR(L210/K210,0))</f>
        <v>0.95833333333333337</v>
      </c>
      <c r="AE210">
        <f>IF(A210="","",IFERROR(M210/L210,0))</f>
        <v>1</v>
      </c>
    </row>
    <row r="211" spans="1:31">
      <c r="A211" s="29" t="s">
        <v>2669</v>
      </c>
      <c r="B211" s="9" t="s">
        <v>1888</v>
      </c>
      <c r="C211" s="5" t="s">
        <v>34</v>
      </c>
      <c r="D211" s="9" t="s">
        <v>60</v>
      </c>
      <c r="E211" s="9" t="s">
        <v>70</v>
      </c>
      <c r="F211" s="5" t="s">
        <v>1889</v>
      </c>
      <c r="G211" s="5" t="s">
        <v>1890</v>
      </c>
      <c r="H211" s="15" t="s">
        <v>1891</v>
      </c>
      <c r="I211" s="15"/>
      <c r="J211" s="5">
        <v>2026</v>
      </c>
      <c r="K211" s="15">
        <v>32</v>
      </c>
      <c r="L211" s="9">
        <v>0</v>
      </c>
      <c r="M211" s="15">
        <v>0</v>
      </c>
      <c r="N211" s="15" t="s">
        <v>41</v>
      </c>
      <c r="O211" s="5" t="s">
        <v>42</v>
      </c>
      <c r="P211" s="5"/>
      <c r="Q211" s="21" t="s">
        <v>43</v>
      </c>
      <c r="R211" s="21" t="s">
        <v>88</v>
      </c>
      <c r="S211" s="18"/>
      <c r="T211" s="9"/>
      <c r="U211" s="9"/>
      <c r="V211" s="75"/>
      <c r="W211" s="9"/>
      <c r="X211" s="9"/>
      <c r="Y211" s="53"/>
      <c r="Z211" s="65"/>
      <c r="AA211" s="43"/>
      <c r="AB211" s="80"/>
      <c r="AC211" s="73"/>
    </row>
    <row r="212" spans="1:31">
      <c r="A212" s="29" t="s">
        <v>2670</v>
      </c>
      <c r="B212" s="9" t="s">
        <v>1892</v>
      </c>
      <c r="C212" s="5" t="s">
        <v>34</v>
      </c>
      <c r="D212" s="9" t="s">
        <v>81</v>
      </c>
      <c r="E212" s="9" t="s">
        <v>82</v>
      </c>
      <c r="F212" s="5" t="s">
        <v>602</v>
      </c>
      <c r="G212" s="5" t="s">
        <v>1890</v>
      </c>
      <c r="H212" s="15" t="s">
        <v>1891</v>
      </c>
      <c r="I212" s="15"/>
      <c r="J212" s="5">
        <v>2026</v>
      </c>
      <c r="K212" s="15">
        <v>36</v>
      </c>
      <c r="L212" s="9">
        <v>0</v>
      </c>
      <c r="M212" s="15">
        <v>0</v>
      </c>
      <c r="N212" s="15" t="s">
        <v>41</v>
      </c>
      <c r="O212" s="5" t="s">
        <v>42</v>
      </c>
      <c r="P212" s="5"/>
      <c r="Q212" s="21" t="s">
        <v>43</v>
      </c>
      <c r="R212" s="21" t="s">
        <v>88</v>
      </c>
      <c r="S212" s="18"/>
      <c r="T212" s="9"/>
      <c r="U212" s="9"/>
      <c r="V212" s="75"/>
      <c r="W212" s="9"/>
      <c r="X212" s="9"/>
      <c r="Y212" s="53"/>
      <c r="Z212" s="65"/>
      <c r="AA212" s="43"/>
      <c r="AB212" s="80"/>
      <c r="AC212" s="73"/>
    </row>
    <row r="213" spans="1:31">
      <c r="A213" s="29" t="s">
        <v>2671</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9"/>
      <c r="Y213" s="53"/>
      <c r="Z213" s="27"/>
      <c r="AA213" s="43"/>
      <c r="AB213" s="80"/>
      <c r="AC213" s="46"/>
      <c r="AD213">
        <f t="shared" ref="AD213:AD244" si="16">IF(A213="","",IFERROR(L213/K213,0))</f>
        <v>1</v>
      </c>
      <c r="AE213">
        <f t="shared" ref="AE213:AE244" si="17">IF(A213="","",IFERROR(M213/L213,0))</f>
        <v>1</v>
      </c>
    </row>
    <row r="214" spans="1:31">
      <c r="A214" s="29" t="s">
        <v>2672</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10"/>
      <c r="Y214" s="54"/>
      <c r="Z214" s="28"/>
      <c r="AA214" s="43"/>
      <c r="AB214" s="80"/>
      <c r="AC214" s="47"/>
      <c r="AD214">
        <f t="shared" si="16"/>
        <v>1</v>
      </c>
      <c r="AE214">
        <f t="shared" si="17"/>
        <v>1</v>
      </c>
    </row>
    <row r="215" spans="1:31" s="49" customFormat="1" ht="12.5">
      <c r="A215" s="29" t="s">
        <v>2673</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48"/>
      <c r="Y215" s="50"/>
      <c r="Z215" s="50"/>
      <c r="AA215" s="48"/>
      <c r="AB215" s="81"/>
      <c r="AC215" s="50"/>
      <c r="AD215" s="51">
        <f t="shared" si="16"/>
        <v>1</v>
      </c>
      <c r="AE215" s="51">
        <f t="shared" si="17"/>
        <v>1</v>
      </c>
    </row>
    <row r="216" spans="1:31" s="49" customFormat="1" ht="12.5">
      <c r="A216" s="29" t="s">
        <v>2674</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48"/>
      <c r="Y216" s="50"/>
      <c r="Z216" s="50"/>
      <c r="AA216" s="48"/>
      <c r="AB216" s="81"/>
      <c r="AC216" s="50"/>
      <c r="AD216" s="51">
        <f t="shared" si="16"/>
        <v>0.7857142857142857</v>
      </c>
      <c r="AE216" s="51">
        <f t="shared" si="17"/>
        <v>1</v>
      </c>
    </row>
    <row r="217" spans="1:31" s="49" customFormat="1" ht="12.5">
      <c r="A217" s="29" t="s">
        <v>2675</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48"/>
      <c r="Y217" s="50"/>
      <c r="Z217" s="50"/>
      <c r="AA217" s="48"/>
      <c r="AB217" s="81"/>
      <c r="AC217" s="50"/>
      <c r="AD217" s="51">
        <f t="shared" si="16"/>
        <v>0.7441860465116279</v>
      </c>
      <c r="AE217" s="51">
        <f t="shared" si="17"/>
        <v>0.8125</v>
      </c>
    </row>
    <row r="218" spans="1:31" s="49" customFormat="1" ht="12.5">
      <c r="A218" s="29" t="s">
        <v>2676</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48"/>
      <c r="Y218" s="50"/>
      <c r="Z218" s="50"/>
      <c r="AA218" s="48"/>
      <c r="AB218" s="81"/>
      <c r="AC218" s="50"/>
      <c r="AD218" s="51">
        <f t="shared" si="16"/>
        <v>1</v>
      </c>
      <c r="AE218" s="51">
        <f t="shared" si="17"/>
        <v>0.97938144329896903</v>
      </c>
    </row>
    <row r="219" spans="1:31" s="49" customFormat="1" ht="12.5">
      <c r="A219" s="29" t="s">
        <v>2677</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48"/>
      <c r="Y219" s="50"/>
      <c r="Z219" s="50"/>
      <c r="AA219" s="48"/>
      <c r="AB219" s="81"/>
      <c r="AC219" s="50"/>
      <c r="AD219" s="51">
        <f t="shared" si="16"/>
        <v>0.80246913580246915</v>
      </c>
      <c r="AE219" s="51">
        <f t="shared" si="17"/>
        <v>0.87692307692307692</v>
      </c>
    </row>
    <row r="220" spans="1:31" s="49" customFormat="1" ht="12.5">
      <c r="A220" s="29" t="s">
        <v>2678</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48"/>
      <c r="Y220" s="50"/>
      <c r="Z220" s="50"/>
      <c r="AA220" s="48"/>
      <c r="AB220" s="81"/>
      <c r="AC220" s="50"/>
      <c r="AD220" s="51">
        <f t="shared" si="16"/>
        <v>1</v>
      </c>
      <c r="AE220" s="51">
        <f t="shared" si="17"/>
        <v>1</v>
      </c>
    </row>
    <row r="221" spans="1:31" s="49" customFormat="1" ht="12.5">
      <c r="A221" s="29" t="s">
        <v>2679</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48"/>
      <c r="Y221" s="50"/>
      <c r="Z221" s="50"/>
      <c r="AA221" s="48"/>
      <c r="AB221" s="81"/>
      <c r="AC221" s="50"/>
      <c r="AD221" s="51">
        <f t="shared" si="16"/>
        <v>1</v>
      </c>
      <c r="AE221" s="51">
        <f t="shared" si="17"/>
        <v>1</v>
      </c>
    </row>
    <row r="222" spans="1:31" s="49" customFormat="1" ht="12.5">
      <c r="A222" s="29" t="s">
        <v>2680</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48"/>
      <c r="Y222" s="50"/>
      <c r="Z222" s="50"/>
      <c r="AA222" s="48"/>
      <c r="AB222" s="81"/>
      <c r="AC222" s="50"/>
      <c r="AD222" s="51">
        <f t="shared" si="16"/>
        <v>1</v>
      </c>
      <c r="AE222" s="51">
        <f t="shared" si="17"/>
        <v>1</v>
      </c>
    </row>
    <row r="223" spans="1:31" s="49" customFormat="1" ht="12.5">
      <c r="A223" s="29" t="s">
        <v>2681</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48"/>
      <c r="Y223" s="50"/>
      <c r="Z223" s="50"/>
      <c r="AA223" s="48"/>
      <c r="AB223" s="81"/>
      <c r="AC223" s="50"/>
      <c r="AD223" s="51">
        <f t="shared" si="16"/>
        <v>0.97674418604651159</v>
      </c>
      <c r="AE223" s="51">
        <f t="shared" si="17"/>
        <v>1</v>
      </c>
    </row>
    <row r="224" spans="1:31" s="49" customFormat="1" ht="12.5">
      <c r="A224" s="29" t="s">
        <v>2682</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48"/>
      <c r="Y224" s="50"/>
      <c r="Z224" s="50"/>
      <c r="AA224" s="48"/>
      <c r="AB224" s="81"/>
      <c r="AC224" s="50"/>
      <c r="AD224" s="51">
        <f t="shared" si="16"/>
        <v>0</v>
      </c>
      <c r="AE224" s="51">
        <f t="shared" si="17"/>
        <v>0</v>
      </c>
    </row>
    <row r="225" spans="1:31" s="49" customFormat="1" ht="12.5">
      <c r="A225" s="29" t="s">
        <v>2683</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48"/>
      <c r="Y225" s="50"/>
      <c r="Z225" s="50"/>
      <c r="AA225" s="48"/>
      <c r="AB225" s="81"/>
      <c r="AC225" s="50"/>
      <c r="AD225" s="51">
        <f t="shared" si="16"/>
        <v>0.77966101694915257</v>
      </c>
      <c r="AE225" s="51">
        <f t="shared" si="17"/>
        <v>1</v>
      </c>
    </row>
    <row r="226" spans="1:31" s="49" customFormat="1" ht="12.5">
      <c r="A226" s="29" t="s">
        <v>2684</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48"/>
      <c r="Y226" s="50"/>
      <c r="Z226" s="50"/>
      <c r="AA226" s="48"/>
      <c r="AB226" s="81"/>
      <c r="AC226" s="50"/>
      <c r="AD226" s="51">
        <f t="shared" si="16"/>
        <v>1</v>
      </c>
      <c r="AE226" s="51">
        <f t="shared" si="17"/>
        <v>1</v>
      </c>
    </row>
    <row r="227" spans="1:31" s="49" customFormat="1" ht="12.5">
      <c r="A227" s="29" t="s">
        <v>2685</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48"/>
      <c r="Y227" s="50"/>
      <c r="Z227" s="50"/>
      <c r="AA227" s="48"/>
      <c r="AB227" s="81"/>
      <c r="AC227" s="50"/>
      <c r="AD227" s="51">
        <f t="shared" si="16"/>
        <v>1</v>
      </c>
      <c r="AE227" s="51">
        <f t="shared" si="17"/>
        <v>1</v>
      </c>
    </row>
    <row r="228" spans="1:31" s="49" customFormat="1" ht="12.5">
      <c r="A228" s="29" t="s">
        <v>2686</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48"/>
      <c r="Y228" s="50"/>
      <c r="Z228" s="50"/>
      <c r="AA228" s="48"/>
      <c r="AB228" s="81"/>
      <c r="AC228" s="50"/>
      <c r="AD228" s="51">
        <f t="shared" si="16"/>
        <v>1</v>
      </c>
      <c r="AE228" s="51">
        <f t="shared" si="17"/>
        <v>1</v>
      </c>
    </row>
    <row r="229" spans="1:31" s="49" customFormat="1" ht="12.5">
      <c r="A229" s="29" t="s">
        <v>2687</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48"/>
      <c r="Y229" s="50"/>
      <c r="Z229" s="50"/>
      <c r="AA229" s="48"/>
      <c r="AB229" s="81"/>
      <c r="AC229" s="50"/>
      <c r="AD229" s="51">
        <f t="shared" si="16"/>
        <v>0.97029702970297027</v>
      </c>
      <c r="AE229" s="51">
        <f t="shared" si="17"/>
        <v>1</v>
      </c>
    </row>
    <row r="230" spans="1:31" s="49" customFormat="1" ht="12.5">
      <c r="A230" s="29" t="s">
        <v>2688</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48"/>
      <c r="Y230" s="50"/>
      <c r="Z230" s="50"/>
      <c r="AA230" s="48"/>
      <c r="AB230" s="81"/>
      <c r="AC230" s="50"/>
      <c r="AD230" s="51">
        <f t="shared" si="16"/>
        <v>0.5</v>
      </c>
      <c r="AE230" s="51">
        <f t="shared" si="17"/>
        <v>1</v>
      </c>
    </row>
    <row r="231" spans="1:31" s="49" customFormat="1" ht="12.5">
      <c r="A231" s="29" t="s">
        <v>2689</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48"/>
      <c r="Y231" s="50"/>
      <c r="Z231" s="50"/>
      <c r="AA231" s="48"/>
      <c r="AB231" s="81"/>
      <c r="AC231" s="50"/>
      <c r="AD231" s="51">
        <f t="shared" si="16"/>
        <v>3.5971223021582732E-2</v>
      </c>
      <c r="AE231" s="51">
        <f t="shared" si="17"/>
        <v>1</v>
      </c>
    </row>
    <row r="232" spans="1:31" s="49" customFormat="1" ht="12.5">
      <c r="A232" s="29" t="s">
        <v>2690</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48"/>
      <c r="Y232" s="50"/>
      <c r="Z232" s="50"/>
      <c r="AA232" s="48"/>
      <c r="AB232" s="81"/>
      <c r="AC232" s="50"/>
      <c r="AD232" s="51">
        <f t="shared" si="16"/>
        <v>0</v>
      </c>
      <c r="AE232" s="51">
        <f t="shared" si="17"/>
        <v>0</v>
      </c>
    </row>
    <row r="233" spans="1:31" s="49" customFormat="1" ht="12.5">
      <c r="A233" s="29" t="s">
        <v>2691</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48"/>
      <c r="Y233" s="50"/>
      <c r="Z233" s="50"/>
      <c r="AA233" s="48"/>
      <c r="AB233" s="81"/>
      <c r="AC233" s="50"/>
      <c r="AD233" s="51">
        <f t="shared" si="16"/>
        <v>0</v>
      </c>
      <c r="AE233" s="51">
        <f t="shared" si="17"/>
        <v>0</v>
      </c>
    </row>
    <row r="234" spans="1:31" s="49" customFormat="1" ht="12.5">
      <c r="A234" s="29" t="s">
        <v>2692</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48"/>
      <c r="Y234" s="50"/>
      <c r="Z234" s="50"/>
      <c r="AA234" s="48"/>
      <c r="AB234" s="81"/>
      <c r="AC234" s="50"/>
      <c r="AD234" s="51">
        <f t="shared" si="16"/>
        <v>0</v>
      </c>
      <c r="AE234" s="51">
        <f t="shared" si="17"/>
        <v>0</v>
      </c>
    </row>
    <row r="235" spans="1:31" s="49" customFormat="1" ht="12.5">
      <c r="A235" s="29" t="s">
        <v>2693</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48"/>
      <c r="Y235" s="50"/>
      <c r="Z235" s="50"/>
      <c r="AA235" s="48"/>
      <c r="AB235" s="81"/>
      <c r="AC235" s="50"/>
      <c r="AD235" s="51">
        <f t="shared" si="16"/>
        <v>1</v>
      </c>
      <c r="AE235" s="51">
        <f t="shared" si="17"/>
        <v>1</v>
      </c>
    </row>
    <row r="236" spans="1:31" s="49" customFormat="1" ht="12.5">
      <c r="A236" s="29" t="s">
        <v>2694</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48"/>
      <c r="Y236" s="50"/>
      <c r="Z236" s="50"/>
      <c r="AA236" s="48"/>
      <c r="AB236" s="81"/>
      <c r="AC236" s="50"/>
      <c r="AD236" s="51">
        <f t="shared" si="16"/>
        <v>0.96491228070175439</v>
      </c>
      <c r="AE236" s="51">
        <f t="shared" si="17"/>
        <v>1</v>
      </c>
    </row>
    <row r="237" spans="1:31" s="49" customFormat="1" ht="12.5">
      <c r="A237" s="29" t="s">
        <v>2695</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48"/>
      <c r="Y237" s="50"/>
      <c r="Z237" s="50"/>
      <c r="AA237" s="48"/>
      <c r="AB237" s="81"/>
      <c r="AC237" s="50"/>
      <c r="AD237" s="51">
        <f t="shared" si="16"/>
        <v>0.25</v>
      </c>
      <c r="AE237" s="51">
        <f t="shared" si="17"/>
        <v>1</v>
      </c>
    </row>
    <row r="238" spans="1:31" s="49" customFormat="1" ht="12.5">
      <c r="A238" s="29" t="s">
        <v>2696</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48"/>
      <c r="Y238" s="50"/>
      <c r="Z238" s="50"/>
      <c r="AA238" s="48"/>
      <c r="AB238" s="81"/>
      <c r="AC238" s="50"/>
      <c r="AD238" s="51">
        <f t="shared" si="16"/>
        <v>9.7826086956521743E-2</v>
      </c>
      <c r="AE238" s="51">
        <f t="shared" si="17"/>
        <v>1</v>
      </c>
    </row>
    <row r="239" spans="1:31" s="49" customFormat="1" ht="12.5">
      <c r="A239" s="29" t="s">
        <v>2697</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48"/>
      <c r="Y239" s="50"/>
      <c r="Z239" s="50"/>
      <c r="AA239" s="48"/>
      <c r="AB239" s="81"/>
      <c r="AC239" s="50"/>
      <c r="AD239" s="51">
        <f t="shared" si="16"/>
        <v>1</v>
      </c>
      <c r="AE239" s="51">
        <f t="shared" si="17"/>
        <v>1</v>
      </c>
    </row>
    <row r="240" spans="1:31" s="49" customFormat="1" ht="12.5">
      <c r="A240" s="29" t="s">
        <v>2698</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48"/>
      <c r="Y240" s="50"/>
      <c r="Z240" s="50"/>
      <c r="AA240" s="48"/>
      <c r="AB240" s="81"/>
      <c r="AC240" s="50"/>
      <c r="AD240" s="51">
        <f t="shared" si="16"/>
        <v>1</v>
      </c>
      <c r="AE240" s="51">
        <f t="shared" si="17"/>
        <v>0.96666666666666667</v>
      </c>
    </row>
    <row r="241" spans="1:31" s="49" customFormat="1" ht="12.5">
      <c r="A241" s="29" t="s">
        <v>2699</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48"/>
      <c r="Y241" s="50"/>
      <c r="Z241" s="50"/>
      <c r="AA241" s="48"/>
      <c r="AB241" s="81"/>
      <c r="AC241" s="50"/>
      <c r="AD241" s="51">
        <f t="shared" si="16"/>
        <v>1</v>
      </c>
      <c r="AE241" s="51">
        <f t="shared" si="17"/>
        <v>1</v>
      </c>
    </row>
    <row r="242" spans="1:31" s="49" customFormat="1" ht="12.5">
      <c r="A242" s="29" t="s">
        <v>2700</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48"/>
      <c r="Y242" s="50"/>
      <c r="Z242" s="50"/>
      <c r="AA242" s="48"/>
      <c r="AB242" s="81"/>
      <c r="AC242" s="50"/>
      <c r="AD242" s="51">
        <f t="shared" si="16"/>
        <v>1</v>
      </c>
      <c r="AE242" s="51">
        <f t="shared" si="17"/>
        <v>0.9363636363636364</v>
      </c>
    </row>
    <row r="243" spans="1:31" s="49" customFormat="1" ht="12.5">
      <c r="A243" s="29" t="s">
        <v>2701</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48"/>
      <c r="Y243" s="50"/>
      <c r="Z243" s="50"/>
      <c r="AA243" s="48"/>
      <c r="AB243" s="81"/>
      <c r="AC243" s="50"/>
      <c r="AD243" s="51">
        <f t="shared" si="16"/>
        <v>1</v>
      </c>
      <c r="AE243" s="51">
        <f t="shared" si="17"/>
        <v>1</v>
      </c>
    </row>
    <row r="244" spans="1:31" s="49" customFormat="1" ht="12.5">
      <c r="A244" s="29" t="s">
        <v>2702</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48"/>
      <c r="Y244" s="50"/>
      <c r="Z244" s="50"/>
      <c r="AA244" s="48"/>
      <c r="AB244" s="81"/>
      <c r="AC244" s="50"/>
      <c r="AD244" s="51">
        <f t="shared" si="16"/>
        <v>1</v>
      </c>
      <c r="AE244" s="51">
        <f t="shared" si="17"/>
        <v>1</v>
      </c>
    </row>
    <row r="245" spans="1:31" s="49" customFormat="1" ht="12.5">
      <c r="A245" s="29" t="s">
        <v>2703</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48"/>
      <c r="Y245" s="50"/>
      <c r="Z245" s="50"/>
      <c r="AA245" s="48"/>
      <c r="AB245" s="81"/>
      <c r="AC245" s="50"/>
      <c r="AD245" s="51">
        <f t="shared" ref="AD245:AD276" si="18">IF(A245="","",IFERROR(L245/K245,0))</f>
        <v>1</v>
      </c>
      <c r="AE245" s="51">
        <f t="shared" ref="AE245:AE276" si="19">IF(A245="","",IFERROR(M245/L245,0))</f>
        <v>1</v>
      </c>
    </row>
    <row r="246" spans="1:31" s="49" customFormat="1" ht="12.5">
      <c r="A246" s="29" t="s">
        <v>2704</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48"/>
      <c r="Y246" s="50"/>
      <c r="Z246" s="50"/>
      <c r="AA246" s="48"/>
      <c r="AB246" s="81"/>
      <c r="AC246" s="50"/>
      <c r="AD246" s="51">
        <f t="shared" si="18"/>
        <v>1</v>
      </c>
      <c r="AE246" s="51">
        <f t="shared" si="19"/>
        <v>1</v>
      </c>
    </row>
    <row r="247" spans="1:31" s="49" customFormat="1" ht="12.5">
      <c r="A247" s="29" t="s">
        <v>2705</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48"/>
      <c r="Y247" s="50"/>
      <c r="Z247" s="50"/>
      <c r="AA247" s="48"/>
      <c r="AB247" s="81"/>
      <c r="AC247" s="50"/>
      <c r="AD247" s="51">
        <f t="shared" si="18"/>
        <v>0.61904761904761907</v>
      </c>
      <c r="AE247" s="51">
        <f t="shared" si="19"/>
        <v>1</v>
      </c>
    </row>
    <row r="248" spans="1:31" s="49" customFormat="1" ht="12.5">
      <c r="A248" s="29" t="s">
        <v>2706</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48"/>
      <c r="Y248" s="50"/>
      <c r="Z248" s="50"/>
      <c r="AA248" s="48"/>
      <c r="AB248" s="81"/>
      <c r="AC248" s="50"/>
      <c r="AD248" s="51">
        <f t="shared" si="18"/>
        <v>0.71844660194174759</v>
      </c>
      <c r="AE248" s="51">
        <f t="shared" si="19"/>
        <v>1</v>
      </c>
    </row>
    <row r="249" spans="1:31" s="49" customFormat="1" ht="12.5">
      <c r="A249" s="29" t="s">
        <v>2707</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48"/>
      <c r="Y249" s="50"/>
      <c r="Z249" s="50"/>
      <c r="AA249" s="48"/>
      <c r="AB249" s="81"/>
      <c r="AC249" s="50"/>
      <c r="AD249" s="51">
        <f t="shared" si="18"/>
        <v>8.6956521739130432E-2</v>
      </c>
      <c r="AE249" s="51">
        <f t="shared" si="19"/>
        <v>0</v>
      </c>
    </row>
    <row r="250" spans="1:31" s="49" customFormat="1" ht="12.5">
      <c r="A250" s="29" t="s">
        <v>2708</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48"/>
      <c r="Y250" s="50"/>
      <c r="Z250" s="50"/>
      <c r="AA250" s="48"/>
      <c r="AB250" s="81"/>
      <c r="AC250" s="50"/>
      <c r="AD250" s="51">
        <f t="shared" si="18"/>
        <v>0.63975155279503104</v>
      </c>
      <c r="AE250" s="51">
        <f t="shared" si="19"/>
        <v>1</v>
      </c>
    </row>
    <row r="251" spans="1:31" s="49" customFormat="1" ht="12.5">
      <c r="A251" s="29" t="s">
        <v>2709</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48"/>
      <c r="Y251" s="50"/>
      <c r="Z251" s="50"/>
      <c r="AA251" s="48"/>
      <c r="AB251" s="81"/>
      <c r="AC251" s="50"/>
      <c r="AD251" s="51">
        <f t="shared" si="18"/>
        <v>1</v>
      </c>
      <c r="AE251" s="51">
        <f t="shared" si="19"/>
        <v>1</v>
      </c>
    </row>
    <row r="252" spans="1:31" s="49" customFormat="1" ht="12.5">
      <c r="A252" s="29" t="s">
        <v>2710</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48"/>
      <c r="Y252" s="50"/>
      <c r="Z252" s="50"/>
      <c r="AA252" s="48"/>
      <c r="AB252" s="81"/>
      <c r="AC252" s="50"/>
      <c r="AD252" s="51">
        <f t="shared" si="18"/>
        <v>1</v>
      </c>
      <c r="AE252" s="51">
        <f t="shared" si="19"/>
        <v>0.4</v>
      </c>
    </row>
    <row r="253" spans="1:31" s="49" customFormat="1" ht="12.5">
      <c r="A253" s="29" t="s">
        <v>2711</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48"/>
      <c r="Y253" s="50"/>
      <c r="Z253" s="50"/>
      <c r="AA253" s="48"/>
      <c r="AB253" s="81"/>
      <c r="AC253" s="50"/>
      <c r="AD253" s="51">
        <f t="shared" si="18"/>
        <v>1</v>
      </c>
      <c r="AE253" s="51">
        <f t="shared" si="19"/>
        <v>0.2</v>
      </c>
    </row>
    <row r="254" spans="1:31" s="49" customFormat="1" ht="12.5">
      <c r="A254" s="29" t="s">
        <v>2712</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48"/>
      <c r="Y254" s="50"/>
      <c r="Z254" s="50"/>
      <c r="AA254" s="48"/>
      <c r="AB254" s="81"/>
      <c r="AC254" s="50"/>
      <c r="AD254" s="51">
        <f t="shared" si="18"/>
        <v>0.57407407407407407</v>
      </c>
      <c r="AE254" s="51">
        <f t="shared" si="19"/>
        <v>0.4838709677419355</v>
      </c>
    </row>
    <row r="255" spans="1:31" s="49" customFormat="1" ht="12.5">
      <c r="A255" s="29" t="s">
        <v>2713</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48"/>
      <c r="Y255" s="50"/>
      <c r="Z255" s="50"/>
      <c r="AA255" s="48"/>
      <c r="AB255" s="81"/>
      <c r="AC255" s="50"/>
      <c r="AD255" s="51">
        <f t="shared" si="18"/>
        <v>1</v>
      </c>
      <c r="AE255" s="51">
        <f t="shared" si="19"/>
        <v>1</v>
      </c>
    </row>
    <row r="256" spans="1:31" s="49" customFormat="1" ht="12.5">
      <c r="A256" s="29" t="s">
        <v>2714</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48"/>
      <c r="Y256" s="50"/>
      <c r="Z256" s="50"/>
      <c r="AA256" s="48"/>
      <c r="AB256" s="81"/>
      <c r="AC256" s="50"/>
      <c r="AD256" s="51">
        <f t="shared" si="18"/>
        <v>0.88095238095238093</v>
      </c>
      <c r="AE256" s="51">
        <f t="shared" si="19"/>
        <v>1</v>
      </c>
    </row>
    <row r="257" spans="1:31" s="49" customFormat="1" ht="12.5">
      <c r="A257" s="29" t="s">
        <v>2715</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48"/>
      <c r="Y257" s="50"/>
      <c r="Z257" s="50"/>
      <c r="AA257" s="48"/>
      <c r="AB257" s="81"/>
      <c r="AC257" s="50"/>
      <c r="AD257" s="51">
        <f t="shared" si="18"/>
        <v>1</v>
      </c>
      <c r="AE257" s="51">
        <f t="shared" si="19"/>
        <v>1</v>
      </c>
    </row>
    <row r="258" spans="1:31" s="49" customFormat="1" ht="12.5">
      <c r="A258" s="29" t="s">
        <v>2716</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48"/>
      <c r="Y258" s="50"/>
      <c r="Z258" s="50"/>
      <c r="AA258" s="48"/>
      <c r="AB258" s="81"/>
      <c r="AC258" s="50"/>
      <c r="AD258" s="51">
        <f t="shared" si="18"/>
        <v>0.55000000000000004</v>
      </c>
      <c r="AE258" s="51">
        <f t="shared" si="19"/>
        <v>1</v>
      </c>
    </row>
    <row r="259" spans="1:31" s="49" customFormat="1" ht="12.5">
      <c r="A259" s="29" t="s">
        <v>2717</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48"/>
      <c r="Y259" s="50"/>
      <c r="Z259" s="50"/>
      <c r="AA259" s="48"/>
      <c r="AB259" s="81"/>
      <c r="AC259" s="50"/>
      <c r="AD259" s="51">
        <f t="shared" si="18"/>
        <v>0.85915492957746475</v>
      </c>
      <c r="AE259" s="51">
        <f t="shared" si="19"/>
        <v>0.96721311475409832</v>
      </c>
    </row>
    <row r="260" spans="1:31" s="49" customFormat="1" ht="12.5">
      <c r="A260" s="29" t="s">
        <v>2718</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48"/>
      <c r="Y260" s="50"/>
      <c r="Z260" s="50"/>
      <c r="AA260" s="48"/>
      <c r="AB260" s="81"/>
      <c r="AC260" s="50"/>
      <c r="AD260" s="51">
        <f t="shared" si="18"/>
        <v>1</v>
      </c>
      <c r="AE260" s="51">
        <f t="shared" si="19"/>
        <v>1</v>
      </c>
    </row>
    <row r="261" spans="1:31" s="49" customFormat="1" ht="12.5">
      <c r="A261" s="29" t="s">
        <v>2719</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48"/>
      <c r="Y261" s="50"/>
      <c r="Z261" s="50"/>
      <c r="AA261" s="48"/>
      <c r="AB261" s="81"/>
      <c r="AC261" s="50"/>
      <c r="AD261" s="51">
        <f t="shared" si="18"/>
        <v>1</v>
      </c>
      <c r="AE261" s="51">
        <f t="shared" si="19"/>
        <v>1</v>
      </c>
    </row>
    <row r="262" spans="1:31" s="49" customFormat="1" ht="12.5">
      <c r="A262" s="29" t="s">
        <v>2720</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48"/>
      <c r="Y262" s="50"/>
      <c r="Z262" s="50"/>
      <c r="AA262" s="48"/>
      <c r="AB262" s="81"/>
      <c r="AC262" s="50"/>
      <c r="AD262" s="51">
        <f t="shared" si="18"/>
        <v>0.46511627906976744</v>
      </c>
      <c r="AE262" s="51">
        <f t="shared" si="19"/>
        <v>1</v>
      </c>
    </row>
    <row r="263" spans="1:31" s="49" customFormat="1" ht="12.5">
      <c r="A263" s="29" t="s">
        <v>2721</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48"/>
      <c r="Y263" s="50"/>
      <c r="Z263" s="50"/>
      <c r="AA263" s="48"/>
      <c r="AB263" s="81"/>
      <c r="AC263" s="50"/>
      <c r="AD263" s="51">
        <f t="shared" si="18"/>
        <v>1</v>
      </c>
      <c r="AE263" s="51">
        <f t="shared" si="19"/>
        <v>1</v>
      </c>
    </row>
    <row r="264" spans="1:31" s="49" customFormat="1" ht="12.5">
      <c r="A264" s="29" t="s">
        <v>2722</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48"/>
      <c r="Y264" s="50"/>
      <c r="Z264" s="50"/>
      <c r="AA264" s="48"/>
      <c r="AB264" s="81"/>
      <c r="AC264" s="50"/>
      <c r="AD264" s="51">
        <f t="shared" si="18"/>
        <v>0.6</v>
      </c>
      <c r="AE264" s="51">
        <f t="shared" si="19"/>
        <v>1</v>
      </c>
    </row>
    <row r="265" spans="1:31" s="49" customFormat="1" ht="12.5">
      <c r="A265" s="29" t="s">
        <v>2723</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48"/>
      <c r="Y265" s="50"/>
      <c r="Z265" s="50"/>
      <c r="AA265" s="48"/>
      <c r="AB265" s="81"/>
      <c r="AC265" s="50"/>
      <c r="AD265" s="51">
        <f t="shared" si="18"/>
        <v>1</v>
      </c>
      <c r="AE265" s="51">
        <f t="shared" si="19"/>
        <v>1</v>
      </c>
    </row>
    <row r="266" spans="1:31" s="49" customFormat="1" ht="12.5">
      <c r="A266" s="29" t="s">
        <v>2724</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48"/>
      <c r="Y266" s="50"/>
      <c r="Z266" s="50"/>
      <c r="AA266" s="48"/>
      <c r="AB266" s="81"/>
      <c r="AC266" s="50"/>
      <c r="AD266" s="51">
        <f t="shared" si="18"/>
        <v>0.10638297872340426</v>
      </c>
      <c r="AE266" s="51">
        <f t="shared" si="19"/>
        <v>0</v>
      </c>
    </row>
    <row r="267" spans="1:31" s="49" customFormat="1" ht="12.5">
      <c r="A267" s="29" t="s">
        <v>2725</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48"/>
      <c r="Y267" s="50"/>
      <c r="Z267" s="50"/>
      <c r="AA267" s="48"/>
      <c r="AB267" s="81"/>
      <c r="AC267" s="50"/>
      <c r="AD267" s="51">
        <f t="shared" si="18"/>
        <v>1</v>
      </c>
      <c r="AE267" s="51">
        <f t="shared" si="19"/>
        <v>1</v>
      </c>
    </row>
    <row r="268" spans="1:31" s="49" customFormat="1" ht="12.5">
      <c r="A268" s="29" t="s">
        <v>2726</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48"/>
      <c r="Y268" s="50"/>
      <c r="Z268" s="50"/>
      <c r="AA268" s="48"/>
      <c r="AB268" s="81"/>
      <c r="AC268" s="50"/>
      <c r="AD268" s="51">
        <f t="shared" si="18"/>
        <v>1</v>
      </c>
      <c r="AE268" s="51">
        <f t="shared" si="19"/>
        <v>1</v>
      </c>
    </row>
    <row r="269" spans="1:31" s="49" customFormat="1" ht="12.5">
      <c r="A269" s="29" t="s">
        <v>2727</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48"/>
      <c r="Y269" s="50"/>
      <c r="Z269" s="50"/>
      <c r="AA269" s="48"/>
      <c r="AB269" s="81"/>
      <c r="AC269" s="50"/>
      <c r="AD269" s="51">
        <f t="shared" si="18"/>
        <v>1</v>
      </c>
      <c r="AE269" s="51">
        <f t="shared" si="19"/>
        <v>1</v>
      </c>
    </row>
    <row r="270" spans="1:31" s="49" customFormat="1" ht="12.5">
      <c r="A270" s="29" t="s">
        <v>2728</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48"/>
      <c r="Y270" s="50"/>
      <c r="Z270" s="50"/>
      <c r="AA270" s="48"/>
      <c r="AB270" s="81"/>
      <c r="AC270" s="50"/>
      <c r="AD270" s="51">
        <f t="shared" si="18"/>
        <v>0.97777777777777775</v>
      </c>
      <c r="AE270" s="51">
        <f t="shared" si="19"/>
        <v>0.98863636363636365</v>
      </c>
    </row>
    <row r="271" spans="1:31" s="49" customFormat="1" ht="12.5">
      <c r="A271" s="29" t="s">
        <v>2729</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48"/>
      <c r="Y271" s="50"/>
      <c r="Z271" s="50"/>
      <c r="AA271" s="48"/>
      <c r="AB271" s="81"/>
      <c r="AC271" s="50"/>
      <c r="AD271" s="51">
        <f t="shared" si="18"/>
        <v>0.98058252427184467</v>
      </c>
      <c r="AE271" s="51">
        <f t="shared" si="19"/>
        <v>0.98019801980198018</v>
      </c>
    </row>
    <row r="272" spans="1:31" s="49" customFormat="1" ht="12.5">
      <c r="A272" s="29" t="s">
        <v>2730</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48"/>
      <c r="Y272" s="50"/>
      <c r="Z272" s="50"/>
      <c r="AA272" s="48"/>
      <c r="AB272" s="81"/>
      <c r="AC272" s="50"/>
      <c r="AD272" s="51">
        <f t="shared" si="18"/>
        <v>1</v>
      </c>
      <c r="AE272" s="51">
        <f t="shared" si="19"/>
        <v>1</v>
      </c>
    </row>
    <row r="273" spans="1:31" s="49" customFormat="1" ht="12.5">
      <c r="A273" s="29" t="s">
        <v>2731</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48"/>
      <c r="Y273" s="50"/>
      <c r="Z273" s="50"/>
      <c r="AA273" s="48"/>
      <c r="AB273" s="81"/>
      <c r="AC273" s="50"/>
      <c r="AD273" s="51">
        <f t="shared" si="18"/>
        <v>1</v>
      </c>
      <c r="AE273" s="51">
        <f t="shared" si="19"/>
        <v>1</v>
      </c>
    </row>
    <row r="274" spans="1:31" s="49" customFormat="1" ht="12.5">
      <c r="A274" s="29" t="s">
        <v>2732</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7">
        <v>-2.0902560000000001</v>
      </c>
      <c r="W274" s="48">
        <v>106.12343199999999</v>
      </c>
      <c r="X274" s="48"/>
      <c r="Y274" s="50"/>
      <c r="Z274" s="50"/>
      <c r="AA274" s="48"/>
      <c r="AB274" s="81"/>
      <c r="AC274" s="50"/>
      <c r="AD274" s="51">
        <f t="shared" si="18"/>
        <v>1</v>
      </c>
      <c r="AE274" s="51">
        <f t="shared" si="19"/>
        <v>1</v>
      </c>
    </row>
    <row r="275" spans="1:31" s="49" customFormat="1" ht="12.5">
      <c r="A275" s="29" t="s">
        <v>2733</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7">
        <v>-2.1461264999999998</v>
      </c>
      <c r="W275" s="48">
        <v>106.16679739999999</v>
      </c>
      <c r="X275" s="48"/>
      <c r="Y275" s="50"/>
      <c r="Z275" s="50"/>
      <c r="AA275" s="48"/>
      <c r="AB275" s="81"/>
      <c r="AC275" s="50"/>
      <c r="AD275" s="51">
        <f t="shared" si="18"/>
        <v>0.93859649122807021</v>
      </c>
      <c r="AE275" s="51">
        <f t="shared" si="19"/>
        <v>0.92523364485981308</v>
      </c>
    </row>
    <row r="276" spans="1:31" s="49" customFormat="1" ht="12.5">
      <c r="A276" s="29" t="s">
        <v>2734</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48"/>
      <c r="Y276" s="50"/>
      <c r="Z276" s="50"/>
      <c r="AA276" s="48"/>
      <c r="AB276" s="81"/>
      <c r="AC276" s="50"/>
      <c r="AD276" s="51">
        <f t="shared" si="18"/>
        <v>0.359375</v>
      </c>
      <c r="AE276" s="51">
        <f t="shared" si="19"/>
        <v>0.21739130434782608</v>
      </c>
    </row>
    <row r="277" spans="1:31" s="49" customFormat="1" ht="12.5">
      <c r="A277" s="29" t="s">
        <v>2735</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48"/>
      <c r="Y277" s="50"/>
      <c r="Z277" s="50"/>
      <c r="AA277" s="48"/>
      <c r="AB277" s="81"/>
      <c r="AC277" s="50"/>
      <c r="AD277" s="51">
        <f t="shared" ref="AD277:AD308" si="20">IF(A277="","",IFERROR(L277/K277,0))</f>
        <v>1</v>
      </c>
      <c r="AE277" s="51">
        <f t="shared" ref="AE277:AE308" si="21">IF(A277="","",IFERROR(M277/L277,0))</f>
        <v>1</v>
      </c>
    </row>
    <row r="278" spans="1:31" s="49" customFormat="1" ht="12.5">
      <c r="A278" s="29" t="s">
        <v>2736</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48"/>
      <c r="Y278" s="50"/>
      <c r="Z278" s="50"/>
      <c r="AA278" s="48"/>
      <c r="AB278" s="81"/>
      <c r="AC278" s="50"/>
      <c r="AD278" s="51">
        <f t="shared" si="20"/>
        <v>1</v>
      </c>
      <c r="AE278" s="51">
        <f t="shared" si="21"/>
        <v>1</v>
      </c>
    </row>
    <row r="279" spans="1:31" s="49" customFormat="1" ht="12.5">
      <c r="A279" s="29" t="s">
        <v>2737</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48"/>
      <c r="Y279" s="50"/>
      <c r="Z279" s="50"/>
      <c r="AA279" s="48"/>
      <c r="AB279" s="81"/>
      <c r="AC279" s="50"/>
      <c r="AD279" s="51">
        <f t="shared" si="20"/>
        <v>0.90909090909090906</v>
      </c>
      <c r="AE279" s="51">
        <f t="shared" si="21"/>
        <v>0.99375000000000002</v>
      </c>
    </row>
    <row r="280" spans="1:31" s="49" customFormat="1" ht="12.5">
      <c r="A280" s="29" t="s">
        <v>2738</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48"/>
      <c r="Y280" s="50"/>
      <c r="Z280" s="50"/>
      <c r="AA280" s="48"/>
      <c r="AB280" s="81"/>
      <c r="AC280" s="50"/>
      <c r="AD280" s="51">
        <f t="shared" si="20"/>
        <v>1</v>
      </c>
      <c r="AE280" s="51">
        <f t="shared" si="21"/>
        <v>1</v>
      </c>
    </row>
    <row r="281" spans="1:31" s="49" customFormat="1" ht="12.5">
      <c r="A281" s="29" t="s">
        <v>2739</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48"/>
      <c r="Y281" s="50"/>
      <c r="Z281" s="50"/>
      <c r="AA281" s="48"/>
      <c r="AB281" s="81"/>
      <c r="AC281" s="50"/>
      <c r="AD281" s="51">
        <f t="shared" si="20"/>
        <v>0.23076923076923078</v>
      </c>
      <c r="AE281" s="51">
        <f t="shared" si="21"/>
        <v>1</v>
      </c>
    </row>
    <row r="282" spans="1:31" s="49" customFormat="1" ht="12.5">
      <c r="A282" s="29" t="s">
        <v>2740</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48"/>
      <c r="Y282" s="50"/>
      <c r="Z282" s="50"/>
      <c r="AA282" s="48"/>
      <c r="AB282" s="81"/>
      <c r="AC282" s="50"/>
      <c r="AD282" s="51">
        <f t="shared" si="20"/>
        <v>1</v>
      </c>
      <c r="AE282" s="51">
        <f t="shared" si="21"/>
        <v>0.76086956521739135</v>
      </c>
    </row>
    <row r="283" spans="1:31" s="49" customFormat="1" ht="12.5">
      <c r="A283" s="29" t="s">
        <v>2741</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48"/>
      <c r="Y283" s="50"/>
      <c r="Z283" s="50"/>
      <c r="AA283" s="48"/>
      <c r="AB283" s="81"/>
      <c r="AC283" s="50"/>
      <c r="AD283" s="51">
        <f t="shared" si="20"/>
        <v>1</v>
      </c>
      <c r="AE283" s="51">
        <f t="shared" si="21"/>
        <v>1</v>
      </c>
    </row>
    <row r="284" spans="1:31" s="49" customFormat="1" ht="12.5">
      <c r="A284" s="29" t="s">
        <v>2742</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48"/>
      <c r="Y284" s="50"/>
      <c r="Z284" s="50"/>
      <c r="AA284" s="48"/>
      <c r="AB284" s="81"/>
      <c r="AC284" s="50"/>
      <c r="AD284" s="51">
        <f t="shared" si="20"/>
        <v>0</v>
      </c>
      <c r="AE284" s="51">
        <f t="shared" si="21"/>
        <v>0</v>
      </c>
    </row>
    <row r="285" spans="1:31" s="49" customFormat="1" ht="12.5">
      <c r="A285" s="29" t="s">
        <v>2743</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48"/>
      <c r="Y285" s="50"/>
      <c r="Z285" s="50"/>
      <c r="AA285" s="48"/>
      <c r="AB285" s="81"/>
      <c r="AC285" s="50"/>
      <c r="AD285" s="51">
        <f t="shared" si="20"/>
        <v>1</v>
      </c>
      <c r="AE285" s="51">
        <f t="shared" si="21"/>
        <v>0.375</v>
      </c>
    </row>
    <row r="286" spans="1:31" s="49" customFormat="1" ht="12.5">
      <c r="A286" s="29" t="s">
        <v>2744</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48"/>
      <c r="Y286" s="50"/>
      <c r="Z286" s="50"/>
      <c r="AA286" s="48"/>
      <c r="AB286" s="81"/>
      <c r="AC286" s="50"/>
      <c r="AD286" s="51">
        <f t="shared" si="20"/>
        <v>0.96</v>
      </c>
      <c r="AE286" s="51">
        <f t="shared" si="21"/>
        <v>1</v>
      </c>
    </row>
    <row r="287" spans="1:31" s="49" customFormat="1" ht="12.5">
      <c r="A287" s="29" t="s">
        <v>2745</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48"/>
      <c r="Y287" s="50"/>
      <c r="Z287" s="50"/>
      <c r="AA287" s="48"/>
      <c r="AB287" s="81"/>
      <c r="AC287" s="50"/>
      <c r="AD287" s="51">
        <f t="shared" si="20"/>
        <v>1</v>
      </c>
      <c r="AE287" s="51">
        <f t="shared" si="21"/>
        <v>1</v>
      </c>
    </row>
    <row r="288" spans="1:31" s="49" customFormat="1" ht="12.5">
      <c r="A288" s="29" t="s">
        <v>2746</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48"/>
      <c r="Y288" s="50"/>
      <c r="Z288" s="50"/>
      <c r="AA288" s="48"/>
      <c r="AB288" s="81"/>
      <c r="AC288" s="50"/>
      <c r="AD288" s="51">
        <f t="shared" si="20"/>
        <v>0.91935483870967738</v>
      </c>
      <c r="AE288" s="51">
        <f t="shared" si="21"/>
        <v>1</v>
      </c>
    </row>
    <row r="289" spans="1:31" s="49" customFormat="1" ht="12.5">
      <c r="A289" s="29" t="s">
        <v>2747</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48"/>
      <c r="Y289" s="50"/>
      <c r="Z289" s="50"/>
      <c r="AA289" s="48"/>
      <c r="AB289" s="81"/>
      <c r="AC289" s="50"/>
      <c r="AD289" s="51">
        <f t="shared" si="20"/>
        <v>0</v>
      </c>
      <c r="AE289" s="51">
        <f t="shared" si="21"/>
        <v>0</v>
      </c>
    </row>
    <row r="290" spans="1:31" s="49" customFormat="1" ht="12.5">
      <c r="A290" s="29" t="s">
        <v>2748</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48"/>
      <c r="Y290" s="50"/>
      <c r="Z290" s="50"/>
      <c r="AA290" s="48"/>
      <c r="AB290" s="81"/>
      <c r="AC290" s="50"/>
      <c r="AD290" s="51">
        <f t="shared" si="20"/>
        <v>0.27777777777777779</v>
      </c>
      <c r="AE290" s="51">
        <f t="shared" si="21"/>
        <v>0.3</v>
      </c>
    </row>
    <row r="291" spans="1:31" s="49" customFormat="1" ht="12.5">
      <c r="A291" s="29" t="s">
        <v>2749</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48"/>
      <c r="Y291" s="50"/>
      <c r="Z291" s="50"/>
      <c r="AA291" s="48"/>
      <c r="AB291" s="81"/>
      <c r="AC291" s="50"/>
      <c r="AD291" s="51">
        <f t="shared" si="20"/>
        <v>0.45098039215686275</v>
      </c>
      <c r="AE291" s="51">
        <f t="shared" si="21"/>
        <v>0.65217391304347827</v>
      </c>
    </row>
    <row r="292" spans="1:31" s="49" customFormat="1" ht="12.5">
      <c r="A292" s="29" t="s">
        <v>2750</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48"/>
      <c r="Y292" s="50"/>
      <c r="Z292" s="50"/>
      <c r="AA292" s="48"/>
      <c r="AB292" s="81"/>
      <c r="AC292" s="50"/>
      <c r="AD292" s="51">
        <f t="shared" si="20"/>
        <v>0.21428571428571427</v>
      </c>
      <c r="AE292" s="51">
        <f t="shared" si="21"/>
        <v>0.66666666666666663</v>
      </c>
    </row>
    <row r="293" spans="1:31" s="49" customFormat="1" ht="12.5">
      <c r="A293" s="29" t="s">
        <v>2751</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48"/>
      <c r="Y293" s="50"/>
      <c r="Z293" s="50"/>
      <c r="AA293" s="48"/>
      <c r="AB293" s="81"/>
      <c r="AC293" s="50"/>
      <c r="AD293" s="51">
        <f t="shared" si="20"/>
        <v>1</v>
      </c>
      <c r="AE293" s="51">
        <f t="shared" si="21"/>
        <v>1</v>
      </c>
    </row>
    <row r="294" spans="1:31" s="49" customFormat="1" ht="12.5">
      <c r="A294" s="29" t="s">
        <v>2752</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48"/>
      <c r="Y294" s="50"/>
      <c r="Z294" s="50"/>
      <c r="AA294" s="48"/>
      <c r="AB294" s="81"/>
      <c r="AC294" s="50"/>
      <c r="AD294" s="51">
        <f t="shared" si="20"/>
        <v>1</v>
      </c>
      <c r="AE294" s="51">
        <f t="shared" si="21"/>
        <v>1</v>
      </c>
    </row>
    <row r="295" spans="1:31" s="49" customFormat="1" ht="12.5">
      <c r="A295" s="29" t="s">
        <v>2753</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48"/>
      <c r="Y295" s="50"/>
      <c r="Z295" s="50"/>
      <c r="AA295" s="48"/>
      <c r="AB295" s="81"/>
      <c r="AC295" s="50"/>
      <c r="AD295" s="51">
        <f t="shared" si="20"/>
        <v>1</v>
      </c>
      <c r="AE295" s="51">
        <f t="shared" si="21"/>
        <v>1</v>
      </c>
    </row>
    <row r="296" spans="1:31" s="49" customFormat="1" ht="12.5">
      <c r="A296" s="29" t="s">
        <v>2754</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7">
        <v>-2.0969530000000001</v>
      </c>
      <c r="W296" s="48">
        <v>106.087341</v>
      </c>
      <c r="X296" s="48"/>
      <c r="Y296" s="50"/>
      <c r="Z296" s="50"/>
      <c r="AA296" s="48"/>
      <c r="AB296" s="81"/>
      <c r="AC296" s="50"/>
      <c r="AD296" s="51">
        <f t="shared" si="20"/>
        <v>0.76744186046511631</v>
      </c>
      <c r="AE296" s="51">
        <f t="shared" si="21"/>
        <v>1</v>
      </c>
    </row>
    <row r="297" spans="1:31" s="49" customFormat="1" ht="12.5">
      <c r="A297" s="29" t="s">
        <v>2755</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48"/>
      <c r="Y297" s="50"/>
      <c r="Z297" s="50"/>
      <c r="AA297" s="48"/>
      <c r="AB297" s="81"/>
      <c r="AC297" s="50"/>
      <c r="AD297" s="51">
        <f t="shared" si="20"/>
        <v>1</v>
      </c>
      <c r="AE297" s="51">
        <f t="shared" si="21"/>
        <v>0.93333333333333335</v>
      </c>
    </row>
    <row r="298" spans="1:31" s="49" customFormat="1" ht="12.5">
      <c r="A298" s="29" t="s">
        <v>2756</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48"/>
      <c r="Y298" s="50"/>
      <c r="Z298" s="50"/>
      <c r="AA298" s="48"/>
      <c r="AB298" s="81"/>
      <c r="AC298" s="50"/>
      <c r="AD298" s="51">
        <f t="shared" si="20"/>
        <v>1</v>
      </c>
      <c r="AE298" s="51">
        <f t="shared" si="21"/>
        <v>1</v>
      </c>
    </row>
    <row r="299" spans="1:31" s="49" customFormat="1" ht="12.5">
      <c r="A299" s="29" t="s">
        <v>2757</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48"/>
      <c r="Y299" s="50"/>
      <c r="Z299" s="50"/>
      <c r="AA299" s="48"/>
      <c r="AB299" s="81"/>
      <c r="AC299" s="50"/>
      <c r="AD299" s="51">
        <f t="shared" si="20"/>
        <v>0.97058823529411764</v>
      </c>
      <c r="AE299" s="51">
        <f t="shared" si="21"/>
        <v>0.96969696969696972</v>
      </c>
    </row>
    <row r="300" spans="1:31" s="49" customFormat="1" ht="12.5">
      <c r="A300" s="29" t="s">
        <v>2758</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48"/>
      <c r="Y300" s="50"/>
      <c r="Z300" s="50"/>
      <c r="AA300" s="48"/>
      <c r="AB300" s="81"/>
      <c r="AC300" s="50"/>
      <c r="AD300" s="51">
        <f t="shared" si="20"/>
        <v>1</v>
      </c>
      <c r="AE300" s="51">
        <f t="shared" si="21"/>
        <v>0.84</v>
      </c>
    </row>
    <row r="301" spans="1:31" s="49" customFormat="1" ht="12.5">
      <c r="A301" s="29" t="s">
        <v>2759</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48"/>
      <c r="Y301" s="50"/>
      <c r="Z301" s="50"/>
      <c r="AA301" s="48"/>
      <c r="AB301" s="81"/>
      <c r="AC301" s="50"/>
      <c r="AD301" s="51">
        <f t="shared" si="20"/>
        <v>1</v>
      </c>
      <c r="AE301" s="51">
        <f t="shared" si="21"/>
        <v>0.92307692307692313</v>
      </c>
    </row>
    <row r="302" spans="1:31" s="49" customFormat="1" ht="12.5">
      <c r="A302" s="29" t="s">
        <v>2760</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48"/>
      <c r="Y302" s="50"/>
      <c r="Z302" s="50"/>
      <c r="AA302" s="48"/>
      <c r="AB302" s="81"/>
      <c r="AC302" s="50"/>
      <c r="AD302" s="51">
        <f t="shared" si="20"/>
        <v>1</v>
      </c>
      <c r="AE302" s="51">
        <f t="shared" si="21"/>
        <v>0.98181818181818181</v>
      </c>
    </row>
    <row r="303" spans="1:31" s="49" customFormat="1" ht="12.5">
      <c r="A303" s="29" t="s">
        <v>2761</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48"/>
      <c r="Y303" s="50"/>
      <c r="Z303" s="50"/>
      <c r="AA303" s="48"/>
      <c r="AB303" s="81"/>
      <c r="AC303" s="50"/>
      <c r="AD303" s="51">
        <f t="shared" si="20"/>
        <v>1</v>
      </c>
      <c r="AE303" s="51">
        <f t="shared" si="21"/>
        <v>1</v>
      </c>
    </row>
    <row r="304" spans="1:31" s="49" customFormat="1" ht="12.5">
      <c r="A304" s="29" t="s">
        <v>2762</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48"/>
      <c r="Y304" s="50"/>
      <c r="Z304" s="50"/>
      <c r="AA304" s="48"/>
      <c r="AB304" s="81"/>
      <c r="AC304" s="50"/>
      <c r="AD304" s="51">
        <f t="shared" si="20"/>
        <v>1</v>
      </c>
      <c r="AE304" s="51">
        <f t="shared" si="21"/>
        <v>1</v>
      </c>
    </row>
    <row r="305" spans="1:31" s="49" customFormat="1" ht="12.5">
      <c r="A305" s="29" t="s">
        <v>2763</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48"/>
      <c r="Y305" s="50"/>
      <c r="Z305" s="50"/>
      <c r="AA305" s="48"/>
      <c r="AB305" s="81"/>
      <c r="AC305" s="50"/>
      <c r="AD305" s="51">
        <f t="shared" si="20"/>
        <v>0.89743589743589747</v>
      </c>
      <c r="AE305" s="51">
        <f t="shared" si="21"/>
        <v>0.97142857142857142</v>
      </c>
    </row>
    <row r="306" spans="1:31" s="49" customFormat="1" ht="12.5">
      <c r="A306" s="29" t="s">
        <v>2764</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48"/>
      <c r="Y306" s="50"/>
      <c r="Z306" s="50"/>
      <c r="AA306" s="48"/>
      <c r="AB306" s="81"/>
      <c r="AC306" s="50"/>
      <c r="AD306" s="51">
        <f t="shared" si="20"/>
        <v>1</v>
      </c>
      <c r="AE306" s="51">
        <f t="shared" si="21"/>
        <v>1</v>
      </c>
    </row>
    <row r="307" spans="1:31" s="49" customFormat="1" ht="12.5">
      <c r="A307" s="29" t="s">
        <v>2765</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48"/>
      <c r="Y307" s="50"/>
      <c r="Z307" s="50"/>
      <c r="AA307" s="48"/>
      <c r="AB307" s="81"/>
      <c r="AC307" s="50"/>
      <c r="AD307" s="51">
        <f t="shared" si="20"/>
        <v>1</v>
      </c>
      <c r="AE307" s="51">
        <f t="shared" si="21"/>
        <v>0.79487179487179482</v>
      </c>
    </row>
    <row r="308" spans="1:31" s="49" customFormat="1" ht="12.5">
      <c r="A308" s="29" t="s">
        <v>2766</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48"/>
      <c r="Y308" s="50"/>
      <c r="Z308" s="50"/>
      <c r="AA308" s="48"/>
      <c r="AB308" s="81"/>
      <c r="AC308" s="50"/>
      <c r="AD308" s="51">
        <f t="shared" si="20"/>
        <v>0.92307692307692313</v>
      </c>
      <c r="AE308" s="51">
        <f t="shared" si="21"/>
        <v>1</v>
      </c>
    </row>
    <row r="309" spans="1:31" s="49" customFormat="1" ht="12.5">
      <c r="A309" s="29" t="s">
        <v>2767</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48"/>
      <c r="Y309" s="50"/>
      <c r="Z309" s="50"/>
      <c r="AA309" s="48"/>
      <c r="AB309" s="81"/>
      <c r="AC309" s="50"/>
      <c r="AD309" s="51">
        <f t="shared" ref="AD309:AD340" si="22">IF(A309="","",IFERROR(L309/K309,0))</f>
        <v>1</v>
      </c>
      <c r="AE309" s="51">
        <f t="shared" ref="AE309:AE340" si="23">IF(A309="","",IFERROR(M309/L309,0))</f>
        <v>1</v>
      </c>
    </row>
    <row r="310" spans="1:31" s="49" customFormat="1" ht="12.5">
      <c r="A310" s="29" t="s">
        <v>2768</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48"/>
      <c r="Y310" s="50"/>
      <c r="Z310" s="50"/>
      <c r="AA310" s="48"/>
      <c r="AB310" s="81"/>
      <c r="AC310" s="50"/>
      <c r="AD310" s="51">
        <f t="shared" si="22"/>
        <v>1</v>
      </c>
      <c r="AE310" s="51">
        <f t="shared" si="23"/>
        <v>0</v>
      </c>
    </row>
    <row r="311" spans="1:31" s="49" customFormat="1" ht="12.5">
      <c r="A311" s="29" t="s">
        <v>2769</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48"/>
      <c r="Y311" s="50"/>
      <c r="Z311" s="50"/>
      <c r="AA311" s="48"/>
      <c r="AB311" s="81"/>
      <c r="AC311" s="50"/>
      <c r="AD311" s="51">
        <f t="shared" si="22"/>
        <v>0.91666666666666663</v>
      </c>
      <c r="AE311" s="51">
        <f t="shared" si="23"/>
        <v>1</v>
      </c>
    </row>
    <row r="312" spans="1:31" s="49" customFormat="1" ht="12.5">
      <c r="A312" s="29" t="s">
        <v>2770</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48"/>
      <c r="Y312" s="50"/>
      <c r="Z312" s="50"/>
      <c r="AA312" s="48"/>
      <c r="AB312" s="81"/>
      <c r="AC312" s="50"/>
      <c r="AD312" s="51">
        <f t="shared" si="22"/>
        <v>0.82857142857142863</v>
      </c>
      <c r="AE312" s="51">
        <f t="shared" si="23"/>
        <v>0.72413793103448276</v>
      </c>
    </row>
    <row r="313" spans="1:31" s="49" customFormat="1" ht="12.5">
      <c r="A313" s="29" t="s">
        <v>2771</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48"/>
      <c r="Y313" s="50"/>
      <c r="Z313" s="50"/>
      <c r="AA313" s="48"/>
      <c r="AB313" s="81"/>
      <c r="AC313" s="50"/>
      <c r="AD313" s="51">
        <f t="shared" si="22"/>
        <v>0</v>
      </c>
      <c r="AE313" s="51">
        <f t="shared" si="23"/>
        <v>0</v>
      </c>
    </row>
    <row r="314" spans="1:31" s="49" customFormat="1" ht="12.5">
      <c r="A314" s="29" t="s">
        <v>2772</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48"/>
      <c r="Y314" s="50"/>
      <c r="Z314" s="50"/>
      <c r="AA314" s="48"/>
      <c r="AB314" s="81"/>
      <c r="AC314" s="50"/>
      <c r="AD314" s="51">
        <f t="shared" si="22"/>
        <v>1</v>
      </c>
      <c r="AE314" s="51">
        <f t="shared" si="23"/>
        <v>1</v>
      </c>
    </row>
    <row r="315" spans="1:31" s="49" customFormat="1" ht="12.5">
      <c r="A315" s="29" t="s">
        <v>2773</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48"/>
      <c r="Y315" s="50"/>
      <c r="Z315" s="50"/>
      <c r="AA315" s="48"/>
      <c r="AB315" s="81"/>
      <c r="AC315" s="50"/>
      <c r="AD315" s="51">
        <f t="shared" si="22"/>
        <v>0.93975903614457834</v>
      </c>
      <c r="AE315" s="51">
        <f t="shared" si="23"/>
        <v>1</v>
      </c>
    </row>
    <row r="316" spans="1:31" s="49" customFormat="1" ht="12.5">
      <c r="A316" s="29" t="s">
        <v>2774</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48"/>
      <c r="Y316" s="50"/>
      <c r="Z316" s="50"/>
      <c r="AA316" s="48"/>
      <c r="AB316" s="81"/>
      <c r="AC316" s="50"/>
      <c r="AD316" s="51">
        <f t="shared" si="22"/>
        <v>0</v>
      </c>
      <c r="AE316" s="51">
        <f t="shared" si="23"/>
        <v>0</v>
      </c>
    </row>
    <row r="317" spans="1:31" s="49" customFormat="1" ht="12.5">
      <c r="A317" s="29" t="s">
        <v>2775</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48"/>
      <c r="Y317" s="50"/>
      <c r="Z317" s="50"/>
      <c r="AA317" s="48"/>
      <c r="AB317" s="81"/>
      <c r="AC317" s="50"/>
      <c r="AD317" s="51">
        <f t="shared" si="22"/>
        <v>0.57333333333333336</v>
      </c>
      <c r="AE317" s="51">
        <f t="shared" si="23"/>
        <v>1</v>
      </c>
    </row>
    <row r="318" spans="1:31" s="49" customFormat="1" ht="12.5">
      <c r="A318" s="29" t="s">
        <v>2776</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48"/>
      <c r="Y318" s="50"/>
      <c r="Z318" s="50"/>
      <c r="AA318" s="48"/>
      <c r="AB318" s="81"/>
      <c r="AC318" s="50"/>
      <c r="AD318" s="51">
        <f t="shared" si="22"/>
        <v>0.9555555555555556</v>
      </c>
      <c r="AE318" s="51">
        <f t="shared" si="23"/>
        <v>1</v>
      </c>
    </row>
    <row r="319" spans="1:31" s="49" customFormat="1" ht="12.5">
      <c r="A319" s="29" t="s">
        <v>2777</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48"/>
      <c r="Y319" s="50"/>
      <c r="Z319" s="50"/>
      <c r="AA319" s="48"/>
      <c r="AB319" s="81"/>
      <c r="AC319" s="50"/>
      <c r="AD319" s="51">
        <f t="shared" si="22"/>
        <v>0</v>
      </c>
      <c r="AE319" s="51">
        <f t="shared" si="23"/>
        <v>0</v>
      </c>
    </row>
    <row r="320" spans="1:31" s="49" customFormat="1" ht="12.5">
      <c r="A320" s="29" t="s">
        <v>2778</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48"/>
      <c r="Y320" s="50"/>
      <c r="Z320" s="50"/>
      <c r="AA320" s="48"/>
      <c r="AB320" s="81">
        <v>46222</v>
      </c>
      <c r="AC320" s="50"/>
      <c r="AD320" s="51">
        <f t="shared" si="22"/>
        <v>0.54285714285714282</v>
      </c>
      <c r="AE320" s="51">
        <f t="shared" si="23"/>
        <v>0.89473684210526316</v>
      </c>
    </row>
    <row r="321" spans="1:31" s="49" customFormat="1" ht="12.5">
      <c r="A321" s="29" t="s">
        <v>2779</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48"/>
      <c r="Y321" s="50"/>
      <c r="Z321" s="50"/>
      <c r="AA321" s="48"/>
      <c r="AB321" s="81"/>
      <c r="AC321" s="50"/>
      <c r="AD321" s="51">
        <f t="shared" si="22"/>
        <v>0.76315789473684215</v>
      </c>
      <c r="AE321" s="51">
        <f t="shared" si="23"/>
        <v>1</v>
      </c>
    </row>
    <row r="322" spans="1:31" s="49" customFormat="1" ht="12.5">
      <c r="A322" s="29" t="s">
        <v>2780</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48"/>
      <c r="Y322" s="50"/>
      <c r="Z322" s="50"/>
      <c r="AA322" s="48"/>
      <c r="AB322" s="81"/>
      <c r="AC322" s="50"/>
      <c r="AD322" s="51">
        <f t="shared" si="22"/>
        <v>0.98</v>
      </c>
      <c r="AE322" s="51">
        <f t="shared" si="23"/>
        <v>1</v>
      </c>
    </row>
    <row r="323" spans="1:31" s="49" customFormat="1" ht="12.5">
      <c r="A323" s="29" t="s">
        <v>2781</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48"/>
      <c r="Y323" s="50"/>
      <c r="Z323" s="50"/>
      <c r="AA323" s="48"/>
      <c r="AB323" s="81"/>
      <c r="AC323" s="50"/>
      <c r="AD323" s="51">
        <f t="shared" si="22"/>
        <v>1</v>
      </c>
      <c r="AE323" s="51">
        <f t="shared" si="23"/>
        <v>1</v>
      </c>
    </row>
    <row r="324" spans="1:31" s="49" customFormat="1" ht="12.5">
      <c r="A324" s="29" t="s">
        <v>2782</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48"/>
      <c r="Y324" s="50"/>
      <c r="Z324" s="50"/>
      <c r="AA324" s="48"/>
      <c r="AB324" s="81"/>
      <c r="AC324" s="50"/>
      <c r="AD324" s="51">
        <f t="shared" si="22"/>
        <v>1</v>
      </c>
      <c r="AE324" s="51">
        <f t="shared" si="23"/>
        <v>1</v>
      </c>
    </row>
    <row r="325" spans="1:31" s="49" customFormat="1" ht="12.5">
      <c r="A325" s="29" t="s">
        <v>2783</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48"/>
      <c r="Y325" s="50"/>
      <c r="Z325" s="50"/>
      <c r="AA325" s="48"/>
      <c r="AB325" s="81"/>
      <c r="AC325" s="50"/>
      <c r="AD325" s="51">
        <f t="shared" si="22"/>
        <v>0.92079207920792083</v>
      </c>
      <c r="AE325" s="51">
        <f t="shared" si="23"/>
        <v>0.989247311827957</v>
      </c>
    </row>
    <row r="326" spans="1:31" s="49" customFormat="1" ht="12.5">
      <c r="A326" s="29" t="s">
        <v>2784</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48"/>
      <c r="Y326" s="50"/>
      <c r="Z326" s="50"/>
      <c r="AA326" s="48"/>
      <c r="AB326" s="81"/>
      <c r="AC326" s="50"/>
      <c r="AD326" s="51">
        <f t="shared" si="22"/>
        <v>1</v>
      </c>
      <c r="AE326" s="51">
        <f t="shared" si="23"/>
        <v>0.94444444444444442</v>
      </c>
    </row>
    <row r="327" spans="1:31" s="49" customFormat="1" ht="12.5">
      <c r="A327" s="29" t="s">
        <v>2785</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48"/>
      <c r="Y327" s="50"/>
      <c r="Z327" s="50"/>
      <c r="AA327" s="48"/>
      <c r="AB327" s="81"/>
      <c r="AC327" s="50"/>
      <c r="AD327" s="51">
        <f t="shared" si="22"/>
        <v>0.77272727272727271</v>
      </c>
      <c r="AE327" s="51">
        <f t="shared" si="23"/>
        <v>1</v>
      </c>
    </row>
    <row r="328" spans="1:31" s="49" customFormat="1" ht="12.5">
      <c r="A328" s="29" t="s">
        <v>2786</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48"/>
      <c r="Y328" s="50"/>
      <c r="Z328" s="50"/>
      <c r="AA328" s="48"/>
      <c r="AB328" s="81"/>
      <c r="AC328" s="50"/>
      <c r="AD328" s="51">
        <f t="shared" si="22"/>
        <v>0.67989417989417988</v>
      </c>
      <c r="AE328" s="51">
        <f t="shared" si="23"/>
        <v>0.67704280155642027</v>
      </c>
    </row>
    <row r="329" spans="1:31" s="49" customFormat="1" ht="12.5">
      <c r="A329" s="29" t="s">
        <v>2787</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48"/>
      <c r="Y329" s="50"/>
      <c r="Z329" s="50"/>
      <c r="AA329" s="48"/>
      <c r="AB329" s="81"/>
      <c r="AC329" s="50"/>
      <c r="AD329" s="51">
        <f t="shared" si="22"/>
        <v>0.45945945945945948</v>
      </c>
      <c r="AE329" s="51">
        <f t="shared" si="23"/>
        <v>0.80392156862745101</v>
      </c>
    </row>
    <row r="330" spans="1:31" s="49" customFormat="1" ht="12.5">
      <c r="A330" s="29" t="s">
        <v>2788</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48"/>
      <c r="Y330" s="50"/>
      <c r="Z330" s="50"/>
      <c r="AA330" s="48"/>
      <c r="AB330" s="81"/>
      <c r="AC330" s="50"/>
      <c r="AD330" s="51">
        <f t="shared" si="22"/>
        <v>0.35782747603833864</v>
      </c>
      <c r="AE330" s="51">
        <f t="shared" si="23"/>
        <v>0.625</v>
      </c>
    </row>
    <row r="331" spans="1:31" s="49" customFormat="1" ht="12.5">
      <c r="A331" s="29" t="s">
        <v>2789</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48"/>
      <c r="Y331" s="50"/>
      <c r="Z331" s="50"/>
      <c r="AA331" s="48"/>
      <c r="AB331" s="81"/>
      <c r="AC331" s="50"/>
      <c r="AD331" s="51">
        <f t="shared" si="22"/>
        <v>1</v>
      </c>
      <c r="AE331" s="51">
        <f t="shared" si="23"/>
        <v>1</v>
      </c>
    </row>
    <row r="332" spans="1:31" s="49" customFormat="1" ht="12.5">
      <c r="A332" s="29" t="s">
        <v>2790</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48"/>
      <c r="Y332" s="50"/>
      <c r="Z332" s="50"/>
      <c r="AA332" s="48"/>
      <c r="AB332" s="81"/>
      <c r="AC332" s="50"/>
      <c r="AD332" s="51">
        <f t="shared" si="22"/>
        <v>1</v>
      </c>
      <c r="AE332" s="51">
        <f t="shared" si="23"/>
        <v>0.96610169491525422</v>
      </c>
    </row>
    <row r="333" spans="1:31" s="49" customFormat="1" ht="12.5">
      <c r="A333" s="29" t="s">
        <v>2791</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48"/>
      <c r="Y333" s="50"/>
      <c r="Z333" s="50"/>
      <c r="AA333" s="48"/>
      <c r="AB333" s="81"/>
      <c r="AC333" s="50"/>
      <c r="AD333" s="51">
        <f t="shared" si="22"/>
        <v>0.35409836065573769</v>
      </c>
      <c r="AE333" s="51">
        <f t="shared" si="23"/>
        <v>0.94444444444444442</v>
      </c>
    </row>
    <row r="334" spans="1:31" s="49" customFormat="1" ht="12.5">
      <c r="A334" s="29" t="s">
        <v>2792</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48"/>
      <c r="Y334" s="50"/>
      <c r="Z334" s="50"/>
      <c r="AA334" s="48"/>
      <c r="AB334" s="81"/>
      <c r="AC334" s="50"/>
      <c r="AD334" s="51">
        <f t="shared" si="22"/>
        <v>0.8970588235294118</v>
      </c>
      <c r="AE334" s="51">
        <f t="shared" si="23"/>
        <v>0.19672131147540983</v>
      </c>
    </row>
    <row r="335" spans="1:31" s="49" customFormat="1" ht="12.5">
      <c r="A335" s="29" t="s">
        <v>2793</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48"/>
      <c r="Y335" s="50"/>
      <c r="Z335" s="50"/>
      <c r="AA335" s="48"/>
      <c r="AB335" s="81"/>
      <c r="AC335" s="50"/>
      <c r="AD335" s="51">
        <f t="shared" si="22"/>
        <v>0.24</v>
      </c>
      <c r="AE335" s="51">
        <f t="shared" si="23"/>
        <v>0</v>
      </c>
    </row>
    <row r="336" spans="1:31" s="49" customFormat="1" ht="12.5">
      <c r="A336" s="29" t="s">
        <v>2794</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48"/>
      <c r="Y336" s="50"/>
      <c r="Z336" s="50"/>
      <c r="AA336" s="48"/>
      <c r="AB336" s="81"/>
      <c r="AC336" s="50"/>
      <c r="AD336" s="51">
        <f t="shared" si="22"/>
        <v>1</v>
      </c>
      <c r="AE336" s="51">
        <f t="shared" si="23"/>
        <v>1</v>
      </c>
    </row>
    <row r="337" spans="1:31" s="49" customFormat="1" ht="12.5">
      <c r="A337" s="29" t="s">
        <v>2795</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48"/>
      <c r="Y337" s="50"/>
      <c r="Z337" s="50"/>
      <c r="AA337" s="48"/>
      <c r="AB337" s="81"/>
      <c r="AC337" s="50"/>
      <c r="AD337" s="51">
        <f t="shared" si="22"/>
        <v>1</v>
      </c>
      <c r="AE337" s="51">
        <f t="shared" si="23"/>
        <v>1</v>
      </c>
    </row>
    <row r="338" spans="1:31" s="49" customFormat="1" ht="12.5">
      <c r="A338" s="29" t="s">
        <v>2796</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48"/>
      <c r="Y338" s="50"/>
      <c r="Z338" s="50"/>
      <c r="AA338" s="48"/>
      <c r="AB338" s="81"/>
      <c r="AC338" s="50"/>
      <c r="AD338" s="51">
        <f t="shared" si="22"/>
        <v>1</v>
      </c>
      <c r="AE338" s="51">
        <f t="shared" si="23"/>
        <v>0.91176470588235292</v>
      </c>
    </row>
    <row r="339" spans="1:31" s="49" customFormat="1" ht="12.5">
      <c r="A339" s="29" t="s">
        <v>2797</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48"/>
      <c r="Y339" s="50"/>
      <c r="Z339" s="50"/>
      <c r="AA339" s="48"/>
      <c r="AB339" s="81"/>
      <c r="AC339" s="50"/>
      <c r="AD339" s="51">
        <f t="shared" si="22"/>
        <v>0.51063829787234039</v>
      </c>
      <c r="AE339" s="51">
        <f t="shared" si="23"/>
        <v>1</v>
      </c>
    </row>
    <row r="340" spans="1:31" s="49" customFormat="1" ht="12.5">
      <c r="A340" s="29" t="s">
        <v>2798</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48"/>
      <c r="Y340" s="50"/>
      <c r="Z340" s="50"/>
      <c r="AA340" s="48"/>
      <c r="AB340" s="81"/>
      <c r="AC340" s="50"/>
      <c r="AD340" s="51">
        <f t="shared" si="22"/>
        <v>1</v>
      </c>
      <c r="AE340" s="51">
        <f t="shared" si="23"/>
        <v>1</v>
      </c>
    </row>
    <row r="341" spans="1:31" s="49" customFormat="1" ht="12.5">
      <c r="A341" s="29" t="s">
        <v>2799</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48"/>
      <c r="Y341" s="50"/>
      <c r="Z341" s="50"/>
      <c r="AA341" s="48"/>
      <c r="AB341" s="81"/>
      <c r="AC341" s="50"/>
      <c r="AD341" s="51">
        <f t="shared" ref="AD341:AD348" si="24">IF(A341="","",IFERROR(L341/K341,0))</f>
        <v>0.93650793650793651</v>
      </c>
      <c r="AE341" s="51">
        <f t="shared" ref="AE341:AE348" si="25">IF(A341="","",IFERROR(M341/L341,0))</f>
        <v>1</v>
      </c>
    </row>
    <row r="342" spans="1:31" s="49" customFormat="1" ht="12.5">
      <c r="A342" s="29" t="s">
        <v>2800</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48"/>
      <c r="Y342" s="50"/>
      <c r="Z342" s="50"/>
      <c r="AA342" s="48"/>
      <c r="AB342" s="81"/>
      <c r="AC342" s="50"/>
      <c r="AD342" s="51">
        <f t="shared" si="24"/>
        <v>1</v>
      </c>
      <c r="AE342" s="51">
        <f t="shared" si="25"/>
        <v>0.97435897435897434</v>
      </c>
    </row>
    <row r="343" spans="1:31" s="49" customFormat="1" ht="12.5">
      <c r="A343" s="29" t="s">
        <v>2801</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48"/>
      <c r="Y343" s="50"/>
      <c r="Z343" s="50"/>
      <c r="AA343" s="48"/>
      <c r="AB343" s="81"/>
      <c r="AC343" s="50"/>
      <c r="AD343" s="51">
        <f t="shared" si="24"/>
        <v>1</v>
      </c>
      <c r="AE343" s="51">
        <f t="shared" si="25"/>
        <v>1</v>
      </c>
    </row>
    <row r="344" spans="1:31" s="49" customFormat="1" ht="12.5">
      <c r="A344" s="29" t="s">
        <v>2802</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48"/>
      <c r="Y344" s="50"/>
      <c r="Z344" s="50"/>
      <c r="AA344" s="48"/>
      <c r="AB344" s="81"/>
      <c r="AC344" s="50"/>
      <c r="AD344" s="51">
        <f t="shared" si="24"/>
        <v>1</v>
      </c>
      <c r="AE344" s="51">
        <f t="shared" si="25"/>
        <v>1</v>
      </c>
    </row>
    <row r="345" spans="1:31" s="49" customFormat="1" ht="12.5">
      <c r="A345" s="29" t="s">
        <v>2803</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48"/>
      <c r="Y345" s="50"/>
      <c r="Z345" s="50"/>
      <c r="AA345" s="48"/>
      <c r="AB345" s="81"/>
      <c r="AC345" s="50"/>
      <c r="AD345" s="51">
        <f t="shared" si="24"/>
        <v>1</v>
      </c>
      <c r="AE345" s="51">
        <f t="shared" si="25"/>
        <v>1</v>
      </c>
    </row>
    <row r="346" spans="1:31" s="49" customFormat="1" ht="12.5">
      <c r="A346" s="29" t="s">
        <v>2804</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48"/>
      <c r="Y346" s="50"/>
      <c r="Z346" s="50"/>
      <c r="AA346" s="48"/>
      <c r="AB346" s="81"/>
      <c r="AC346" s="50"/>
      <c r="AD346" s="51">
        <f t="shared" si="24"/>
        <v>1</v>
      </c>
      <c r="AE346" s="51">
        <f t="shared" si="25"/>
        <v>1</v>
      </c>
    </row>
    <row r="347" spans="1:31" s="49" customFormat="1" ht="12.5">
      <c r="A347" s="29" t="s">
        <v>2805</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48"/>
      <c r="Y347" s="50"/>
      <c r="Z347" s="50"/>
      <c r="AA347" s="48"/>
      <c r="AB347" s="81"/>
      <c r="AC347" s="50"/>
      <c r="AD347" s="51">
        <f t="shared" si="24"/>
        <v>1</v>
      </c>
      <c r="AE347" s="51">
        <f t="shared" si="25"/>
        <v>1</v>
      </c>
    </row>
    <row r="348" spans="1:31" s="49" customFormat="1" ht="12.5">
      <c r="A348" s="29" t="s">
        <v>2806</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48"/>
      <c r="Y348" s="50"/>
      <c r="Z348" s="50"/>
      <c r="AA348" s="48"/>
      <c r="AB348" s="81"/>
      <c r="AC348" s="50"/>
      <c r="AD348" s="51">
        <f t="shared" si="24"/>
        <v>0.79411764705882348</v>
      </c>
      <c r="AE348" s="51">
        <f t="shared" si="25"/>
        <v>1</v>
      </c>
    </row>
    <row r="349" spans="1:31" s="49" customFormat="1" ht="12.5">
      <c r="A349" s="29" t="s">
        <v>2807</v>
      </c>
      <c r="B349" s="48" t="s">
        <v>1893</v>
      </c>
      <c r="C349" s="49" t="s">
        <v>34</v>
      </c>
      <c r="D349" s="48" t="s">
        <v>81</v>
      </c>
      <c r="E349" s="48" t="s">
        <v>289</v>
      </c>
      <c r="F349" s="49" t="s">
        <v>1894</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48"/>
      <c r="Y349" s="50"/>
      <c r="Z349" s="50"/>
      <c r="AA349" s="48"/>
      <c r="AB349" s="81"/>
      <c r="AC349" s="50"/>
      <c r="AD349" s="51"/>
      <c r="AE349" s="51"/>
    </row>
    <row r="350" spans="1:31" s="49" customFormat="1" ht="12.5">
      <c r="A350" s="29" t="s">
        <v>2808</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48"/>
      <c r="Y350" s="50"/>
      <c r="Z350" s="50"/>
      <c r="AA350" s="48"/>
      <c r="AB350" s="81"/>
      <c r="AC350" s="50"/>
      <c r="AD350" s="51">
        <f t="shared" ref="AD350:AD361" si="26">IF(A350="","",IFERROR(L350/K350,0))</f>
        <v>1</v>
      </c>
      <c r="AE350" s="51">
        <f t="shared" ref="AE350:AE361" si="27">IF(A350="","",IFERROR(M350/L350,0))</f>
        <v>1</v>
      </c>
    </row>
    <row r="351" spans="1:31" s="49" customFormat="1" ht="12.5">
      <c r="A351" s="29" t="s">
        <v>2809</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48"/>
      <c r="Y351" s="50"/>
      <c r="Z351" s="50"/>
      <c r="AA351" s="48"/>
      <c r="AB351" s="81"/>
      <c r="AC351" s="50"/>
      <c r="AD351" s="51">
        <f t="shared" si="26"/>
        <v>0.43548387096774194</v>
      </c>
      <c r="AE351" s="51">
        <f t="shared" si="27"/>
        <v>1</v>
      </c>
    </row>
    <row r="352" spans="1:31" s="49" customFormat="1" ht="12.5">
      <c r="A352" s="29" t="s">
        <v>2810</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48"/>
      <c r="Y352" s="50"/>
      <c r="Z352" s="50"/>
      <c r="AA352" s="48"/>
      <c r="AB352" s="81"/>
      <c r="AC352" s="50"/>
      <c r="AD352" s="51">
        <f t="shared" si="26"/>
        <v>0.93023255813953487</v>
      </c>
      <c r="AE352" s="51">
        <f t="shared" si="27"/>
        <v>0.85</v>
      </c>
    </row>
    <row r="353" spans="1:31" s="49" customFormat="1" ht="12.5">
      <c r="A353" s="29" t="s">
        <v>2811</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48"/>
      <c r="Y353" s="50"/>
      <c r="Z353" s="50"/>
      <c r="AA353" s="48"/>
      <c r="AB353" s="81"/>
      <c r="AC353" s="50"/>
      <c r="AD353" s="51">
        <f t="shared" si="26"/>
        <v>1</v>
      </c>
      <c r="AE353" s="51">
        <f t="shared" si="27"/>
        <v>1</v>
      </c>
    </row>
    <row r="354" spans="1:31" s="49" customFormat="1" ht="12.5">
      <c r="A354" s="29" t="s">
        <v>2812</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48"/>
      <c r="Y354" s="50"/>
      <c r="Z354" s="50"/>
      <c r="AA354" s="48"/>
      <c r="AB354" s="81"/>
      <c r="AC354" s="50"/>
      <c r="AD354" s="51">
        <f t="shared" si="26"/>
        <v>0.875</v>
      </c>
      <c r="AE354" s="51">
        <f t="shared" si="27"/>
        <v>0.7857142857142857</v>
      </c>
    </row>
    <row r="355" spans="1:31" s="49" customFormat="1" ht="12.5">
      <c r="A355" s="29" t="s">
        <v>2813</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48"/>
      <c r="Y355" s="50"/>
      <c r="Z355" s="50"/>
      <c r="AA355" s="48"/>
      <c r="AB355" s="81"/>
      <c r="AC355" s="50"/>
      <c r="AD355" s="51">
        <f t="shared" si="26"/>
        <v>1</v>
      </c>
      <c r="AE355" s="51">
        <f t="shared" si="27"/>
        <v>1</v>
      </c>
    </row>
    <row r="356" spans="1:31" s="49" customFormat="1" ht="12.5">
      <c r="A356" s="29" t="s">
        <v>2814</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48"/>
      <c r="Y356" s="50"/>
      <c r="Z356" s="50"/>
      <c r="AA356" s="48"/>
      <c r="AB356" s="81"/>
      <c r="AC356" s="50"/>
      <c r="AD356" s="51">
        <f t="shared" si="26"/>
        <v>0.37662337662337664</v>
      </c>
      <c r="AE356" s="51">
        <f t="shared" si="27"/>
        <v>0.82758620689655171</v>
      </c>
    </row>
    <row r="357" spans="1:31" s="49" customFormat="1" ht="12.5">
      <c r="A357" s="29" t="s">
        <v>2815</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48"/>
      <c r="Y357" s="50"/>
      <c r="Z357" s="50"/>
      <c r="AA357" s="48"/>
      <c r="AB357" s="81"/>
      <c r="AC357" s="50"/>
      <c r="AD357" s="51">
        <f t="shared" si="26"/>
        <v>1</v>
      </c>
      <c r="AE357" s="51">
        <f t="shared" si="27"/>
        <v>1</v>
      </c>
    </row>
    <row r="358" spans="1:31" s="49" customFormat="1" ht="12.5">
      <c r="A358" s="29" t="s">
        <v>2816</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48"/>
      <c r="Y358" s="50"/>
      <c r="Z358" s="50"/>
      <c r="AA358" s="48"/>
      <c r="AB358" s="81"/>
      <c r="AC358" s="50"/>
      <c r="AD358" s="51">
        <f t="shared" si="26"/>
        <v>1</v>
      </c>
      <c r="AE358" s="51">
        <f t="shared" si="27"/>
        <v>1</v>
      </c>
    </row>
    <row r="359" spans="1:31" s="49" customFormat="1" ht="12.5">
      <c r="A359" s="29" t="s">
        <v>2817</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48"/>
      <c r="Y359" s="50"/>
      <c r="Z359" s="50"/>
      <c r="AA359" s="48"/>
      <c r="AB359" s="81"/>
      <c r="AC359" s="50"/>
      <c r="AD359" s="51">
        <f t="shared" si="26"/>
        <v>0.50862068965517238</v>
      </c>
      <c r="AE359" s="51">
        <f t="shared" si="27"/>
        <v>1</v>
      </c>
    </row>
    <row r="360" spans="1:31" s="49" customFormat="1" ht="12.5">
      <c r="A360" s="29" t="s">
        <v>2818</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48"/>
      <c r="Y360" s="50"/>
      <c r="Z360" s="50"/>
      <c r="AA360" s="48"/>
      <c r="AB360" s="81"/>
      <c r="AC360" s="50"/>
      <c r="AD360" s="51">
        <f t="shared" si="26"/>
        <v>8.5714285714285715E-2</v>
      </c>
      <c r="AE360" s="51">
        <f t="shared" si="27"/>
        <v>1</v>
      </c>
    </row>
    <row r="361" spans="1:31" s="49" customFormat="1" ht="12.5">
      <c r="A361" s="29" t="s">
        <v>2819</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48"/>
      <c r="Y361" s="50"/>
      <c r="Z361" s="50"/>
      <c r="AA361" s="48"/>
      <c r="AB361" s="81"/>
      <c r="AC361" s="50"/>
      <c r="AD361" s="51">
        <f t="shared" si="26"/>
        <v>0</v>
      </c>
      <c r="AE361" s="51">
        <f t="shared" si="27"/>
        <v>0</v>
      </c>
    </row>
  </sheetData>
  <mergeCells count="3">
    <mergeCell ref="A1:AE1"/>
    <mergeCell ref="A2:AE2"/>
    <mergeCell ref="A3:AE3"/>
  </mergeCells>
  <phoneticPr fontId="17" type="noConversion"/>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37" t="s">
        <v>2043</v>
      </c>
      <c r="B1" s="237"/>
      <c r="C1" s="237"/>
      <c r="D1" s="237"/>
      <c r="E1" s="237"/>
      <c r="F1" s="237"/>
      <c r="G1" s="237"/>
      <c r="H1" s="237"/>
      <c r="I1" s="237"/>
      <c r="J1" s="237"/>
      <c r="K1" s="237"/>
      <c r="L1" s="238"/>
      <c r="M1" s="238"/>
      <c r="N1" s="238"/>
      <c r="O1" s="238"/>
      <c r="P1" s="238"/>
      <c r="Q1" s="238"/>
      <c r="R1" s="238"/>
    </row>
    <row r="2" spans="1:18" ht="14.5" customHeight="1">
      <c r="A2" s="239" t="s">
        <v>2062</v>
      </c>
      <c r="B2" s="239"/>
      <c r="C2" s="239"/>
      <c r="D2" s="239"/>
      <c r="E2" s="239"/>
      <c r="F2" s="239"/>
      <c r="G2" s="239"/>
      <c r="H2" s="239"/>
      <c r="I2" s="239"/>
      <c r="J2" s="239"/>
      <c r="K2" s="239"/>
      <c r="L2" s="240"/>
      <c r="M2" s="240"/>
      <c r="N2" s="240"/>
      <c r="O2" s="240"/>
      <c r="P2" s="240"/>
      <c r="Q2" s="240"/>
      <c r="R2" s="240"/>
    </row>
    <row r="3" spans="1:18" ht="25.4" customHeight="1">
      <c r="A3" s="241" t="s">
        <v>2063</v>
      </c>
      <c r="B3" s="241"/>
      <c r="C3" s="241"/>
      <c r="D3" s="241"/>
      <c r="E3" s="241"/>
      <c r="F3" s="241"/>
      <c r="G3" s="241"/>
      <c r="H3" s="241"/>
      <c r="I3" s="241"/>
      <c r="J3" s="241"/>
      <c r="K3" s="241"/>
      <c r="L3" s="242"/>
      <c r="M3" s="242"/>
      <c r="N3" s="242"/>
      <c r="O3" s="242"/>
      <c r="P3" s="242"/>
      <c r="Q3" s="242"/>
      <c r="R3" s="242"/>
    </row>
    <row r="5" spans="1:18" ht="28">
      <c r="A5" s="90" t="s">
        <v>848</v>
      </c>
      <c r="B5" s="91" t="s">
        <v>849</v>
      </c>
      <c r="C5" s="91" t="s">
        <v>850</v>
      </c>
      <c r="D5" s="91" t="s">
        <v>2044</v>
      </c>
      <c r="E5" s="91" t="s">
        <v>2045</v>
      </c>
      <c r="F5" s="91" t="s">
        <v>2046</v>
      </c>
      <c r="G5" s="91" t="s">
        <v>2047</v>
      </c>
      <c r="H5" s="91" t="s">
        <v>2048</v>
      </c>
      <c r="I5" s="91" t="s">
        <v>2049</v>
      </c>
      <c r="J5" s="91" t="s">
        <v>2050</v>
      </c>
      <c r="K5" s="92" t="s">
        <v>851</v>
      </c>
      <c r="L5" s="93" t="s">
        <v>852</v>
      </c>
      <c r="M5" s="93" t="s">
        <v>26</v>
      </c>
      <c r="N5" s="93" t="s">
        <v>27</v>
      </c>
      <c r="O5" s="93" t="s">
        <v>28</v>
      </c>
      <c r="P5" s="93" t="s">
        <v>29</v>
      </c>
      <c r="Q5" s="93" t="s">
        <v>30</v>
      </c>
      <c r="R5" s="94" t="s">
        <v>853</v>
      </c>
    </row>
    <row r="6" spans="1:18" ht="28">
      <c r="A6" s="95" t="s">
        <v>2051</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2052</v>
      </c>
      <c r="O6" s="102" t="s">
        <v>857</v>
      </c>
      <c r="P6" s="103"/>
      <c r="Q6" s="102"/>
      <c r="R6" s="102"/>
    </row>
    <row r="7" spans="1:18" ht="28">
      <c r="A7" s="104" t="s">
        <v>2053</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2052</v>
      </c>
      <c r="O7" s="102" t="s">
        <v>857</v>
      </c>
      <c r="P7" s="103"/>
      <c r="Q7" s="102"/>
      <c r="R7" s="102"/>
    </row>
    <row r="8" spans="1:18" ht="28">
      <c r="A8" s="104" t="s">
        <v>2054</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2052</v>
      </c>
      <c r="O8" s="102" t="s">
        <v>857</v>
      </c>
      <c r="P8" s="103"/>
      <c r="Q8" s="102"/>
      <c r="R8" s="102"/>
    </row>
    <row r="9" spans="1:18" ht="28">
      <c r="A9" s="104" t="s">
        <v>2055</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2052</v>
      </c>
      <c r="O9" s="102" t="s">
        <v>857</v>
      </c>
      <c r="P9" s="103"/>
      <c r="Q9" s="102"/>
      <c r="R9" s="102"/>
    </row>
    <row r="10" spans="1:18" ht="28">
      <c r="A10" s="104" t="s">
        <v>2056</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2052</v>
      </c>
      <c r="O10" s="102" t="s">
        <v>857</v>
      </c>
      <c r="P10" s="103"/>
      <c r="Q10" s="102"/>
      <c r="R10" s="102"/>
    </row>
    <row r="11" spans="1:18" ht="28">
      <c r="A11" s="104" t="s">
        <v>2057</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2052</v>
      </c>
      <c r="O11" s="102" t="s">
        <v>857</v>
      </c>
      <c r="P11" s="103"/>
      <c r="Q11" s="102"/>
      <c r="R11" s="102"/>
    </row>
    <row r="12" spans="1:18" ht="28.5" thickBot="1">
      <c r="A12" s="104" t="s">
        <v>2058</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2052</v>
      </c>
      <c r="O12" s="102" t="s">
        <v>857</v>
      </c>
      <c r="P12" s="103"/>
      <c r="Q12" s="102"/>
      <c r="R12" s="102"/>
    </row>
    <row r="13" spans="1:18" ht="28">
      <c r="A13" s="109" t="s">
        <v>2059</v>
      </c>
      <c r="B13" s="110" t="s">
        <v>866</v>
      </c>
      <c r="C13" s="110" t="s">
        <v>2060</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2052</v>
      </c>
      <c r="O13" s="115" t="s">
        <v>857</v>
      </c>
      <c r="P13" s="116"/>
      <c r="Q13" s="115"/>
      <c r="R13" s="115" t="s">
        <v>2061</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32" t="s">
        <v>867</v>
      </c>
      <c r="B1" s="232"/>
      <c r="C1" s="232"/>
      <c r="D1" s="232"/>
      <c r="E1" s="232"/>
      <c r="F1" s="232"/>
      <c r="G1" s="232"/>
      <c r="H1" s="232"/>
      <c r="I1" s="232"/>
      <c r="J1" s="232"/>
      <c r="K1" s="232"/>
    </row>
    <row r="2" spans="1:11">
      <c r="A2" s="234" t="s">
        <v>868</v>
      </c>
      <c r="B2" s="234"/>
      <c r="C2" s="234"/>
      <c r="D2" s="234"/>
      <c r="E2" s="234"/>
      <c r="F2" s="234"/>
      <c r="G2" s="234"/>
      <c r="H2" s="234"/>
      <c r="I2" s="234"/>
      <c r="J2" s="234"/>
      <c r="K2" s="234"/>
    </row>
    <row r="3" spans="1:11">
      <c r="A3" s="235" t="s">
        <v>847</v>
      </c>
      <c r="B3" s="235"/>
      <c r="C3" s="235"/>
      <c r="D3" s="235"/>
      <c r="E3" s="235"/>
      <c r="F3" s="235"/>
      <c r="G3" s="235"/>
      <c r="H3" s="235"/>
      <c r="I3" s="235"/>
      <c r="J3" s="235"/>
      <c r="K3" s="235"/>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8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opLeftCell="AN1" zoomScaleNormal="100" workbookViewId="0">
      <pane ySplit="5" topLeftCell="A6" activePane="bottomLeft" state="frozen"/>
      <selection pane="bottomLeft" sqref="A1:XFD1048576"/>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38" t="s">
        <v>1161</v>
      </c>
      <c r="B1" s="238"/>
      <c r="C1" s="238"/>
      <c r="D1" s="238"/>
      <c r="E1" s="238"/>
      <c r="F1" s="238"/>
      <c r="G1" s="238"/>
      <c r="H1" s="238"/>
      <c r="I1" s="238"/>
      <c r="J1" s="238"/>
      <c r="K1" s="238"/>
      <c r="L1" s="238"/>
      <c r="M1" s="238"/>
      <c r="N1" s="238"/>
      <c r="O1" s="238"/>
      <c r="P1" s="238"/>
      <c r="Q1" s="238"/>
      <c r="R1" s="238"/>
      <c r="S1" s="238"/>
      <c r="T1" s="238"/>
      <c r="U1" s="238"/>
      <c r="V1" s="238"/>
      <c r="W1" s="238"/>
      <c r="X1" s="238"/>
      <c r="Y1" s="238"/>
      <c r="Z1" s="238"/>
      <c r="AA1" s="238"/>
      <c r="AB1" s="238"/>
      <c r="AC1" s="238"/>
      <c r="AD1" s="238"/>
      <c r="AE1" s="238"/>
      <c r="AF1" s="238"/>
      <c r="AG1" s="238"/>
      <c r="AH1" s="238"/>
      <c r="AI1" s="238"/>
      <c r="AJ1" s="238"/>
      <c r="AK1" s="238"/>
      <c r="AL1" s="238"/>
      <c r="AM1" s="238"/>
      <c r="AN1" s="238"/>
      <c r="AO1" s="238"/>
      <c r="AP1" s="238"/>
      <c r="AQ1" s="238"/>
      <c r="AR1" s="238"/>
      <c r="AS1" s="238"/>
      <c r="AT1" s="238"/>
      <c r="AU1" s="238"/>
      <c r="AV1" s="238"/>
      <c r="AW1" s="238"/>
      <c r="AX1" s="238"/>
      <c r="AY1" s="238"/>
      <c r="AZ1" s="238"/>
      <c r="BA1" s="238"/>
      <c r="BB1" s="238"/>
      <c r="BC1" s="238"/>
      <c r="BD1" s="238"/>
      <c r="BE1" s="238"/>
      <c r="BF1" s="238"/>
      <c r="BH1" s="70" t="s">
        <v>1162</v>
      </c>
      <c r="BI1" s="70" t="s">
        <v>1163</v>
      </c>
      <c r="BJ1" s="70" t="s">
        <v>1164</v>
      </c>
      <c r="BK1" s="70" t="s">
        <v>1165</v>
      </c>
      <c r="BL1" s="70" t="s">
        <v>1166</v>
      </c>
      <c r="BM1" s="70" t="s">
        <v>1167</v>
      </c>
      <c r="BN1" s="70" t="s">
        <v>1168</v>
      </c>
      <c r="BO1" s="70" t="s">
        <v>1169</v>
      </c>
      <c r="BP1" s="70" t="s">
        <v>1170</v>
      </c>
      <c r="BQ1" s="70" t="s">
        <v>1171</v>
      </c>
      <c r="BR1" s="70" t="s">
        <v>1172</v>
      </c>
      <c r="BS1" s="70" t="s">
        <v>1173</v>
      </c>
      <c r="BT1" s="70" t="s">
        <v>1174</v>
      </c>
      <c r="BU1" s="70" t="s">
        <v>1175</v>
      </c>
      <c r="BV1" s="70" t="s">
        <v>1176</v>
      </c>
      <c r="BW1" s="70" t="s">
        <v>1177</v>
      </c>
      <c r="BX1" s="70" t="s">
        <v>1178</v>
      </c>
      <c r="BY1" s="70" t="s">
        <v>1179</v>
      </c>
    </row>
    <row r="2" spans="1:77" ht="14.5">
      <c r="A2" s="243" t="s">
        <v>1180</v>
      </c>
      <c r="B2" s="243"/>
      <c r="C2" s="243"/>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c r="AV2" s="243"/>
      <c r="AW2" s="243"/>
      <c r="AX2" s="243"/>
      <c r="AY2" s="243"/>
      <c r="AZ2" s="243"/>
      <c r="BA2" s="243"/>
      <c r="BB2" s="243"/>
      <c r="BC2" s="243"/>
      <c r="BD2" s="243"/>
      <c r="BE2" s="243"/>
      <c r="BF2" s="243"/>
      <c r="BH2" t="s">
        <v>81</v>
      </c>
      <c r="BI2" t="s">
        <v>1181</v>
      </c>
      <c r="BJ2" t="s">
        <v>1182</v>
      </c>
      <c r="BK2" t="s">
        <v>1183</v>
      </c>
      <c r="BL2" t="s">
        <v>888</v>
      </c>
      <c r="BM2" t="s">
        <v>1184</v>
      </c>
      <c r="BN2" t="s">
        <v>888</v>
      </c>
      <c r="BO2" t="s">
        <v>1185</v>
      </c>
      <c r="BP2" t="s">
        <v>888</v>
      </c>
      <c r="BQ2" t="s">
        <v>1186</v>
      </c>
      <c r="BR2" t="s">
        <v>1187</v>
      </c>
      <c r="BS2" t="s">
        <v>1188</v>
      </c>
      <c r="BT2" t="s">
        <v>1189</v>
      </c>
      <c r="BU2" t="s">
        <v>927</v>
      </c>
      <c r="BV2" t="s">
        <v>1190</v>
      </c>
      <c r="BW2" t="s">
        <v>1191</v>
      </c>
      <c r="BX2" t="s">
        <v>1192</v>
      </c>
      <c r="BY2" t="s">
        <v>1193</v>
      </c>
    </row>
    <row r="3" spans="1:77">
      <c r="A3" s="244" t="s">
        <v>1194</v>
      </c>
      <c r="B3" s="244"/>
      <c r="C3" s="244"/>
      <c r="D3" s="244"/>
      <c r="E3" s="244"/>
      <c r="F3" s="244"/>
      <c r="G3" s="244"/>
      <c r="H3" s="244"/>
      <c r="I3" s="244"/>
      <c r="J3" s="244"/>
      <c r="K3" s="244"/>
      <c r="L3" s="244"/>
      <c r="M3" s="244"/>
      <c r="N3" s="244"/>
      <c r="O3" s="244"/>
      <c r="P3" s="244"/>
      <c r="Q3" s="244"/>
      <c r="R3" s="244"/>
      <c r="S3" s="244"/>
      <c r="T3" s="244"/>
      <c r="U3" s="244"/>
      <c r="V3" s="244"/>
      <c r="W3" s="244"/>
      <c r="X3" s="244"/>
      <c r="Y3" s="244"/>
      <c r="Z3" s="244"/>
      <c r="AA3" s="244"/>
      <c r="AB3" s="244"/>
      <c r="AC3" s="244"/>
      <c r="AD3" s="244"/>
      <c r="AE3" s="244"/>
      <c r="AF3" s="244"/>
      <c r="AG3" s="244"/>
      <c r="AH3" s="244"/>
      <c r="AI3" s="244"/>
      <c r="AJ3" s="244"/>
      <c r="AK3" s="244"/>
      <c r="AL3" s="244"/>
      <c r="AM3" s="244"/>
      <c r="AN3" s="244"/>
      <c r="AO3" s="244"/>
      <c r="AP3" s="244"/>
      <c r="AQ3" s="244"/>
      <c r="AR3" s="244"/>
      <c r="AS3" s="244"/>
      <c r="AT3" s="244"/>
      <c r="AU3" s="244"/>
      <c r="AV3" s="244"/>
      <c r="AW3" s="244"/>
      <c r="AX3" s="244"/>
      <c r="AY3" s="244"/>
      <c r="AZ3" s="244"/>
      <c r="BA3" s="244"/>
      <c r="BB3" s="244"/>
      <c r="BC3" s="244"/>
      <c r="BD3" s="244"/>
      <c r="BE3" s="244"/>
      <c r="BF3" s="244"/>
      <c r="BH3" t="s">
        <v>60</v>
      </c>
      <c r="BI3" t="s">
        <v>1195</v>
      </c>
      <c r="BJ3" t="s">
        <v>1196</v>
      </c>
      <c r="BK3" t="s">
        <v>1197</v>
      </c>
      <c r="BL3" t="s">
        <v>891</v>
      </c>
      <c r="BM3" t="s">
        <v>1198</v>
      </c>
      <c r="BN3" t="s">
        <v>891</v>
      </c>
      <c r="BO3" t="s">
        <v>1199</v>
      </c>
      <c r="BP3" t="s">
        <v>891</v>
      </c>
      <c r="BQ3" t="s">
        <v>1200</v>
      </c>
      <c r="BR3" t="s">
        <v>1201</v>
      </c>
      <c r="BS3" t="s">
        <v>1202</v>
      </c>
      <c r="BT3" t="s">
        <v>1203</v>
      </c>
      <c r="BU3" t="s">
        <v>1204</v>
      </c>
      <c r="BV3" t="s">
        <v>1205</v>
      </c>
      <c r="BW3" t="s">
        <v>1206</v>
      </c>
      <c r="BX3" t="s">
        <v>1207</v>
      </c>
      <c r="BY3" t="s">
        <v>1208</v>
      </c>
    </row>
    <row r="4" spans="1:77">
      <c r="BH4" t="s">
        <v>35</v>
      </c>
      <c r="BI4" t="s">
        <v>1209</v>
      </c>
      <c r="BJ4" t="s">
        <v>1210</v>
      </c>
      <c r="BK4" t="s">
        <v>1211</v>
      </c>
      <c r="BL4" t="s">
        <v>905</v>
      </c>
      <c r="BM4" t="s">
        <v>1212</v>
      </c>
      <c r="BN4" t="s">
        <v>905</v>
      </c>
      <c r="BO4" t="s">
        <v>1213</v>
      </c>
      <c r="BP4" t="s">
        <v>905</v>
      </c>
      <c r="BQ4" t="s">
        <v>1214</v>
      </c>
      <c r="BR4" t="s">
        <v>1215</v>
      </c>
      <c r="BS4" t="s">
        <v>1215</v>
      </c>
      <c r="BV4" t="s">
        <v>1216</v>
      </c>
      <c r="BW4" t="s">
        <v>1217</v>
      </c>
      <c r="BX4" t="s">
        <v>1218</v>
      </c>
      <c r="BY4" t="s">
        <v>1219</v>
      </c>
    </row>
    <row r="5" spans="1:77" s="88" customFormat="1" ht="53.5" customHeight="1">
      <c r="A5" s="87" t="s">
        <v>1220</v>
      </c>
      <c r="B5" s="87" t="s">
        <v>1221</v>
      </c>
      <c r="C5" s="87" t="s">
        <v>1222</v>
      </c>
      <c r="D5" s="87" t="s">
        <v>1223</v>
      </c>
      <c r="E5" s="87" t="s">
        <v>1224</v>
      </c>
      <c r="F5" s="87" t="s">
        <v>7</v>
      </c>
      <c r="G5" s="87" t="s">
        <v>6</v>
      </c>
      <c r="H5" s="87" t="s">
        <v>1225</v>
      </c>
      <c r="I5" s="87" t="s">
        <v>1226</v>
      </c>
      <c r="J5" s="87" t="s">
        <v>1227</v>
      </c>
      <c r="K5" s="87" t="s">
        <v>1165</v>
      </c>
      <c r="L5" s="87" t="s">
        <v>1166</v>
      </c>
      <c r="M5" s="87" t="s">
        <v>1167</v>
      </c>
      <c r="N5" s="87" t="s">
        <v>1168</v>
      </c>
      <c r="O5" s="87" t="s">
        <v>1169</v>
      </c>
      <c r="P5" s="87" t="s">
        <v>1170</v>
      </c>
      <c r="Q5" s="87" t="s">
        <v>1228</v>
      </c>
      <c r="R5" s="87" t="s">
        <v>1229</v>
      </c>
      <c r="S5" s="87" t="s">
        <v>1230</v>
      </c>
      <c r="T5" s="87" t="s">
        <v>1231</v>
      </c>
      <c r="U5" s="87" t="s">
        <v>1232</v>
      </c>
      <c r="V5" s="87" t="s">
        <v>1233</v>
      </c>
      <c r="W5" s="87" t="s">
        <v>1234</v>
      </c>
      <c r="X5" s="87" t="s">
        <v>1235</v>
      </c>
      <c r="Y5" s="87" t="s">
        <v>1236</v>
      </c>
      <c r="Z5" s="87" t="s">
        <v>1237</v>
      </c>
      <c r="AA5" s="87" t="s">
        <v>1238</v>
      </c>
      <c r="AB5" s="87" t="s">
        <v>1239</v>
      </c>
      <c r="AC5" s="87" t="s">
        <v>1240</v>
      </c>
      <c r="AD5" s="87" t="s">
        <v>1241</v>
      </c>
      <c r="AE5" s="87" t="s">
        <v>1242</v>
      </c>
      <c r="AF5" s="87" t="s">
        <v>1243</v>
      </c>
      <c r="AG5" s="87" t="s">
        <v>1244</v>
      </c>
      <c r="AH5" s="87" t="s">
        <v>1245</v>
      </c>
      <c r="AI5" s="87" t="s">
        <v>1246</v>
      </c>
      <c r="AJ5" s="87" t="s">
        <v>1247</v>
      </c>
      <c r="AK5" s="87" t="s">
        <v>1248</v>
      </c>
      <c r="AL5" s="87" t="s">
        <v>1249</v>
      </c>
      <c r="AM5" s="87" t="s">
        <v>1173</v>
      </c>
      <c r="AN5" s="87" t="s">
        <v>1250</v>
      </c>
      <c r="AO5" s="87" t="s">
        <v>1251</v>
      </c>
      <c r="AP5" s="87" t="s">
        <v>1252</v>
      </c>
      <c r="AQ5" s="87" t="s">
        <v>1253</v>
      </c>
      <c r="AR5" s="87" t="s">
        <v>1254</v>
      </c>
      <c r="AS5" s="87" t="s">
        <v>1255</v>
      </c>
      <c r="AT5" s="87" t="s">
        <v>1256</v>
      </c>
      <c r="AU5" s="87" t="s">
        <v>1257</v>
      </c>
      <c r="AV5" s="87" t="s">
        <v>28</v>
      </c>
      <c r="AW5" s="87" t="s">
        <v>1258</v>
      </c>
      <c r="AX5" s="87" t="s">
        <v>1177</v>
      </c>
      <c r="AY5" s="87" t="s">
        <v>1259</v>
      </c>
      <c r="AZ5" s="87" t="s">
        <v>1178</v>
      </c>
      <c r="BA5" s="87" t="s">
        <v>1260</v>
      </c>
      <c r="BB5" s="87" t="s">
        <v>1261</v>
      </c>
      <c r="BC5" s="87" t="s">
        <v>26</v>
      </c>
      <c r="BD5" s="87" t="s">
        <v>27</v>
      </c>
      <c r="BE5" s="87" t="s">
        <v>29</v>
      </c>
      <c r="BF5" s="87" t="s">
        <v>30</v>
      </c>
      <c r="BH5" s="88" t="s">
        <v>304</v>
      </c>
      <c r="BI5" s="88" t="s">
        <v>1262</v>
      </c>
      <c r="BJ5" s="88" t="s">
        <v>1263</v>
      </c>
      <c r="BK5" s="88" t="s">
        <v>1264</v>
      </c>
      <c r="BL5" s="88" t="s">
        <v>895</v>
      </c>
      <c r="BM5" s="88" t="s">
        <v>1265</v>
      </c>
      <c r="BN5" s="88" t="s">
        <v>895</v>
      </c>
      <c r="BO5" s="88" t="s">
        <v>1266</v>
      </c>
      <c r="BP5" s="88" t="s">
        <v>895</v>
      </c>
      <c r="BQ5" s="88" t="s">
        <v>1215</v>
      </c>
      <c r="BV5" s="88" t="s">
        <v>1267</v>
      </c>
      <c r="BW5" s="88" t="s">
        <v>1268</v>
      </c>
      <c r="BX5" s="88" t="s">
        <v>1269</v>
      </c>
      <c r="BY5" s="88" t="s">
        <v>1270</v>
      </c>
    </row>
    <row r="6" spans="1:77" ht="24" customHeight="1">
      <c r="A6" s="66" t="s">
        <v>1271</v>
      </c>
      <c r="B6" s="66" t="s">
        <v>1272</v>
      </c>
      <c r="C6" s="66"/>
      <c r="D6" s="66"/>
      <c r="E6" s="66" t="s">
        <v>1273</v>
      </c>
      <c r="F6" s="66" t="s">
        <v>1274</v>
      </c>
      <c r="G6" s="66" t="s">
        <v>1275</v>
      </c>
      <c r="H6" s="66" t="s">
        <v>1181</v>
      </c>
      <c r="I6" s="66" t="s">
        <v>1276</v>
      </c>
      <c r="J6" s="66" t="s">
        <v>1196</v>
      </c>
      <c r="K6" s="66" t="s">
        <v>1211</v>
      </c>
      <c r="L6" s="66" t="s">
        <v>891</v>
      </c>
      <c r="M6" s="66" t="s">
        <v>1305</v>
      </c>
      <c r="N6" s="66" t="s">
        <v>891</v>
      </c>
      <c r="O6" s="66" t="s">
        <v>1213</v>
      </c>
      <c r="P6" s="66" t="s">
        <v>891</v>
      </c>
      <c r="Q6" s="86" t="s">
        <v>1186</v>
      </c>
      <c r="R6" s="86" t="s">
        <v>1201</v>
      </c>
      <c r="S6" s="86" t="s">
        <v>1201</v>
      </c>
      <c r="T6" s="86" t="s">
        <v>1201</v>
      </c>
      <c r="U6" s="86" t="s">
        <v>1201</v>
      </c>
      <c r="V6" s="86" t="s">
        <v>1215</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1201</v>
      </c>
      <c r="AD6" s="68" t="s">
        <v>1201</v>
      </c>
      <c r="AE6" s="68" t="s">
        <v>1201</v>
      </c>
      <c r="AF6" s="68" t="s">
        <v>1201</v>
      </c>
      <c r="AG6" s="68" t="s">
        <v>1201</v>
      </c>
      <c r="AH6" s="68" t="s">
        <v>1187</v>
      </c>
      <c r="AI6" s="68" t="s">
        <v>1187</v>
      </c>
      <c r="AJ6" s="68" t="s">
        <v>1201</v>
      </c>
      <c r="AK6" s="68" t="s">
        <v>1215</v>
      </c>
      <c r="AL6" s="68"/>
      <c r="AM6" s="68" t="s">
        <v>1215</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1189</v>
      </c>
      <c r="AV6" s="66" t="s">
        <v>1204</v>
      </c>
      <c r="AW6" s="66" t="s">
        <v>1190</v>
      </c>
      <c r="AX6" s="66"/>
      <c r="AY6" s="66"/>
      <c r="AZ6" s="66" t="s">
        <v>927</v>
      </c>
      <c r="BA6" s="66"/>
      <c r="BB6" s="178"/>
      <c r="BC6" s="72">
        <v>2026</v>
      </c>
      <c r="BD6" s="66"/>
      <c r="BE6" s="178"/>
      <c r="BF6" s="66" t="s">
        <v>1278</v>
      </c>
      <c r="BH6" t="s">
        <v>99</v>
      </c>
      <c r="BK6" t="s">
        <v>1279</v>
      </c>
      <c r="BL6" t="s">
        <v>1280</v>
      </c>
      <c r="BM6" t="s">
        <v>1266</v>
      </c>
      <c r="BN6" t="s">
        <v>1280</v>
      </c>
      <c r="BO6" t="s">
        <v>1281</v>
      </c>
      <c r="BP6" t="s">
        <v>1282</v>
      </c>
      <c r="BW6" t="s">
        <v>1283</v>
      </c>
      <c r="BX6" t="s">
        <v>927</v>
      </c>
      <c r="BY6" t="s">
        <v>1284</v>
      </c>
    </row>
    <row r="7" spans="1:77" ht="26.25" customHeight="1">
      <c r="A7" s="66" t="s">
        <v>1285</v>
      </c>
      <c r="B7" s="66" t="s">
        <v>1286</v>
      </c>
      <c r="C7" s="66"/>
      <c r="D7" s="66"/>
      <c r="E7" s="66" t="s">
        <v>1287</v>
      </c>
      <c r="F7" s="66" t="s">
        <v>1288</v>
      </c>
      <c r="G7" s="66" t="s">
        <v>1289</v>
      </c>
      <c r="H7" s="66" t="s">
        <v>1181</v>
      </c>
      <c r="I7" s="66" t="s">
        <v>1290</v>
      </c>
      <c r="J7" s="66" t="s">
        <v>1210</v>
      </c>
      <c r="K7" s="66" t="s">
        <v>1211</v>
      </c>
      <c r="L7" s="66" t="s">
        <v>891</v>
      </c>
      <c r="M7" s="66" t="s">
        <v>1266</v>
      </c>
      <c r="N7" s="66" t="s">
        <v>891</v>
      </c>
      <c r="O7" s="66" t="s">
        <v>1213</v>
      </c>
      <c r="P7" s="66" t="s">
        <v>891</v>
      </c>
      <c r="Q7" s="86" t="s">
        <v>1186</v>
      </c>
      <c r="R7" s="86" t="s">
        <v>1201</v>
      </c>
      <c r="S7" s="86" t="s">
        <v>1201</v>
      </c>
      <c r="T7" s="86" t="s">
        <v>1201</v>
      </c>
      <c r="U7" s="86" t="s">
        <v>1187</v>
      </c>
      <c r="V7" s="86" t="s">
        <v>1215</v>
      </c>
      <c r="W7" s="67"/>
      <c r="X7" s="84" t="str">
        <f t="shared" si="0"/>
        <v>Belum Dinilai</v>
      </c>
      <c r="Y7" s="84" t="str">
        <f t="shared" si="1"/>
        <v>Belum Dinilai</v>
      </c>
      <c r="Z7" s="85">
        <f t="shared" si="2"/>
        <v>10</v>
      </c>
      <c r="AA7" s="85" t="str">
        <f t="shared" si="3"/>
        <v/>
      </c>
      <c r="AB7" s="85" t="str">
        <f t="shared" si="4"/>
        <v/>
      </c>
      <c r="AC7" s="68" t="s">
        <v>1201</v>
      </c>
      <c r="AD7" s="68" t="s">
        <v>1201</v>
      </c>
      <c r="AE7" s="68" t="s">
        <v>1201</v>
      </c>
      <c r="AF7" s="68" t="s">
        <v>1201</v>
      </c>
      <c r="AG7" s="68" t="s">
        <v>1201</v>
      </c>
      <c r="AH7" s="68" t="s">
        <v>1187</v>
      </c>
      <c r="AI7" s="68" t="s">
        <v>1187</v>
      </c>
      <c r="AJ7" s="68" t="s">
        <v>1201</v>
      </c>
      <c r="AK7" s="68" t="s">
        <v>1201</v>
      </c>
      <c r="AL7" s="68"/>
      <c r="AM7" s="68" t="s">
        <v>1215</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1189</v>
      </c>
      <c r="AV7" s="66" t="s">
        <v>1204</v>
      </c>
      <c r="AW7" s="66" t="s">
        <v>1190</v>
      </c>
      <c r="AX7" s="66"/>
      <c r="AY7" s="66"/>
      <c r="AZ7" s="66" t="s">
        <v>927</v>
      </c>
      <c r="BA7" s="66"/>
      <c r="BB7" s="178"/>
      <c r="BC7" s="72">
        <v>2026</v>
      </c>
      <c r="BD7" s="66"/>
      <c r="BE7" s="178"/>
      <c r="BF7" s="66" t="s">
        <v>1278</v>
      </c>
      <c r="BH7" t="s">
        <v>810</v>
      </c>
      <c r="BK7" t="s">
        <v>1291</v>
      </c>
      <c r="BL7" t="s">
        <v>1215</v>
      </c>
      <c r="BM7" t="s">
        <v>1292</v>
      </c>
      <c r="BN7" t="s">
        <v>1215</v>
      </c>
      <c r="BO7" t="s">
        <v>1293</v>
      </c>
      <c r="BP7" t="s">
        <v>1215</v>
      </c>
      <c r="BW7" t="s">
        <v>1294</v>
      </c>
    </row>
    <row r="8" spans="1:77" ht="28">
      <c r="A8" s="66" t="s">
        <v>1295</v>
      </c>
      <c r="B8" s="66" t="s">
        <v>1296</v>
      </c>
      <c r="C8" s="66"/>
      <c r="D8" s="66"/>
      <c r="E8" s="66" t="s">
        <v>1297</v>
      </c>
      <c r="F8" s="66" t="s">
        <v>1288</v>
      </c>
      <c r="G8" s="66" t="s">
        <v>1289</v>
      </c>
      <c r="H8" s="66" t="s">
        <v>1181</v>
      </c>
      <c r="I8" s="66" t="s">
        <v>1298</v>
      </c>
      <c r="J8" s="66" t="s">
        <v>1210</v>
      </c>
      <c r="K8" s="66" t="s">
        <v>1197</v>
      </c>
      <c r="L8" s="66" t="s">
        <v>905</v>
      </c>
      <c r="M8" s="66" t="s">
        <v>1266</v>
      </c>
      <c r="N8" s="66" t="s">
        <v>905</v>
      </c>
      <c r="O8" s="66" t="s">
        <v>1277</v>
      </c>
      <c r="P8" s="66" t="s">
        <v>1215</v>
      </c>
      <c r="Q8" s="86" t="s">
        <v>1215</v>
      </c>
      <c r="R8" s="86" t="s">
        <v>1215</v>
      </c>
      <c r="S8" s="86" t="s">
        <v>1215</v>
      </c>
      <c r="T8" s="86" t="s">
        <v>1215</v>
      </c>
      <c r="U8" s="86" t="s">
        <v>1215</v>
      </c>
      <c r="V8" s="86" t="s">
        <v>1215</v>
      </c>
      <c r="W8" s="67"/>
      <c r="X8" s="84" t="str">
        <f t="shared" si="0"/>
        <v>Belum Dinilai</v>
      </c>
      <c r="Y8" s="84" t="str">
        <f t="shared" si="1"/>
        <v>Belum Dinilai</v>
      </c>
      <c r="Z8" s="85" t="str">
        <f t="shared" si="2"/>
        <v/>
      </c>
      <c r="AA8" s="85" t="str">
        <f t="shared" si="3"/>
        <v/>
      </c>
      <c r="AB8" s="85" t="str">
        <f t="shared" si="4"/>
        <v/>
      </c>
      <c r="AC8" s="68" t="s">
        <v>1215</v>
      </c>
      <c r="AD8" s="68" t="s">
        <v>1215</v>
      </c>
      <c r="AE8" s="68" t="s">
        <v>1215</v>
      </c>
      <c r="AF8" s="68" t="s">
        <v>1215</v>
      </c>
      <c r="AG8" s="68" t="s">
        <v>1215</v>
      </c>
      <c r="AH8" s="68" t="s">
        <v>1215</v>
      </c>
      <c r="AI8" s="68" t="s">
        <v>1215</v>
      </c>
      <c r="AJ8" s="68" t="s">
        <v>1215</v>
      </c>
      <c r="AK8" s="68" t="s">
        <v>1215</v>
      </c>
      <c r="AL8" s="68"/>
      <c r="AM8" s="68" t="s">
        <v>1215</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1189</v>
      </c>
      <c r="AV8" s="66" t="s">
        <v>1204</v>
      </c>
      <c r="AW8" s="66" t="s">
        <v>1898</v>
      </c>
      <c r="AX8" s="66" t="s">
        <v>1206</v>
      </c>
      <c r="AY8" s="66">
        <v>2023</v>
      </c>
      <c r="AZ8" s="66" t="s">
        <v>927</v>
      </c>
      <c r="BA8" s="66"/>
      <c r="BB8" s="178"/>
      <c r="BC8" s="72">
        <v>2026</v>
      </c>
      <c r="BD8" s="66"/>
      <c r="BE8" s="178"/>
      <c r="BF8" s="66" t="s">
        <v>1278</v>
      </c>
      <c r="BH8" t="s">
        <v>1304</v>
      </c>
      <c r="BK8" t="s">
        <v>1293</v>
      </c>
      <c r="BM8" t="s">
        <v>1305</v>
      </c>
      <c r="BO8" t="s">
        <v>1284</v>
      </c>
      <c r="BW8" t="s">
        <v>1284</v>
      </c>
    </row>
    <row r="9" spans="1:77" ht="28">
      <c r="A9" s="66" t="s">
        <v>1299</v>
      </c>
      <c r="B9" s="66" t="s">
        <v>1300</v>
      </c>
      <c r="C9" s="66"/>
      <c r="D9" s="66"/>
      <c r="E9" s="66" t="s">
        <v>1301</v>
      </c>
      <c r="F9" s="66" t="s">
        <v>1302</v>
      </c>
      <c r="G9" s="66" t="s">
        <v>1275</v>
      </c>
      <c r="H9" s="66" t="s">
        <v>1181</v>
      </c>
      <c r="I9" s="66" t="s">
        <v>1303</v>
      </c>
      <c r="J9" s="66" t="s">
        <v>1196</v>
      </c>
      <c r="K9" s="66" t="s">
        <v>1197</v>
      </c>
      <c r="L9" s="66" t="s">
        <v>891</v>
      </c>
      <c r="M9" s="66" t="s">
        <v>1266</v>
      </c>
      <c r="N9" s="66" t="s">
        <v>891</v>
      </c>
      <c r="O9" s="66" t="s">
        <v>1277</v>
      </c>
      <c r="P9" s="66" t="s">
        <v>1215</v>
      </c>
      <c r="Q9" s="86" t="s">
        <v>1215</v>
      </c>
      <c r="R9" s="86" t="s">
        <v>1215</v>
      </c>
      <c r="S9" s="86" t="s">
        <v>1215</v>
      </c>
      <c r="T9" s="86" t="s">
        <v>1215</v>
      </c>
      <c r="U9" s="86" t="s">
        <v>1215</v>
      </c>
      <c r="V9" s="86" t="s">
        <v>1215</v>
      </c>
      <c r="W9" s="67"/>
      <c r="X9" s="84" t="str">
        <f t="shared" si="0"/>
        <v>Belum Dinilai</v>
      </c>
      <c r="Y9" s="84" t="str">
        <f t="shared" si="1"/>
        <v>Belum Dinilai</v>
      </c>
      <c r="Z9" s="85" t="str">
        <f t="shared" si="2"/>
        <v/>
      </c>
      <c r="AA9" s="85" t="str">
        <f t="shared" si="3"/>
        <v/>
      </c>
      <c r="AB9" s="85" t="str">
        <f t="shared" si="4"/>
        <v/>
      </c>
      <c r="AC9" s="68" t="s">
        <v>1215</v>
      </c>
      <c r="AD9" s="68" t="s">
        <v>1215</v>
      </c>
      <c r="AE9" s="68" t="s">
        <v>1215</v>
      </c>
      <c r="AF9" s="68" t="s">
        <v>1215</v>
      </c>
      <c r="AG9" s="68" t="s">
        <v>1215</v>
      </c>
      <c r="AH9" s="68" t="s">
        <v>1215</v>
      </c>
      <c r="AI9" s="68" t="s">
        <v>1215</v>
      </c>
      <c r="AJ9" s="68" t="s">
        <v>1215</v>
      </c>
      <c r="AK9" s="68" t="s">
        <v>1215</v>
      </c>
      <c r="AL9" s="68"/>
      <c r="AM9" s="68" t="s">
        <v>1215</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1203</v>
      </c>
      <c r="AV9" s="66" t="s">
        <v>1204</v>
      </c>
      <c r="AW9" s="66" t="s">
        <v>1190</v>
      </c>
      <c r="AX9" s="66"/>
      <c r="AY9" s="66"/>
      <c r="AZ9" s="66" t="s">
        <v>927</v>
      </c>
      <c r="BA9" s="66"/>
      <c r="BB9" s="178"/>
      <c r="BC9" s="72">
        <v>2026</v>
      </c>
      <c r="BD9" s="66"/>
      <c r="BE9" s="178"/>
      <c r="BF9" s="66" t="s">
        <v>1278</v>
      </c>
      <c r="BK9" t="s">
        <v>1277</v>
      </c>
      <c r="BM9" t="s">
        <v>1284</v>
      </c>
    </row>
    <row r="10" spans="1:77" ht="42">
      <c r="A10" s="66" t="s">
        <v>1306</v>
      </c>
      <c r="B10" s="66" t="s">
        <v>1307</v>
      </c>
      <c r="C10" s="66"/>
      <c r="D10" s="66"/>
      <c r="E10" s="66" t="s">
        <v>1308</v>
      </c>
      <c r="F10" s="66" t="s">
        <v>1309</v>
      </c>
      <c r="G10" s="66" t="s">
        <v>1310</v>
      </c>
      <c r="H10" s="66" t="s">
        <v>1195</v>
      </c>
      <c r="I10" s="66" t="s">
        <v>1311</v>
      </c>
      <c r="J10" s="66" t="s">
        <v>1182</v>
      </c>
      <c r="K10" s="66" t="s">
        <v>1277</v>
      </c>
      <c r="L10" s="66" t="s">
        <v>1215</v>
      </c>
      <c r="M10" s="66" t="s">
        <v>1265</v>
      </c>
      <c r="N10" s="66" t="s">
        <v>1215</v>
      </c>
      <c r="O10" s="66" t="s">
        <v>1277</v>
      </c>
      <c r="P10" s="66" t="s">
        <v>1215</v>
      </c>
      <c r="Q10" s="86" t="s">
        <v>1215</v>
      </c>
      <c r="R10" s="86" t="s">
        <v>1215</v>
      </c>
      <c r="S10" s="86" t="s">
        <v>1215</v>
      </c>
      <c r="T10" s="86" t="s">
        <v>1215</v>
      </c>
      <c r="U10" s="86" t="s">
        <v>1215</v>
      </c>
      <c r="V10" s="86" t="s">
        <v>1215</v>
      </c>
      <c r="W10" s="67"/>
      <c r="X10" s="84" t="str">
        <f t="shared" si="0"/>
        <v>Belum Dinilai</v>
      </c>
      <c r="Y10" s="84" t="str">
        <f t="shared" si="1"/>
        <v>Belum Dinilai</v>
      </c>
      <c r="Z10" s="85" t="str">
        <f t="shared" si="2"/>
        <v/>
      </c>
      <c r="AA10" s="85" t="str">
        <f t="shared" si="3"/>
        <v/>
      </c>
      <c r="AB10" s="85" t="str">
        <f t="shared" si="4"/>
        <v/>
      </c>
      <c r="AC10" s="68" t="s">
        <v>1215</v>
      </c>
      <c r="AD10" s="68" t="s">
        <v>1215</v>
      </c>
      <c r="AE10" s="68" t="s">
        <v>1215</v>
      </c>
      <c r="AF10" s="68" t="s">
        <v>1215</v>
      </c>
      <c r="AG10" s="68" t="s">
        <v>1215</v>
      </c>
      <c r="AH10" s="68" t="s">
        <v>1215</v>
      </c>
      <c r="AI10" s="68" t="s">
        <v>1215</v>
      </c>
      <c r="AJ10" s="68" t="s">
        <v>1215</v>
      </c>
      <c r="AK10" s="68" t="s">
        <v>1215</v>
      </c>
      <c r="AL10" s="68"/>
      <c r="AM10" s="68" t="s">
        <v>1215</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1189</v>
      </c>
      <c r="AV10" s="66" t="s">
        <v>1204</v>
      </c>
      <c r="AW10" s="66" t="s">
        <v>1190</v>
      </c>
      <c r="AX10" s="66"/>
      <c r="AY10" s="66"/>
      <c r="AZ10" s="66" t="s">
        <v>927</v>
      </c>
      <c r="BA10" s="66"/>
      <c r="BB10" s="178"/>
      <c r="BC10" s="72">
        <v>2026</v>
      </c>
      <c r="BD10" s="66"/>
      <c r="BE10" s="178"/>
      <c r="BF10" s="66" t="s">
        <v>1278</v>
      </c>
      <c r="BM10" t="s">
        <v>1277</v>
      </c>
    </row>
    <row r="11" spans="1:77" ht="42">
      <c r="A11" s="66" t="s">
        <v>1312</v>
      </c>
      <c r="B11" s="66" t="s">
        <v>1313</v>
      </c>
      <c r="C11" s="66"/>
      <c r="D11" s="66"/>
      <c r="E11" s="66" t="s">
        <v>1314</v>
      </c>
      <c r="F11" s="66" t="s">
        <v>1315</v>
      </c>
      <c r="G11" s="66" t="s">
        <v>1289</v>
      </c>
      <c r="H11" s="66" t="s">
        <v>1181</v>
      </c>
      <c r="I11" s="66" t="s">
        <v>1276</v>
      </c>
      <c r="J11" s="66" t="s">
        <v>1196</v>
      </c>
      <c r="K11" s="66" t="s">
        <v>1211</v>
      </c>
      <c r="L11" s="66" t="s">
        <v>1215</v>
      </c>
      <c r="M11" s="66" t="s">
        <v>1266</v>
      </c>
      <c r="N11" s="66" t="s">
        <v>1215</v>
      </c>
      <c r="O11" s="66" t="s">
        <v>1277</v>
      </c>
      <c r="P11" s="66" t="s">
        <v>1215</v>
      </c>
      <c r="Q11" s="86" t="s">
        <v>1215</v>
      </c>
      <c r="R11" s="86" t="s">
        <v>1215</v>
      </c>
      <c r="S11" s="86" t="s">
        <v>1215</v>
      </c>
      <c r="T11" s="86" t="s">
        <v>1215</v>
      </c>
      <c r="U11" s="86" t="s">
        <v>1215</v>
      </c>
      <c r="V11" s="86" t="s">
        <v>1215</v>
      </c>
      <c r="W11" s="67"/>
      <c r="X11" s="84" t="str">
        <f t="shared" si="0"/>
        <v>Belum Dinilai</v>
      </c>
      <c r="Y11" s="84" t="str">
        <f t="shared" si="1"/>
        <v>Belum Dinilai</v>
      </c>
      <c r="Z11" s="85" t="str">
        <f t="shared" si="2"/>
        <v/>
      </c>
      <c r="AA11" s="85" t="str">
        <f t="shared" si="3"/>
        <v/>
      </c>
      <c r="AB11" s="85" t="str">
        <f t="shared" si="4"/>
        <v/>
      </c>
      <c r="AC11" s="68" t="s">
        <v>1215</v>
      </c>
      <c r="AD11" s="68" t="s">
        <v>1215</v>
      </c>
      <c r="AE11" s="68" t="s">
        <v>1215</v>
      </c>
      <c r="AF11" s="68" t="s">
        <v>1215</v>
      </c>
      <c r="AG11" s="68" t="s">
        <v>1215</v>
      </c>
      <c r="AH11" s="68" t="s">
        <v>1215</v>
      </c>
      <c r="AI11" s="68" t="s">
        <v>1215</v>
      </c>
      <c r="AJ11" s="68" t="s">
        <v>1215</v>
      </c>
      <c r="AK11" s="68" t="s">
        <v>1215</v>
      </c>
      <c r="AL11" s="68"/>
      <c r="AM11" s="68" t="s">
        <v>1215</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1189</v>
      </c>
      <c r="AV11" s="66" t="s">
        <v>1204</v>
      </c>
      <c r="AW11" s="66" t="s">
        <v>1898</v>
      </c>
      <c r="AX11" s="66" t="s">
        <v>1206</v>
      </c>
      <c r="AY11" s="66">
        <v>2023</v>
      </c>
      <c r="AZ11" s="66" t="s">
        <v>927</v>
      </c>
      <c r="BA11" s="66"/>
      <c r="BB11" s="178"/>
      <c r="BC11" s="72">
        <v>2026</v>
      </c>
      <c r="BD11" s="66"/>
      <c r="BE11" s="178"/>
      <c r="BF11" s="66" t="s">
        <v>1278</v>
      </c>
    </row>
    <row r="12" spans="1:77" ht="28">
      <c r="A12" s="66" t="s">
        <v>1316</v>
      </c>
      <c r="B12" s="66" t="s">
        <v>1317</v>
      </c>
      <c r="C12" s="66"/>
      <c r="D12" s="66"/>
      <c r="E12" s="66" t="s">
        <v>1318</v>
      </c>
      <c r="F12" s="66" t="s">
        <v>1319</v>
      </c>
      <c r="G12" s="66" t="s">
        <v>1289</v>
      </c>
      <c r="H12" s="66" t="s">
        <v>1181</v>
      </c>
      <c r="I12" s="66" t="s">
        <v>1320</v>
      </c>
      <c r="J12" s="66" t="s">
        <v>1263</v>
      </c>
      <c r="K12" s="66" t="s">
        <v>1277</v>
      </c>
      <c r="L12" s="66" t="s">
        <v>1215</v>
      </c>
      <c r="M12" s="66" t="s">
        <v>1277</v>
      </c>
      <c r="N12" s="66" t="s">
        <v>1215</v>
      </c>
      <c r="O12" s="66" t="s">
        <v>1277</v>
      </c>
      <c r="P12" s="66" t="s">
        <v>1215</v>
      </c>
      <c r="Q12" s="86" t="s">
        <v>1215</v>
      </c>
      <c r="R12" s="86" t="s">
        <v>1215</v>
      </c>
      <c r="S12" s="86" t="s">
        <v>1215</v>
      </c>
      <c r="T12" s="86" t="s">
        <v>1215</v>
      </c>
      <c r="U12" s="86" t="s">
        <v>1215</v>
      </c>
      <c r="V12" s="86" t="s">
        <v>1215</v>
      </c>
      <c r="W12" s="67"/>
      <c r="X12" s="84" t="str">
        <f t="shared" si="0"/>
        <v>Belum Dinilai</v>
      </c>
      <c r="Y12" s="84" t="str">
        <f t="shared" si="1"/>
        <v>Belum Dinilai</v>
      </c>
      <c r="Z12" s="85" t="str">
        <f t="shared" si="2"/>
        <v/>
      </c>
      <c r="AA12" s="85" t="str">
        <f t="shared" si="3"/>
        <v/>
      </c>
      <c r="AB12" s="85" t="str">
        <f t="shared" si="4"/>
        <v/>
      </c>
      <c r="AC12" s="68" t="s">
        <v>1215</v>
      </c>
      <c r="AD12" s="68" t="s">
        <v>1215</v>
      </c>
      <c r="AE12" s="68" t="s">
        <v>1215</v>
      </c>
      <c r="AF12" s="68" t="s">
        <v>1215</v>
      </c>
      <c r="AG12" s="68" t="s">
        <v>1215</v>
      </c>
      <c r="AH12" s="68" t="s">
        <v>1215</v>
      </c>
      <c r="AI12" s="68" t="s">
        <v>1215</v>
      </c>
      <c r="AJ12" s="68" t="s">
        <v>1215</v>
      </c>
      <c r="AK12" s="68" t="s">
        <v>1215</v>
      </c>
      <c r="AL12" s="68"/>
      <c r="AM12" s="68" t="s">
        <v>1215</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1189</v>
      </c>
      <c r="AV12" s="66" t="s">
        <v>1204</v>
      </c>
      <c r="AW12" s="66" t="s">
        <v>1190</v>
      </c>
      <c r="AX12" s="66"/>
      <c r="AY12" s="66"/>
      <c r="AZ12" s="66" t="s">
        <v>927</v>
      </c>
      <c r="BA12" s="66"/>
      <c r="BB12" s="178"/>
      <c r="BC12" s="72">
        <v>2026</v>
      </c>
      <c r="BD12" s="66"/>
      <c r="BE12" s="178"/>
      <c r="BF12" s="66" t="s">
        <v>1278</v>
      </c>
    </row>
    <row r="13" spans="1:77" ht="28">
      <c r="A13" s="66" t="s">
        <v>1321</v>
      </c>
      <c r="B13" s="66" t="s">
        <v>1322</v>
      </c>
      <c r="C13" s="66"/>
      <c r="D13" s="66"/>
      <c r="E13" s="66" t="s">
        <v>1323</v>
      </c>
      <c r="F13" s="66" t="s">
        <v>1324</v>
      </c>
      <c r="G13" s="66" t="s">
        <v>1325</v>
      </c>
      <c r="H13" s="66" t="s">
        <v>1181</v>
      </c>
      <c r="I13" s="66" t="s">
        <v>1326</v>
      </c>
      <c r="J13" s="66" t="s">
        <v>1263</v>
      </c>
      <c r="K13" s="66" t="s">
        <v>1277</v>
      </c>
      <c r="L13" s="66" t="s">
        <v>895</v>
      </c>
      <c r="M13" s="66" t="s">
        <v>1277</v>
      </c>
      <c r="N13" s="66" t="s">
        <v>895</v>
      </c>
      <c r="O13" s="66" t="s">
        <v>1277</v>
      </c>
      <c r="P13" s="66" t="s">
        <v>1215</v>
      </c>
      <c r="Q13" s="86" t="s">
        <v>1215</v>
      </c>
      <c r="R13" s="86" t="s">
        <v>1215</v>
      </c>
      <c r="S13" s="86" t="s">
        <v>1215</v>
      </c>
      <c r="T13" s="86" t="s">
        <v>1215</v>
      </c>
      <c r="U13" s="86" t="s">
        <v>1215</v>
      </c>
      <c r="V13" s="86" t="s">
        <v>1215</v>
      </c>
      <c r="W13" s="67"/>
      <c r="X13" s="84" t="str">
        <f t="shared" si="0"/>
        <v>Belum Dinilai</v>
      </c>
      <c r="Y13" s="84" t="str">
        <f t="shared" si="1"/>
        <v>Belum Dinilai</v>
      </c>
      <c r="Z13" s="85" t="str">
        <f t="shared" si="2"/>
        <v/>
      </c>
      <c r="AA13" s="85" t="str">
        <f t="shared" si="3"/>
        <v/>
      </c>
      <c r="AB13" s="85" t="str">
        <f t="shared" si="4"/>
        <v/>
      </c>
      <c r="AC13" s="68" t="s">
        <v>1215</v>
      </c>
      <c r="AD13" s="68" t="s">
        <v>1215</v>
      </c>
      <c r="AE13" s="68" t="s">
        <v>1215</v>
      </c>
      <c r="AF13" s="68" t="s">
        <v>1215</v>
      </c>
      <c r="AG13" s="68" t="s">
        <v>1215</v>
      </c>
      <c r="AH13" s="68" t="s">
        <v>1215</v>
      </c>
      <c r="AI13" s="68" t="s">
        <v>1215</v>
      </c>
      <c r="AJ13" s="68" t="s">
        <v>1215</v>
      </c>
      <c r="AK13" s="68" t="s">
        <v>1215</v>
      </c>
      <c r="AL13" s="68"/>
      <c r="AM13" s="68" t="s">
        <v>1215</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1189</v>
      </c>
      <c r="AV13" s="66" t="s">
        <v>1204</v>
      </c>
      <c r="AW13" s="66" t="s">
        <v>1190</v>
      </c>
      <c r="AX13" s="66"/>
      <c r="AY13" s="66"/>
      <c r="AZ13" s="66" t="s">
        <v>927</v>
      </c>
      <c r="BA13" s="66"/>
      <c r="BB13" s="178"/>
      <c r="BC13" s="72">
        <v>2026</v>
      </c>
      <c r="BD13" s="66"/>
      <c r="BE13" s="178"/>
      <c r="BF13" s="66" t="s">
        <v>1278</v>
      </c>
    </row>
    <row r="14" spans="1:77" ht="28">
      <c r="A14" s="66" t="s">
        <v>1327</v>
      </c>
      <c r="B14" s="66" t="s">
        <v>1328</v>
      </c>
      <c r="C14" s="66"/>
      <c r="D14" s="66"/>
      <c r="E14" s="66" t="s">
        <v>1329</v>
      </c>
      <c r="F14" s="66" t="s">
        <v>1330</v>
      </c>
      <c r="G14" s="66" t="s">
        <v>1331</v>
      </c>
      <c r="H14" s="66" t="s">
        <v>1181</v>
      </c>
      <c r="I14" s="66" t="s">
        <v>1332</v>
      </c>
      <c r="J14" s="66" t="s">
        <v>1263</v>
      </c>
      <c r="K14" s="66" t="s">
        <v>1277</v>
      </c>
      <c r="L14" s="66" t="s">
        <v>1215</v>
      </c>
      <c r="M14" s="66" t="s">
        <v>1277</v>
      </c>
      <c r="N14" s="66" t="s">
        <v>1215</v>
      </c>
      <c r="O14" s="66" t="s">
        <v>1277</v>
      </c>
      <c r="P14" s="66" t="s">
        <v>1215</v>
      </c>
      <c r="Q14" s="86" t="s">
        <v>1215</v>
      </c>
      <c r="R14" s="86" t="s">
        <v>1215</v>
      </c>
      <c r="S14" s="86" t="s">
        <v>1215</v>
      </c>
      <c r="T14" s="86" t="s">
        <v>1215</v>
      </c>
      <c r="U14" s="86" t="s">
        <v>1215</v>
      </c>
      <c r="V14" s="86" t="s">
        <v>1215</v>
      </c>
      <c r="W14" s="67"/>
      <c r="X14" s="84" t="str">
        <f t="shared" si="0"/>
        <v>Belum Dinilai</v>
      </c>
      <c r="Y14" s="84" t="str">
        <f t="shared" si="1"/>
        <v>Belum Dinilai</v>
      </c>
      <c r="Z14" s="85" t="str">
        <f t="shared" si="2"/>
        <v/>
      </c>
      <c r="AA14" s="85" t="str">
        <f t="shared" si="3"/>
        <v/>
      </c>
      <c r="AB14" s="85" t="str">
        <f t="shared" si="4"/>
        <v/>
      </c>
      <c r="AC14" s="68" t="s">
        <v>1215</v>
      </c>
      <c r="AD14" s="68" t="s">
        <v>1215</v>
      </c>
      <c r="AE14" s="68" t="s">
        <v>1215</v>
      </c>
      <c r="AF14" s="68" t="s">
        <v>1215</v>
      </c>
      <c r="AG14" s="68" t="s">
        <v>1215</v>
      </c>
      <c r="AH14" s="68" t="s">
        <v>1215</v>
      </c>
      <c r="AI14" s="68" t="s">
        <v>1215</v>
      </c>
      <c r="AJ14" s="68" t="s">
        <v>1215</v>
      </c>
      <c r="AK14" s="68" t="s">
        <v>1215</v>
      </c>
      <c r="AL14" s="68"/>
      <c r="AM14" s="68" t="s">
        <v>1215</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1189</v>
      </c>
      <c r="AV14" s="66" t="s">
        <v>1204</v>
      </c>
      <c r="AW14" s="66" t="s">
        <v>1190</v>
      </c>
      <c r="AX14" s="66"/>
      <c r="AY14" s="66"/>
      <c r="AZ14" s="66" t="s">
        <v>927</v>
      </c>
      <c r="BA14" s="66"/>
      <c r="BB14" s="178"/>
      <c r="BC14" s="72">
        <v>2026</v>
      </c>
      <c r="BD14" s="66"/>
      <c r="BE14" s="178"/>
      <c r="BF14" s="66" t="s">
        <v>1278</v>
      </c>
    </row>
    <row r="15" spans="1:77" ht="28">
      <c r="A15" s="66" t="s">
        <v>1333</v>
      </c>
      <c r="B15" s="66" t="s">
        <v>1334</v>
      </c>
      <c r="C15" s="66"/>
      <c r="D15" s="66"/>
      <c r="E15" s="66" t="s">
        <v>1335</v>
      </c>
      <c r="F15" s="66" t="s">
        <v>1336</v>
      </c>
      <c r="G15" s="66" t="s">
        <v>1331</v>
      </c>
      <c r="H15" s="66" t="s">
        <v>1181</v>
      </c>
      <c r="I15" s="66" t="s">
        <v>1337</v>
      </c>
      <c r="J15" s="66" t="s">
        <v>1263</v>
      </c>
      <c r="K15" s="66" t="s">
        <v>1277</v>
      </c>
      <c r="L15" s="66" t="s">
        <v>895</v>
      </c>
      <c r="M15" s="66" t="s">
        <v>1277</v>
      </c>
      <c r="N15" s="66" t="s">
        <v>1215</v>
      </c>
      <c r="O15" s="66" t="s">
        <v>1277</v>
      </c>
      <c r="P15" s="66" t="s">
        <v>1215</v>
      </c>
      <c r="Q15" s="86" t="s">
        <v>1215</v>
      </c>
      <c r="R15" s="86" t="s">
        <v>1215</v>
      </c>
      <c r="S15" s="86" t="s">
        <v>1215</v>
      </c>
      <c r="T15" s="86" t="s">
        <v>1215</v>
      </c>
      <c r="U15" s="86" t="s">
        <v>1215</v>
      </c>
      <c r="V15" s="86" t="s">
        <v>1215</v>
      </c>
      <c r="W15" s="67"/>
      <c r="X15" s="84" t="str">
        <f t="shared" si="0"/>
        <v>Belum Dinilai</v>
      </c>
      <c r="Y15" s="84" t="str">
        <f t="shared" si="1"/>
        <v>Belum Dinilai</v>
      </c>
      <c r="Z15" s="85" t="str">
        <f t="shared" si="2"/>
        <v/>
      </c>
      <c r="AA15" s="85" t="str">
        <f t="shared" si="3"/>
        <v/>
      </c>
      <c r="AB15" s="85" t="str">
        <f t="shared" si="4"/>
        <v/>
      </c>
      <c r="AC15" s="68" t="s">
        <v>1215</v>
      </c>
      <c r="AD15" s="68" t="s">
        <v>1215</v>
      </c>
      <c r="AE15" s="68" t="s">
        <v>1215</v>
      </c>
      <c r="AF15" s="68" t="s">
        <v>1215</v>
      </c>
      <c r="AG15" s="68" t="s">
        <v>1215</v>
      </c>
      <c r="AH15" s="68" t="s">
        <v>1215</v>
      </c>
      <c r="AI15" s="68" t="s">
        <v>1215</v>
      </c>
      <c r="AJ15" s="68" t="s">
        <v>1215</v>
      </c>
      <c r="AK15" s="68" t="s">
        <v>1215</v>
      </c>
      <c r="AL15" s="68"/>
      <c r="AM15" s="68" t="s">
        <v>1215</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1189</v>
      </c>
      <c r="AV15" s="66" t="s">
        <v>1204</v>
      </c>
      <c r="AW15" s="66" t="s">
        <v>1190</v>
      </c>
      <c r="AX15" s="66"/>
      <c r="AY15" s="66"/>
      <c r="AZ15" s="66" t="s">
        <v>927</v>
      </c>
      <c r="BA15" s="66"/>
      <c r="BB15" s="178"/>
      <c r="BC15" s="72">
        <v>2026</v>
      </c>
      <c r="BD15" s="66"/>
      <c r="BE15" s="178"/>
      <c r="BF15" s="66" t="s">
        <v>1278</v>
      </c>
    </row>
    <row r="16" spans="1:77" ht="28">
      <c r="A16" s="66" t="s">
        <v>1338</v>
      </c>
      <c r="B16" s="66" t="s">
        <v>1339</v>
      </c>
      <c r="C16" s="66"/>
      <c r="D16" s="66"/>
      <c r="E16" s="66" t="s">
        <v>1340</v>
      </c>
      <c r="F16" s="66" t="s">
        <v>1341</v>
      </c>
      <c r="G16" s="66" t="s">
        <v>1331</v>
      </c>
      <c r="H16" s="66" t="s">
        <v>1181</v>
      </c>
      <c r="I16" s="66" t="s">
        <v>1342</v>
      </c>
      <c r="J16" s="66" t="s">
        <v>1263</v>
      </c>
      <c r="K16" s="66" t="s">
        <v>1277</v>
      </c>
      <c r="L16" s="66" t="s">
        <v>1215</v>
      </c>
      <c r="M16" s="66" t="s">
        <v>1277</v>
      </c>
      <c r="N16" s="66" t="s">
        <v>1215</v>
      </c>
      <c r="O16" s="66" t="s">
        <v>1277</v>
      </c>
      <c r="P16" s="66" t="s">
        <v>1215</v>
      </c>
      <c r="Q16" s="86" t="s">
        <v>1215</v>
      </c>
      <c r="R16" s="86" t="s">
        <v>1215</v>
      </c>
      <c r="S16" s="86" t="s">
        <v>1215</v>
      </c>
      <c r="T16" s="86" t="s">
        <v>1215</v>
      </c>
      <c r="U16" s="86" t="s">
        <v>1215</v>
      </c>
      <c r="V16" s="86" t="s">
        <v>1215</v>
      </c>
      <c r="W16" s="67"/>
      <c r="X16" s="84" t="str">
        <f t="shared" si="0"/>
        <v>Belum Dinilai</v>
      </c>
      <c r="Y16" s="84" t="str">
        <f t="shared" si="1"/>
        <v>Belum Dinilai</v>
      </c>
      <c r="Z16" s="85" t="str">
        <f t="shared" si="2"/>
        <v/>
      </c>
      <c r="AA16" s="85" t="str">
        <f t="shared" si="3"/>
        <v/>
      </c>
      <c r="AB16" s="85" t="str">
        <f t="shared" si="4"/>
        <v/>
      </c>
      <c r="AC16" s="68" t="s">
        <v>1215</v>
      </c>
      <c r="AD16" s="68" t="s">
        <v>1215</v>
      </c>
      <c r="AE16" s="68" t="s">
        <v>1215</v>
      </c>
      <c r="AF16" s="68" t="s">
        <v>1215</v>
      </c>
      <c r="AG16" s="68" t="s">
        <v>1215</v>
      </c>
      <c r="AH16" s="68" t="s">
        <v>1215</v>
      </c>
      <c r="AI16" s="68" t="s">
        <v>1215</v>
      </c>
      <c r="AJ16" s="68" t="s">
        <v>1215</v>
      </c>
      <c r="AK16" s="68" t="s">
        <v>1215</v>
      </c>
      <c r="AL16" s="68"/>
      <c r="AM16" s="68" t="s">
        <v>1215</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1189</v>
      </c>
      <c r="AV16" s="66" t="s">
        <v>1204</v>
      </c>
      <c r="AW16" s="66" t="s">
        <v>1190</v>
      </c>
      <c r="AX16" s="66"/>
      <c r="AY16" s="66"/>
      <c r="AZ16" s="66" t="s">
        <v>927</v>
      </c>
      <c r="BA16" s="66"/>
      <c r="BB16" s="178"/>
      <c r="BC16" s="72">
        <v>2026</v>
      </c>
      <c r="BD16" s="66"/>
      <c r="BE16" s="178"/>
      <c r="BF16" s="66" t="s">
        <v>1278</v>
      </c>
    </row>
    <row r="17" spans="1:58" ht="28">
      <c r="A17" s="66" t="s">
        <v>1343</v>
      </c>
      <c r="B17" s="66" t="s">
        <v>1344</v>
      </c>
      <c r="C17" s="66"/>
      <c r="D17" s="66"/>
      <c r="E17" s="66" t="s">
        <v>1345</v>
      </c>
      <c r="F17" s="66" t="s">
        <v>1304</v>
      </c>
      <c r="G17" s="66" t="s">
        <v>1325</v>
      </c>
      <c r="H17" s="66" t="s">
        <v>1181</v>
      </c>
      <c r="I17" s="66" t="s">
        <v>1346</v>
      </c>
      <c r="J17" s="66" t="s">
        <v>1263</v>
      </c>
      <c r="K17" s="66" t="s">
        <v>1277</v>
      </c>
      <c r="L17" s="66" t="s">
        <v>895</v>
      </c>
      <c r="M17" s="66" t="s">
        <v>1277</v>
      </c>
      <c r="N17" s="66" t="s">
        <v>895</v>
      </c>
      <c r="O17" s="66" t="s">
        <v>1277</v>
      </c>
      <c r="P17" s="66" t="s">
        <v>1215</v>
      </c>
      <c r="Q17" s="86" t="s">
        <v>1215</v>
      </c>
      <c r="R17" s="86" t="s">
        <v>1215</v>
      </c>
      <c r="S17" s="86" t="s">
        <v>1215</v>
      </c>
      <c r="T17" s="86" t="s">
        <v>1215</v>
      </c>
      <c r="U17" s="86" t="s">
        <v>1215</v>
      </c>
      <c r="V17" s="86" t="s">
        <v>1215</v>
      </c>
      <c r="W17" s="67"/>
      <c r="X17" s="84" t="str">
        <f t="shared" si="0"/>
        <v>Belum Dinilai</v>
      </c>
      <c r="Y17" s="84" t="str">
        <f t="shared" si="1"/>
        <v>Belum Dinilai</v>
      </c>
      <c r="Z17" s="85" t="str">
        <f t="shared" si="2"/>
        <v/>
      </c>
      <c r="AA17" s="85" t="str">
        <f t="shared" si="3"/>
        <v/>
      </c>
      <c r="AB17" s="85" t="str">
        <f t="shared" si="4"/>
        <v/>
      </c>
      <c r="AC17" s="68" t="s">
        <v>1215</v>
      </c>
      <c r="AD17" s="68" t="s">
        <v>1215</v>
      </c>
      <c r="AE17" s="68" t="s">
        <v>1215</v>
      </c>
      <c r="AF17" s="68" t="s">
        <v>1215</v>
      </c>
      <c r="AG17" s="68" t="s">
        <v>1215</v>
      </c>
      <c r="AH17" s="68" t="s">
        <v>1215</v>
      </c>
      <c r="AI17" s="68" t="s">
        <v>1215</v>
      </c>
      <c r="AJ17" s="68" t="s">
        <v>1215</v>
      </c>
      <c r="AK17" s="68" t="s">
        <v>1215</v>
      </c>
      <c r="AL17" s="68"/>
      <c r="AM17" s="68" t="s">
        <v>1215</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1203</v>
      </c>
      <c r="AV17" s="66" t="s">
        <v>1204</v>
      </c>
      <c r="AW17" s="66" t="s">
        <v>1190</v>
      </c>
      <c r="AX17" s="66"/>
      <c r="AY17" s="66"/>
      <c r="AZ17" s="66" t="s">
        <v>927</v>
      </c>
      <c r="BA17" s="66"/>
      <c r="BB17" s="178"/>
      <c r="BC17" s="72">
        <v>2026</v>
      </c>
      <c r="BD17" s="66"/>
      <c r="BE17" s="178"/>
      <c r="BF17" s="66" t="s">
        <v>1278</v>
      </c>
    </row>
    <row r="18" spans="1:58" ht="28">
      <c r="A18" s="66" t="s">
        <v>1347</v>
      </c>
      <c r="B18" s="66" t="s">
        <v>1348</v>
      </c>
      <c r="C18" s="66"/>
      <c r="D18" s="66"/>
      <c r="E18" s="66" t="s">
        <v>1349</v>
      </c>
      <c r="F18" s="66" t="s">
        <v>1350</v>
      </c>
      <c r="G18" s="66" t="s">
        <v>1351</v>
      </c>
      <c r="H18" s="66" t="s">
        <v>1195</v>
      </c>
      <c r="I18" s="66" t="s">
        <v>1352</v>
      </c>
      <c r="J18" s="66" t="s">
        <v>1263</v>
      </c>
      <c r="K18" s="66" t="s">
        <v>1277</v>
      </c>
      <c r="L18" s="66" t="s">
        <v>895</v>
      </c>
      <c r="M18" s="66" t="s">
        <v>1277</v>
      </c>
      <c r="N18" s="66" t="s">
        <v>1215</v>
      </c>
      <c r="O18" s="66" t="s">
        <v>1277</v>
      </c>
      <c r="P18" s="66" t="s">
        <v>1215</v>
      </c>
      <c r="Q18" s="86" t="s">
        <v>1215</v>
      </c>
      <c r="R18" s="86" t="s">
        <v>1215</v>
      </c>
      <c r="S18" s="86" t="s">
        <v>1215</v>
      </c>
      <c r="T18" s="86" t="s">
        <v>1215</v>
      </c>
      <c r="U18" s="86" t="s">
        <v>1215</v>
      </c>
      <c r="V18" s="86" t="s">
        <v>1215</v>
      </c>
      <c r="W18" s="67"/>
      <c r="X18" s="84" t="str">
        <f t="shared" si="0"/>
        <v>Belum Dinilai</v>
      </c>
      <c r="Y18" s="84" t="str">
        <f t="shared" si="1"/>
        <v>Belum Dinilai</v>
      </c>
      <c r="Z18" s="85" t="str">
        <f t="shared" si="2"/>
        <v/>
      </c>
      <c r="AA18" s="85" t="str">
        <f t="shared" si="3"/>
        <v/>
      </c>
      <c r="AB18" s="85" t="str">
        <f t="shared" si="4"/>
        <v/>
      </c>
      <c r="AC18" s="68" t="s">
        <v>1215</v>
      </c>
      <c r="AD18" s="68" t="s">
        <v>1215</v>
      </c>
      <c r="AE18" s="68" t="s">
        <v>1215</v>
      </c>
      <c r="AF18" s="68" t="s">
        <v>1215</v>
      </c>
      <c r="AG18" s="68" t="s">
        <v>1215</v>
      </c>
      <c r="AH18" s="68" t="s">
        <v>1215</v>
      </c>
      <c r="AI18" s="68" t="s">
        <v>1215</v>
      </c>
      <c r="AJ18" s="68" t="s">
        <v>1215</v>
      </c>
      <c r="AK18" s="68" t="s">
        <v>1215</v>
      </c>
      <c r="AL18" s="68"/>
      <c r="AM18" s="68" t="s">
        <v>1215</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1189</v>
      </c>
      <c r="AV18" s="66" t="s">
        <v>1204</v>
      </c>
      <c r="AW18" s="66" t="s">
        <v>1190</v>
      </c>
      <c r="AX18" s="66"/>
      <c r="AY18" s="66"/>
      <c r="AZ18" s="66" t="s">
        <v>927</v>
      </c>
      <c r="BA18" s="66"/>
      <c r="BB18" s="178"/>
      <c r="BC18" s="72">
        <v>2026</v>
      </c>
      <c r="BD18" s="66"/>
      <c r="BE18" s="178"/>
      <c r="BF18" s="66" t="s">
        <v>1278</v>
      </c>
    </row>
    <row r="19" spans="1:58" ht="28">
      <c r="A19" s="66" t="s">
        <v>1932</v>
      </c>
      <c r="B19" s="66" t="s">
        <v>1354</v>
      </c>
      <c r="C19" s="66"/>
      <c r="D19" s="66"/>
      <c r="E19" s="66" t="s">
        <v>1355</v>
      </c>
      <c r="F19" s="66" t="s">
        <v>1356</v>
      </c>
      <c r="G19" s="66" t="s">
        <v>1289</v>
      </c>
      <c r="H19" s="66" t="s">
        <v>1181</v>
      </c>
      <c r="I19" s="66" t="s">
        <v>1290</v>
      </c>
      <c r="J19" s="66" t="s">
        <v>1210</v>
      </c>
      <c r="K19" s="66" t="s">
        <v>1211</v>
      </c>
      <c r="L19" s="66" t="s">
        <v>891</v>
      </c>
      <c r="M19" s="66" t="s">
        <v>1266</v>
      </c>
      <c r="N19" s="66" t="s">
        <v>891</v>
      </c>
      <c r="O19" s="66" t="s">
        <v>1213</v>
      </c>
      <c r="P19" s="66" t="s">
        <v>891</v>
      </c>
      <c r="Q19" s="86" t="s">
        <v>1186</v>
      </c>
      <c r="R19" s="86" t="s">
        <v>1187</v>
      </c>
      <c r="S19" s="86" t="s">
        <v>1201</v>
      </c>
      <c r="T19" s="86" t="s">
        <v>1187</v>
      </c>
      <c r="U19" s="86" t="s">
        <v>1201</v>
      </c>
      <c r="V19" s="86" t="s">
        <v>1201</v>
      </c>
      <c r="W19" s="67"/>
      <c r="X19" s="84" t="str">
        <f t="shared" si="0"/>
        <v xml:space="preserve">Lansia; Kepala keluarga perempuan; </v>
      </c>
      <c r="Y19" s="84" t="str">
        <f t="shared" si="1"/>
        <v>2 atau Lebih Faktor Rentan</v>
      </c>
      <c r="Z19" s="85">
        <f t="shared" si="2"/>
        <v>10</v>
      </c>
      <c r="AA19" s="85">
        <f t="shared" si="3"/>
        <v>10</v>
      </c>
      <c r="AB19" s="85">
        <f t="shared" si="4"/>
        <v>20</v>
      </c>
      <c r="AC19" s="68" t="s">
        <v>1201</v>
      </c>
      <c r="AD19" s="68" t="s">
        <v>1201</v>
      </c>
      <c r="AE19" s="68" t="s">
        <v>1201</v>
      </c>
      <c r="AF19" s="68" t="s">
        <v>1201</v>
      </c>
      <c r="AG19" s="68" t="s">
        <v>1187</v>
      </c>
      <c r="AH19" s="68" t="s">
        <v>1187</v>
      </c>
      <c r="AI19" s="68" t="s">
        <v>1187</v>
      </c>
      <c r="AJ19" s="68" t="s">
        <v>1201</v>
      </c>
      <c r="AK19" s="68" t="s">
        <v>1201</v>
      </c>
      <c r="AL19" s="68"/>
      <c r="AM19" s="68" t="s">
        <v>1215</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1189</v>
      </c>
      <c r="AV19" s="66" t="s">
        <v>1204</v>
      </c>
      <c r="AW19" s="66" t="s">
        <v>1205</v>
      </c>
      <c r="AX19" s="66" t="s">
        <v>1283</v>
      </c>
      <c r="AY19" s="66">
        <v>2026</v>
      </c>
      <c r="AZ19" s="66" t="s">
        <v>1192</v>
      </c>
      <c r="BA19" s="66"/>
      <c r="BB19" s="178"/>
      <c r="BC19" s="72">
        <v>2026</v>
      </c>
      <c r="BD19" s="66" t="s">
        <v>1219</v>
      </c>
      <c r="BE19" s="178"/>
      <c r="BF19" s="66" t="s">
        <v>1278</v>
      </c>
    </row>
    <row r="20" spans="1:58" ht="28">
      <c r="A20" s="66" t="s">
        <v>1933</v>
      </c>
      <c r="B20" s="66" t="s">
        <v>1358</v>
      </c>
      <c r="C20" s="66"/>
      <c r="D20" s="66"/>
      <c r="E20" s="66" t="s">
        <v>1359</v>
      </c>
      <c r="F20" s="66" t="s">
        <v>1360</v>
      </c>
      <c r="G20" s="66" t="s">
        <v>1361</v>
      </c>
      <c r="H20" s="66" t="s">
        <v>1181</v>
      </c>
      <c r="I20" s="66" t="s">
        <v>1362</v>
      </c>
      <c r="J20" s="66" t="s">
        <v>1210</v>
      </c>
      <c r="K20" s="66" t="s">
        <v>1211</v>
      </c>
      <c r="L20" s="66" t="s">
        <v>1215</v>
      </c>
      <c r="M20" s="66" t="s">
        <v>1266</v>
      </c>
      <c r="N20" s="66" t="s">
        <v>1215</v>
      </c>
      <c r="O20" s="66" t="s">
        <v>1213</v>
      </c>
      <c r="P20" s="66" t="s">
        <v>1215</v>
      </c>
      <c r="Q20" s="86" t="s">
        <v>1215</v>
      </c>
      <c r="R20" s="86" t="s">
        <v>1215</v>
      </c>
      <c r="S20" s="86" t="s">
        <v>1215</v>
      </c>
      <c r="T20" s="86" t="s">
        <v>1215</v>
      </c>
      <c r="U20" s="86" t="s">
        <v>1215</v>
      </c>
      <c r="V20" s="86" t="s">
        <v>1215</v>
      </c>
      <c r="W20" s="67"/>
      <c r="X20" s="84" t="str">
        <f t="shared" si="0"/>
        <v>Belum Dinilai</v>
      </c>
      <c r="Y20" s="84" t="str">
        <f t="shared" si="1"/>
        <v>Belum Dinilai</v>
      </c>
      <c r="Z20" s="85" t="str">
        <f t="shared" si="2"/>
        <v/>
      </c>
      <c r="AA20" s="85" t="str">
        <f t="shared" si="3"/>
        <v/>
      </c>
      <c r="AB20" s="85" t="str">
        <f t="shared" si="4"/>
        <v/>
      </c>
      <c r="AC20" s="68" t="s">
        <v>1215</v>
      </c>
      <c r="AD20" s="68" t="s">
        <v>1215</v>
      </c>
      <c r="AE20" s="68" t="s">
        <v>1215</v>
      </c>
      <c r="AF20" s="68" t="s">
        <v>1215</v>
      </c>
      <c r="AG20" s="68" t="s">
        <v>1215</v>
      </c>
      <c r="AH20" s="68" t="s">
        <v>1215</v>
      </c>
      <c r="AI20" s="68" t="s">
        <v>1215</v>
      </c>
      <c r="AJ20" s="68" t="s">
        <v>1215</v>
      </c>
      <c r="AK20" s="68" t="s">
        <v>1215</v>
      </c>
      <c r="AL20" s="68"/>
      <c r="AM20" s="68" t="s">
        <v>1215</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1203</v>
      </c>
      <c r="AV20" s="66" t="s">
        <v>1204</v>
      </c>
      <c r="AW20" s="66" t="s">
        <v>1898</v>
      </c>
      <c r="AX20" s="66" t="s">
        <v>1268</v>
      </c>
      <c r="AY20" s="66">
        <v>2024</v>
      </c>
      <c r="AZ20" s="66" t="s">
        <v>1192</v>
      </c>
      <c r="BA20" s="66"/>
      <c r="BB20" s="178"/>
      <c r="BC20" s="72">
        <v>2026</v>
      </c>
      <c r="BD20" s="66"/>
      <c r="BE20" s="178"/>
      <c r="BF20" s="66" t="s">
        <v>1278</v>
      </c>
    </row>
    <row r="21" spans="1:58" ht="28">
      <c r="A21" s="66" t="s">
        <v>1353</v>
      </c>
      <c r="B21" s="66" t="s">
        <v>1364</v>
      </c>
      <c r="C21" s="66"/>
      <c r="D21" s="66"/>
      <c r="E21" s="66" t="s">
        <v>1365</v>
      </c>
      <c r="F21" s="66" t="s">
        <v>1366</v>
      </c>
      <c r="G21" s="66" t="s">
        <v>1361</v>
      </c>
      <c r="H21" s="66" t="s">
        <v>1181</v>
      </c>
      <c r="I21" s="66" t="s">
        <v>1367</v>
      </c>
      <c r="J21" s="66" t="s">
        <v>1210</v>
      </c>
      <c r="K21" s="66" t="s">
        <v>1211</v>
      </c>
      <c r="L21" s="66" t="s">
        <v>1215</v>
      </c>
      <c r="M21" s="66" t="s">
        <v>1266</v>
      </c>
      <c r="N21" s="66" t="s">
        <v>1215</v>
      </c>
      <c r="O21" s="66" t="s">
        <v>1277</v>
      </c>
      <c r="P21" s="66" t="s">
        <v>1215</v>
      </c>
      <c r="Q21" s="86" t="s">
        <v>1215</v>
      </c>
      <c r="R21" s="86" t="s">
        <v>1215</v>
      </c>
      <c r="S21" s="86" t="s">
        <v>1215</v>
      </c>
      <c r="T21" s="86" t="s">
        <v>1215</v>
      </c>
      <c r="U21" s="86" t="s">
        <v>1215</v>
      </c>
      <c r="V21" s="86" t="s">
        <v>1215</v>
      </c>
      <c r="W21" s="67"/>
      <c r="X21" s="84" t="str">
        <f t="shared" si="0"/>
        <v>Belum Dinilai</v>
      </c>
      <c r="Y21" s="84" t="str">
        <f t="shared" si="1"/>
        <v>Belum Dinilai</v>
      </c>
      <c r="Z21" s="85" t="str">
        <f t="shared" si="2"/>
        <v/>
      </c>
      <c r="AA21" s="85" t="str">
        <f t="shared" si="3"/>
        <v/>
      </c>
      <c r="AB21" s="85" t="str">
        <f t="shared" si="4"/>
        <v/>
      </c>
      <c r="AC21" s="68" t="s">
        <v>1215</v>
      </c>
      <c r="AD21" s="68" t="s">
        <v>1215</v>
      </c>
      <c r="AE21" s="68" t="s">
        <v>1215</v>
      </c>
      <c r="AF21" s="68" t="s">
        <v>1215</v>
      </c>
      <c r="AG21" s="68" t="s">
        <v>1215</v>
      </c>
      <c r="AH21" s="68" t="s">
        <v>1215</v>
      </c>
      <c r="AI21" s="68" t="s">
        <v>1215</v>
      </c>
      <c r="AJ21" s="68" t="s">
        <v>1215</v>
      </c>
      <c r="AK21" s="68" t="s">
        <v>1215</v>
      </c>
      <c r="AL21" s="68"/>
      <c r="AM21" s="68" t="s">
        <v>1215</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1189</v>
      </c>
      <c r="AV21" s="66" t="s">
        <v>1204</v>
      </c>
      <c r="AW21" s="66" t="s">
        <v>1190</v>
      </c>
      <c r="AX21" s="66"/>
      <c r="AY21" s="66"/>
      <c r="AZ21" s="66" t="s">
        <v>927</v>
      </c>
      <c r="BA21" s="66"/>
      <c r="BB21" s="178"/>
      <c r="BC21" s="72">
        <v>2026</v>
      </c>
      <c r="BD21" s="66"/>
      <c r="BE21" s="178"/>
      <c r="BF21" s="66" t="s">
        <v>1278</v>
      </c>
    </row>
    <row r="22" spans="1:58" ht="56">
      <c r="A22" s="66" t="s">
        <v>1934</v>
      </c>
      <c r="B22" s="66" t="s">
        <v>1369</v>
      </c>
      <c r="C22" s="66"/>
      <c r="D22" s="66"/>
      <c r="E22" s="66" t="s">
        <v>1391</v>
      </c>
      <c r="F22" s="66" t="s">
        <v>1319</v>
      </c>
      <c r="G22" s="66" t="s">
        <v>1289</v>
      </c>
      <c r="H22" s="66" t="s">
        <v>1181</v>
      </c>
      <c r="I22" s="66" t="s">
        <v>1370</v>
      </c>
      <c r="J22" s="66" t="s">
        <v>1210</v>
      </c>
      <c r="K22" s="66" t="s">
        <v>1293</v>
      </c>
      <c r="L22" s="66" t="s">
        <v>1215</v>
      </c>
      <c r="M22" s="66" t="s">
        <v>1266</v>
      </c>
      <c r="N22" s="66" t="s">
        <v>895</v>
      </c>
      <c r="O22" s="66" t="s">
        <v>1213</v>
      </c>
      <c r="P22" s="66" t="s">
        <v>895</v>
      </c>
      <c r="Q22" s="86" t="s">
        <v>1215</v>
      </c>
      <c r="R22" s="86" t="s">
        <v>1215</v>
      </c>
      <c r="S22" s="86" t="s">
        <v>1215</v>
      </c>
      <c r="T22" s="86" t="s">
        <v>1215</v>
      </c>
      <c r="U22" s="86" t="s">
        <v>1215</v>
      </c>
      <c r="V22" s="86" t="s">
        <v>1215</v>
      </c>
      <c r="W22" s="67"/>
      <c r="X22" s="84" t="str">
        <f t="shared" si="0"/>
        <v>Belum Dinilai</v>
      </c>
      <c r="Y22" s="84" t="str">
        <f t="shared" si="1"/>
        <v>Belum Dinilai</v>
      </c>
      <c r="Z22" s="85" t="str">
        <f t="shared" si="2"/>
        <v/>
      </c>
      <c r="AA22" s="85" t="str">
        <f t="shared" si="3"/>
        <v/>
      </c>
      <c r="AB22" s="85" t="str">
        <f t="shared" si="4"/>
        <v/>
      </c>
      <c r="AC22" s="68" t="s">
        <v>1215</v>
      </c>
      <c r="AD22" s="68" t="s">
        <v>1215</v>
      </c>
      <c r="AE22" s="68" t="s">
        <v>1215</v>
      </c>
      <c r="AF22" s="68" t="s">
        <v>1215</v>
      </c>
      <c r="AG22" s="68" t="s">
        <v>1215</v>
      </c>
      <c r="AH22" s="68" t="s">
        <v>1215</v>
      </c>
      <c r="AI22" s="68" t="s">
        <v>1215</v>
      </c>
      <c r="AJ22" s="68" t="s">
        <v>1215</v>
      </c>
      <c r="AK22" s="68" t="s">
        <v>1215</v>
      </c>
      <c r="AL22" s="68"/>
      <c r="AM22" s="68" t="s">
        <v>1215</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1189</v>
      </c>
      <c r="AV22" s="66" t="s">
        <v>1204</v>
      </c>
      <c r="AW22" s="66" t="s">
        <v>1190</v>
      </c>
      <c r="AX22" s="66"/>
      <c r="AY22" s="66"/>
      <c r="AZ22" s="66" t="s">
        <v>927</v>
      </c>
      <c r="BA22" s="66"/>
      <c r="BB22" s="178"/>
      <c r="BC22" s="72">
        <v>2026</v>
      </c>
      <c r="BD22" s="66"/>
      <c r="BE22" s="178"/>
      <c r="BF22" s="66" t="s">
        <v>1278</v>
      </c>
    </row>
    <row r="23" spans="1:58" ht="28">
      <c r="A23" s="66" t="s">
        <v>1357</v>
      </c>
      <c r="B23" s="66" t="s">
        <v>1372</v>
      </c>
      <c r="C23" s="66"/>
      <c r="D23" s="66"/>
      <c r="E23" s="66" t="s">
        <v>1373</v>
      </c>
      <c r="F23" s="66" t="s">
        <v>1356</v>
      </c>
      <c r="G23" s="66" t="s">
        <v>1289</v>
      </c>
      <c r="H23" s="66" t="s">
        <v>1181</v>
      </c>
      <c r="I23" s="66" t="s">
        <v>1374</v>
      </c>
      <c r="J23" s="66" t="s">
        <v>1210</v>
      </c>
      <c r="K23" s="66" t="s">
        <v>1197</v>
      </c>
      <c r="L23" s="66" t="s">
        <v>905</v>
      </c>
      <c r="M23" s="66" t="s">
        <v>1266</v>
      </c>
      <c r="N23" s="66" t="s">
        <v>905</v>
      </c>
      <c r="O23" s="66" t="s">
        <v>1213</v>
      </c>
      <c r="P23" s="66" t="s">
        <v>905</v>
      </c>
      <c r="Q23" s="86" t="s">
        <v>1215</v>
      </c>
      <c r="R23" s="86" t="s">
        <v>1215</v>
      </c>
      <c r="S23" s="86" t="s">
        <v>1215</v>
      </c>
      <c r="T23" s="86" t="s">
        <v>1215</v>
      </c>
      <c r="U23" s="86" t="s">
        <v>1215</v>
      </c>
      <c r="V23" s="86" t="s">
        <v>1215</v>
      </c>
      <c r="W23" s="67"/>
      <c r="X23" s="84" t="str">
        <f t="shared" si="0"/>
        <v>Belum Dinilai</v>
      </c>
      <c r="Y23" s="84" t="str">
        <f t="shared" si="1"/>
        <v>Belum Dinilai</v>
      </c>
      <c r="Z23" s="85" t="str">
        <f t="shared" si="2"/>
        <v/>
      </c>
      <c r="AA23" s="85" t="str">
        <f t="shared" si="3"/>
        <v/>
      </c>
      <c r="AB23" s="85" t="str">
        <f t="shared" si="4"/>
        <v/>
      </c>
      <c r="AC23" s="68" t="s">
        <v>1215</v>
      </c>
      <c r="AD23" s="68" t="s">
        <v>1215</v>
      </c>
      <c r="AE23" s="68" t="s">
        <v>1215</v>
      </c>
      <c r="AF23" s="68" t="s">
        <v>1215</v>
      </c>
      <c r="AG23" s="68" t="s">
        <v>1215</v>
      </c>
      <c r="AH23" s="68" t="s">
        <v>1215</v>
      </c>
      <c r="AI23" s="68" t="s">
        <v>1215</v>
      </c>
      <c r="AJ23" s="68" t="s">
        <v>1215</v>
      </c>
      <c r="AK23" s="68" t="s">
        <v>1215</v>
      </c>
      <c r="AL23" s="68"/>
      <c r="AM23" s="68" t="s">
        <v>1215</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1189</v>
      </c>
      <c r="AV23" s="66" t="s">
        <v>1204</v>
      </c>
      <c r="AW23" s="66" t="s">
        <v>1190</v>
      </c>
      <c r="AX23" s="66"/>
      <c r="AY23" s="66"/>
      <c r="AZ23" s="66" t="s">
        <v>927</v>
      </c>
      <c r="BA23" s="66"/>
      <c r="BB23" s="178"/>
      <c r="BC23" s="72">
        <v>2026</v>
      </c>
      <c r="BD23" s="66"/>
      <c r="BE23" s="178"/>
      <c r="BF23" s="66" t="s">
        <v>1278</v>
      </c>
    </row>
    <row r="24" spans="1:58" ht="42">
      <c r="A24" s="66" t="s">
        <v>1363</v>
      </c>
      <c r="B24" s="66" t="s">
        <v>1376</v>
      </c>
      <c r="C24" s="66"/>
      <c r="D24" s="66"/>
      <c r="E24" s="66" t="s">
        <v>1377</v>
      </c>
      <c r="F24" s="66" t="s">
        <v>1378</v>
      </c>
      <c r="G24" s="66" t="s">
        <v>1289</v>
      </c>
      <c r="H24" s="66" t="s">
        <v>1195</v>
      </c>
      <c r="I24" s="66" t="s">
        <v>1379</v>
      </c>
      <c r="J24" s="66" t="s">
        <v>1196</v>
      </c>
      <c r="K24" s="66" t="s">
        <v>1197</v>
      </c>
      <c r="L24" s="66" t="s">
        <v>1215</v>
      </c>
      <c r="M24" s="66" t="s">
        <v>1266</v>
      </c>
      <c r="N24" s="66" t="s">
        <v>1215</v>
      </c>
      <c r="O24" s="66" t="s">
        <v>1277</v>
      </c>
      <c r="P24" s="66" t="s">
        <v>1215</v>
      </c>
      <c r="Q24" s="86" t="s">
        <v>1215</v>
      </c>
      <c r="R24" s="86" t="s">
        <v>1215</v>
      </c>
      <c r="S24" s="86" t="s">
        <v>1215</v>
      </c>
      <c r="T24" s="86" t="s">
        <v>1215</v>
      </c>
      <c r="U24" s="86" t="s">
        <v>1215</v>
      </c>
      <c r="V24" s="86" t="s">
        <v>1215</v>
      </c>
      <c r="W24" s="67"/>
      <c r="X24" s="84" t="str">
        <f t="shared" si="0"/>
        <v>Belum Dinilai</v>
      </c>
      <c r="Y24" s="84" t="str">
        <f t="shared" si="1"/>
        <v>Belum Dinilai</v>
      </c>
      <c r="Z24" s="85" t="str">
        <f t="shared" si="2"/>
        <v/>
      </c>
      <c r="AA24" s="85" t="str">
        <f t="shared" si="3"/>
        <v/>
      </c>
      <c r="AB24" s="85" t="str">
        <f t="shared" si="4"/>
        <v/>
      </c>
      <c r="AC24" s="68" t="s">
        <v>1215</v>
      </c>
      <c r="AD24" s="68" t="s">
        <v>1215</v>
      </c>
      <c r="AE24" s="68" t="s">
        <v>1215</v>
      </c>
      <c r="AF24" s="68" t="s">
        <v>1215</v>
      </c>
      <c r="AG24" s="68" t="s">
        <v>1215</v>
      </c>
      <c r="AH24" s="68" t="s">
        <v>1215</v>
      </c>
      <c r="AI24" s="68" t="s">
        <v>1215</v>
      </c>
      <c r="AJ24" s="68" t="s">
        <v>1215</v>
      </c>
      <c r="AK24" s="68" t="s">
        <v>1215</v>
      </c>
      <c r="AL24" s="68"/>
      <c r="AM24" s="68" t="s">
        <v>1215</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1203</v>
      </c>
      <c r="AV24" s="66" t="s">
        <v>1204</v>
      </c>
      <c r="AW24" s="66" t="s">
        <v>1190</v>
      </c>
      <c r="AX24" s="66"/>
      <c r="AY24" s="66"/>
      <c r="AZ24" s="66" t="s">
        <v>927</v>
      </c>
      <c r="BA24" s="66"/>
      <c r="BB24" s="178"/>
      <c r="BC24" s="72">
        <v>2026</v>
      </c>
      <c r="BD24" s="66"/>
      <c r="BE24" s="178"/>
      <c r="BF24" s="66" t="s">
        <v>1278</v>
      </c>
    </row>
    <row r="25" spans="1:58" ht="28">
      <c r="A25" s="66" t="s">
        <v>1368</v>
      </c>
      <c r="B25" s="66" t="s">
        <v>1381</v>
      </c>
      <c r="C25" s="66"/>
      <c r="D25" s="66"/>
      <c r="E25" s="66" t="s">
        <v>1382</v>
      </c>
      <c r="F25" s="66" t="s">
        <v>1383</v>
      </c>
      <c r="G25" s="66" t="s">
        <v>1275</v>
      </c>
      <c r="H25" s="66" t="s">
        <v>1195</v>
      </c>
      <c r="I25" s="66" t="s">
        <v>1384</v>
      </c>
      <c r="J25" s="66" t="s">
        <v>1182</v>
      </c>
      <c r="K25" s="66" t="s">
        <v>1277</v>
      </c>
      <c r="L25" s="66" t="s">
        <v>891</v>
      </c>
      <c r="M25" s="66" t="s">
        <v>1265</v>
      </c>
      <c r="N25" s="66" t="s">
        <v>1215</v>
      </c>
      <c r="O25" s="66" t="s">
        <v>1277</v>
      </c>
      <c r="P25" s="66" t="s">
        <v>1215</v>
      </c>
      <c r="Q25" s="86" t="s">
        <v>1215</v>
      </c>
      <c r="R25" s="86" t="s">
        <v>1215</v>
      </c>
      <c r="S25" s="86" t="s">
        <v>1215</v>
      </c>
      <c r="T25" s="86" t="s">
        <v>1215</v>
      </c>
      <c r="U25" s="86" t="s">
        <v>1215</v>
      </c>
      <c r="V25" s="86" t="s">
        <v>1215</v>
      </c>
      <c r="W25" s="67"/>
      <c r="X25" s="84" t="str">
        <f t="shared" si="0"/>
        <v>Belum Dinilai</v>
      </c>
      <c r="Y25" s="84" t="str">
        <f t="shared" si="1"/>
        <v>Belum Dinilai</v>
      </c>
      <c r="Z25" s="85" t="str">
        <f t="shared" si="2"/>
        <v/>
      </c>
      <c r="AA25" s="85" t="str">
        <f t="shared" si="3"/>
        <v/>
      </c>
      <c r="AB25" s="85" t="str">
        <f t="shared" si="4"/>
        <v/>
      </c>
      <c r="AC25" s="68" t="s">
        <v>1215</v>
      </c>
      <c r="AD25" s="68" t="s">
        <v>1215</v>
      </c>
      <c r="AE25" s="68" t="s">
        <v>1215</v>
      </c>
      <c r="AF25" s="68" t="s">
        <v>1215</v>
      </c>
      <c r="AG25" s="68" t="s">
        <v>1215</v>
      </c>
      <c r="AH25" s="68" t="s">
        <v>1215</v>
      </c>
      <c r="AI25" s="68" t="s">
        <v>1215</v>
      </c>
      <c r="AJ25" s="68" t="s">
        <v>1215</v>
      </c>
      <c r="AK25" s="68" t="s">
        <v>1215</v>
      </c>
      <c r="AL25" s="68"/>
      <c r="AM25" s="68" t="s">
        <v>1215</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1203</v>
      </c>
      <c r="AV25" s="66" t="s">
        <v>1204</v>
      </c>
      <c r="AW25" s="66" t="s">
        <v>1190</v>
      </c>
      <c r="AX25" s="66"/>
      <c r="AY25" s="66"/>
      <c r="AZ25" s="66" t="s">
        <v>927</v>
      </c>
      <c r="BA25" s="66"/>
      <c r="BB25" s="178"/>
      <c r="BC25" s="72">
        <v>2026</v>
      </c>
      <c r="BD25" s="66"/>
      <c r="BE25" s="178"/>
      <c r="BF25" s="66" t="s">
        <v>1278</v>
      </c>
    </row>
    <row r="26" spans="1:58" ht="28">
      <c r="A26" s="66" t="s">
        <v>1935</v>
      </c>
      <c r="B26" s="66" t="s">
        <v>1386</v>
      </c>
      <c r="C26" s="66"/>
      <c r="D26" s="66"/>
      <c r="E26" s="66" t="s">
        <v>1387</v>
      </c>
      <c r="F26" s="66" t="s">
        <v>1388</v>
      </c>
      <c r="G26" s="66" t="s">
        <v>1289</v>
      </c>
      <c r="H26" s="66" t="s">
        <v>1195</v>
      </c>
      <c r="I26" s="66" t="s">
        <v>1389</v>
      </c>
      <c r="J26" s="66" t="s">
        <v>1182</v>
      </c>
      <c r="K26" s="66" t="s">
        <v>1277</v>
      </c>
      <c r="L26" s="66" t="s">
        <v>1215</v>
      </c>
      <c r="M26" s="66" t="s">
        <v>1212</v>
      </c>
      <c r="N26" s="66" t="s">
        <v>1215</v>
      </c>
      <c r="O26" s="66" t="s">
        <v>1277</v>
      </c>
      <c r="P26" s="66" t="s">
        <v>1215</v>
      </c>
      <c r="Q26" s="86" t="s">
        <v>1215</v>
      </c>
      <c r="R26" s="86" t="s">
        <v>1215</v>
      </c>
      <c r="S26" s="86" t="s">
        <v>1215</v>
      </c>
      <c r="T26" s="86" t="s">
        <v>1215</v>
      </c>
      <c r="U26" s="86" t="s">
        <v>1215</v>
      </c>
      <c r="V26" s="86" t="s">
        <v>1215</v>
      </c>
      <c r="W26" s="67"/>
      <c r="X26" s="84" t="str">
        <f t="shared" si="0"/>
        <v>Belum Dinilai</v>
      </c>
      <c r="Y26" s="84" t="str">
        <f t="shared" si="1"/>
        <v>Belum Dinilai</v>
      </c>
      <c r="Z26" s="85" t="str">
        <f t="shared" si="2"/>
        <v/>
      </c>
      <c r="AA26" s="85" t="str">
        <f t="shared" si="3"/>
        <v/>
      </c>
      <c r="AB26" s="85" t="str">
        <f t="shared" si="4"/>
        <v/>
      </c>
      <c r="AC26" s="68" t="s">
        <v>1215</v>
      </c>
      <c r="AD26" s="68" t="s">
        <v>1215</v>
      </c>
      <c r="AE26" s="68" t="s">
        <v>1215</v>
      </c>
      <c r="AF26" s="68" t="s">
        <v>1215</v>
      </c>
      <c r="AG26" s="68" t="s">
        <v>1215</v>
      </c>
      <c r="AH26" s="68" t="s">
        <v>1215</v>
      </c>
      <c r="AI26" s="68" t="s">
        <v>1215</v>
      </c>
      <c r="AJ26" s="68" t="s">
        <v>1215</v>
      </c>
      <c r="AK26" s="68" t="s">
        <v>1215</v>
      </c>
      <c r="AL26" s="68"/>
      <c r="AM26" s="68" t="s">
        <v>1215</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1189</v>
      </c>
      <c r="AV26" s="66" t="s">
        <v>1204</v>
      </c>
      <c r="AW26" s="66" t="s">
        <v>1190</v>
      </c>
      <c r="AX26" s="66"/>
      <c r="AY26" s="66"/>
      <c r="AZ26" s="66" t="s">
        <v>927</v>
      </c>
      <c r="BA26" s="66"/>
      <c r="BB26" s="178"/>
      <c r="BC26" s="72">
        <v>2026</v>
      </c>
      <c r="BD26" s="66"/>
      <c r="BE26" s="178"/>
      <c r="BF26" s="66" t="s">
        <v>1278</v>
      </c>
    </row>
    <row r="27" spans="1:58" ht="42">
      <c r="A27" s="66" t="s">
        <v>1371</v>
      </c>
      <c r="B27" s="66" t="s">
        <v>1393</v>
      </c>
      <c r="C27" s="66"/>
      <c r="D27" s="66"/>
      <c r="E27" s="66" t="s">
        <v>1394</v>
      </c>
      <c r="F27" s="66" t="s">
        <v>1395</v>
      </c>
      <c r="G27" s="66" t="s">
        <v>1361</v>
      </c>
      <c r="H27" s="66" t="s">
        <v>1181</v>
      </c>
      <c r="I27" s="66" t="s">
        <v>1396</v>
      </c>
      <c r="J27" s="66" t="s">
        <v>1210</v>
      </c>
      <c r="K27" s="66" t="s">
        <v>1197</v>
      </c>
      <c r="L27" s="66" t="s">
        <v>905</v>
      </c>
      <c r="M27" s="66" t="s">
        <v>1266</v>
      </c>
      <c r="N27" s="66" t="s">
        <v>905</v>
      </c>
      <c r="O27" s="66" t="s">
        <v>1213</v>
      </c>
      <c r="P27" s="66" t="s">
        <v>905</v>
      </c>
      <c r="Q27" s="86" t="s">
        <v>1215</v>
      </c>
      <c r="R27" s="86" t="s">
        <v>1215</v>
      </c>
      <c r="S27" s="86" t="s">
        <v>1215</v>
      </c>
      <c r="T27" s="86" t="s">
        <v>1215</v>
      </c>
      <c r="U27" s="86" t="s">
        <v>1215</v>
      </c>
      <c r="V27" s="86" t="s">
        <v>1215</v>
      </c>
      <c r="W27" s="67"/>
      <c r="X27" s="84" t="str">
        <f t="shared" si="0"/>
        <v>Belum Dinilai</v>
      </c>
      <c r="Y27" s="84" t="str">
        <f t="shared" si="1"/>
        <v>Belum Dinilai</v>
      </c>
      <c r="Z27" s="85" t="str">
        <f t="shared" si="2"/>
        <v/>
      </c>
      <c r="AA27" s="85" t="str">
        <f t="shared" si="3"/>
        <v/>
      </c>
      <c r="AB27" s="85" t="str">
        <f t="shared" si="4"/>
        <v/>
      </c>
      <c r="AC27" s="68" t="s">
        <v>1215</v>
      </c>
      <c r="AD27" s="68" t="s">
        <v>1215</v>
      </c>
      <c r="AE27" s="68" t="s">
        <v>1215</v>
      </c>
      <c r="AF27" s="68" t="s">
        <v>1215</v>
      </c>
      <c r="AG27" s="68" t="s">
        <v>1215</v>
      </c>
      <c r="AH27" s="68" t="s">
        <v>1215</v>
      </c>
      <c r="AI27" s="68" t="s">
        <v>1215</v>
      </c>
      <c r="AJ27" s="68" t="s">
        <v>1215</v>
      </c>
      <c r="AK27" s="68" t="s">
        <v>1215</v>
      </c>
      <c r="AL27" s="68"/>
      <c r="AM27" s="68" t="s">
        <v>1215</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1189</v>
      </c>
      <c r="AV27" s="66" t="s">
        <v>1204</v>
      </c>
      <c r="AW27" s="66" t="s">
        <v>1190</v>
      </c>
      <c r="AX27" s="66"/>
      <c r="AY27" s="66"/>
      <c r="AZ27" s="66" t="s">
        <v>927</v>
      </c>
      <c r="BA27" s="66"/>
      <c r="BB27" s="178"/>
      <c r="BC27" s="72">
        <v>2026</v>
      </c>
      <c r="BD27" s="66"/>
      <c r="BE27" s="178"/>
      <c r="BF27" s="66" t="s">
        <v>1278</v>
      </c>
    </row>
    <row r="28" spans="1:58" ht="28">
      <c r="A28" s="66" t="s">
        <v>1375</v>
      </c>
      <c r="B28" s="66" t="s">
        <v>1398</v>
      </c>
      <c r="C28" s="66"/>
      <c r="D28" s="66"/>
      <c r="E28" s="66" t="s">
        <v>1399</v>
      </c>
      <c r="F28" s="66" t="s">
        <v>1400</v>
      </c>
      <c r="G28" s="66" t="s">
        <v>1361</v>
      </c>
      <c r="H28" s="66" t="s">
        <v>1195</v>
      </c>
      <c r="I28" s="66" t="s">
        <v>1401</v>
      </c>
      <c r="J28" s="66" t="s">
        <v>1182</v>
      </c>
      <c r="K28" s="66" t="s">
        <v>1277</v>
      </c>
      <c r="L28" s="66" t="s">
        <v>891</v>
      </c>
      <c r="M28" s="66" t="s">
        <v>1265</v>
      </c>
      <c r="N28" s="66" t="s">
        <v>1215</v>
      </c>
      <c r="O28" s="66" t="s">
        <v>1277</v>
      </c>
      <c r="P28" s="66" t="s">
        <v>1215</v>
      </c>
      <c r="Q28" s="86" t="s">
        <v>1215</v>
      </c>
      <c r="R28" s="86" t="s">
        <v>1215</v>
      </c>
      <c r="S28" s="86" t="s">
        <v>1215</v>
      </c>
      <c r="T28" s="86" t="s">
        <v>1215</v>
      </c>
      <c r="U28" s="86" t="s">
        <v>1215</v>
      </c>
      <c r="V28" s="86" t="s">
        <v>1215</v>
      </c>
      <c r="W28" s="67"/>
      <c r="X28" s="84" t="str">
        <f t="shared" si="0"/>
        <v>Belum Dinilai</v>
      </c>
      <c r="Y28" s="84" t="str">
        <f t="shared" si="1"/>
        <v>Belum Dinilai</v>
      </c>
      <c r="Z28" s="85" t="str">
        <f t="shared" si="2"/>
        <v/>
      </c>
      <c r="AA28" s="85" t="str">
        <f t="shared" si="3"/>
        <v/>
      </c>
      <c r="AB28" s="85" t="str">
        <f t="shared" si="4"/>
        <v/>
      </c>
      <c r="AC28" s="68" t="s">
        <v>1215</v>
      </c>
      <c r="AD28" s="68" t="s">
        <v>1215</v>
      </c>
      <c r="AE28" s="68" t="s">
        <v>1215</v>
      </c>
      <c r="AF28" s="68" t="s">
        <v>1215</v>
      </c>
      <c r="AG28" s="68" t="s">
        <v>1215</v>
      </c>
      <c r="AH28" s="68" t="s">
        <v>1215</v>
      </c>
      <c r="AI28" s="68" t="s">
        <v>1215</v>
      </c>
      <c r="AJ28" s="68" t="s">
        <v>1215</v>
      </c>
      <c r="AK28" s="68" t="s">
        <v>1215</v>
      </c>
      <c r="AL28" s="68"/>
      <c r="AM28" s="68" t="s">
        <v>1215</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1189</v>
      </c>
      <c r="AV28" s="66" t="s">
        <v>1204</v>
      </c>
      <c r="AW28" s="66" t="s">
        <v>1190</v>
      </c>
      <c r="AX28" s="66"/>
      <c r="AY28" s="66"/>
      <c r="AZ28" s="66" t="s">
        <v>927</v>
      </c>
      <c r="BA28" s="66"/>
      <c r="BB28" s="178"/>
      <c r="BC28" s="72">
        <v>2026</v>
      </c>
      <c r="BD28" s="66"/>
      <c r="BE28" s="178"/>
      <c r="BF28" s="66" t="s">
        <v>1278</v>
      </c>
    </row>
    <row r="29" spans="1:58" ht="42">
      <c r="A29" s="66" t="s">
        <v>1380</v>
      </c>
      <c r="B29" s="66" t="s">
        <v>1403</v>
      </c>
      <c r="C29" s="66"/>
      <c r="D29" s="66"/>
      <c r="E29" s="66" t="s">
        <v>1404</v>
      </c>
      <c r="F29" s="66" t="s">
        <v>1405</v>
      </c>
      <c r="G29" s="66" t="s">
        <v>1361</v>
      </c>
      <c r="H29" s="66" t="s">
        <v>1181</v>
      </c>
      <c r="I29" s="66" t="s">
        <v>1396</v>
      </c>
      <c r="J29" s="66" t="s">
        <v>1210</v>
      </c>
      <c r="K29" s="66" t="s">
        <v>1197</v>
      </c>
      <c r="L29" s="66" t="s">
        <v>905</v>
      </c>
      <c r="M29" s="66" t="s">
        <v>1266</v>
      </c>
      <c r="N29" s="66" t="s">
        <v>905</v>
      </c>
      <c r="O29" s="66" t="s">
        <v>1213</v>
      </c>
      <c r="P29" s="66" t="s">
        <v>905</v>
      </c>
      <c r="Q29" s="86" t="s">
        <v>1215</v>
      </c>
      <c r="R29" s="86" t="s">
        <v>1215</v>
      </c>
      <c r="S29" s="86" t="s">
        <v>1215</v>
      </c>
      <c r="T29" s="86" t="s">
        <v>1215</v>
      </c>
      <c r="U29" s="86" t="s">
        <v>1215</v>
      </c>
      <c r="V29" s="86" t="s">
        <v>1215</v>
      </c>
      <c r="W29" s="67"/>
      <c r="X29" s="84" t="str">
        <f t="shared" si="0"/>
        <v>Belum Dinilai</v>
      </c>
      <c r="Y29" s="84" t="str">
        <f t="shared" si="1"/>
        <v>Belum Dinilai</v>
      </c>
      <c r="Z29" s="85" t="str">
        <f t="shared" si="2"/>
        <v/>
      </c>
      <c r="AA29" s="85" t="str">
        <f t="shared" si="3"/>
        <v/>
      </c>
      <c r="AB29" s="85" t="str">
        <f t="shared" si="4"/>
        <v/>
      </c>
      <c r="AC29" s="68" t="s">
        <v>1215</v>
      </c>
      <c r="AD29" s="68" t="s">
        <v>1215</v>
      </c>
      <c r="AE29" s="68" t="s">
        <v>1215</v>
      </c>
      <c r="AF29" s="68" t="s">
        <v>1215</v>
      </c>
      <c r="AG29" s="68" t="s">
        <v>1215</v>
      </c>
      <c r="AH29" s="68" t="s">
        <v>1215</v>
      </c>
      <c r="AI29" s="68" t="s">
        <v>1215</v>
      </c>
      <c r="AJ29" s="68" t="s">
        <v>1215</v>
      </c>
      <c r="AK29" s="68" t="s">
        <v>1215</v>
      </c>
      <c r="AL29" s="68"/>
      <c r="AM29" s="68" t="s">
        <v>1215</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1189</v>
      </c>
      <c r="AV29" s="66" t="s">
        <v>1204</v>
      </c>
      <c r="AW29" s="66" t="s">
        <v>1190</v>
      </c>
      <c r="AX29" s="66"/>
      <c r="AY29" s="66"/>
      <c r="AZ29" s="66" t="s">
        <v>927</v>
      </c>
      <c r="BA29" s="66"/>
      <c r="BB29" s="178"/>
      <c r="BC29" s="72">
        <v>2026</v>
      </c>
      <c r="BD29" s="66"/>
      <c r="BE29" s="178"/>
      <c r="BF29" s="66" t="s">
        <v>1278</v>
      </c>
    </row>
    <row r="30" spans="1:58" ht="42">
      <c r="A30" s="66" t="s">
        <v>1385</v>
      </c>
      <c r="B30" s="66" t="s">
        <v>1407</v>
      </c>
      <c r="C30" s="66"/>
      <c r="D30" s="66"/>
      <c r="E30" s="66" t="s">
        <v>1408</v>
      </c>
      <c r="F30" s="66" t="s">
        <v>1405</v>
      </c>
      <c r="G30" s="66" t="s">
        <v>1361</v>
      </c>
      <c r="H30" s="66" t="s">
        <v>1181</v>
      </c>
      <c r="I30" s="66" t="s">
        <v>1409</v>
      </c>
      <c r="J30" s="66" t="s">
        <v>1196</v>
      </c>
      <c r="K30" s="66" t="s">
        <v>1211</v>
      </c>
      <c r="L30" s="66" t="s">
        <v>891</v>
      </c>
      <c r="M30" s="66" t="s">
        <v>1266</v>
      </c>
      <c r="N30" s="66" t="s">
        <v>891</v>
      </c>
      <c r="O30" s="66" t="s">
        <v>1213</v>
      </c>
      <c r="P30" s="66" t="s">
        <v>891</v>
      </c>
      <c r="Q30" s="86" t="s">
        <v>1215</v>
      </c>
      <c r="R30" s="86" t="s">
        <v>1215</v>
      </c>
      <c r="S30" s="86" t="s">
        <v>1215</v>
      </c>
      <c r="T30" s="86" t="s">
        <v>1215</v>
      </c>
      <c r="U30" s="86" t="s">
        <v>1215</v>
      </c>
      <c r="V30" s="86" t="s">
        <v>1215</v>
      </c>
      <c r="W30" s="67"/>
      <c r="X30" s="84" t="str">
        <f t="shared" si="0"/>
        <v>Belum Dinilai</v>
      </c>
      <c r="Y30" s="84" t="str">
        <f t="shared" si="1"/>
        <v>Belum Dinilai</v>
      </c>
      <c r="Z30" s="85" t="str">
        <f t="shared" si="2"/>
        <v/>
      </c>
      <c r="AA30" s="85" t="str">
        <f t="shared" si="3"/>
        <v/>
      </c>
      <c r="AB30" s="85" t="str">
        <f t="shared" si="4"/>
        <v/>
      </c>
      <c r="AC30" s="68" t="s">
        <v>1215</v>
      </c>
      <c r="AD30" s="68" t="s">
        <v>1215</v>
      </c>
      <c r="AE30" s="68" t="s">
        <v>1215</v>
      </c>
      <c r="AF30" s="68" t="s">
        <v>1215</v>
      </c>
      <c r="AG30" s="68" t="s">
        <v>1215</v>
      </c>
      <c r="AH30" s="68" t="s">
        <v>1215</v>
      </c>
      <c r="AI30" s="68" t="s">
        <v>1215</v>
      </c>
      <c r="AJ30" s="68" t="s">
        <v>1215</v>
      </c>
      <c r="AK30" s="68" t="s">
        <v>1215</v>
      </c>
      <c r="AL30" s="68"/>
      <c r="AM30" s="68" t="s">
        <v>1215</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1189</v>
      </c>
      <c r="AV30" s="66" t="s">
        <v>1204</v>
      </c>
      <c r="AW30" s="66" t="s">
        <v>1190</v>
      </c>
      <c r="AX30" s="66"/>
      <c r="AY30" s="66"/>
      <c r="AZ30" s="66" t="s">
        <v>927</v>
      </c>
      <c r="BA30" s="66"/>
      <c r="BB30" s="178"/>
      <c r="BC30" s="72">
        <v>2026</v>
      </c>
      <c r="BD30" s="66"/>
      <c r="BE30" s="178"/>
      <c r="BF30" s="66" t="s">
        <v>1278</v>
      </c>
    </row>
    <row r="31" spans="1:58" ht="28">
      <c r="A31" s="66" t="s">
        <v>1936</v>
      </c>
      <c r="B31" s="66" t="s">
        <v>1411</v>
      </c>
      <c r="C31" s="66"/>
      <c r="D31" s="66"/>
      <c r="E31" s="66" t="s">
        <v>1412</v>
      </c>
      <c r="F31" s="66" t="s">
        <v>1413</v>
      </c>
      <c r="G31" s="66" t="s">
        <v>1361</v>
      </c>
      <c r="H31" s="66" t="s">
        <v>1195</v>
      </c>
      <c r="I31" s="66" t="s">
        <v>1414</v>
      </c>
      <c r="J31" s="66" t="s">
        <v>1182</v>
      </c>
      <c r="K31" s="66" t="s">
        <v>1277</v>
      </c>
      <c r="L31" s="66" t="s">
        <v>1215</v>
      </c>
      <c r="M31" s="66" t="s">
        <v>1265</v>
      </c>
      <c r="N31" s="66" t="s">
        <v>1215</v>
      </c>
      <c r="O31" s="66" t="s">
        <v>1277</v>
      </c>
      <c r="P31" s="66" t="s">
        <v>1215</v>
      </c>
      <c r="Q31" s="86" t="s">
        <v>1215</v>
      </c>
      <c r="R31" s="86" t="s">
        <v>1215</v>
      </c>
      <c r="S31" s="86" t="s">
        <v>1215</v>
      </c>
      <c r="T31" s="86" t="s">
        <v>1215</v>
      </c>
      <c r="U31" s="86" t="s">
        <v>1215</v>
      </c>
      <c r="V31" s="86" t="s">
        <v>1215</v>
      </c>
      <c r="W31" s="67"/>
      <c r="X31" s="84" t="str">
        <f t="shared" si="0"/>
        <v>Belum Dinilai</v>
      </c>
      <c r="Y31" s="84" t="str">
        <f t="shared" si="1"/>
        <v>Belum Dinilai</v>
      </c>
      <c r="Z31" s="85" t="str">
        <f t="shared" si="2"/>
        <v/>
      </c>
      <c r="AA31" s="85" t="str">
        <f t="shared" si="3"/>
        <v/>
      </c>
      <c r="AB31" s="85" t="str">
        <f t="shared" si="4"/>
        <v/>
      </c>
      <c r="AC31" s="68" t="s">
        <v>1215</v>
      </c>
      <c r="AD31" s="68" t="s">
        <v>1215</v>
      </c>
      <c r="AE31" s="68" t="s">
        <v>1215</v>
      </c>
      <c r="AF31" s="68" t="s">
        <v>1215</v>
      </c>
      <c r="AG31" s="68" t="s">
        <v>1215</v>
      </c>
      <c r="AH31" s="68" t="s">
        <v>1215</v>
      </c>
      <c r="AI31" s="68" t="s">
        <v>1215</v>
      </c>
      <c r="AJ31" s="68" t="s">
        <v>1215</v>
      </c>
      <c r="AK31" s="68" t="s">
        <v>1215</v>
      </c>
      <c r="AL31" s="68"/>
      <c r="AM31" s="68" t="s">
        <v>1215</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1203</v>
      </c>
      <c r="AV31" s="66" t="s">
        <v>1204</v>
      </c>
      <c r="AW31" s="66" t="s">
        <v>1190</v>
      </c>
      <c r="AX31" s="66"/>
      <c r="AY31" s="66"/>
      <c r="AZ31" s="66" t="s">
        <v>927</v>
      </c>
      <c r="BA31" s="66"/>
      <c r="BB31" s="178"/>
      <c r="BC31" s="72">
        <v>2026</v>
      </c>
      <c r="BD31" s="66"/>
      <c r="BE31" s="178"/>
      <c r="BF31" s="66" t="s">
        <v>1278</v>
      </c>
    </row>
    <row r="32" spans="1:58" ht="28">
      <c r="A32" s="66" t="s">
        <v>1390</v>
      </c>
      <c r="B32" s="66" t="s">
        <v>1416</v>
      </c>
      <c r="C32" s="66"/>
      <c r="D32" s="66"/>
      <c r="E32" s="66" t="s">
        <v>1417</v>
      </c>
      <c r="F32" s="66" t="s">
        <v>1413</v>
      </c>
      <c r="G32" s="66" t="s">
        <v>1361</v>
      </c>
      <c r="H32" s="66" t="s">
        <v>1195</v>
      </c>
      <c r="I32" s="66" t="s">
        <v>1414</v>
      </c>
      <c r="J32" s="66" t="s">
        <v>1182</v>
      </c>
      <c r="K32" s="66" t="s">
        <v>1277</v>
      </c>
      <c r="L32" s="66" t="s">
        <v>1215</v>
      </c>
      <c r="M32" s="66" t="s">
        <v>1265</v>
      </c>
      <c r="N32" s="66" t="s">
        <v>1215</v>
      </c>
      <c r="O32" s="66" t="s">
        <v>1277</v>
      </c>
      <c r="P32" s="66" t="s">
        <v>1215</v>
      </c>
      <c r="Q32" s="86" t="s">
        <v>1215</v>
      </c>
      <c r="R32" s="86" t="s">
        <v>1215</v>
      </c>
      <c r="S32" s="86" t="s">
        <v>1215</v>
      </c>
      <c r="T32" s="86" t="s">
        <v>1215</v>
      </c>
      <c r="U32" s="86" t="s">
        <v>1215</v>
      </c>
      <c r="V32" s="86" t="s">
        <v>1215</v>
      </c>
      <c r="W32" s="67"/>
      <c r="X32" s="84" t="str">
        <f t="shared" si="0"/>
        <v>Belum Dinilai</v>
      </c>
      <c r="Y32" s="84" t="str">
        <f t="shared" si="1"/>
        <v>Belum Dinilai</v>
      </c>
      <c r="Z32" s="85" t="str">
        <f t="shared" si="2"/>
        <v/>
      </c>
      <c r="AA32" s="85" t="str">
        <f t="shared" si="3"/>
        <v/>
      </c>
      <c r="AB32" s="85" t="str">
        <f t="shared" si="4"/>
        <v/>
      </c>
      <c r="AC32" s="68" t="s">
        <v>1215</v>
      </c>
      <c r="AD32" s="68" t="s">
        <v>1215</v>
      </c>
      <c r="AE32" s="68" t="s">
        <v>1215</v>
      </c>
      <c r="AF32" s="68" t="s">
        <v>1215</v>
      </c>
      <c r="AG32" s="68" t="s">
        <v>1215</v>
      </c>
      <c r="AH32" s="68" t="s">
        <v>1215</v>
      </c>
      <c r="AI32" s="68" t="s">
        <v>1215</v>
      </c>
      <c r="AJ32" s="68" t="s">
        <v>1215</v>
      </c>
      <c r="AK32" s="68" t="s">
        <v>1215</v>
      </c>
      <c r="AL32" s="68"/>
      <c r="AM32" s="68" t="s">
        <v>1215</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1189</v>
      </c>
      <c r="AV32" s="66" t="s">
        <v>1204</v>
      </c>
      <c r="AW32" s="66" t="s">
        <v>1190</v>
      </c>
      <c r="AX32" s="66"/>
      <c r="AY32" s="66"/>
      <c r="AZ32" s="66" t="s">
        <v>927</v>
      </c>
      <c r="BA32" s="66"/>
      <c r="BB32" s="178"/>
      <c r="BC32" s="72">
        <v>2026</v>
      </c>
      <c r="BD32" s="66"/>
      <c r="BE32" s="178"/>
      <c r="BF32" s="66" t="s">
        <v>1278</v>
      </c>
    </row>
    <row r="33" spans="1:58" ht="42">
      <c r="A33" s="66" t="s">
        <v>1937</v>
      </c>
      <c r="B33" s="66" t="s">
        <v>1419</v>
      </c>
      <c r="C33" s="66"/>
      <c r="D33" s="66"/>
      <c r="E33" s="66" t="s">
        <v>1420</v>
      </c>
      <c r="F33" s="66" t="s">
        <v>1413</v>
      </c>
      <c r="G33" s="66" t="s">
        <v>1361</v>
      </c>
      <c r="H33" s="66" t="s">
        <v>1181</v>
      </c>
      <c r="I33" s="66" t="s">
        <v>1396</v>
      </c>
      <c r="J33" s="66" t="s">
        <v>1210</v>
      </c>
      <c r="K33" s="66" t="s">
        <v>1197</v>
      </c>
      <c r="L33" s="66" t="s">
        <v>905</v>
      </c>
      <c r="M33" s="66" t="s">
        <v>1266</v>
      </c>
      <c r="N33" s="66" t="s">
        <v>905</v>
      </c>
      <c r="O33" s="66" t="s">
        <v>1213</v>
      </c>
      <c r="P33" s="66" t="s">
        <v>905</v>
      </c>
      <c r="Q33" s="86" t="s">
        <v>1215</v>
      </c>
      <c r="R33" s="86" t="s">
        <v>1215</v>
      </c>
      <c r="S33" s="86" t="s">
        <v>1215</v>
      </c>
      <c r="T33" s="86" t="s">
        <v>1215</v>
      </c>
      <c r="U33" s="86" t="s">
        <v>1215</v>
      </c>
      <c r="V33" s="86" t="s">
        <v>1215</v>
      </c>
      <c r="W33" s="67"/>
      <c r="X33" s="84" t="str">
        <f t="shared" si="0"/>
        <v>Belum Dinilai</v>
      </c>
      <c r="Y33" s="84" t="str">
        <f t="shared" si="1"/>
        <v>Belum Dinilai</v>
      </c>
      <c r="Z33" s="85" t="str">
        <f t="shared" si="2"/>
        <v/>
      </c>
      <c r="AA33" s="85" t="str">
        <f t="shared" si="3"/>
        <v/>
      </c>
      <c r="AB33" s="85" t="str">
        <f t="shared" si="4"/>
        <v/>
      </c>
      <c r="AC33" s="68" t="s">
        <v>1215</v>
      </c>
      <c r="AD33" s="68" t="s">
        <v>1215</v>
      </c>
      <c r="AE33" s="68" t="s">
        <v>1215</v>
      </c>
      <c r="AF33" s="68" t="s">
        <v>1215</v>
      </c>
      <c r="AG33" s="68" t="s">
        <v>1215</v>
      </c>
      <c r="AH33" s="68" t="s">
        <v>1215</v>
      </c>
      <c r="AI33" s="68" t="s">
        <v>1215</v>
      </c>
      <c r="AJ33" s="68" t="s">
        <v>1215</v>
      </c>
      <c r="AK33" s="68" t="s">
        <v>1215</v>
      </c>
      <c r="AL33" s="68"/>
      <c r="AM33" s="68" t="s">
        <v>1215</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1189</v>
      </c>
      <c r="AV33" s="66" t="s">
        <v>1204</v>
      </c>
      <c r="AW33" s="66" t="s">
        <v>1190</v>
      </c>
      <c r="AX33" s="66"/>
      <c r="AY33" s="66"/>
      <c r="AZ33" s="66" t="s">
        <v>927</v>
      </c>
      <c r="BA33" s="66"/>
      <c r="BB33" s="178"/>
      <c r="BC33" s="72">
        <v>2026</v>
      </c>
      <c r="BD33" s="66"/>
      <c r="BE33" s="178"/>
      <c r="BF33" s="66" t="s">
        <v>1278</v>
      </c>
    </row>
    <row r="34" spans="1:58" ht="42">
      <c r="A34" s="66" t="s">
        <v>1392</v>
      </c>
      <c r="B34" s="66" t="s">
        <v>1422</v>
      </c>
      <c r="C34" s="66"/>
      <c r="D34" s="66"/>
      <c r="E34" s="66" t="s">
        <v>1304</v>
      </c>
      <c r="F34" s="66" t="s">
        <v>1304</v>
      </c>
      <c r="G34" s="66" t="s">
        <v>1304</v>
      </c>
      <c r="H34" s="66" t="s">
        <v>1181</v>
      </c>
      <c r="I34" s="66" t="s">
        <v>1396</v>
      </c>
      <c r="J34" s="66" t="s">
        <v>1210</v>
      </c>
      <c r="K34" s="66" t="s">
        <v>1197</v>
      </c>
      <c r="L34" s="66" t="s">
        <v>905</v>
      </c>
      <c r="M34" s="66" t="s">
        <v>1266</v>
      </c>
      <c r="N34" s="66" t="s">
        <v>905</v>
      </c>
      <c r="O34" s="66" t="s">
        <v>1213</v>
      </c>
      <c r="P34" s="66" t="s">
        <v>905</v>
      </c>
      <c r="Q34" s="86" t="s">
        <v>1215</v>
      </c>
      <c r="R34" s="86" t="s">
        <v>1215</v>
      </c>
      <c r="S34" s="86" t="s">
        <v>1215</v>
      </c>
      <c r="T34" s="86" t="s">
        <v>1215</v>
      </c>
      <c r="U34" s="86" t="s">
        <v>1215</v>
      </c>
      <c r="V34" s="86" t="s">
        <v>1215</v>
      </c>
      <c r="W34" s="67"/>
      <c r="X34" s="84" t="str">
        <f t="shared" si="0"/>
        <v>Belum Dinilai</v>
      </c>
      <c r="Y34" s="84" t="str">
        <f t="shared" si="1"/>
        <v>Belum Dinilai</v>
      </c>
      <c r="Z34" s="85" t="str">
        <f t="shared" si="2"/>
        <v/>
      </c>
      <c r="AA34" s="85" t="str">
        <f t="shared" si="3"/>
        <v/>
      </c>
      <c r="AB34" s="85" t="str">
        <f t="shared" si="4"/>
        <v/>
      </c>
      <c r="AC34" s="68" t="s">
        <v>1215</v>
      </c>
      <c r="AD34" s="68" t="s">
        <v>1215</v>
      </c>
      <c r="AE34" s="68" t="s">
        <v>1215</v>
      </c>
      <c r="AF34" s="68" t="s">
        <v>1215</v>
      </c>
      <c r="AG34" s="68" t="s">
        <v>1215</v>
      </c>
      <c r="AH34" s="68" t="s">
        <v>1215</v>
      </c>
      <c r="AI34" s="68" t="s">
        <v>1215</v>
      </c>
      <c r="AJ34" s="68" t="s">
        <v>1215</v>
      </c>
      <c r="AK34" s="68" t="s">
        <v>1215</v>
      </c>
      <c r="AL34" s="68"/>
      <c r="AM34" s="68" t="s">
        <v>1215</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1203</v>
      </c>
      <c r="AV34" s="66" t="s">
        <v>1204</v>
      </c>
      <c r="AW34" s="66" t="s">
        <v>1190</v>
      </c>
      <c r="AX34" s="66"/>
      <c r="AY34" s="66"/>
      <c r="AZ34" s="66" t="s">
        <v>927</v>
      </c>
      <c r="BA34" s="66"/>
      <c r="BB34" s="178"/>
      <c r="BC34" s="72">
        <v>2026</v>
      </c>
      <c r="BD34" s="66"/>
      <c r="BE34" s="178"/>
      <c r="BF34" s="66" t="s">
        <v>1278</v>
      </c>
    </row>
    <row r="35" spans="1:58" ht="28">
      <c r="A35" s="66" t="s">
        <v>1397</v>
      </c>
      <c r="B35" s="66" t="s">
        <v>1424</v>
      </c>
      <c r="C35" s="83" t="s">
        <v>1904</v>
      </c>
      <c r="D35" s="83" t="s">
        <v>1905</v>
      </c>
      <c r="E35" s="66" t="s">
        <v>2180</v>
      </c>
      <c r="F35" s="66" t="s">
        <v>1425</v>
      </c>
      <c r="G35" s="66" t="s">
        <v>810</v>
      </c>
      <c r="H35" s="66" t="s">
        <v>1181</v>
      </c>
      <c r="I35" s="66"/>
      <c r="J35" s="66" t="s">
        <v>1210</v>
      </c>
      <c r="K35" s="66" t="s">
        <v>1197</v>
      </c>
      <c r="L35" s="66" t="s">
        <v>895</v>
      </c>
      <c r="M35" s="66" t="s">
        <v>1266</v>
      </c>
      <c r="N35" s="66" t="s">
        <v>905</v>
      </c>
      <c r="O35" s="66" t="s">
        <v>1266</v>
      </c>
      <c r="P35" s="66" t="s">
        <v>895</v>
      </c>
      <c r="Q35" s="86" t="s">
        <v>1186</v>
      </c>
      <c r="R35" s="86" t="s">
        <v>1187</v>
      </c>
      <c r="S35" s="86" t="s">
        <v>1201</v>
      </c>
      <c r="T35" s="86" t="s">
        <v>1187</v>
      </c>
      <c r="U35" s="86" t="s">
        <v>1201</v>
      </c>
      <c r="V35" s="86" t="s">
        <v>1201</v>
      </c>
      <c r="W35" s="67"/>
      <c r="X35" s="84" t="str">
        <f t="shared" si="0"/>
        <v xml:space="preserve">Lansia; Kepala keluarga perempuan; </v>
      </c>
      <c r="Y35" s="84" t="str">
        <f t="shared" si="1"/>
        <v>2 atau Lebih Faktor Rentan</v>
      </c>
      <c r="Z35" s="85">
        <f t="shared" si="2"/>
        <v>10</v>
      </c>
      <c r="AA35" s="85">
        <f t="shared" si="3"/>
        <v>10</v>
      </c>
      <c r="AB35" s="85">
        <f t="shared" si="4"/>
        <v>20</v>
      </c>
      <c r="AC35" s="68" t="s">
        <v>1201</v>
      </c>
      <c r="AD35" s="68" t="s">
        <v>1201</v>
      </c>
      <c r="AE35" s="68" t="s">
        <v>1187</v>
      </c>
      <c r="AF35" s="68" t="s">
        <v>1201</v>
      </c>
      <c r="AG35" s="68" t="s">
        <v>1187</v>
      </c>
      <c r="AH35" s="68" t="s">
        <v>1187</v>
      </c>
      <c r="AI35" s="68" t="s">
        <v>1187</v>
      </c>
      <c r="AJ35" s="68" t="s">
        <v>1201</v>
      </c>
      <c r="AK35" s="68" t="s">
        <v>1201</v>
      </c>
      <c r="AL35" s="68"/>
      <c r="AM35" s="68" t="s">
        <v>1215</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1189</v>
      </c>
      <c r="AV35" s="66" t="s">
        <v>1204</v>
      </c>
      <c r="AW35" s="66" t="s">
        <v>1205</v>
      </c>
      <c r="AX35" s="66" t="s">
        <v>1283</v>
      </c>
      <c r="AY35" s="66">
        <v>2026</v>
      </c>
      <c r="AZ35" s="66" t="s">
        <v>1192</v>
      </c>
      <c r="BA35" s="66"/>
      <c r="BB35" s="178"/>
      <c r="BC35" s="72"/>
      <c r="BD35" s="66" t="s">
        <v>1208</v>
      </c>
      <c r="BE35" s="178"/>
      <c r="BF35" s="66" t="s">
        <v>1278</v>
      </c>
    </row>
    <row r="36" spans="1:58" ht="56">
      <c r="A36" s="66" t="s">
        <v>1402</v>
      </c>
      <c r="B36" s="66" t="s">
        <v>1427</v>
      </c>
      <c r="C36" s="66"/>
      <c r="D36" s="66"/>
      <c r="E36" s="66" t="s">
        <v>1428</v>
      </c>
      <c r="F36" s="66" t="s">
        <v>1429</v>
      </c>
      <c r="G36" s="66" t="s">
        <v>1310</v>
      </c>
      <c r="H36" s="66" t="s">
        <v>1181</v>
      </c>
      <c r="I36" s="66" t="s">
        <v>1430</v>
      </c>
      <c r="J36" s="66" t="s">
        <v>1210</v>
      </c>
      <c r="K36" s="66" t="s">
        <v>1197</v>
      </c>
      <c r="L36" s="66" t="s">
        <v>895</v>
      </c>
      <c r="M36" s="66" t="s">
        <v>1266</v>
      </c>
      <c r="N36" s="66" t="s">
        <v>895</v>
      </c>
      <c r="O36" s="66" t="s">
        <v>1266</v>
      </c>
      <c r="P36" s="66" t="s">
        <v>895</v>
      </c>
      <c r="Q36" s="86" t="s">
        <v>1215</v>
      </c>
      <c r="R36" s="86" t="s">
        <v>1215</v>
      </c>
      <c r="S36" s="86" t="s">
        <v>1215</v>
      </c>
      <c r="T36" s="86" t="s">
        <v>1215</v>
      </c>
      <c r="U36" s="86" t="s">
        <v>1215</v>
      </c>
      <c r="V36" s="86" t="s">
        <v>1215</v>
      </c>
      <c r="W36" s="67"/>
      <c r="X36" s="84" t="str">
        <f t="shared" si="0"/>
        <v>Belum Dinilai</v>
      </c>
      <c r="Y36" s="84" t="str">
        <f t="shared" si="1"/>
        <v>Belum Dinilai</v>
      </c>
      <c r="Z36" s="85" t="str">
        <f t="shared" si="2"/>
        <v/>
      </c>
      <c r="AA36" s="85" t="str">
        <f t="shared" si="3"/>
        <v/>
      </c>
      <c r="AB36" s="85" t="str">
        <f t="shared" si="4"/>
        <v/>
      </c>
      <c r="AC36" s="68" t="s">
        <v>1215</v>
      </c>
      <c r="AD36" s="68" t="s">
        <v>1215</v>
      </c>
      <c r="AE36" s="68" t="s">
        <v>1215</v>
      </c>
      <c r="AF36" s="68" t="s">
        <v>1215</v>
      </c>
      <c r="AG36" s="68" t="s">
        <v>1215</v>
      </c>
      <c r="AH36" s="68" t="s">
        <v>1215</v>
      </c>
      <c r="AI36" s="68" t="s">
        <v>1215</v>
      </c>
      <c r="AJ36" s="68" t="s">
        <v>1215</v>
      </c>
      <c r="AK36" s="68" t="s">
        <v>1215</v>
      </c>
      <c r="AL36" s="68"/>
      <c r="AM36" s="68" t="s">
        <v>1215</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1189</v>
      </c>
      <c r="AV36" s="66" t="s">
        <v>1204</v>
      </c>
      <c r="AW36" s="66" t="s">
        <v>1898</v>
      </c>
      <c r="AX36" s="66" t="s">
        <v>1206</v>
      </c>
      <c r="AY36" s="66">
        <v>2023</v>
      </c>
      <c r="AZ36" s="66" t="s">
        <v>927</v>
      </c>
      <c r="BA36" s="66"/>
      <c r="BB36" s="178"/>
      <c r="BC36" s="72">
        <v>2026</v>
      </c>
      <c r="BD36" s="66"/>
      <c r="BE36" s="178"/>
      <c r="BF36" s="66" t="s">
        <v>1278</v>
      </c>
    </row>
    <row r="37" spans="1:58" ht="28">
      <c r="A37" s="66" t="s">
        <v>1406</v>
      </c>
      <c r="B37" s="66" t="s">
        <v>1435</v>
      </c>
      <c r="C37" s="66"/>
      <c r="D37" s="66"/>
      <c r="E37" s="66" t="s">
        <v>1304</v>
      </c>
      <c r="F37" s="66" t="s">
        <v>1429</v>
      </c>
      <c r="G37" s="66" t="s">
        <v>1310</v>
      </c>
      <c r="H37" s="66" t="s">
        <v>1181</v>
      </c>
      <c r="I37" s="66" t="s">
        <v>1436</v>
      </c>
      <c r="J37" s="66" t="s">
        <v>1210</v>
      </c>
      <c r="K37" s="66" t="s">
        <v>1211</v>
      </c>
      <c r="L37" s="66" t="s">
        <v>891</v>
      </c>
      <c r="M37" s="66" t="s">
        <v>1266</v>
      </c>
      <c r="N37" s="66" t="s">
        <v>891</v>
      </c>
      <c r="O37" s="66" t="s">
        <v>1213</v>
      </c>
      <c r="P37" s="66" t="s">
        <v>891</v>
      </c>
      <c r="Q37" s="86" t="s">
        <v>1215</v>
      </c>
      <c r="R37" s="86" t="s">
        <v>1215</v>
      </c>
      <c r="S37" s="86" t="s">
        <v>1215</v>
      </c>
      <c r="T37" s="86" t="s">
        <v>1215</v>
      </c>
      <c r="U37" s="86" t="s">
        <v>1215</v>
      </c>
      <c r="V37" s="86" t="s">
        <v>1215</v>
      </c>
      <c r="W37" s="67"/>
      <c r="X37" s="84" t="str">
        <f t="shared" si="0"/>
        <v>Belum Dinilai</v>
      </c>
      <c r="Y37" s="84" t="str">
        <f t="shared" si="1"/>
        <v>Belum Dinilai</v>
      </c>
      <c r="Z37" s="85" t="str">
        <f t="shared" si="2"/>
        <v/>
      </c>
      <c r="AA37" s="85" t="str">
        <f t="shared" si="3"/>
        <v/>
      </c>
      <c r="AB37" s="85" t="str">
        <f t="shared" si="4"/>
        <v/>
      </c>
      <c r="AC37" s="68" t="s">
        <v>1215</v>
      </c>
      <c r="AD37" s="68" t="s">
        <v>1215</v>
      </c>
      <c r="AE37" s="68" t="s">
        <v>1215</v>
      </c>
      <c r="AF37" s="68" t="s">
        <v>1215</v>
      </c>
      <c r="AG37" s="68" t="s">
        <v>1215</v>
      </c>
      <c r="AH37" s="68" t="s">
        <v>1215</v>
      </c>
      <c r="AI37" s="68" t="s">
        <v>1215</v>
      </c>
      <c r="AJ37" s="68" t="s">
        <v>1215</v>
      </c>
      <c r="AK37" s="68" t="s">
        <v>1215</v>
      </c>
      <c r="AL37" s="68"/>
      <c r="AM37" s="68" t="s">
        <v>1215</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1203</v>
      </c>
      <c r="AV37" s="66" t="s">
        <v>1204</v>
      </c>
      <c r="AW37" s="66" t="s">
        <v>1190</v>
      </c>
      <c r="AX37" s="66"/>
      <c r="AY37" s="66"/>
      <c r="AZ37" s="66" t="s">
        <v>927</v>
      </c>
      <c r="BA37" s="66"/>
      <c r="BB37" s="178"/>
      <c r="BC37" s="72">
        <v>2026</v>
      </c>
      <c r="BD37" s="66"/>
      <c r="BE37" s="178"/>
      <c r="BF37" s="66" t="s">
        <v>1278</v>
      </c>
    </row>
    <row r="38" spans="1:58" ht="56">
      <c r="A38" s="66" t="s">
        <v>1938</v>
      </c>
      <c r="B38" s="66" t="s">
        <v>1438</v>
      </c>
      <c r="C38" s="66"/>
      <c r="D38" s="66"/>
      <c r="E38" s="66" t="s">
        <v>1439</v>
      </c>
      <c r="F38" s="66" t="s">
        <v>1429</v>
      </c>
      <c r="G38" s="66" t="s">
        <v>1310</v>
      </c>
      <c r="H38" s="66" t="s">
        <v>1181</v>
      </c>
      <c r="I38" s="66" t="s">
        <v>1440</v>
      </c>
      <c r="J38" s="66" t="s">
        <v>1210</v>
      </c>
      <c r="K38" s="66" t="s">
        <v>1197</v>
      </c>
      <c r="L38" s="66" t="s">
        <v>891</v>
      </c>
      <c r="M38" s="66" t="s">
        <v>1266</v>
      </c>
      <c r="N38" s="66" t="s">
        <v>891</v>
      </c>
      <c r="O38" s="66" t="s">
        <v>1213</v>
      </c>
      <c r="P38" s="66" t="s">
        <v>891</v>
      </c>
      <c r="Q38" s="86" t="s">
        <v>1215</v>
      </c>
      <c r="R38" s="86" t="s">
        <v>1215</v>
      </c>
      <c r="S38" s="86" t="s">
        <v>1215</v>
      </c>
      <c r="T38" s="86" t="s">
        <v>1215</v>
      </c>
      <c r="U38" s="86" t="s">
        <v>1215</v>
      </c>
      <c r="V38" s="86" t="s">
        <v>1215</v>
      </c>
      <c r="W38" s="67"/>
      <c r="X38" s="84" t="str">
        <f t="shared" si="0"/>
        <v>Belum Dinilai</v>
      </c>
      <c r="Y38" s="84" t="str">
        <f t="shared" si="1"/>
        <v>Belum Dinilai</v>
      </c>
      <c r="Z38" s="85" t="str">
        <f t="shared" si="2"/>
        <v/>
      </c>
      <c r="AA38" s="85" t="str">
        <f t="shared" si="3"/>
        <v/>
      </c>
      <c r="AB38" s="85" t="str">
        <f t="shared" si="4"/>
        <v/>
      </c>
      <c r="AC38" s="68" t="s">
        <v>1215</v>
      </c>
      <c r="AD38" s="68" t="s">
        <v>1215</v>
      </c>
      <c r="AE38" s="68" t="s">
        <v>1215</v>
      </c>
      <c r="AF38" s="68" t="s">
        <v>1215</v>
      </c>
      <c r="AG38" s="68" t="s">
        <v>1215</v>
      </c>
      <c r="AH38" s="68" t="s">
        <v>1215</v>
      </c>
      <c r="AI38" s="68" t="s">
        <v>1215</v>
      </c>
      <c r="AJ38" s="68" t="s">
        <v>1215</v>
      </c>
      <c r="AK38" s="68" t="s">
        <v>1215</v>
      </c>
      <c r="AL38" s="68"/>
      <c r="AM38" s="68" t="s">
        <v>1215</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1189</v>
      </c>
      <c r="AV38" s="66" t="s">
        <v>1204</v>
      </c>
      <c r="AW38" s="66" t="s">
        <v>1898</v>
      </c>
      <c r="AX38" s="66" t="s">
        <v>1268</v>
      </c>
      <c r="AY38" s="66">
        <v>2023</v>
      </c>
      <c r="AZ38" s="66" t="s">
        <v>1207</v>
      </c>
      <c r="BA38" s="66"/>
      <c r="BB38" s="178"/>
      <c r="BC38" s="72">
        <v>2026</v>
      </c>
      <c r="BD38" s="66"/>
      <c r="BE38" s="178"/>
      <c r="BF38" s="66" t="s">
        <v>1278</v>
      </c>
    </row>
    <row r="39" spans="1:58" ht="56">
      <c r="A39" s="66" t="s">
        <v>1410</v>
      </c>
      <c r="B39" s="66" t="s">
        <v>1442</v>
      </c>
      <c r="C39" s="66"/>
      <c r="D39" s="66"/>
      <c r="E39" s="66" t="s">
        <v>1439</v>
      </c>
      <c r="F39" s="66" t="s">
        <v>1429</v>
      </c>
      <c r="G39" s="66" t="s">
        <v>1310</v>
      </c>
      <c r="H39" s="66" t="s">
        <v>1181</v>
      </c>
      <c r="I39" s="66" t="s">
        <v>1440</v>
      </c>
      <c r="J39" s="66" t="s">
        <v>1210</v>
      </c>
      <c r="K39" s="66" t="s">
        <v>1197</v>
      </c>
      <c r="L39" s="66" t="s">
        <v>891</v>
      </c>
      <c r="M39" s="66" t="s">
        <v>1266</v>
      </c>
      <c r="N39" s="66" t="s">
        <v>891</v>
      </c>
      <c r="O39" s="66" t="s">
        <v>1213</v>
      </c>
      <c r="P39" s="66" t="s">
        <v>891</v>
      </c>
      <c r="Q39" s="86" t="s">
        <v>1215</v>
      </c>
      <c r="R39" s="86" t="s">
        <v>1215</v>
      </c>
      <c r="S39" s="86" t="s">
        <v>1215</v>
      </c>
      <c r="T39" s="86" t="s">
        <v>1215</v>
      </c>
      <c r="U39" s="86" t="s">
        <v>1215</v>
      </c>
      <c r="V39" s="86" t="s">
        <v>1215</v>
      </c>
      <c r="W39" s="67"/>
      <c r="X39" s="84" t="str">
        <f t="shared" si="0"/>
        <v>Belum Dinilai</v>
      </c>
      <c r="Y39" s="84" t="str">
        <f t="shared" si="1"/>
        <v>Belum Dinilai</v>
      </c>
      <c r="Z39" s="85" t="str">
        <f t="shared" si="2"/>
        <v/>
      </c>
      <c r="AA39" s="85" t="str">
        <f t="shared" si="3"/>
        <v/>
      </c>
      <c r="AB39" s="85" t="str">
        <f t="shared" si="4"/>
        <v/>
      </c>
      <c r="AC39" s="68" t="s">
        <v>1215</v>
      </c>
      <c r="AD39" s="68" t="s">
        <v>1215</v>
      </c>
      <c r="AE39" s="68" t="s">
        <v>1215</v>
      </c>
      <c r="AF39" s="68" t="s">
        <v>1215</v>
      </c>
      <c r="AG39" s="68" t="s">
        <v>1215</v>
      </c>
      <c r="AH39" s="68" t="s">
        <v>1215</v>
      </c>
      <c r="AI39" s="68" t="s">
        <v>1215</v>
      </c>
      <c r="AJ39" s="68" t="s">
        <v>1215</v>
      </c>
      <c r="AK39" s="68" t="s">
        <v>1215</v>
      </c>
      <c r="AL39" s="68"/>
      <c r="AM39" s="68" t="s">
        <v>1215</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1189</v>
      </c>
      <c r="AV39" s="66" t="s">
        <v>1204</v>
      </c>
      <c r="AW39" s="66" t="s">
        <v>1898</v>
      </c>
      <c r="AX39" s="66" t="s">
        <v>1206</v>
      </c>
      <c r="AY39" s="66">
        <v>2024</v>
      </c>
      <c r="AZ39" s="66" t="s">
        <v>1207</v>
      </c>
      <c r="BA39" s="66"/>
      <c r="BB39" s="178"/>
      <c r="BC39" s="72">
        <v>2026</v>
      </c>
      <c r="BD39" s="66"/>
      <c r="BE39" s="178"/>
      <c r="BF39" s="66" t="s">
        <v>1278</v>
      </c>
    </row>
    <row r="40" spans="1:58" ht="42">
      <c r="A40" s="66" t="s">
        <v>1415</v>
      </c>
      <c r="B40" s="66" t="s">
        <v>1444</v>
      </c>
      <c r="C40" s="66"/>
      <c r="D40" s="66"/>
      <c r="E40" s="66" t="s">
        <v>1445</v>
      </c>
      <c r="F40" s="66" t="s">
        <v>1429</v>
      </c>
      <c r="G40" s="66" t="s">
        <v>1310</v>
      </c>
      <c r="H40" s="66" t="s">
        <v>1195</v>
      </c>
      <c r="I40" s="66" t="s">
        <v>1446</v>
      </c>
      <c r="J40" s="66" t="s">
        <v>1196</v>
      </c>
      <c r="K40" s="66" t="s">
        <v>1197</v>
      </c>
      <c r="L40" s="66" t="s">
        <v>905</v>
      </c>
      <c r="M40" s="66" t="s">
        <v>1305</v>
      </c>
      <c r="N40" s="66" t="s">
        <v>905</v>
      </c>
      <c r="O40" s="66" t="s">
        <v>1185</v>
      </c>
      <c r="P40" s="66" t="s">
        <v>905</v>
      </c>
      <c r="Q40" s="86" t="s">
        <v>1215</v>
      </c>
      <c r="R40" s="86" t="s">
        <v>1215</v>
      </c>
      <c r="S40" s="86" t="s">
        <v>1215</v>
      </c>
      <c r="T40" s="86" t="s">
        <v>1215</v>
      </c>
      <c r="U40" s="86" t="s">
        <v>1215</v>
      </c>
      <c r="V40" s="86" t="s">
        <v>1215</v>
      </c>
      <c r="W40" s="67"/>
      <c r="X40" s="84" t="str">
        <f t="shared" si="0"/>
        <v>Belum Dinilai</v>
      </c>
      <c r="Y40" s="84" t="str">
        <f t="shared" si="1"/>
        <v>Belum Dinilai</v>
      </c>
      <c r="Z40" s="85" t="str">
        <f t="shared" si="2"/>
        <v/>
      </c>
      <c r="AA40" s="85" t="str">
        <f t="shared" si="3"/>
        <v/>
      </c>
      <c r="AB40" s="85" t="str">
        <f t="shared" si="4"/>
        <v/>
      </c>
      <c r="AC40" s="68" t="s">
        <v>1215</v>
      </c>
      <c r="AD40" s="68" t="s">
        <v>1215</v>
      </c>
      <c r="AE40" s="68" t="s">
        <v>1215</v>
      </c>
      <c r="AF40" s="68" t="s">
        <v>1215</v>
      </c>
      <c r="AG40" s="68" t="s">
        <v>1215</v>
      </c>
      <c r="AH40" s="68" t="s">
        <v>1215</v>
      </c>
      <c r="AI40" s="68" t="s">
        <v>1215</v>
      </c>
      <c r="AJ40" s="68" t="s">
        <v>1215</v>
      </c>
      <c r="AK40" s="68" t="s">
        <v>1215</v>
      </c>
      <c r="AL40" s="68"/>
      <c r="AM40" s="68" t="s">
        <v>1215</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1203</v>
      </c>
      <c r="AV40" s="66" t="s">
        <v>1204</v>
      </c>
      <c r="AW40" s="66" t="s">
        <v>1898</v>
      </c>
      <c r="AX40" s="66" t="s">
        <v>1268</v>
      </c>
      <c r="AY40" s="66">
        <v>2023</v>
      </c>
      <c r="AZ40" s="66" t="s">
        <v>927</v>
      </c>
      <c r="BA40" s="66"/>
      <c r="BB40" s="178"/>
      <c r="BC40" s="72">
        <v>2026</v>
      </c>
      <c r="BD40" s="66"/>
      <c r="BE40" s="178"/>
      <c r="BF40" s="66" t="s">
        <v>1278</v>
      </c>
    </row>
    <row r="41" spans="1:58" ht="42">
      <c r="A41" s="66" t="s">
        <v>1418</v>
      </c>
      <c r="B41" s="66" t="s">
        <v>1448</v>
      </c>
      <c r="C41" s="66"/>
      <c r="D41" s="66"/>
      <c r="E41" s="66" t="s">
        <v>1449</v>
      </c>
      <c r="F41" s="66" t="s">
        <v>1429</v>
      </c>
      <c r="G41" s="66" t="s">
        <v>1310</v>
      </c>
      <c r="H41" s="66" t="s">
        <v>1181</v>
      </c>
      <c r="I41" s="66" t="s">
        <v>1450</v>
      </c>
      <c r="J41" s="66" t="s">
        <v>1196</v>
      </c>
      <c r="K41" s="66" t="s">
        <v>1183</v>
      </c>
      <c r="L41" s="66" t="s">
        <v>895</v>
      </c>
      <c r="M41" s="66" t="s">
        <v>1266</v>
      </c>
      <c r="N41" s="66" t="s">
        <v>895</v>
      </c>
      <c r="O41" s="66" t="s">
        <v>1213</v>
      </c>
      <c r="P41" s="66" t="s">
        <v>895</v>
      </c>
      <c r="Q41" s="86" t="s">
        <v>1186</v>
      </c>
      <c r="R41" s="86" t="s">
        <v>1201</v>
      </c>
      <c r="S41" s="86" t="s">
        <v>1201</v>
      </c>
      <c r="T41" s="86" t="s">
        <v>1201</v>
      </c>
      <c r="U41" s="86" t="s">
        <v>1201</v>
      </c>
      <c r="V41" s="86" t="s">
        <v>1201</v>
      </c>
      <c r="W41" s="67"/>
      <c r="X41" s="84" t="str">
        <f t="shared" si="0"/>
        <v>Tidak ada faktor rentan</v>
      </c>
      <c r="Y41" s="84" t="str">
        <f t="shared" si="1"/>
        <v>Tidak Ada Faktor Rentan</v>
      </c>
      <c r="Z41" s="85">
        <f t="shared" si="2"/>
        <v>10</v>
      </c>
      <c r="AA41" s="85">
        <f t="shared" si="3"/>
        <v>0</v>
      </c>
      <c r="AB41" s="85">
        <f t="shared" si="4"/>
        <v>10</v>
      </c>
      <c r="AC41" s="68" t="s">
        <v>1187</v>
      </c>
      <c r="AD41" s="68" t="s">
        <v>1201</v>
      </c>
      <c r="AE41" s="68" t="s">
        <v>1215</v>
      </c>
      <c r="AF41" s="68" t="s">
        <v>1201</v>
      </c>
      <c r="AG41" s="68" t="s">
        <v>1187</v>
      </c>
      <c r="AH41" s="68" t="s">
        <v>1187</v>
      </c>
      <c r="AI41" s="68" t="s">
        <v>1187</v>
      </c>
      <c r="AJ41" s="68" t="s">
        <v>1187</v>
      </c>
      <c r="AK41" s="68" t="s">
        <v>1201</v>
      </c>
      <c r="AL41" s="68"/>
      <c r="AM41" s="68" t="s">
        <v>1215</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1203</v>
      </c>
      <c r="AV41" s="66" t="s">
        <v>1204</v>
      </c>
      <c r="AW41" s="66" t="s">
        <v>1898</v>
      </c>
      <c r="AX41" s="66" t="s">
        <v>1268</v>
      </c>
      <c r="AY41" s="66">
        <v>2023</v>
      </c>
      <c r="AZ41" s="66" t="s">
        <v>927</v>
      </c>
      <c r="BA41" s="66"/>
      <c r="BB41" s="178"/>
      <c r="BC41" s="72">
        <v>2026</v>
      </c>
      <c r="BD41" s="66"/>
      <c r="BE41" s="178"/>
      <c r="BF41" s="66" t="s">
        <v>1278</v>
      </c>
    </row>
    <row r="42" spans="1:58" ht="42">
      <c r="A42" s="66" t="s">
        <v>1421</v>
      </c>
      <c r="B42" s="66" t="s">
        <v>1452</v>
      </c>
      <c r="C42" s="66"/>
      <c r="D42" s="66"/>
      <c r="E42" s="66" t="s">
        <v>1453</v>
      </c>
      <c r="F42" s="66" t="s">
        <v>1425</v>
      </c>
      <c r="G42" s="66" t="s">
        <v>1310</v>
      </c>
      <c r="H42" s="66" t="s">
        <v>1195</v>
      </c>
      <c r="I42" s="66" t="s">
        <v>1454</v>
      </c>
      <c r="J42" s="66" t="s">
        <v>1182</v>
      </c>
      <c r="K42" s="66" t="s">
        <v>1197</v>
      </c>
      <c r="L42" s="66" t="s">
        <v>1215</v>
      </c>
      <c r="M42" s="66" t="s">
        <v>1265</v>
      </c>
      <c r="N42" s="66" t="s">
        <v>1215</v>
      </c>
      <c r="O42" s="66" t="s">
        <v>1213</v>
      </c>
      <c r="P42" s="66" t="s">
        <v>1215</v>
      </c>
      <c r="Q42" s="86" t="s">
        <v>1215</v>
      </c>
      <c r="R42" s="86" t="s">
        <v>1215</v>
      </c>
      <c r="S42" s="86" t="s">
        <v>1215</v>
      </c>
      <c r="T42" s="86" t="s">
        <v>1215</v>
      </c>
      <c r="U42" s="86" t="s">
        <v>1215</v>
      </c>
      <c r="V42" s="86" t="s">
        <v>1215</v>
      </c>
      <c r="W42" s="67"/>
      <c r="X42" s="84" t="str">
        <f t="shared" si="0"/>
        <v>Belum Dinilai</v>
      </c>
      <c r="Y42" s="84" t="str">
        <f t="shared" si="1"/>
        <v>Belum Dinilai</v>
      </c>
      <c r="Z42" s="85" t="str">
        <f t="shared" si="2"/>
        <v/>
      </c>
      <c r="AA42" s="85" t="str">
        <f t="shared" si="3"/>
        <v/>
      </c>
      <c r="AB42" s="85" t="str">
        <f t="shared" si="4"/>
        <v/>
      </c>
      <c r="AC42" s="68" t="s">
        <v>1215</v>
      </c>
      <c r="AD42" s="68" t="s">
        <v>1215</v>
      </c>
      <c r="AE42" s="68" t="s">
        <v>1215</v>
      </c>
      <c r="AF42" s="68" t="s">
        <v>1215</v>
      </c>
      <c r="AG42" s="68" t="s">
        <v>1215</v>
      </c>
      <c r="AH42" s="68" t="s">
        <v>1215</v>
      </c>
      <c r="AI42" s="68" t="s">
        <v>1215</v>
      </c>
      <c r="AJ42" s="68" t="s">
        <v>1215</v>
      </c>
      <c r="AK42" s="68" t="s">
        <v>1215</v>
      </c>
      <c r="AL42" s="68"/>
      <c r="AM42" s="68" t="s">
        <v>1215</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1189</v>
      </c>
      <c r="AV42" s="66" t="s">
        <v>1204</v>
      </c>
      <c r="AW42" s="66" t="s">
        <v>1898</v>
      </c>
      <c r="AX42" s="66" t="s">
        <v>1268</v>
      </c>
      <c r="AY42" s="66">
        <v>2024</v>
      </c>
      <c r="AZ42" s="66" t="s">
        <v>927</v>
      </c>
      <c r="BA42" s="66"/>
      <c r="BB42" s="178"/>
      <c r="BC42" s="72">
        <v>2026</v>
      </c>
      <c r="BD42" s="66"/>
      <c r="BE42" s="178"/>
      <c r="BF42" s="66" t="s">
        <v>1278</v>
      </c>
    </row>
    <row r="43" spans="1:58" ht="42">
      <c r="A43" s="66" t="s">
        <v>1423</v>
      </c>
      <c r="B43" s="66" t="s">
        <v>1456</v>
      </c>
      <c r="C43" s="66"/>
      <c r="D43" s="66"/>
      <c r="E43" s="66" t="s">
        <v>1457</v>
      </c>
      <c r="F43" s="66" t="s">
        <v>1458</v>
      </c>
      <c r="G43" s="66" t="s">
        <v>1310</v>
      </c>
      <c r="H43" s="66" t="s">
        <v>1181</v>
      </c>
      <c r="I43" s="66" t="s">
        <v>1459</v>
      </c>
      <c r="J43" s="66" t="s">
        <v>1210</v>
      </c>
      <c r="K43" s="66" t="s">
        <v>1183</v>
      </c>
      <c r="L43" s="66" t="s">
        <v>905</v>
      </c>
      <c r="M43" s="66" t="s">
        <v>1266</v>
      </c>
      <c r="N43" s="66" t="s">
        <v>905</v>
      </c>
      <c r="O43" s="66" t="s">
        <v>1277</v>
      </c>
      <c r="P43" s="66" t="s">
        <v>1215</v>
      </c>
      <c r="Q43" s="86" t="s">
        <v>1215</v>
      </c>
      <c r="R43" s="86" t="s">
        <v>1215</v>
      </c>
      <c r="S43" s="86" t="s">
        <v>1215</v>
      </c>
      <c r="T43" s="86" t="s">
        <v>1215</v>
      </c>
      <c r="U43" s="86" t="s">
        <v>1215</v>
      </c>
      <c r="V43" s="86" t="s">
        <v>1215</v>
      </c>
      <c r="W43" s="67"/>
      <c r="X43" s="84" t="str">
        <f t="shared" si="0"/>
        <v>Belum Dinilai</v>
      </c>
      <c r="Y43" s="84" t="str">
        <f t="shared" si="1"/>
        <v>Belum Dinilai</v>
      </c>
      <c r="Z43" s="85" t="str">
        <f t="shared" si="2"/>
        <v/>
      </c>
      <c r="AA43" s="85" t="str">
        <f t="shared" si="3"/>
        <v/>
      </c>
      <c r="AB43" s="85" t="str">
        <f t="shared" si="4"/>
        <v/>
      </c>
      <c r="AC43" s="68" t="s">
        <v>1215</v>
      </c>
      <c r="AD43" s="68" t="s">
        <v>1215</v>
      </c>
      <c r="AE43" s="68" t="s">
        <v>1215</v>
      </c>
      <c r="AF43" s="68" t="s">
        <v>1215</v>
      </c>
      <c r="AG43" s="68" t="s">
        <v>1215</v>
      </c>
      <c r="AH43" s="68" t="s">
        <v>1215</v>
      </c>
      <c r="AI43" s="68" t="s">
        <v>1215</v>
      </c>
      <c r="AJ43" s="68" t="s">
        <v>1215</v>
      </c>
      <c r="AK43" s="68" t="s">
        <v>1215</v>
      </c>
      <c r="AL43" s="68"/>
      <c r="AM43" s="68" t="s">
        <v>1215</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1189</v>
      </c>
      <c r="AV43" s="66" t="s">
        <v>1204</v>
      </c>
      <c r="AW43" s="66" t="s">
        <v>1898</v>
      </c>
      <c r="AX43" s="66" t="s">
        <v>1206</v>
      </c>
      <c r="AY43" s="66">
        <v>2023</v>
      </c>
      <c r="AZ43" s="66" t="s">
        <v>927</v>
      </c>
      <c r="BA43" s="66"/>
      <c r="BB43" s="178"/>
      <c r="BC43" s="72">
        <v>2026</v>
      </c>
      <c r="BD43" s="66"/>
      <c r="BE43" s="178"/>
      <c r="BF43" s="66" t="s">
        <v>1278</v>
      </c>
    </row>
    <row r="44" spans="1:58" ht="42">
      <c r="A44" s="66" t="s">
        <v>1939</v>
      </c>
      <c r="B44" s="66" t="s">
        <v>1461</v>
      </c>
      <c r="C44" s="66"/>
      <c r="D44" s="66"/>
      <c r="E44" s="66" t="s">
        <v>1462</v>
      </c>
      <c r="F44" s="66" t="s">
        <v>1425</v>
      </c>
      <c r="G44" s="66" t="s">
        <v>1310</v>
      </c>
      <c r="H44" s="66" t="s">
        <v>1463</v>
      </c>
      <c r="I44" s="66" t="s">
        <v>1464</v>
      </c>
      <c r="J44" s="66" t="s">
        <v>1196</v>
      </c>
      <c r="K44" s="66" t="s">
        <v>1197</v>
      </c>
      <c r="L44" s="66" t="s">
        <v>891</v>
      </c>
      <c r="M44" s="66" t="s">
        <v>1266</v>
      </c>
      <c r="N44" s="66" t="s">
        <v>891</v>
      </c>
      <c r="O44" s="66" t="s">
        <v>1185</v>
      </c>
      <c r="P44" s="66" t="s">
        <v>891</v>
      </c>
      <c r="Q44" s="86" t="s">
        <v>1215</v>
      </c>
      <c r="R44" s="86" t="s">
        <v>1215</v>
      </c>
      <c r="S44" s="86" t="s">
        <v>1215</v>
      </c>
      <c r="T44" s="86" t="s">
        <v>1215</v>
      </c>
      <c r="U44" s="86" t="s">
        <v>1215</v>
      </c>
      <c r="V44" s="86" t="s">
        <v>1215</v>
      </c>
      <c r="W44" s="67"/>
      <c r="X44" s="84" t="str">
        <f t="shared" si="0"/>
        <v>Belum Dinilai</v>
      </c>
      <c r="Y44" s="84" t="str">
        <f t="shared" si="1"/>
        <v>Belum Dinilai</v>
      </c>
      <c r="Z44" s="85" t="str">
        <f t="shared" si="2"/>
        <v/>
      </c>
      <c r="AA44" s="85" t="str">
        <f t="shared" si="3"/>
        <v/>
      </c>
      <c r="AB44" s="85" t="str">
        <f t="shared" si="4"/>
        <v/>
      </c>
      <c r="AC44" s="68" t="s">
        <v>1215</v>
      </c>
      <c r="AD44" s="68" t="s">
        <v>1215</v>
      </c>
      <c r="AE44" s="68" t="s">
        <v>1215</v>
      </c>
      <c r="AF44" s="68" t="s">
        <v>1215</v>
      </c>
      <c r="AG44" s="68" t="s">
        <v>1215</v>
      </c>
      <c r="AH44" s="68" t="s">
        <v>1215</v>
      </c>
      <c r="AI44" s="68" t="s">
        <v>1215</v>
      </c>
      <c r="AJ44" s="68" t="s">
        <v>1215</v>
      </c>
      <c r="AK44" s="68" t="s">
        <v>1215</v>
      </c>
      <c r="AL44" s="68"/>
      <c r="AM44" s="68" t="s">
        <v>1215</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1189</v>
      </c>
      <c r="AV44" s="66" t="s">
        <v>1204</v>
      </c>
      <c r="AW44" s="66" t="s">
        <v>1898</v>
      </c>
      <c r="AX44" s="66" t="s">
        <v>1268</v>
      </c>
      <c r="AY44" s="66">
        <v>2024</v>
      </c>
      <c r="AZ44" s="66" t="s">
        <v>927</v>
      </c>
      <c r="BA44" s="66"/>
      <c r="BB44" s="178"/>
      <c r="BC44" s="72">
        <v>2026</v>
      </c>
      <c r="BD44" s="66"/>
      <c r="BE44" s="178"/>
      <c r="BF44" s="66" t="s">
        <v>1278</v>
      </c>
    </row>
    <row r="45" spans="1:58" ht="28">
      <c r="A45" s="66" t="s">
        <v>1940</v>
      </c>
      <c r="B45" s="66" t="s">
        <v>1466</v>
      </c>
      <c r="C45" s="66"/>
      <c r="D45" s="66"/>
      <c r="E45" s="66" t="s">
        <v>1462</v>
      </c>
      <c r="F45" s="66" t="s">
        <v>1425</v>
      </c>
      <c r="G45" s="66" t="s">
        <v>1310</v>
      </c>
      <c r="H45" s="66" t="s">
        <v>1463</v>
      </c>
      <c r="I45" s="66" t="s">
        <v>1467</v>
      </c>
      <c r="J45" s="66" t="s">
        <v>1182</v>
      </c>
      <c r="K45" s="66" t="s">
        <v>1197</v>
      </c>
      <c r="L45" s="66" t="s">
        <v>1215</v>
      </c>
      <c r="M45" s="66" t="s">
        <v>1265</v>
      </c>
      <c r="N45" s="66" t="s">
        <v>1215</v>
      </c>
      <c r="O45" s="66" t="s">
        <v>1213</v>
      </c>
      <c r="P45" s="66" t="s">
        <v>1215</v>
      </c>
      <c r="Q45" s="86" t="s">
        <v>1215</v>
      </c>
      <c r="R45" s="86" t="s">
        <v>1215</v>
      </c>
      <c r="S45" s="86" t="s">
        <v>1215</v>
      </c>
      <c r="T45" s="86" t="s">
        <v>1215</v>
      </c>
      <c r="U45" s="86" t="s">
        <v>1215</v>
      </c>
      <c r="V45" s="86" t="s">
        <v>1215</v>
      </c>
      <c r="W45" s="67"/>
      <c r="X45" s="84" t="str">
        <f t="shared" si="0"/>
        <v>Belum Dinilai</v>
      </c>
      <c r="Y45" s="84" t="str">
        <f t="shared" si="1"/>
        <v>Belum Dinilai</v>
      </c>
      <c r="Z45" s="85" t="str">
        <f t="shared" si="2"/>
        <v/>
      </c>
      <c r="AA45" s="85" t="str">
        <f t="shared" si="3"/>
        <v/>
      </c>
      <c r="AB45" s="85" t="str">
        <f t="shared" si="4"/>
        <v/>
      </c>
      <c r="AC45" s="68" t="s">
        <v>1215</v>
      </c>
      <c r="AD45" s="68" t="s">
        <v>1215</v>
      </c>
      <c r="AE45" s="68" t="s">
        <v>1215</v>
      </c>
      <c r="AF45" s="68" t="s">
        <v>1215</v>
      </c>
      <c r="AG45" s="68" t="s">
        <v>1215</v>
      </c>
      <c r="AH45" s="68" t="s">
        <v>1215</v>
      </c>
      <c r="AI45" s="68" t="s">
        <v>1215</v>
      </c>
      <c r="AJ45" s="68" t="s">
        <v>1215</v>
      </c>
      <c r="AK45" s="68" t="s">
        <v>1215</v>
      </c>
      <c r="AL45" s="68"/>
      <c r="AM45" s="68" t="s">
        <v>1215</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1189</v>
      </c>
      <c r="AV45" s="66" t="s">
        <v>1204</v>
      </c>
      <c r="AW45" s="66" t="s">
        <v>1190</v>
      </c>
      <c r="AX45" s="66"/>
      <c r="AY45" s="66"/>
      <c r="AZ45" s="66" t="s">
        <v>927</v>
      </c>
      <c r="BA45" s="66"/>
      <c r="BB45" s="178"/>
      <c r="BC45" s="72">
        <v>2026</v>
      </c>
      <c r="BD45" s="66"/>
      <c r="BE45" s="178"/>
      <c r="BF45" s="66" t="s">
        <v>1278</v>
      </c>
    </row>
    <row r="46" spans="1:58" ht="28">
      <c r="A46" s="66" t="s">
        <v>1426</v>
      </c>
      <c r="B46" s="66" t="s">
        <v>1469</v>
      </c>
      <c r="C46" s="66"/>
      <c r="D46" s="66"/>
      <c r="E46" s="66" t="s">
        <v>1304</v>
      </c>
      <c r="F46" s="66" t="s">
        <v>1425</v>
      </c>
      <c r="G46" s="66" t="s">
        <v>1310</v>
      </c>
      <c r="H46" s="66" t="s">
        <v>1181</v>
      </c>
      <c r="I46" s="66" t="s">
        <v>1290</v>
      </c>
      <c r="J46" s="66" t="s">
        <v>1210</v>
      </c>
      <c r="K46" s="66" t="s">
        <v>1277</v>
      </c>
      <c r="L46" s="66" t="s">
        <v>1215</v>
      </c>
      <c r="M46" s="66" t="s">
        <v>1266</v>
      </c>
      <c r="N46" s="66" t="s">
        <v>1215</v>
      </c>
      <c r="O46" s="66" t="s">
        <v>1277</v>
      </c>
      <c r="P46" s="66" t="s">
        <v>1215</v>
      </c>
      <c r="Q46" s="86" t="s">
        <v>1215</v>
      </c>
      <c r="R46" s="86" t="s">
        <v>1215</v>
      </c>
      <c r="S46" s="86" t="s">
        <v>1215</v>
      </c>
      <c r="T46" s="86" t="s">
        <v>1215</v>
      </c>
      <c r="U46" s="86" t="s">
        <v>1215</v>
      </c>
      <c r="V46" s="86" t="s">
        <v>1215</v>
      </c>
      <c r="W46" s="67"/>
      <c r="X46" s="84" t="str">
        <f t="shared" si="0"/>
        <v>Belum Dinilai</v>
      </c>
      <c r="Y46" s="84" t="str">
        <f t="shared" si="1"/>
        <v>Belum Dinilai</v>
      </c>
      <c r="Z46" s="85" t="str">
        <f t="shared" si="2"/>
        <v/>
      </c>
      <c r="AA46" s="85" t="str">
        <f t="shared" si="3"/>
        <v/>
      </c>
      <c r="AB46" s="85" t="str">
        <f t="shared" si="4"/>
        <v/>
      </c>
      <c r="AC46" s="68" t="s">
        <v>1215</v>
      </c>
      <c r="AD46" s="68" t="s">
        <v>1215</v>
      </c>
      <c r="AE46" s="68" t="s">
        <v>1215</v>
      </c>
      <c r="AF46" s="68" t="s">
        <v>1215</v>
      </c>
      <c r="AG46" s="68" t="s">
        <v>1215</v>
      </c>
      <c r="AH46" s="68" t="s">
        <v>1215</v>
      </c>
      <c r="AI46" s="68" t="s">
        <v>1215</v>
      </c>
      <c r="AJ46" s="68" t="s">
        <v>1215</v>
      </c>
      <c r="AK46" s="68" t="s">
        <v>1215</v>
      </c>
      <c r="AL46" s="68"/>
      <c r="AM46" s="68" t="s">
        <v>1215</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1189</v>
      </c>
      <c r="AV46" s="66" t="s">
        <v>1204</v>
      </c>
      <c r="AW46" s="66" t="s">
        <v>1898</v>
      </c>
      <c r="AX46" s="66" t="s">
        <v>1268</v>
      </c>
      <c r="AY46" s="66">
        <v>2024</v>
      </c>
      <c r="AZ46" s="66" t="s">
        <v>927</v>
      </c>
      <c r="BA46" s="66"/>
      <c r="BB46" s="178"/>
      <c r="BC46" s="72">
        <v>2026</v>
      </c>
      <c r="BD46" s="66"/>
      <c r="BE46" s="178"/>
      <c r="BF46" s="66" t="s">
        <v>1278</v>
      </c>
    </row>
    <row r="47" spans="1:58" ht="42">
      <c r="A47" s="66" t="s">
        <v>1431</v>
      </c>
      <c r="B47" s="66" t="s">
        <v>1473</v>
      </c>
      <c r="C47" s="66"/>
      <c r="D47" s="66"/>
      <c r="E47" s="66" t="s">
        <v>1304</v>
      </c>
      <c r="F47" s="66" t="s">
        <v>1474</v>
      </c>
      <c r="G47" s="66" t="s">
        <v>1310</v>
      </c>
      <c r="H47" s="66" t="s">
        <v>1181</v>
      </c>
      <c r="I47" s="66" t="s">
        <v>1475</v>
      </c>
      <c r="J47" s="66" t="s">
        <v>1210</v>
      </c>
      <c r="K47" s="66" t="s">
        <v>1197</v>
      </c>
      <c r="L47" s="66" t="s">
        <v>895</v>
      </c>
      <c r="M47" s="66" t="s">
        <v>1266</v>
      </c>
      <c r="N47" s="66" t="s">
        <v>895</v>
      </c>
      <c r="O47" s="66" t="s">
        <v>1213</v>
      </c>
      <c r="P47" s="66" t="s">
        <v>895</v>
      </c>
      <c r="Q47" s="86" t="s">
        <v>1215</v>
      </c>
      <c r="R47" s="86" t="s">
        <v>1215</v>
      </c>
      <c r="S47" s="86" t="s">
        <v>1215</v>
      </c>
      <c r="T47" s="86" t="s">
        <v>1215</v>
      </c>
      <c r="U47" s="86" t="s">
        <v>1215</v>
      </c>
      <c r="V47" s="86" t="s">
        <v>1215</v>
      </c>
      <c r="W47" s="67"/>
      <c r="X47" s="84" t="str">
        <f t="shared" si="0"/>
        <v>Belum Dinilai</v>
      </c>
      <c r="Y47" s="84" t="str">
        <f t="shared" si="1"/>
        <v>Belum Dinilai</v>
      </c>
      <c r="Z47" s="85" t="str">
        <f t="shared" si="2"/>
        <v/>
      </c>
      <c r="AA47" s="85" t="str">
        <f t="shared" si="3"/>
        <v/>
      </c>
      <c r="AB47" s="85" t="str">
        <f t="shared" si="4"/>
        <v/>
      </c>
      <c r="AC47" s="68" t="s">
        <v>1215</v>
      </c>
      <c r="AD47" s="68" t="s">
        <v>1215</v>
      </c>
      <c r="AE47" s="68" t="s">
        <v>1215</v>
      </c>
      <c r="AF47" s="68" t="s">
        <v>1215</v>
      </c>
      <c r="AG47" s="68" t="s">
        <v>1215</v>
      </c>
      <c r="AH47" s="68" t="s">
        <v>1215</v>
      </c>
      <c r="AI47" s="68" t="s">
        <v>1215</v>
      </c>
      <c r="AJ47" s="68" t="s">
        <v>1215</v>
      </c>
      <c r="AK47" s="68" t="s">
        <v>1215</v>
      </c>
      <c r="AL47" s="68"/>
      <c r="AM47" s="68" t="s">
        <v>1215</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1189</v>
      </c>
      <c r="AV47" s="66" t="s">
        <v>1204</v>
      </c>
      <c r="AW47" s="66" t="s">
        <v>1898</v>
      </c>
      <c r="AX47" s="66" t="s">
        <v>1268</v>
      </c>
      <c r="AY47" s="66">
        <v>2023</v>
      </c>
      <c r="AZ47" s="66" t="s">
        <v>927</v>
      </c>
      <c r="BA47" s="66"/>
      <c r="BB47" s="178"/>
      <c r="BC47" s="72">
        <v>2026</v>
      </c>
      <c r="BD47" s="66"/>
      <c r="BE47" s="178"/>
      <c r="BF47" s="66" t="s">
        <v>1278</v>
      </c>
    </row>
    <row r="48" spans="1:58" ht="56">
      <c r="A48" s="66" t="s">
        <v>1434</v>
      </c>
      <c r="B48" s="66" t="s">
        <v>1477</v>
      </c>
      <c r="C48" s="66"/>
      <c r="D48" s="66"/>
      <c r="E48" s="66" t="s">
        <v>1478</v>
      </c>
      <c r="F48" s="66" t="s">
        <v>1474</v>
      </c>
      <c r="G48" s="66" t="s">
        <v>1310</v>
      </c>
      <c r="H48" s="66" t="s">
        <v>1463</v>
      </c>
      <c r="I48" s="66" t="s">
        <v>1479</v>
      </c>
      <c r="J48" s="66" t="s">
        <v>1196</v>
      </c>
      <c r="K48" s="66" t="s">
        <v>1183</v>
      </c>
      <c r="L48" s="66" t="s">
        <v>1215</v>
      </c>
      <c r="M48" s="66" t="s">
        <v>1305</v>
      </c>
      <c r="N48" s="66" t="s">
        <v>1215</v>
      </c>
      <c r="O48" s="66" t="s">
        <v>1213</v>
      </c>
      <c r="P48" s="66" t="s">
        <v>1215</v>
      </c>
      <c r="Q48" s="86" t="s">
        <v>1215</v>
      </c>
      <c r="R48" s="86" t="s">
        <v>1215</v>
      </c>
      <c r="S48" s="86" t="s">
        <v>1215</v>
      </c>
      <c r="T48" s="86" t="s">
        <v>1215</v>
      </c>
      <c r="U48" s="86" t="s">
        <v>1215</v>
      </c>
      <c r="V48" s="86" t="s">
        <v>1215</v>
      </c>
      <c r="W48" s="67"/>
      <c r="X48" s="84" t="str">
        <f t="shared" si="0"/>
        <v>Belum Dinilai</v>
      </c>
      <c r="Y48" s="84" t="str">
        <f t="shared" si="1"/>
        <v>Belum Dinilai</v>
      </c>
      <c r="Z48" s="85" t="str">
        <f t="shared" si="2"/>
        <v/>
      </c>
      <c r="AA48" s="85" t="str">
        <f t="shared" si="3"/>
        <v/>
      </c>
      <c r="AB48" s="85" t="str">
        <f t="shared" si="4"/>
        <v/>
      </c>
      <c r="AC48" s="68" t="s">
        <v>1215</v>
      </c>
      <c r="AD48" s="68" t="s">
        <v>1215</v>
      </c>
      <c r="AE48" s="68" t="s">
        <v>1215</v>
      </c>
      <c r="AF48" s="68" t="s">
        <v>1215</v>
      </c>
      <c r="AG48" s="68" t="s">
        <v>1215</v>
      </c>
      <c r="AH48" s="68" t="s">
        <v>1215</v>
      </c>
      <c r="AI48" s="68" t="s">
        <v>1215</v>
      </c>
      <c r="AJ48" s="68" t="s">
        <v>1215</v>
      </c>
      <c r="AK48" s="68" t="s">
        <v>1215</v>
      </c>
      <c r="AL48" s="68"/>
      <c r="AM48" s="68" t="s">
        <v>1215</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1189</v>
      </c>
      <c r="AV48" s="66" t="s">
        <v>1204</v>
      </c>
      <c r="AW48" s="66" t="s">
        <v>1898</v>
      </c>
      <c r="AX48" s="66" t="s">
        <v>1217</v>
      </c>
      <c r="AY48" s="66">
        <v>2023</v>
      </c>
      <c r="AZ48" s="66" t="s">
        <v>927</v>
      </c>
      <c r="BA48" s="66"/>
      <c r="BB48" s="178"/>
      <c r="BC48" s="72">
        <v>2026</v>
      </c>
      <c r="BD48" s="66"/>
      <c r="BE48" s="178"/>
      <c r="BF48" s="66" t="s">
        <v>1278</v>
      </c>
    </row>
    <row r="49" spans="1:58" ht="56">
      <c r="A49" s="66" t="s">
        <v>1437</v>
      </c>
      <c r="B49" s="66" t="s">
        <v>1481</v>
      </c>
      <c r="C49" s="66"/>
      <c r="D49" s="66"/>
      <c r="E49" s="66" t="s">
        <v>1482</v>
      </c>
      <c r="F49" s="66" t="s">
        <v>1474</v>
      </c>
      <c r="G49" s="66" t="s">
        <v>1310</v>
      </c>
      <c r="H49" s="66" t="s">
        <v>1181</v>
      </c>
      <c r="I49" s="66" t="s">
        <v>1483</v>
      </c>
      <c r="J49" s="66" t="s">
        <v>1196</v>
      </c>
      <c r="K49" s="66" t="s">
        <v>1211</v>
      </c>
      <c r="L49" s="66" t="s">
        <v>891</v>
      </c>
      <c r="M49" s="66" t="s">
        <v>1266</v>
      </c>
      <c r="N49" s="66" t="s">
        <v>891</v>
      </c>
      <c r="O49" s="66" t="s">
        <v>1213</v>
      </c>
      <c r="P49" s="66" t="s">
        <v>891</v>
      </c>
      <c r="Q49" s="86" t="s">
        <v>1215</v>
      </c>
      <c r="R49" s="86" t="s">
        <v>1215</v>
      </c>
      <c r="S49" s="86" t="s">
        <v>1215</v>
      </c>
      <c r="T49" s="86" t="s">
        <v>1215</v>
      </c>
      <c r="U49" s="86" t="s">
        <v>1215</v>
      </c>
      <c r="V49" s="86" t="s">
        <v>1215</v>
      </c>
      <c r="W49" s="67"/>
      <c r="X49" s="84" t="str">
        <f t="shared" si="0"/>
        <v>Belum Dinilai</v>
      </c>
      <c r="Y49" s="84" t="str">
        <f t="shared" si="1"/>
        <v>Belum Dinilai</v>
      </c>
      <c r="Z49" s="85" t="str">
        <f t="shared" si="2"/>
        <v/>
      </c>
      <c r="AA49" s="85" t="str">
        <f t="shared" si="3"/>
        <v/>
      </c>
      <c r="AB49" s="85" t="str">
        <f t="shared" si="4"/>
        <v/>
      </c>
      <c r="AC49" s="68" t="s">
        <v>1215</v>
      </c>
      <c r="AD49" s="68" t="s">
        <v>1215</v>
      </c>
      <c r="AE49" s="68" t="s">
        <v>1215</v>
      </c>
      <c r="AF49" s="68" t="s">
        <v>1215</v>
      </c>
      <c r="AG49" s="68" t="s">
        <v>1215</v>
      </c>
      <c r="AH49" s="68" t="s">
        <v>1215</v>
      </c>
      <c r="AI49" s="68" t="s">
        <v>1215</v>
      </c>
      <c r="AJ49" s="68" t="s">
        <v>1215</v>
      </c>
      <c r="AK49" s="68" t="s">
        <v>1215</v>
      </c>
      <c r="AL49" s="68"/>
      <c r="AM49" s="68" t="s">
        <v>1215</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1189</v>
      </c>
      <c r="AV49" s="66" t="s">
        <v>1204</v>
      </c>
      <c r="AW49" s="66" t="s">
        <v>1898</v>
      </c>
      <c r="AX49" s="66" t="s">
        <v>1206</v>
      </c>
      <c r="AY49" s="66">
        <v>2023</v>
      </c>
      <c r="AZ49" s="66" t="s">
        <v>927</v>
      </c>
      <c r="BA49" s="66"/>
      <c r="BB49" s="178"/>
      <c r="BC49" s="72">
        <v>2026</v>
      </c>
      <c r="BD49" s="66"/>
      <c r="BE49" s="178"/>
      <c r="BF49" s="66" t="s">
        <v>1278</v>
      </c>
    </row>
    <row r="50" spans="1:58" ht="42">
      <c r="A50" s="66" t="s">
        <v>1441</v>
      </c>
      <c r="B50" s="66" t="s">
        <v>1485</v>
      </c>
      <c r="C50" s="66"/>
      <c r="D50" s="66"/>
      <c r="E50" s="66" t="s">
        <v>1486</v>
      </c>
      <c r="F50" s="66" t="s">
        <v>1315</v>
      </c>
      <c r="G50" s="66" t="s">
        <v>1289</v>
      </c>
      <c r="H50" s="66" t="s">
        <v>1181</v>
      </c>
      <c r="I50" s="66" t="s">
        <v>1487</v>
      </c>
      <c r="J50" s="66" t="s">
        <v>1210</v>
      </c>
      <c r="K50" s="66" t="s">
        <v>1183</v>
      </c>
      <c r="L50" s="66" t="s">
        <v>895</v>
      </c>
      <c r="M50" s="66" t="s">
        <v>1266</v>
      </c>
      <c r="N50" s="66" t="s">
        <v>895</v>
      </c>
      <c r="O50" s="66" t="s">
        <v>1213</v>
      </c>
      <c r="P50" s="66" t="s">
        <v>895</v>
      </c>
      <c r="Q50" s="86" t="s">
        <v>1215</v>
      </c>
      <c r="R50" s="86" t="s">
        <v>1215</v>
      </c>
      <c r="S50" s="86" t="s">
        <v>1215</v>
      </c>
      <c r="T50" s="86" t="s">
        <v>1215</v>
      </c>
      <c r="U50" s="86" t="s">
        <v>1215</v>
      </c>
      <c r="V50" s="86" t="s">
        <v>1215</v>
      </c>
      <c r="W50" s="67"/>
      <c r="X50" s="84" t="str">
        <f t="shared" si="0"/>
        <v>Belum Dinilai</v>
      </c>
      <c r="Y50" s="84" t="str">
        <f t="shared" si="1"/>
        <v>Belum Dinilai</v>
      </c>
      <c r="Z50" s="85" t="str">
        <f t="shared" si="2"/>
        <v/>
      </c>
      <c r="AA50" s="85" t="str">
        <f t="shared" si="3"/>
        <v/>
      </c>
      <c r="AB50" s="85" t="str">
        <f t="shared" si="4"/>
        <v/>
      </c>
      <c r="AC50" s="68" t="s">
        <v>1215</v>
      </c>
      <c r="AD50" s="68" t="s">
        <v>1215</v>
      </c>
      <c r="AE50" s="68" t="s">
        <v>1215</v>
      </c>
      <c r="AF50" s="68" t="s">
        <v>1215</v>
      </c>
      <c r="AG50" s="68" t="s">
        <v>1215</v>
      </c>
      <c r="AH50" s="68" t="s">
        <v>1215</v>
      </c>
      <c r="AI50" s="68" t="s">
        <v>1215</v>
      </c>
      <c r="AJ50" s="68" t="s">
        <v>1215</v>
      </c>
      <c r="AK50" s="68" t="s">
        <v>1215</v>
      </c>
      <c r="AL50" s="68"/>
      <c r="AM50" s="68" t="s">
        <v>1215</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1189</v>
      </c>
      <c r="AV50" s="66" t="s">
        <v>1204</v>
      </c>
      <c r="AW50" s="66" t="s">
        <v>1898</v>
      </c>
      <c r="AX50" s="66" t="s">
        <v>1217</v>
      </c>
      <c r="AY50" s="66"/>
      <c r="AZ50" s="66" t="s">
        <v>927</v>
      </c>
      <c r="BA50" s="66"/>
      <c r="BB50" s="178"/>
      <c r="BC50" s="72">
        <v>2026</v>
      </c>
      <c r="BD50" s="66"/>
      <c r="BE50" s="178"/>
      <c r="BF50" s="66" t="s">
        <v>1278</v>
      </c>
    </row>
    <row r="51" spans="1:58" ht="28">
      <c r="A51" s="66" t="s">
        <v>1443</v>
      </c>
      <c r="B51" s="66" t="s">
        <v>1489</v>
      </c>
      <c r="C51" s="66"/>
      <c r="D51" s="66"/>
      <c r="E51" s="66" t="s">
        <v>1490</v>
      </c>
      <c r="F51" s="66" t="s">
        <v>1288</v>
      </c>
      <c r="G51" s="66" t="s">
        <v>1289</v>
      </c>
      <c r="H51" s="66" t="s">
        <v>1181</v>
      </c>
      <c r="I51" s="66" t="s">
        <v>1290</v>
      </c>
      <c r="J51" s="66" t="s">
        <v>1210</v>
      </c>
      <c r="K51" s="66" t="s">
        <v>1277</v>
      </c>
      <c r="L51" s="66" t="s">
        <v>1215</v>
      </c>
      <c r="M51" s="66" t="s">
        <v>1266</v>
      </c>
      <c r="N51" s="66" t="s">
        <v>1215</v>
      </c>
      <c r="O51" s="66" t="s">
        <v>1277</v>
      </c>
      <c r="P51" s="66" t="s">
        <v>1215</v>
      </c>
      <c r="Q51" s="86" t="s">
        <v>1215</v>
      </c>
      <c r="R51" s="86" t="s">
        <v>1215</v>
      </c>
      <c r="S51" s="86" t="s">
        <v>1215</v>
      </c>
      <c r="T51" s="86" t="s">
        <v>1215</v>
      </c>
      <c r="U51" s="86" t="s">
        <v>1215</v>
      </c>
      <c r="V51" s="86" t="s">
        <v>1215</v>
      </c>
      <c r="W51" s="67"/>
      <c r="X51" s="84" t="str">
        <f t="shared" si="0"/>
        <v>Belum Dinilai</v>
      </c>
      <c r="Y51" s="84" t="str">
        <f t="shared" si="1"/>
        <v>Belum Dinilai</v>
      </c>
      <c r="Z51" s="85" t="str">
        <f t="shared" si="2"/>
        <v/>
      </c>
      <c r="AA51" s="85" t="str">
        <f t="shared" si="3"/>
        <v/>
      </c>
      <c r="AB51" s="85" t="str">
        <f t="shared" si="4"/>
        <v/>
      </c>
      <c r="AC51" s="68" t="s">
        <v>1215</v>
      </c>
      <c r="AD51" s="68" t="s">
        <v>1215</v>
      </c>
      <c r="AE51" s="68" t="s">
        <v>1215</v>
      </c>
      <c r="AF51" s="68" t="s">
        <v>1215</v>
      </c>
      <c r="AG51" s="68" t="s">
        <v>1215</v>
      </c>
      <c r="AH51" s="68" t="s">
        <v>1215</v>
      </c>
      <c r="AI51" s="68" t="s">
        <v>1215</v>
      </c>
      <c r="AJ51" s="68" t="s">
        <v>1215</v>
      </c>
      <c r="AK51" s="68" t="s">
        <v>1215</v>
      </c>
      <c r="AL51" s="68"/>
      <c r="AM51" s="68" t="s">
        <v>1215</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1189</v>
      </c>
      <c r="AV51" s="66" t="s">
        <v>1204</v>
      </c>
      <c r="AW51" s="66" t="s">
        <v>1898</v>
      </c>
      <c r="AX51" s="66" t="s">
        <v>1206</v>
      </c>
      <c r="AY51" s="66">
        <v>2023</v>
      </c>
      <c r="AZ51" s="66" t="s">
        <v>927</v>
      </c>
      <c r="BA51" s="66"/>
      <c r="BB51" s="178"/>
      <c r="BC51" s="72">
        <v>2026</v>
      </c>
      <c r="BD51" s="66"/>
      <c r="BE51" s="178"/>
      <c r="BF51" s="66" t="s">
        <v>1278</v>
      </c>
    </row>
    <row r="52" spans="1:58" ht="42">
      <c r="A52" s="66" t="s">
        <v>1447</v>
      </c>
      <c r="B52" s="66" t="s">
        <v>1492</v>
      </c>
      <c r="C52" s="66"/>
      <c r="D52" s="66"/>
      <c r="E52" s="66" t="s">
        <v>1493</v>
      </c>
      <c r="F52" s="66" t="s">
        <v>1356</v>
      </c>
      <c r="G52" s="66" t="s">
        <v>1289</v>
      </c>
      <c r="H52" s="66" t="s">
        <v>1181</v>
      </c>
      <c r="I52" s="66" t="s">
        <v>1494</v>
      </c>
      <c r="J52" s="66" t="s">
        <v>1196</v>
      </c>
      <c r="K52" s="66" t="s">
        <v>1211</v>
      </c>
      <c r="L52" s="66" t="s">
        <v>1215</v>
      </c>
      <c r="M52" s="66" t="s">
        <v>1266</v>
      </c>
      <c r="N52" s="66" t="s">
        <v>1215</v>
      </c>
      <c r="O52" s="66" t="s">
        <v>1213</v>
      </c>
      <c r="P52" s="66" t="s">
        <v>1215</v>
      </c>
      <c r="Q52" s="86" t="s">
        <v>1215</v>
      </c>
      <c r="R52" s="86" t="s">
        <v>1215</v>
      </c>
      <c r="S52" s="86" t="s">
        <v>1215</v>
      </c>
      <c r="T52" s="86" t="s">
        <v>1215</v>
      </c>
      <c r="U52" s="86" t="s">
        <v>1215</v>
      </c>
      <c r="V52" s="86" t="s">
        <v>1215</v>
      </c>
      <c r="W52" s="67"/>
      <c r="X52" s="84" t="str">
        <f t="shared" si="0"/>
        <v>Belum Dinilai</v>
      </c>
      <c r="Y52" s="84" t="str">
        <f t="shared" si="1"/>
        <v>Belum Dinilai</v>
      </c>
      <c r="Z52" s="85" t="str">
        <f t="shared" si="2"/>
        <v/>
      </c>
      <c r="AA52" s="85" t="str">
        <f t="shared" si="3"/>
        <v/>
      </c>
      <c r="AB52" s="85" t="str">
        <f t="shared" si="4"/>
        <v/>
      </c>
      <c r="AC52" s="68" t="s">
        <v>1215</v>
      </c>
      <c r="AD52" s="68" t="s">
        <v>1215</v>
      </c>
      <c r="AE52" s="68" t="s">
        <v>1215</v>
      </c>
      <c r="AF52" s="68" t="s">
        <v>1215</v>
      </c>
      <c r="AG52" s="68" t="s">
        <v>1215</v>
      </c>
      <c r="AH52" s="68" t="s">
        <v>1215</v>
      </c>
      <c r="AI52" s="68" t="s">
        <v>1215</v>
      </c>
      <c r="AJ52" s="68" t="s">
        <v>1215</v>
      </c>
      <c r="AK52" s="68" t="s">
        <v>1215</v>
      </c>
      <c r="AL52" s="68"/>
      <c r="AM52" s="68" t="s">
        <v>1215</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1203</v>
      </c>
      <c r="AV52" s="66" t="s">
        <v>1204</v>
      </c>
      <c r="AW52" s="66" t="s">
        <v>1190</v>
      </c>
      <c r="AX52" s="66"/>
      <c r="AY52" s="66"/>
      <c r="AZ52" s="66" t="s">
        <v>927</v>
      </c>
      <c r="BA52" s="66"/>
      <c r="BB52" s="178"/>
      <c r="BC52" s="72">
        <v>2026</v>
      </c>
      <c r="BD52" s="66"/>
      <c r="BE52" s="178"/>
      <c r="BF52" s="66" t="s">
        <v>1278</v>
      </c>
    </row>
    <row r="53" spans="1:58" ht="28">
      <c r="A53" s="66" t="s">
        <v>1451</v>
      </c>
      <c r="B53" s="66" t="s">
        <v>1496</v>
      </c>
      <c r="C53" s="66"/>
      <c r="D53" s="66"/>
      <c r="E53" s="66" t="s">
        <v>1497</v>
      </c>
      <c r="F53" s="66" t="s">
        <v>1356</v>
      </c>
      <c r="G53" s="66" t="s">
        <v>1289</v>
      </c>
      <c r="H53" s="66" t="s">
        <v>1195</v>
      </c>
      <c r="I53" s="66" t="s">
        <v>1498</v>
      </c>
      <c r="J53" s="66" t="s">
        <v>1263</v>
      </c>
      <c r="K53" s="66" t="s">
        <v>1277</v>
      </c>
      <c r="L53" s="66" t="s">
        <v>1215</v>
      </c>
      <c r="M53" s="66" t="s">
        <v>1277</v>
      </c>
      <c r="N53" s="66" t="s">
        <v>1215</v>
      </c>
      <c r="O53" s="66" t="s">
        <v>1277</v>
      </c>
      <c r="P53" s="66" t="s">
        <v>1215</v>
      </c>
      <c r="Q53" s="86" t="s">
        <v>1215</v>
      </c>
      <c r="R53" s="86" t="s">
        <v>1215</v>
      </c>
      <c r="S53" s="86" t="s">
        <v>1215</v>
      </c>
      <c r="T53" s="86" t="s">
        <v>1215</v>
      </c>
      <c r="U53" s="86" t="s">
        <v>1215</v>
      </c>
      <c r="V53" s="86" t="s">
        <v>1215</v>
      </c>
      <c r="W53" s="67"/>
      <c r="X53" s="84" t="str">
        <f t="shared" si="0"/>
        <v>Belum Dinilai</v>
      </c>
      <c r="Y53" s="84" t="str">
        <f t="shared" si="1"/>
        <v>Belum Dinilai</v>
      </c>
      <c r="Z53" s="85" t="str">
        <f t="shared" si="2"/>
        <v/>
      </c>
      <c r="AA53" s="85" t="str">
        <f t="shared" si="3"/>
        <v/>
      </c>
      <c r="AB53" s="85" t="str">
        <f t="shared" si="4"/>
        <v/>
      </c>
      <c r="AC53" s="68" t="s">
        <v>1215</v>
      </c>
      <c r="AD53" s="68" t="s">
        <v>1215</v>
      </c>
      <c r="AE53" s="68" t="s">
        <v>1215</v>
      </c>
      <c r="AF53" s="68" t="s">
        <v>1215</v>
      </c>
      <c r="AG53" s="68" t="s">
        <v>1215</v>
      </c>
      <c r="AH53" s="68" t="s">
        <v>1215</v>
      </c>
      <c r="AI53" s="68" t="s">
        <v>1215</v>
      </c>
      <c r="AJ53" s="68" t="s">
        <v>1215</v>
      </c>
      <c r="AK53" s="68" t="s">
        <v>1215</v>
      </c>
      <c r="AL53" s="68"/>
      <c r="AM53" s="68" t="s">
        <v>1215</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1203</v>
      </c>
      <c r="AV53" s="66" t="s">
        <v>1204</v>
      </c>
      <c r="AW53" s="66" t="s">
        <v>1190</v>
      </c>
      <c r="AX53" s="66"/>
      <c r="AY53" s="66"/>
      <c r="AZ53" s="66" t="s">
        <v>927</v>
      </c>
      <c r="BA53" s="66"/>
      <c r="BB53" s="178"/>
      <c r="BC53" s="72">
        <v>2026</v>
      </c>
      <c r="BD53" s="66"/>
      <c r="BE53" s="178"/>
      <c r="BF53" s="66" t="s">
        <v>1278</v>
      </c>
    </row>
    <row r="54" spans="1:58" ht="28">
      <c r="A54" s="66" t="s">
        <v>1941</v>
      </c>
      <c r="B54" s="66" t="s">
        <v>1500</v>
      </c>
      <c r="C54" s="66"/>
      <c r="D54" s="66"/>
      <c r="E54" s="66" t="s">
        <v>1501</v>
      </c>
      <c r="F54" s="66" t="s">
        <v>1378</v>
      </c>
      <c r="G54" s="66" t="s">
        <v>1289</v>
      </c>
      <c r="H54" s="66" t="s">
        <v>1181</v>
      </c>
      <c r="I54" s="66" t="s">
        <v>1502</v>
      </c>
      <c r="J54" s="66" t="s">
        <v>1263</v>
      </c>
      <c r="K54" s="66" t="s">
        <v>1293</v>
      </c>
      <c r="L54" s="66" t="s">
        <v>1215</v>
      </c>
      <c r="M54" s="66" t="s">
        <v>1277</v>
      </c>
      <c r="N54" s="66" t="s">
        <v>1215</v>
      </c>
      <c r="O54" s="66" t="s">
        <v>1213</v>
      </c>
      <c r="P54" s="66" t="s">
        <v>1215</v>
      </c>
      <c r="Q54" s="86" t="s">
        <v>1215</v>
      </c>
      <c r="R54" s="86" t="s">
        <v>1215</v>
      </c>
      <c r="S54" s="86" t="s">
        <v>1215</v>
      </c>
      <c r="T54" s="86" t="s">
        <v>1215</v>
      </c>
      <c r="U54" s="86" t="s">
        <v>1215</v>
      </c>
      <c r="V54" s="86" t="s">
        <v>1215</v>
      </c>
      <c r="W54" s="67"/>
      <c r="X54" s="84" t="str">
        <f t="shared" si="0"/>
        <v>Belum Dinilai</v>
      </c>
      <c r="Y54" s="84" t="str">
        <f t="shared" si="1"/>
        <v>Belum Dinilai</v>
      </c>
      <c r="Z54" s="85" t="str">
        <f t="shared" si="2"/>
        <v/>
      </c>
      <c r="AA54" s="85" t="str">
        <f t="shared" si="3"/>
        <v/>
      </c>
      <c r="AB54" s="85" t="str">
        <f t="shared" si="4"/>
        <v/>
      </c>
      <c r="AC54" s="68" t="s">
        <v>1215</v>
      </c>
      <c r="AD54" s="68" t="s">
        <v>1215</v>
      </c>
      <c r="AE54" s="68" t="s">
        <v>1215</v>
      </c>
      <c r="AF54" s="68" t="s">
        <v>1215</v>
      </c>
      <c r="AG54" s="68" t="s">
        <v>1215</v>
      </c>
      <c r="AH54" s="68" t="s">
        <v>1215</v>
      </c>
      <c r="AI54" s="68" t="s">
        <v>1215</v>
      </c>
      <c r="AJ54" s="68" t="s">
        <v>1215</v>
      </c>
      <c r="AK54" s="68" t="s">
        <v>1215</v>
      </c>
      <c r="AL54" s="68"/>
      <c r="AM54" s="68" t="s">
        <v>1215</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1203</v>
      </c>
      <c r="AV54" s="66" t="s">
        <v>1204</v>
      </c>
      <c r="AW54" s="66" t="s">
        <v>1190</v>
      </c>
      <c r="AX54" s="66"/>
      <c r="AY54" s="66"/>
      <c r="AZ54" s="66" t="s">
        <v>927</v>
      </c>
      <c r="BA54" s="66"/>
      <c r="BB54" s="178"/>
      <c r="BC54" s="72">
        <v>2026</v>
      </c>
      <c r="BD54" s="66"/>
      <c r="BE54" s="178"/>
      <c r="BF54" s="66" t="s">
        <v>1278</v>
      </c>
    </row>
    <row r="55" spans="1:58" ht="28">
      <c r="A55" s="66" t="s">
        <v>1455</v>
      </c>
      <c r="B55" s="66" t="s">
        <v>1504</v>
      </c>
      <c r="C55" s="66"/>
      <c r="D55" s="66"/>
      <c r="E55" s="66" t="s">
        <v>1505</v>
      </c>
      <c r="F55" s="66" t="s">
        <v>1506</v>
      </c>
      <c r="G55" s="66" t="s">
        <v>1289</v>
      </c>
      <c r="H55" s="66" t="s">
        <v>1195</v>
      </c>
      <c r="I55" s="66" t="s">
        <v>1507</v>
      </c>
      <c r="J55" s="66" t="s">
        <v>1182</v>
      </c>
      <c r="K55" s="66" t="s">
        <v>1277</v>
      </c>
      <c r="L55" s="66" t="s">
        <v>1215</v>
      </c>
      <c r="M55" s="66" t="s">
        <v>1265</v>
      </c>
      <c r="N55" s="66" t="s">
        <v>1215</v>
      </c>
      <c r="O55" s="66" t="s">
        <v>1277</v>
      </c>
      <c r="P55" s="66" t="s">
        <v>1215</v>
      </c>
      <c r="Q55" s="86" t="s">
        <v>1215</v>
      </c>
      <c r="R55" s="86" t="s">
        <v>1215</v>
      </c>
      <c r="S55" s="86" t="s">
        <v>1215</v>
      </c>
      <c r="T55" s="86" t="s">
        <v>1215</v>
      </c>
      <c r="U55" s="86" t="s">
        <v>1215</v>
      </c>
      <c r="V55" s="86" t="s">
        <v>1215</v>
      </c>
      <c r="W55" s="67"/>
      <c r="X55" s="84" t="str">
        <f t="shared" si="0"/>
        <v>Belum Dinilai</v>
      </c>
      <c r="Y55" s="84" t="str">
        <f t="shared" si="1"/>
        <v>Belum Dinilai</v>
      </c>
      <c r="Z55" s="85" t="str">
        <f t="shared" si="2"/>
        <v/>
      </c>
      <c r="AA55" s="85" t="str">
        <f t="shared" si="3"/>
        <v/>
      </c>
      <c r="AB55" s="85" t="str">
        <f t="shared" si="4"/>
        <v/>
      </c>
      <c r="AC55" s="68" t="s">
        <v>1215</v>
      </c>
      <c r="AD55" s="68" t="s">
        <v>1215</v>
      </c>
      <c r="AE55" s="68" t="s">
        <v>1215</v>
      </c>
      <c r="AF55" s="68" t="s">
        <v>1215</v>
      </c>
      <c r="AG55" s="68" t="s">
        <v>1215</v>
      </c>
      <c r="AH55" s="68" t="s">
        <v>1215</v>
      </c>
      <c r="AI55" s="68" t="s">
        <v>1215</v>
      </c>
      <c r="AJ55" s="68" t="s">
        <v>1215</v>
      </c>
      <c r="AK55" s="68" t="s">
        <v>1215</v>
      </c>
      <c r="AL55" s="68"/>
      <c r="AM55" s="68" t="s">
        <v>1215</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1203</v>
      </c>
      <c r="AV55" s="66" t="s">
        <v>1204</v>
      </c>
      <c r="AW55" s="66" t="s">
        <v>1190</v>
      </c>
      <c r="AX55" s="66"/>
      <c r="AY55" s="66"/>
      <c r="AZ55" s="66" t="s">
        <v>927</v>
      </c>
      <c r="BA55" s="66"/>
      <c r="BB55" s="178"/>
      <c r="BC55" s="72">
        <v>2026</v>
      </c>
      <c r="BD55" s="66"/>
      <c r="BE55" s="178"/>
      <c r="BF55" s="66" t="s">
        <v>1278</v>
      </c>
    </row>
    <row r="56" spans="1:58" ht="42">
      <c r="A56" s="66" t="s">
        <v>1460</v>
      </c>
      <c r="B56" s="66" t="s">
        <v>1509</v>
      </c>
      <c r="C56" s="66"/>
      <c r="D56" s="66"/>
      <c r="E56" s="66" t="s">
        <v>1510</v>
      </c>
      <c r="F56" s="66" t="s">
        <v>1506</v>
      </c>
      <c r="G56" s="66" t="s">
        <v>1289</v>
      </c>
      <c r="H56" s="66" t="s">
        <v>1195</v>
      </c>
      <c r="I56" s="66" t="s">
        <v>1511</v>
      </c>
      <c r="J56" s="66" t="s">
        <v>1196</v>
      </c>
      <c r="K56" s="66" t="s">
        <v>1183</v>
      </c>
      <c r="L56" s="66" t="s">
        <v>905</v>
      </c>
      <c r="M56" s="66" t="s">
        <v>1266</v>
      </c>
      <c r="N56" s="66" t="s">
        <v>905</v>
      </c>
      <c r="O56" s="66" t="s">
        <v>1213</v>
      </c>
      <c r="P56" s="66" t="s">
        <v>891</v>
      </c>
      <c r="Q56" s="86" t="s">
        <v>1215</v>
      </c>
      <c r="R56" s="86" t="s">
        <v>1215</v>
      </c>
      <c r="S56" s="86" t="s">
        <v>1215</v>
      </c>
      <c r="T56" s="86" t="s">
        <v>1215</v>
      </c>
      <c r="U56" s="86" t="s">
        <v>1215</v>
      </c>
      <c r="V56" s="86" t="s">
        <v>1215</v>
      </c>
      <c r="W56" s="67"/>
      <c r="X56" s="84" t="str">
        <f t="shared" si="0"/>
        <v>Belum Dinilai</v>
      </c>
      <c r="Y56" s="84" t="str">
        <f t="shared" si="1"/>
        <v>Belum Dinilai</v>
      </c>
      <c r="Z56" s="85" t="str">
        <f t="shared" si="2"/>
        <v/>
      </c>
      <c r="AA56" s="85" t="str">
        <f t="shared" si="3"/>
        <v/>
      </c>
      <c r="AB56" s="85" t="str">
        <f t="shared" si="4"/>
        <v/>
      </c>
      <c r="AC56" s="68" t="s">
        <v>1215</v>
      </c>
      <c r="AD56" s="68" t="s">
        <v>1215</v>
      </c>
      <c r="AE56" s="68" t="s">
        <v>1215</v>
      </c>
      <c r="AF56" s="68" t="s">
        <v>1215</v>
      </c>
      <c r="AG56" s="68" t="s">
        <v>1215</v>
      </c>
      <c r="AH56" s="68" t="s">
        <v>1215</v>
      </c>
      <c r="AI56" s="68" t="s">
        <v>1215</v>
      </c>
      <c r="AJ56" s="68" t="s">
        <v>1215</v>
      </c>
      <c r="AK56" s="68" t="s">
        <v>1215</v>
      </c>
      <c r="AL56" s="68"/>
      <c r="AM56" s="68" t="s">
        <v>1215</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1189</v>
      </c>
      <c r="AV56" s="66" t="s">
        <v>1204</v>
      </c>
      <c r="AW56" s="66" t="s">
        <v>1190</v>
      </c>
      <c r="AX56" s="66"/>
      <c r="AY56" s="66"/>
      <c r="AZ56" s="66" t="s">
        <v>927</v>
      </c>
      <c r="BA56" s="66"/>
      <c r="BB56" s="178"/>
      <c r="BC56" s="72">
        <v>2026</v>
      </c>
      <c r="BD56" s="66"/>
      <c r="BE56" s="178"/>
      <c r="BF56" s="66" t="s">
        <v>1278</v>
      </c>
    </row>
    <row r="57" spans="1:58" ht="56">
      <c r="A57" s="66" t="s">
        <v>1465</v>
      </c>
      <c r="B57" s="66" t="s">
        <v>1513</v>
      </c>
      <c r="C57" s="66"/>
      <c r="D57" s="66"/>
      <c r="E57" s="66" t="s">
        <v>1505</v>
      </c>
      <c r="F57" s="66" t="s">
        <v>1506</v>
      </c>
      <c r="G57" s="66" t="s">
        <v>1289</v>
      </c>
      <c r="H57" s="66" t="s">
        <v>1181</v>
      </c>
      <c r="I57" s="66" t="s">
        <v>1514</v>
      </c>
      <c r="J57" s="66" t="s">
        <v>1196</v>
      </c>
      <c r="K57" s="66" t="s">
        <v>1197</v>
      </c>
      <c r="L57" s="66" t="s">
        <v>905</v>
      </c>
      <c r="M57" s="66" t="s">
        <v>1266</v>
      </c>
      <c r="N57" s="66" t="s">
        <v>905</v>
      </c>
      <c r="O57" s="66" t="s">
        <v>1293</v>
      </c>
      <c r="P57" s="66" t="s">
        <v>905</v>
      </c>
      <c r="Q57" s="86" t="s">
        <v>1215</v>
      </c>
      <c r="R57" s="86" t="s">
        <v>1215</v>
      </c>
      <c r="S57" s="86" t="s">
        <v>1215</v>
      </c>
      <c r="T57" s="86" t="s">
        <v>1215</v>
      </c>
      <c r="U57" s="86" t="s">
        <v>1215</v>
      </c>
      <c r="V57" s="86" t="s">
        <v>1215</v>
      </c>
      <c r="W57" s="67"/>
      <c r="X57" s="84" t="str">
        <f t="shared" si="0"/>
        <v>Belum Dinilai</v>
      </c>
      <c r="Y57" s="84" t="str">
        <f t="shared" si="1"/>
        <v>Belum Dinilai</v>
      </c>
      <c r="Z57" s="85" t="str">
        <f t="shared" si="2"/>
        <v/>
      </c>
      <c r="AA57" s="85" t="str">
        <f t="shared" si="3"/>
        <v/>
      </c>
      <c r="AB57" s="85" t="str">
        <f t="shared" si="4"/>
        <v/>
      </c>
      <c r="AC57" s="68" t="s">
        <v>1215</v>
      </c>
      <c r="AD57" s="68" t="s">
        <v>1215</v>
      </c>
      <c r="AE57" s="68" t="s">
        <v>1215</v>
      </c>
      <c r="AF57" s="68" t="s">
        <v>1215</v>
      </c>
      <c r="AG57" s="68" t="s">
        <v>1215</v>
      </c>
      <c r="AH57" s="68" t="s">
        <v>1215</v>
      </c>
      <c r="AI57" s="68" t="s">
        <v>1215</v>
      </c>
      <c r="AJ57" s="68" t="s">
        <v>1215</v>
      </c>
      <c r="AK57" s="68" t="s">
        <v>1215</v>
      </c>
      <c r="AL57" s="68"/>
      <c r="AM57" s="68" t="s">
        <v>1215</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1203</v>
      </c>
      <c r="AV57" s="66" t="s">
        <v>1204</v>
      </c>
      <c r="AW57" s="66" t="s">
        <v>1190</v>
      </c>
      <c r="AX57" s="66"/>
      <c r="AY57" s="66"/>
      <c r="AZ57" s="66" t="s">
        <v>927</v>
      </c>
      <c r="BA57" s="66"/>
      <c r="BB57" s="178"/>
      <c r="BC57" s="72">
        <v>2026</v>
      </c>
      <c r="BD57" s="66"/>
      <c r="BE57" s="178"/>
      <c r="BF57" s="66" t="s">
        <v>1278</v>
      </c>
    </row>
    <row r="58" spans="1:58" ht="42">
      <c r="A58" s="66" t="s">
        <v>1468</v>
      </c>
      <c r="B58" s="66" t="s">
        <v>1516</v>
      </c>
      <c r="C58" s="66"/>
      <c r="D58" s="66"/>
      <c r="E58" s="66" t="s">
        <v>1304</v>
      </c>
      <c r="F58" s="66" t="s">
        <v>1506</v>
      </c>
      <c r="G58" s="66" t="s">
        <v>1289</v>
      </c>
      <c r="H58" s="66" t="s">
        <v>1181</v>
      </c>
      <c r="I58" s="66" t="s">
        <v>1517</v>
      </c>
      <c r="J58" s="66" t="s">
        <v>1196</v>
      </c>
      <c r="K58" s="66" t="s">
        <v>1211</v>
      </c>
      <c r="L58" s="66" t="s">
        <v>905</v>
      </c>
      <c r="M58" s="66" t="s">
        <v>1266</v>
      </c>
      <c r="N58" s="66" t="s">
        <v>905</v>
      </c>
      <c r="O58" s="66" t="s">
        <v>1277</v>
      </c>
      <c r="P58" s="66" t="s">
        <v>1215</v>
      </c>
      <c r="Q58" s="86" t="s">
        <v>1215</v>
      </c>
      <c r="R58" s="86" t="s">
        <v>1215</v>
      </c>
      <c r="S58" s="86" t="s">
        <v>1215</v>
      </c>
      <c r="T58" s="86" t="s">
        <v>1215</v>
      </c>
      <c r="U58" s="86" t="s">
        <v>1215</v>
      </c>
      <c r="V58" s="86" t="s">
        <v>1215</v>
      </c>
      <c r="W58" s="67"/>
      <c r="X58" s="84" t="str">
        <f t="shared" si="0"/>
        <v>Belum Dinilai</v>
      </c>
      <c r="Y58" s="84" t="str">
        <f t="shared" si="1"/>
        <v>Belum Dinilai</v>
      </c>
      <c r="Z58" s="85" t="str">
        <f t="shared" si="2"/>
        <v/>
      </c>
      <c r="AA58" s="85" t="str">
        <f t="shared" si="3"/>
        <v/>
      </c>
      <c r="AB58" s="85" t="str">
        <f t="shared" si="4"/>
        <v/>
      </c>
      <c r="AC58" s="68" t="s">
        <v>1215</v>
      </c>
      <c r="AD58" s="68" t="s">
        <v>1215</v>
      </c>
      <c r="AE58" s="68" t="s">
        <v>1215</v>
      </c>
      <c r="AF58" s="68" t="s">
        <v>1215</v>
      </c>
      <c r="AG58" s="68" t="s">
        <v>1215</v>
      </c>
      <c r="AH58" s="68" t="s">
        <v>1215</v>
      </c>
      <c r="AI58" s="68" t="s">
        <v>1215</v>
      </c>
      <c r="AJ58" s="68" t="s">
        <v>1215</v>
      </c>
      <c r="AK58" s="68" t="s">
        <v>1215</v>
      </c>
      <c r="AL58" s="68"/>
      <c r="AM58" s="68" t="s">
        <v>1215</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1203</v>
      </c>
      <c r="AV58" s="66" t="s">
        <v>1204</v>
      </c>
      <c r="AW58" s="66" t="s">
        <v>1190</v>
      </c>
      <c r="AX58" s="66"/>
      <c r="AY58" s="66"/>
      <c r="AZ58" s="66" t="s">
        <v>927</v>
      </c>
      <c r="BA58" s="66"/>
      <c r="BB58" s="178"/>
      <c r="BC58" s="72">
        <v>2026</v>
      </c>
      <c r="BD58" s="66"/>
      <c r="BE58" s="178"/>
      <c r="BF58" s="66" t="s">
        <v>1278</v>
      </c>
    </row>
    <row r="59" spans="1:58" ht="28">
      <c r="A59" s="66" t="s">
        <v>1470</v>
      </c>
      <c r="B59" s="66" t="s">
        <v>1519</v>
      </c>
      <c r="C59" s="66"/>
      <c r="D59" s="66"/>
      <c r="E59" s="66" t="s">
        <v>1520</v>
      </c>
      <c r="F59" s="66" t="s">
        <v>1521</v>
      </c>
      <c r="G59" s="66" t="s">
        <v>1325</v>
      </c>
      <c r="H59" s="66" t="s">
        <v>1195</v>
      </c>
      <c r="I59" s="66" t="s">
        <v>1522</v>
      </c>
      <c r="J59" s="66" t="s">
        <v>1263</v>
      </c>
      <c r="K59" s="66" t="s">
        <v>1211</v>
      </c>
      <c r="L59" s="66" t="s">
        <v>1215</v>
      </c>
      <c r="M59" s="66" t="s">
        <v>1277</v>
      </c>
      <c r="N59" s="66" t="s">
        <v>1215</v>
      </c>
      <c r="O59" s="66" t="s">
        <v>1277</v>
      </c>
      <c r="P59" s="66" t="s">
        <v>1215</v>
      </c>
      <c r="Q59" s="86" t="s">
        <v>1215</v>
      </c>
      <c r="R59" s="86" t="s">
        <v>1215</v>
      </c>
      <c r="S59" s="86" t="s">
        <v>1215</v>
      </c>
      <c r="T59" s="86" t="s">
        <v>1215</v>
      </c>
      <c r="U59" s="86" t="s">
        <v>1215</v>
      </c>
      <c r="V59" s="86" t="s">
        <v>1215</v>
      </c>
      <c r="W59" s="67"/>
      <c r="X59" s="84" t="str">
        <f t="shared" si="0"/>
        <v>Belum Dinilai</v>
      </c>
      <c r="Y59" s="84" t="str">
        <f t="shared" si="1"/>
        <v>Belum Dinilai</v>
      </c>
      <c r="Z59" s="85" t="str">
        <f t="shared" si="2"/>
        <v/>
      </c>
      <c r="AA59" s="85" t="str">
        <f t="shared" si="3"/>
        <v/>
      </c>
      <c r="AB59" s="85" t="str">
        <f t="shared" si="4"/>
        <v/>
      </c>
      <c r="AC59" s="68" t="s">
        <v>1215</v>
      </c>
      <c r="AD59" s="68" t="s">
        <v>1215</v>
      </c>
      <c r="AE59" s="68" t="s">
        <v>1215</v>
      </c>
      <c r="AF59" s="68" t="s">
        <v>1215</v>
      </c>
      <c r="AG59" s="68" t="s">
        <v>1215</v>
      </c>
      <c r="AH59" s="68" t="s">
        <v>1215</v>
      </c>
      <c r="AI59" s="68" t="s">
        <v>1215</v>
      </c>
      <c r="AJ59" s="68" t="s">
        <v>1215</v>
      </c>
      <c r="AK59" s="68" t="s">
        <v>1215</v>
      </c>
      <c r="AL59" s="68"/>
      <c r="AM59" s="68" t="s">
        <v>1215</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1203</v>
      </c>
      <c r="AV59" s="66" t="s">
        <v>1204</v>
      </c>
      <c r="AW59" s="66" t="s">
        <v>1190</v>
      </c>
      <c r="AX59" s="66"/>
      <c r="AY59" s="66"/>
      <c r="AZ59" s="66" t="s">
        <v>927</v>
      </c>
      <c r="BA59" s="66"/>
      <c r="BB59" s="178"/>
      <c r="BC59" s="72">
        <v>2026</v>
      </c>
      <c r="BD59" s="66"/>
      <c r="BE59" s="178"/>
      <c r="BF59" s="66" t="s">
        <v>1278</v>
      </c>
    </row>
    <row r="60" spans="1:58" ht="28">
      <c r="A60" s="66" t="s">
        <v>1472</v>
      </c>
      <c r="B60" s="66" t="s">
        <v>1524</v>
      </c>
      <c r="C60" s="66"/>
      <c r="D60" s="66"/>
      <c r="E60" s="66" t="s">
        <v>1525</v>
      </c>
      <c r="F60" s="66" t="s">
        <v>1413</v>
      </c>
      <c r="G60" s="66" t="s">
        <v>1361</v>
      </c>
      <c r="H60" s="66" t="s">
        <v>1195</v>
      </c>
      <c r="I60" s="66" t="s">
        <v>1526</v>
      </c>
      <c r="J60" s="66" t="s">
        <v>1263</v>
      </c>
      <c r="K60" s="66" t="s">
        <v>1211</v>
      </c>
      <c r="L60" s="66" t="s">
        <v>895</v>
      </c>
      <c r="M60" s="66" t="s">
        <v>1277</v>
      </c>
      <c r="N60" s="66" t="s">
        <v>895</v>
      </c>
      <c r="O60" s="66" t="s">
        <v>1277</v>
      </c>
      <c r="P60" s="66" t="s">
        <v>1215</v>
      </c>
      <c r="Q60" s="86" t="s">
        <v>1215</v>
      </c>
      <c r="R60" s="86" t="s">
        <v>1215</v>
      </c>
      <c r="S60" s="86" t="s">
        <v>1215</v>
      </c>
      <c r="T60" s="86" t="s">
        <v>1215</v>
      </c>
      <c r="U60" s="86" t="s">
        <v>1215</v>
      </c>
      <c r="V60" s="86" t="s">
        <v>1215</v>
      </c>
      <c r="W60" s="67"/>
      <c r="X60" s="84" t="str">
        <f t="shared" si="0"/>
        <v>Belum Dinilai</v>
      </c>
      <c r="Y60" s="84" t="str">
        <f t="shared" si="1"/>
        <v>Belum Dinilai</v>
      </c>
      <c r="Z60" s="85" t="str">
        <f t="shared" si="2"/>
        <v/>
      </c>
      <c r="AA60" s="85" t="str">
        <f t="shared" si="3"/>
        <v/>
      </c>
      <c r="AB60" s="85" t="str">
        <f t="shared" si="4"/>
        <v/>
      </c>
      <c r="AC60" s="68" t="s">
        <v>1215</v>
      </c>
      <c r="AD60" s="68" t="s">
        <v>1215</v>
      </c>
      <c r="AE60" s="68" t="s">
        <v>1215</v>
      </c>
      <c r="AF60" s="68" t="s">
        <v>1215</v>
      </c>
      <c r="AG60" s="68" t="s">
        <v>1215</v>
      </c>
      <c r="AH60" s="68" t="s">
        <v>1215</v>
      </c>
      <c r="AI60" s="68" t="s">
        <v>1215</v>
      </c>
      <c r="AJ60" s="68" t="s">
        <v>1215</v>
      </c>
      <c r="AK60" s="68" t="s">
        <v>1215</v>
      </c>
      <c r="AL60" s="68"/>
      <c r="AM60" s="68" t="s">
        <v>1215</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1203</v>
      </c>
      <c r="AV60" s="66" t="s">
        <v>1204</v>
      </c>
      <c r="AW60" s="66" t="s">
        <v>1898</v>
      </c>
      <c r="AX60" s="66" t="s">
        <v>1206</v>
      </c>
      <c r="AY60" s="66">
        <v>2024</v>
      </c>
      <c r="AZ60" s="66" t="s">
        <v>927</v>
      </c>
      <c r="BA60" s="66"/>
      <c r="BB60" s="178"/>
      <c r="BC60" s="72">
        <v>2026</v>
      </c>
      <c r="BD60" s="66"/>
      <c r="BE60" s="178"/>
      <c r="BF60" s="66" t="s">
        <v>1278</v>
      </c>
    </row>
    <row r="61" spans="1:58" ht="28">
      <c r="A61" s="66" t="s">
        <v>1476</v>
      </c>
      <c r="B61" s="66" t="s">
        <v>1528</v>
      </c>
      <c r="C61" s="66"/>
      <c r="D61" s="66"/>
      <c r="E61" s="66" t="s">
        <v>1529</v>
      </c>
      <c r="F61" s="66" t="s">
        <v>1474</v>
      </c>
      <c r="G61" s="66" t="s">
        <v>1310</v>
      </c>
      <c r="H61" s="66" t="s">
        <v>1181</v>
      </c>
      <c r="I61" s="66" t="s">
        <v>1530</v>
      </c>
      <c r="J61" s="66" t="s">
        <v>1263</v>
      </c>
      <c r="K61" s="66" t="s">
        <v>1293</v>
      </c>
      <c r="L61" s="66" t="s">
        <v>1215</v>
      </c>
      <c r="M61" s="66" t="s">
        <v>1197</v>
      </c>
      <c r="N61" s="66" t="s">
        <v>1215</v>
      </c>
      <c r="O61" s="66" t="s">
        <v>1277</v>
      </c>
      <c r="P61" s="66" t="s">
        <v>1215</v>
      </c>
      <c r="Q61" s="86" t="s">
        <v>1215</v>
      </c>
      <c r="R61" s="86" t="s">
        <v>1215</v>
      </c>
      <c r="S61" s="86" t="s">
        <v>1215</v>
      </c>
      <c r="T61" s="86" t="s">
        <v>1215</v>
      </c>
      <c r="U61" s="86" t="s">
        <v>1215</v>
      </c>
      <c r="V61" s="86" t="s">
        <v>1215</v>
      </c>
      <c r="W61" s="67"/>
      <c r="X61" s="84" t="str">
        <f t="shared" si="0"/>
        <v>Belum Dinilai</v>
      </c>
      <c r="Y61" s="84" t="str">
        <f t="shared" si="1"/>
        <v>Belum Dinilai</v>
      </c>
      <c r="Z61" s="85" t="str">
        <f t="shared" si="2"/>
        <v/>
      </c>
      <c r="AA61" s="85" t="str">
        <f t="shared" si="3"/>
        <v/>
      </c>
      <c r="AB61" s="85" t="str">
        <f t="shared" si="4"/>
        <v/>
      </c>
      <c r="AC61" s="68" t="s">
        <v>1215</v>
      </c>
      <c r="AD61" s="68" t="s">
        <v>1215</v>
      </c>
      <c r="AE61" s="68" t="s">
        <v>1215</v>
      </c>
      <c r="AF61" s="68" t="s">
        <v>1215</v>
      </c>
      <c r="AG61" s="68" t="s">
        <v>1215</v>
      </c>
      <c r="AH61" s="68" t="s">
        <v>1215</v>
      </c>
      <c r="AI61" s="68" t="s">
        <v>1215</v>
      </c>
      <c r="AJ61" s="68" t="s">
        <v>1215</v>
      </c>
      <c r="AK61" s="68" t="s">
        <v>1215</v>
      </c>
      <c r="AL61" s="68"/>
      <c r="AM61" s="68" t="s">
        <v>1215</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1203</v>
      </c>
      <c r="AV61" s="66" t="s">
        <v>1204</v>
      </c>
      <c r="AW61" s="66" t="s">
        <v>1190</v>
      </c>
      <c r="AX61" s="66"/>
      <c r="AY61" s="66"/>
      <c r="AZ61" s="66" t="s">
        <v>927</v>
      </c>
      <c r="BA61" s="66"/>
      <c r="BB61" s="178"/>
      <c r="BC61" s="72">
        <v>2026</v>
      </c>
      <c r="BD61" s="66"/>
      <c r="BE61" s="178"/>
      <c r="BF61" s="66" t="s">
        <v>1278</v>
      </c>
    </row>
    <row r="62" spans="1:58" ht="28">
      <c r="A62" s="66" t="s">
        <v>1480</v>
      </c>
      <c r="B62" s="66" t="s">
        <v>1535</v>
      </c>
      <c r="C62" s="66"/>
      <c r="D62" s="66"/>
      <c r="E62" s="66" t="s">
        <v>1536</v>
      </c>
      <c r="F62" s="66" t="s">
        <v>1537</v>
      </c>
      <c r="G62" s="66" t="s">
        <v>1351</v>
      </c>
      <c r="H62" s="66" t="s">
        <v>1195</v>
      </c>
      <c r="I62" s="66" t="s">
        <v>1538</v>
      </c>
      <c r="J62" s="66" t="s">
        <v>1263</v>
      </c>
      <c r="K62" s="66" t="s">
        <v>1277</v>
      </c>
      <c r="L62" s="66" t="s">
        <v>1215</v>
      </c>
      <c r="M62" s="66" t="s">
        <v>1277</v>
      </c>
      <c r="N62" s="66" t="s">
        <v>1215</v>
      </c>
      <c r="O62" s="66" t="s">
        <v>1277</v>
      </c>
      <c r="P62" s="66" t="s">
        <v>1215</v>
      </c>
      <c r="Q62" s="86" t="s">
        <v>1215</v>
      </c>
      <c r="R62" s="86" t="s">
        <v>1215</v>
      </c>
      <c r="S62" s="86" t="s">
        <v>1215</v>
      </c>
      <c r="T62" s="86" t="s">
        <v>1215</v>
      </c>
      <c r="U62" s="86" t="s">
        <v>1215</v>
      </c>
      <c r="V62" s="86" t="s">
        <v>1215</v>
      </c>
      <c r="W62" s="67"/>
      <c r="X62" s="84" t="str">
        <f t="shared" si="0"/>
        <v>Belum Dinilai</v>
      </c>
      <c r="Y62" s="84" t="str">
        <f t="shared" si="1"/>
        <v>Belum Dinilai</v>
      </c>
      <c r="Z62" s="85" t="str">
        <f t="shared" si="2"/>
        <v/>
      </c>
      <c r="AA62" s="85" t="str">
        <f t="shared" si="3"/>
        <v/>
      </c>
      <c r="AB62" s="85" t="str">
        <f t="shared" si="4"/>
        <v/>
      </c>
      <c r="AC62" s="68" t="s">
        <v>1215</v>
      </c>
      <c r="AD62" s="68" t="s">
        <v>1215</v>
      </c>
      <c r="AE62" s="68" t="s">
        <v>1215</v>
      </c>
      <c r="AF62" s="68" t="s">
        <v>1215</v>
      </c>
      <c r="AG62" s="68" t="s">
        <v>1215</v>
      </c>
      <c r="AH62" s="68" t="s">
        <v>1215</v>
      </c>
      <c r="AI62" s="68" t="s">
        <v>1215</v>
      </c>
      <c r="AJ62" s="68" t="s">
        <v>1215</v>
      </c>
      <c r="AK62" s="68" t="s">
        <v>1215</v>
      </c>
      <c r="AL62" s="68"/>
      <c r="AM62" s="68" t="s">
        <v>1215</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1203</v>
      </c>
      <c r="AV62" s="66" t="s">
        <v>1204</v>
      </c>
      <c r="AW62" s="66" t="s">
        <v>1190</v>
      </c>
      <c r="AX62" s="66"/>
      <c r="AY62" s="66"/>
      <c r="AZ62" s="66" t="s">
        <v>927</v>
      </c>
      <c r="BA62" s="66"/>
      <c r="BB62" s="178"/>
      <c r="BC62" s="72">
        <v>2026</v>
      </c>
      <c r="BD62" s="66"/>
      <c r="BE62" s="178"/>
      <c r="BF62" s="66" t="s">
        <v>1278</v>
      </c>
    </row>
    <row r="63" spans="1:58" ht="28">
      <c r="A63" s="66" t="s">
        <v>1942</v>
      </c>
      <c r="B63" s="66" t="s">
        <v>1540</v>
      </c>
      <c r="C63" s="66"/>
      <c r="D63" s="66"/>
      <c r="E63" s="66" t="s">
        <v>1541</v>
      </c>
      <c r="F63" s="66" t="s">
        <v>1542</v>
      </c>
      <c r="G63" s="66" t="s">
        <v>1351</v>
      </c>
      <c r="H63" s="66" t="s">
        <v>1195</v>
      </c>
      <c r="I63" s="66" t="s">
        <v>1538</v>
      </c>
      <c r="J63" s="66" t="s">
        <v>1263</v>
      </c>
      <c r="K63" s="66" t="s">
        <v>1277</v>
      </c>
      <c r="L63" s="66" t="s">
        <v>1215</v>
      </c>
      <c r="M63" s="66" t="s">
        <v>1277</v>
      </c>
      <c r="N63" s="66" t="s">
        <v>1215</v>
      </c>
      <c r="O63" s="66" t="s">
        <v>1277</v>
      </c>
      <c r="P63" s="66" t="s">
        <v>1215</v>
      </c>
      <c r="Q63" s="86" t="s">
        <v>1215</v>
      </c>
      <c r="R63" s="86" t="s">
        <v>1215</v>
      </c>
      <c r="S63" s="86" t="s">
        <v>1215</v>
      </c>
      <c r="T63" s="86" t="s">
        <v>1215</v>
      </c>
      <c r="U63" s="86" t="s">
        <v>1215</v>
      </c>
      <c r="V63" s="86" t="s">
        <v>1215</v>
      </c>
      <c r="W63" s="67"/>
      <c r="X63" s="84" t="str">
        <f t="shared" si="0"/>
        <v>Belum Dinilai</v>
      </c>
      <c r="Y63" s="84" t="str">
        <f t="shared" si="1"/>
        <v>Belum Dinilai</v>
      </c>
      <c r="Z63" s="85" t="str">
        <f t="shared" si="2"/>
        <v/>
      </c>
      <c r="AA63" s="85" t="str">
        <f t="shared" si="3"/>
        <v/>
      </c>
      <c r="AB63" s="85" t="str">
        <f t="shared" si="4"/>
        <v/>
      </c>
      <c r="AC63" s="68" t="s">
        <v>1215</v>
      </c>
      <c r="AD63" s="68" t="s">
        <v>1215</v>
      </c>
      <c r="AE63" s="68" t="s">
        <v>1215</v>
      </c>
      <c r="AF63" s="68" t="s">
        <v>1215</v>
      </c>
      <c r="AG63" s="68" t="s">
        <v>1215</v>
      </c>
      <c r="AH63" s="68" t="s">
        <v>1215</v>
      </c>
      <c r="AI63" s="68" t="s">
        <v>1215</v>
      </c>
      <c r="AJ63" s="68" t="s">
        <v>1215</v>
      </c>
      <c r="AK63" s="68" t="s">
        <v>1215</v>
      </c>
      <c r="AL63" s="68"/>
      <c r="AM63" s="68" t="s">
        <v>1215</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1203</v>
      </c>
      <c r="AV63" s="66" t="s">
        <v>1204</v>
      </c>
      <c r="AW63" s="66" t="s">
        <v>1190</v>
      </c>
      <c r="AX63" s="66"/>
      <c r="AY63" s="66"/>
      <c r="AZ63" s="66" t="s">
        <v>927</v>
      </c>
      <c r="BA63" s="66"/>
      <c r="BB63" s="178"/>
      <c r="BC63" s="72">
        <v>2026</v>
      </c>
      <c r="BD63" s="66"/>
      <c r="BE63" s="178"/>
      <c r="BF63" s="66" t="s">
        <v>1278</v>
      </c>
    </row>
    <row r="64" spans="1:58" ht="28">
      <c r="A64" s="66" t="s">
        <v>1943</v>
      </c>
      <c r="B64" s="66" t="s">
        <v>1544</v>
      </c>
      <c r="C64" s="66"/>
      <c r="D64" s="66"/>
      <c r="E64" s="66" t="s">
        <v>1541</v>
      </c>
      <c r="F64" s="66" t="s">
        <v>1542</v>
      </c>
      <c r="G64" s="66" t="s">
        <v>1351</v>
      </c>
      <c r="H64" s="66" t="s">
        <v>1195</v>
      </c>
      <c r="I64" s="66" t="s">
        <v>1538</v>
      </c>
      <c r="J64" s="66" t="s">
        <v>1263</v>
      </c>
      <c r="K64" s="66" t="s">
        <v>1277</v>
      </c>
      <c r="L64" s="66" t="s">
        <v>1215</v>
      </c>
      <c r="M64" s="66" t="s">
        <v>1277</v>
      </c>
      <c r="N64" s="66" t="s">
        <v>1215</v>
      </c>
      <c r="O64" s="66" t="s">
        <v>1277</v>
      </c>
      <c r="P64" s="66" t="s">
        <v>1215</v>
      </c>
      <c r="Q64" s="86" t="s">
        <v>1215</v>
      </c>
      <c r="R64" s="86" t="s">
        <v>1215</v>
      </c>
      <c r="S64" s="86" t="s">
        <v>1215</v>
      </c>
      <c r="T64" s="86" t="s">
        <v>1215</v>
      </c>
      <c r="U64" s="86" t="s">
        <v>1215</v>
      </c>
      <c r="V64" s="86" t="s">
        <v>1215</v>
      </c>
      <c r="W64" s="67"/>
      <c r="X64" s="84" t="str">
        <f t="shared" si="0"/>
        <v>Belum Dinilai</v>
      </c>
      <c r="Y64" s="84" t="str">
        <f t="shared" si="1"/>
        <v>Belum Dinilai</v>
      </c>
      <c r="Z64" s="85" t="str">
        <f t="shared" si="2"/>
        <v/>
      </c>
      <c r="AA64" s="85" t="str">
        <f t="shared" si="3"/>
        <v/>
      </c>
      <c r="AB64" s="85" t="str">
        <f t="shared" si="4"/>
        <v/>
      </c>
      <c r="AC64" s="68" t="s">
        <v>1215</v>
      </c>
      <c r="AD64" s="68" t="s">
        <v>1215</v>
      </c>
      <c r="AE64" s="68" t="s">
        <v>1215</v>
      </c>
      <c r="AF64" s="68" t="s">
        <v>1215</v>
      </c>
      <c r="AG64" s="68" t="s">
        <v>1215</v>
      </c>
      <c r="AH64" s="68" t="s">
        <v>1215</v>
      </c>
      <c r="AI64" s="68" t="s">
        <v>1215</v>
      </c>
      <c r="AJ64" s="68" t="s">
        <v>1215</v>
      </c>
      <c r="AK64" s="68" t="s">
        <v>1215</v>
      </c>
      <c r="AL64" s="68"/>
      <c r="AM64" s="68" t="s">
        <v>1215</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1203</v>
      </c>
      <c r="AV64" s="66" t="s">
        <v>1204</v>
      </c>
      <c r="AW64" s="66" t="s">
        <v>1190</v>
      </c>
      <c r="AX64" s="66"/>
      <c r="AY64" s="66"/>
      <c r="AZ64" s="66" t="s">
        <v>927</v>
      </c>
      <c r="BA64" s="66"/>
      <c r="BB64" s="178"/>
      <c r="BC64" s="72">
        <v>2026</v>
      </c>
      <c r="BD64" s="66"/>
      <c r="BE64" s="178"/>
      <c r="BF64" s="66" t="s">
        <v>1278</v>
      </c>
    </row>
    <row r="65" spans="1:58" ht="42">
      <c r="A65" s="66" t="s">
        <v>1484</v>
      </c>
      <c r="B65" s="66" t="s">
        <v>1546</v>
      </c>
      <c r="C65" s="66"/>
      <c r="D65" s="66"/>
      <c r="E65" s="66" t="s">
        <v>1547</v>
      </c>
      <c r="F65" s="66" t="s">
        <v>1324</v>
      </c>
      <c r="G65" s="66" t="s">
        <v>1325</v>
      </c>
      <c r="H65" s="66" t="s">
        <v>1195</v>
      </c>
      <c r="I65" s="66" t="s">
        <v>1548</v>
      </c>
      <c r="J65" s="66" t="s">
        <v>1182</v>
      </c>
      <c r="K65" s="66" t="s">
        <v>1183</v>
      </c>
      <c r="L65" s="66" t="s">
        <v>1215</v>
      </c>
      <c r="M65" s="66" t="s">
        <v>1184</v>
      </c>
      <c r="N65" s="66" t="s">
        <v>1215</v>
      </c>
      <c r="O65" s="66" t="s">
        <v>1277</v>
      </c>
      <c r="P65" s="66" t="s">
        <v>1215</v>
      </c>
      <c r="Q65" s="86" t="s">
        <v>1215</v>
      </c>
      <c r="R65" s="86" t="s">
        <v>1215</v>
      </c>
      <c r="S65" s="86" t="s">
        <v>1215</v>
      </c>
      <c r="T65" s="86" t="s">
        <v>1215</v>
      </c>
      <c r="U65" s="86" t="s">
        <v>1215</v>
      </c>
      <c r="V65" s="86" t="s">
        <v>1215</v>
      </c>
      <c r="W65" s="67"/>
      <c r="X65" s="84" t="str">
        <f t="shared" si="0"/>
        <v>Belum Dinilai</v>
      </c>
      <c r="Y65" s="84" t="str">
        <f t="shared" si="1"/>
        <v>Belum Dinilai</v>
      </c>
      <c r="Z65" s="85" t="str">
        <f t="shared" si="2"/>
        <v/>
      </c>
      <c r="AA65" s="85" t="str">
        <f t="shared" si="3"/>
        <v/>
      </c>
      <c r="AB65" s="85" t="str">
        <f t="shared" si="4"/>
        <v/>
      </c>
      <c r="AC65" s="68" t="s">
        <v>1215</v>
      </c>
      <c r="AD65" s="68" t="s">
        <v>1215</v>
      </c>
      <c r="AE65" s="68" t="s">
        <v>1215</v>
      </c>
      <c r="AF65" s="68" t="s">
        <v>1215</v>
      </c>
      <c r="AG65" s="68" t="s">
        <v>1215</v>
      </c>
      <c r="AH65" s="68" t="s">
        <v>1215</v>
      </c>
      <c r="AI65" s="68" t="s">
        <v>1215</v>
      </c>
      <c r="AJ65" s="68" t="s">
        <v>1215</v>
      </c>
      <c r="AK65" s="68" t="s">
        <v>1215</v>
      </c>
      <c r="AL65" s="68"/>
      <c r="AM65" s="68" t="s">
        <v>1215</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1189</v>
      </c>
      <c r="AV65" s="66" t="s">
        <v>1204</v>
      </c>
      <c r="AW65" s="66" t="s">
        <v>1190</v>
      </c>
      <c r="AX65" s="66"/>
      <c r="AY65" s="66"/>
      <c r="AZ65" s="66" t="s">
        <v>927</v>
      </c>
      <c r="BA65" s="66"/>
      <c r="BB65" s="178"/>
      <c r="BC65" s="72">
        <v>2026</v>
      </c>
      <c r="BD65" s="66"/>
      <c r="BE65" s="178"/>
      <c r="BF65" s="66" t="s">
        <v>1278</v>
      </c>
    </row>
    <row r="66" spans="1:58" ht="28">
      <c r="A66" s="66" t="s">
        <v>1944</v>
      </c>
      <c r="B66" s="66" t="s">
        <v>1550</v>
      </c>
      <c r="C66" s="66"/>
      <c r="D66" s="66"/>
      <c r="E66" s="66" t="s">
        <v>1551</v>
      </c>
      <c r="F66" s="66" t="s">
        <v>1324</v>
      </c>
      <c r="G66" s="66" t="s">
        <v>1325</v>
      </c>
      <c r="H66" s="66" t="s">
        <v>1195</v>
      </c>
      <c r="I66" s="66" t="s">
        <v>1552</v>
      </c>
      <c r="J66" s="66" t="s">
        <v>1182</v>
      </c>
      <c r="K66" s="66" t="s">
        <v>1183</v>
      </c>
      <c r="L66" s="66" t="s">
        <v>1215</v>
      </c>
      <c r="M66" s="66" t="s">
        <v>1184</v>
      </c>
      <c r="N66" s="66" t="s">
        <v>1215</v>
      </c>
      <c r="O66" s="66" t="s">
        <v>1277</v>
      </c>
      <c r="P66" s="66" t="s">
        <v>1215</v>
      </c>
      <c r="Q66" s="86" t="s">
        <v>1215</v>
      </c>
      <c r="R66" s="86" t="s">
        <v>1215</v>
      </c>
      <c r="S66" s="86" t="s">
        <v>1215</v>
      </c>
      <c r="T66" s="86" t="s">
        <v>1215</v>
      </c>
      <c r="U66" s="86" t="s">
        <v>1215</v>
      </c>
      <c r="V66" s="86" t="s">
        <v>1215</v>
      </c>
      <c r="W66" s="67"/>
      <c r="X66" s="84" t="str">
        <f t="shared" si="0"/>
        <v>Belum Dinilai</v>
      </c>
      <c r="Y66" s="84" t="str">
        <f t="shared" si="1"/>
        <v>Belum Dinilai</v>
      </c>
      <c r="Z66" s="85" t="str">
        <f t="shared" si="2"/>
        <v/>
      </c>
      <c r="AA66" s="85" t="str">
        <f t="shared" si="3"/>
        <v/>
      </c>
      <c r="AB66" s="85" t="str">
        <f t="shared" si="4"/>
        <v/>
      </c>
      <c r="AC66" s="68" t="s">
        <v>1215</v>
      </c>
      <c r="AD66" s="68" t="s">
        <v>1215</v>
      </c>
      <c r="AE66" s="68" t="s">
        <v>1215</v>
      </c>
      <c r="AF66" s="68" t="s">
        <v>1215</v>
      </c>
      <c r="AG66" s="68" t="s">
        <v>1215</v>
      </c>
      <c r="AH66" s="68" t="s">
        <v>1215</v>
      </c>
      <c r="AI66" s="68" t="s">
        <v>1215</v>
      </c>
      <c r="AJ66" s="68" t="s">
        <v>1215</v>
      </c>
      <c r="AK66" s="68" t="s">
        <v>1215</v>
      </c>
      <c r="AL66" s="68"/>
      <c r="AM66" s="68" t="s">
        <v>1215</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1189</v>
      </c>
      <c r="AV66" s="66" t="s">
        <v>1204</v>
      </c>
      <c r="AW66" s="66" t="s">
        <v>1190</v>
      </c>
      <c r="AX66" s="66"/>
      <c r="AY66" s="66"/>
      <c r="AZ66" s="66" t="s">
        <v>927</v>
      </c>
      <c r="BA66" s="66"/>
      <c r="BB66" s="178"/>
      <c r="BC66" s="72">
        <v>2026</v>
      </c>
      <c r="BD66" s="66"/>
      <c r="BE66" s="178"/>
      <c r="BF66" s="66" t="s">
        <v>1278</v>
      </c>
    </row>
    <row r="67" spans="1:58" ht="28">
      <c r="A67" s="66" t="s">
        <v>1945</v>
      </c>
      <c r="B67" s="66" t="s">
        <v>1554</v>
      </c>
      <c r="C67" s="66"/>
      <c r="D67" s="66"/>
      <c r="E67" s="66" t="s">
        <v>1555</v>
      </c>
      <c r="F67" s="66" t="s">
        <v>1556</v>
      </c>
      <c r="G67" s="66" t="s">
        <v>1325</v>
      </c>
      <c r="H67" s="66" t="s">
        <v>1195</v>
      </c>
      <c r="I67" s="66" t="s">
        <v>1557</v>
      </c>
      <c r="J67" s="66" t="s">
        <v>1210</v>
      </c>
      <c r="K67" s="66" t="s">
        <v>1197</v>
      </c>
      <c r="L67" s="66" t="s">
        <v>1215</v>
      </c>
      <c r="M67" s="66" t="s">
        <v>1266</v>
      </c>
      <c r="N67" s="66" t="s">
        <v>905</v>
      </c>
      <c r="O67" s="66" t="s">
        <v>1277</v>
      </c>
      <c r="P67" s="66" t="s">
        <v>905</v>
      </c>
      <c r="Q67" s="86" t="s">
        <v>1215</v>
      </c>
      <c r="R67" s="86" t="s">
        <v>1215</v>
      </c>
      <c r="S67" s="86" t="s">
        <v>1215</v>
      </c>
      <c r="T67" s="86" t="s">
        <v>1215</v>
      </c>
      <c r="U67" s="86" t="s">
        <v>1215</v>
      </c>
      <c r="V67" s="86" t="s">
        <v>1215</v>
      </c>
      <c r="W67" s="67"/>
      <c r="X67" s="84" t="str">
        <f t="shared" si="0"/>
        <v>Belum Dinilai</v>
      </c>
      <c r="Y67" s="84" t="str">
        <f t="shared" si="1"/>
        <v>Belum Dinilai</v>
      </c>
      <c r="Z67" s="85" t="str">
        <f t="shared" si="2"/>
        <v/>
      </c>
      <c r="AA67" s="85" t="str">
        <f t="shared" si="3"/>
        <v/>
      </c>
      <c r="AB67" s="85" t="str">
        <f t="shared" si="4"/>
        <v/>
      </c>
      <c r="AC67" s="68" t="s">
        <v>1215</v>
      </c>
      <c r="AD67" s="68" t="s">
        <v>1215</v>
      </c>
      <c r="AE67" s="68" t="s">
        <v>1215</v>
      </c>
      <c r="AF67" s="68" t="s">
        <v>1215</v>
      </c>
      <c r="AG67" s="68" t="s">
        <v>1215</v>
      </c>
      <c r="AH67" s="68" t="s">
        <v>1215</v>
      </c>
      <c r="AI67" s="68" t="s">
        <v>1215</v>
      </c>
      <c r="AJ67" s="68" t="s">
        <v>1215</v>
      </c>
      <c r="AK67" s="68" t="s">
        <v>1215</v>
      </c>
      <c r="AL67" s="68"/>
      <c r="AM67" s="68" t="s">
        <v>1215</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1189</v>
      </c>
      <c r="AV67" s="66" t="s">
        <v>1204</v>
      </c>
      <c r="AW67" s="66" t="s">
        <v>1898</v>
      </c>
      <c r="AX67" s="66" t="s">
        <v>1206</v>
      </c>
      <c r="AY67" s="66">
        <v>2024</v>
      </c>
      <c r="AZ67" s="66" t="s">
        <v>927</v>
      </c>
      <c r="BA67" s="66"/>
      <c r="BB67" s="178"/>
      <c r="BC67" s="72">
        <v>2026</v>
      </c>
      <c r="BD67" s="66"/>
      <c r="BE67" s="178"/>
      <c r="BF67" s="66" t="s">
        <v>1278</v>
      </c>
    </row>
    <row r="68" spans="1:58" ht="28">
      <c r="A68" s="66" t="s">
        <v>1488</v>
      </c>
      <c r="B68" s="66" t="s">
        <v>1559</v>
      </c>
      <c r="C68" s="66"/>
      <c r="D68" s="66"/>
      <c r="E68" s="66" t="s">
        <v>1560</v>
      </c>
      <c r="F68" s="66" t="s">
        <v>1350</v>
      </c>
      <c r="G68" s="66" t="s">
        <v>1351</v>
      </c>
      <c r="H68" s="66" t="s">
        <v>1195</v>
      </c>
      <c r="I68" s="66" t="s">
        <v>1561</v>
      </c>
      <c r="J68" s="66" t="s">
        <v>1182</v>
      </c>
      <c r="K68" s="66" t="s">
        <v>1197</v>
      </c>
      <c r="L68" s="66" t="s">
        <v>905</v>
      </c>
      <c r="M68" s="66" t="s">
        <v>1212</v>
      </c>
      <c r="N68" s="66" t="s">
        <v>905</v>
      </c>
      <c r="O68" s="66" t="s">
        <v>1277</v>
      </c>
      <c r="P68" s="66" t="s">
        <v>905</v>
      </c>
      <c r="Q68" s="86" t="s">
        <v>1215</v>
      </c>
      <c r="R68" s="86" t="s">
        <v>1215</v>
      </c>
      <c r="S68" s="86" t="s">
        <v>1215</v>
      </c>
      <c r="T68" s="86" t="s">
        <v>1215</v>
      </c>
      <c r="U68" s="86" t="s">
        <v>1215</v>
      </c>
      <c r="V68" s="86" t="s">
        <v>1215</v>
      </c>
      <c r="W68" s="67"/>
      <c r="X68" s="84" t="str">
        <f t="shared" si="0"/>
        <v>Belum Dinilai</v>
      </c>
      <c r="Y68" s="84" t="str">
        <f t="shared" si="1"/>
        <v>Belum Dinilai</v>
      </c>
      <c r="Z68" s="85" t="str">
        <f t="shared" si="2"/>
        <v/>
      </c>
      <c r="AA68" s="85" t="str">
        <f t="shared" si="3"/>
        <v/>
      </c>
      <c r="AB68" s="85" t="str">
        <f t="shared" si="4"/>
        <v/>
      </c>
      <c r="AC68" s="68" t="s">
        <v>1215</v>
      </c>
      <c r="AD68" s="68" t="s">
        <v>1215</v>
      </c>
      <c r="AE68" s="68" t="s">
        <v>1215</v>
      </c>
      <c r="AF68" s="68" t="s">
        <v>1215</v>
      </c>
      <c r="AG68" s="68" t="s">
        <v>1215</v>
      </c>
      <c r="AH68" s="68" t="s">
        <v>1215</v>
      </c>
      <c r="AI68" s="68" t="s">
        <v>1215</v>
      </c>
      <c r="AJ68" s="68" t="s">
        <v>1215</v>
      </c>
      <c r="AK68" s="68" t="s">
        <v>1215</v>
      </c>
      <c r="AL68" s="68"/>
      <c r="AM68" s="68" t="s">
        <v>1215</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1189</v>
      </c>
      <c r="AV68" s="66" t="s">
        <v>1204</v>
      </c>
      <c r="AW68" s="66" t="s">
        <v>1190</v>
      </c>
      <c r="AX68" s="66"/>
      <c r="AY68" s="66"/>
      <c r="AZ68" s="66" t="s">
        <v>927</v>
      </c>
      <c r="BA68" s="66"/>
      <c r="BB68" s="178"/>
      <c r="BC68" s="72">
        <v>2026</v>
      </c>
      <c r="BD68" s="66"/>
      <c r="BE68" s="178"/>
      <c r="BF68" s="66" t="s">
        <v>1278</v>
      </c>
    </row>
    <row r="69" spans="1:58" ht="56">
      <c r="A69" s="66" t="s">
        <v>1491</v>
      </c>
      <c r="B69" s="66" t="s">
        <v>1563</v>
      </c>
      <c r="C69" s="66"/>
      <c r="D69" s="66"/>
      <c r="E69" s="66" t="s">
        <v>1564</v>
      </c>
      <c r="F69" s="66" t="s">
        <v>1565</v>
      </c>
      <c r="G69" s="66" t="s">
        <v>1275</v>
      </c>
      <c r="H69" s="66" t="s">
        <v>1195</v>
      </c>
      <c r="I69" s="66" t="s">
        <v>1566</v>
      </c>
      <c r="J69" s="66" t="s">
        <v>1263</v>
      </c>
      <c r="K69" s="66" t="s">
        <v>1277</v>
      </c>
      <c r="L69" s="66" t="s">
        <v>891</v>
      </c>
      <c r="M69" s="66" t="s">
        <v>1277</v>
      </c>
      <c r="N69" s="66" t="s">
        <v>1215</v>
      </c>
      <c r="O69" s="66" t="s">
        <v>1213</v>
      </c>
      <c r="P69" s="66" t="s">
        <v>1215</v>
      </c>
      <c r="Q69" s="86" t="s">
        <v>1215</v>
      </c>
      <c r="R69" s="86" t="s">
        <v>1215</v>
      </c>
      <c r="S69" s="86" t="s">
        <v>1215</v>
      </c>
      <c r="T69" s="86" t="s">
        <v>1215</v>
      </c>
      <c r="U69" s="86" t="s">
        <v>1215</v>
      </c>
      <c r="V69" s="86" t="s">
        <v>1215</v>
      </c>
      <c r="W69" s="67"/>
      <c r="X69" s="84" t="str">
        <f t="shared" si="0"/>
        <v>Belum Dinilai</v>
      </c>
      <c r="Y69" s="84" t="str">
        <f t="shared" si="1"/>
        <v>Belum Dinilai</v>
      </c>
      <c r="Z69" s="85" t="str">
        <f t="shared" si="2"/>
        <v/>
      </c>
      <c r="AA69" s="85" t="str">
        <f t="shared" si="3"/>
        <v/>
      </c>
      <c r="AB69" s="85" t="str">
        <f t="shared" si="4"/>
        <v/>
      </c>
      <c r="AC69" s="68" t="s">
        <v>1215</v>
      </c>
      <c r="AD69" s="68" t="s">
        <v>1215</v>
      </c>
      <c r="AE69" s="68" t="s">
        <v>1215</v>
      </c>
      <c r="AF69" s="68" t="s">
        <v>1215</v>
      </c>
      <c r="AG69" s="68" t="s">
        <v>1215</v>
      </c>
      <c r="AH69" s="68" t="s">
        <v>1215</v>
      </c>
      <c r="AI69" s="68" t="s">
        <v>1215</v>
      </c>
      <c r="AJ69" s="68" t="s">
        <v>1215</v>
      </c>
      <c r="AK69" s="68" t="s">
        <v>1215</v>
      </c>
      <c r="AL69" s="68"/>
      <c r="AM69" s="68" t="s">
        <v>1215</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1189</v>
      </c>
      <c r="AV69" s="66" t="s">
        <v>1204</v>
      </c>
      <c r="AW69" s="66" t="s">
        <v>1190</v>
      </c>
      <c r="AX69" s="66"/>
      <c r="AY69" s="66"/>
      <c r="AZ69" s="66" t="s">
        <v>1207</v>
      </c>
      <c r="BA69" s="66"/>
      <c r="BB69" s="178"/>
      <c r="BC69" s="72">
        <v>2026</v>
      </c>
      <c r="BD69" s="66"/>
      <c r="BE69" s="178"/>
      <c r="BF69" s="66" t="s">
        <v>1278</v>
      </c>
    </row>
    <row r="70" spans="1:58" ht="42">
      <c r="A70" s="66" t="s">
        <v>1495</v>
      </c>
      <c r="B70" s="66" t="s">
        <v>1568</v>
      </c>
      <c r="C70" s="66"/>
      <c r="D70" s="66"/>
      <c r="E70" s="66" t="s">
        <v>1569</v>
      </c>
      <c r="F70" s="66" t="s">
        <v>1274</v>
      </c>
      <c r="G70" s="66" t="s">
        <v>1275</v>
      </c>
      <c r="H70" s="66" t="s">
        <v>1181</v>
      </c>
      <c r="I70" s="66" t="s">
        <v>1570</v>
      </c>
      <c r="J70" s="66" t="s">
        <v>1210</v>
      </c>
      <c r="K70" s="66" t="s">
        <v>1197</v>
      </c>
      <c r="L70" s="66" t="s">
        <v>895</v>
      </c>
      <c r="M70" s="66" t="s">
        <v>1266</v>
      </c>
      <c r="N70" s="66" t="s">
        <v>895</v>
      </c>
      <c r="O70" s="66" t="s">
        <v>1277</v>
      </c>
      <c r="P70" s="66" t="s">
        <v>1215</v>
      </c>
      <c r="Q70" s="86" t="s">
        <v>1215</v>
      </c>
      <c r="R70" s="86" t="s">
        <v>1215</v>
      </c>
      <c r="S70" s="86" t="s">
        <v>1215</v>
      </c>
      <c r="T70" s="86" t="s">
        <v>1215</v>
      </c>
      <c r="U70" s="86" t="s">
        <v>1215</v>
      </c>
      <c r="V70" s="86" t="s">
        <v>1215</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1215</v>
      </c>
      <c r="AD70" s="68" t="s">
        <v>1215</v>
      </c>
      <c r="AE70" s="68" t="s">
        <v>1215</v>
      </c>
      <c r="AF70" s="68" t="s">
        <v>1215</v>
      </c>
      <c r="AG70" s="68" t="s">
        <v>1215</v>
      </c>
      <c r="AH70" s="68" t="s">
        <v>1215</v>
      </c>
      <c r="AI70" s="68" t="s">
        <v>1215</v>
      </c>
      <c r="AJ70" s="68" t="s">
        <v>1215</v>
      </c>
      <c r="AK70" s="68" t="s">
        <v>1215</v>
      </c>
      <c r="AL70" s="68"/>
      <c r="AM70" s="68" t="s">
        <v>1215</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1189</v>
      </c>
      <c r="AV70" s="66" t="s">
        <v>1204</v>
      </c>
      <c r="AW70" s="66" t="s">
        <v>1190</v>
      </c>
      <c r="AX70" s="66"/>
      <c r="AY70" s="66"/>
      <c r="AZ70" s="66" t="s">
        <v>1207</v>
      </c>
      <c r="BA70" s="66"/>
      <c r="BB70" s="178"/>
      <c r="BC70" s="72">
        <v>2026</v>
      </c>
      <c r="BD70" s="66"/>
      <c r="BE70" s="178"/>
      <c r="BF70" s="66" t="s">
        <v>1278</v>
      </c>
    </row>
    <row r="71" spans="1:58" ht="56">
      <c r="A71" s="66" t="s">
        <v>1499</v>
      </c>
      <c r="B71" s="66" t="s">
        <v>1572</v>
      </c>
      <c r="C71" s="66"/>
      <c r="D71" s="66"/>
      <c r="E71" s="66" t="s">
        <v>1573</v>
      </c>
      <c r="F71" s="66" t="s">
        <v>1383</v>
      </c>
      <c r="G71" s="66" t="s">
        <v>1275</v>
      </c>
      <c r="H71" s="66" t="s">
        <v>1181</v>
      </c>
      <c r="I71" s="66" t="s">
        <v>1574</v>
      </c>
      <c r="J71" s="66" t="s">
        <v>1196</v>
      </c>
      <c r="K71" s="66" t="s">
        <v>1183</v>
      </c>
      <c r="L71" s="66" t="s">
        <v>905</v>
      </c>
      <c r="M71" s="66" t="s">
        <v>1305</v>
      </c>
      <c r="N71" s="66" t="s">
        <v>1215</v>
      </c>
      <c r="O71" s="66" t="s">
        <v>1213</v>
      </c>
      <c r="P71" s="66" t="s">
        <v>905</v>
      </c>
      <c r="Q71" s="86" t="s">
        <v>1215</v>
      </c>
      <c r="R71" s="86" t="s">
        <v>1215</v>
      </c>
      <c r="S71" s="86" t="s">
        <v>1215</v>
      </c>
      <c r="T71" s="86" t="s">
        <v>1215</v>
      </c>
      <c r="U71" s="86" t="s">
        <v>1215</v>
      </c>
      <c r="V71" s="86" t="s">
        <v>1215</v>
      </c>
      <c r="W71" s="67"/>
      <c r="X71" s="84" t="str">
        <f t="shared" si="11"/>
        <v>Belum Dinilai</v>
      </c>
      <c r="Y71" s="84" t="str">
        <f t="shared" si="12"/>
        <v>Belum Dinilai</v>
      </c>
      <c r="Z71" s="85" t="str">
        <f t="shared" si="13"/>
        <v/>
      </c>
      <c r="AA71" s="85" t="str">
        <f t="shared" si="14"/>
        <v/>
      </c>
      <c r="AB71" s="85" t="str">
        <f t="shared" si="15"/>
        <v/>
      </c>
      <c r="AC71" s="68" t="s">
        <v>1215</v>
      </c>
      <c r="AD71" s="68" t="s">
        <v>1215</v>
      </c>
      <c r="AE71" s="68" t="s">
        <v>1215</v>
      </c>
      <c r="AF71" s="68" t="s">
        <v>1215</v>
      </c>
      <c r="AG71" s="68" t="s">
        <v>1215</v>
      </c>
      <c r="AH71" s="68" t="s">
        <v>1215</v>
      </c>
      <c r="AI71" s="68" t="s">
        <v>1215</v>
      </c>
      <c r="AJ71" s="68" t="s">
        <v>1215</v>
      </c>
      <c r="AK71" s="68" t="s">
        <v>1215</v>
      </c>
      <c r="AL71" s="68"/>
      <c r="AM71" s="68" t="s">
        <v>1215</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1189</v>
      </c>
      <c r="AV71" s="66" t="s">
        <v>1204</v>
      </c>
      <c r="AW71" s="66" t="s">
        <v>1190</v>
      </c>
      <c r="AX71" s="66"/>
      <c r="AY71" s="66"/>
      <c r="AZ71" s="66" t="s">
        <v>1207</v>
      </c>
      <c r="BA71" s="66"/>
      <c r="BB71" s="178"/>
      <c r="BC71" s="72">
        <v>2026</v>
      </c>
      <c r="BD71" s="66"/>
      <c r="BE71" s="178"/>
      <c r="BF71" s="66" t="s">
        <v>1278</v>
      </c>
    </row>
    <row r="72" spans="1:58" ht="56">
      <c r="A72" s="66" t="s">
        <v>1503</v>
      </c>
      <c r="B72" s="66" t="s">
        <v>1576</v>
      </c>
      <c r="C72" s="66"/>
      <c r="D72" s="66"/>
      <c r="E72" s="66" t="s">
        <v>1577</v>
      </c>
      <c r="F72" s="66" t="s">
        <v>1383</v>
      </c>
      <c r="G72" s="66" t="s">
        <v>1275</v>
      </c>
      <c r="H72" s="66" t="s">
        <v>1181</v>
      </c>
      <c r="I72" s="66" t="s">
        <v>1574</v>
      </c>
      <c r="J72" s="66" t="s">
        <v>1196</v>
      </c>
      <c r="K72" s="66" t="s">
        <v>1183</v>
      </c>
      <c r="L72" s="66" t="s">
        <v>905</v>
      </c>
      <c r="M72" s="66" t="s">
        <v>1305</v>
      </c>
      <c r="N72" s="66" t="s">
        <v>1215</v>
      </c>
      <c r="O72" s="66" t="s">
        <v>1213</v>
      </c>
      <c r="P72" s="66" t="s">
        <v>905</v>
      </c>
      <c r="Q72" s="86" t="s">
        <v>1215</v>
      </c>
      <c r="R72" s="86" t="s">
        <v>1215</v>
      </c>
      <c r="S72" s="86" t="s">
        <v>1215</v>
      </c>
      <c r="T72" s="86" t="s">
        <v>1215</v>
      </c>
      <c r="U72" s="86" t="s">
        <v>1215</v>
      </c>
      <c r="V72" s="86" t="s">
        <v>1215</v>
      </c>
      <c r="W72" s="67"/>
      <c r="X72" s="84" t="str">
        <f t="shared" si="11"/>
        <v>Belum Dinilai</v>
      </c>
      <c r="Y72" s="84" t="str">
        <f t="shared" si="12"/>
        <v>Belum Dinilai</v>
      </c>
      <c r="Z72" s="85" t="str">
        <f t="shared" si="13"/>
        <v/>
      </c>
      <c r="AA72" s="85" t="str">
        <f t="shared" si="14"/>
        <v/>
      </c>
      <c r="AB72" s="85" t="str">
        <f t="shared" si="15"/>
        <v/>
      </c>
      <c r="AC72" s="68" t="s">
        <v>1215</v>
      </c>
      <c r="AD72" s="68" t="s">
        <v>1215</v>
      </c>
      <c r="AE72" s="68" t="s">
        <v>1215</v>
      </c>
      <c r="AF72" s="68" t="s">
        <v>1215</v>
      </c>
      <c r="AG72" s="68" t="s">
        <v>1215</v>
      </c>
      <c r="AH72" s="68" t="s">
        <v>1215</v>
      </c>
      <c r="AI72" s="68" t="s">
        <v>1215</v>
      </c>
      <c r="AJ72" s="68" t="s">
        <v>1215</v>
      </c>
      <c r="AK72" s="68" t="s">
        <v>1215</v>
      </c>
      <c r="AL72" s="68"/>
      <c r="AM72" s="68" t="s">
        <v>1215</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1189</v>
      </c>
      <c r="AV72" s="66" t="s">
        <v>1204</v>
      </c>
      <c r="AW72" s="66" t="s">
        <v>1898</v>
      </c>
      <c r="AX72" s="66" t="s">
        <v>1206</v>
      </c>
      <c r="AY72" s="66">
        <v>2024</v>
      </c>
      <c r="AZ72" s="66" t="s">
        <v>1207</v>
      </c>
      <c r="BA72" s="66"/>
      <c r="BB72" s="178"/>
      <c r="BC72" s="72">
        <v>2026</v>
      </c>
      <c r="BD72" s="66"/>
      <c r="BE72" s="178"/>
      <c r="BF72" s="66" t="s">
        <v>1278</v>
      </c>
    </row>
    <row r="73" spans="1:58" ht="42">
      <c r="A73" s="66" t="s">
        <v>1946</v>
      </c>
      <c r="B73" s="66" t="s">
        <v>1579</v>
      </c>
      <c r="C73" s="66"/>
      <c r="D73" s="66"/>
      <c r="E73" s="66" t="s">
        <v>1580</v>
      </c>
      <c r="F73" s="66" t="s">
        <v>1274</v>
      </c>
      <c r="G73" s="66" t="s">
        <v>1275</v>
      </c>
      <c r="H73" s="66" t="s">
        <v>1195</v>
      </c>
      <c r="I73" s="66" t="s">
        <v>1581</v>
      </c>
      <c r="J73" s="66" t="s">
        <v>1182</v>
      </c>
      <c r="K73" s="66" t="s">
        <v>1197</v>
      </c>
      <c r="L73" s="66" t="s">
        <v>905</v>
      </c>
      <c r="M73" s="66" t="s">
        <v>1265</v>
      </c>
      <c r="N73" s="66" t="s">
        <v>1215</v>
      </c>
      <c r="O73" s="66" t="s">
        <v>1277</v>
      </c>
      <c r="P73" s="66" t="s">
        <v>905</v>
      </c>
      <c r="Q73" s="86" t="s">
        <v>1215</v>
      </c>
      <c r="R73" s="86" t="s">
        <v>1215</v>
      </c>
      <c r="S73" s="86" t="s">
        <v>1215</v>
      </c>
      <c r="T73" s="86" t="s">
        <v>1215</v>
      </c>
      <c r="U73" s="86" t="s">
        <v>1215</v>
      </c>
      <c r="V73" s="86" t="s">
        <v>1215</v>
      </c>
      <c r="W73" s="67"/>
      <c r="X73" s="84" t="str">
        <f t="shared" si="11"/>
        <v>Belum Dinilai</v>
      </c>
      <c r="Y73" s="84" t="str">
        <f t="shared" si="12"/>
        <v>Belum Dinilai</v>
      </c>
      <c r="Z73" s="85" t="str">
        <f t="shared" si="13"/>
        <v/>
      </c>
      <c r="AA73" s="85" t="str">
        <f t="shared" si="14"/>
        <v/>
      </c>
      <c r="AB73" s="85" t="str">
        <f t="shared" si="15"/>
        <v/>
      </c>
      <c r="AC73" s="68" t="s">
        <v>1215</v>
      </c>
      <c r="AD73" s="68" t="s">
        <v>1215</v>
      </c>
      <c r="AE73" s="68" t="s">
        <v>1215</v>
      </c>
      <c r="AF73" s="68" t="s">
        <v>1215</v>
      </c>
      <c r="AG73" s="68" t="s">
        <v>1215</v>
      </c>
      <c r="AH73" s="68" t="s">
        <v>1215</v>
      </c>
      <c r="AI73" s="68" t="s">
        <v>1215</v>
      </c>
      <c r="AJ73" s="68" t="s">
        <v>1215</v>
      </c>
      <c r="AK73" s="68" t="s">
        <v>1215</v>
      </c>
      <c r="AL73" s="68"/>
      <c r="AM73" s="68" t="s">
        <v>1215</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1189</v>
      </c>
      <c r="AV73" s="66" t="s">
        <v>1204</v>
      </c>
      <c r="AW73" s="66" t="s">
        <v>1190</v>
      </c>
      <c r="AX73" s="66"/>
      <c r="AY73" s="66"/>
      <c r="AZ73" s="66" t="s">
        <v>927</v>
      </c>
      <c r="BA73" s="66"/>
      <c r="BB73" s="178"/>
      <c r="BC73" s="72">
        <v>2026</v>
      </c>
      <c r="BD73" s="66"/>
      <c r="BE73" s="178"/>
      <c r="BF73" s="66" t="s">
        <v>1278</v>
      </c>
    </row>
    <row r="74" spans="1:58" ht="28">
      <c r="A74" s="66" t="s">
        <v>1508</v>
      </c>
      <c r="B74" s="66" t="s">
        <v>1583</v>
      </c>
      <c r="C74" s="66"/>
      <c r="D74" s="66"/>
      <c r="E74" s="66" t="s">
        <v>1584</v>
      </c>
      <c r="F74" s="66" t="s">
        <v>1356</v>
      </c>
      <c r="G74" s="66" t="s">
        <v>1289</v>
      </c>
      <c r="H74" s="66" t="s">
        <v>1195</v>
      </c>
      <c r="I74" s="66" t="s">
        <v>1585</v>
      </c>
      <c r="J74" s="66" t="s">
        <v>1182</v>
      </c>
      <c r="K74" s="66" t="s">
        <v>1277</v>
      </c>
      <c r="L74" s="66" t="s">
        <v>1215</v>
      </c>
      <c r="M74" s="66" t="s">
        <v>1265</v>
      </c>
      <c r="N74" s="66" t="s">
        <v>1215</v>
      </c>
      <c r="O74" s="66" t="s">
        <v>1277</v>
      </c>
      <c r="P74" s="66" t="s">
        <v>1215</v>
      </c>
      <c r="Q74" s="86" t="s">
        <v>1215</v>
      </c>
      <c r="R74" s="86" t="s">
        <v>1215</v>
      </c>
      <c r="S74" s="86" t="s">
        <v>1215</v>
      </c>
      <c r="T74" s="86" t="s">
        <v>1215</v>
      </c>
      <c r="U74" s="86" t="s">
        <v>1215</v>
      </c>
      <c r="V74" s="86" t="s">
        <v>1215</v>
      </c>
      <c r="W74" s="67"/>
      <c r="X74" s="84" t="str">
        <f t="shared" si="11"/>
        <v>Belum Dinilai</v>
      </c>
      <c r="Y74" s="84" t="str">
        <f t="shared" si="12"/>
        <v>Belum Dinilai</v>
      </c>
      <c r="Z74" s="85" t="str">
        <f t="shared" si="13"/>
        <v/>
      </c>
      <c r="AA74" s="85" t="str">
        <f t="shared" si="14"/>
        <v/>
      </c>
      <c r="AB74" s="85" t="str">
        <f t="shared" si="15"/>
        <v/>
      </c>
      <c r="AC74" s="68" t="s">
        <v>1215</v>
      </c>
      <c r="AD74" s="68" t="s">
        <v>1215</v>
      </c>
      <c r="AE74" s="68" t="s">
        <v>1215</v>
      </c>
      <c r="AF74" s="68" t="s">
        <v>1215</v>
      </c>
      <c r="AG74" s="68" t="s">
        <v>1215</v>
      </c>
      <c r="AH74" s="68" t="s">
        <v>1215</v>
      </c>
      <c r="AI74" s="68" t="s">
        <v>1215</v>
      </c>
      <c r="AJ74" s="68" t="s">
        <v>1215</v>
      </c>
      <c r="AK74" s="68" t="s">
        <v>1215</v>
      </c>
      <c r="AL74" s="68"/>
      <c r="AM74" s="68" t="s">
        <v>1215</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1189</v>
      </c>
      <c r="AV74" s="66" t="s">
        <v>1204</v>
      </c>
      <c r="AW74" s="66" t="s">
        <v>1190</v>
      </c>
      <c r="AX74" s="66"/>
      <c r="AY74" s="66"/>
      <c r="AZ74" s="66" t="s">
        <v>927</v>
      </c>
      <c r="BA74" s="66"/>
      <c r="BB74" s="178"/>
      <c r="BC74" s="72">
        <v>2026</v>
      </c>
      <c r="BD74" s="66"/>
      <c r="BE74" s="178"/>
      <c r="BF74" s="66" t="s">
        <v>1278</v>
      </c>
    </row>
    <row r="75" spans="1:58" ht="28">
      <c r="A75" s="66" t="s">
        <v>1512</v>
      </c>
      <c r="B75" s="66" t="s">
        <v>1587</v>
      </c>
      <c r="C75" s="66"/>
      <c r="D75" s="66"/>
      <c r="E75" s="66" t="s">
        <v>1588</v>
      </c>
      <c r="F75" s="66" t="s">
        <v>1356</v>
      </c>
      <c r="G75" s="66" t="s">
        <v>1289</v>
      </c>
      <c r="H75" s="66" t="s">
        <v>1181</v>
      </c>
      <c r="I75" s="66" t="s">
        <v>1589</v>
      </c>
      <c r="J75" s="66" t="s">
        <v>1210</v>
      </c>
      <c r="K75" s="66" t="s">
        <v>1211</v>
      </c>
      <c r="L75" s="66" t="s">
        <v>895</v>
      </c>
      <c r="M75" s="66" t="s">
        <v>1266</v>
      </c>
      <c r="N75" s="66" t="s">
        <v>895</v>
      </c>
      <c r="O75" s="66" t="s">
        <v>1277</v>
      </c>
      <c r="P75" s="66" t="s">
        <v>1215</v>
      </c>
      <c r="Q75" s="86" t="s">
        <v>1215</v>
      </c>
      <c r="R75" s="86" t="s">
        <v>1215</v>
      </c>
      <c r="S75" s="86" t="s">
        <v>1215</v>
      </c>
      <c r="T75" s="86" t="s">
        <v>1215</v>
      </c>
      <c r="U75" s="86" t="s">
        <v>1215</v>
      </c>
      <c r="V75" s="86" t="s">
        <v>1215</v>
      </c>
      <c r="W75" s="67"/>
      <c r="X75" s="84" t="str">
        <f t="shared" si="11"/>
        <v>Belum Dinilai</v>
      </c>
      <c r="Y75" s="84" t="str">
        <f t="shared" si="12"/>
        <v>Belum Dinilai</v>
      </c>
      <c r="Z75" s="85" t="str">
        <f t="shared" si="13"/>
        <v/>
      </c>
      <c r="AA75" s="85" t="str">
        <f t="shared" si="14"/>
        <v/>
      </c>
      <c r="AB75" s="85" t="str">
        <f t="shared" si="15"/>
        <v/>
      </c>
      <c r="AC75" s="68" t="s">
        <v>1215</v>
      </c>
      <c r="AD75" s="68" t="s">
        <v>1215</v>
      </c>
      <c r="AE75" s="68" t="s">
        <v>1215</v>
      </c>
      <c r="AF75" s="68" t="s">
        <v>1215</v>
      </c>
      <c r="AG75" s="68" t="s">
        <v>1215</v>
      </c>
      <c r="AH75" s="68" t="s">
        <v>1215</v>
      </c>
      <c r="AI75" s="68" t="s">
        <v>1215</v>
      </c>
      <c r="AJ75" s="68" t="s">
        <v>1215</v>
      </c>
      <c r="AK75" s="68" t="s">
        <v>1215</v>
      </c>
      <c r="AL75" s="68"/>
      <c r="AM75" s="68" t="s">
        <v>1215</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1189</v>
      </c>
      <c r="AV75" s="66" t="s">
        <v>1204</v>
      </c>
      <c r="AW75" s="66" t="s">
        <v>1190</v>
      </c>
      <c r="AX75" s="66"/>
      <c r="AY75" s="66"/>
      <c r="AZ75" s="66" t="s">
        <v>927</v>
      </c>
      <c r="BA75" s="66"/>
      <c r="BB75" s="178"/>
      <c r="BC75" s="72">
        <v>2026</v>
      </c>
      <c r="BD75" s="66"/>
      <c r="BE75" s="178"/>
      <c r="BF75" s="66" t="s">
        <v>1278</v>
      </c>
    </row>
    <row r="76" spans="1:58" ht="28">
      <c r="A76" s="66" t="s">
        <v>1515</v>
      </c>
      <c r="B76" s="66" t="s">
        <v>1900</v>
      </c>
      <c r="C76" s="83" t="s">
        <v>1901</v>
      </c>
      <c r="D76" s="83" t="s">
        <v>1903</v>
      </c>
      <c r="E76" s="66" t="s">
        <v>1902</v>
      </c>
      <c r="F76" s="66" t="s">
        <v>1356</v>
      </c>
      <c r="G76" s="66" t="s">
        <v>81</v>
      </c>
      <c r="H76" s="66" t="s">
        <v>1181</v>
      </c>
      <c r="I76" s="66"/>
      <c r="J76" s="66" t="s">
        <v>1210</v>
      </c>
      <c r="K76" s="66" t="s">
        <v>1211</v>
      </c>
      <c r="L76" s="66" t="s">
        <v>891</v>
      </c>
      <c r="M76" s="66" t="s">
        <v>1266</v>
      </c>
      <c r="N76" s="66" t="s">
        <v>891</v>
      </c>
      <c r="O76" s="66" t="s">
        <v>1213</v>
      </c>
      <c r="P76" s="66" t="s">
        <v>891</v>
      </c>
      <c r="Q76" s="86" t="s">
        <v>1186</v>
      </c>
      <c r="R76" s="86" t="s">
        <v>1201</v>
      </c>
      <c r="S76" s="86" t="s">
        <v>1201</v>
      </c>
      <c r="T76" s="86" t="s">
        <v>1201</v>
      </c>
      <c r="U76" s="86" t="s">
        <v>1201</v>
      </c>
      <c r="V76" s="86" t="s">
        <v>1215</v>
      </c>
      <c r="W76" s="67"/>
      <c r="X76" s="84" t="str">
        <f t="shared" si="11"/>
        <v>Belum Dinilai</v>
      </c>
      <c r="Y76" s="84" t="str">
        <f t="shared" si="12"/>
        <v>Belum Dinilai</v>
      </c>
      <c r="Z76" s="85">
        <f t="shared" si="13"/>
        <v>10</v>
      </c>
      <c r="AA76" s="85" t="str">
        <f t="shared" si="14"/>
        <v/>
      </c>
      <c r="AB76" s="85" t="str">
        <f t="shared" si="15"/>
        <v/>
      </c>
      <c r="AC76" s="68" t="s">
        <v>1215</v>
      </c>
      <c r="AD76" s="68" t="s">
        <v>1201</v>
      </c>
      <c r="AE76" s="68" t="s">
        <v>1215</v>
      </c>
      <c r="AF76" s="68" t="s">
        <v>1215</v>
      </c>
      <c r="AG76" s="68" t="s">
        <v>1215</v>
      </c>
      <c r="AH76" s="68" t="s">
        <v>1187</v>
      </c>
      <c r="AI76" s="68" t="s">
        <v>1187</v>
      </c>
      <c r="AJ76" s="68" t="s">
        <v>1215</v>
      </c>
      <c r="AK76" s="68" t="s">
        <v>1215</v>
      </c>
      <c r="AL76" s="68"/>
      <c r="AM76" s="68" t="s">
        <v>1215</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1190</v>
      </c>
      <c r="AX76" s="66"/>
      <c r="AY76" s="66"/>
      <c r="AZ76" s="66" t="s">
        <v>1192</v>
      </c>
      <c r="BA76" s="66"/>
      <c r="BB76" s="178"/>
      <c r="BC76" s="72"/>
      <c r="BD76" s="66"/>
      <c r="BE76" s="178"/>
      <c r="BF76" s="66"/>
    </row>
    <row r="77" spans="1:58" ht="42">
      <c r="A77" s="66" t="s">
        <v>1518</v>
      </c>
      <c r="B77" s="66" t="s">
        <v>1592</v>
      </c>
      <c r="C77" s="66"/>
      <c r="D77" s="66"/>
      <c r="E77" s="66" t="s">
        <v>1593</v>
      </c>
      <c r="F77" s="66" t="s">
        <v>1537</v>
      </c>
      <c r="G77" s="66" t="s">
        <v>1351</v>
      </c>
      <c r="H77" s="66" t="s">
        <v>1181</v>
      </c>
      <c r="I77" s="66" t="s">
        <v>1594</v>
      </c>
      <c r="J77" s="66" t="s">
        <v>1210</v>
      </c>
      <c r="K77" s="66" t="s">
        <v>1183</v>
      </c>
      <c r="L77" s="66" t="s">
        <v>1215</v>
      </c>
      <c r="M77" s="66" t="s">
        <v>1266</v>
      </c>
      <c r="N77" s="66" t="s">
        <v>1215</v>
      </c>
      <c r="O77" s="66" t="s">
        <v>1213</v>
      </c>
      <c r="P77" s="66" t="s">
        <v>905</v>
      </c>
      <c r="Q77" s="86" t="s">
        <v>1215</v>
      </c>
      <c r="R77" s="86" t="s">
        <v>1215</v>
      </c>
      <c r="S77" s="86" t="s">
        <v>1215</v>
      </c>
      <c r="T77" s="86" t="s">
        <v>1215</v>
      </c>
      <c r="U77" s="86" t="s">
        <v>1215</v>
      </c>
      <c r="V77" s="86" t="s">
        <v>1215</v>
      </c>
      <c r="W77" s="67"/>
      <c r="X77" s="84" t="str">
        <f t="shared" si="11"/>
        <v>Belum Dinilai</v>
      </c>
      <c r="Y77" s="84" t="str">
        <f t="shared" si="12"/>
        <v>Belum Dinilai</v>
      </c>
      <c r="Z77" s="85" t="str">
        <f t="shared" si="13"/>
        <v/>
      </c>
      <c r="AA77" s="85" t="str">
        <f t="shared" si="14"/>
        <v/>
      </c>
      <c r="AB77" s="85" t="str">
        <f t="shared" si="15"/>
        <v/>
      </c>
      <c r="AC77" s="68" t="s">
        <v>1215</v>
      </c>
      <c r="AD77" s="68" t="s">
        <v>1215</v>
      </c>
      <c r="AE77" s="68" t="s">
        <v>1215</v>
      </c>
      <c r="AF77" s="68" t="s">
        <v>1215</v>
      </c>
      <c r="AG77" s="68" t="s">
        <v>1215</v>
      </c>
      <c r="AH77" s="68" t="s">
        <v>1215</v>
      </c>
      <c r="AI77" s="68" t="s">
        <v>1215</v>
      </c>
      <c r="AJ77" s="68" t="s">
        <v>1215</v>
      </c>
      <c r="AK77" s="68" t="s">
        <v>1215</v>
      </c>
      <c r="AL77" s="68"/>
      <c r="AM77" s="68" t="s">
        <v>1215</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1189</v>
      </c>
      <c r="AV77" s="66" t="s">
        <v>1204</v>
      </c>
      <c r="AW77" s="66" t="s">
        <v>1190</v>
      </c>
      <c r="AX77" s="66"/>
      <c r="AY77" s="66"/>
      <c r="AZ77" s="66" t="s">
        <v>927</v>
      </c>
      <c r="BA77" s="66"/>
      <c r="BB77" s="178"/>
      <c r="BC77" s="72">
        <v>2026</v>
      </c>
      <c r="BD77" s="66"/>
      <c r="BE77" s="178"/>
      <c r="BF77" s="66" t="s">
        <v>1278</v>
      </c>
    </row>
    <row r="78" spans="1:58" ht="28">
      <c r="A78" s="66" t="s">
        <v>1523</v>
      </c>
      <c r="B78" s="66" t="s">
        <v>1596</v>
      </c>
      <c r="C78" s="83" t="s">
        <v>1906</v>
      </c>
      <c r="D78" s="83" t="s">
        <v>1907</v>
      </c>
      <c r="E78" s="66" t="s">
        <v>1908</v>
      </c>
      <c r="F78" s="66" t="s">
        <v>1598</v>
      </c>
      <c r="G78" s="66" t="s">
        <v>1325</v>
      </c>
      <c r="H78" s="66" t="s">
        <v>1181</v>
      </c>
      <c r="I78" s="66" t="s">
        <v>1599</v>
      </c>
      <c r="J78" s="66" t="s">
        <v>1210</v>
      </c>
      <c r="K78" s="66" t="s">
        <v>1211</v>
      </c>
      <c r="L78" s="66" t="s">
        <v>905</v>
      </c>
      <c r="M78" s="66" t="s">
        <v>1266</v>
      </c>
      <c r="N78" s="66" t="s">
        <v>891</v>
      </c>
      <c r="O78" s="66" t="s">
        <v>1213</v>
      </c>
      <c r="P78" s="66" t="s">
        <v>891</v>
      </c>
      <c r="Q78" s="86" t="s">
        <v>1186</v>
      </c>
      <c r="R78" s="86" t="s">
        <v>1187</v>
      </c>
      <c r="S78" s="86" t="s">
        <v>1201</v>
      </c>
      <c r="T78" s="86" t="s">
        <v>1201</v>
      </c>
      <c r="U78" s="86" t="s">
        <v>1201</v>
      </c>
      <c r="V78" s="86" t="s">
        <v>1201</v>
      </c>
      <c r="W78" s="67"/>
      <c r="X78" s="84" t="str">
        <f t="shared" si="11"/>
        <v xml:space="preserve">Lansia; </v>
      </c>
      <c r="Y78" s="84" t="str">
        <f t="shared" si="12"/>
        <v>1 Faktor Rentan</v>
      </c>
      <c r="Z78" s="85">
        <f t="shared" si="13"/>
        <v>10</v>
      </c>
      <c r="AA78" s="85">
        <f t="shared" si="14"/>
        <v>5</v>
      </c>
      <c r="AB78" s="85">
        <f t="shared" si="15"/>
        <v>15</v>
      </c>
      <c r="AC78" s="68" t="s">
        <v>1201</v>
      </c>
      <c r="AD78" s="68" t="s">
        <v>1201</v>
      </c>
      <c r="AE78" s="68" t="s">
        <v>1187</v>
      </c>
      <c r="AF78" s="68" t="s">
        <v>1201</v>
      </c>
      <c r="AG78" s="68" t="s">
        <v>1187</v>
      </c>
      <c r="AH78" s="68" t="s">
        <v>1187</v>
      </c>
      <c r="AI78" s="68" t="s">
        <v>1187</v>
      </c>
      <c r="AJ78" s="68" t="s">
        <v>1201</v>
      </c>
      <c r="AK78" s="68" t="s">
        <v>1201</v>
      </c>
      <c r="AL78" s="68"/>
      <c r="AM78" s="68" t="s">
        <v>1215</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1189</v>
      </c>
      <c r="AV78" s="66" t="s">
        <v>1204</v>
      </c>
      <c r="AW78" s="66" t="s">
        <v>1205</v>
      </c>
      <c r="AX78" s="66" t="s">
        <v>1283</v>
      </c>
      <c r="AY78" s="66">
        <v>2026</v>
      </c>
      <c r="AZ78" s="66" t="s">
        <v>927</v>
      </c>
      <c r="BA78" s="66"/>
      <c r="BB78" s="178"/>
      <c r="BC78" s="72">
        <v>2026</v>
      </c>
      <c r="BD78" s="66"/>
      <c r="BE78" s="178"/>
      <c r="BF78" s="66" t="s">
        <v>1278</v>
      </c>
    </row>
    <row r="79" spans="1:58" ht="28">
      <c r="A79" s="66" t="s">
        <v>1527</v>
      </c>
      <c r="B79" s="66" t="s">
        <v>1601</v>
      </c>
      <c r="C79" s="66"/>
      <c r="D79" s="66"/>
      <c r="E79" s="66" t="s">
        <v>1597</v>
      </c>
      <c r="F79" s="66" t="s">
        <v>1598</v>
      </c>
      <c r="G79" s="66" t="s">
        <v>1325</v>
      </c>
      <c r="H79" s="66" t="s">
        <v>1195</v>
      </c>
      <c r="I79" s="66" t="s">
        <v>1602</v>
      </c>
      <c r="J79" s="66" t="s">
        <v>1263</v>
      </c>
      <c r="K79" s="66" t="s">
        <v>1277</v>
      </c>
      <c r="L79" s="66" t="s">
        <v>1215</v>
      </c>
      <c r="M79" s="66" t="s">
        <v>1277</v>
      </c>
      <c r="N79" s="66" t="s">
        <v>1215</v>
      </c>
      <c r="O79" s="66" t="s">
        <v>1277</v>
      </c>
      <c r="P79" s="66" t="s">
        <v>1215</v>
      </c>
      <c r="Q79" s="86" t="s">
        <v>1215</v>
      </c>
      <c r="R79" s="86" t="s">
        <v>1215</v>
      </c>
      <c r="S79" s="86" t="s">
        <v>1215</v>
      </c>
      <c r="T79" s="86" t="s">
        <v>1215</v>
      </c>
      <c r="U79" s="86" t="s">
        <v>1215</v>
      </c>
      <c r="V79" s="86" t="s">
        <v>1215</v>
      </c>
      <c r="W79" s="67"/>
      <c r="X79" s="84" t="str">
        <f t="shared" si="11"/>
        <v>Belum Dinilai</v>
      </c>
      <c r="Y79" s="84" t="str">
        <f t="shared" si="12"/>
        <v>Belum Dinilai</v>
      </c>
      <c r="Z79" s="85" t="str">
        <f t="shared" si="13"/>
        <v/>
      </c>
      <c r="AA79" s="85" t="str">
        <f t="shared" si="14"/>
        <v/>
      </c>
      <c r="AB79" s="85" t="str">
        <f t="shared" si="15"/>
        <v/>
      </c>
      <c r="AC79" s="68" t="s">
        <v>1215</v>
      </c>
      <c r="AD79" s="68" t="s">
        <v>1215</v>
      </c>
      <c r="AE79" s="68" t="s">
        <v>1215</v>
      </c>
      <c r="AF79" s="68" t="s">
        <v>1215</v>
      </c>
      <c r="AG79" s="68" t="s">
        <v>1215</v>
      </c>
      <c r="AH79" s="68" t="s">
        <v>1215</v>
      </c>
      <c r="AI79" s="68" t="s">
        <v>1215</v>
      </c>
      <c r="AJ79" s="68" t="s">
        <v>1215</v>
      </c>
      <c r="AK79" s="68" t="s">
        <v>1215</v>
      </c>
      <c r="AL79" s="68"/>
      <c r="AM79" s="68" t="s">
        <v>1215</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1189</v>
      </c>
      <c r="AV79" s="66" t="s">
        <v>1204</v>
      </c>
      <c r="AW79" s="66" t="s">
        <v>1190</v>
      </c>
      <c r="AX79" s="66"/>
      <c r="AY79" s="66"/>
      <c r="AZ79" s="66" t="s">
        <v>927</v>
      </c>
      <c r="BA79" s="66"/>
      <c r="BB79" s="178"/>
      <c r="BC79" s="72">
        <v>2026</v>
      </c>
      <c r="BD79" s="66"/>
      <c r="BE79" s="178"/>
      <c r="BF79" s="66" t="s">
        <v>1278</v>
      </c>
    </row>
    <row r="80" spans="1:58" ht="28">
      <c r="A80" s="66" t="s">
        <v>1531</v>
      </c>
      <c r="B80" s="66" t="s">
        <v>1604</v>
      </c>
      <c r="C80" s="66"/>
      <c r="D80" s="66"/>
      <c r="E80" s="66" t="s">
        <v>1605</v>
      </c>
      <c r="F80" s="66" t="s">
        <v>1606</v>
      </c>
      <c r="G80" s="66" t="s">
        <v>1325</v>
      </c>
      <c r="H80" s="66" t="s">
        <v>1181</v>
      </c>
      <c r="I80" s="66" t="s">
        <v>1607</v>
      </c>
      <c r="J80" s="66" t="s">
        <v>1263</v>
      </c>
      <c r="K80" s="66" t="s">
        <v>1293</v>
      </c>
      <c r="L80" s="66" t="s">
        <v>1215</v>
      </c>
      <c r="M80" s="66" t="s">
        <v>1277</v>
      </c>
      <c r="N80" s="66" t="s">
        <v>1215</v>
      </c>
      <c r="O80" s="66" t="s">
        <v>1277</v>
      </c>
      <c r="P80" s="66" t="s">
        <v>1215</v>
      </c>
      <c r="Q80" s="86" t="s">
        <v>1215</v>
      </c>
      <c r="R80" s="86" t="s">
        <v>1215</v>
      </c>
      <c r="S80" s="86" t="s">
        <v>1215</v>
      </c>
      <c r="T80" s="86" t="s">
        <v>1215</v>
      </c>
      <c r="U80" s="86" t="s">
        <v>1215</v>
      </c>
      <c r="V80" s="86" t="s">
        <v>1215</v>
      </c>
      <c r="W80" s="67"/>
      <c r="X80" s="84" t="str">
        <f t="shared" si="11"/>
        <v>Belum Dinilai</v>
      </c>
      <c r="Y80" s="84" t="str">
        <f t="shared" si="12"/>
        <v>Belum Dinilai</v>
      </c>
      <c r="Z80" s="85" t="str">
        <f t="shared" si="13"/>
        <v/>
      </c>
      <c r="AA80" s="85" t="str">
        <f t="shared" si="14"/>
        <v/>
      </c>
      <c r="AB80" s="85" t="str">
        <f t="shared" si="15"/>
        <v/>
      </c>
      <c r="AC80" s="68" t="s">
        <v>1215</v>
      </c>
      <c r="AD80" s="68" t="s">
        <v>1215</v>
      </c>
      <c r="AE80" s="68" t="s">
        <v>1215</v>
      </c>
      <c r="AF80" s="68" t="s">
        <v>1215</v>
      </c>
      <c r="AG80" s="68" t="s">
        <v>1215</v>
      </c>
      <c r="AH80" s="68" t="s">
        <v>1215</v>
      </c>
      <c r="AI80" s="68" t="s">
        <v>1215</v>
      </c>
      <c r="AJ80" s="68" t="s">
        <v>1215</v>
      </c>
      <c r="AK80" s="68" t="s">
        <v>1215</v>
      </c>
      <c r="AL80" s="68"/>
      <c r="AM80" s="68" t="s">
        <v>1215</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1203</v>
      </c>
      <c r="AV80" s="66" t="s">
        <v>1204</v>
      </c>
      <c r="AW80" s="66" t="s">
        <v>1898</v>
      </c>
      <c r="AX80" s="66" t="s">
        <v>1283</v>
      </c>
      <c r="AY80" s="66">
        <v>2024</v>
      </c>
      <c r="AZ80" s="66" t="s">
        <v>927</v>
      </c>
      <c r="BA80" s="66"/>
      <c r="BB80" s="178"/>
      <c r="BC80" s="72">
        <v>2026</v>
      </c>
      <c r="BD80" s="66"/>
      <c r="BE80" s="178"/>
      <c r="BF80" s="66" t="s">
        <v>1278</v>
      </c>
    </row>
    <row r="81" spans="1:58" ht="28">
      <c r="A81" s="66" t="s">
        <v>1947</v>
      </c>
      <c r="B81" s="66" t="s">
        <v>1609</v>
      </c>
      <c r="C81" s="66"/>
      <c r="D81" s="66"/>
      <c r="E81" s="66" t="s">
        <v>1529</v>
      </c>
      <c r="F81" s="66" t="s">
        <v>1474</v>
      </c>
      <c r="G81" s="66" t="s">
        <v>1310</v>
      </c>
      <c r="H81" s="66" t="s">
        <v>1195</v>
      </c>
      <c r="I81" s="66" t="s">
        <v>1610</v>
      </c>
      <c r="J81" s="66" t="s">
        <v>1263</v>
      </c>
      <c r="K81" s="66" t="s">
        <v>1277</v>
      </c>
      <c r="L81" s="66" t="s">
        <v>1215</v>
      </c>
      <c r="M81" s="66" t="s">
        <v>1277</v>
      </c>
      <c r="N81" s="66" t="s">
        <v>1215</v>
      </c>
      <c r="O81" s="66" t="s">
        <v>1185</v>
      </c>
      <c r="P81" s="66" t="s">
        <v>1215</v>
      </c>
      <c r="Q81" s="86" t="s">
        <v>1215</v>
      </c>
      <c r="R81" s="86" t="s">
        <v>1215</v>
      </c>
      <c r="S81" s="86" t="s">
        <v>1215</v>
      </c>
      <c r="T81" s="86" t="s">
        <v>1215</v>
      </c>
      <c r="U81" s="86" t="s">
        <v>1215</v>
      </c>
      <c r="V81" s="86" t="s">
        <v>1215</v>
      </c>
      <c r="W81" s="67"/>
      <c r="X81" s="84" t="str">
        <f t="shared" si="11"/>
        <v>Belum Dinilai</v>
      </c>
      <c r="Y81" s="84" t="str">
        <f t="shared" si="12"/>
        <v>Belum Dinilai</v>
      </c>
      <c r="Z81" s="85" t="str">
        <f t="shared" si="13"/>
        <v/>
      </c>
      <c r="AA81" s="85" t="str">
        <f t="shared" si="14"/>
        <v/>
      </c>
      <c r="AB81" s="85" t="str">
        <f t="shared" si="15"/>
        <v/>
      </c>
      <c r="AC81" s="68" t="s">
        <v>1215</v>
      </c>
      <c r="AD81" s="68" t="s">
        <v>1215</v>
      </c>
      <c r="AE81" s="68" t="s">
        <v>1215</v>
      </c>
      <c r="AF81" s="68" t="s">
        <v>1215</v>
      </c>
      <c r="AG81" s="68" t="s">
        <v>1215</v>
      </c>
      <c r="AH81" s="68" t="s">
        <v>1215</v>
      </c>
      <c r="AI81" s="68" t="s">
        <v>1215</v>
      </c>
      <c r="AJ81" s="68" t="s">
        <v>1215</v>
      </c>
      <c r="AK81" s="68" t="s">
        <v>1215</v>
      </c>
      <c r="AL81" s="68"/>
      <c r="AM81" s="68" t="s">
        <v>1215</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1189</v>
      </c>
      <c r="AV81" s="66" t="s">
        <v>1204</v>
      </c>
      <c r="AW81" s="66" t="s">
        <v>1190</v>
      </c>
      <c r="AX81" s="66"/>
      <c r="AY81" s="66"/>
      <c r="AZ81" s="66" t="s">
        <v>927</v>
      </c>
      <c r="BA81" s="66"/>
      <c r="BB81" s="178"/>
      <c r="BC81" s="72">
        <v>2026</v>
      </c>
      <c r="BD81" s="66"/>
      <c r="BE81" s="178"/>
      <c r="BF81" s="66" t="s">
        <v>1278</v>
      </c>
    </row>
    <row r="82" spans="1:58" ht="28">
      <c r="A82" s="66" t="s">
        <v>1948</v>
      </c>
      <c r="B82" s="66" t="s">
        <v>1612</v>
      </c>
      <c r="C82" s="66"/>
      <c r="D82" s="66"/>
      <c r="E82" s="66" t="s">
        <v>1613</v>
      </c>
      <c r="F82" s="66" t="s">
        <v>1474</v>
      </c>
      <c r="G82" s="66" t="s">
        <v>1310</v>
      </c>
      <c r="H82" s="66" t="s">
        <v>1195</v>
      </c>
      <c r="I82" s="66" t="s">
        <v>1614</v>
      </c>
      <c r="J82" s="66" t="s">
        <v>1182</v>
      </c>
      <c r="K82" s="66" t="s">
        <v>1277</v>
      </c>
      <c r="L82" s="66" t="s">
        <v>1215</v>
      </c>
      <c r="M82" s="66" t="s">
        <v>1212</v>
      </c>
      <c r="N82" s="66" t="s">
        <v>1215</v>
      </c>
      <c r="O82" s="66" t="s">
        <v>1213</v>
      </c>
      <c r="P82" s="66" t="s">
        <v>1215</v>
      </c>
      <c r="Q82" s="86" t="s">
        <v>1215</v>
      </c>
      <c r="R82" s="86" t="s">
        <v>1215</v>
      </c>
      <c r="S82" s="86" t="s">
        <v>1215</v>
      </c>
      <c r="T82" s="86" t="s">
        <v>1215</v>
      </c>
      <c r="U82" s="86" t="s">
        <v>1215</v>
      </c>
      <c r="V82" s="86" t="s">
        <v>1215</v>
      </c>
      <c r="W82" s="67"/>
      <c r="X82" s="84" t="str">
        <f t="shared" si="11"/>
        <v>Belum Dinilai</v>
      </c>
      <c r="Y82" s="84" t="str">
        <f t="shared" si="12"/>
        <v>Belum Dinilai</v>
      </c>
      <c r="Z82" s="85" t="str">
        <f t="shared" si="13"/>
        <v/>
      </c>
      <c r="AA82" s="85" t="str">
        <f t="shared" si="14"/>
        <v/>
      </c>
      <c r="AB82" s="85" t="str">
        <f t="shared" si="15"/>
        <v/>
      </c>
      <c r="AC82" s="68" t="s">
        <v>1215</v>
      </c>
      <c r="AD82" s="68" t="s">
        <v>1215</v>
      </c>
      <c r="AE82" s="68" t="s">
        <v>1215</v>
      </c>
      <c r="AF82" s="68" t="s">
        <v>1215</v>
      </c>
      <c r="AG82" s="68" t="s">
        <v>1215</v>
      </c>
      <c r="AH82" s="68" t="s">
        <v>1215</v>
      </c>
      <c r="AI82" s="68" t="s">
        <v>1215</v>
      </c>
      <c r="AJ82" s="68" t="s">
        <v>1215</v>
      </c>
      <c r="AK82" s="68" t="s">
        <v>1215</v>
      </c>
      <c r="AL82" s="68"/>
      <c r="AM82" s="68" t="s">
        <v>1215</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1189</v>
      </c>
      <c r="AV82" s="66" t="s">
        <v>1204</v>
      </c>
      <c r="AW82" s="66" t="s">
        <v>1190</v>
      </c>
      <c r="AX82" s="66"/>
      <c r="AY82" s="66"/>
      <c r="AZ82" s="66" t="s">
        <v>927</v>
      </c>
      <c r="BA82" s="66"/>
      <c r="BB82" s="178"/>
      <c r="BC82" s="72">
        <v>2026</v>
      </c>
      <c r="BD82" s="66"/>
      <c r="BE82" s="178"/>
      <c r="BF82" s="66" t="s">
        <v>1278</v>
      </c>
    </row>
    <row r="83" spans="1:58" ht="28">
      <c r="A83" s="66" t="s">
        <v>1949</v>
      </c>
      <c r="B83" s="66" t="s">
        <v>1364</v>
      </c>
      <c r="C83" s="66"/>
      <c r="D83" s="66"/>
      <c r="E83" s="66" t="s">
        <v>1613</v>
      </c>
      <c r="F83" s="66" t="s">
        <v>1474</v>
      </c>
      <c r="G83" s="66" t="s">
        <v>1310</v>
      </c>
      <c r="H83" s="66" t="s">
        <v>1181</v>
      </c>
      <c r="I83" s="66" t="s">
        <v>1616</v>
      </c>
      <c r="J83" s="66" t="s">
        <v>1210</v>
      </c>
      <c r="K83" s="66" t="s">
        <v>1277</v>
      </c>
      <c r="L83" s="66" t="s">
        <v>895</v>
      </c>
      <c r="M83" s="66" t="s">
        <v>1266</v>
      </c>
      <c r="N83" s="66" t="s">
        <v>895</v>
      </c>
      <c r="O83" s="66" t="s">
        <v>1213</v>
      </c>
      <c r="P83" s="66" t="s">
        <v>895</v>
      </c>
      <c r="Q83" s="86" t="s">
        <v>1215</v>
      </c>
      <c r="R83" s="86" t="s">
        <v>1215</v>
      </c>
      <c r="S83" s="86" t="s">
        <v>1215</v>
      </c>
      <c r="T83" s="86" t="s">
        <v>1215</v>
      </c>
      <c r="U83" s="86" t="s">
        <v>1215</v>
      </c>
      <c r="V83" s="86" t="s">
        <v>1215</v>
      </c>
      <c r="W83" s="67"/>
      <c r="X83" s="84" t="str">
        <f t="shared" si="11"/>
        <v>Belum Dinilai</v>
      </c>
      <c r="Y83" s="84" t="str">
        <f t="shared" si="12"/>
        <v>Belum Dinilai</v>
      </c>
      <c r="Z83" s="85" t="str">
        <f t="shared" si="13"/>
        <v/>
      </c>
      <c r="AA83" s="85" t="str">
        <f t="shared" si="14"/>
        <v/>
      </c>
      <c r="AB83" s="85" t="str">
        <f t="shared" si="15"/>
        <v/>
      </c>
      <c r="AC83" s="68" t="s">
        <v>1215</v>
      </c>
      <c r="AD83" s="68" t="s">
        <v>1215</v>
      </c>
      <c r="AE83" s="68" t="s">
        <v>1215</v>
      </c>
      <c r="AF83" s="68" t="s">
        <v>1215</v>
      </c>
      <c r="AG83" s="68" t="s">
        <v>1215</v>
      </c>
      <c r="AH83" s="68" t="s">
        <v>1215</v>
      </c>
      <c r="AI83" s="68" t="s">
        <v>1215</v>
      </c>
      <c r="AJ83" s="68" t="s">
        <v>1215</v>
      </c>
      <c r="AK83" s="68" t="s">
        <v>1215</v>
      </c>
      <c r="AL83" s="68"/>
      <c r="AM83" s="68" t="s">
        <v>1215</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1189</v>
      </c>
      <c r="AV83" s="66" t="s">
        <v>1204</v>
      </c>
      <c r="AW83" s="66" t="s">
        <v>1898</v>
      </c>
      <c r="AX83" s="66" t="s">
        <v>1217</v>
      </c>
      <c r="AY83" s="66">
        <v>2023</v>
      </c>
      <c r="AZ83" s="66" t="s">
        <v>927</v>
      </c>
      <c r="BA83" s="66"/>
      <c r="BB83" s="178"/>
      <c r="BC83" s="72">
        <v>2026</v>
      </c>
      <c r="BD83" s="66"/>
      <c r="BE83" s="178"/>
      <c r="BF83" s="66" t="s">
        <v>1278</v>
      </c>
    </row>
    <row r="84" spans="1:58" ht="28">
      <c r="A84" s="66" t="s">
        <v>1950</v>
      </c>
      <c r="B84" s="66" t="s">
        <v>1618</v>
      </c>
      <c r="C84" s="66"/>
      <c r="D84" s="66"/>
      <c r="E84" s="66" t="s">
        <v>1619</v>
      </c>
      <c r="F84" s="66" t="s">
        <v>1474</v>
      </c>
      <c r="G84" s="66" t="s">
        <v>1310</v>
      </c>
      <c r="H84" s="66" t="s">
        <v>1181</v>
      </c>
      <c r="I84" s="66" t="s">
        <v>1620</v>
      </c>
      <c r="J84" s="66" t="s">
        <v>1210</v>
      </c>
      <c r="K84" s="66" t="s">
        <v>1277</v>
      </c>
      <c r="L84" s="66" t="s">
        <v>1215</v>
      </c>
      <c r="M84" s="66" t="s">
        <v>1266</v>
      </c>
      <c r="N84" s="66" t="s">
        <v>895</v>
      </c>
      <c r="O84" s="66" t="s">
        <v>1213</v>
      </c>
      <c r="P84" s="66" t="s">
        <v>895</v>
      </c>
      <c r="Q84" s="86" t="s">
        <v>1215</v>
      </c>
      <c r="R84" s="86" t="s">
        <v>1215</v>
      </c>
      <c r="S84" s="86" t="s">
        <v>1215</v>
      </c>
      <c r="T84" s="86" t="s">
        <v>1215</v>
      </c>
      <c r="U84" s="86" t="s">
        <v>1215</v>
      </c>
      <c r="V84" s="86" t="s">
        <v>1215</v>
      </c>
      <c r="W84" s="67"/>
      <c r="X84" s="84" t="str">
        <f t="shared" si="11"/>
        <v>Belum Dinilai</v>
      </c>
      <c r="Y84" s="84" t="str">
        <f t="shared" si="12"/>
        <v>Belum Dinilai</v>
      </c>
      <c r="Z84" s="85" t="str">
        <f t="shared" si="13"/>
        <v/>
      </c>
      <c r="AA84" s="85" t="str">
        <f t="shared" si="14"/>
        <v/>
      </c>
      <c r="AB84" s="85" t="str">
        <f t="shared" si="15"/>
        <v/>
      </c>
      <c r="AC84" s="68" t="s">
        <v>1215</v>
      </c>
      <c r="AD84" s="68" t="s">
        <v>1215</v>
      </c>
      <c r="AE84" s="68" t="s">
        <v>1215</v>
      </c>
      <c r="AF84" s="68" t="s">
        <v>1215</v>
      </c>
      <c r="AG84" s="68" t="s">
        <v>1215</v>
      </c>
      <c r="AH84" s="68" t="s">
        <v>1215</v>
      </c>
      <c r="AI84" s="68" t="s">
        <v>1215</v>
      </c>
      <c r="AJ84" s="68" t="s">
        <v>1215</v>
      </c>
      <c r="AK84" s="68" t="s">
        <v>1215</v>
      </c>
      <c r="AL84" s="68"/>
      <c r="AM84" s="68" t="s">
        <v>1215</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1189</v>
      </c>
      <c r="AV84" s="66" t="s">
        <v>1204</v>
      </c>
      <c r="AW84" s="66" t="s">
        <v>1190</v>
      </c>
      <c r="AX84" s="66"/>
      <c r="AY84" s="66"/>
      <c r="AZ84" s="66" t="s">
        <v>927</v>
      </c>
      <c r="BA84" s="66"/>
      <c r="BB84" s="178"/>
      <c r="BC84" s="72">
        <v>2026</v>
      </c>
      <c r="BD84" s="66"/>
      <c r="BE84" s="178"/>
      <c r="BF84" s="66" t="s">
        <v>1278</v>
      </c>
    </row>
    <row r="85" spans="1:58" ht="28">
      <c r="A85" s="66" t="s">
        <v>1951</v>
      </c>
      <c r="B85" s="66" t="s">
        <v>1622</v>
      </c>
      <c r="C85" s="66"/>
      <c r="D85" s="66"/>
      <c r="E85" s="66" t="s">
        <v>1623</v>
      </c>
      <c r="F85" s="66" t="s">
        <v>1624</v>
      </c>
      <c r="G85" s="66" t="s">
        <v>1310</v>
      </c>
      <c r="H85" s="66" t="s">
        <v>1181</v>
      </c>
      <c r="I85" s="66" t="s">
        <v>1620</v>
      </c>
      <c r="J85" s="66" t="s">
        <v>1210</v>
      </c>
      <c r="K85" s="66" t="s">
        <v>1277</v>
      </c>
      <c r="L85" s="66" t="s">
        <v>1215</v>
      </c>
      <c r="M85" s="66" t="s">
        <v>1266</v>
      </c>
      <c r="N85" s="66" t="s">
        <v>895</v>
      </c>
      <c r="O85" s="66" t="s">
        <v>1213</v>
      </c>
      <c r="P85" s="66" t="s">
        <v>895</v>
      </c>
      <c r="Q85" s="86" t="s">
        <v>1215</v>
      </c>
      <c r="R85" s="86" t="s">
        <v>1215</v>
      </c>
      <c r="S85" s="86" t="s">
        <v>1215</v>
      </c>
      <c r="T85" s="86" t="s">
        <v>1215</v>
      </c>
      <c r="U85" s="86" t="s">
        <v>1215</v>
      </c>
      <c r="V85" s="86" t="s">
        <v>1215</v>
      </c>
      <c r="W85" s="67"/>
      <c r="X85" s="84" t="str">
        <f t="shared" si="11"/>
        <v>Belum Dinilai</v>
      </c>
      <c r="Y85" s="84" t="str">
        <f t="shared" si="12"/>
        <v>Belum Dinilai</v>
      </c>
      <c r="Z85" s="85" t="str">
        <f t="shared" si="13"/>
        <v/>
      </c>
      <c r="AA85" s="85" t="str">
        <f t="shared" si="14"/>
        <v/>
      </c>
      <c r="AB85" s="85" t="str">
        <f t="shared" si="15"/>
        <v/>
      </c>
      <c r="AC85" s="68" t="s">
        <v>1215</v>
      </c>
      <c r="AD85" s="68" t="s">
        <v>1215</v>
      </c>
      <c r="AE85" s="68" t="s">
        <v>1215</v>
      </c>
      <c r="AF85" s="68" t="s">
        <v>1215</v>
      </c>
      <c r="AG85" s="68" t="s">
        <v>1215</v>
      </c>
      <c r="AH85" s="68" t="s">
        <v>1215</v>
      </c>
      <c r="AI85" s="68" t="s">
        <v>1215</v>
      </c>
      <c r="AJ85" s="68" t="s">
        <v>1215</v>
      </c>
      <c r="AK85" s="68" t="s">
        <v>1215</v>
      </c>
      <c r="AL85" s="68"/>
      <c r="AM85" s="68" t="s">
        <v>1215</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1189</v>
      </c>
      <c r="AV85" s="66" t="s">
        <v>1204</v>
      </c>
      <c r="AW85" s="66" t="s">
        <v>1898</v>
      </c>
      <c r="AX85" s="66" t="s">
        <v>1206</v>
      </c>
      <c r="AY85" s="66">
        <v>2021</v>
      </c>
      <c r="AZ85" s="66" t="s">
        <v>927</v>
      </c>
      <c r="BA85" s="66"/>
      <c r="BB85" s="178"/>
      <c r="BC85" s="72">
        <v>2026</v>
      </c>
      <c r="BD85" s="66"/>
      <c r="BE85" s="178"/>
      <c r="BF85" s="66" t="s">
        <v>1278</v>
      </c>
    </row>
    <row r="86" spans="1:58" ht="28">
      <c r="A86" s="66" t="s">
        <v>1952</v>
      </c>
      <c r="B86" s="66" t="s">
        <v>1626</v>
      </c>
      <c r="C86" s="66"/>
      <c r="D86" s="66"/>
      <c r="E86" s="66" t="s">
        <v>1627</v>
      </c>
      <c r="F86" s="66" t="s">
        <v>1624</v>
      </c>
      <c r="G86" s="66" t="s">
        <v>1310</v>
      </c>
      <c r="H86" s="66" t="s">
        <v>1181</v>
      </c>
      <c r="I86" s="66" t="s">
        <v>1620</v>
      </c>
      <c r="J86" s="66" t="s">
        <v>1210</v>
      </c>
      <c r="K86" s="66" t="s">
        <v>1277</v>
      </c>
      <c r="L86" s="66" t="s">
        <v>1215</v>
      </c>
      <c r="M86" s="66" t="s">
        <v>1266</v>
      </c>
      <c r="N86" s="66" t="s">
        <v>895</v>
      </c>
      <c r="O86" s="66" t="s">
        <v>1213</v>
      </c>
      <c r="P86" s="66" t="s">
        <v>895</v>
      </c>
      <c r="Q86" s="86" t="s">
        <v>1215</v>
      </c>
      <c r="R86" s="86" t="s">
        <v>1215</v>
      </c>
      <c r="S86" s="86" t="s">
        <v>1215</v>
      </c>
      <c r="T86" s="86" t="s">
        <v>1215</v>
      </c>
      <c r="U86" s="86" t="s">
        <v>1215</v>
      </c>
      <c r="V86" s="86" t="s">
        <v>1215</v>
      </c>
      <c r="W86" s="67"/>
      <c r="X86" s="84" t="str">
        <f t="shared" si="11"/>
        <v>Belum Dinilai</v>
      </c>
      <c r="Y86" s="84" t="str">
        <f t="shared" si="12"/>
        <v>Belum Dinilai</v>
      </c>
      <c r="Z86" s="85" t="str">
        <f t="shared" si="13"/>
        <v/>
      </c>
      <c r="AA86" s="85" t="str">
        <f t="shared" si="14"/>
        <v/>
      </c>
      <c r="AB86" s="85" t="str">
        <f t="shared" si="15"/>
        <v/>
      </c>
      <c r="AC86" s="68" t="s">
        <v>1215</v>
      </c>
      <c r="AD86" s="68" t="s">
        <v>1215</v>
      </c>
      <c r="AE86" s="68" t="s">
        <v>1215</v>
      </c>
      <c r="AF86" s="68" t="s">
        <v>1215</v>
      </c>
      <c r="AG86" s="68" t="s">
        <v>1215</v>
      </c>
      <c r="AH86" s="68" t="s">
        <v>1215</v>
      </c>
      <c r="AI86" s="68" t="s">
        <v>1215</v>
      </c>
      <c r="AJ86" s="68" t="s">
        <v>1215</v>
      </c>
      <c r="AK86" s="68" t="s">
        <v>1215</v>
      </c>
      <c r="AL86" s="68"/>
      <c r="AM86" s="68" t="s">
        <v>1215</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1189</v>
      </c>
      <c r="AV86" s="66" t="s">
        <v>1204</v>
      </c>
      <c r="AW86" s="66" t="s">
        <v>1898</v>
      </c>
      <c r="AX86" s="66" t="s">
        <v>1206</v>
      </c>
      <c r="AY86" s="66">
        <v>2022</v>
      </c>
      <c r="AZ86" s="66" t="s">
        <v>927</v>
      </c>
      <c r="BA86" s="66"/>
      <c r="BB86" s="178"/>
      <c r="BC86" s="72">
        <v>2026</v>
      </c>
      <c r="BD86" s="66"/>
      <c r="BE86" s="178"/>
      <c r="BF86" s="66" t="s">
        <v>1278</v>
      </c>
    </row>
    <row r="87" spans="1:58" ht="28">
      <c r="A87" s="66" t="s">
        <v>1953</v>
      </c>
      <c r="B87" s="66" t="s">
        <v>1629</v>
      </c>
      <c r="C87" s="66"/>
      <c r="D87" s="66"/>
      <c r="E87" s="66" t="s">
        <v>1630</v>
      </c>
      <c r="F87" s="66" t="s">
        <v>1624</v>
      </c>
      <c r="G87" s="66" t="s">
        <v>1310</v>
      </c>
      <c r="H87" s="66" t="s">
        <v>1181</v>
      </c>
      <c r="I87" s="66" t="s">
        <v>1631</v>
      </c>
      <c r="J87" s="66" t="s">
        <v>1210</v>
      </c>
      <c r="K87" s="66" t="s">
        <v>1277</v>
      </c>
      <c r="L87" s="66" t="s">
        <v>1215</v>
      </c>
      <c r="M87" s="66" t="s">
        <v>1266</v>
      </c>
      <c r="N87" s="66" t="s">
        <v>1215</v>
      </c>
      <c r="O87" s="66" t="s">
        <v>1281</v>
      </c>
      <c r="P87" s="66" t="s">
        <v>1282</v>
      </c>
      <c r="Q87" s="86" t="s">
        <v>1215</v>
      </c>
      <c r="R87" s="86" t="s">
        <v>1215</v>
      </c>
      <c r="S87" s="86" t="s">
        <v>1215</v>
      </c>
      <c r="T87" s="86" t="s">
        <v>1215</v>
      </c>
      <c r="U87" s="86" t="s">
        <v>1215</v>
      </c>
      <c r="V87" s="86" t="s">
        <v>1215</v>
      </c>
      <c r="W87" s="67"/>
      <c r="X87" s="84" t="str">
        <f t="shared" si="11"/>
        <v>Belum Dinilai</v>
      </c>
      <c r="Y87" s="84" t="str">
        <f t="shared" si="12"/>
        <v>Belum Dinilai</v>
      </c>
      <c r="Z87" s="85" t="str">
        <f t="shared" si="13"/>
        <v/>
      </c>
      <c r="AA87" s="85" t="str">
        <f t="shared" si="14"/>
        <v/>
      </c>
      <c r="AB87" s="85" t="str">
        <f t="shared" si="15"/>
        <v/>
      </c>
      <c r="AC87" s="68" t="s">
        <v>1215</v>
      </c>
      <c r="AD87" s="68" t="s">
        <v>1215</v>
      </c>
      <c r="AE87" s="68" t="s">
        <v>1215</v>
      </c>
      <c r="AF87" s="68" t="s">
        <v>1215</v>
      </c>
      <c r="AG87" s="68" t="s">
        <v>1215</v>
      </c>
      <c r="AH87" s="68" t="s">
        <v>1215</v>
      </c>
      <c r="AI87" s="68" t="s">
        <v>1215</v>
      </c>
      <c r="AJ87" s="68" t="s">
        <v>1215</v>
      </c>
      <c r="AK87" s="68" t="s">
        <v>1215</v>
      </c>
      <c r="AL87" s="68"/>
      <c r="AM87" s="68" t="s">
        <v>1215</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1189</v>
      </c>
      <c r="AV87" s="66" t="s">
        <v>1204</v>
      </c>
      <c r="AW87" s="66" t="s">
        <v>1898</v>
      </c>
      <c r="AX87" s="66" t="s">
        <v>1206</v>
      </c>
      <c r="AY87" s="66">
        <v>2022</v>
      </c>
      <c r="AZ87" s="66" t="s">
        <v>927</v>
      </c>
      <c r="BA87" s="66"/>
      <c r="BB87" s="178"/>
      <c r="BC87" s="72">
        <v>2026</v>
      </c>
      <c r="BD87" s="66"/>
      <c r="BE87" s="178"/>
      <c r="BF87" s="66" t="s">
        <v>1278</v>
      </c>
    </row>
    <row r="88" spans="1:58" ht="28">
      <c r="A88" s="66" t="s">
        <v>1534</v>
      </c>
      <c r="B88" s="66" t="s">
        <v>1633</v>
      </c>
      <c r="C88" s="66"/>
      <c r="D88" s="66"/>
      <c r="E88" s="66" t="s">
        <v>1634</v>
      </c>
      <c r="F88" s="66" t="s">
        <v>1624</v>
      </c>
      <c r="G88" s="66" t="s">
        <v>1310</v>
      </c>
      <c r="H88" s="66" t="s">
        <v>1181</v>
      </c>
      <c r="I88" s="66" t="s">
        <v>1290</v>
      </c>
      <c r="J88" s="66" t="s">
        <v>1210</v>
      </c>
      <c r="K88" s="66" t="s">
        <v>1277</v>
      </c>
      <c r="L88" s="66" t="s">
        <v>1215</v>
      </c>
      <c r="M88" s="66" t="s">
        <v>1266</v>
      </c>
      <c r="N88" s="66" t="s">
        <v>1215</v>
      </c>
      <c r="O88" s="66" t="s">
        <v>1277</v>
      </c>
      <c r="P88" s="66" t="s">
        <v>1215</v>
      </c>
      <c r="Q88" s="86" t="s">
        <v>1215</v>
      </c>
      <c r="R88" s="86" t="s">
        <v>1215</v>
      </c>
      <c r="S88" s="86" t="s">
        <v>1215</v>
      </c>
      <c r="T88" s="86" t="s">
        <v>1215</v>
      </c>
      <c r="U88" s="86" t="s">
        <v>1215</v>
      </c>
      <c r="V88" s="86" t="s">
        <v>1215</v>
      </c>
      <c r="W88" s="67"/>
      <c r="X88" s="84" t="str">
        <f t="shared" si="11"/>
        <v>Belum Dinilai</v>
      </c>
      <c r="Y88" s="84" t="str">
        <f t="shared" si="12"/>
        <v>Belum Dinilai</v>
      </c>
      <c r="Z88" s="85" t="str">
        <f t="shared" si="13"/>
        <v/>
      </c>
      <c r="AA88" s="85" t="str">
        <f t="shared" si="14"/>
        <v/>
      </c>
      <c r="AB88" s="85" t="str">
        <f t="shared" si="15"/>
        <v/>
      </c>
      <c r="AC88" s="68" t="s">
        <v>1215</v>
      </c>
      <c r="AD88" s="68" t="s">
        <v>1215</v>
      </c>
      <c r="AE88" s="68" t="s">
        <v>1215</v>
      </c>
      <c r="AF88" s="68" t="s">
        <v>1215</v>
      </c>
      <c r="AG88" s="68" t="s">
        <v>1215</v>
      </c>
      <c r="AH88" s="68" t="s">
        <v>1215</v>
      </c>
      <c r="AI88" s="68" t="s">
        <v>1215</v>
      </c>
      <c r="AJ88" s="68" t="s">
        <v>1215</v>
      </c>
      <c r="AK88" s="68" t="s">
        <v>1215</v>
      </c>
      <c r="AL88" s="68"/>
      <c r="AM88" s="68" t="s">
        <v>1215</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1189</v>
      </c>
      <c r="AV88" s="66" t="s">
        <v>1204</v>
      </c>
      <c r="AW88" s="66" t="s">
        <v>1190</v>
      </c>
      <c r="AX88" s="66"/>
      <c r="AY88" s="66"/>
      <c r="AZ88" s="66" t="s">
        <v>927</v>
      </c>
      <c r="BA88" s="66"/>
      <c r="BB88" s="178"/>
      <c r="BC88" s="72">
        <v>2026</v>
      </c>
      <c r="BD88" s="66"/>
      <c r="BE88" s="178"/>
      <c r="BF88" s="66" t="s">
        <v>1278</v>
      </c>
    </row>
    <row r="89" spans="1:58" ht="28">
      <c r="A89" s="66" t="s">
        <v>1539</v>
      </c>
      <c r="B89" s="66" t="s">
        <v>1471</v>
      </c>
      <c r="C89" s="66"/>
      <c r="D89" s="66"/>
      <c r="E89" s="66" t="s">
        <v>1636</v>
      </c>
      <c r="F89" s="66" t="s">
        <v>1425</v>
      </c>
      <c r="G89" s="66" t="s">
        <v>1310</v>
      </c>
      <c r="H89" s="66" t="s">
        <v>1195</v>
      </c>
      <c r="I89" s="66" t="s">
        <v>1637</v>
      </c>
      <c r="J89" s="66" t="s">
        <v>1182</v>
      </c>
      <c r="K89" s="66" t="s">
        <v>1277</v>
      </c>
      <c r="L89" s="66" t="s">
        <v>1215</v>
      </c>
      <c r="M89" s="66" t="s">
        <v>1212</v>
      </c>
      <c r="N89" s="66" t="s">
        <v>1215</v>
      </c>
      <c r="O89" s="66" t="s">
        <v>1277</v>
      </c>
      <c r="P89" s="66" t="s">
        <v>1215</v>
      </c>
      <c r="Q89" s="86" t="s">
        <v>1215</v>
      </c>
      <c r="R89" s="86" t="s">
        <v>1215</v>
      </c>
      <c r="S89" s="86" t="s">
        <v>1215</v>
      </c>
      <c r="T89" s="86" t="s">
        <v>1215</v>
      </c>
      <c r="U89" s="86" t="s">
        <v>1215</v>
      </c>
      <c r="V89" s="86" t="s">
        <v>1215</v>
      </c>
      <c r="W89" s="67"/>
      <c r="X89" s="84" t="str">
        <f t="shared" si="11"/>
        <v>Belum Dinilai</v>
      </c>
      <c r="Y89" s="84" t="str">
        <f t="shared" si="12"/>
        <v>Belum Dinilai</v>
      </c>
      <c r="Z89" s="85" t="str">
        <f t="shared" si="13"/>
        <v/>
      </c>
      <c r="AA89" s="85" t="str">
        <f t="shared" si="14"/>
        <v/>
      </c>
      <c r="AB89" s="85" t="str">
        <f t="shared" si="15"/>
        <v/>
      </c>
      <c r="AC89" s="68" t="s">
        <v>1215</v>
      </c>
      <c r="AD89" s="68" t="s">
        <v>1215</v>
      </c>
      <c r="AE89" s="68" t="s">
        <v>1215</v>
      </c>
      <c r="AF89" s="68" t="s">
        <v>1215</v>
      </c>
      <c r="AG89" s="68" t="s">
        <v>1215</v>
      </c>
      <c r="AH89" s="68" t="s">
        <v>1215</v>
      </c>
      <c r="AI89" s="68" t="s">
        <v>1215</v>
      </c>
      <c r="AJ89" s="68" t="s">
        <v>1215</v>
      </c>
      <c r="AK89" s="68" t="s">
        <v>1215</v>
      </c>
      <c r="AL89" s="68"/>
      <c r="AM89" s="68" t="s">
        <v>1215</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1189</v>
      </c>
      <c r="AV89" s="66" t="s">
        <v>1204</v>
      </c>
      <c r="AW89" s="66" t="s">
        <v>1190</v>
      </c>
      <c r="AX89" s="66" t="s">
        <v>1268</v>
      </c>
      <c r="AY89" s="66"/>
      <c r="AZ89" s="66" t="s">
        <v>927</v>
      </c>
      <c r="BA89" s="66"/>
      <c r="BB89" s="178"/>
      <c r="BC89" s="72">
        <v>2026</v>
      </c>
      <c r="BD89" s="66"/>
      <c r="BE89" s="178"/>
      <c r="BF89" s="66" t="s">
        <v>1278</v>
      </c>
    </row>
    <row r="90" spans="1:58" ht="42">
      <c r="A90" s="66" t="s">
        <v>1543</v>
      </c>
      <c r="B90" s="66" t="s">
        <v>1639</v>
      </c>
      <c r="C90" s="66"/>
      <c r="D90" s="66"/>
      <c r="E90" s="66" t="s">
        <v>1640</v>
      </c>
      <c r="F90" s="66" t="s">
        <v>1641</v>
      </c>
      <c r="G90" s="66" t="s">
        <v>1275</v>
      </c>
      <c r="H90" s="66" t="s">
        <v>1262</v>
      </c>
      <c r="I90" s="66" t="s">
        <v>1642</v>
      </c>
      <c r="J90" s="66" t="s">
        <v>1263</v>
      </c>
      <c r="K90" s="66" t="s">
        <v>1277</v>
      </c>
      <c r="L90" s="66" t="s">
        <v>1215</v>
      </c>
      <c r="M90" s="66" t="s">
        <v>1277</v>
      </c>
      <c r="N90" s="66" t="s">
        <v>1215</v>
      </c>
      <c r="O90" s="66" t="s">
        <v>1277</v>
      </c>
      <c r="P90" s="66" t="s">
        <v>1215</v>
      </c>
      <c r="Q90" s="86" t="s">
        <v>1215</v>
      </c>
      <c r="R90" s="86" t="s">
        <v>1215</v>
      </c>
      <c r="S90" s="86" t="s">
        <v>1215</v>
      </c>
      <c r="T90" s="86" t="s">
        <v>1215</v>
      </c>
      <c r="U90" s="86" t="s">
        <v>1215</v>
      </c>
      <c r="V90" s="86" t="s">
        <v>1215</v>
      </c>
      <c r="W90" s="67"/>
      <c r="X90" s="84" t="str">
        <f t="shared" si="11"/>
        <v>Belum Dinilai</v>
      </c>
      <c r="Y90" s="84" t="str">
        <f t="shared" si="12"/>
        <v>Belum Dinilai</v>
      </c>
      <c r="Z90" s="85" t="str">
        <f t="shared" si="13"/>
        <v/>
      </c>
      <c r="AA90" s="85" t="str">
        <f t="shared" si="14"/>
        <v/>
      </c>
      <c r="AB90" s="85" t="str">
        <f t="shared" si="15"/>
        <v/>
      </c>
      <c r="AC90" s="68" t="s">
        <v>1215</v>
      </c>
      <c r="AD90" s="68" t="s">
        <v>1215</v>
      </c>
      <c r="AE90" s="68" t="s">
        <v>1215</v>
      </c>
      <c r="AF90" s="68" t="s">
        <v>1215</v>
      </c>
      <c r="AG90" s="68" t="s">
        <v>1215</v>
      </c>
      <c r="AH90" s="68" t="s">
        <v>1215</v>
      </c>
      <c r="AI90" s="68" t="s">
        <v>1215</v>
      </c>
      <c r="AJ90" s="68" t="s">
        <v>1215</v>
      </c>
      <c r="AK90" s="68" t="s">
        <v>1215</v>
      </c>
      <c r="AL90" s="68"/>
      <c r="AM90" s="68" t="s">
        <v>1215</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1189</v>
      </c>
      <c r="AV90" s="66" t="s">
        <v>1204</v>
      </c>
      <c r="AW90" s="66" t="s">
        <v>1190</v>
      </c>
      <c r="AX90" s="66"/>
      <c r="AY90" s="66"/>
      <c r="AZ90" s="66" t="s">
        <v>1218</v>
      </c>
      <c r="BA90" s="66"/>
      <c r="BB90" s="178"/>
      <c r="BC90" s="72">
        <v>2026</v>
      </c>
      <c r="BD90" s="66"/>
      <c r="BE90" s="178"/>
      <c r="BF90" s="66" t="s">
        <v>1278</v>
      </c>
    </row>
    <row r="91" spans="1:58" ht="42">
      <c r="A91" s="66" t="s">
        <v>1954</v>
      </c>
      <c r="B91" s="66" t="s">
        <v>1644</v>
      </c>
      <c r="C91" s="66"/>
      <c r="D91" s="66"/>
      <c r="E91" s="66" t="s">
        <v>1640</v>
      </c>
      <c r="F91" s="66" t="s">
        <v>1641</v>
      </c>
      <c r="G91" s="66" t="s">
        <v>1275</v>
      </c>
      <c r="H91" s="66" t="s">
        <v>1262</v>
      </c>
      <c r="I91" s="66" t="s">
        <v>1645</v>
      </c>
      <c r="J91" s="66" t="s">
        <v>1263</v>
      </c>
      <c r="K91" s="66" t="s">
        <v>1277</v>
      </c>
      <c r="L91" s="66" t="s">
        <v>1215</v>
      </c>
      <c r="M91" s="66" t="s">
        <v>1277</v>
      </c>
      <c r="N91" s="66" t="s">
        <v>1215</v>
      </c>
      <c r="O91" s="66" t="s">
        <v>1277</v>
      </c>
      <c r="P91" s="66" t="s">
        <v>1215</v>
      </c>
      <c r="Q91" s="86" t="s">
        <v>1215</v>
      </c>
      <c r="R91" s="86" t="s">
        <v>1215</v>
      </c>
      <c r="S91" s="86" t="s">
        <v>1215</v>
      </c>
      <c r="T91" s="86" t="s">
        <v>1215</v>
      </c>
      <c r="U91" s="86" t="s">
        <v>1215</v>
      </c>
      <c r="V91" s="86" t="s">
        <v>1215</v>
      </c>
      <c r="W91" s="67"/>
      <c r="X91" s="84" t="str">
        <f t="shared" si="11"/>
        <v>Belum Dinilai</v>
      </c>
      <c r="Y91" s="84" t="str">
        <f t="shared" si="12"/>
        <v>Belum Dinilai</v>
      </c>
      <c r="Z91" s="85" t="str">
        <f t="shared" si="13"/>
        <v/>
      </c>
      <c r="AA91" s="85" t="str">
        <f t="shared" si="14"/>
        <v/>
      </c>
      <c r="AB91" s="85" t="str">
        <f t="shared" si="15"/>
        <v/>
      </c>
      <c r="AC91" s="68" t="s">
        <v>1215</v>
      </c>
      <c r="AD91" s="68" t="s">
        <v>1215</v>
      </c>
      <c r="AE91" s="68" t="s">
        <v>1215</v>
      </c>
      <c r="AF91" s="68" t="s">
        <v>1215</v>
      </c>
      <c r="AG91" s="68" t="s">
        <v>1215</v>
      </c>
      <c r="AH91" s="68" t="s">
        <v>1215</v>
      </c>
      <c r="AI91" s="68" t="s">
        <v>1215</v>
      </c>
      <c r="AJ91" s="68" t="s">
        <v>1215</v>
      </c>
      <c r="AK91" s="68" t="s">
        <v>1215</v>
      </c>
      <c r="AL91" s="68"/>
      <c r="AM91" s="68" t="s">
        <v>1215</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1189</v>
      </c>
      <c r="AV91" s="66" t="s">
        <v>1204</v>
      </c>
      <c r="AW91" s="66" t="s">
        <v>1190</v>
      </c>
      <c r="AX91" s="66"/>
      <c r="AY91" s="66"/>
      <c r="AZ91" s="66" t="s">
        <v>927</v>
      </c>
      <c r="BA91" s="66"/>
      <c r="BB91" s="178"/>
      <c r="BC91" s="72">
        <v>2026</v>
      </c>
      <c r="BD91" s="66"/>
      <c r="BE91" s="178"/>
      <c r="BF91" s="66" t="s">
        <v>1278</v>
      </c>
    </row>
    <row r="92" spans="1:58" ht="28">
      <c r="A92" s="66" t="s">
        <v>1955</v>
      </c>
      <c r="B92" s="66" t="s">
        <v>1647</v>
      </c>
      <c r="C92" s="66"/>
      <c r="D92" s="66"/>
      <c r="E92" s="66" t="s">
        <v>1304</v>
      </c>
      <c r="F92" s="66" t="s">
        <v>1319</v>
      </c>
      <c r="G92" s="66" t="s">
        <v>1289</v>
      </c>
      <c r="H92" s="66" t="s">
        <v>1262</v>
      </c>
      <c r="I92" s="66" t="s">
        <v>1648</v>
      </c>
      <c r="J92" s="66" t="s">
        <v>1263</v>
      </c>
      <c r="K92" s="66" t="s">
        <v>1277</v>
      </c>
      <c r="L92" s="66" t="s">
        <v>1215</v>
      </c>
      <c r="M92" s="66" t="s">
        <v>1277</v>
      </c>
      <c r="N92" s="66" t="s">
        <v>1215</v>
      </c>
      <c r="O92" s="66" t="s">
        <v>1277</v>
      </c>
      <c r="P92" s="66" t="s">
        <v>1215</v>
      </c>
      <c r="Q92" s="86" t="s">
        <v>1215</v>
      </c>
      <c r="R92" s="86" t="s">
        <v>1215</v>
      </c>
      <c r="S92" s="86" t="s">
        <v>1215</v>
      </c>
      <c r="T92" s="86" t="s">
        <v>1215</v>
      </c>
      <c r="U92" s="86" t="s">
        <v>1215</v>
      </c>
      <c r="V92" s="86" t="s">
        <v>1215</v>
      </c>
      <c r="W92" s="67"/>
      <c r="X92" s="84" t="str">
        <f t="shared" si="11"/>
        <v>Belum Dinilai</v>
      </c>
      <c r="Y92" s="84" t="str">
        <f t="shared" si="12"/>
        <v>Belum Dinilai</v>
      </c>
      <c r="Z92" s="85" t="str">
        <f t="shared" si="13"/>
        <v/>
      </c>
      <c r="AA92" s="85" t="str">
        <f t="shared" si="14"/>
        <v/>
      </c>
      <c r="AB92" s="85" t="str">
        <f t="shared" si="15"/>
        <v/>
      </c>
      <c r="AC92" s="68" t="s">
        <v>1215</v>
      </c>
      <c r="AD92" s="68" t="s">
        <v>1215</v>
      </c>
      <c r="AE92" s="68" t="s">
        <v>1215</v>
      </c>
      <c r="AF92" s="68" t="s">
        <v>1215</v>
      </c>
      <c r="AG92" s="68" t="s">
        <v>1215</v>
      </c>
      <c r="AH92" s="68" t="s">
        <v>1215</v>
      </c>
      <c r="AI92" s="68" t="s">
        <v>1215</v>
      </c>
      <c r="AJ92" s="68" t="s">
        <v>1215</v>
      </c>
      <c r="AK92" s="68" t="s">
        <v>1215</v>
      </c>
      <c r="AL92" s="68"/>
      <c r="AM92" s="68" t="s">
        <v>1215</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1189</v>
      </c>
      <c r="AV92" s="66" t="s">
        <v>1204</v>
      </c>
      <c r="AW92" s="66" t="s">
        <v>1190</v>
      </c>
      <c r="AX92" s="66"/>
      <c r="AY92" s="66"/>
      <c r="AZ92" s="66" t="s">
        <v>927</v>
      </c>
      <c r="BA92" s="66"/>
      <c r="BB92" s="178"/>
      <c r="BC92" s="72">
        <v>2026</v>
      </c>
      <c r="BD92" s="66"/>
      <c r="BE92" s="178"/>
      <c r="BF92" s="66" t="s">
        <v>1278</v>
      </c>
    </row>
    <row r="93" spans="1:58" ht="28">
      <c r="A93" s="66" t="s">
        <v>1545</v>
      </c>
      <c r="B93" s="66" t="s">
        <v>1650</v>
      </c>
      <c r="C93" s="66"/>
      <c r="D93" s="66"/>
      <c r="E93" s="66" t="s">
        <v>1651</v>
      </c>
      <c r="F93" s="66" t="s">
        <v>1474</v>
      </c>
      <c r="G93" s="66" t="s">
        <v>1310</v>
      </c>
      <c r="H93" s="66" t="s">
        <v>1262</v>
      </c>
      <c r="I93" s="66" t="s">
        <v>1652</v>
      </c>
      <c r="J93" s="66" t="s">
        <v>1263</v>
      </c>
      <c r="K93" s="66" t="s">
        <v>1277</v>
      </c>
      <c r="L93" s="66" t="s">
        <v>1215</v>
      </c>
      <c r="M93" s="66" t="s">
        <v>1277</v>
      </c>
      <c r="N93" s="66" t="s">
        <v>1215</v>
      </c>
      <c r="O93" s="66" t="s">
        <v>1277</v>
      </c>
      <c r="P93" s="66" t="s">
        <v>1215</v>
      </c>
      <c r="Q93" s="86" t="s">
        <v>1215</v>
      </c>
      <c r="R93" s="86" t="s">
        <v>1215</v>
      </c>
      <c r="S93" s="86" t="s">
        <v>1215</v>
      </c>
      <c r="T93" s="86" t="s">
        <v>1215</v>
      </c>
      <c r="U93" s="86" t="s">
        <v>1215</v>
      </c>
      <c r="V93" s="86" t="s">
        <v>1215</v>
      </c>
      <c r="W93" s="67"/>
      <c r="X93" s="84" t="str">
        <f t="shared" si="11"/>
        <v>Belum Dinilai</v>
      </c>
      <c r="Y93" s="84" t="str">
        <f t="shared" si="12"/>
        <v>Belum Dinilai</v>
      </c>
      <c r="Z93" s="85" t="str">
        <f t="shared" si="13"/>
        <v/>
      </c>
      <c r="AA93" s="85" t="str">
        <f t="shared" si="14"/>
        <v/>
      </c>
      <c r="AB93" s="85" t="str">
        <f t="shared" si="15"/>
        <v/>
      </c>
      <c r="AC93" s="68" t="s">
        <v>1215</v>
      </c>
      <c r="AD93" s="68" t="s">
        <v>1215</v>
      </c>
      <c r="AE93" s="68" t="s">
        <v>1215</v>
      </c>
      <c r="AF93" s="68" t="s">
        <v>1215</v>
      </c>
      <c r="AG93" s="68" t="s">
        <v>1215</v>
      </c>
      <c r="AH93" s="68" t="s">
        <v>1215</v>
      </c>
      <c r="AI93" s="68" t="s">
        <v>1215</v>
      </c>
      <c r="AJ93" s="68" t="s">
        <v>1215</v>
      </c>
      <c r="AK93" s="68" t="s">
        <v>1215</v>
      </c>
      <c r="AL93" s="68"/>
      <c r="AM93" s="68" t="s">
        <v>1215</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1189</v>
      </c>
      <c r="AV93" s="66" t="s">
        <v>1204</v>
      </c>
      <c r="AW93" s="66" t="s">
        <v>1190</v>
      </c>
      <c r="AX93" s="66"/>
      <c r="AY93" s="66"/>
      <c r="AZ93" s="66" t="s">
        <v>1218</v>
      </c>
      <c r="BA93" s="66"/>
      <c r="BB93" s="178"/>
      <c r="BC93" s="72">
        <v>2026</v>
      </c>
      <c r="BD93" s="66"/>
      <c r="BE93" s="178"/>
      <c r="BF93" s="66" t="s">
        <v>1278</v>
      </c>
    </row>
    <row r="94" spans="1:58" ht="42">
      <c r="A94" s="66" t="s">
        <v>1549</v>
      </c>
      <c r="B94" s="66" t="s">
        <v>1654</v>
      </c>
      <c r="C94" s="66"/>
      <c r="D94" s="66"/>
      <c r="E94" s="66" t="s">
        <v>1304</v>
      </c>
      <c r="F94" s="66" t="s">
        <v>1474</v>
      </c>
      <c r="G94" s="66" t="s">
        <v>1310</v>
      </c>
      <c r="H94" s="66" t="s">
        <v>1262</v>
      </c>
      <c r="I94" s="66" t="s">
        <v>1655</v>
      </c>
      <c r="J94" s="66" t="s">
        <v>1210</v>
      </c>
      <c r="K94" s="66" t="s">
        <v>1277</v>
      </c>
      <c r="L94" s="66" t="s">
        <v>895</v>
      </c>
      <c r="M94" s="66" t="s">
        <v>1266</v>
      </c>
      <c r="N94" s="66" t="s">
        <v>895</v>
      </c>
      <c r="O94" s="66" t="s">
        <v>1213</v>
      </c>
      <c r="P94" s="66" t="s">
        <v>895</v>
      </c>
      <c r="Q94" s="86" t="s">
        <v>1215</v>
      </c>
      <c r="R94" s="86" t="s">
        <v>1215</v>
      </c>
      <c r="S94" s="86" t="s">
        <v>1215</v>
      </c>
      <c r="T94" s="86" t="s">
        <v>1215</v>
      </c>
      <c r="U94" s="86" t="s">
        <v>1215</v>
      </c>
      <c r="V94" s="86" t="s">
        <v>1215</v>
      </c>
      <c r="W94" s="67"/>
      <c r="X94" s="84" t="str">
        <f t="shared" si="11"/>
        <v>Belum Dinilai</v>
      </c>
      <c r="Y94" s="84" t="str">
        <f t="shared" si="12"/>
        <v>Belum Dinilai</v>
      </c>
      <c r="Z94" s="85" t="str">
        <f t="shared" si="13"/>
        <v/>
      </c>
      <c r="AA94" s="85" t="str">
        <f t="shared" si="14"/>
        <v/>
      </c>
      <c r="AB94" s="85" t="str">
        <f t="shared" si="15"/>
        <v/>
      </c>
      <c r="AC94" s="68" t="s">
        <v>1215</v>
      </c>
      <c r="AD94" s="68" t="s">
        <v>1215</v>
      </c>
      <c r="AE94" s="68" t="s">
        <v>1215</v>
      </c>
      <c r="AF94" s="68" t="s">
        <v>1215</v>
      </c>
      <c r="AG94" s="68" t="s">
        <v>1215</v>
      </c>
      <c r="AH94" s="68" t="s">
        <v>1215</v>
      </c>
      <c r="AI94" s="68" t="s">
        <v>1215</v>
      </c>
      <c r="AJ94" s="68" t="s">
        <v>1215</v>
      </c>
      <c r="AK94" s="68" t="s">
        <v>1215</v>
      </c>
      <c r="AL94" s="68"/>
      <c r="AM94" s="68" t="s">
        <v>1215</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1189</v>
      </c>
      <c r="AV94" s="66" t="s">
        <v>1204</v>
      </c>
      <c r="AW94" s="66" t="s">
        <v>1190</v>
      </c>
      <c r="AX94" s="66"/>
      <c r="AY94" s="66"/>
      <c r="AZ94" s="66" t="s">
        <v>1207</v>
      </c>
      <c r="BA94" s="66"/>
      <c r="BB94" s="178"/>
      <c r="BC94" s="72">
        <v>2026</v>
      </c>
      <c r="BD94" s="66"/>
      <c r="BE94" s="178"/>
      <c r="BF94" s="66" t="s">
        <v>1278</v>
      </c>
    </row>
    <row r="95" spans="1:58" ht="28">
      <c r="A95" s="66" t="s">
        <v>1553</v>
      </c>
      <c r="B95" s="66" t="s">
        <v>1657</v>
      </c>
      <c r="C95" s="66"/>
      <c r="D95" s="66"/>
      <c r="E95" s="66" t="s">
        <v>1658</v>
      </c>
      <c r="F95" s="66" t="s">
        <v>1474</v>
      </c>
      <c r="G95" s="66" t="s">
        <v>1310</v>
      </c>
      <c r="H95" s="66" t="s">
        <v>1181</v>
      </c>
      <c r="I95" s="66" t="s">
        <v>1659</v>
      </c>
      <c r="J95" s="66" t="s">
        <v>1210</v>
      </c>
      <c r="K95" s="66" t="s">
        <v>1277</v>
      </c>
      <c r="L95" s="66" t="s">
        <v>1215</v>
      </c>
      <c r="M95" s="66" t="s">
        <v>1266</v>
      </c>
      <c r="N95" s="66" t="s">
        <v>1215</v>
      </c>
      <c r="O95" s="66" t="s">
        <v>1213</v>
      </c>
      <c r="P95" s="66" t="s">
        <v>1215</v>
      </c>
      <c r="Q95" s="86" t="s">
        <v>1215</v>
      </c>
      <c r="R95" s="86" t="s">
        <v>1215</v>
      </c>
      <c r="S95" s="86" t="s">
        <v>1215</v>
      </c>
      <c r="T95" s="86" t="s">
        <v>1215</v>
      </c>
      <c r="U95" s="86" t="s">
        <v>1215</v>
      </c>
      <c r="V95" s="86" t="s">
        <v>1215</v>
      </c>
      <c r="W95" s="67"/>
      <c r="X95" s="84" t="str">
        <f t="shared" si="11"/>
        <v>Belum Dinilai</v>
      </c>
      <c r="Y95" s="84" t="str">
        <f t="shared" si="12"/>
        <v>Belum Dinilai</v>
      </c>
      <c r="Z95" s="85" t="str">
        <f t="shared" si="13"/>
        <v/>
      </c>
      <c r="AA95" s="85" t="str">
        <f t="shared" si="14"/>
        <v/>
      </c>
      <c r="AB95" s="85" t="str">
        <f t="shared" si="15"/>
        <v/>
      </c>
      <c r="AC95" s="68" t="s">
        <v>1215</v>
      </c>
      <c r="AD95" s="68" t="s">
        <v>1215</v>
      </c>
      <c r="AE95" s="68" t="s">
        <v>1215</v>
      </c>
      <c r="AF95" s="68" t="s">
        <v>1215</v>
      </c>
      <c r="AG95" s="68" t="s">
        <v>1215</v>
      </c>
      <c r="AH95" s="68" t="s">
        <v>1215</v>
      </c>
      <c r="AI95" s="68" t="s">
        <v>1215</v>
      </c>
      <c r="AJ95" s="68" t="s">
        <v>1215</v>
      </c>
      <c r="AK95" s="68" t="s">
        <v>1215</v>
      </c>
      <c r="AL95" s="68"/>
      <c r="AM95" s="68" t="s">
        <v>1215</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1203</v>
      </c>
      <c r="AV95" s="66" t="s">
        <v>1204</v>
      </c>
      <c r="AW95" s="66" t="s">
        <v>1898</v>
      </c>
      <c r="AX95" s="66" t="s">
        <v>1217</v>
      </c>
      <c r="AY95" s="66">
        <v>2023</v>
      </c>
      <c r="AZ95" s="66" t="s">
        <v>927</v>
      </c>
      <c r="BA95" s="66"/>
      <c r="BB95" s="178"/>
      <c r="BC95" s="72">
        <v>2026</v>
      </c>
      <c r="BD95" s="66"/>
      <c r="BE95" s="178"/>
      <c r="BF95" s="66" t="s">
        <v>1278</v>
      </c>
    </row>
    <row r="96" spans="1:58" ht="28">
      <c r="A96" s="66" t="s">
        <v>1558</v>
      </c>
      <c r="B96" s="66" t="s">
        <v>1661</v>
      </c>
      <c r="C96" s="66"/>
      <c r="D96" s="66"/>
      <c r="E96" s="66" t="s">
        <v>1304</v>
      </c>
      <c r="F96" s="66" t="s">
        <v>1474</v>
      </c>
      <c r="G96" s="66" t="s">
        <v>1310</v>
      </c>
      <c r="H96" s="66" t="s">
        <v>1181</v>
      </c>
      <c r="I96" s="66" t="s">
        <v>1662</v>
      </c>
      <c r="J96" s="66" t="s">
        <v>1210</v>
      </c>
      <c r="K96" s="66" t="s">
        <v>1277</v>
      </c>
      <c r="L96" s="66" t="s">
        <v>895</v>
      </c>
      <c r="M96" s="66" t="s">
        <v>1266</v>
      </c>
      <c r="N96" s="66" t="s">
        <v>895</v>
      </c>
      <c r="O96" s="66" t="s">
        <v>1213</v>
      </c>
      <c r="P96" s="66" t="s">
        <v>895</v>
      </c>
      <c r="Q96" s="86" t="s">
        <v>1215</v>
      </c>
      <c r="R96" s="86" t="s">
        <v>1215</v>
      </c>
      <c r="S96" s="86" t="s">
        <v>1215</v>
      </c>
      <c r="T96" s="86" t="s">
        <v>1215</v>
      </c>
      <c r="U96" s="86" t="s">
        <v>1215</v>
      </c>
      <c r="V96" s="86" t="s">
        <v>1215</v>
      </c>
      <c r="W96" s="67"/>
      <c r="X96" s="84" t="str">
        <f t="shared" si="11"/>
        <v>Belum Dinilai</v>
      </c>
      <c r="Y96" s="84" t="str">
        <f t="shared" si="12"/>
        <v>Belum Dinilai</v>
      </c>
      <c r="Z96" s="85" t="str">
        <f t="shared" si="13"/>
        <v/>
      </c>
      <c r="AA96" s="85" t="str">
        <f t="shared" si="14"/>
        <v/>
      </c>
      <c r="AB96" s="85" t="str">
        <f t="shared" si="15"/>
        <v/>
      </c>
      <c r="AC96" s="68" t="s">
        <v>1215</v>
      </c>
      <c r="AD96" s="68" t="s">
        <v>1215</v>
      </c>
      <c r="AE96" s="68" t="s">
        <v>1215</v>
      </c>
      <c r="AF96" s="68" t="s">
        <v>1215</v>
      </c>
      <c r="AG96" s="68" t="s">
        <v>1215</v>
      </c>
      <c r="AH96" s="68" t="s">
        <v>1215</v>
      </c>
      <c r="AI96" s="68" t="s">
        <v>1215</v>
      </c>
      <c r="AJ96" s="68" t="s">
        <v>1215</v>
      </c>
      <c r="AK96" s="68" t="s">
        <v>1215</v>
      </c>
      <c r="AL96" s="68"/>
      <c r="AM96" s="68" t="s">
        <v>1215</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1203</v>
      </c>
      <c r="AV96" s="66" t="s">
        <v>1204</v>
      </c>
      <c r="AW96" s="66" t="s">
        <v>1190</v>
      </c>
      <c r="AX96" s="66"/>
      <c r="AY96" s="66"/>
      <c r="AZ96" s="66" t="s">
        <v>927</v>
      </c>
      <c r="BA96" s="66"/>
      <c r="BB96" s="178"/>
      <c r="BC96" s="72">
        <v>2026</v>
      </c>
      <c r="BD96" s="66"/>
      <c r="BE96" s="178"/>
      <c r="BF96" s="66" t="s">
        <v>1278</v>
      </c>
    </row>
    <row r="97" spans="1:58" ht="28">
      <c r="A97" s="66" t="s">
        <v>1562</v>
      </c>
      <c r="B97" s="66" t="s">
        <v>1568</v>
      </c>
      <c r="C97" s="66"/>
      <c r="D97" s="66"/>
      <c r="E97" s="66" t="s">
        <v>1664</v>
      </c>
      <c r="F97" s="66" t="s">
        <v>1356</v>
      </c>
      <c r="G97" s="66" t="s">
        <v>1289</v>
      </c>
      <c r="H97" s="66" t="s">
        <v>1195</v>
      </c>
      <c r="I97" s="66" t="s">
        <v>1665</v>
      </c>
      <c r="J97" s="66" t="s">
        <v>1182</v>
      </c>
      <c r="K97" s="66" t="s">
        <v>1277</v>
      </c>
      <c r="L97" s="66" t="s">
        <v>1215</v>
      </c>
      <c r="M97" s="66" t="s">
        <v>1212</v>
      </c>
      <c r="N97" s="66" t="s">
        <v>1215</v>
      </c>
      <c r="O97" s="66" t="s">
        <v>1213</v>
      </c>
      <c r="P97" s="66" t="s">
        <v>1215</v>
      </c>
      <c r="Q97" s="86" t="s">
        <v>1215</v>
      </c>
      <c r="R97" s="86" t="s">
        <v>1215</v>
      </c>
      <c r="S97" s="86" t="s">
        <v>1215</v>
      </c>
      <c r="T97" s="86" t="s">
        <v>1215</v>
      </c>
      <c r="U97" s="86" t="s">
        <v>1215</v>
      </c>
      <c r="V97" s="86" t="s">
        <v>1215</v>
      </c>
      <c r="W97" s="67"/>
      <c r="X97" s="84" t="str">
        <f t="shared" si="11"/>
        <v>Belum Dinilai</v>
      </c>
      <c r="Y97" s="84" t="str">
        <f t="shared" si="12"/>
        <v>Belum Dinilai</v>
      </c>
      <c r="Z97" s="85" t="str">
        <f t="shared" si="13"/>
        <v/>
      </c>
      <c r="AA97" s="85" t="str">
        <f t="shared" si="14"/>
        <v/>
      </c>
      <c r="AB97" s="85" t="str">
        <f t="shared" si="15"/>
        <v/>
      </c>
      <c r="AC97" s="68" t="s">
        <v>1215</v>
      </c>
      <c r="AD97" s="68" t="s">
        <v>1215</v>
      </c>
      <c r="AE97" s="68" t="s">
        <v>1215</v>
      </c>
      <c r="AF97" s="68" t="s">
        <v>1215</v>
      </c>
      <c r="AG97" s="68" t="s">
        <v>1215</v>
      </c>
      <c r="AH97" s="68" t="s">
        <v>1215</v>
      </c>
      <c r="AI97" s="68" t="s">
        <v>1215</v>
      </c>
      <c r="AJ97" s="68" t="s">
        <v>1215</v>
      </c>
      <c r="AK97" s="68" t="s">
        <v>1215</v>
      </c>
      <c r="AL97" s="68"/>
      <c r="AM97" s="68" t="s">
        <v>1215</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1189</v>
      </c>
      <c r="AV97" s="66" t="s">
        <v>1204</v>
      </c>
      <c r="AW97" s="66" t="s">
        <v>1898</v>
      </c>
      <c r="AX97" s="66" t="s">
        <v>1206</v>
      </c>
      <c r="AY97" s="66">
        <v>2021</v>
      </c>
      <c r="AZ97" s="66" t="s">
        <v>927</v>
      </c>
      <c r="BA97" s="66"/>
      <c r="BB97" s="178"/>
      <c r="BC97" s="72">
        <v>2026</v>
      </c>
      <c r="BD97" s="66"/>
      <c r="BE97" s="178"/>
      <c r="BF97" s="66" t="s">
        <v>1278</v>
      </c>
    </row>
    <row r="98" spans="1:58" ht="28">
      <c r="A98" s="66" t="s">
        <v>1567</v>
      </c>
      <c r="B98" s="66" t="s">
        <v>1667</v>
      </c>
      <c r="C98" s="66"/>
      <c r="D98" s="66"/>
      <c r="E98" s="66" t="s">
        <v>1668</v>
      </c>
      <c r="F98" s="66" t="s">
        <v>1356</v>
      </c>
      <c r="G98" s="66" t="s">
        <v>1289</v>
      </c>
      <c r="H98" s="66" t="s">
        <v>1262</v>
      </c>
      <c r="I98" s="66" t="s">
        <v>1669</v>
      </c>
      <c r="J98" s="66" t="s">
        <v>1210</v>
      </c>
      <c r="K98" s="66" t="s">
        <v>1277</v>
      </c>
      <c r="L98" s="66" t="s">
        <v>1215</v>
      </c>
      <c r="M98" s="66" t="s">
        <v>1266</v>
      </c>
      <c r="N98" s="66" t="s">
        <v>1215</v>
      </c>
      <c r="O98" s="66" t="s">
        <v>1277</v>
      </c>
      <c r="P98" s="66" t="s">
        <v>1215</v>
      </c>
      <c r="Q98" s="86" t="s">
        <v>1215</v>
      </c>
      <c r="R98" s="86" t="s">
        <v>1215</v>
      </c>
      <c r="S98" s="86" t="s">
        <v>1215</v>
      </c>
      <c r="T98" s="86" t="s">
        <v>1215</v>
      </c>
      <c r="U98" s="86" t="s">
        <v>1215</v>
      </c>
      <c r="V98" s="86" t="s">
        <v>1215</v>
      </c>
      <c r="W98" s="67"/>
      <c r="X98" s="84" t="str">
        <f t="shared" si="11"/>
        <v>Belum Dinilai</v>
      </c>
      <c r="Y98" s="84" t="str">
        <f t="shared" si="12"/>
        <v>Belum Dinilai</v>
      </c>
      <c r="Z98" s="85" t="str">
        <f t="shared" si="13"/>
        <v/>
      </c>
      <c r="AA98" s="85" t="str">
        <f t="shared" si="14"/>
        <v/>
      </c>
      <c r="AB98" s="85" t="str">
        <f t="shared" si="15"/>
        <v/>
      </c>
      <c r="AC98" s="68" t="s">
        <v>1215</v>
      </c>
      <c r="AD98" s="68" t="s">
        <v>1215</v>
      </c>
      <c r="AE98" s="68" t="s">
        <v>1215</v>
      </c>
      <c r="AF98" s="68" t="s">
        <v>1215</v>
      </c>
      <c r="AG98" s="68" t="s">
        <v>1215</v>
      </c>
      <c r="AH98" s="68" t="s">
        <v>1215</v>
      </c>
      <c r="AI98" s="68" t="s">
        <v>1215</v>
      </c>
      <c r="AJ98" s="68" t="s">
        <v>1215</v>
      </c>
      <c r="AK98" s="68" t="s">
        <v>1215</v>
      </c>
      <c r="AL98" s="68"/>
      <c r="AM98" s="68" t="s">
        <v>1215</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1203</v>
      </c>
      <c r="AV98" s="66" t="s">
        <v>1204</v>
      </c>
      <c r="AW98" s="66" t="s">
        <v>1190</v>
      </c>
      <c r="AX98" s="66"/>
      <c r="AY98" s="66"/>
      <c r="AZ98" s="66" t="s">
        <v>927</v>
      </c>
      <c r="BA98" s="66"/>
      <c r="BB98" s="178"/>
      <c r="BC98" s="72">
        <v>2026</v>
      </c>
      <c r="BD98" s="66"/>
      <c r="BE98" s="178"/>
      <c r="BF98" s="66" t="s">
        <v>1278</v>
      </c>
    </row>
    <row r="99" spans="1:58" ht="28">
      <c r="A99" s="66" t="s">
        <v>1571</v>
      </c>
      <c r="B99" s="66" t="s">
        <v>1671</v>
      </c>
      <c r="C99" s="66"/>
      <c r="D99" s="66"/>
      <c r="E99" s="66" t="s">
        <v>1664</v>
      </c>
      <c r="F99" s="66" t="s">
        <v>1356</v>
      </c>
      <c r="G99" s="66" t="s">
        <v>1289</v>
      </c>
      <c r="H99" s="66" t="s">
        <v>1181</v>
      </c>
      <c r="I99" s="66" t="s">
        <v>1672</v>
      </c>
      <c r="J99" s="66" t="s">
        <v>1182</v>
      </c>
      <c r="K99" s="66" t="s">
        <v>1277</v>
      </c>
      <c r="L99" s="66" t="s">
        <v>1215</v>
      </c>
      <c r="M99" s="66" t="s">
        <v>1212</v>
      </c>
      <c r="N99" s="66" t="s">
        <v>1215</v>
      </c>
      <c r="O99" s="66" t="s">
        <v>1277</v>
      </c>
      <c r="P99" s="66" t="s">
        <v>1215</v>
      </c>
      <c r="Q99" s="86" t="s">
        <v>1215</v>
      </c>
      <c r="R99" s="86" t="s">
        <v>1215</v>
      </c>
      <c r="S99" s="86" t="s">
        <v>1215</v>
      </c>
      <c r="T99" s="86" t="s">
        <v>1215</v>
      </c>
      <c r="U99" s="86" t="s">
        <v>1215</v>
      </c>
      <c r="V99" s="86" t="s">
        <v>1215</v>
      </c>
      <c r="W99" s="67"/>
      <c r="X99" s="84" t="str">
        <f t="shared" si="11"/>
        <v>Belum Dinilai</v>
      </c>
      <c r="Y99" s="84" t="str">
        <f t="shared" si="12"/>
        <v>Belum Dinilai</v>
      </c>
      <c r="Z99" s="85" t="str">
        <f t="shared" si="13"/>
        <v/>
      </c>
      <c r="AA99" s="85" t="str">
        <f t="shared" si="14"/>
        <v/>
      </c>
      <c r="AB99" s="85" t="str">
        <f t="shared" si="15"/>
        <v/>
      </c>
      <c r="AC99" s="68" t="s">
        <v>1215</v>
      </c>
      <c r="AD99" s="68" t="s">
        <v>1215</v>
      </c>
      <c r="AE99" s="68" t="s">
        <v>1215</v>
      </c>
      <c r="AF99" s="68" t="s">
        <v>1215</v>
      </c>
      <c r="AG99" s="68" t="s">
        <v>1215</v>
      </c>
      <c r="AH99" s="68" t="s">
        <v>1215</v>
      </c>
      <c r="AI99" s="68" t="s">
        <v>1215</v>
      </c>
      <c r="AJ99" s="68" t="s">
        <v>1215</v>
      </c>
      <c r="AK99" s="68" t="s">
        <v>1215</v>
      </c>
      <c r="AL99" s="68"/>
      <c r="AM99" s="68" t="s">
        <v>1215</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1189</v>
      </c>
      <c r="AV99" s="66" t="s">
        <v>1204</v>
      </c>
      <c r="AW99" s="66" t="s">
        <v>1898</v>
      </c>
      <c r="AX99" s="66" t="s">
        <v>1206</v>
      </c>
      <c r="AY99" s="66">
        <v>2021</v>
      </c>
      <c r="AZ99" s="66" t="s">
        <v>927</v>
      </c>
      <c r="BA99" s="66"/>
      <c r="BB99" s="178"/>
      <c r="BC99" s="72">
        <v>2026</v>
      </c>
      <c r="BD99" s="66"/>
      <c r="BE99" s="178"/>
      <c r="BF99" s="66" t="s">
        <v>1278</v>
      </c>
    </row>
    <row r="100" spans="1:58" ht="28">
      <c r="A100" s="66" t="s">
        <v>1575</v>
      </c>
      <c r="B100" s="66" t="s">
        <v>1674</v>
      </c>
      <c r="C100" s="66"/>
      <c r="D100" s="66"/>
      <c r="E100" s="66" t="s">
        <v>1675</v>
      </c>
      <c r="F100" s="66" t="s">
        <v>1356</v>
      </c>
      <c r="G100" s="66" t="s">
        <v>1289</v>
      </c>
      <c r="H100" s="66" t="s">
        <v>1195</v>
      </c>
      <c r="I100" s="66" t="s">
        <v>1669</v>
      </c>
      <c r="J100" s="66" t="s">
        <v>1210</v>
      </c>
      <c r="K100" s="66" t="s">
        <v>1277</v>
      </c>
      <c r="L100" s="66" t="s">
        <v>1215</v>
      </c>
      <c r="M100" s="66" t="s">
        <v>1266</v>
      </c>
      <c r="N100" s="66" t="s">
        <v>1215</v>
      </c>
      <c r="O100" s="66" t="s">
        <v>1277</v>
      </c>
      <c r="P100" s="66" t="s">
        <v>1215</v>
      </c>
      <c r="Q100" s="86" t="s">
        <v>1215</v>
      </c>
      <c r="R100" s="86" t="s">
        <v>1215</v>
      </c>
      <c r="S100" s="86" t="s">
        <v>1215</v>
      </c>
      <c r="T100" s="86" t="s">
        <v>1215</v>
      </c>
      <c r="U100" s="86" t="s">
        <v>1215</v>
      </c>
      <c r="V100" s="86" t="s">
        <v>1215</v>
      </c>
      <c r="W100" s="67"/>
      <c r="X100" s="84" t="str">
        <f t="shared" si="11"/>
        <v>Belum Dinilai</v>
      </c>
      <c r="Y100" s="84" t="str">
        <f t="shared" si="12"/>
        <v>Belum Dinilai</v>
      </c>
      <c r="Z100" s="85" t="str">
        <f t="shared" si="13"/>
        <v/>
      </c>
      <c r="AA100" s="85" t="str">
        <f t="shared" si="14"/>
        <v/>
      </c>
      <c r="AB100" s="85" t="str">
        <f t="shared" si="15"/>
        <v/>
      </c>
      <c r="AC100" s="68" t="s">
        <v>1215</v>
      </c>
      <c r="AD100" s="68" t="s">
        <v>1215</v>
      </c>
      <c r="AE100" s="68" t="s">
        <v>1215</v>
      </c>
      <c r="AF100" s="68" t="s">
        <v>1215</v>
      </c>
      <c r="AG100" s="68" t="s">
        <v>1215</v>
      </c>
      <c r="AH100" s="68" t="s">
        <v>1215</v>
      </c>
      <c r="AI100" s="68" t="s">
        <v>1215</v>
      </c>
      <c r="AJ100" s="68" t="s">
        <v>1215</v>
      </c>
      <c r="AK100" s="68" t="s">
        <v>1215</v>
      </c>
      <c r="AL100" s="68"/>
      <c r="AM100" s="68" t="s">
        <v>1215</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1189</v>
      </c>
      <c r="AV100" s="66" t="s">
        <v>1204</v>
      </c>
      <c r="AW100" s="66" t="s">
        <v>1898</v>
      </c>
      <c r="AX100" s="66" t="s">
        <v>1206</v>
      </c>
      <c r="AY100" s="66">
        <v>2022</v>
      </c>
      <c r="AZ100" s="66" t="s">
        <v>927</v>
      </c>
      <c r="BA100" s="66"/>
      <c r="BB100" s="178"/>
      <c r="BC100" s="72">
        <v>2026</v>
      </c>
      <c r="BD100" s="66"/>
      <c r="BE100" s="178"/>
      <c r="BF100" s="66" t="s">
        <v>1278</v>
      </c>
    </row>
    <row r="101" spans="1:58" ht="28">
      <c r="A101" s="66" t="s">
        <v>1578</v>
      </c>
      <c r="B101" s="66" t="s">
        <v>1677</v>
      </c>
      <c r="C101" s="66"/>
      <c r="D101" s="66"/>
      <c r="E101" s="66" t="s">
        <v>1678</v>
      </c>
      <c r="F101" s="66" t="s">
        <v>1388</v>
      </c>
      <c r="G101" s="66" t="s">
        <v>1289</v>
      </c>
      <c r="H101" s="66" t="s">
        <v>1181</v>
      </c>
      <c r="I101" s="66" t="s">
        <v>1669</v>
      </c>
      <c r="J101" s="66" t="s">
        <v>1210</v>
      </c>
      <c r="K101" s="66" t="s">
        <v>1277</v>
      </c>
      <c r="L101" s="66" t="s">
        <v>1215</v>
      </c>
      <c r="M101" s="66" t="s">
        <v>1266</v>
      </c>
      <c r="N101" s="66" t="s">
        <v>1215</v>
      </c>
      <c r="O101" s="66" t="s">
        <v>1277</v>
      </c>
      <c r="P101" s="66" t="s">
        <v>1215</v>
      </c>
      <c r="Q101" s="86" t="s">
        <v>1215</v>
      </c>
      <c r="R101" s="86" t="s">
        <v>1215</v>
      </c>
      <c r="S101" s="86" t="s">
        <v>1215</v>
      </c>
      <c r="T101" s="86" t="s">
        <v>1215</v>
      </c>
      <c r="U101" s="86" t="s">
        <v>1215</v>
      </c>
      <c r="V101" s="86" t="s">
        <v>1215</v>
      </c>
      <c r="W101" s="67"/>
      <c r="X101" s="84" t="str">
        <f t="shared" si="11"/>
        <v>Belum Dinilai</v>
      </c>
      <c r="Y101" s="84" t="str">
        <f t="shared" si="12"/>
        <v>Belum Dinilai</v>
      </c>
      <c r="Z101" s="85" t="str">
        <f t="shared" si="13"/>
        <v/>
      </c>
      <c r="AA101" s="85" t="str">
        <f t="shared" si="14"/>
        <v/>
      </c>
      <c r="AB101" s="85" t="str">
        <f t="shared" si="15"/>
        <v/>
      </c>
      <c r="AC101" s="68" t="s">
        <v>1215</v>
      </c>
      <c r="AD101" s="68" t="s">
        <v>1215</v>
      </c>
      <c r="AE101" s="68" t="s">
        <v>1215</v>
      </c>
      <c r="AF101" s="68" t="s">
        <v>1215</v>
      </c>
      <c r="AG101" s="68" t="s">
        <v>1215</v>
      </c>
      <c r="AH101" s="68" t="s">
        <v>1215</v>
      </c>
      <c r="AI101" s="68" t="s">
        <v>1215</v>
      </c>
      <c r="AJ101" s="68" t="s">
        <v>1215</v>
      </c>
      <c r="AK101" s="68" t="s">
        <v>1215</v>
      </c>
      <c r="AL101" s="68"/>
      <c r="AM101" s="68" t="s">
        <v>1215</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1189</v>
      </c>
      <c r="AV101" s="66" t="s">
        <v>1204</v>
      </c>
      <c r="AW101" s="66" t="s">
        <v>1898</v>
      </c>
      <c r="AX101" s="66" t="s">
        <v>1206</v>
      </c>
      <c r="AY101" s="66">
        <v>2023</v>
      </c>
      <c r="AZ101" s="66" t="s">
        <v>927</v>
      </c>
      <c r="BA101" s="66"/>
      <c r="BB101" s="178"/>
      <c r="BC101" s="72">
        <v>2026</v>
      </c>
      <c r="BD101" s="66"/>
      <c r="BE101" s="178"/>
      <c r="BF101" s="66" t="s">
        <v>1278</v>
      </c>
    </row>
    <row r="102" spans="1:58" ht="28">
      <c r="A102" s="66" t="s">
        <v>1582</v>
      </c>
      <c r="B102" s="66" t="s">
        <v>1680</v>
      </c>
      <c r="C102" s="66"/>
      <c r="D102" s="66"/>
      <c r="E102" s="66" t="s">
        <v>1681</v>
      </c>
      <c r="F102" s="66" t="s">
        <v>1388</v>
      </c>
      <c r="G102" s="66" t="s">
        <v>1289</v>
      </c>
      <c r="H102" s="66" t="s">
        <v>1195</v>
      </c>
      <c r="I102" s="66" t="s">
        <v>1682</v>
      </c>
      <c r="J102" s="66" t="s">
        <v>1263</v>
      </c>
      <c r="K102" s="66" t="s">
        <v>1277</v>
      </c>
      <c r="L102" s="66" t="s">
        <v>895</v>
      </c>
      <c r="M102" s="66" t="s">
        <v>1277</v>
      </c>
      <c r="N102" s="66" t="s">
        <v>1215</v>
      </c>
      <c r="O102" s="66" t="s">
        <v>1277</v>
      </c>
      <c r="P102" s="66" t="s">
        <v>1215</v>
      </c>
      <c r="Q102" s="86" t="s">
        <v>1215</v>
      </c>
      <c r="R102" s="86" t="s">
        <v>1215</v>
      </c>
      <c r="S102" s="86" t="s">
        <v>1215</v>
      </c>
      <c r="T102" s="86" t="s">
        <v>1215</v>
      </c>
      <c r="U102" s="86" t="s">
        <v>1215</v>
      </c>
      <c r="V102" s="86" t="s">
        <v>1215</v>
      </c>
      <c r="W102" s="67"/>
      <c r="X102" s="84" t="str">
        <f t="shared" si="11"/>
        <v>Belum Dinilai</v>
      </c>
      <c r="Y102" s="84" t="str">
        <f t="shared" si="12"/>
        <v>Belum Dinilai</v>
      </c>
      <c r="Z102" s="85" t="str">
        <f t="shared" si="13"/>
        <v/>
      </c>
      <c r="AA102" s="85" t="str">
        <f t="shared" si="14"/>
        <v/>
      </c>
      <c r="AB102" s="85" t="str">
        <f t="shared" si="15"/>
        <v/>
      </c>
      <c r="AC102" s="68" t="s">
        <v>1215</v>
      </c>
      <c r="AD102" s="68" t="s">
        <v>1215</v>
      </c>
      <c r="AE102" s="68" t="s">
        <v>1215</v>
      </c>
      <c r="AF102" s="68" t="s">
        <v>1215</v>
      </c>
      <c r="AG102" s="68" t="s">
        <v>1215</v>
      </c>
      <c r="AH102" s="68" t="s">
        <v>1215</v>
      </c>
      <c r="AI102" s="68" t="s">
        <v>1215</v>
      </c>
      <c r="AJ102" s="68" t="s">
        <v>1215</v>
      </c>
      <c r="AK102" s="68" t="s">
        <v>1215</v>
      </c>
      <c r="AL102" s="68"/>
      <c r="AM102" s="68" t="s">
        <v>1215</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1203</v>
      </c>
      <c r="AV102" s="66" t="s">
        <v>1204</v>
      </c>
      <c r="AW102" s="66" t="s">
        <v>1190</v>
      </c>
      <c r="AX102" s="66"/>
      <c r="AY102" s="66"/>
      <c r="AZ102" s="66" t="s">
        <v>927</v>
      </c>
      <c r="BA102" s="66"/>
      <c r="BB102" s="178"/>
      <c r="BC102" s="72">
        <v>2026</v>
      </c>
      <c r="BD102" s="66"/>
      <c r="BE102" s="178"/>
      <c r="BF102" s="66" t="s">
        <v>1278</v>
      </c>
    </row>
    <row r="103" spans="1:58" ht="28">
      <c r="A103" s="66" t="s">
        <v>1586</v>
      </c>
      <c r="B103" s="66" t="s">
        <v>1684</v>
      </c>
      <c r="C103" s="66"/>
      <c r="D103" s="66"/>
      <c r="E103" s="66" t="s">
        <v>1304</v>
      </c>
      <c r="F103" s="66" t="s">
        <v>1388</v>
      </c>
      <c r="G103" s="66" t="s">
        <v>1289</v>
      </c>
      <c r="H103" s="66" t="s">
        <v>1262</v>
      </c>
      <c r="I103" s="66" t="s">
        <v>1414</v>
      </c>
      <c r="J103" s="66" t="s">
        <v>1182</v>
      </c>
      <c r="K103" s="66" t="s">
        <v>1277</v>
      </c>
      <c r="L103" s="66" t="s">
        <v>1215</v>
      </c>
      <c r="M103" s="66" t="s">
        <v>1265</v>
      </c>
      <c r="N103" s="66" t="s">
        <v>1215</v>
      </c>
      <c r="O103" s="66" t="s">
        <v>1277</v>
      </c>
      <c r="P103" s="66" t="s">
        <v>1215</v>
      </c>
      <c r="Q103" s="86" t="s">
        <v>1215</v>
      </c>
      <c r="R103" s="86" t="s">
        <v>1215</v>
      </c>
      <c r="S103" s="86" t="s">
        <v>1215</v>
      </c>
      <c r="T103" s="86" t="s">
        <v>1215</v>
      </c>
      <c r="U103" s="86" t="s">
        <v>1215</v>
      </c>
      <c r="V103" s="86" t="s">
        <v>1215</v>
      </c>
      <c r="W103" s="67"/>
      <c r="X103" s="84" t="str">
        <f t="shared" si="11"/>
        <v>Belum Dinilai</v>
      </c>
      <c r="Y103" s="84" t="str">
        <f t="shared" si="12"/>
        <v>Belum Dinilai</v>
      </c>
      <c r="Z103" s="85" t="str">
        <f t="shared" si="13"/>
        <v/>
      </c>
      <c r="AA103" s="85" t="str">
        <f t="shared" si="14"/>
        <v/>
      </c>
      <c r="AB103" s="85" t="str">
        <f t="shared" si="15"/>
        <v/>
      </c>
      <c r="AC103" s="68" t="s">
        <v>1215</v>
      </c>
      <c r="AD103" s="68" t="s">
        <v>1215</v>
      </c>
      <c r="AE103" s="68" t="s">
        <v>1215</v>
      </c>
      <c r="AF103" s="68" t="s">
        <v>1215</v>
      </c>
      <c r="AG103" s="68" t="s">
        <v>1215</v>
      </c>
      <c r="AH103" s="68" t="s">
        <v>1215</v>
      </c>
      <c r="AI103" s="68" t="s">
        <v>1215</v>
      </c>
      <c r="AJ103" s="68" t="s">
        <v>1215</v>
      </c>
      <c r="AK103" s="68" t="s">
        <v>1215</v>
      </c>
      <c r="AL103" s="68"/>
      <c r="AM103" s="68" t="s">
        <v>1215</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1203</v>
      </c>
      <c r="AV103" s="66" t="s">
        <v>1204</v>
      </c>
      <c r="AW103" s="66" t="s">
        <v>1190</v>
      </c>
      <c r="AX103" s="66"/>
      <c r="AY103" s="66"/>
      <c r="AZ103" s="66" t="s">
        <v>927</v>
      </c>
      <c r="BA103" s="66"/>
      <c r="BB103" s="178"/>
      <c r="BC103" s="72">
        <v>2026</v>
      </c>
      <c r="BD103" s="66"/>
      <c r="BE103" s="178"/>
      <c r="BF103" s="66" t="s">
        <v>1278</v>
      </c>
    </row>
    <row r="104" spans="1:58" ht="28">
      <c r="A104" s="66" t="s">
        <v>1590</v>
      </c>
      <c r="B104" s="66" t="s">
        <v>1686</v>
      </c>
      <c r="C104" s="66"/>
      <c r="D104" s="66"/>
      <c r="E104" s="66" t="s">
        <v>1304</v>
      </c>
      <c r="F104" s="66" t="s">
        <v>1315</v>
      </c>
      <c r="G104" s="66" t="s">
        <v>1289</v>
      </c>
      <c r="H104" s="66" t="s">
        <v>1262</v>
      </c>
      <c r="I104" s="66" t="s">
        <v>1687</v>
      </c>
      <c r="J104" s="66" t="s">
        <v>1210</v>
      </c>
      <c r="K104" s="66" t="s">
        <v>1277</v>
      </c>
      <c r="L104" s="66" t="s">
        <v>1215</v>
      </c>
      <c r="M104" s="66" t="s">
        <v>1266</v>
      </c>
      <c r="N104" s="66" t="s">
        <v>1215</v>
      </c>
      <c r="O104" s="66" t="s">
        <v>1281</v>
      </c>
      <c r="P104" s="66" t="s">
        <v>1282</v>
      </c>
      <c r="Q104" s="86" t="s">
        <v>1215</v>
      </c>
      <c r="R104" s="86" t="s">
        <v>1215</v>
      </c>
      <c r="S104" s="86" t="s">
        <v>1215</v>
      </c>
      <c r="T104" s="86" t="s">
        <v>1215</v>
      </c>
      <c r="U104" s="86" t="s">
        <v>1215</v>
      </c>
      <c r="V104" s="86" t="s">
        <v>1215</v>
      </c>
      <c r="W104" s="67"/>
      <c r="X104" s="84" t="str">
        <f t="shared" si="11"/>
        <v>Belum Dinilai</v>
      </c>
      <c r="Y104" s="84" t="str">
        <f t="shared" si="12"/>
        <v>Belum Dinilai</v>
      </c>
      <c r="Z104" s="85" t="str">
        <f t="shared" si="13"/>
        <v/>
      </c>
      <c r="AA104" s="85" t="str">
        <f t="shared" si="14"/>
        <v/>
      </c>
      <c r="AB104" s="85" t="str">
        <f t="shared" si="15"/>
        <v/>
      </c>
      <c r="AC104" s="68" t="s">
        <v>1215</v>
      </c>
      <c r="AD104" s="68" t="s">
        <v>1215</v>
      </c>
      <c r="AE104" s="68" t="s">
        <v>1215</v>
      </c>
      <c r="AF104" s="68" t="s">
        <v>1215</v>
      </c>
      <c r="AG104" s="68" t="s">
        <v>1215</v>
      </c>
      <c r="AH104" s="68" t="s">
        <v>1215</v>
      </c>
      <c r="AI104" s="68" t="s">
        <v>1215</v>
      </c>
      <c r="AJ104" s="68" t="s">
        <v>1215</v>
      </c>
      <c r="AK104" s="68" t="s">
        <v>1215</v>
      </c>
      <c r="AL104" s="68"/>
      <c r="AM104" s="68" t="s">
        <v>1215</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1189</v>
      </c>
      <c r="AV104" s="66" t="s">
        <v>1204</v>
      </c>
      <c r="AW104" s="66" t="s">
        <v>1190</v>
      </c>
      <c r="AX104" s="66"/>
      <c r="AY104" s="66"/>
      <c r="AZ104" s="66" t="s">
        <v>927</v>
      </c>
      <c r="BA104" s="66"/>
      <c r="BB104" s="178"/>
      <c r="BC104" s="72">
        <v>2026</v>
      </c>
      <c r="BD104" s="66"/>
      <c r="BE104" s="178"/>
      <c r="BF104" s="66" t="s">
        <v>1278</v>
      </c>
    </row>
    <row r="105" spans="1:58" ht="28">
      <c r="A105" s="66" t="s">
        <v>1591</v>
      </c>
      <c r="B105" s="66" t="s">
        <v>1686</v>
      </c>
      <c r="C105" s="66"/>
      <c r="D105" s="66"/>
      <c r="E105" s="66" t="s">
        <v>1304</v>
      </c>
      <c r="F105" s="66" t="s">
        <v>1315</v>
      </c>
      <c r="G105" s="66" t="s">
        <v>1289</v>
      </c>
      <c r="H105" s="66" t="s">
        <v>1262</v>
      </c>
      <c r="I105" s="66" t="s">
        <v>1689</v>
      </c>
      <c r="J105" s="66" t="s">
        <v>1263</v>
      </c>
      <c r="K105" s="66" t="s">
        <v>1277</v>
      </c>
      <c r="L105" s="66" t="s">
        <v>1215</v>
      </c>
      <c r="M105" s="66" t="s">
        <v>1277</v>
      </c>
      <c r="N105" s="66" t="s">
        <v>1215</v>
      </c>
      <c r="O105" s="66" t="s">
        <v>1277</v>
      </c>
      <c r="P105" s="66" t="s">
        <v>1215</v>
      </c>
      <c r="Q105" s="86" t="s">
        <v>1215</v>
      </c>
      <c r="R105" s="86" t="s">
        <v>1215</v>
      </c>
      <c r="S105" s="86" t="s">
        <v>1215</v>
      </c>
      <c r="T105" s="86" t="s">
        <v>1215</v>
      </c>
      <c r="U105" s="86" t="s">
        <v>1215</v>
      </c>
      <c r="V105" s="86" t="s">
        <v>1215</v>
      </c>
      <c r="W105" s="67"/>
      <c r="X105" s="84" t="str">
        <f t="shared" si="11"/>
        <v>Belum Dinilai</v>
      </c>
      <c r="Y105" s="84" t="str">
        <f t="shared" si="12"/>
        <v>Belum Dinilai</v>
      </c>
      <c r="Z105" s="85" t="str">
        <f t="shared" si="13"/>
        <v/>
      </c>
      <c r="AA105" s="85" t="str">
        <f t="shared" si="14"/>
        <v/>
      </c>
      <c r="AB105" s="85" t="str">
        <f t="shared" si="15"/>
        <v/>
      </c>
      <c r="AC105" s="68" t="s">
        <v>1215</v>
      </c>
      <c r="AD105" s="68" t="s">
        <v>1215</v>
      </c>
      <c r="AE105" s="68" t="s">
        <v>1215</v>
      </c>
      <c r="AF105" s="68" t="s">
        <v>1215</v>
      </c>
      <c r="AG105" s="68" t="s">
        <v>1215</v>
      </c>
      <c r="AH105" s="68" t="s">
        <v>1215</v>
      </c>
      <c r="AI105" s="68" t="s">
        <v>1215</v>
      </c>
      <c r="AJ105" s="68" t="s">
        <v>1215</v>
      </c>
      <c r="AK105" s="68" t="s">
        <v>1215</v>
      </c>
      <c r="AL105" s="68"/>
      <c r="AM105" s="68" t="s">
        <v>1215</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1203</v>
      </c>
      <c r="AV105" s="66" t="s">
        <v>1204</v>
      </c>
      <c r="AW105" s="66" t="s">
        <v>1190</v>
      </c>
      <c r="AX105" s="66"/>
      <c r="AY105" s="66"/>
      <c r="AZ105" s="66" t="s">
        <v>927</v>
      </c>
      <c r="BA105" s="66"/>
      <c r="BB105" s="178"/>
      <c r="BC105" s="72">
        <v>2026</v>
      </c>
      <c r="BD105" s="66"/>
      <c r="BE105" s="178"/>
      <c r="BF105" s="66" t="s">
        <v>1278</v>
      </c>
    </row>
    <row r="106" spans="1:58" ht="28">
      <c r="A106" s="66" t="s">
        <v>1595</v>
      </c>
      <c r="B106" s="66" t="s">
        <v>1691</v>
      </c>
      <c r="C106" s="66"/>
      <c r="D106" s="66"/>
      <c r="E106" s="66" t="s">
        <v>1692</v>
      </c>
      <c r="F106" s="66" t="s">
        <v>1474</v>
      </c>
      <c r="G106" s="66" t="s">
        <v>1310</v>
      </c>
      <c r="H106" s="66" t="s">
        <v>1195</v>
      </c>
      <c r="I106" s="66" t="s">
        <v>1693</v>
      </c>
      <c r="J106" s="66" t="s">
        <v>1182</v>
      </c>
      <c r="K106" s="66" t="s">
        <v>1277</v>
      </c>
      <c r="L106" s="66" t="s">
        <v>1215</v>
      </c>
      <c r="M106" s="66" t="s">
        <v>1212</v>
      </c>
      <c r="N106" s="66" t="s">
        <v>1215</v>
      </c>
      <c r="O106" s="66" t="s">
        <v>1213</v>
      </c>
      <c r="P106" s="66" t="s">
        <v>1215</v>
      </c>
      <c r="Q106" s="86" t="s">
        <v>1215</v>
      </c>
      <c r="R106" s="86" t="s">
        <v>1215</v>
      </c>
      <c r="S106" s="86" t="s">
        <v>1215</v>
      </c>
      <c r="T106" s="86" t="s">
        <v>1215</v>
      </c>
      <c r="U106" s="86" t="s">
        <v>1215</v>
      </c>
      <c r="V106" s="86" t="s">
        <v>1215</v>
      </c>
      <c r="W106" s="67"/>
      <c r="X106" s="84" t="str">
        <f t="shared" si="11"/>
        <v>Belum Dinilai</v>
      </c>
      <c r="Y106" s="84" t="str">
        <f t="shared" si="12"/>
        <v>Belum Dinilai</v>
      </c>
      <c r="Z106" s="85" t="str">
        <f t="shared" si="13"/>
        <v/>
      </c>
      <c r="AA106" s="85" t="str">
        <f t="shared" si="14"/>
        <v/>
      </c>
      <c r="AB106" s="85" t="str">
        <f t="shared" si="15"/>
        <v/>
      </c>
      <c r="AC106" s="68" t="s">
        <v>1215</v>
      </c>
      <c r="AD106" s="68" t="s">
        <v>1215</v>
      </c>
      <c r="AE106" s="68" t="s">
        <v>1215</v>
      </c>
      <c r="AF106" s="68" t="s">
        <v>1215</v>
      </c>
      <c r="AG106" s="68" t="s">
        <v>1215</v>
      </c>
      <c r="AH106" s="68" t="s">
        <v>1215</v>
      </c>
      <c r="AI106" s="68" t="s">
        <v>1215</v>
      </c>
      <c r="AJ106" s="68" t="s">
        <v>1215</v>
      </c>
      <c r="AK106" s="68" t="s">
        <v>1215</v>
      </c>
      <c r="AL106" s="68"/>
      <c r="AM106" s="68" t="s">
        <v>1215</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1203</v>
      </c>
      <c r="AV106" s="66" t="s">
        <v>1204</v>
      </c>
      <c r="AW106" s="66" t="s">
        <v>1898</v>
      </c>
      <c r="AX106" s="66" t="s">
        <v>1217</v>
      </c>
      <c r="AY106" s="66">
        <v>2023</v>
      </c>
      <c r="AZ106" s="66" t="s">
        <v>927</v>
      </c>
      <c r="BA106" s="66"/>
      <c r="BB106" s="178"/>
      <c r="BC106" s="72">
        <v>2026</v>
      </c>
      <c r="BD106" s="66"/>
      <c r="BE106" s="178"/>
      <c r="BF106" s="66" t="s">
        <v>1278</v>
      </c>
    </row>
    <row r="107" spans="1:58" ht="28">
      <c r="A107" s="66" t="s">
        <v>1600</v>
      </c>
      <c r="B107" s="66" t="s">
        <v>1695</v>
      </c>
      <c r="C107" s="66"/>
      <c r="D107" s="66"/>
      <c r="E107" s="66" t="s">
        <v>1304</v>
      </c>
      <c r="F107" s="66" t="s">
        <v>1474</v>
      </c>
      <c r="G107" s="66" t="s">
        <v>1310</v>
      </c>
      <c r="H107" s="66" t="s">
        <v>1195</v>
      </c>
      <c r="I107" s="66" t="s">
        <v>1696</v>
      </c>
      <c r="J107" s="66" t="s">
        <v>1182</v>
      </c>
      <c r="K107" s="66" t="s">
        <v>1277</v>
      </c>
      <c r="L107" s="66" t="s">
        <v>1215</v>
      </c>
      <c r="M107" s="66" t="s">
        <v>1212</v>
      </c>
      <c r="N107" s="66" t="s">
        <v>1215</v>
      </c>
      <c r="O107" s="66" t="s">
        <v>1277</v>
      </c>
      <c r="P107" s="66" t="s">
        <v>1215</v>
      </c>
      <c r="Q107" s="86" t="s">
        <v>1215</v>
      </c>
      <c r="R107" s="86" t="s">
        <v>1215</v>
      </c>
      <c r="S107" s="86" t="s">
        <v>1215</v>
      </c>
      <c r="T107" s="86" t="s">
        <v>1215</v>
      </c>
      <c r="U107" s="86" t="s">
        <v>1215</v>
      </c>
      <c r="V107" s="86" t="s">
        <v>1215</v>
      </c>
      <c r="W107" s="67"/>
      <c r="X107" s="84" t="str">
        <f t="shared" si="11"/>
        <v>Belum Dinilai</v>
      </c>
      <c r="Y107" s="84" t="str">
        <f t="shared" si="12"/>
        <v>Belum Dinilai</v>
      </c>
      <c r="Z107" s="85" t="str">
        <f t="shared" si="13"/>
        <v/>
      </c>
      <c r="AA107" s="85" t="str">
        <f t="shared" si="14"/>
        <v/>
      </c>
      <c r="AB107" s="85" t="str">
        <f t="shared" si="15"/>
        <v/>
      </c>
      <c r="AC107" s="68" t="s">
        <v>1215</v>
      </c>
      <c r="AD107" s="68" t="s">
        <v>1215</v>
      </c>
      <c r="AE107" s="68" t="s">
        <v>1215</v>
      </c>
      <c r="AF107" s="68" t="s">
        <v>1215</v>
      </c>
      <c r="AG107" s="68" t="s">
        <v>1215</v>
      </c>
      <c r="AH107" s="68" t="s">
        <v>1215</v>
      </c>
      <c r="AI107" s="68" t="s">
        <v>1215</v>
      </c>
      <c r="AJ107" s="68" t="s">
        <v>1215</v>
      </c>
      <c r="AK107" s="68" t="s">
        <v>1215</v>
      </c>
      <c r="AL107" s="68"/>
      <c r="AM107" s="68" t="s">
        <v>1215</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1189</v>
      </c>
      <c r="AV107" s="66" t="s">
        <v>1204</v>
      </c>
      <c r="AW107" s="66" t="s">
        <v>1190</v>
      </c>
      <c r="AX107" s="66"/>
      <c r="AY107" s="66"/>
      <c r="AZ107" s="66" t="s">
        <v>927</v>
      </c>
      <c r="BA107" s="66"/>
      <c r="BB107" s="178"/>
      <c r="BC107" s="72">
        <v>2026</v>
      </c>
      <c r="BD107" s="66"/>
      <c r="BE107" s="178"/>
      <c r="BF107" s="66" t="s">
        <v>1278</v>
      </c>
    </row>
    <row r="108" spans="1:58" ht="28">
      <c r="A108" s="66" t="s">
        <v>1603</v>
      </c>
      <c r="B108" s="66" t="s">
        <v>1698</v>
      </c>
      <c r="C108" s="66"/>
      <c r="D108" s="66"/>
      <c r="E108" s="66" t="s">
        <v>1699</v>
      </c>
      <c r="F108" s="66" t="s">
        <v>1474</v>
      </c>
      <c r="G108" s="66" t="s">
        <v>1310</v>
      </c>
      <c r="H108" s="66" t="s">
        <v>1195</v>
      </c>
      <c r="I108" s="66" t="s">
        <v>1696</v>
      </c>
      <c r="J108" s="66" t="s">
        <v>1182</v>
      </c>
      <c r="K108" s="66" t="s">
        <v>1277</v>
      </c>
      <c r="L108" s="66" t="s">
        <v>1215</v>
      </c>
      <c r="M108" s="66" t="s">
        <v>1212</v>
      </c>
      <c r="N108" s="66" t="s">
        <v>1215</v>
      </c>
      <c r="O108" s="66" t="s">
        <v>1277</v>
      </c>
      <c r="P108" s="66" t="s">
        <v>1215</v>
      </c>
      <c r="Q108" s="86" t="s">
        <v>1215</v>
      </c>
      <c r="R108" s="86" t="s">
        <v>1215</v>
      </c>
      <c r="S108" s="86" t="s">
        <v>1215</v>
      </c>
      <c r="T108" s="86" t="s">
        <v>1215</v>
      </c>
      <c r="U108" s="86" t="s">
        <v>1215</v>
      </c>
      <c r="V108" s="86" t="s">
        <v>1215</v>
      </c>
      <c r="W108" s="67"/>
      <c r="X108" s="84" t="str">
        <f t="shared" si="11"/>
        <v>Belum Dinilai</v>
      </c>
      <c r="Y108" s="84" t="str">
        <f t="shared" si="12"/>
        <v>Belum Dinilai</v>
      </c>
      <c r="Z108" s="85" t="str">
        <f t="shared" si="13"/>
        <v/>
      </c>
      <c r="AA108" s="85" t="str">
        <f t="shared" si="14"/>
        <v/>
      </c>
      <c r="AB108" s="85" t="str">
        <f t="shared" si="15"/>
        <v/>
      </c>
      <c r="AC108" s="68" t="s">
        <v>1215</v>
      </c>
      <c r="AD108" s="68" t="s">
        <v>1215</v>
      </c>
      <c r="AE108" s="68" t="s">
        <v>1215</v>
      </c>
      <c r="AF108" s="68" t="s">
        <v>1215</v>
      </c>
      <c r="AG108" s="68" t="s">
        <v>1215</v>
      </c>
      <c r="AH108" s="68" t="s">
        <v>1215</v>
      </c>
      <c r="AI108" s="68" t="s">
        <v>1215</v>
      </c>
      <c r="AJ108" s="68" t="s">
        <v>1215</v>
      </c>
      <c r="AK108" s="68" t="s">
        <v>1215</v>
      </c>
      <c r="AL108" s="68"/>
      <c r="AM108" s="68" t="s">
        <v>1215</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1203</v>
      </c>
      <c r="AV108" s="66" t="s">
        <v>1204</v>
      </c>
      <c r="AW108" s="66" t="s">
        <v>1190</v>
      </c>
      <c r="AX108" s="66"/>
      <c r="AY108" s="66"/>
      <c r="AZ108" s="66" t="s">
        <v>927</v>
      </c>
      <c r="BA108" s="66"/>
      <c r="BB108" s="178"/>
      <c r="BC108" s="72">
        <v>2026</v>
      </c>
      <c r="BD108" s="66"/>
      <c r="BE108" s="178"/>
      <c r="BF108" s="66" t="s">
        <v>1278</v>
      </c>
    </row>
    <row r="109" spans="1:58" ht="28">
      <c r="A109" s="66" t="s">
        <v>1608</v>
      </c>
      <c r="B109" s="66" t="s">
        <v>1701</v>
      </c>
      <c r="C109" s="66"/>
      <c r="D109" s="66"/>
      <c r="E109" s="66" t="s">
        <v>1702</v>
      </c>
      <c r="F109" s="66" t="s">
        <v>1641</v>
      </c>
      <c r="G109" s="66" t="s">
        <v>1275</v>
      </c>
      <c r="H109" s="66" t="s">
        <v>1181</v>
      </c>
      <c r="I109" s="66" t="s">
        <v>1290</v>
      </c>
      <c r="J109" s="66" t="s">
        <v>1210</v>
      </c>
      <c r="K109" s="66" t="s">
        <v>1277</v>
      </c>
      <c r="L109" s="66" t="s">
        <v>1215</v>
      </c>
      <c r="M109" s="66" t="s">
        <v>1266</v>
      </c>
      <c r="N109" s="66" t="s">
        <v>1215</v>
      </c>
      <c r="O109" s="66" t="s">
        <v>1277</v>
      </c>
      <c r="P109" s="66" t="s">
        <v>1215</v>
      </c>
      <c r="Q109" s="86" t="s">
        <v>1215</v>
      </c>
      <c r="R109" s="86" t="s">
        <v>1215</v>
      </c>
      <c r="S109" s="86" t="s">
        <v>1215</v>
      </c>
      <c r="T109" s="86" t="s">
        <v>1215</v>
      </c>
      <c r="U109" s="86" t="s">
        <v>1215</v>
      </c>
      <c r="V109" s="86" t="s">
        <v>1215</v>
      </c>
      <c r="W109" s="67"/>
      <c r="X109" s="84" t="str">
        <f t="shared" si="11"/>
        <v>Belum Dinilai</v>
      </c>
      <c r="Y109" s="84" t="str">
        <f t="shared" si="12"/>
        <v>Belum Dinilai</v>
      </c>
      <c r="Z109" s="85" t="str">
        <f t="shared" si="13"/>
        <v/>
      </c>
      <c r="AA109" s="85" t="str">
        <f t="shared" si="14"/>
        <v/>
      </c>
      <c r="AB109" s="85" t="str">
        <f t="shared" si="15"/>
        <v/>
      </c>
      <c r="AC109" s="68" t="s">
        <v>1215</v>
      </c>
      <c r="AD109" s="68" t="s">
        <v>1215</v>
      </c>
      <c r="AE109" s="68" t="s">
        <v>1215</v>
      </c>
      <c r="AF109" s="68" t="s">
        <v>1215</v>
      </c>
      <c r="AG109" s="68" t="s">
        <v>1215</v>
      </c>
      <c r="AH109" s="68" t="s">
        <v>1215</v>
      </c>
      <c r="AI109" s="68" t="s">
        <v>1215</v>
      </c>
      <c r="AJ109" s="68" t="s">
        <v>1215</v>
      </c>
      <c r="AK109" s="68" t="s">
        <v>1215</v>
      </c>
      <c r="AL109" s="68"/>
      <c r="AM109" s="68" t="s">
        <v>1215</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1203</v>
      </c>
      <c r="AV109" s="66" t="s">
        <v>1204</v>
      </c>
      <c r="AW109" s="66" t="s">
        <v>1190</v>
      </c>
      <c r="AX109" s="66"/>
      <c r="AY109" s="66"/>
      <c r="AZ109" s="66" t="s">
        <v>927</v>
      </c>
      <c r="BA109" s="66"/>
      <c r="BB109" s="178"/>
      <c r="BC109" s="72">
        <v>2026</v>
      </c>
      <c r="BD109" s="66"/>
      <c r="BE109" s="178"/>
      <c r="BF109" s="66" t="s">
        <v>1278</v>
      </c>
    </row>
    <row r="110" spans="1:58" ht="28">
      <c r="A110" s="66" t="s">
        <v>1611</v>
      </c>
      <c r="B110" s="66" t="s">
        <v>1704</v>
      </c>
      <c r="C110" s="66"/>
      <c r="D110" s="66"/>
      <c r="E110" s="66" t="s">
        <v>1702</v>
      </c>
      <c r="F110" s="66" t="s">
        <v>1641</v>
      </c>
      <c r="G110" s="66" t="s">
        <v>1275</v>
      </c>
      <c r="H110" s="66" t="s">
        <v>1181</v>
      </c>
      <c r="I110" s="66" t="s">
        <v>1705</v>
      </c>
      <c r="J110" s="66" t="s">
        <v>1210</v>
      </c>
      <c r="K110" s="66" t="s">
        <v>1277</v>
      </c>
      <c r="L110" s="66" t="s">
        <v>1215</v>
      </c>
      <c r="M110" s="66" t="s">
        <v>1266</v>
      </c>
      <c r="N110" s="66" t="s">
        <v>1215</v>
      </c>
      <c r="O110" s="66" t="s">
        <v>1277</v>
      </c>
      <c r="P110" s="66" t="s">
        <v>1215</v>
      </c>
      <c r="Q110" s="86" t="s">
        <v>1215</v>
      </c>
      <c r="R110" s="86" t="s">
        <v>1215</v>
      </c>
      <c r="S110" s="86" t="s">
        <v>1215</v>
      </c>
      <c r="T110" s="86" t="s">
        <v>1215</v>
      </c>
      <c r="U110" s="86" t="s">
        <v>1215</v>
      </c>
      <c r="V110" s="86" t="s">
        <v>1215</v>
      </c>
      <c r="W110" s="67"/>
      <c r="X110" s="84" t="str">
        <f t="shared" si="11"/>
        <v>Belum Dinilai</v>
      </c>
      <c r="Y110" s="84" t="str">
        <f t="shared" si="12"/>
        <v>Belum Dinilai</v>
      </c>
      <c r="Z110" s="85" t="str">
        <f t="shared" si="13"/>
        <v/>
      </c>
      <c r="AA110" s="85" t="str">
        <f t="shared" si="14"/>
        <v/>
      </c>
      <c r="AB110" s="85" t="str">
        <f t="shared" si="15"/>
        <v/>
      </c>
      <c r="AC110" s="68" t="s">
        <v>1215</v>
      </c>
      <c r="AD110" s="68" t="s">
        <v>1215</v>
      </c>
      <c r="AE110" s="68" t="s">
        <v>1215</v>
      </c>
      <c r="AF110" s="68" t="s">
        <v>1215</v>
      </c>
      <c r="AG110" s="68" t="s">
        <v>1215</v>
      </c>
      <c r="AH110" s="68" t="s">
        <v>1215</v>
      </c>
      <c r="AI110" s="68" t="s">
        <v>1215</v>
      </c>
      <c r="AJ110" s="68" t="s">
        <v>1215</v>
      </c>
      <c r="AK110" s="68" t="s">
        <v>1215</v>
      </c>
      <c r="AL110" s="68"/>
      <c r="AM110" s="68" t="s">
        <v>1215</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1203</v>
      </c>
      <c r="AV110" s="66" t="s">
        <v>1204</v>
      </c>
      <c r="AW110" s="66" t="s">
        <v>1190</v>
      </c>
      <c r="AX110" s="66"/>
      <c r="AY110" s="66"/>
      <c r="AZ110" s="66" t="s">
        <v>927</v>
      </c>
      <c r="BA110" s="66"/>
      <c r="BB110" s="178"/>
      <c r="BC110" s="72">
        <v>2026</v>
      </c>
      <c r="BD110" s="66"/>
      <c r="BE110" s="178"/>
      <c r="BF110" s="66" t="s">
        <v>1278</v>
      </c>
    </row>
    <row r="111" spans="1:58" ht="28">
      <c r="A111" s="66" t="s">
        <v>1615</v>
      </c>
      <c r="B111" s="66" t="s">
        <v>1707</v>
      </c>
      <c r="C111" s="66"/>
      <c r="D111" s="66"/>
      <c r="E111" s="66" t="s">
        <v>1702</v>
      </c>
      <c r="F111" s="66" t="s">
        <v>1641</v>
      </c>
      <c r="G111" s="66" t="s">
        <v>1275</v>
      </c>
      <c r="H111" s="66" t="s">
        <v>1181</v>
      </c>
      <c r="I111" s="66" t="s">
        <v>1708</v>
      </c>
      <c r="J111" s="66" t="s">
        <v>1210</v>
      </c>
      <c r="K111" s="66" t="s">
        <v>1277</v>
      </c>
      <c r="L111" s="66" t="s">
        <v>1215</v>
      </c>
      <c r="M111" s="66" t="s">
        <v>1266</v>
      </c>
      <c r="N111" s="66" t="s">
        <v>1215</v>
      </c>
      <c r="O111" s="66" t="s">
        <v>1213</v>
      </c>
      <c r="P111" s="66" t="s">
        <v>1215</v>
      </c>
      <c r="Q111" s="86" t="s">
        <v>1215</v>
      </c>
      <c r="R111" s="86" t="s">
        <v>1215</v>
      </c>
      <c r="S111" s="86" t="s">
        <v>1215</v>
      </c>
      <c r="T111" s="86" t="s">
        <v>1215</v>
      </c>
      <c r="U111" s="86" t="s">
        <v>1215</v>
      </c>
      <c r="V111" s="86" t="s">
        <v>1215</v>
      </c>
      <c r="W111" s="67"/>
      <c r="X111" s="84" t="str">
        <f t="shared" si="11"/>
        <v>Belum Dinilai</v>
      </c>
      <c r="Y111" s="84" t="str">
        <f t="shared" si="12"/>
        <v>Belum Dinilai</v>
      </c>
      <c r="Z111" s="85" t="str">
        <f t="shared" si="13"/>
        <v/>
      </c>
      <c r="AA111" s="85" t="str">
        <f t="shared" si="14"/>
        <v/>
      </c>
      <c r="AB111" s="85" t="str">
        <f t="shared" si="15"/>
        <v/>
      </c>
      <c r="AC111" s="68" t="s">
        <v>1215</v>
      </c>
      <c r="AD111" s="68" t="s">
        <v>1215</v>
      </c>
      <c r="AE111" s="68" t="s">
        <v>1215</v>
      </c>
      <c r="AF111" s="68" t="s">
        <v>1215</v>
      </c>
      <c r="AG111" s="68" t="s">
        <v>1215</v>
      </c>
      <c r="AH111" s="68" t="s">
        <v>1215</v>
      </c>
      <c r="AI111" s="68" t="s">
        <v>1215</v>
      </c>
      <c r="AJ111" s="68" t="s">
        <v>1215</v>
      </c>
      <c r="AK111" s="68" t="s">
        <v>1215</v>
      </c>
      <c r="AL111" s="68"/>
      <c r="AM111" s="68" t="s">
        <v>1215</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1189</v>
      </c>
      <c r="AV111" s="66" t="s">
        <v>1204</v>
      </c>
      <c r="AW111" s="66" t="s">
        <v>1898</v>
      </c>
      <c r="AX111" s="66" t="s">
        <v>1206</v>
      </c>
      <c r="AY111" s="66">
        <v>2021</v>
      </c>
      <c r="AZ111" s="66" t="s">
        <v>927</v>
      </c>
      <c r="BA111" s="66"/>
      <c r="BB111" s="178"/>
      <c r="BC111" s="72">
        <v>2026</v>
      </c>
      <c r="BD111" s="66"/>
      <c r="BE111" s="178"/>
      <c r="BF111" s="66" t="s">
        <v>1278</v>
      </c>
    </row>
    <row r="112" spans="1:58" ht="28">
      <c r="A112" s="66" t="s">
        <v>1617</v>
      </c>
      <c r="B112" s="66" t="s">
        <v>1710</v>
      </c>
      <c r="C112" s="66"/>
      <c r="D112" s="66"/>
      <c r="E112" s="66" t="s">
        <v>1702</v>
      </c>
      <c r="F112" s="66" t="s">
        <v>1641</v>
      </c>
      <c r="G112" s="66" t="s">
        <v>1275</v>
      </c>
      <c r="H112" s="66" t="s">
        <v>1181</v>
      </c>
      <c r="I112" s="66" t="s">
        <v>1708</v>
      </c>
      <c r="J112" s="66" t="s">
        <v>1210</v>
      </c>
      <c r="K112" s="66" t="s">
        <v>1277</v>
      </c>
      <c r="L112" s="66" t="s">
        <v>1215</v>
      </c>
      <c r="M112" s="66" t="s">
        <v>1266</v>
      </c>
      <c r="N112" s="66" t="s">
        <v>1215</v>
      </c>
      <c r="O112" s="66" t="s">
        <v>1213</v>
      </c>
      <c r="P112" s="66" t="s">
        <v>1215</v>
      </c>
      <c r="Q112" s="86" t="s">
        <v>1215</v>
      </c>
      <c r="R112" s="86" t="s">
        <v>1215</v>
      </c>
      <c r="S112" s="86" t="s">
        <v>1215</v>
      </c>
      <c r="T112" s="86" t="s">
        <v>1215</v>
      </c>
      <c r="U112" s="86" t="s">
        <v>1215</v>
      </c>
      <c r="V112" s="86" t="s">
        <v>1215</v>
      </c>
      <c r="W112" s="67"/>
      <c r="X112" s="84" t="str">
        <f t="shared" si="11"/>
        <v>Belum Dinilai</v>
      </c>
      <c r="Y112" s="84" t="str">
        <f t="shared" si="12"/>
        <v>Belum Dinilai</v>
      </c>
      <c r="Z112" s="85" t="str">
        <f t="shared" si="13"/>
        <v/>
      </c>
      <c r="AA112" s="85" t="str">
        <f t="shared" si="14"/>
        <v/>
      </c>
      <c r="AB112" s="85" t="str">
        <f t="shared" si="15"/>
        <v/>
      </c>
      <c r="AC112" s="68" t="s">
        <v>1215</v>
      </c>
      <c r="AD112" s="68" t="s">
        <v>1215</v>
      </c>
      <c r="AE112" s="68" t="s">
        <v>1215</v>
      </c>
      <c r="AF112" s="68" t="s">
        <v>1215</v>
      </c>
      <c r="AG112" s="68" t="s">
        <v>1215</v>
      </c>
      <c r="AH112" s="68" t="s">
        <v>1215</v>
      </c>
      <c r="AI112" s="68" t="s">
        <v>1215</v>
      </c>
      <c r="AJ112" s="68" t="s">
        <v>1215</v>
      </c>
      <c r="AK112" s="68" t="s">
        <v>1215</v>
      </c>
      <c r="AL112" s="68"/>
      <c r="AM112" s="68" t="s">
        <v>1215</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1189</v>
      </c>
      <c r="AV112" s="66" t="s">
        <v>1204</v>
      </c>
      <c r="AW112" s="66" t="s">
        <v>1190</v>
      </c>
      <c r="AX112" s="66"/>
      <c r="AY112" s="66"/>
      <c r="AZ112" s="66" t="s">
        <v>927</v>
      </c>
      <c r="BA112" s="66"/>
      <c r="BB112" s="178"/>
      <c r="BC112" s="72">
        <v>2026</v>
      </c>
      <c r="BD112" s="66"/>
      <c r="BE112" s="178"/>
      <c r="BF112" s="66" t="s">
        <v>1278</v>
      </c>
    </row>
    <row r="113" spans="1:58" ht="28">
      <c r="A113" s="66" t="s">
        <v>1621</v>
      </c>
      <c r="B113" s="66" t="s">
        <v>1712</v>
      </c>
      <c r="C113" s="66"/>
      <c r="D113" s="66"/>
      <c r="E113" s="66" t="s">
        <v>1702</v>
      </c>
      <c r="F113" s="66" t="s">
        <v>1641</v>
      </c>
      <c r="G113" s="66" t="s">
        <v>1275</v>
      </c>
      <c r="H113" s="66" t="s">
        <v>1181</v>
      </c>
      <c r="I113" s="66" t="s">
        <v>1713</v>
      </c>
      <c r="J113" s="66" t="s">
        <v>1210</v>
      </c>
      <c r="K113" s="66" t="s">
        <v>1277</v>
      </c>
      <c r="L113" s="66" t="s">
        <v>1215</v>
      </c>
      <c r="M113" s="66" t="s">
        <v>1266</v>
      </c>
      <c r="N113" s="66" t="s">
        <v>1215</v>
      </c>
      <c r="O113" s="66" t="s">
        <v>1266</v>
      </c>
      <c r="P113" s="66" t="s">
        <v>1215</v>
      </c>
      <c r="Q113" s="86" t="s">
        <v>1215</v>
      </c>
      <c r="R113" s="86" t="s">
        <v>1215</v>
      </c>
      <c r="S113" s="86" t="s">
        <v>1215</v>
      </c>
      <c r="T113" s="86" t="s">
        <v>1215</v>
      </c>
      <c r="U113" s="86" t="s">
        <v>1215</v>
      </c>
      <c r="V113" s="86" t="s">
        <v>1215</v>
      </c>
      <c r="W113" s="67"/>
      <c r="X113" s="84" t="str">
        <f t="shared" si="11"/>
        <v>Belum Dinilai</v>
      </c>
      <c r="Y113" s="84" t="str">
        <f t="shared" si="12"/>
        <v>Belum Dinilai</v>
      </c>
      <c r="Z113" s="85" t="str">
        <f t="shared" si="13"/>
        <v/>
      </c>
      <c r="AA113" s="85" t="str">
        <f t="shared" si="14"/>
        <v/>
      </c>
      <c r="AB113" s="85" t="str">
        <f t="shared" si="15"/>
        <v/>
      </c>
      <c r="AC113" s="68" t="s">
        <v>1215</v>
      </c>
      <c r="AD113" s="68" t="s">
        <v>1215</v>
      </c>
      <c r="AE113" s="68" t="s">
        <v>1215</v>
      </c>
      <c r="AF113" s="68" t="s">
        <v>1215</v>
      </c>
      <c r="AG113" s="68" t="s">
        <v>1215</v>
      </c>
      <c r="AH113" s="68" t="s">
        <v>1215</v>
      </c>
      <c r="AI113" s="68" t="s">
        <v>1215</v>
      </c>
      <c r="AJ113" s="68" t="s">
        <v>1215</v>
      </c>
      <c r="AK113" s="68" t="s">
        <v>1215</v>
      </c>
      <c r="AL113" s="68"/>
      <c r="AM113" s="68" t="s">
        <v>1215</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1189</v>
      </c>
      <c r="AV113" s="66" t="s">
        <v>1204</v>
      </c>
      <c r="AW113" s="66" t="s">
        <v>1190</v>
      </c>
      <c r="AX113" s="66"/>
      <c r="AY113" s="66"/>
      <c r="AZ113" s="66" t="s">
        <v>927</v>
      </c>
      <c r="BA113" s="66"/>
      <c r="BB113" s="178"/>
      <c r="BC113" s="72">
        <v>2026</v>
      </c>
      <c r="BD113" s="66"/>
      <c r="BE113" s="178"/>
      <c r="BF113" s="66" t="s">
        <v>1278</v>
      </c>
    </row>
    <row r="114" spans="1:58" ht="28">
      <c r="A114" s="66" t="s">
        <v>1625</v>
      </c>
      <c r="B114" s="66" t="s">
        <v>1715</v>
      </c>
      <c r="C114" s="66"/>
      <c r="D114" s="66"/>
      <c r="E114" s="66" t="s">
        <v>1716</v>
      </c>
      <c r="F114" s="66" t="s">
        <v>1274</v>
      </c>
      <c r="G114" s="66" t="s">
        <v>1275</v>
      </c>
      <c r="H114" s="66" t="s">
        <v>1181</v>
      </c>
      <c r="I114" s="66" t="s">
        <v>1717</v>
      </c>
      <c r="J114" s="66" t="s">
        <v>1263</v>
      </c>
      <c r="K114" s="66" t="s">
        <v>1277</v>
      </c>
      <c r="L114" s="66" t="s">
        <v>1215</v>
      </c>
      <c r="M114" s="66" t="s">
        <v>1277</v>
      </c>
      <c r="N114" s="66" t="s">
        <v>1215</v>
      </c>
      <c r="O114" s="66" t="s">
        <v>1213</v>
      </c>
      <c r="P114" s="66" t="s">
        <v>1215</v>
      </c>
      <c r="Q114" s="86" t="s">
        <v>1215</v>
      </c>
      <c r="R114" s="86" t="s">
        <v>1215</v>
      </c>
      <c r="S114" s="86" t="s">
        <v>1215</v>
      </c>
      <c r="T114" s="86" t="s">
        <v>1215</v>
      </c>
      <c r="U114" s="86" t="s">
        <v>1215</v>
      </c>
      <c r="V114" s="86" t="s">
        <v>1215</v>
      </c>
      <c r="W114" s="67"/>
      <c r="X114" s="84" t="str">
        <f t="shared" si="11"/>
        <v>Belum Dinilai</v>
      </c>
      <c r="Y114" s="84" t="str">
        <f t="shared" si="12"/>
        <v>Belum Dinilai</v>
      </c>
      <c r="Z114" s="85" t="str">
        <f t="shared" si="13"/>
        <v/>
      </c>
      <c r="AA114" s="85" t="str">
        <f t="shared" si="14"/>
        <v/>
      </c>
      <c r="AB114" s="85" t="str">
        <f t="shared" si="15"/>
        <v/>
      </c>
      <c r="AC114" s="68" t="s">
        <v>1215</v>
      </c>
      <c r="AD114" s="68" t="s">
        <v>1215</v>
      </c>
      <c r="AE114" s="68" t="s">
        <v>1215</v>
      </c>
      <c r="AF114" s="68" t="s">
        <v>1215</v>
      </c>
      <c r="AG114" s="68" t="s">
        <v>1215</v>
      </c>
      <c r="AH114" s="68" t="s">
        <v>1215</v>
      </c>
      <c r="AI114" s="68" t="s">
        <v>1215</v>
      </c>
      <c r="AJ114" s="68" t="s">
        <v>1215</v>
      </c>
      <c r="AK114" s="68" t="s">
        <v>1215</v>
      </c>
      <c r="AL114" s="68"/>
      <c r="AM114" s="68" t="s">
        <v>1215</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1189</v>
      </c>
      <c r="AV114" s="66" t="s">
        <v>1204</v>
      </c>
      <c r="AW114" s="66" t="s">
        <v>1898</v>
      </c>
      <c r="AX114" s="66" t="s">
        <v>1206</v>
      </c>
      <c r="AY114" s="66">
        <v>2021</v>
      </c>
      <c r="AZ114" s="66" t="s">
        <v>927</v>
      </c>
      <c r="BA114" s="66"/>
      <c r="BB114" s="178"/>
      <c r="BC114" s="72">
        <v>2026</v>
      </c>
      <c r="BD114" s="66"/>
      <c r="BE114" s="178"/>
      <c r="BF114" s="66" t="s">
        <v>1278</v>
      </c>
    </row>
    <row r="115" spans="1:58" ht="28">
      <c r="A115" s="66" t="s">
        <v>1628</v>
      </c>
      <c r="B115" s="66" t="s">
        <v>1719</v>
      </c>
      <c r="C115" s="66"/>
      <c r="D115" s="66"/>
      <c r="E115" s="66" t="s">
        <v>1720</v>
      </c>
      <c r="F115" s="66" t="s">
        <v>1274</v>
      </c>
      <c r="G115" s="66" t="s">
        <v>1275</v>
      </c>
      <c r="H115" s="66" t="s">
        <v>1195</v>
      </c>
      <c r="I115" s="66" t="s">
        <v>1721</v>
      </c>
      <c r="J115" s="66" t="s">
        <v>1196</v>
      </c>
      <c r="K115" s="66" t="s">
        <v>1277</v>
      </c>
      <c r="L115" s="66" t="s">
        <v>1215</v>
      </c>
      <c r="M115" s="66" t="s">
        <v>1305</v>
      </c>
      <c r="N115" s="66" t="s">
        <v>1215</v>
      </c>
      <c r="O115" s="66" t="s">
        <v>1213</v>
      </c>
      <c r="P115" s="66" t="s">
        <v>1215</v>
      </c>
      <c r="Q115" s="86" t="s">
        <v>1215</v>
      </c>
      <c r="R115" s="86" t="s">
        <v>1215</v>
      </c>
      <c r="S115" s="86" t="s">
        <v>1215</v>
      </c>
      <c r="T115" s="86" t="s">
        <v>1215</v>
      </c>
      <c r="U115" s="86" t="s">
        <v>1215</v>
      </c>
      <c r="V115" s="86" t="s">
        <v>1215</v>
      </c>
      <c r="W115" s="67"/>
      <c r="X115" s="84" t="str">
        <f t="shared" si="11"/>
        <v>Belum Dinilai</v>
      </c>
      <c r="Y115" s="84" t="str">
        <f t="shared" si="12"/>
        <v>Belum Dinilai</v>
      </c>
      <c r="Z115" s="85" t="str">
        <f t="shared" si="13"/>
        <v/>
      </c>
      <c r="AA115" s="85" t="str">
        <f t="shared" si="14"/>
        <v/>
      </c>
      <c r="AB115" s="85" t="str">
        <f t="shared" si="15"/>
        <v/>
      </c>
      <c r="AC115" s="68" t="s">
        <v>1215</v>
      </c>
      <c r="AD115" s="68" t="s">
        <v>1215</v>
      </c>
      <c r="AE115" s="68" t="s">
        <v>1215</v>
      </c>
      <c r="AF115" s="68" t="s">
        <v>1215</v>
      </c>
      <c r="AG115" s="68" t="s">
        <v>1215</v>
      </c>
      <c r="AH115" s="68" t="s">
        <v>1215</v>
      </c>
      <c r="AI115" s="68" t="s">
        <v>1215</v>
      </c>
      <c r="AJ115" s="68" t="s">
        <v>1215</v>
      </c>
      <c r="AK115" s="68" t="s">
        <v>1215</v>
      </c>
      <c r="AL115" s="68"/>
      <c r="AM115" s="68" t="s">
        <v>1215</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1189</v>
      </c>
      <c r="AV115" s="66" t="s">
        <v>1204</v>
      </c>
      <c r="AW115" s="66" t="s">
        <v>1898</v>
      </c>
      <c r="AX115" s="66" t="s">
        <v>1206</v>
      </c>
      <c r="AY115" s="66">
        <v>2021</v>
      </c>
      <c r="AZ115" s="66" t="s">
        <v>927</v>
      </c>
      <c r="BA115" s="66"/>
      <c r="BB115" s="178"/>
      <c r="BC115" s="72">
        <v>2026</v>
      </c>
      <c r="BD115" s="66"/>
      <c r="BE115" s="178"/>
      <c r="BF115" s="66" t="s">
        <v>1278</v>
      </c>
    </row>
    <row r="116" spans="1:58" ht="28">
      <c r="A116" s="66" t="s">
        <v>1632</v>
      </c>
      <c r="B116" s="66" t="s">
        <v>1723</v>
      </c>
      <c r="C116" s="66"/>
      <c r="D116" s="66"/>
      <c r="E116" s="66" t="s">
        <v>1724</v>
      </c>
      <c r="F116" s="66" t="s">
        <v>1274</v>
      </c>
      <c r="G116" s="66" t="s">
        <v>1275</v>
      </c>
      <c r="H116" s="66" t="s">
        <v>1181</v>
      </c>
      <c r="I116" s="66" t="s">
        <v>1725</v>
      </c>
      <c r="J116" s="66" t="s">
        <v>1196</v>
      </c>
      <c r="K116" s="66" t="s">
        <v>1277</v>
      </c>
      <c r="L116" s="66" t="s">
        <v>1215</v>
      </c>
      <c r="M116" s="66" t="s">
        <v>1305</v>
      </c>
      <c r="N116" s="66" t="s">
        <v>1215</v>
      </c>
      <c r="O116" s="66" t="s">
        <v>1213</v>
      </c>
      <c r="P116" s="66" t="s">
        <v>1215</v>
      </c>
      <c r="Q116" s="86" t="s">
        <v>1215</v>
      </c>
      <c r="R116" s="86" t="s">
        <v>1215</v>
      </c>
      <c r="S116" s="86" t="s">
        <v>1215</v>
      </c>
      <c r="T116" s="86" t="s">
        <v>1215</v>
      </c>
      <c r="U116" s="86" t="s">
        <v>1215</v>
      </c>
      <c r="V116" s="86" t="s">
        <v>1215</v>
      </c>
      <c r="W116" s="67"/>
      <c r="X116" s="84" t="str">
        <f t="shared" si="11"/>
        <v>Belum Dinilai</v>
      </c>
      <c r="Y116" s="84" t="str">
        <f t="shared" si="12"/>
        <v>Belum Dinilai</v>
      </c>
      <c r="Z116" s="85" t="str">
        <f t="shared" si="13"/>
        <v/>
      </c>
      <c r="AA116" s="85" t="str">
        <f t="shared" si="14"/>
        <v/>
      </c>
      <c r="AB116" s="85" t="str">
        <f t="shared" si="15"/>
        <v/>
      </c>
      <c r="AC116" s="68" t="s">
        <v>1215</v>
      </c>
      <c r="AD116" s="68" t="s">
        <v>1215</v>
      </c>
      <c r="AE116" s="68" t="s">
        <v>1215</v>
      </c>
      <c r="AF116" s="68" t="s">
        <v>1215</v>
      </c>
      <c r="AG116" s="68" t="s">
        <v>1215</v>
      </c>
      <c r="AH116" s="68" t="s">
        <v>1215</v>
      </c>
      <c r="AI116" s="68" t="s">
        <v>1215</v>
      </c>
      <c r="AJ116" s="68" t="s">
        <v>1215</v>
      </c>
      <c r="AK116" s="68" t="s">
        <v>1215</v>
      </c>
      <c r="AL116" s="68"/>
      <c r="AM116" s="68" t="s">
        <v>1215</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1189</v>
      </c>
      <c r="AV116" s="66" t="s">
        <v>1204</v>
      </c>
      <c r="AW116" s="66" t="s">
        <v>1898</v>
      </c>
      <c r="AX116" s="66" t="s">
        <v>1206</v>
      </c>
      <c r="AY116" s="66">
        <v>2023</v>
      </c>
      <c r="AZ116" s="66" t="s">
        <v>927</v>
      </c>
      <c r="BA116" s="66"/>
      <c r="BB116" s="178"/>
      <c r="BC116" s="72">
        <v>2026</v>
      </c>
      <c r="BD116" s="66"/>
      <c r="BE116" s="178"/>
      <c r="BF116" s="66" t="s">
        <v>1278</v>
      </c>
    </row>
    <row r="117" spans="1:58" ht="28">
      <c r="A117" s="66" t="s">
        <v>1635</v>
      </c>
      <c r="B117" s="66" t="s">
        <v>1727</v>
      </c>
      <c r="C117" s="66"/>
      <c r="D117" s="66"/>
      <c r="E117" s="66" t="s">
        <v>1724</v>
      </c>
      <c r="F117" s="66" t="s">
        <v>1274</v>
      </c>
      <c r="G117" s="66" t="s">
        <v>1275</v>
      </c>
      <c r="H117" s="66" t="s">
        <v>1181</v>
      </c>
      <c r="I117" s="66" t="s">
        <v>1725</v>
      </c>
      <c r="J117" s="66" t="s">
        <v>1196</v>
      </c>
      <c r="K117" s="66" t="s">
        <v>1277</v>
      </c>
      <c r="L117" s="66" t="s">
        <v>1215</v>
      </c>
      <c r="M117" s="66" t="s">
        <v>1305</v>
      </c>
      <c r="N117" s="66" t="s">
        <v>1215</v>
      </c>
      <c r="O117" s="66" t="s">
        <v>1213</v>
      </c>
      <c r="P117" s="66" t="s">
        <v>1215</v>
      </c>
      <c r="Q117" s="86" t="s">
        <v>1215</v>
      </c>
      <c r="R117" s="86" t="s">
        <v>1215</v>
      </c>
      <c r="S117" s="86" t="s">
        <v>1215</v>
      </c>
      <c r="T117" s="86" t="s">
        <v>1215</v>
      </c>
      <c r="U117" s="86" t="s">
        <v>1215</v>
      </c>
      <c r="V117" s="86" t="s">
        <v>1215</v>
      </c>
      <c r="W117" s="67"/>
      <c r="X117" s="84" t="str">
        <f t="shared" si="11"/>
        <v>Belum Dinilai</v>
      </c>
      <c r="Y117" s="84" t="str">
        <f t="shared" si="12"/>
        <v>Belum Dinilai</v>
      </c>
      <c r="Z117" s="85" t="str">
        <f t="shared" si="13"/>
        <v/>
      </c>
      <c r="AA117" s="85" t="str">
        <f t="shared" si="14"/>
        <v/>
      </c>
      <c r="AB117" s="85" t="str">
        <f t="shared" si="15"/>
        <v/>
      </c>
      <c r="AC117" s="68" t="s">
        <v>1215</v>
      </c>
      <c r="AD117" s="68" t="s">
        <v>1215</v>
      </c>
      <c r="AE117" s="68" t="s">
        <v>1215</v>
      </c>
      <c r="AF117" s="68" t="s">
        <v>1215</v>
      </c>
      <c r="AG117" s="68" t="s">
        <v>1215</v>
      </c>
      <c r="AH117" s="68" t="s">
        <v>1215</v>
      </c>
      <c r="AI117" s="68" t="s">
        <v>1215</v>
      </c>
      <c r="AJ117" s="68" t="s">
        <v>1215</v>
      </c>
      <c r="AK117" s="68" t="s">
        <v>1215</v>
      </c>
      <c r="AL117" s="68"/>
      <c r="AM117" s="68" t="s">
        <v>1215</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1189</v>
      </c>
      <c r="AV117" s="66" t="s">
        <v>1204</v>
      </c>
      <c r="AW117" s="66" t="s">
        <v>1898</v>
      </c>
      <c r="AX117" s="66" t="s">
        <v>1206</v>
      </c>
      <c r="AY117" s="66">
        <v>2023</v>
      </c>
      <c r="AZ117" s="66" t="s">
        <v>927</v>
      </c>
      <c r="BA117" s="66"/>
      <c r="BB117" s="178"/>
      <c r="BC117" s="72">
        <v>2026</v>
      </c>
      <c r="BD117" s="66"/>
      <c r="BE117" s="178"/>
      <c r="BF117" s="66" t="s">
        <v>1278</v>
      </c>
    </row>
    <row r="118" spans="1:58" ht="28">
      <c r="A118" s="66" t="s">
        <v>1956</v>
      </c>
      <c r="B118" s="66" t="s">
        <v>1729</v>
      </c>
      <c r="C118" s="66"/>
      <c r="D118" s="66"/>
      <c r="E118" s="66" t="s">
        <v>1730</v>
      </c>
      <c r="F118" s="66" t="s">
        <v>1565</v>
      </c>
      <c r="G118" s="66" t="s">
        <v>1275</v>
      </c>
      <c r="H118" s="66" t="s">
        <v>1181</v>
      </c>
      <c r="I118" s="66" t="s">
        <v>1731</v>
      </c>
      <c r="J118" s="66" t="s">
        <v>1210</v>
      </c>
      <c r="K118" s="66" t="s">
        <v>1277</v>
      </c>
      <c r="L118" s="66" t="s">
        <v>1215</v>
      </c>
      <c r="M118" s="66" t="s">
        <v>1266</v>
      </c>
      <c r="N118" s="66" t="s">
        <v>1215</v>
      </c>
      <c r="O118" s="66" t="s">
        <v>1213</v>
      </c>
      <c r="P118" s="66" t="s">
        <v>1215</v>
      </c>
      <c r="Q118" s="86" t="s">
        <v>1215</v>
      </c>
      <c r="R118" s="86" t="s">
        <v>1215</v>
      </c>
      <c r="S118" s="86" t="s">
        <v>1215</v>
      </c>
      <c r="T118" s="86" t="s">
        <v>1215</v>
      </c>
      <c r="U118" s="86" t="s">
        <v>1215</v>
      </c>
      <c r="V118" s="86" t="s">
        <v>1215</v>
      </c>
      <c r="W118" s="67"/>
      <c r="X118" s="84" t="str">
        <f t="shared" si="11"/>
        <v>Belum Dinilai</v>
      </c>
      <c r="Y118" s="84" t="str">
        <f t="shared" si="12"/>
        <v>Belum Dinilai</v>
      </c>
      <c r="Z118" s="85" t="str">
        <f t="shared" si="13"/>
        <v/>
      </c>
      <c r="AA118" s="85" t="str">
        <f t="shared" si="14"/>
        <v/>
      </c>
      <c r="AB118" s="85" t="str">
        <f t="shared" si="15"/>
        <v/>
      </c>
      <c r="AC118" s="68" t="s">
        <v>1215</v>
      </c>
      <c r="AD118" s="68" t="s">
        <v>1215</v>
      </c>
      <c r="AE118" s="68" t="s">
        <v>1215</v>
      </c>
      <c r="AF118" s="68" t="s">
        <v>1215</v>
      </c>
      <c r="AG118" s="68" t="s">
        <v>1215</v>
      </c>
      <c r="AH118" s="68" t="s">
        <v>1215</v>
      </c>
      <c r="AI118" s="68" t="s">
        <v>1215</v>
      </c>
      <c r="AJ118" s="68" t="s">
        <v>1215</v>
      </c>
      <c r="AK118" s="68" t="s">
        <v>1215</v>
      </c>
      <c r="AL118" s="68"/>
      <c r="AM118" s="68" t="s">
        <v>1215</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1203</v>
      </c>
      <c r="AV118" s="66" t="s">
        <v>1204</v>
      </c>
      <c r="AW118" s="66" t="s">
        <v>1190</v>
      </c>
      <c r="AX118" s="66"/>
      <c r="AY118" s="66"/>
      <c r="AZ118" s="66" t="s">
        <v>927</v>
      </c>
      <c r="BA118" s="66"/>
      <c r="BB118" s="178"/>
      <c r="BC118" s="72">
        <v>2026</v>
      </c>
      <c r="BD118" s="66"/>
      <c r="BE118" s="178"/>
      <c r="BF118" s="66" t="s">
        <v>1278</v>
      </c>
    </row>
    <row r="119" spans="1:58" ht="42">
      <c r="A119" s="66" t="s">
        <v>1638</v>
      </c>
      <c r="B119" s="66" t="s">
        <v>1733</v>
      </c>
      <c r="C119" s="66"/>
      <c r="D119" s="66"/>
      <c r="E119" s="66" t="s">
        <v>1734</v>
      </c>
      <c r="F119" s="66" t="s">
        <v>1565</v>
      </c>
      <c r="G119" s="66" t="s">
        <v>1275</v>
      </c>
      <c r="H119" s="66" t="s">
        <v>1181</v>
      </c>
      <c r="I119" s="66" t="s">
        <v>1735</v>
      </c>
      <c r="J119" s="66" t="s">
        <v>1210</v>
      </c>
      <c r="K119" s="66" t="s">
        <v>1197</v>
      </c>
      <c r="L119" s="66" t="s">
        <v>1215</v>
      </c>
      <c r="M119" s="66" t="s">
        <v>1266</v>
      </c>
      <c r="N119" s="66" t="s">
        <v>1215</v>
      </c>
      <c r="O119" s="66" t="s">
        <v>1277</v>
      </c>
      <c r="P119" s="66" t="s">
        <v>1215</v>
      </c>
      <c r="Q119" s="86" t="s">
        <v>1215</v>
      </c>
      <c r="R119" s="86" t="s">
        <v>1215</v>
      </c>
      <c r="S119" s="86" t="s">
        <v>1215</v>
      </c>
      <c r="T119" s="86" t="s">
        <v>1215</v>
      </c>
      <c r="U119" s="86" t="s">
        <v>1215</v>
      </c>
      <c r="V119" s="86" t="s">
        <v>1215</v>
      </c>
      <c r="W119" s="67"/>
      <c r="X119" s="84" t="str">
        <f t="shared" si="11"/>
        <v>Belum Dinilai</v>
      </c>
      <c r="Y119" s="84" t="str">
        <f t="shared" si="12"/>
        <v>Belum Dinilai</v>
      </c>
      <c r="Z119" s="85" t="str">
        <f t="shared" si="13"/>
        <v/>
      </c>
      <c r="AA119" s="85" t="str">
        <f t="shared" si="14"/>
        <v/>
      </c>
      <c r="AB119" s="85" t="str">
        <f t="shared" si="15"/>
        <v/>
      </c>
      <c r="AC119" s="68" t="s">
        <v>1215</v>
      </c>
      <c r="AD119" s="68" t="s">
        <v>1215</v>
      </c>
      <c r="AE119" s="68" t="s">
        <v>1215</v>
      </c>
      <c r="AF119" s="68" t="s">
        <v>1215</v>
      </c>
      <c r="AG119" s="68" t="s">
        <v>1215</v>
      </c>
      <c r="AH119" s="68" t="s">
        <v>1215</v>
      </c>
      <c r="AI119" s="68" t="s">
        <v>1215</v>
      </c>
      <c r="AJ119" s="68" t="s">
        <v>1215</v>
      </c>
      <c r="AK119" s="68" t="s">
        <v>1215</v>
      </c>
      <c r="AL119" s="68"/>
      <c r="AM119" s="68" t="s">
        <v>1215</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1189</v>
      </c>
      <c r="AV119" s="66" t="s">
        <v>1204</v>
      </c>
      <c r="AW119" s="66" t="s">
        <v>1898</v>
      </c>
      <c r="AX119" s="66" t="s">
        <v>1206</v>
      </c>
      <c r="AY119" s="66">
        <v>2022</v>
      </c>
      <c r="AZ119" s="66" t="s">
        <v>1207</v>
      </c>
      <c r="BA119" s="66"/>
      <c r="BB119" s="178"/>
      <c r="BC119" s="72">
        <v>2026</v>
      </c>
      <c r="BD119" s="66"/>
      <c r="BE119" s="178"/>
      <c r="BF119" s="66" t="s">
        <v>1278</v>
      </c>
    </row>
    <row r="120" spans="1:58" ht="28">
      <c r="A120" s="66" t="s">
        <v>1643</v>
      </c>
      <c r="B120" s="66" t="s">
        <v>1737</v>
      </c>
      <c r="C120" s="66"/>
      <c r="D120" s="66"/>
      <c r="E120" s="66" t="s">
        <v>1304</v>
      </c>
      <c r="F120" s="66" t="s">
        <v>1315</v>
      </c>
      <c r="G120" s="66" t="s">
        <v>1289</v>
      </c>
      <c r="H120" s="66" t="s">
        <v>1195</v>
      </c>
      <c r="I120" s="66" t="s">
        <v>1738</v>
      </c>
      <c r="J120" s="66" t="s">
        <v>1182</v>
      </c>
      <c r="K120" s="66" t="s">
        <v>1197</v>
      </c>
      <c r="L120" s="66" t="s">
        <v>1215</v>
      </c>
      <c r="M120" s="66" t="s">
        <v>1212</v>
      </c>
      <c r="N120" s="66" t="s">
        <v>1215</v>
      </c>
      <c r="O120" s="66" t="s">
        <v>1213</v>
      </c>
      <c r="P120" s="66" t="s">
        <v>1215</v>
      </c>
      <c r="Q120" s="86" t="s">
        <v>1215</v>
      </c>
      <c r="R120" s="86" t="s">
        <v>1215</v>
      </c>
      <c r="S120" s="86" t="s">
        <v>1215</v>
      </c>
      <c r="T120" s="86" t="s">
        <v>1215</v>
      </c>
      <c r="U120" s="86" t="s">
        <v>1215</v>
      </c>
      <c r="V120" s="86" t="s">
        <v>1215</v>
      </c>
      <c r="W120" s="67"/>
      <c r="X120" s="84" t="str">
        <f t="shared" si="11"/>
        <v>Belum Dinilai</v>
      </c>
      <c r="Y120" s="84" t="str">
        <f t="shared" si="12"/>
        <v>Belum Dinilai</v>
      </c>
      <c r="Z120" s="85" t="str">
        <f t="shared" si="13"/>
        <v/>
      </c>
      <c r="AA120" s="85" t="str">
        <f t="shared" si="14"/>
        <v/>
      </c>
      <c r="AB120" s="85" t="str">
        <f t="shared" si="15"/>
        <v/>
      </c>
      <c r="AC120" s="68" t="s">
        <v>1215</v>
      </c>
      <c r="AD120" s="68" t="s">
        <v>1215</v>
      </c>
      <c r="AE120" s="68" t="s">
        <v>1215</v>
      </c>
      <c r="AF120" s="68" t="s">
        <v>1215</v>
      </c>
      <c r="AG120" s="68" t="s">
        <v>1215</v>
      </c>
      <c r="AH120" s="68" t="s">
        <v>1215</v>
      </c>
      <c r="AI120" s="68" t="s">
        <v>1215</v>
      </c>
      <c r="AJ120" s="68" t="s">
        <v>1215</v>
      </c>
      <c r="AK120" s="68" t="s">
        <v>1215</v>
      </c>
      <c r="AL120" s="68"/>
      <c r="AM120" s="68" t="s">
        <v>1215</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1189</v>
      </c>
      <c r="AV120" s="66" t="s">
        <v>1204</v>
      </c>
      <c r="AW120" s="66" t="s">
        <v>1898</v>
      </c>
      <c r="AX120" s="66" t="s">
        <v>1206</v>
      </c>
      <c r="AY120" s="66">
        <v>2021</v>
      </c>
      <c r="AZ120" s="66" t="s">
        <v>927</v>
      </c>
      <c r="BA120" s="66"/>
      <c r="BB120" s="178"/>
      <c r="BC120" s="72">
        <v>2026</v>
      </c>
      <c r="BD120" s="66"/>
      <c r="BE120" s="178"/>
      <c r="BF120" s="66" t="s">
        <v>1278</v>
      </c>
    </row>
    <row r="121" spans="1:58" ht="42">
      <c r="A121" s="66" t="s">
        <v>1646</v>
      </c>
      <c r="B121" s="66" t="s">
        <v>1740</v>
      </c>
      <c r="C121" s="66"/>
      <c r="D121" s="66"/>
      <c r="E121" s="66" t="s">
        <v>1741</v>
      </c>
      <c r="F121" s="66" t="s">
        <v>1288</v>
      </c>
      <c r="G121" s="66" t="s">
        <v>1289</v>
      </c>
      <c r="H121" s="66" t="s">
        <v>1181</v>
      </c>
      <c r="I121" s="66" t="s">
        <v>1742</v>
      </c>
      <c r="J121" s="66" t="s">
        <v>1210</v>
      </c>
      <c r="K121" s="66" t="s">
        <v>1277</v>
      </c>
      <c r="L121" s="66" t="s">
        <v>891</v>
      </c>
      <c r="M121" s="66" t="s">
        <v>1266</v>
      </c>
      <c r="N121" s="66" t="s">
        <v>891</v>
      </c>
      <c r="O121" s="66" t="s">
        <v>1213</v>
      </c>
      <c r="P121" s="66" t="s">
        <v>891</v>
      </c>
      <c r="Q121" s="86" t="s">
        <v>1215</v>
      </c>
      <c r="R121" s="86" t="s">
        <v>1215</v>
      </c>
      <c r="S121" s="86" t="s">
        <v>1215</v>
      </c>
      <c r="T121" s="86" t="s">
        <v>1215</v>
      </c>
      <c r="U121" s="86" t="s">
        <v>1215</v>
      </c>
      <c r="V121" s="86" t="s">
        <v>1215</v>
      </c>
      <c r="W121" s="67"/>
      <c r="X121" s="84" t="str">
        <f t="shared" si="11"/>
        <v>Belum Dinilai</v>
      </c>
      <c r="Y121" s="84" t="str">
        <f t="shared" si="12"/>
        <v>Belum Dinilai</v>
      </c>
      <c r="Z121" s="85" t="str">
        <f t="shared" si="13"/>
        <v/>
      </c>
      <c r="AA121" s="85" t="str">
        <f t="shared" si="14"/>
        <v/>
      </c>
      <c r="AB121" s="85" t="str">
        <f t="shared" si="15"/>
        <v/>
      </c>
      <c r="AC121" s="68" t="s">
        <v>1215</v>
      </c>
      <c r="AD121" s="68" t="s">
        <v>1215</v>
      </c>
      <c r="AE121" s="68" t="s">
        <v>1215</v>
      </c>
      <c r="AF121" s="68" t="s">
        <v>1215</v>
      </c>
      <c r="AG121" s="68" t="s">
        <v>1215</v>
      </c>
      <c r="AH121" s="68" t="s">
        <v>1215</v>
      </c>
      <c r="AI121" s="68" t="s">
        <v>1215</v>
      </c>
      <c r="AJ121" s="68" t="s">
        <v>1215</v>
      </c>
      <c r="AK121" s="68" t="s">
        <v>1215</v>
      </c>
      <c r="AL121" s="68"/>
      <c r="AM121" s="68" t="s">
        <v>1215</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1189</v>
      </c>
      <c r="AV121" s="66" t="s">
        <v>1204</v>
      </c>
      <c r="AW121" s="66" t="s">
        <v>1898</v>
      </c>
      <c r="AX121" s="66" t="s">
        <v>1206</v>
      </c>
      <c r="AY121" s="66">
        <v>2022</v>
      </c>
      <c r="AZ121" s="66" t="s">
        <v>927</v>
      </c>
      <c r="BA121" s="66"/>
      <c r="BB121" s="178"/>
      <c r="BC121" s="72">
        <v>2026</v>
      </c>
      <c r="BD121" s="66"/>
      <c r="BE121" s="178"/>
      <c r="BF121" s="66" t="s">
        <v>1278</v>
      </c>
    </row>
    <row r="122" spans="1:58" ht="42">
      <c r="A122" s="66" t="s">
        <v>1649</v>
      </c>
      <c r="B122" s="66" t="s">
        <v>1744</v>
      </c>
      <c r="C122" s="66"/>
      <c r="D122" s="66"/>
      <c r="E122" s="66" t="s">
        <v>1745</v>
      </c>
      <c r="F122" s="66" t="s">
        <v>1288</v>
      </c>
      <c r="G122" s="66" t="s">
        <v>1289</v>
      </c>
      <c r="H122" s="66" t="s">
        <v>1195</v>
      </c>
      <c r="I122" s="66" t="s">
        <v>1746</v>
      </c>
      <c r="J122" s="66" t="s">
        <v>1196</v>
      </c>
      <c r="K122" s="66" t="s">
        <v>1197</v>
      </c>
      <c r="L122" s="66" t="s">
        <v>891</v>
      </c>
      <c r="M122" s="66" t="s">
        <v>1266</v>
      </c>
      <c r="N122" s="66" t="s">
        <v>891</v>
      </c>
      <c r="O122" s="66" t="s">
        <v>1277</v>
      </c>
      <c r="P122" s="66" t="s">
        <v>1215</v>
      </c>
      <c r="Q122" s="86" t="s">
        <v>1215</v>
      </c>
      <c r="R122" s="86" t="s">
        <v>1215</v>
      </c>
      <c r="S122" s="86" t="s">
        <v>1215</v>
      </c>
      <c r="T122" s="86" t="s">
        <v>1215</v>
      </c>
      <c r="U122" s="86" t="s">
        <v>1215</v>
      </c>
      <c r="V122" s="86" t="s">
        <v>1215</v>
      </c>
      <c r="W122" s="67"/>
      <c r="X122" s="84" t="str">
        <f t="shared" si="11"/>
        <v>Belum Dinilai</v>
      </c>
      <c r="Y122" s="84" t="str">
        <f t="shared" si="12"/>
        <v>Belum Dinilai</v>
      </c>
      <c r="Z122" s="85" t="str">
        <f t="shared" si="13"/>
        <v/>
      </c>
      <c r="AA122" s="85" t="str">
        <f t="shared" si="14"/>
        <v/>
      </c>
      <c r="AB122" s="85" t="str">
        <f t="shared" si="15"/>
        <v/>
      </c>
      <c r="AC122" s="68" t="s">
        <v>1215</v>
      </c>
      <c r="AD122" s="68" t="s">
        <v>1215</v>
      </c>
      <c r="AE122" s="68" t="s">
        <v>1215</v>
      </c>
      <c r="AF122" s="68" t="s">
        <v>1215</v>
      </c>
      <c r="AG122" s="68" t="s">
        <v>1215</v>
      </c>
      <c r="AH122" s="68" t="s">
        <v>1215</v>
      </c>
      <c r="AI122" s="68" t="s">
        <v>1215</v>
      </c>
      <c r="AJ122" s="68" t="s">
        <v>1215</v>
      </c>
      <c r="AK122" s="68" t="s">
        <v>1215</v>
      </c>
      <c r="AL122" s="68"/>
      <c r="AM122" s="68" t="s">
        <v>1215</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1189</v>
      </c>
      <c r="AV122" s="66" t="s">
        <v>1204</v>
      </c>
      <c r="AW122" s="66" t="s">
        <v>1190</v>
      </c>
      <c r="AX122" s="66"/>
      <c r="AY122" s="66"/>
      <c r="AZ122" s="66" t="s">
        <v>927</v>
      </c>
      <c r="BA122" s="66"/>
      <c r="BB122" s="178"/>
      <c r="BC122" s="72">
        <v>2026</v>
      </c>
      <c r="BD122" s="66"/>
      <c r="BE122" s="178"/>
      <c r="BF122" s="66" t="s">
        <v>1278</v>
      </c>
    </row>
    <row r="123" spans="1:58" ht="42">
      <c r="A123" s="66" t="s">
        <v>1653</v>
      </c>
      <c r="B123" s="66" t="s">
        <v>1750</v>
      </c>
      <c r="C123" s="66"/>
      <c r="D123" s="66"/>
      <c r="E123" s="66" t="s">
        <v>1751</v>
      </c>
      <c r="F123" s="66" t="s">
        <v>1319</v>
      </c>
      <c r="G123" s="66" t="s">
        <v>1289</v>
      </c>
      <c r="H123" s="66" t="s">
        <v>1181</v>
      </c>
      <c r="I123" s="66" t="s">
        <v>1752</v>
      </c>
      <c r="J123" s="66" t="s">
        <v>1210</v>
      </c>
      <c r="K123" s="66" t="s">
        <v>1197</v>
      </c>
      <c r="L123" s="66" t="s">
        <v>891</v>
      </c>
      <c r="M123" s="66" t="s">
        <v>1266</v>
      </c>
      <c r="N123" s="66" t="s">
        <v>891</v>
      </c>
      <c r="O123" s="66" t="s">
        <v>1185</v>
      </c>
      <c r="P123" s="66" t="s">
        <v>891</v>
      </c>
      <c r="Q123" s="86" t="s">
        <v>1215</v>
      </c>
      <c r="R123" s="86" t="s">
        <v>1215</v>
      </c>
      <c r="S123" s="86" t="s">
        <v>1215</v>
      </c>
      <c r="T123" s="86" t="s">
        <v>1215</v>
      </c>
      <c r="U123" s="86" t="s">
        <v>1215</v>
      </c>
      <c r="V123" s="86" t="s">
        <v>1215</v>
      </c>
      <c r="W123" s="67"/>
      <c r="X123" s="84" t="str">
        <f t="shared" si="11"/>
        <v>Belum Dinilai</v>
      </c>
      <c r="Y123" s="84" t="str">
        <f t="shared" si="12"/>
        <v>Belum Dinilai</v>
      </c>
      <c r="Z123" s="85" t="str">
        <f t="shared" si="13"/>
        <v/>
      </c>
      <c r="AA123" s="85" t="str">
        <f t="shared" si="14"/>
        <v/>
      </c>
      <c r="AB123" s="85" t="str">
        <f t="shared" si="15"/>
        <v/>
      </c>
      <c r="AC123" s="68" t="s">
        <v>1215</v>
      </c>
      <c r="AD123" s="68" t="s">
        <v>1215</v>
      </c>
      <c r="AE123" s="68" t="s">
        <v>1215</v>
      </c>
      <c r="AF123" s="68" t="s">
        <v>1215</v>
      </c>
      <c r="AG123" s="68" t="s">
        <v>1215</v>
      </c>
      <c r="AH123" s="68" t="s">
        <v>1215</v>
      </c>
      <c r="AI123" s="68" t="s">
        <v>1215</v>
      </c>
      <c r="AJ123" s="68" t="s">
        <v>1215</v>
      </c>
      <c r="AK123" s="68" t="s">
        <v>1215</v>
      </c>
      <c r="AL123" s="68"/>
      <c r="AM123" s="68" t="s">
        <v>1215</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1189</v>
      </c>
      <c r="AV123" s="66" t="s">
        <v>1204</v>
      </c>
      <c r="AW123" s="66" t="s">
        <v>1190</v>
      </c>
      <c r="AX123" s="66"/>
      <c r="AY123" s="66"/>
      <c r="AZ123" s="66" t="s">
        <v>927</v>
      </c>
      <c r="BA123" s="66"/>
      <c r="BB123" s="178"/>
      <c r="BC123" s="72">
        <v>2026</v>
      </c>
      <c r="BD123" s="66"/>
      <c r="BE123" s="178"/>
      <c r="BF123" s="66" t="s">
        <v>1278</v>
      </c>
    </row>
    <row r="124" spans="1:58" ht="56">
      <c r="A124" s="66" t="s">
        <v>1656</v>
      </c>
      <c r="B124" s="66" t="s">
        <v>1754</v>
      </c>
      <c r="C124" s="66"/>
      <c r="D124" s="66"/>
      <c r="E124" s="66" t="s">
        <v>1755</v>
      </c>
      <c r="F124" s="66" t="s">
        <v>1474</v>
      </c>
      <c r="G124" s="66" t="s">
        <v>1310</v>
      </c>
      <c r="H124" s="66" t="s">
        <v>1195</v>
      </c>
      <c r="I124" s="66" t="s">
        <v>1756</v>
      </c>
      <c r="J124" s="66" t="s">
        <v>1196</v>
      </c>
      <c r="K124" s="66" t="s">
        <v>1293</v>
      </c>
      <c r="L124" s="66" t="s">
        <v>891</v>
      </c>
      <c r="M124" s="66" t="s">
        <v>1305</v>
      </c>
      <c r="N124" s="66" t="s">
        <v>891</v>
      </c>
      <c r="O124" s="66" t="s">
        <v>1213</v>
      </c>
      <c r="P124" s="66" t="s">
        <v>891</v>
      </c>
      <c r="Q124" s="86" t="s">
        <v>1215</v>
      </c>
      <c r="R124" s="86" t="s">
        <v>1215</v>
      </c>
      <c r="S124" s="86" t="s">
        <v>1215</v>
      </c>
      <c r="T124" s="86" t="s">
        <v>1215</v>
      </c>
      <c r="U124" s="86" t="s">
        <v>1215</v>
      </c>
      <c r="V124" s="86" t="s">
        <v>1215</v>
      </c>
      <c r="W124" s="67"/>
      <c r="X124" s="84" t="str">
        <f t="shared" si="11"/>
        <v>Belum Dinilai</v>
      </c>
      <c r="Y124" s="84" t="str">
        <f t="shared" si="12"/>
        <v>Belum Dinilai</v>
      </c>
      <c r="Z124" s="85" t="str">
        <f t="shared" si="13"/>
        <v/>
      </c>
      <c r="AA124" s="85" t="str">
        <f t="shared" si="14"/>
        <v/>
      </c>
      <c r="AB124" s="85" t="str">
        <f t="shared" si="15"/>
        <v/>
      </c>
      <c r="AC124" s="68" t="s">
        <v>1215</v>
      </c>
      <c r="AD124" s="68" t="s">
        <v>1215</v>
      </c>
      <c r="AE124" s="68" t="s">
        <v>1215</v>
      </c>
      <c r="AF124" s="68" t="s">
        <v>1215</v>
      </c>
      <c r="AG124" s="68" t="s">
        <v>1215</v>
      </c>
      <c r="AH124" s="68" t="s">
        <v>1215</v>
      </c>
      <c r="AI124" s="68" t="s">
        <v>1215</v>
      </c>
      <c r="AJ124" s="68" t="s">
        <v>1215</v>
      </c>
      <c r="AK124" s="68" t="s">
        <v>1215</v>
      </c>
      <c r="AL124" s="68"/>
      <c r="AM124" s="68" t="s">
        <v>1215</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1189</v>
      </c>
      <c r="AV124" s="66" t="s">
        <v>1204</v>
      </c>
      <c r="AW124" s="66" t="s">
        <v>1190</v>
      </c>
      <c r="AX124" s="66"/>
      <c r="AY124" s="66"/>
      <c r="AZ124" s="66" t="s">
        <v>927</v>
      </c>
      <c r="BA124" s="66"/>
      <c r="BB124" s="178"/>
      <c r="BC124" s="72">
        <v>2026</v>
      </c>
      <c r="BD124" s="66"/>
      <c r="BE124" s="178"/>
      <c r="BF124" s="66" t="s">
        <v>1278</v>
      </c>
    </row>
    <row r="125" spans="1:58" ht="28">
      <c r="A125" s="66" t="s">
        <v>1660</v>
      </c>
      <c r="B125" s="66" t="s">
        <v>1758</v>
      </c>
      <c r="C125" s="66"/>
      <c r="D125" s="66"/>
      <c r="E125" s="66" t="s">
        <v>1759</v>
      </c>
      <c r="F125" s="66" t="s">
        <v>1474</v>
      </c>
      <c r="G125" s="66" t="s">
        <v>1310</v>
      </c>
      <c r="H125" s="66" t="s">
        <v>1195</v>
      </c>
      <c r="I125" s="66" t="s">
        <v>1760</v>
      </c>
      <c r="J125" s="66" t="s">
        <v>1196</v>
      </c>
      <c r="K125" s="66" t="s">
        <v>1277</v>
      </c>
      <c r="L125" s="66" t="s">
        <v>1215</v>
      </c>
      <c r="M125" s="66" t="s">
        <v>1305</v>
      </c>
      <c r="N125" s="66" t="s">
        <v>1215</v>
      </c>
      <c r="O125" s="66" t="s">
        <v>1277</v>
      </c>
      <c r="P125" s="66" t="s">
        <v>1215</v>
      </c>
      <c r="Q125" s="86" t="s">
        <v>1215</v>
      </c>
      <c r="R125" s="86" t="s">
        <v>1215</v>
      </c>
      <c r="S125" s="86" t="s">
        <v>1215</v>
      </c>
      <c r="T125" s="86" t="s">
        <v>1215</v>
      </c>
      <c r="U125" s="86" t="s">
        <v>1215</v>
      </c>
      <c r="V125" s="86" t="s">
        <v>1215</v>
      </c>
      <c r="W125" s="67"/>
      <c r="X125" s="84" t="str">
        <f t="shared" si="11"/>
        <v>Belum Dinilai</v>
      </c>
      <c r="Y125" s="84" t="str">
        <f t="shared" si="12"/>
        <v>Belum Dinilai</v>
      </c>
      <c r="Z125" s="85" t="str">
        <f t="shared" si="13"/>
        <v/>
      </c>
      <c r="AA125" s="85" t="str">
        <f t="shared" si="14"/>
        <v/>
      </c>
      <c r="AB125" s="85" t="str">
        <f t="shared" si="15"/>
        <v/>
      </c>
      <c r="AC125" s="68" t="s">
        <v>1215</v>
      </c>
      <c r="AD125" s="68" t="s">
        <v>1215</v>
      </c>
      <c r="AE125" s="68" t="s">
        <v>1215</v>
      </c>
      <c r="AF125" s="68" t="s">
        <v>1215</v>
      </c>
      <c r="AG125" s="68" t="s">
        <v>1215</v>
      </c>
      <c r="AH125" s="68" t="s">
        <v>1215</v>
      </c>
      <c r="AI125" s="68" t="s">
        <v>1215</v>
      </c>
      <c r="AJ125" s="68" t="s">
        <v>1215</v>
      </c>
      <c r="AK125" s="68" t="s">
        <v>1215</v>
      </c>
      <c r="AL125" s="68"/>
      <c r="AM125" s="68" t="s">
        <v>1215</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1189</v>
      </c>
      <c r="AV125" s="66" t="s">
        <v>1204</v>
      </c>
      <c r="AW125" s="66" t="s">
        <v>1190</v>
      </c>
      <c r="AX125" s="66"/>
      <c r="AY125" s="66"/>
      <c r="AZ125" s="66" t="s">
        <v>927</v>
      </c>
      <c r="BA125" s="66"/>
      <c r="BB125" s="178"/>
      <c r="BC125" s="72">
        <v>2026</v>
      </c>
      <c r="BD125" s="66"/>
      <c r="BE125" s="178"/>
      <c r="BF125" s="66" t="s">
        <v>1278</v>
      </c>
    </row>
    <row r="126" spans="1:58" ht="42">
      <c r="A126" s="66" t="s">
        <v>1663</v>
      </c>
      <c r="B126" s="66" t="s">
        <v>1762</v>
      </c>
      <c r="C126" s="66"/>
      <c r="D126" s="66"/>
      <c r="E126" s="66" t="s">
        <v>1763</v>
      </c>
      <c r="F126" s="66" t="s">
        <v>1474</v>
      </c>
      <c r="G126" s="66" t="s">
        <v>1310</v>
      </c>
      <c r="H126" s="66" t="s">
        <v>1181</v>
      </c>
      <c r="I126" s="66" t="s">
        <v>1764</v>
      </c>
      <c r="J126" s="66" t="s">
        <v>1196</v>
      </c>
      <c r="K126" s="66" t="s">
        <v>1197</v>
      </c>
      <c r="L126" s="66" t="s">
        <v>891</v>
      </c>
      <c r="M126" s="66" t="s">
        <v>1266</v>
      </c>
      <c r="N126" s="66" t="s">
        <v>891</v>
      </c>
      <c r="O126" s="66" t="s">
        <v>1185</v>
      </c>
      <c r="P126" s="66" t="s">
        <v>891</v>
      </c>
      <c r="Q126" s="86" t="s">
        <v>1215</v>
      </c>
      <c r="R126" s="86" t="s">
        <v>1215</v>
      </c>
      <c r="S126" s="86" t="s">
        <v>1215</v>
      </c>
      <c r="T126" s="86" t="s">
        <v>1215</v>
      </c>
      <c r="U126" s="86" t="s">
        <v>1215</v>
      </c>
      <c r="V126" s="86" t="s">
        <v>1215</v>
      </c>
      <c r="W126" s="67"/>
      <c r="X126" s="84" t="str">
        <f t="shared" si="11"/>
        <v>Belum Dinilai</v>
      </c>
      <c r="Y126" s="84" t="str">
        <f t="shared" si="12"/>
        <v>Belum Dinilai</v>
      </c>
      <c r="Z126" s="85" t="str">
        <f t="shared" si="13"/>
        <v/>
      </c>
      <c r="AA126" s="85" t="str">
        <f t="shared" si="14"/>
        <v/>
      </c>
      <c r="AB126" s="85" t="str">
        <f t="shared" si="15"/>
        <v/>
      </c>
      <c r="AC126" s="68" t="s">
        <v>1215</v>
      </c>
      <c r="AD126" s="68" t="s">
        <v>1215</v>
      </c>
      <c r="AE126" s="68" t="s">
        <v>1215</v>
      </c>
      <c r="AF126" s="68" t="s">
        <v>1215</v>
      </c>
      <c r="AG126" s="68" t="s">
        <v>1215</v>
      </c>
      <c r="AH126" s="68" t="s">
        <v>1215</v>
      </c>
      <c r="AI126" s="68" t="s">
        <v>1215</v>
      </c>
      <c r="AJ126" s="68" t="s">
        <v>1215</v>
      </c>
      <c r="AK126" s="68" t="s">
        <v>1215</v>
      </c>
      <c r="AL126" s="68"/>
      <c r="AM126" s="68" t="s">
        <v>1215</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1189</v>
      </c>
      <c r="AV126" s="66" t="s">
        <v>1204</v>
      </c>
      <c r="AW126" s="66" t="s">
        <v>1190</v>
      </c>
      <c r="AX126" s="66"/>
      <c r="AY126" s="66"/>
      <c r="AZ126" s="66" t="s">
        <v>927</v>
      </c>
      <c r="BA126" s="66"/>
      <c r="BB126" s="178"/>
      <c r="BC126" s="72">
        <v>2026</v>
      </c>
      <c r="BD126" s="66"/>
      <c r="BE126" s="178"/>
      <c r="BF126" s="66" t="s">
        <v>1278</v>
      </c>
    </row>
    <row r="127" spans="1:58" ht="28">
      <c r="A127" s="66" t="s">
        <v>1957</v>
      </c>
      <c r="B127" s="66" t="s">
        <v>1766</v>
      </c>
      <c r="C127" s="66"/>
      <c r="D127" s="66"/>
      <c r="E127" s="66" t="s">
        <v>1767</v>
      </c>
      <c r="F127" s="66" t="s">
        <v>1474</v>
      </c>
      <c r="G127" s="66" t="s">
        <v>1310</v>
      </c>
      <c r="H127" s="66" t="s">
        <v>1181</v>
      </c>
      <c r="I127" s="66" t="s">
        <v>1768</v>
      </c>
      <c r="J127" s="66" t="s">
        <v>1263</v>
      </c>
      <c r="K127" s="66" t="s">
        <v>1277</v>
      </c>
      <c r="L127" s="66" t="s">
        <v>1215</v>
      </c>
      <c r="M127" s="66" t="s">
        <v>1277</v>
      </c>
      <c r="N127" s="66" t="s">
        <v>1215</v>
      </c>
      <c r="O127" s="66" t="s">
        <v>1277</v>
      </c>
      <c r="P127" s="66" t="s">
        <v>1215</v>
      </c>
      <c r="Q127" s="86" t="s">
        <v>1215</v>
      </c>
      <c r="R127" s="86" t="s">
        <v>1215</v>
      </c>
      <c r="S127" s="86" t="s">
        <v>1215</v>
      </c>
      <c r="T127" s="86" t="s">
        <v>1215</v>
      </c>
      <c r="U127" s="86" t="s">
        <v>1215</v>
      </c>
      <c r="V127" s="86" t="s">
        <v>1215</v>
      </c>
      <c r="W127" s="67"/>
      <c r="X127" s="84" t="str">
        <f t="shared" si="11"/>
        <v>Belum Dinilai</v>
      </c>
      <c r="Y127" s="84" t="str">
        <f t="shared" si="12"/>
        <v>Belum Dinilai</v>
      </c>
      <c r="Z127" s="85" t="str">
        <f t="shared" si="13"/>
        <v/>
      </c>
      <c r="AA127" s="85" t="str">
        <f t="shared" si="14"/>
        <v/>
      </c>
      <c r="AB127" s="85" t="str">
        <f t="shared" si="15"/>
        <v/>
      </c>
      <c r="AC127" s="68" t="s">
        <v>1215</v>
      </c>
      <c r="AD127" s="68" t="s">
        <v>1215</v>
      </c>
      <c r="AE127" s="68" t="s">
        <v>1215</v>
      </c>
      <c r="AF127" s="68" t="s">
        <v>1215</v>
      </c>
      <c r="AG127" s="68" t="s">
        <v>1215</v>
      </c>
      <c r="AH127" s="68" t="s">
        <v>1215</v>
      </c>
      <c r="AI127" s="68" t="s">
        <v>1215</v>
      </c>
      <c r="AJ127" s="68" t="s">
        <v>1215</v>
      </c>
      <c r="AK127" s="68" t="s">
        <v>1215</v>
      </c>
      <c r="AL127" s="68"/>
      <c r="AM127" s="68" t="s">
        <v>1215</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1189</v>
      </c>
      <c r="AV127" s="66" t="s">
        <v>1204</v>
      </c>
      <c r="AW127" s="66" t="s">
        <v>1898</v>
      </c>
      <c r="AX127" s="66" t="s">
        <v>1217</v>
      </c>
      <c r="AY127" s="66">
        <v>2023</v>
      </c>
      <c r="AZ127" s="66" t="s">
        <v>927</v>
      </c>
      <c r="BA127" s="66"/>
      <c r="BB127" s="178"/>
      <c r="BC127" s="72">
        <v>2026</v>
      </c>
      <c r="BD127" s="66"/>
      <c r="BE127" s="178"/>
      <c r="BF127" s="66" t="s">
        <v>1278</v>
      </c>
    </row>
    <row r="128" spans="1:58" ht="42">
      <c r="A128" s="66" t="s">
        <v>1666</v>
      </c>
      <c r="B128" s="66" t="s">
        <v>1770</v>
      </c>
      <c r="C128" s="66"/>
      <c r="D128" s="66"/>
      <c r="E128" s="66" t="s">
        <v>1771</v>
      </c>
      <c r="F128" s="66" t="s">
        <v>1474</v>
      </c>
      <c r="G128" s="66" t="s">
        <v>1310</v>
      </c>
      <c r="H128" s="66" t="s">
        <v>1195</v>
      </c>
      <c r="I128" s="66" t="s">
        <v>1772</v>
      </c>
      <c r="J128" s="66" t="s">
        <v>1196</v>
      </c>
      <c r="K128" s="66" t="s">
        <v>1211</v>
      </c>
      <c r="L128" s="66" t="s">
        <v>891</v>
      </c>
      <c r="M128" s="66" t="s">
        <v>1305</v>
      </c>
      <c r="N128" s="66" t="s">
        <v>891</v>
      </c>
      <c r="O128" s="66" t="s">
        <v>1213</v>
      </c>
      <c r="P128" s="66" t="s">
        <v>891</v>
      </c>
      <c r="Q128" s="86" t="s">
        <v>1215</v>
      </c>
      <c r="R128" s="86" t="s">
        <v>1215</v>
      </c>
      <c r="S128" s="86" t="s">
        <v>1215</v>
      </c>
      <c r="T128" s="86" t="s">
        <v>1215</v>
      </c>
      <c r="U128" s="86" t="s">
        <v>1215</v>
      </c>
      <c r="V128" s="86" t="s">
        <v>1215</v>
      </c>
      <c r="W128" s="67"/>
      <c r="X128" s="84" t="str">
        <f t="shared" si="11"/>
        <v>Belum Dinilai</v>
      </c>
      <c r="Y128" s="84" t="str">
        <f t="shared" si="12"/>
        <v>Belum Dinilai</v>
      </c>
      <c r="Z128" s="85" t="str">
        <f t="shared" si="13"/>
        <v/>
      </c>
      <c r="AA128" s="85" t="str">
        <f t="shared" si="14"/>
        <v/>
      </c>
      <c r="AB128" s="85" t="str">
        <f t="shared" si="15"/>
        <v/>
      </c>
      <c r="AC128" s="68" t="s">
        <v>1215</v>
      </c>
      <c r="AD128" s="68" t="s">
        <v>1215</v>
      </c>
      <c r="AE128" s="68" t="s">
        <v>1215</v>
      </c>
      <c r="AF128" s="68" t="s">
        <v>1215</v>
      </c>
      <c r="AG128" s="68" t="s">
        <v>1215</v>
      </c>
      <c r="AH128" s="68" t="s">
        <v>1215</v>
      </c>
      <c r="AI128" s="68" t="s">
        <v>1215</v>
      </c>
      <c r="AJ128" s="68" t="s">
        <v>1215</v>
      </c>
      <c r="AK128" s="68" t="s">
        <v>1215</v>
      </c>
      <c r="AL128" s="68"/>
      <c r="AM128" s="68" t="s">
        <v>1215</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1189</v>
      </c>
      <c r="AV128" s="66" t="s">
        <v>1204</v>
      </c>
      <c r="AW128" s="66" t="s">
        <v>1190</v>
      </c>
      <c r="AX128" s="66"/>
      <c r="AY128" s="66"/>
      <c r="AZ128" s="66" t="s">
        <v>927</v>
      </c>
      <c r="BA128" s="66"/>
      <c r="BB128" s="178"/>
      <c r="BC128" s="72">
        <v>2026</v>
      </c>
      <c r="BD128" s="66"/>
      <c r="BE128" s="178"/>
      <c r="BF128" s="66" t="s">
        <v>1278</v>
      </c>
    </row>
    <row r="129" spans="1:58" ht="56">
      <c r="A129" s="66" t="s">
        <v>1670</v>
      </c>
      <c r="B129" s="66" t="s">
        <v>1774</v>
      </c>
      <c r="C129" s="66"/>
      <c r="D129" s="66"/>
      <c r="E129" s="66" t="s">
        <v>1775</v>
      </c>
      <c r="F129" s="66" t="s">
        <v>1474</v>
      </c>
      <c r="G129" s="66" t="s">
        <v>1310</v>
      </c>
      <c r="H129" s="66" t="s">
        <v>1181</v>
      </c>
      <c r="I129" s="66" t="s">
        <v>1776</v>
      </c>
      <c r="J129" s="66" t="s">
        <v>1196</v>
      </c>
      <c r="K129" s="66" t="s">
        <v>1277</v>
      </c>
      <c r="L129" s="66" t="s">
        <v>891</v>
      </c>
      <c r="M129" s="66" t="s">
        <v>1266</v>
      </c>
      <c r="N129" s="66" t="s">
        <v>891</v>
      </c>
      <c r="O129" s="66" t="s">
        <v>1213</v>
      </c>
      <c r="P129" s="66" t="s">
        <v>891</v>
      </c>
      <c r="Q129" s="86" t="s">
        <v>1215</v>
      </c>
      <c r="R129" s="86" t="s">
        <v>1215</v>
      </c>
      <c r="S129" s="86" t="s">
        <v>1215</v>
      </c>
      <c r="T129" s="86" t="s">
        <v>1215</v>
      </c>
      <c r="U129" s="86" t="s">
        <v>1215</v>
      </c>
      <c r="V129" s="86" t="s">
        <v>1215</v>
      </c>
      <c r="W129" s="67"/>
      <c r="X129" s="84" t="str">
        <f t="shared" si="11"/>
        <v>Belum Dinilai</v>
      </c>
      <c r="Y129" s="84" t="str">
        <f t="shared" si="12"/>
        <v>Belum Dinilai</v>
      </c>
      <c r="Z129" s="85" t="str">
        <f t="shared" si="13"/>
        <v/>
      </c>
      <c r="AA129" s="85" t="str">
        <f t="shared" si="14"/>
        <v/>
      </c>
      <c r="AB129" s="85" t="str">
        <f t="shared" si="15"/>
        <v/>
      </c>
      <c r="AC129" s="68" t="s">
        <v>1215</v>
      </c>
      <c r="AD129" s="68" t="s">
        <v>1215</v>
      </c>
      <c r="AE129" s="68" t="s">
        <v>1215</v>
      </c>
      <c r="AF129" s="68" t="s">
        <v>1215</v>
      </c>
      <c r="AG129" s="68" t="s">
        <v>1215</v>
      </c>
      <c r="AH129" s="68" t="s">
        <v>1215</v>
      </c>
      <c r="AI129" s="68" t="s">
        <v>1215</v>
      </c>
      <c r="AJ129" s="68" t="s">
        <v>1215</v>
      </c>
      <c r="AK129" s="68" t="s">
        <v>1215</v>
      </c>
      <c r="AL129" s="68"/>
      <c r="AM129" s="68" t="s">
        <v>1215</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1189</v>
      </c>
      <c r="AV129" s="66" t="s">
        <v>1204</v>
      </c>
      <c r="AW129" s="66" t="s">
        <v>1190</v>
      </c>
      <c r="AX129" s="66"/>
      <c r="AY129" s="66"/>
      <c r="AZ129" s="66" t="s">
        <v>927</v>
      </c>
      <c r="BA129" s="66"/>
      <c r="BB129" s="178"/>
      <c r="BC129" s="72">
        <v>2026</v>
      </c>
      <c r="BD129" s="66"/>
      <c r="BE129" s="178"/>
      <c r="BF129" s="66" t="s">
        <v>1278</v>
      </c>
    </row>
    <row r="130" spans="1:58" ht="42">
      <c r="A130" s="66" t="s">
        <v>1673</v>
      </c>
      <c r="B130" s="66" t="s">
        <v>1778</v>
      </c>
      <c r="C130" s="66"/>
      <c r="D130" s="66"/>
      <c r="E130" s="66" t="s">
        <v>1779</v>
      </c>
      <c r="F130" s="66" t="s">
        <v>1474</v>
      </c>
      <c r="G130" s="66" t="s">
        <v>1310</v>
      </c>
      <c r="H130" s="66" t="s">
        <v>1181</v>
      </c>
      <c r="I130" s="66" t="s">
        <v>1780</v>
      </c>
      <c r="J130" s="66" t="s">
        <v>1210</v>
      </c>
      <c r="K130" s="66" t="s">
        <v>1197</v>
      </c>
      <c r="L130" s="66" t="s">
        <v>891</v>
      </c>
      <c r="M130" s="66" t="s">
        <v>1266</v>
      </c>
      <c r="N130" s="66" t="s">
        <v>891</v>
      </c>
      <c r="O130" s="66" t="s">
        <v>1277</v>
      </c>
      <c r="P130" s="66" t="s">
        <v>891</v>
      </c>
      <c r="Q130" s="86" t="s">
        <v>1215</v>
      </c>
      <c r="R130" s="86" t="s">
        <v>1215</v>
      </c>
      <c r="S130" s="86" t="s">
        <v>1215</v>
      </c>
      <c r="T130" s="86" t="s">
        <v>1215</v>
      </c>
      <c r="U130" s="86" t="s">
        <v>1215</v>
      </c>
      <c r="V130" s="86" t="s">
        <v>1215</v>
      </c>
      <c r="W130" s="67"/>
      <c r="X130" s="84" t="str">
        <f t="shared" si="11"/>
        <v>Belum Dinilai</v>
      </c>
      <c r="Y130" s="84" t="str">
        <f t="shared" si="12"/>
        <v>Belum Dinilai</v>
      </c>
      <c r="Z130" s="85" t="str">
        <f t="shared" si="13"/>
        <v/>
      </c>
      <c r="AA130" s="85" t="str">
        <f t="shared" si="14"/>
        <v/>
      </c>
      <c r="AB130" s="85" t="str">
        <f t="shared" si="15"/>
        <v/>
      </c>
      <c r="AC130" s="68" t="s">
        <v>1215</v>
      </c>
      <c r="AD130" s="68" t="s">
        <v>1215</v>
      </c>
      <c r="AE130" s="68" t="s">
        <v>1215</v>
      </c>
      <c r="AF130" s="68" t="s">
        <v>1215</v>
      </c>
      <c r="AG130" s="68" t="s">
        <v>1215</v>
      </c>
      <c r="AH130" s="68" t="s">
        <v>1215</v>
      </c>
      <c r="AI130" s="68" t="s">
        <v>1215</v>
      </c>
      <c r="AJ130" s="68" t="s">
        <v>1215</v>
      </c>
      <c r="AK130" s="68" t="s">
        <v>1215</v>
      </c>
      <c r="AL130" s="68"/>
      <c r="AM130" s="68" t="s">
        <v>1215</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1189</v>
      </c>
      <c r="AV130" s="66" t="s">
        <v>1204</v>
      </c>
      <c r="AW130" s="66" t="s">
        <v>1190</v>
      </c>
      <c r="AX130" s="66"/>
      <c r="AY130" s="66"/>
      <c r="AZ130" s="66" t="s">
        <v>927</v>
      </c>
      <c r="BA130" s="66"/>
      <c r="BB130" s="178"/>
      <c r="BC130" s="72">
        <v>2026</v>
      </c>
      <c r="BD130" s="66"/>
      <c r="BE130" s="178"/>
      <c r="BF130" s="66" t="s">
        <v>1278</v>
      </c>
    </row>
    <row r="131" spans="1:58" ht="42">
      <c r="A131" s="66" t="s">
        <v>1958</v>
      </c>
      <c r="B131" s="66" t="s">
        <v>1782</v>
      </c>
      <c r="C131" s="66"/>
      <c r="D131" s="66"/>
      <c r="E131" s="66" t="s">
        <v>1783</v>
      </c>
      <c r="F131" s="66" t="s">
        <v>1474</v>
      </c>
      <c r="G131" s="66" t="s">
        <v>1310</v>
      </c>
      <c r="H131" s="66" t="s">
        <v>1262</v>
      </c>
      <c r="I131" s="66" t="s">
        <v>1784</v>
      </c>
      <c r="J131" s="66" t="s">
        <v>1210</v>
      </c>
      <c r="K131" s="66" t="s">
        <v>1211</v>
      </c>
      <c r="L131" s="66" t="s">
        <v>891</v>
      </c>
      <c r="M131" s="66" t="s">
        <v>1266</v>
      </c>
      <c r="N131" s="66" t="s">
        <v>891</v>
      </c>
      <c r="O131" s="66" t="s">
        <v>1185</v>
      </c>
      <c r="P131" s="66" t="s">
        <v>891</v>
      </c>
      <c r="Q131" s="86" t="s">
        <v>1215</v>
      </c>
      <c r="R131" s="86" t="s">
        <v>1215</v>
      </c>
      <c r="S131" s="86" t="s">
        <v>1215</v>
      </c>
      <c r="T131" s="86" t="s">
        <v>1215</v>
      </c>
      <c r="U131" s="86" t="s">
        <v>1215</v>
      </c>
      <c r="V131" s="86" t="s">
        <v>1215</v>
      </c>
      <c r="W131" s="67"/>
      <c r="X131" s="84" t="str">
        <f t="shared" si="11"/>
        <v>Belum Dinilai</v>
      </c>
      <c r="Y131" s="84" t="str">
        <f t="shared" si="12"/>
        <v>Belum Dinilai</v>
      </c>
      <c r="Z131" s="85" t="str">
        <f t="shared" si="13"/>
        <v/>
      </c>
      <c r="AA131" s="85" t="str">
        <f t="shared" si="14"/>
        <v/>
      </c>
      <c r="AB131" s="85" t="str">
        <f t="shared" si="15"/>
        <v/>
      </c>
      <c r="AC131" s="68" t="s">
        <v>1215</v>
      </c>
      <c r="AD131" s="68" t="s">
        <v>1215</v>
      </c>
      <c r="AE131" s="68" t="s">
        <v>1215</v>
      </c>
      <c r="AF131" s="68" t="s">
        <v>1215</v>
      </c>
      <c r="AG131" s="68" t="s">
        <v>1215</v>
      </c>
      <c r="AH131" s="68" t="s">
        <v>1215</v>
      </c>
      <c r="AI131" s="68" t="s">
        <v>1215</v>
      </c>
      <c r="AJ131" s="68" t="s">
        <v>1215</v>
      </c>
      <c r="AK131" s="68" t="s">
        <v>1215</v>
      </c>
      <c r="AL131" s="68"/>
      <c r="AM131" s="68" t="s">
        <v>1215</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1203</v>
      </c>
      <c r="AV131" s="66" t="s">
        <v>1204</v>
      </c>
      <c r="AW131" s="66" t="s">
        <v>1190</v>
      </c>
      <c r="AX131" s="66"/>
      <c r="AY131" s="66"/>
      <c r="AZ131" s="66" t="s">
        <v>927</v>
      </c>
      <c r="BA131" s="66"/>
      <c r="BB131" s="178"/>
      <c r="BC131" s="72">
        <v>2026</v>
      </c>
      <c r="BD131" s="66"/>
      <c r="BE131" s="178"/>
      <c r="BF131" s="66" t="s">
        <v>1278</v>
      </c>
    </row>
    <row r="132" spans="1:58" ht="28">
      <c r="A132" s="66" t="s">
        <v>1676</v>
      </c>
      <c r="B132" s="66" t="s">
        <v>1787</v>
      </c>
      <c r="C132" s="66"/>
      <c r="D132" s="66"/>
      <c r="E132" s="66" t="s">
        <v>1788</v>
      </c>
      <c r="F132" s="66" t="s">
        <v>1565</v>
      </c>
      <c r="G132" s="66" t="s">
        <v>1275</v>
      </c>
      <c r="H132" s="66" t="s">
        <v>1262</v>
      </c>
      <c r="I132" s="66" t="s">
        <v>1789</v>
      </c>
      <c r="J132" s="66" t="s">
        <v>1182</v>
      </c>
      <c r="K132" s="66" t="s">
        <v>1277</v>
      </c>
      <c r="L132" s="66" t="s">
        <v>1215</v>
      </c>
      <c r="M132" s="66" t="s">
        <v>1265</v>
      </c>
      <c r="N132" s="66" t="s">
        <v>1215</v>
      </c>
      <c r="O132" s="66" t="s">
        <v>1277</v>
      </c>
      <c r="P132" s="66" t="s">
        <v>1215</v>
      </c>
      <c r="Q132" s="86" t="s">
        <v>1215</v>
      </c>
      <c r="R132" s="86" t="s">
        <v>1215</v>
      </c>
      <c r="S132" s="86" t="s">
        <v>1215</v>
      </c>
      <c r="T132" s="86" t="s">
        <v>1215</v>
      </c>
      <c r="U132" s="86" t="s">
        <v>1215</v>
      </c>
      <c r="V132" s="86" t="s">
        <v>1215</v>
      </c>
      <c r="W132" s="67"/>
      <c r="X132" s="84" t="str">
        <f t="shared" si="11"/>
        <v>Belum Dinilai</v>
      </c>
      <c r="Y132" s="84" t="str">
        <f t="shared" si="12"/>
        <v>Belum Dinilai</v>
      </c>
      <c r="Z132" s="85" t="str">
        <f t="shared" si="13"/>
        <v/>
      </c>
      <c r="AA132" s="85" t="str">
        <f t="shared" si="14"/>
        <v/>
      </c>
      <c r="AB132" s="85" t="str">
        <f t="shared" si="15"/>
        <v/>
      </c>
      <c r="AC132" s="68" t="s">
        <v>1215</v>
      </c>
      <c r="AD132" s="68" t="s">
        <v>1215</v>
      </c>
      <c r="AE132" s="68" t="s">
        <v>1215</v>
      </c>
      <c r="AF132" s="68" t="s">
        <v>1215</v>
      </c>
      <c r="AG132" s="68" t="s">
        <v>1215</v>
      </c>
      <c r="AH132" s="68" t="s">
        <v>1215</v>
      </c>
      <c r="AI132" s="68" t="s">
        <v>1215</v>
      </c>
      <c r="AJ132" s="68" t="s">
        <v>1215</v>
      </c>
      <c r="AK132" s="68" t="s">
        <v>1215</v>
      </c>
      <c r="AL132" s="68"/>
      <c r="AM132" s="68" t="s">
        <v>1215</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1189</v>
      </c>
      <c r="AV132" s="66" t="s">
        <v>1204</v>
      </c>
      <c r="AW132" s="66" t="s">
        <v>1190</v>
      </c>
      <c r="AX132" s="66"/>
      <c r="AY132" s="66"/>
      <c r="AZ132" s="66" t="s">
        <v>927</v>
      </c>
      <c r="BA132" s="66"/>
      <c r="BB132" s="178"/>
      <c r="BC132" s="72">
        <v>2026</v>
      </c>
      <c r="BD132" s="66"/>
      <c r="BE132" s="178"/>
      <c r="BF132" s="66" t="s">
        <v>1278</v>
      </c>
    </row>
    <row r="133" spans="1:58" ht="42">
      <c r="A133" s="66" t="s">
        <v>1679</v>
      </c>
      <c r="B133" s="66" t="s">
        <v>1791</v>
      </c>
      <c r="C133" s="66"/>
      <c r="D133" s="66"/>
      <c r="E133" s="66" t="s">
        <v>1792</v>
      </c>
      <c r="F133" s="66" t="s">
        <v>1565</v>
      </c>
      <c r="G133" s="66" t="s">
        <v>1275</v>
      </c>
      <c r="H133" s="66" t="s">
        <v>1262</v>
      </c>
      <c r="I133" s="66" t="s">
        <v>1793</v>
      </c>
      <c r="J133" s="66" t="s">
        <v>1196</v>
      </c>
      <c r="K133" s="66" t="s">
        <v>1211</v>
      </c>
      <c r="L133" s="66" t="s">
        <v>891</v>
      </c>
      <c r="M133" s="66" t="s">
        <v>1305</v>
      </c>
      <c r="N133" s="66" t="s">
        <v>1215</v>
      </c>
      <c r="O133" s="66" t="s">
        <v>1213</v>
      </c>
      <c r="P133" s="66" t="s">
        <v>891</v>
      </c>
      <c r="Q133" s="86" t="s">
        <v>1215</v>
      </c>
      <c r="R133" s="86" t="s">
        <v>1215</v>
      </c>
      <c r="S133" s="86" t="s">
        <v>1215</v>
      </c>
      <c r="T133" s="86" t="s">
        <v>1215</v>
      </c>
      <c r="U133" s="86" t="s">
        <v>1215</v>
      </c>
      <c r="V133" s="86" t="s">
        <v>1215</v>
      </c>
      <c r="W133" s="67"/>
      <c r="X133" s="84" t="str">
        <f t="shared" si="11"/>
        <v>Belum Dinilai</v>
      </c>
      <c r="Y133" s="84" t="str">
        <f t="shared" si="12"/>
        <v>Belum Dinilai</v>
      </c>
      <c r="Z133" s="85" t="str">
        <f t="shared" si="13"/>
        <v/>
      </c>
      <c r="AA133" s="85" t="str">
        <f t="shared" si="14"/>
        <v/>
      </c>
      <c r="AB133" s="85" t="str">
        <f t="shared" si="15"/>
        <v/>
      </c>
      <c r="AC133" s="68" t="s">
        <v>1215</v>
      </c>
      <c r="AD133" s="68" t="s">
        <v>1215</v>
      </c>
      <c r="AE133" s="68" t="s">
        <v>1215</v>
      </c>
      <c r="AF133" s="68" t="s">
        <v>1215</v>
      </c>
      <c r="AG133" s="68" t="s">
        <v>1215</v>
      </c>
      <c r="AH133" s="68" t="s">
        <v>1215</v>
      </c>
      <c r="AI133" s="68" t="s">
        <v>1215</v>
      </c>
      <c r="AJ133" s="68" t="s">
        <v>1215</v>
      </c>
      <c r="AK133" s="68" t="s">
        <v>1215</v>
      </c>
      <c r="AL133" s="68"/>
      <c r="AM133" s="68" t="s">
        <v>1215</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1203</v>
      </c>
      <c r="AV133" s="66" t="s">
        <v>1204</v>
      </c>
      <c r="AW133" s="66" t="s">
        <v>1190</v>
      </c>
      <c r="AX133" s="66"/>
      <c r="AY133" s="66"/>
      <c r="AZ133" s="66" t="s">
        <v>927</v>
      </c>
      <c r="BA133" s="66"/>
      <c r="BB133" s="178"/>
      <c r="BC133" s="72">
        <v>2026</v>
      </c>
      <c r="BD133" s="66"/>
      <c r="BE133" s="178"/>
      <c r="BF133" s="66" t="s">
        <v>1278</v>
      </c>
    </row>
    <row r="134" spans="1:58" ht="56">
      <c r="A134" s="66" t="s">
        <v>1683</v>
      </c>
      <c r="B134" s="66" t="s">
        <v>1795</v>
      </c>
      <c r="C134" s="66"/>
      <c r="D134" s="66"/>
      <c r="E134" s="66" t="s">
        <v>1792</v>
      </c>
      <c r="F134" s="66" t="s">
        <v>1565</v>
      </c>
      <c r="G134" s="66" t="s">
        <v>1275</v>
      </c>
      <c r="H134" s="66" t="s">
        <v>1262</v>
      </c>
      <c r="I134" s="66" t="s">
        <v>1796</v>
      </c>
      <c r="J134" s="66" t="s">
        <v>1210</v>
      </c>
      <c r="K134" s="66" t="s">
        <v>1197</v>
      </c>
      <c r="L134" s="66" t="s">
        <v>891</v>
      </c>
      <c r="M134" s="66" t="s">
        <v>1266</v>
      </c>
      <c r="N134" s="66" t="s">
        <v>891</v>
      </c>
      <c r="O134" s="66" t="s">
        <v>1213</v>
      </c>
      <c r="P134" s="66" t="s">
        <v>891</v>
      </c>
      <c r="Q134" s="86" t="s">
        <v>1215</v>
      </c>
      <c r="R134" s="86" t="s">
        <v>1215</v>
      </c>
      <c r="S134" s="86" t="s">
        <v>1215</v>
      </c>
      <c r="T134" s="86" t="s">
        <v>1215</v>
      </c>
      <c r="U134" s="86" t="s">
        <v>1215</v>
      </c>
      <c r="V134" s="86" t="s">
        <v>1215</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1215</v>
      </c>
      <c r="AD134" s="68" t="s">
        <v>1215</v>
      </c>
      <c r="AE134" s="68" t="s">
        <v>1215</v>
      </c>
      <c r="AF134" s="68" t="s">
        <v>1215</v>
      </c>
      <c r="AG134" s="68" t="s">
        <v>1215</v>
      </c>
      <c r="AH134" s="68" t="s">
        <v>1215</v>
      </c>
      <c r="AI134" s="68" t="s">
        <v>1215</v>
      </c>
      <c r="AJ134" s="68" t="s">
        <v>1215</v>
      </c>
      <c r="AK134" s="68" t="s">
        <v>1215</v>
      </c>
      <c r="AL134" s="68"/>
      <c r="AM134" s="68" t="s">
        <v>1215</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1189</v>
      </c>
      <c r="AV134" s="66" t="s">
        <v>1204</v>
      </c>
      <c r="AW134" s="66" t="s">
        <v>1190</v>
      </c>
      <c r="AX134" s="66"/>
      <c r="AY134" s="66"/>
      <c r="AZ134" s="66" t="s">
        <v>927</v>
      </c>
      <c r="BA134" s="66"/>
      <c r="BB134" s="178"/>
      <c r="BC134" s="72">
        <v>2026</v>
      </c>
      <c r="BD134" s="66"/>
      <c r="BE134" s="178"/>
      <c r="BF134" s="66" t="s">
        <v>1278</v>
      </c>
    </row>
    <row r="135" spans="1:58" ht="56">
      <c r="A135" s="66" t="s">
        <v>1685</v>
      </c>
      <c r="B135" s="66" t="s">
        <v>1797</v>
      </c>
      <c r="C135" s="66"/>
      <c r="D135" s="66"/>
      <c r="E135" s="66" t="s">
        <v>1730</v>
      </c>
      <c r="F135" s="66" t="s">
        <v>1565</v>
      </c>
      <c r="G135" s="66" t="s">
        <v>1275</v>
      </c>
      <c r="H135" s="66" t="s">
        <v>1181</v>
      </c>
      <c r="I135" s="66" t="s">
        <v>1798</v>
      </c>
      <c r="J135" s="66" t="s">
        <v>1210</v>
      </c>
      <c r="K135" s="66" t="s">
        <v>1197</v>
      </c>
      <c r="L135" s="66" t="s">
        <v>891</v>
      </c>
      <c r="M135" s="66" t="s">
        <v>1266</v>
      </c>
      <c r="N135" s="66" t="s">
        <v>891</v>
      </c>
      <c r="O135" s="66" t="s">
        <v>1213</v>
      </c>
      <c r="P135" s="66" t="s">
        <v>891</v>
      </c>
      <c r="Q135" s="86" t="s">
        <v>1215</v>
      </c>
      <c r="R135" s="86" t="s">
        <v>1215</v>
      </c>
      <c r="S135" s="86" t="s">
        <v>1215</v>
      </c>
      <c r="T135" s="86" t="s">
        <v>1215</v>
      </c>
      <c r="U135" s="86" t="s">
        <v>1215</v>
      </c>
      <c r="V135" s="86" t="s">
        <v>1215</v>
      </c>
      <c r="W135" s="67"/>
      <c r="X135" s="84" t="str">
        <f t="shared" si="22"/>
        <v>Belum Dinilai</v>
      </c>
      <c r="Y135" s="84" t="str">
        <f t="shared" si="23"/>
        <v>Belum Dinilai</v>
      </c>
      <c r="Z135" s="85" t="str">
        <f t="shared" si="24"/>
        <v/>
      </c>
      <c r="AA135" s="85" t="str">
        <f t="shared" si="25"/>
        <v/>
      </c>
      <c r="AB135" s="85" t="str">
        <f t="shared" si="26"/>
        <v/>
      </c>
      <c r="AC135" s="68" t="s">
        <v>1215</v>
      </c>
      <c r="AD135" s="68" t="s">
        <v>1215</v>
      </c>
      <c r="AE135" s="68" t="s">
        <v>1215</v>
      </c>
      <c r="AF135" s="68" t="s">
        <v>1215</v>
      </c>
      <c r="AG135" s="68" t="s">
        <v>1215</v>
      </c>
      <c r="AH135" s="68" t="s">
        <v>1215</v>
      </c>
      <c r="AI135" s="68" t="s">
        <v>1215</v>
      </c>
      <c r="AJ135" s="68" t="s">
        <v>1215</v>
      </c>
      <c r="AK135" s="68" t="s">
        <v>1215</v>
      </c>
      <c r="AL135" s="68"/>
      <c r="AM135" s="68" t="s">
        <v>1215</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1189</v>
      </c>
      <c r="AV135" s="66" t="s">
        <v>1204</v>
      </c>
      <c r="AW135" s="66" t="s">
        <v>1898</v>
      </c>
      <c r="AX135" s="66" t="s">
        <v>1206</v>
      </c>
      <c r="AY135" s="66">
        <v>2022</v>
      </c>
      <c r="AZ135" s="66" t="s">
        <v>927</v>
      </c>
      <c r="BA135" s="66"/>
      <c r="BB135" s="178"/>
      <c r="BC135" s="72">
        <v>2026</v>
      </c>
      <c r="BD135" s="66"/>
      <c r="BE135" s="178"/>
      <c r="BF135" s="66" t="s">
        <v>1278</v>
      </c>
    </row>
    <row r="136" spans="1:58" ht="70">
      <c r="A136" s="66" t="s">
        <v>1688</v>
      </c>
      <c r="B136" s="66" t="s">
        <v>1799</v>
      </c>
      <c r="C136" s="66"/>
      <c r="D136" s="66"/>
      <c r="E136" s="66" t="s">
        <v>1800</v>
      </c>
      <c r="F136" s="66" t="s">
        <v>1565</v>
      </c>
      <c r="G136" s="66" t="s">
        <v>1275</v>
      </c>
      <c r="H136" s="66" t="s">
        <v>1181</v>
      </c>
      <c r="I136" s="66" t="s">
        <v>1801</v>
      </c>
      <c r="J136" s="66" t="s">
        <v>1196</v>
      </c>
      <c r="K136" s="66" t="s">
        <v>1277</v>
      </c>
      <c r="L136" s="66" t="s">
        <v>891</v>
      </c>
      <c r="M136" s="66" t="s">
        <v>1266</v>
      </c>
      <c r="N136" s="66" t="s">
        <v>891</v>
      </c>
      <c r="O136" s="66" t="s">
        <v>1213</v>
      </c>
      <c r="P136" s="66" t="s">
        <v>891</v>
      </c>
      <c r="Q136" s="86" t="s">
        <v>1215</v>
      </c>
      <c r="R136" s="86" t="s">
        <v>1215</v>
      </c>
      <c r="S136" s="86" t="s">
        <v>1215</v>
      </c>
      <c r="T136" s="86" t="s">
        <v>1215</v>
      </c>
      <c r="U136" s="86" t="s">
        <v>1215</v>
      </c>
      <c r="V136" s="86" t="s">
        <v>1215</v>
      </c>
      <c r="W136" s="67"/>
      <c r="X136" s="84" t="str">
        <f t="shared" si="22"/>
        <v>Belum Dinilai</v>
      </c>
      <c r="Y136" s="84" t="str">
        <f t="shared" si="23"/>
        <v>Belum Dinilai</v>
      </c>
      <c r="Z136" s="85" t="str">
        <f t="shared" si="24"/>
        <v/>
      </c>
      <c r="AA136" s="85" t="str">
        <f t="shared" si="25"/>
        <v/>
      </c>
      <c r="AB136" s="85" t="str">
        <f t="shared" si="26"/>
        <v/>
      </c>
      <c r="AC136" s="68" t="s">
        <v>1215</v>
      </c>
      <c r="AD136" s="68" t="s">
        <v>1215</v>
      </c>
      <c r="AE136" s="68" t="s">
        <v>1215</v>
      </c>
      <c r="AF136" s="68" t="s">
        <v>1215</v>
      </c>
      <c r="AG136" s="68" t="s">
        <v>1215</v>
      </c>
      <c r="AH136" s="68" t="s">
        <v>1215</v>
      </c>
      <c r="AI136" s="68" t="s">
        <v>1215</v>
      </c>
      <c r="AJ136" s="68" t="s">
        <v>1215</v>
      </c>
      <c r="AK136" s="68" t="s">
        <v>1215</v>
      </c>
      <c r="AL136" s="68"/>
      <c r="AM136" s="68" t="s">
        <v>1215</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1189</v>
      </c>
      <c r="AV136" s="66" t="s">
        <v>1204</v>
      </c>
      <c r="AW136" s="66" t="s">
        <v>1898</v>
      </c>
      <c r="AX136" s="66" t="s">
        <v>1206</v>
      </c>
      <c r="AY136" s="66">
        <v>2022</v>
      </c>
      <c r="AZ136" s="66" t="s">
        <v>927</v>
      </c>
      <c r="BA136" s="66"/>
      <c r="BB136" s="178"/>
      <c r="BC136" s="72">
        <v>2026</v>
      </c>
      <c r="BD136" s="66"/>
      <c r="BE136" s="178"/>
      <c r="BF136" s="66" t="s">
        <v>1278</v>
      </c>
    </row>
    <row r="137" spans="1:58" ht="42">
      <c r="A137" s="66" t="s">
        <v>1690</v>
      </c>
      <c r="B137" s="66" t="s">
        <v>1802</v>
      </c>
      <c r="C137" s="66"/>
      <c r="D137" s="66"/>
      <c r="E137" s="66" t="s">
        <v>1803</v>
      </c>
      <c r="F137" s="66" t="s">
        <v>1458</v>
      </c>
      <c r="G137" s="66" t="s">
        <v>1310</v>
      </c>
      <c r="H137" s="66" t="s">
        <v>1195</v>
      </c>
      <c r="I137" s="66" t="s">
        <v>1804</v>
      </c>
      <c r="J137" s="66" t="s">
        <v>1182</v>
      </c>
      <c r="K137" s="66" t="s">
        <v>1197</v>
      </c>
      <c r="L137" s="66" t="s">
        <v>891</v>
      </c>
      <c r="M137" s="66" t="s">
        <v>1265</v>
      </c>
      <c r="N137" s="66" t="s">
        <v>891</v>
      </c>
      <c r="O137" s="66" t="s">
        <v>1213</v>
      </c>
      <c r="P137" s="66" t="s">
        <v>891</v>
      </c>
      <c r="Q137" s="86" t="s">
        <v>1215</v>
      </c>
      <c r="R137" s="86" t="s">
        <v>1215</v>
      </c>
      <c r="S137" s="86" t="s">
        <v>1215</v>
      </c>
      <c r="T137" s="86" t="s">
        <v>1215</v>
      </c>
      <c r="U137" s="86" t="s">
        <v>1215</v>
      </c>
      <c r="V137" s="86" t="s">
        <v>1215</v>
      </c>
      <c r="W137" s="67"/>
      <c r="X137" s="84" t="str">
        <f t="shared" si="22"/>
        <v>Belum Dinilai</v>
      </c>
      <c r="Y137" s="84" t="str">
        <f t="shared" si="23"/>
        <v>Belum Dinilai</v>
      </c>
      <c r="Z137" s="85" t="str">
        <f t="shared" si="24"/>
        <v/>
      </c>
      <c r="AA137" s="85" t="str">
        <f t="shared" si="25"/>
        <v/>
      </c>
      <c r="AB137" s="85" t="str">
        <f t="shared" si="26"/>
        <v/>
      </c>
      <c r="AC137" s="68" t="s">
        <v>1215</v>
      </c>
      <c r="AD137" s="68" t="s">
        <v>1215</v>
      </c>
      <c r="AE137" s="68" t="s">
        <v>1215</v>
      </c>
      <c r="AF137" s="68" t="s">
        <v>1215</v>
      </c>
      <c r="AG137" s="68" t="s">
        <v>1215</v>
      </c>
      <c r="AH137" s="68" t="s">
        <v>1215</v>
      </c>
      <c r="AI137" s="68" t="s">
        <v>1215</v>
      </c>
      <c r="AJ137" s="68" t="s">
        <v>1215</v>
      </c>
      <c r="AK137" s="68" t="s">
        <v>1215</v>
      </c>
      <c r="AL137" s="68"/>
      <c r="AM137" s="68" t="s">
        <v>1215</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1189</v>
      </c>
      <c r="AV137" s="66" t="s">
        <v>1204</v>
      </c>
      <c r="AW137" s="66" t="s">
        <v>1898</v>
      </c>
      <c r="AX137" s="66" t="s">
        <v>1206</v>
      </c>
      <c r="AY137" s="66">
        <v>2023</v>
      </c>
      <c r="AZ137" s="66" t="s">
        <v>927</v>
      </c>
      <c r="BA137" s="66"/>
      <c r="BB137" s="178"/>
      <c r="BC137" s="72">
        <v>2026</v>
      </c>
      <c r="BD137" s="66"/>
      <c r="BE137" s="178"/>
      <c r="BF137" s="66" t="s">
        <v>1278</v>
      </c>
    </row>
    <row r="138" spans="1:58" ht="28">
      <c r="A138" s="66" t="s">
        <v>1959</v>
      </c>
      <c r="B138" s="66" t="s">
        <v>1805</v>
      </c>
      <c r="C138" s="66"/>
      <c r="D138" s="66"/>
      <c r="E138" s="66" t="s">
        <v>1806</v>
      </c>
      <c r="F138" s="66" t="s">
        <v>1356</v>
      </c>
      <c r="G138" s="66" t="s">
        <v>1289</v>
      </c>
      <c r="H138" s="66" t="s">
        <v>1181</v>
      </c>
      <c r="I138" s="66" t="s">
        <v>1807</v>
      </c>
      <c r="J138" s="66" t="s">
        <v>1210</v>
      </c>
      <c r="K138" s="66" t="s">
        <v>1211</v>
      </c>
      <c r="L138" s="66" t="s">
        <v>891</v>
      </c>
      <c r="M138" s="66" t="s">
        <v>1266</v>
      </c>
      <c r="N138" s="66" t="s">
        <v>891</v>
      </c>
      <c r="O138" s="66" t="s">
        <v>1213</v>
      </c>
      <c r="P138" s="66" t="s">
        <v>891</v>
      </c>
      <c r="Q138" s="86" t="s">
        <v>1215</v>
      </c>
      <c r="R138" s="86" t="s">
        <v>1215</v>
      </c>
      <c r="S138" s="86" t="s">
        <v>1215</v>
      </c>
      <c r="T138" s="86" t="s">
        <v>1215</v>
      </c>
      <c r="U138" s="86" t="s">
        <v>1215</v>
      </c>
      <c r="V138" s="86" t="s">
        <v>1215</v>
      </c>
      <c r="W138" s="67"/>
      <c r="X138" s="84" t="str">
        <f t="shared" si="22"/>
        <v>Belum Dinilai</v>
      </c>
      <c r="Y138" s="84" t="str">
        <f t="shared" si="23"/>
        <v>Belum Dinilai</v>
      </c>
      <c r="Z138" s="85" t="str">
        <f t="shared" si="24"/>
        <v/>
      </c>
      <c r="AA138" s="85" t="str">
        <f t="shared" si="25"/>
        <v/>
      </c>
      <c r="AB138" s="85" t="str">
        <f t="shared" si="26"/>
        <v/>
      </c>
      <c r="AC138" s="68" t="s">
        <v>1215</v>
      </c>
      <c r="AD138" s="68" t="s">
        <v>1215</v>
      </c>
      <c r="AE138" s="68" t="s">
        <v>1215</v>
      </c>
      <c r="AF138" s="68" t="s">
        <v>1215</v>
      </c>
      <c r="AG138" s="68" t="s">
        <v>1215</v>
      </c>
      <c r="AH138" s="68" t="s">
        <v>1215</v>
      </c>
      <c r="AI138" s="68" t="s">
        <v>1215</v>
      </c>
      <c r="AJ138" s="68" t="s">
        <v>1215</v>
      </c>
      <c r="AK138" s="68" t="s">
        <v>1215</v>
      </c>
      <c r="AL138" s="68"/>
      <c r="AM138" s="68" t="s">
        <v>1215</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1189</v>
      </c>
      <c r="AV138" s="66" t="s">
        <v>1204</v>
      </c>
      <c r="AW138" s="66" t="s">
        <v>1898</v>
      </c>
      <c r="AX138" s="66" t="s">
        <v>1206</v>
      </c>
      <c r="AY138" s="66">
        <v>2022</v>
      </c>
      <c r="AZ138" s="66" t="s">
        <v>927</v>
      </c>
      <c r="BA138" s="66"/>
      <c r="BB138" s="178"/>
      <c r="BC138" s="72">
        <v>2026</v>
      </c>
      <c r="BD138" s="66"/>
      <c r="BE138" s="178"/>
      <c r="BF138" s="66" t="s">
        <v>1278</v>
      </c>
    </row>
    <row r="139" spans="1:58" ht="28">
      <c r="A139" s="66" t="s">
        <v>1960</v>
      </c>
      <c r="B139" s="66" t="s">
        <v>1808</v>
      </c>
      <c r="C139" s="66"/>
      <c r="D139" s="66"/>
      <c r="E139" s="66" t="s">
        <v>1806</v>
      </c>
      <c r="F139" s="66" t="s">
        <v>1388</v>
      </c>
      <c r="G139" s="66" t="s">
        <v>1289</v>
      </c>
      <c r="H139" s="66" t="s">
        <v>1181</v>
      </c>
      <c r="I139" s="66" t="s">
        <v>1809</v>
      </c>
      <c r="J139" s="66" t="s">
        <v>1196</v>
      </c>
      <c r="K139" s="66" t="s">
        <v>1277</v>
      </c>
      <c r="L139" s="66" t="s">
        <v>1215</v>
      </c>
      <c r="M139" s="66" t="s">
        <v>1266</v>
      </c>
      <c r="N139" s="66" t="s">
        <v>1215</v>
      </c>
      <c r="O139" s="66" t="s">
        <v>1277</v>
      </c>
      <c r="P139" s="66" t="s">
        <v>1215</v>
      </c>
      <c r="Q139" s="86" t="s">
        <v>1215</v>
      </c>
      <c r="R139" s="86" t="s">
        <v>1215</v>
      </c>
      <c r="S139" s="86" t="s">
        <v>1215</v>
      </c>
      <c r="T139" s="86" t="s">
        <v>1215</v>
      </c>
      <c r="U139" s="86" t="s">
        <v>1215</v>
      </c>
      <c r="V139" s="86" t="s">
        <v>1215</v>
      </c>
      <c r="W139" s="67"/>
      <c r="X139" s="84" t="str">
        <f t="shared" si="22"/>
        <v>Belum Dinilai</v>
      </c>
      <c r="Y139" s="84" t="str">
        <f t="shared" si="23"/>
        <v>Belum Dinilai</v>
      </c>
      <c r="Z139" s="85" t="str">
        <f t="shared" si="24"/>
        <v/>
      </c>
      <c r="AA139" s="85" t="str">
        <f t="shared" si="25"/>
        <v/>
      </c>
      <c r="AB139" s="85" t="str">
        <f t="shared" si="26"/>
        <v/>
      </c>
      <c r="AC139" s="68" t="s">
        <v>1215</v>
      </c>
      <c r="AD139" s="68" t="s">
        <v>1215</v>
      </c>
      <c r="AE139" s="68" t="s">
        <v>1215</v>
      </c>
      <c r="AF139" s="68" t="s">
        <v>1215</v>
      </c>
      <c r="AG139" s="68" t="s">
        <v>1215</v>
      </c>
      <c r="AH139" s="68" t="s">
        <v>1215</v>
      </c>
      <c r="AI139" s="68" t="s">
        <v>1215</v>
      </c>
      <c r="AJ139" s="68" t="s">
        <v>1215</v>
      </c>
      <c r="AK139" s="68" t="s">
        <v>1215</v>
      </c>
      <c r="AL139" s="68"/>
      <c r="AM139" s="68" t="s">
        <v>1215</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1189</v>
      </c>
      <c r="AV139" s="66" t="s">
        <v>1204</v>
      </c>
      <c r="AW139" s="66" t="s">
        <v>1190</v>
      </c>
      <c r="AX139" s="66"/>
      <c r="AY139" s="66"/>
      <c r="AZ139" s="66" t="s">
        <v>927</v>
      </c>
      <c r="BA139" s="66"/>
      <c r="BB139" s="178"/>
      <c r="BC139" s="72">
        <v>2026</v>
      </c>
      <c r="BD139" s="66"/>
      <c r="BE139" s="178"/>
      <c r="BF139" s="66" t="s">
        <v>1278</v>
      </c>
    </row>
    <row r="140" spans="1:58" ht="42">
      <c r="A140" s="66" t="s">
        <v>1694</v>
      </c>
      <c r="B140" s="66" t="s">
        <v>1810</v>
      </c>
      <c r="C140" s="66"/>
      <c r="D140" s="66"/>
      <c r="E140" s="66" t="s">
        <v>1811</v>
      </c>
      <c r="F140" s="66" t="s">
        <v>1356</v>
      </c>
      <c r="G140" s="66" t="s">
        <v>1289</v>
      </c>
      <c r="H140" s="66" t="s">
        <v>1195</v>
      </c>
      <c r="I140" s="66" t="s">
        <v>1812</v>
      </c>
      <c r="J140" s="66" t="s">
        <v>1196</v>
      </c>
      <c r="K140" s="66" t="s">
        <v>1277</v>
      </c>
      <c r="L140" s="66" t="s">
        <v>1215</v>
      </c>
      <c r="M140" s="66" t="s">
        <v>1266</v>
      </c>
      <c r="N140" s="66" t="s">
        <v>1215</v>
      </c>
      <c r="O140" s="66" t="s">
        <v>1277</v>
      </c>
      <c r="P140" s="66" t="s">
        <v>1215</v>
      </c>
      <c r="Q140" s="86" t="s">
        <v>1215</v>
      </c>
      <c r="R140" s="86" t="s">
        <v>1215</v>
      </c>
      <c r="S140" s="86" t="s">
        <v>1215</v>
      </c>
      <c r="T140" s="86" t="s">
        <v>1215</v>
      </c>
      <c r="U140" s="86" t="s">
        <v>1215</v>
      </c>
      <c r="V140" s="86" t="s">
        <v>1215</v>
      </c>
      <c r="W140" s="67"/>
      <c r="X140" s="84" t="str">
        <f t="shared" si="22"/>
        <v>Belum Dinilai</v>
      </c>
      <c r="Y140" s="84" t="str">
        <f t="shared" si="23"/>
        <v>Belum Dinilai</v>
      </c>
      <c r="Z140" s="85" t="str">
        <f t="shared" si="24"/>
        <v/>
      </c>
      <c r="AA140" s="85" t="str">
        <f t="shared" si="25"/>
        <v/>
      </c>
      <c r="AB140" s="85" t="str">
        <f t="shared" si="26"/>
        <v/>
      </c>
      <c r="AC140" s="68" t="s">
        <v>1215</v>
      </c>
      <c r="AD140" s="68" t="s">
        <v>1215</v>
      </c>
      <c r="AE140" s="68" t="s">
        <v>1215</v>
      </c>
      <c r="AF140" s="68" t="s">
        <v>1215</v>
      </c>
      <c r="AG140" s="68" t="s">
        <v>1215</v>
      </c>
      <c r="AH140" s="68" t="s">
        <v>1215</v>
      </c>
      <c r="AI140" s="68" t="s">
        <v>1215</v>
      </c>
      <c r="AJ140" s="68" t="s">
        <v>1215</v>
      </c>
      <c r="AK140" s="68" t="s">
        <v>1215</v>
      </c>
      <c r="AL140" s="68"/>
      <c r="AM140" s="68" t="s">
        <v>1215</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1203</v>
      </c>
      <c r="AV140" s="66" t="s">
        <v>1204</v>
      </c>
      <c r="AW140" s="66" t="s">
        <v>1190</v>
      </c>
      <c r="AX140" s="66"/>
      <c r="AY140" s="66"/>
      <c r="AZ140" s="66" t="s">
        <v>1207</v>
      </c>
      <c r="BA140" s="66"/>
      <c r="BB140" s="178"/>
      <c r="BC140" s="72">
        <v>2026</v>
      </c>
      <c r="BD140" s="66"/>
      <c r="BE140" s="178"/>
      <c r="BF140" s="66" t="s">
        <v>1278</v>
      </c>
    </row>
    <row r="141" spans="1:58" ht="42">
      <c r="A141" s="66" t="s">
        <v>1697</v>
      </c>
      <c r="B141" s="66" t="s">
        <v>1813</v>
      </c>
      <c r="C141" s="66"/>
      <c r="D141" s="66"/>
      <c r="E141" s="66" t="s">
        <v>1814</v>
      </c>
      <c r="F141" s="66" t="s">
        <v>1624</v>
      </c>
      <c r="G141" s="66" t="s">
        <v>1310</v>
      </c>
      <c r="H141" s="66" t="s">
        <v>1181</v>
      </c>
      <c r="I141" s="66" t="s">
        <v>1815</v>
      </c>
      <c r="J141" s="66" t="s">
        <v>1182</v>
      </c>
      <c r="K141" s="66" t="s">
        <v>1197</v>
      </c>
      <c r="L141" s="66" t="s">
        <v>1215</v>
      </c>
      <c r="M141" s="66" t="s">
        <v>1265</v>
      </c>
      <c r="N141" s="66" t="s">
        <v>1215</v>
      </c>
      <c r="O141" s="66" t="s">
        <v>1213</v>
      </c>
      <c r="P141" s="66" t="s">
        <v>1215</v>
      </c>
      <c r="Q141" s="86" t="s">
        <v>1215</v>
      </c>
      <c r="R141" s="86" t="s">
        <v>1215</v>
      </c>
      <c r="S141" s="86" t="s">
        <v>1215</v>
      </c>
      <c r="T141" s="86" t="s">
        <v>1215</v>
      </c>
      <c r="U141" s="86" t="s">
        <v>1215</v>
      </c>
      <c r="V141" s="86" t="s">
        <v>1215</v>
      </c>
      <c r="W141" s="67"/>
      <c r="X141" s="84" t="str">
        <f t="shared" si="22"/>
        <v>Belum Dinilai</v>
      </c>
      <c r="Y141" s="84" t="str">
        <f t="shared" si="23"/>
        <v>Belum Dinilai</v>
      </c>
      <c r="Z141" s="85" t="str">
        <f t="shared" si="24"/>
        <v/>
      </c>
      <c r="AA141" s="85" t="str">
        <f t="shared" si="25"/>
        <v/>
      </c>
      <c r="AB141" s="85" t="str">
        <f t="shared" si="26"/>
        <v/>
      </c>
      <c r="AC141" s="68" t="s">
        <v>1215</v>
      </c>
      <c r="AD141" s="68" t="s">
        <v>1215</v>
      </c>
      <c r="AE141" s="68" t="s">
        <v>1215</v>
      </c>
      <c r="AF141" s="68" t="s">
        <v>1215</v>
      </c>
      <c r="AG141" s="68" t="s">
        <v>1215</v>
      </c>
      <c r="AH141" s="68" t="s">
        <v>1215</v>
      </c>
      <c r="AI141" s="68" t="s">
        <v>1215</v>
      </c>
      <c r="AJ141" s="68" t="s">
        <v>1215</v>
      </c>
      <c r="AK141" s="68" t="s">
        <v>1215</v>
      </c>
      <c r="AL141" s="68"/>
      <c r="AM141" s="68" t="s">
        <v>1215</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1189</v>
      </c>
      <c r="AV141" s="66" t="s">
        <v>1204</v>
      </c>
      <c r="AW141" s="66" t="s">
        <v>1190</v>
      </c>
      <c r="AX141" s="66"/>
      <c r="AY141" s="66"/>
      <c r="AZ141" s="66" t="s">
        <v>927</v>
      </c>
      <c r="BA141" s="66"/>
      <c r="BB141" s="178"/>
      <c r="BC141" s="72">
        <v>2026</v>
      </c>
      <c r="BD141" s="66"/>
      <c r="BE141" s="178"/>
      <c r="BF141" s="66" t="s">
        <v>1278</v>
      </c>
    </row>
    <row r="142" spans="1:58" ht="28">
      <c r="A142" s="66" t="s">
        <v>1700</v>
      </c>
      <c r="B142" s="66" t="s">
        <v>1816</v>
      </c>
      <c r="C142" s="66"/>
      <c r="D142" s="66"/>
      <c r="E142" s="66" t="s">
        <v>1817</v>
      </c>
      <c r="F142" s="66" t="s">
        <v>1356</v>
      </c>
      <c r="G142" s="66" t="s">
        <v>1289</v>
      </c>
      <c r="H142" s="66" t="s">
        <v>1181</v>
      </c>
      <c r="I142" s="66" t="s">
        <v>1818</v>
      </c>
      <c r="J142" s="66" t="s">
        <v>1210</v>
      </c>
      <c r="K142" s="66" t="s">
        <v>1197</v>
      </c>
      <c r="L142" s="66" t="s">
        <v>1215</v>
      </c>
      <c r="M142" s="66" t="s">
        <v>1266</v>
      </c>
      <c r="N142" s="66" t="s">
        <v>1215</v>
      </c>
      <c r="O142" s="66" t="s">
        <v>1213</v>
      </c>
      <c r="P142" s="66" t="s">
        <v>1215</v>
      </c>
      <c r="Q142" s="86" t="s">
        <v>1215</v>
      </c>
      <c r="R142" s="86" t="s">
        <v>1215</v>
      </c>
      <c r="S142" s="86" t="s">
        <v>1215</v>
      </c>
      <c r="T142" s="86" t="s">
        <v>1215</v>
      </c>
      <c r="U142" s="86" t="s">
        <v>1215</v>
      </c>
      <c r="V142" s="86" t="s">
        <v>1215</v>
      </c>
      <c r="W142" s="67"/>
      <c r="X142" s="84" t="str">
        <f t="shared" si="22"/>
        <v>Belum Dinilai</v>
      </c>
      <c r="Y142" s="84" t="str">
        <f t="shared" si="23"/>
        <v>Belum Dinilai</v>
      </c>
      <c r="Z142" s="85" t="str">
        <f t="shared" si="24"/>
        <v/>
      </c>
      <c r="AA142" s="85" t="str">
        <f t="shared" si="25"/>
        <v/>
      </c>
      <c r="AB142" s="85" t="str">
        <f t="shared" si="26"/>
        <v/>
      </c>
      <c r="AC142" s="68" t="s">
        <v>1215</v>
      </c>
      <c r="AD142" s="68" t="s">
        <v>1215</v>
      </c>
      <c r="AE142" s="68" t="s">
        <v>1215</v>
      </c>
      <c r="AF142" s="68" t="s">
        <v>1215</v>
      </c>
      <c r="AG142" s="68" t="s">
        <v>1215</v>
      </c>
      <c r="AH142" s="68" t="s">
        <v>1215</v>
      </c>
      <c r="AI142" s="68" t="s">
        <v>1215</v>
      </c>
      <c r="AJ142" s="68" t="s">
        <v>1215</v>
      </c>
      <c r="AK142" s="68" t="s">
        <v>1215</v>
      </c>
      <c r="AL142" s="68"/>
      <c r="AM142" s="68" t="s">
        <v>1215</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1189</v>
      </c>
      <c r="AV142" s="66" t="s">
        <v>1204</v>
      </c>
      <c r="AW142" s="66" t="s">
        <v>1898</v>
      </c>
      <c r="AX142" s="66" t="s">
        <v>1206</v>
      </c>
      <c r="AY142" s="66">
        <v>2023</v>
      </c>
      <c r="AZ142" s="66" t="s">
        <v>927</v>
      </c>
      <c r="BA142" s="66"/>
      <c r="BB142" s="178"/>
      <c r="BC142" s="72">
        <v>2026</v>
      </c>
      <c r="BD142" s="66"/>
      <c r="BE142" s="178"/>
      <c r="BF142" s="66" t="s">
        <v>1278</v>
      </c>
    </row>
    <row r="143" spans="1:58" ht="28">
      <c r="A143" s="66" t="s">
        <v>1703</v>
      </c>
      <c r="B143" s="66" t="s">
        <v>1819</v>
      </c>
      <c r="C143" s="66"/>
      <c r="D143" s="66"/>
      <c r="E143" s="66" t="s">
        <v>1304</v>
      </c>
      <c r="F143" s="66" t="s">
        <v>1356</v>
      </c>
      <c r="G143" s="66" t="s">
        <v>1289</v>
      </c>
      <c r="H143" s="66" t="s">
        <v>1181</v>
      </c>
      <c r="I143" s="66" t="s">
        <v>1820</v>
      </c>
      <c r="J143" s="66" t="s">
        <v>1210</v>
      </c>
      <c r="K143" s="66" t="s">
        <v>1197</v>
      </c>
      <c r="L143" s="66" t="s">
        <v>1215</v>
      </c>
      <c r="M143" s="66" t="s">
        <v>1266</v>
      </c>
      <c r="N143" s="66" t="s">
        <v>1215</v>
      </c>
      <c r="O143" s="66" t="s">
        <v>1213</v>
      </c>
      <c r="P143" s="66" t="s">
        <v>1215</v>
      </c>
      <c r="Q143" s="86" t="s">
        <v>1215</v>
      </c>
      <c r="R143" s="86" t="s">
        <v>1215</v>
      </c>
      <c r="S143" s="86" t="s">
        <v>1215</v>
      </c>
      <c r="T143" s="86" t="s">
        <v>1215</v>
      </c>
      <c r="U143" s="86" t="s">
        <v>1215</v>
      </c>
      <c r="V143" s="86" t="s">
        <v>1215</v>
      </c>
      <c r="W143" s="67"/>
      <c r="X143" s="84" t="str">
        <f t="shared" si="22"/>
        <v>Belum Dinilai</v>
      </c>
      <c r="Y143" s="84" t="str">
        <f t="shared" si="23"/>
        <v>Belum Dinilai</v>
      </c>
      <c r="Z143" s="85" t="str">
        <f t="shared" si="24"/>
        <v/>
      </c>
      <c r="AA143" s="85" t="str">
        <f t="shared" si="25"/>
        <v/>
      </c>
      <c r="AB143" s="85" t="str">
        <f t="shared" si="26"/>
        <v/>
      </c>
      <c r="AC143" s="68" t="s">
        <v>1215</v>
      </c>
      <c r="AD143" s="68" t="s">
        <v>1215</v>
      </c>
      <c r="AE143" s="68" t="s">
        <v>1215</v>
      </c>
      <c r="AF143" s="68" t="s">
        <v>1215</v>
      </c>
      <c r="AG143" s="68" t="s">
        <v>1215</v>
      </c>
      <c r="AH143" s="68" t="s">
        <v>1215</v>
      </c>
      <c r="AI143" s="68" t="s">
        <v>1215</v>
      </c>
      <c r="AJ143" s="68" t="s">
        <v>1215</v>
      </c>
      <c r="AK143" s="68" t="s">
        <v>1215</v>
      </c>
      <c r="AL143" s="68"/>
      <c r="AM143" s="68" t="s">
        <v>1215</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1189</v>
      </c>
      <c r="AV143" s="66" t="s">
        <v>1204</v>
      </c>
      <c r="AW143" s="66" t="s">
        <v>1898</v>
      </c>
      <c r="AX143" s="66" t="s">
        <v>1206</v>
      </c>
      <c r="AY143" s="66">
        <v>2024</v>
      </c>
      <c r="AZ143" s="66" t="s">
        <v>927</v>
      </c>
      <c r="BA143" s="66"/>
      <c r="BB143" s="178"/>
      <c r="BC143" s="72">
        <v>2026</v>
      </c>
      <c r="BD143" s="66"/>
      <c r="BE143" s="178"/>
      <c r="BF143" s="66" t="s">
        <v>1278</v>
      </c>
    </row>
    <row r="144" spans="1:58" ht="28">
      <c r="A144" s="66" t="s">
        <v>1706</v>
      </c>
      <c r="B144" s="66" t="s">
        <v>1821</v>
      </c>
      <c r="C144" s="83" t="s">
        <v>1911</v>
      </c>
      <c r="D144" s="83" t="s">
        <v>1912</v>
      </c>
      <c r="E144" s="66" t="s">
        <v>1910</v>
      </c>
      <c r="F144" s="66" t="s">
        <v>1356</v>
      </c>
      <c r="G144" s="66" t="s">
        <v>1289</v>
      </c>
      <c r="H144" s="66" t="s">
        <v>1181</v>
      </c>
      <c r="I144" s="66" t="s">
        <v>1822</v>
      </c>
      <c r="J144" s="66" t="s">
        <v>1196</v>
      </c>
      <c r="K144" s="66" t="s">
        <v>1183</v>
      </c>
      <c r="L144" s="66" t="s">
        <v>905</v>
      </c>
      <c r="M144" s="66" t="s">
        <v>1266</v>
      </c>
      <c r="N144" s="66" t="s">
        <v>905</v>
      </c>
      <c r="O144" s="66" t="s">
        <v>1213</v>
      </c>
      <c r="P144" s="66" t="s">
        <v>905</v>
      </c>
      <c r="Q144" s="86" t="s">
        <v>1186</v>
      </c>
      <c r="R144" s="86" t="s">
        <v>1201</v>
      </c>
      <c r="S144" s="86" t="s">
        <v>1201</v>
      </c>
      <c r="T144" s="86" t="s">
        <v>1201</v>
      </c>
      <c r="U144" s="86" t="s">
        <v>1201</v>
      </c>
      <c r="V144" s="86" t="s">
        <v>1201</v>
      </c>
      <c r="W144" s="67"/>
      <c r="X144" s="84" t="str">
        <f t="shared" si="22"/>
        <v>Tidak ada faktor rentan</v>
      </c>
      <c r="Y144" s="84" t="str">
        <f t="shared" si="23"/>
        <v>Tidak Ada Faktor Rentan</v>
      </c>
      <c r="Z144" s="85">
        <f t="shared" si="24"/>
        <v>10</v>
      </c>
      <c r="AA144" s="85">
        <f t="shared" si="25"/>
        <v>0</v>
      </c>
      <c r="AB144" s="85">
        <f t="shared" si="26"/>
        <v>10</v>
      </c>
      <c r="AC144" s="68" t="s">
        <v>1201</v>
      </c>
      <c r="AD144" s="68" t="s">
        <v>1201</v>
      </c>
      <c r="AE144" s="68" t="s">
        <v>1187</v>
      </c>
      <c r="AF144" s="68" t="s">
        <v>1201</v>
      </c>
      <c r="AG144" s="68" t="s">
        <v>1187</v>
      </c>
      <c r="AH144" s="68" t="s">
        <v>1187</v>
      </c>
      <c r="AI144" s="68" t="s">
        <v>1187</v>
      </c>
      <c r="AJ144" s="68" t="s">
        <v>1201</v>
      </c>
      <c r="AK144" s="68" t="s">
        <v>1201</v>
      </c>
      <c r="AL144" s="68"/>
      <c r="AM144" s="68" t="s">
        <v>1215</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1189</v>
      </c>
      <c r="AV144" s="66" t="s">
        <v>1204</v>
      </c>
      <c r="AW144" s="66" t="s">
        <v>1205</v>
      </c>
      <c r="AX144" s="66" t="s">
        <v>1283</v>
      </c>
      <c r="AY144" s="66">
        <v>2026</v>
      </c>
      <c r="AZ144" s="66" t="s">
        <v>927</v>
      </c>
      <c r="BA144" s="66"/>
      <c r="BB144" s="178"/>
      <c r="BC144" s="72">
        <v>2026</v>
      </c>
      <c r="BD144" s="66"/>
      <c r="BE144" s="178"/>
      <c r="BF144" s="66" t="s">
        <v>1278</v>
      </c>
    </row>
    <row r="145" spans="1:58" ht="28">
      <c r="A145" s="66" t="s">
        <v>1709</v>
      </c>
      <c r="B145" s="66" t="s">
        <v>1823</v>
      </c>
      <c r="C145" s="66"/>
      <c r="D145" s="66"/>
      <c r="E145" s="66" t="s">
        <v>1824</v>
      </c>
      <c r="F145" s="66" t="s">
        <v>1356</v>
      </c>
      <c r="G145" s="66" t="s">
        <v>1289</v>
      </c>
      <c r="H145" s="66" t="s">
        <v>1262</v>
      </c>
      <c r="I145" s="66" t="s">
        <v>1825</v>
      </c>
      <c r="J145" s="66" t="s">
        <v>1182</v>
      </c>
      <c r="K145" s="66" t="s">
        <v>1277</v>
      </c>
      <c r="L145" s="66" t="s">
        <v>1215</v>
      </c>
      <c r="M145" s="66" t="s">
        <v>1265</v>
      </c>
      <c r="N145" s="66" t="s">
        <v>1215</v>
      </c>
      <c r="O145" s="66" t="s">
        <v>1277</v>
      </c>
      <c r="P145" s="66" t="s">
        <v>1215</v>
      </c>
      <c r="Q145" s="86" t="s">
        <v>1215</v>
      </c>
      <c r="R145" s="86" t="s">
        <v>1215</v>
      </c>
      <c r="S145" s="86" t="s">
        <v>1215</v>
      </c>
      <c r="T145" s="86" t="s">
        <v>1215</v>
      </c>
      <c r="U145" s="86" t="s">
        <v>1215</v>
      </c>
      <c r="V145" s="86" t="s">
        <v>1215</v>
      </c>
      <c r="W145" s="67"/>
      <c r="X145" s="84" t="str">
        <f t="shared" si="22"/>
        <v>Belum Dinilai</v>
      </c>
      <c r="Y145" s="84" t="str">
        <f t="shared" si="23"/>
        <v>Belum Dinilai</v>
      </c>
      <c r="Z145" s="85" t="str">
        <f t="shared" si="24"/>
        <v/>
      </c>
      <c r="AA145" s="85" t="str">
        <f t="shared" si="25"/>
        <v/>
      </c>
      <c r="AB145" s="85" t="str">
        <f t="shared" si="26"/>
        <v/>
      </c>
      <c r="AC145" s="68" t="s">
        <v>1215</v>
      </c>
      <c r="AD145" s="68" t="s">
        <v>1215</v>
      </c>
      <c r="AE145" s="68" t="s">
        <v>1215</v>
      </c>
      <c r="AF145" s="68" t="s">
        <v>1215</v>
      </c>
      <c r="AG145" s="68" t="s">
        <v>1215</v>
      </c>
      <c r="AH145" s="68" t="s">
        <v>1215</v>
      </c>
      <c r="AI145" s="68" t="s">
        <v>1215</v>
      </c>
      <c r="AJ145" s="68" t="s">
        <v>1215</v>
      </c>
      <c r="AK145" s="68" t="s">
        <v>1215</v>
      </c>
      <c r="AL145" s="68"/>
      <c r="AM145" s="68" t="s">
        <v>1215</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1189</v>
      </c>
      <c r="AV145" s="66" t="s">
        <v>1204</v>
      </c>
      <c r="AW145" s="66" t="s">
        <v>1190</v>
      </c>
      <c r="AX145" s="66"/>
      <c r="AY145" s="66"/>
      <c r="AZ145" s="66" t="s">
        <v>927</v>
      </c>
      <c r="BA145" s="66"/>
      <c r="BB145" s="178"/>
      <c r="BC145" s="72">
        <v>2026</v>
      </c>
      <c r="BD145" s="66"/>
      <c r="BE145" s="178"/>
      <c r="BF145" s="66" t="s">
        <v>1278</v>
      </c>
    </row>
    <row r="146" spans="1:58" ht="28">
      <c r="A146" s="66" t="s">
        <v>1711</v>
      </c>
      <c r="B146" s="66" t="s">
        <v>1826</v>
      </c>
      <c r="C146" s="66"/>
      <c r="D146" s="66"/>
      <c r="E146" s="66" t="s">
        <v>1827</v>
      </c>
      <c r="F146" s="66" t="s">
        <v>1288</v>
      </c>
      <c r="G146" s="66" t="s">
        <v>1289</v>
      </c>
      <c r="H146" s="66" t="s">
        <v>1262</v>
      </c>
      <c r="I146" s="66" t="s">
        <v>1414</v>
      </c>
      <c r="J146" s="66" t="s">
        <v>1182</v>
      </c>
      <c r="K146" s="66" t="s">
        <v>1277</v>
      </c>
      <c r="L146" s="66" t="s">
        <v>1215</v>
      </c>
      <c r="M146" s="66" t="s">
        <v>1265</v>
      </c>
      <c r="N146" s="66" t="s">
        <v>1215</v>
      </c>
      <c r="O146" s="66" t="s">
        <v>1277</v>
      </c>
      <c r="P146" s="66" t="s">
        <v>1215</v>
      </c>
      <c r="Q146" s="86" t="s">
        <v>1215</v>
      </c>
      <c r="R146" s="86" t="s">
        <v>1215</v>
      </c>
      <c r="S146" s="86" t="s">
        <v>1215</v>
      </c>
      <c r="T146" s="86" t="s">
        <v>1215</v>
      </c>
      <c r="U146" s="86" t="s">
        <v>1215</v>
      </c>
      <c r="V146" s="86" t="s">
        <v>1215</v>
      </c>
      <c r="W146" s="67"/>
      <c r="X146" s="84" t="str">
        <f t="shared" si="22"/>
        <v>Belum Dinilai</v>
      </c>
      <c r="Y146" s="84" t="str">
        <f t="shared" si="23"/>
        <v>Belum Dinilai</v>
      </c>
      <c r="Z146" s="85" t="str">
        <f t="shared" si="24"/>
        <v/>
      </c>
      <c r="AA146" s="85" t="str">
        <f t="shared" si="25"/>
        <v/>
      </c>
      <c r="AB146" s="85" t="str">
        <f t="shared" si="26"/>
        <v/>
      </c>
      <c r="AC146" s="68" t="s">
        <v>1215</v>
      </c>
      <c r="AD146" s="68" t="s">
        <v>1215</v>
      </c>
      <c r="AE146" s="68" t="s">
        <v>1215</v>
      </c>
      <c r="AF146" s="68" t="s">
        <v>1215</v>
      </c>
      <c r="AG146" s="68" t="s">
        <v>1215</v>
      </c>
      <c r="AH146" s="68" t="s">
        <v>1215</v>
      </c>
      <c r="AI146" s="68" t="s">
        <v>1215</v>
      </c>
      <c r="AJ146" s="68" t="s">
        <v>1215</v>
      </c>
      <c r="AK146" s="68" t="s">
        <v>1215</v>
      </c>
      <c r="AL146" s="68"/>
      <c r="AM146" s="68" t="s">
        <v>1215</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1203</v>
      </c>
      <c r="AV146" s="66" t="s">
        <v>1204</v>
      </c>
      <c r="AW146" s="66" t="s">
        <v>1190</v>
      </c>
      <c r="AX146" s="66"/>
      <c r="AY146" s="66"/>
      <c r="AZ146" s="66" t="s">
        <v>927</v>
      </c>
      <c r="BA146" s="66"/>
      <c r="BB146" s="178"/>
      <c r="BC146" s="72">
        <v>2026</v>
      </c>
      <c r="BD146" s="66"/>
      <c r="BE146" s="178"/>
      <c r="BF146" s="66" t="s">
        <v>1278</v>
      </c>
    </row>
    <row r="147" spans="1:58" ht="28">
      <c r="A147" s="66" t="s">
        <v>1714</v>
      </c>
      <c r="B147" s="66" t="s">
        <v>1828</v>
      </c>
      <c r="C147" s="66"/>
      <c r="D147" s="66"/>
      <c r="E147" s="66" t="s">
        <v>1829</v>
      </c>
      <c r="F147" s="66" t="s">
        <v>1458</v>
      </c>
      <c r="G147" s="66" t="s">
        <v>1310</v>
      </c>
      <c r="H147" s="66" t="s">
        <v>1262</v>
      </c>
      <c r="I147" s="66" t="s">
        <v>1414</v>
      </c>
      <c r="J147" s="66" t="s">
        <v>1182</v>
      </c>
      <c r="K147" s="66" t="s">
        <v>1277</v>
      </c>
      <c r="L147" s="66" t="s">
        <v>1215</v>
      </c>
      <c r="M147" s="66" t="s">
        <v>1265</v>
      </c>
      <c r="N147" s="66" t="s">
        <v>1215</v>
      </c>
      <c r="O147" s="66" t="s">
        <v>1277</v>
      </c>
      <c r="P147" s="66" t="s">
        <v>1215</v>
      </c>
      <c r="Q147" s="86" t="s">
        <v>1215</v>
      </c>
      <c r="R147" s="86" t="s">
        <v>1215</v>
      </c>
      <c r="S147" s="86" t="s">
        <v>1215</v>
      </c>
      <c r="T147" s="86" t="s">
        <v>1215</v>
      </c>
      <c r="U147" s="86" t="s">
        <v>1215</v>
      </c>
      <c r="V147" s="86" t="s">
        <v>1215</v>
      </c>
      <c r="W147" s="67"/>
      <c r="X147" s="84" t="str">
        <f t="shared" si="22"/>
        <v>Belum Dinilai</v>
      </c>
      <c r="Y147" s="84" t="str">
        <f t="shared" si="23"/>
        <v>Belum Dinilai</v>
      </c>
      <c r="Z147" s="85" t="str">
        <f t="shared" si="24"/>
        <v/>
      </c>
      <c r="AA147" s="85" t="str">
        <f t="shared" si="25"/>
        <v/>
      </c>
      <c r="AB147" s="85" t="str">
        <f t="shared" si="26"/>
        <v/>
      </c>
      <c r="AC147" s="68" t="s">
        <v>1215</v>
      </c>
      <c r="AD147" s="68" t="s">
        <v>1215</v>
      </c>
      <c r="AE147" s="68" t="s">
        <v>1215</v>
      </c>
      <c r="AF147" s="68" t="s">
        <v>1215</v>
      </c>
      <c r="AG147" s="68" t="s">
        <v>1215</v>
      </c>
      <c r="AH147" s="68" t="s">
        <v>1215</v>
      </c>
      <c r="AI147" s="68" t="s">
        <v>1215</v>
      </c>
      <c r="AJ147" s="68" t="s">
        <v>1215</v>
      </c>
      <c r="AK147" s="68" t="s">
        <v>1215</v>
      </c>
      <c r="AL147" s="68"/>
      <c r="AM147" s="68" t="s">
        <v>1215</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1189</v>
      </c>
      <c r="AV147" s="66" t="s">
        <v>1204</v>
      </c>
      <c r="AW147" s="66" t="s">
        <v>1190</v>
      </c>
      <c r="AX147" s="66"/>
      <c r="AY147" s="66"/>
      <c r="AZ147" s="66" t="s">
        <v>927</v>
      </c>
      <c r="BA147" s="66"/>
      <c r="BB147" s="178"/>
      <c r="BC147" s="72">
        <v>2026</v>
      </c>
      <c r="BD147" s="66"/>
      <c r="BE147" s="178"/>
      <c r="BF147" s="66" t="s">
        <v>1278</v>
      </c>
    </row>
    <row r="148" spans="1:58" ht="28">
      <c r="A148" s="66" t="s">
        <v>1718</v>
      </c>
      <c r="B148" s="66" t="s">
        <v>1830</v>
      </c>
      <c r="C148" s="66"/>
      <c r="D148" s="66"/>
      <c r="E148" s="66" t="s">
        <v>1829</v>
      </c>
      <c r="F148" s="66" t="s">
        <v>1458</v>
      </c>
      <c r="G148" s="66" t="s">
        <v>1310</v>
      </c>
      <c r="H148" s="66" t="s">
        <v>1195</v>
      </c>
      <c r="I148" s="66" t="s">
        <v>1831</v>
      </c>
      <c r="J148" s="66" t="s">
        <v>1196</v>
      </c>
      <c r="K148" s="66" t="s">
        <v>1277</v>
      </c>
      <c r="L148" s="66" t="s">
        <v>1215</v>
      </c>
      <c r="M148" s="66" t="s">
        <v>1266</v>
      </c>
      <c r="N148" s="66" t="s">
        <v>1215</v>
      </c>
      <c r="O148" s="66" t="s">
        <v>1277</v>
      </c>
      <c r="P148" s="66" t="s">
        <v>1215</v>
      </c>
      <c r="Q148" s="86" t="s">
        <v>1215</v>
      </c>
      <c r="R148" s="86" t="s">
        <v>1215</v>
      </c>
      <c r="S148" s="86" t="s">
        <v>1215</v>
      </c>
      <c r="T148" s="86" t="s">
        <v>1215</v>
      </c>
      <c r="U148" s="86" t="s">
        <v>1215</v>
      </c>
      <c r="V148" s="86" t="s">
        <v>1215</v>
      </c>
      <c r="W148" s="67"/>
      <c r="X148" s="84" t="str">
        <f t="shared" si="22"/>
        <v>Belum Dinilai</v>
      </c>
      <c r="Y148" s="84" t="str">
        <f t="shared" si="23"/>
        <v>Belum Dinilai</v>
      </c>
      <c r="Z148" s="85" t="str">
        <f t="shared" si="24"/>
        <v/>
      </c>
      <c r="AA148" s="85" t="str">
        <f t="shared" si="25"/>
        <v/>
      </c>
      <c r="AB148" s="85" t="str">
        <f t="shared" si="26"/>
        <v/>
      </c>
      <c r="AC148" s="68" t="s">
        <v>1215</v>
      </c>
      <c r="AD148" s="68" t="s">
        <v>1215</v>
      </c>
      <c r="AE148" s="68" t="s">
        <v>1215</v>
      </c>
      <c r="AF148" s="68" t="s">
        <v>1215</v>
      </c>
      <c r="AG148" s="68" t="s">
        <v>1215</v>
      </c>
      <c r="AH148" s="68" t="s">
        <v>1215</v>
      </c>
      <c r="AI148" s="68" t="s">
        <v>1215</v>
      </c>
      <c r="AJ148" s="68" t="s">
        <v>1215</v>
      </c>
      <c r="AK148" s="68" t="s">
        <v>1215</v>
      </c>
      <c r="AL148" s="68"/>
      <c r="AM148" s="68" t="s">
        <v>1215</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1189</v>
      </c>
      <c r="AV148" s="66" t="s">
        <v>1204</v>
      </c>
      <c r="AW148" s="66" t="s">
        <v>1898</v>
      </c>
      <c r="AX148" s="66" t="s">
        <v>1206</v>
      </c>
      <c r="AY148" s="66">
        <v>2024</v>
      </c>
      <c r="AZ148" s="66" t="s">
        <v>927</v>
      </c>
      <c r="BA148" s="66"/>
      <c r="BB148" s="178"/>
      <c r="BC148" s="72">
        <v>2026</v>
      </c>
      <c r="BD148" s="66"/>
      <c r="BE148" s="178"/>
      <c r="BF148" s="66" t="s">
        <v>1278</v>
      </c>
    </row>
    <row r="149" spans="1:58" ht="28">
      <c r="A149" s="66" t="s">
        <v>1722</v>
      </c>
      <c r="B149" s="66" t="s">
        <v>1832</v>
      </c>
      <c r="C149" s="66"/>
      <c r="D149" s="66"/>
      <c r="E149" s="66" t="s">
        <v>1833</v>
      </c>
      <c r="F149" s="66" t="s">
        <v>1288</v>
      </c>
      <c r="G149" s="66" t="s">
        <v>1289</v>
      </c>
      <c r="H149" s="66" t="s">
        <v>1181</v>
      </c>
      <c r="I149" s="66" t="s">
        <v>1290</v>
      </c>
      <c r="J149" s="66" t="s">
        <v>1210</v>
      </c>
      <c r="K149" s="66" t="s">
        <v>1277</v>
      </c>
      <c r="L149" s="66" t="s">
        <v>1215</v>
      </c>
      <c r="M149" s="66" t="s">
        <v>1266</v>
      </c>
      <c r="N149" s="66" t="s">
        <v>1215</v>
      </c>
      <c r="O149" s="66" t="s">
        <v>1277</v>
      </c>
      <c r="P149" s="66" t="s">
        <v>1215</v>
      </c>
      <c r="Q149" s="86" t="s">
        <v>1215</v>
      </c>
      <c r="R149" s="86" t="s">
        <v>1215</v>
      </c>
      <c r="S149" s="86" t="s">
        <v>1215</v>
      </c>
      <c r="T149" s="86" t="s">
        <v>1215</v>
      </c>
      <c r="U149" s="86" t="s">
        <v>1215</v>
      </c>
      <c r="V149" s="86" t="s">
        <v>1215</v>
      </c>
      <c r="W149" s="67"/>
      <c r="X149" s="84" t="str">
        <f t="shared" si="22"/>
        <v>Belum Dinilai</v>
      </c>
      <c r="Y149" s="84" t="str">
        <f t="shared" si="23"/>
        <v>Belum Dinilai</v>
      </c>
      <c r="Z149" s="85" t="str">
        <f t="shared" si="24"/>
        <v/>
      </c>
      <c r="AA149" s="85" t="str">
        <f t="shared" si="25"/>
        <v/>
      </c>
      <c r="AB149" s="85" t="str">
        <f t="shared" si="26"/>
        <v/>
      </c>
      <c r="AC149" s="68" t="s">
        <v>1215</v>
      </c>
      <c r="AD149" s="68" t="s">
        <v>1215</v>
      </c>
      <c r="AE149" s="68" t="s">
        <v>1215</v>
      </c>
      <c r="AF149" s="68" t="s">
        <v>1215</v>
      </c>
      <c r="AG149" s="68" t="s">
        <v>1215</v>
      </c>
      <c r="AH149" s="68" t="s">
        <v>1215</v>
      </c>
      <c r="AI149" s="68" t="s">
        <v>1215</v>
      </c>
      <c r="AJ149" s="68" t="s">
        <v>1215</v>
      </c>
      <c r="AK149" s="68" t="s">
        <v>1215</v>
      </c>
      <c r="AL149" s="68"/>
      <c r="AM149" s="68" t="s">
        <v>1215</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1189</v>
      </c>
      <c r="AV149" s="66" t="s">
        <v>1204</v>
      </c>
      <c r="AW149" s="66" t="s">
        <v>1898</v>
      </c>
      <c r="AX149" s="66" t="s">
        <v>1206</v>
      </c>
      <c r="AY149" s="66">
        <v>2022</v>
      </c>
      <c r="AZ149" s="66" t="s">
        <v>927</v>
      </c>
      <c r="BA149" s="66"/>
      <c r="BB149" s="178"/>
      <c r="BC149" s="72">
        <v>2026</v>
      </c>
      <c r="BD149" s="66"/>
      <c r="BE149" s="178"/>
      <c r="BF149" s="66" t="s">
        <v>1278</v>
      </c>
    </row>
    <row r="150" spans="1:58" ht="42">
      <c r="A150" s="66" t="s">
        <v>1726</v>
      </c>
      <c r="B150" s="66" t="s">
        <v>1834</v>
      </c>
      <c r="C150" s="66"/>
      <c r="D150" s="66"/>
      <c r="E150" s="66" t="s">
        <v>1304</v>
      </c>
      <c r="F150" s="66" t="s">
        <v>1350</v>
      </c>
      <c r="G150" s="66" t="s">
        <v>1351</v>
      </c>
      <c r="H150" s="66" t="s">
        <v>1262</v>
      </c>
      <c r="I150" s="66" t="s">
        <v>1835</v>
      </c>
      <c r="J150" s="66" t="s">
        <v>1210</v>
      </c>
      <c r="K150" s="66" t="s">
        <v>1277</v>
      </c>
      <c r="L150" s="66" t="s">
        <v>891</v>
      </c>
      <c r="M150" s="66" t="s">
        <v>1266</v>
      </c>
      <c r="N150" s="66" t="s">
        <v>891</v>
      </c>
      <c r="O150" s="66" t="s">
        <v>1213</v>
      </c>
      <c r="P150" s="66" t="s">
        <v>891</v>
      </c>
      <c r="Q150" s="86" t="s">
        <v>1215</v>
      </c>
      <c r="R150" s="86" t="s">
        <v>1215</v>
      </c>
      <c r="S150" s="86" t="s">
        <v>1215</v>
      </c>
      <c r="T150" s="86" t="s">
        <v>1215</v>
      </c>
      <c r="U150" s="86" t="s">
        <v>1215</v>
      </c>
      <c r="V150" s="86" t="s">
        <v>1215</v>
      </c>
      <c r="W150" s="67"/>
      <c r="X150" s="84" t="str">
        <f t="shared" si="22"/>
        <v>Belum Dinilai</v>
      </c>
      <c r="Y150" s="84" t="str">
        <f t="shared" si="23"/>
        <v>Belum Dinilai</v>
      </c>
      <c r="Z150" s="85" t="str">
        <f t="shared" si="24"/>
        <v/>
      </c>
      <c r="AA150" s="85" t="str">
        <f t="shared" si="25"/>
        <v/>
      </c>
      <c r="AB150" s="85" t="str">
        <f t="shared" si="26"/>
        <v/>
      </c>
      <c r="AC150" s="68" t="s">
        <v>1215</v>
      </c>
      <c r="AD150" s="68" t="s">
        <v>1215</v>
      </c>
      <c r="AE150" s="68" t="s">
        <v>1215</v>
      </c>
      <c r="AF150" s="68" t="s">
        <v>1215</v>
      </c>
      <c r="AG150" s="68" t="s">
        <v>1215</v>
      </c>
      <c r="AH150" s="68" t="s">
        <v>1215</v>
      </c>
      <c r="AI150" s="68" t="s">
        <v>1215</v>
      </c>
      <c r="AJ150" s="68" t="s">
        <v>1215</v>
      </c>
      <c r="AK150" s="68" t="s">
        <v>1215</v>
      </c>
      <c r="AL150" s="68"/>
      <c r="AM150" s="68" t="s">
        <v>1215</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1203</v>
      </c>
      <c r="AV150" s="66" t="s">
        <v>1204</v>
      </c>
      <c r="AW150" s="66" t="s">
        <v>1190</v>
      </c>
      <c r="AX150" s="66"/>
      <c r="AY150" s="66"/>
      <c r="AZ150" s="66" t="s">
        <v>927</v>
      </c>
      <c r="BA150" s="66"/>
      <c r="BB150" s="178"/>
      <c r="BC150" s="72">
        <v>2026</v>
      </c>
      <c r="BD150" s="66"/>
      <c r="BE150" s="178"/>
      <c r="BF150" s="66" t="s">
        <v>1278</v>
      </c>
    </row>
    <row r="151" spans="1:58" ht="28">
      <c r="A151" s="66" t="s">
        <v>1728</v>
      </c>
      <c r="B151" s="66" t="s">
        <v>1836</v>
      </c>
      <c r="C151" s="66"/>
      <c r="D151" s="66"/>
      <c r="E151" s="66" t="s">
        <v>1837</v>
      </c>
      <c r="F151" s="66" t="s">
        <v>1309</v>
      </c>
      <c r="G151" s="66" t="s">
        <v>1310</v>
      </c>
      <c r="H151" s="66" t="s">
        <v>1262</v>
      </c>
      <c r="I151" s="66" t="s">
        <v>1838</v>
      </c>
      <c r="J151" s="66" t="s">
        <v>1182</v>
      </c>
      <c r="K151" s="66" t="s">
        <v>1277</v>
      </c>
      <c r="L151" s="66" t="s">
        <v>1215</v>
      </c>
      <c r="M151" s="66" t="s">
        <v>1265</v>
      </c>
      <c r="N151" s="66" t="s">
        <v>1215</v>
      </c>
      <c r="O151" s="66" t="s">
        <v>1277</v>
      </c>
      <c r="P151" s="66" t="s">
        <v>1215</v>
      </c>
      <c r="Q151" s="86" t="s">
        <v>1215</v>
      </c>
      <c r="R151" s="86" t="s">
        <v>1215</v>
      </c>
      <c r="S151" s="86" t="s">
        <v>1215</v>
      </c>
      <c r="T151" s="86" t="s">
        <v>1215</v>
      </c>
      <c r="U151" s="86" t="s">
        <v>1215</v>
      </c>
      <c r="V151" s="86" t="s">
        <v>1215</v>
      </c>
      <c r="W151" s="67"/>
      <c r="X151" s="84" t="str">
        <f t="shared" si="22"/>
        <v>Belum Dinilai</v>
      </c>
      <c r="Y151" s="84" t="str">
        <f t="shared" si="23"/>
        <v>Belum Dinilai</v>
      </c>
      <c r="Z151" s="85" t="str">
        <f t="shared" si="24"/>
        <v/>
      </c>
      <c r="AA151" s="85" t="str">
        <f t="shared" si="25"/>
        <v/>
      </c>
      <c r="AB151" s="85" t="str">
        <f t="shared" si="26"/>
        <v/>
      </c>
      <c r="AC151" s="68" t="s">
        <v>1215</v>
      </c>
      <c r="AD151" s="68" t="s">
        <v>1215</v>
      </c>
      <c r="AE151" s="68" t="s">
        <v>1215</v>
      </c>
      <c r="AF151" s="68" t="s">
        <v>1215</v>
      </c>
      <c r="AG151" s="68" t="s">
        <v>1215</v>
      </c>
      <c r="AH151" s="68" t="s">
        <v>1215</v>
      </c>
      <c r="AI151" s="68" t="s">
        <v>1215</v>
      </c>
      <c r="AJ151" s="68" t="s">
        <v>1215</v>
      </c>
      <c r="AK151" s="68" t="s">
        <v>1215</v>
      </c>
      <c r="AL151" s="68"/>
      <c r="AM151" s="68" t="s">
        <v>1215</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1189</v>
      </c>
      <c r="AV151" s="66" t="s">
        <v>1204</v>
      </c>
      <c r="AW151" s="66" t="s">
        <v>1190</v>
      </c>
      <c r="AX151" s="66"/>
      <c r="AY151" s="66"/>
      <c r="AZ151" s="66" t="s">
        <v>927</v>
      </c>
      <c r="BA151" s="66"/>
      <c r="BB151" s="178"/>
      <c r="BC151" s="72">
        <v>2026</v>
      </c>
      <c r="BD151" s="66"/>
      <c r="BE151" s="178"/>
      <c r="BF151" s="66" t="s">
        <v>1278</v>
      </c>
    </row>
    <row r="152" spans="1:58" ht="28">
      <c r="A152" s="66" t="s">
        <v>1732</v>
      </c>
      <c r="B152" s="66" t="s">
        <v>1839</v>
      </c>
      <c r="C152" s="66"/>
      <c r="D152" s="66"/>
      <c r="E152" s="66" t="s">
        <v>1840</v>
      </c>
      <c r="F152" s="66" t="s">
        <v>1309</v>
      </c>
      <c r="G152" s="66" t="s">
        <v>1310</v>
      </c>
      <c r="H152" s="66" t="s">
        <v>1195</v>
      </c>
      <c r="I152" s="66" t="s">
        <v>1841</v>
      </c>
      <c r="J152" s="66" t="s">
        <v>1196</v>
      </c>
      <c r="K152" s="66" t="s">
        <v>1277</v>
      </c>
      <c r="L152" s="66" t="s">
        <v>1215</v>
      </c>
      <c r="M152" s="66" t="s">
        <v>1305</v>
      </c>
      <c r="N152" s="66" t="s">
        <v>1215</v>
      </c>
      <c r="O152" s="66" t="s">
        <v>1277</v>
      </c>
      <c r="P152" s="66" t="s">
        <v>1215</v>
      </c>
      <c r="Q152" s="86" t="s">
        <v>1215</v>
      </c>
      <c r="R152" s="86" t="s">
        <v>1215</v>
      </c>
      <c r="S152" s="86" t="s">
        <v>1215</v>
      </c>
      <c r="T152" s="86" t="s">
        <v>1215</v>
      </c>
      <c r="U152" s="86" t="s">
        <v>1215</v>
      </c>
      <c r="V152" s="86" t="s">
        <v>1215</v>
      </c>
      <c r="W152" s="67"/>
      <c r="X152" s="84" t="str">
        <f t="shared" si="22"/>
        <v>Belum Dinilai</v>
      </c>
      <c r="Y152" s="84" t="str">
        <f t="shared" si="23"/>
        <v>Belum Dinilai</v>
      </c>
      <c r="Z152" s="85" t="str">
        <f t="shared" si="24"/>
        <v/>
      </c>
      <c r="AA152" s="85" t="str">
        <f t="shared" si="25"/>
        <v/>
      </c>
      <c r="AB152" s="85" t="str">
        <f t="shared" si="26"/>
        <v/>
      </c>
      <c r="AC152" s="68" t="s">
        <v>1215</v>
      </c>
      <c r="AD152" s="68" t="s">
        <v>1215</v>
      </c>
      <c r="AE152" s="68" t="s">
        <v>1215</v>
      </c>
      <c r="AF152" s="68" t="s">
        <v>1215</v>
      </c>
      <c r="AG152" s="68" t="s">
        <v>1215</v>
      </c>
      <c r="AH152" s="68" t="s">
        <v>1215</v>
      </c>
      <c r="AI152" s="68" t="s">
        <v>1215</v>
      </c>
      <c r="AJ152" s="68" t="s">
        <v>1215</v>
      </c>
      <c r="AK152" s="68" t="s">
        <v>1215</v>
      </c>
      <c r="AL152" s="68"/>
      <c r="AM152" s="68" t="s">
        <v>1215</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1189</v>
      </c>
      <c r="AV152" s="66" t="s">
        <v>1204</v>
      </c>
      <c r="AW152" s="66" t="s">
        <v>1898</v>
      </c>
      <c r="AX152" s="66" t="s">
        <v>1206</v>
      </c>
      <c r="AY152" s="66"/>
      <c r="AZ152" s="66" t="s">
        <v>927</v>
      </c>
      <c r="BA152" s="66"/>
      <c r="BB152" s="178"/>
      <c r="BC152" s="72">
        <v>2026</v>
      </c>
      <c r="BD152" s="66"/>
      <c r="BE152" s="178"/>
      <c r="BF152" s="66" t="s">
        <v>1278</v>
      </c>
    </row>
    <row r="153" spans="1:58" ht="28">
      <c r="A153" s="66" t="s">
        <v>1736</v>
      </c>
      <c r="B153" s="66" t="s">
        <v>1842</v>
      </c>
      <c r="C153" s="66"/>
      <c r="D153" s="66"/>
      <c r="E153" s="66" t="s">
        <v>1304</v>
      </c>
      <c r="F153" s="66" t="s">
        <v>1309</v>
      </c>
      <c r="G153" s="66" t="s">
        <v>1310</v>
      </c>
      <c r="H153" s="66" t="s">
        <v>1181</v>
      </c>
      <c r="I153" s="66" t="s">
        <v>1843</v>
      </c>
      <c r="J153" s="66" t="s">
        <v>1196</v>
      </c>
      <c r="K153" s="66" t="s">
        <v>1277</v>
      </c>
      <c r="L153" s="66" t="s">
        <v>1215</v>
      </c>
      <c r="M153" s="66" t="s">
        <v>1305</v>
      </c>
      <c r="N153" s="66" t="s">
        <v>1215</v>
      </c>
      <c r="O153" s="66" t="s">
        <v>1213</v>
      </c>
      <c r="P153" s="66" t="s">
        <v>1215</v>
      </c>
      <c r="Q153" s="86" t="s">
        <v>1215</v>
      </c>
      <c r="R153" s="86" t="s">
        <v>1215</v>
      </c>
      <c r="S153" s="86" t="s">
        <v>1215</v>
      </c>
      <c r="T153" s="86" t="s">
        <v>1215</v>
      </c>
      <c r="U153" s="86" t="s">
        <v>1215</v>
      </c>
      <c r="V153" s="86" t="s">
        <v>1215</v>
      </c>
      <c r="W153" s="67"/>
      <c r="X153" s="84" t="str">
        <f t="shared" si="22"/>
        <v>Belum Dinilai</v>
      </c>
      <c r="Y153" s="84" t="str">
        <f t="shared" si="23"/>
        <v>Belum Dinilai</v>
      </c>
      <c r="Z153" s="85" t="str">
        <f t="shared" si="24"/>
        <v/>
      </c>
      <c r="AA153" s="85" t="str">
        <f t="shared" si="25"/>
        <v/>
      </c>
      <c r="AB153" s="85" t="str">
        <f t="shared" si="26"/>
        <v/>
      </c>
      <c r="AC153" s="68" t="s">
        <v>1215</v>
      </c>
      <c r="AD153" s="68" t="s">
        <v>1215</v>
      </c>
      <c r="AE153" s="68" t="s">
        <v>1215</v>
      </c>
      <c r="AF153" s="68" t="s">
        <v>1215</v>
      </c>
      <c r="AG153" s="68" t="s">
        <v>1215</v>
      </c>
      <c r="AH153" s="68" t="s">
        <v>1215</v>
      </c>
      <c r="AI153" s="68" t="s">
        <v>1215</v>
      </c>
      <c r="AJ153" s="68" t="s">
        <v>1215</v>
      </c>
      <c r="AK153" s="68" t="s">
        <v>1215</v>
      </c>
      <c r="AL153" s="68"/>
      <c r="AM153" s="68" t="s">
        <v>1215</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1189</v>
      </c>
      <c r="AV153" s="66" t="s">
        <v>1204</v>
      </c>
      <c r="AW153" s="66" t="s">
        <v>1898</v>
      </c>
      <c r="AX153" s="66" t="s">
        <v>1206</v>
      </c>
      <c r="AY153" s="66"/>
      <c r="AZ153" s="66" t="s">
        <v>927</v>
      </c>
      <c r="BA153" s="66"/>
      <c r="BB153" s="178"/>
      <c r="BC153" s="72">
        <v>2026</v>
      </c>
      <c r="BD153" s="66"/>
      <c r="BE153" s="178"/>
      <c r="BF153" s="66" t="s">
        <v>1278</v>
      </c>
    </row>
    <row r="154" spans="1:58" ht="42">
      <c r="A154" s="66" t="s">
        <v>1739</v>
      </c>
      <c r="B154" s="66" t="s">
        <v>1844</v>
      </c>
      <c r="C154" s="66"/>
      <c r="D154" s="66"/>
      <c r="E154" s="66" t="s">
        <v>1845</v>
      </c>
      <c r="F154" s="66" t="s">
        <v>1341</v>
      </c>
      <c r="G154" s="66" t="s">
        <v>1331</v>
      </c>
      <c r="H154" s="66" t="s">
        <v>1262</v>
      </c>
      <c r="I154" s="66" t="s">
        <v>1846</v>
      </c>
      <c r="J154" s="66" t="s">
        <v>1182</v>
      </c>
      <c r="K154" s="66" t="s">
        <v>1197</v>
      </c>
      <c r="L154" s="66" t="s">
        <v>1215</v>
      </c>
      <c r="M154" s="66" t="s">
        <v>1265</v>
      </c>
      <c r="N154" s="66" t="s">
        <v>1215</v>
      </c>
      <c r="O154" s="66" t="s">
        <v>1213</v>
      </c>
      <c r="P154" s="66" t="s">
        <v>1215</v>
      </c>
      <c r="Q154" s="86" t="s">
        <v>1215</v>
      </c>
      <c r="R154" s="86" t="s">
        <v>1215</v>
      </c>
      <c r="S154" s="86" t="s">
        <v>1215</v>
      </c>
      <c r="T154" s="86" t="s">
        <v>1215</v>
      </c>
      <c r="U154" s="86" t="s">
        <v>1215</v>
      </c>
      <c r="V154" s="86" t="s">
        <v>1215</v>
      </c>
      <c r="W154" s="67"/>
      <c r="X154" s="84" t="str">
        <f t="shared" si="22"/>
        <v>Belum Dinilai</v>
      </c>
      <c r="Y154" s="84" t="str">
        <f t="shared" si="23"/>
        <v>Belum Dinilai</v>
      </c>
      <c r="Z154" s="85" t="str">
        <f t="shared" si="24"/>
        <v/>
      </c>
      <c r="AA154" s="85" t="str">
        <f t="shared" si="25"/>
        <v/>
      </c>
      <c r="AB154" s="85" t="str">
        <f t="shared" si="26"/>
        <v/>
      </c>
      <c r="AC154" s="68" t="s">
        <v>1215</v>
      </c>
      <c r="AD154" s="68" t="s">
        <v>1215</v>
      </c>
      <c r="AE154" s="68" t="s">
        <v>1215</v>
      </c>
      <c r="AF154" s="68" t="s">
        <v>1215</v>
      </c>
      <c r="AG154" s="68" t="s">
        <v>1215</v>
      </c>
      <c r="AH154" s="68" t="s">
        <v>1215</v>
      </c>
      <c r="AI154" s="68" t="s">
        <v>1215</v>
      </c>
      <c r="AJ154" s="68" t="s">
        <v>1215</v>
      </c>
      <c r="AK154" s="68" t="s">
        <v>1215</v>
      </c>
      <c r="AL154" s="68"/>
      <c r="AM154" s="68" t="s">
        <v>1215</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1189</v>
      </c>
      <c r="AV154" s="66" t="s">
        <v>1204</v>
      </c>
      <c r="AW154" s="66" t="s">
        <v>1190</v>
      </c>
      <c r="AX154" s="66"/>
      <c r="AY154" s="66"/>
      <c r="AZ154" s="66" t="s">
        <v>927</v>
      </c>
      <c r="BA154" s="66"/>
      <c r="BB154" s="178"/>
      <c r="BC154" s="72">
        <v>2026</v>
      </c>
      <c r="BD154" s="66"/>
      <c r="BE154" s="178"/>
      <c r="BF154" s="66" t="s">
        <v>1278</v>
      </c>
    </row>
    <row r="155" spans="1:58" ht="42">
      <c r="A155" s="66" t="s">
        <v>1743</v>
      </c>
      <c r="B155" s="66" t="s">
        <v>1847</v>
      </c>
      <c r="C155" s="66"/>
      <c r="D155" s="66"/>
      <c r="E155" s="66" t="s">
        <v>1848</v>
      </c>
      <c r="F155" s="66" t="s">
        <v>1341</v>
      </c>
      <c r="G155" s="66" t="s">
        <v>1331</v>
      </c>
      <c r="H155" s="66" t="s">
        <v>1181</v>
      </c>
      <c r="I155" s="66" t="s">
        <v>1849</v>
      </c>
      <c r="J155" s="66" t="s">
        <v>1210</v>
      </c>
      <c r="K155" s="66" t="s">
        <v>1197</v>
      </c>
      <c r="L155" s="66" t="s">
        <v>891</v>
      </c>
      <c r="M155" s="66" t="s">
        <v>1266</v>
      </c>
      <c r="N155" s="66" t="s">
        <v>891</v>
      </c>
      <c r="O155" s="66" t="s">
        <v>1213</v>
      </c>
      <c r="P155" s="66" t="s">
        <v>891</v>
      </c>
      <c r="Q155" s="86" t="s">
        <v>1215</v>
      </c>
      <c r="R155" s="86" t="s">
        <v>1215</v>
      </c>
      <c r="S155" s="86" t="s">
        <v>1215</v>
      </c>
      <c r="T155" s="86" t="s">
        <v>1215</v>
      </c>
      <c r="U155" s="86" t="s">
        <v>1215</v>
      </c>
      <c r="V155" s="86" t="s">
        <v>1215</v>
      </c>
      <c r="W155" s="67"/>
      <c r="X155" s="84" t="str">
        <f t="shared" si="22"/>
        <v>Belum Dinilai</v>
      </c>
      <c r="Y155" s="84" t="str">
        <f t="shared" si="23"/>
        <v>Belum Dinilai</v>
      </c>
      <c r="Z155" s="85" t="str">
        <f t="shared" si="24"/>
        <v/>
      </c>
      <c r="AA155" s="85" t="str">
        <f t="shared" si="25"/>
        <v/>
      </c>
      <c r="AB155" s="85" t="str">
        <f t="shared" si="26"/>
        <v/>
      </c>
      <c r="AC155" s="68" t="s">
        <v>1215</v>
      </c>
      <c r="AD155" s="68" t="s">
        <v>1215</v>
      </c>
      <c r="AE155" s="68" t="s">
        <v>1215</v>
      </c>
      <c r="AF155" s="68" t="s">
        <v>1215</v>
      </c>
      <c r="AG155" s="68" t="s">
        <v>1215</v>
      </c>
      <c r="AH155" s="68" t="s">
        <v>1215</v>
      </c>
      <c r="AI155" s="68" t="s">
        <v>1215</v>
      </c>
      <c r="AJ155" s="68" t="s">
        <v>1215</v>
      </c>
      <c r="AK155" s="68" t="s">
        <v>1215</v>
      </c>
      <c r="AL155" s="68"/>
      <c r="AM155" s="68" t="s">
        <v>1215</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1189</v>
      </c>
      <c r="AV155" s="66" t="s">
        <v>1204</v>
      </c>
      <c r="AW155" s="66" t="s">
        <v>1190</v>
      </c>
      <c r="AX155" s="66"/>
      <c r="AY155" s="66"/>
      <c r="AZ155" s="66" t="s">
        <v>927</v>
      </c>
      <c r="BA155" s="66"/>
      <c r="BB155" s="178"/>
      <c r="BC155" s="72">
        <v>2026</v>
      </c>
      <c r="BD155" s="66"/>
      <c r="BE155" s="178"/>
      <c r="BF155" s="66" t="s">
        <v>1278</v>
      </c>
    </row>
    <row r="156" spans="1:58" ht="28">
      <c r="A156" s="66" t="s">
        <v>1747</v>
      </c>
      <c r="B156" s="66" t="s">
        <v>1850</v>
      </c>
      <c r="C156" s="66"/>
      <c r="D156" s="66"/>
      <c r="E156" s="66" t="s">
        <v>1851</v>
      </c>
      <c r="F156" s="66" t="s">
        <v>1458</v>
      </c>
      <c r="G156" s="66" t="s">
        <v>1310</v>
      </c>
      <c r="H156" s="66" t="s">
        <v>1181</v>
      </c>
      <c r="I156" s="66" t="s">
        <v>1290</v>
      </c>
      <c r="J156" s="66" t="s">
        <v>1210</v>
      </c>
      <c r="K156" s="66" t="s">
        <v>1277</v>
      </c>
      <c r="L156" s="66" t="s">
        <v>1215</v>
      </c>
      <c r="M156" s="66" t="s">
        <v>1266</v>
      </c>
      <c r="N156" s="66" t="s">
        <v>1215</v>
      </c>
      <c r="O156" s="66" t="s">
        <v>1277</v>
      </c>
      <c r="P156" s="66" t="s">
        <v>1215</v>
      </c>
      <c r="Q156" s="86" t="s">
        <v>1215</v>
      </c>
      <c r="R156" s="86" t="s">
        <v>1215</v>
      </c>
      <c r="S156" s="86" t="s">
        <v>1215</v>
      </c>
      <c r="T156" s="86" t="s">
        <v>1215</v>
      </c>
      <c r="U156" s="86" t="s">
        <v>1215</v>
      </c>
      <c r="V156" s="86" t="s">
        <v>1215</v>
      </c>
      <c r="W156" s="67"/>
      <c r="X156" s="84" t="str">
        <f t="shared" si="22"/>
        <v>Belum Dinilai</v>
      </c>
      <c r="Y156" s="84" t="str">
        <f t="shared" si="23"/>
        <v>Belum Dinilai</v>
      </c>
      <c r="Z156" s="85" t="str">
        <f t="shared" si="24"/>
        <v/>
      </c>
      <c r="AA156" s="85" t="str">
        <f t="shared" si="25"/>
        <v/>
      </c>
      <c r="AB156" s="85" t="str">
        <f t="shared" si="26"/>
        <v/>
      </c>
      <c r="AC156" s="68" t="s">
        <v>1215</v>
      </c>
      <c r="AD156" s="68" t="s">
        <v>1215</v>
      </c>
      <c r="AE156" s="68" t="s">
        <v>1215</v>
      </c>
      <c r="AF156" s="68" t="s">
        <v>1215</v>
      </c>
      <c r="AG156" s="68" t="s">
        <v>1215</v>
      </c>
      <c r="AH156" s="68" t="s">
        <v>1215</v>
      </c>
      <c r="AI156" s="68" t="s">
        <v>1215</v>
      </c>
      <c r="AJ156" s="68" t="s">
        <v>1215</v>
      </c>
      <c r="AK156" s="68" t="s">
        <v>1215</v>
      </c>
      <c r="AL156" s="68"/>
      <c r="AM156" s="68" t="s">
        <v>1215</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1189</v>
      </c>
      <c r="AV156" s="66" t="s">
        <v>1204</v>
      </c>
      <c r="AW156" s="66" t="s">
        <v>1898</v>
      </c>
      <c r="AX156" s="66" t="s">
        <v>1283</v>
      </c>
      <c r="AY156" s="66"/>
      <c r="AZ156" s="66" t="s">
        <v>927</v>
      </c>
      <c r="BA156" s="66"/>
      <c r="BB156" s="178"/>
      <c r="BC156" s="72">
        <v>2026</v>
      </c>
      <c r="BD156" s="66"/>
      <c r="BE156" s="178"/>
      <c r="BF156" s="66" t="s">
        <v>1278</v>
      </c>
    </row>
    <row r="157" spans="1:58" ht="56">
      <c r="A157" s="66" t="s">
        <v>1961</v>
      </c>
      <c r="B157" s="66" t="s">
        <v>1471</v>
      </c>
      <c r="C157" s="66"/>
      <c r="D157" s="66"/>
      <c r="E157" s="66" t="s">
        <v>1852</v>
      </c>
      <c r="F157" s="66" t="s">
        <v>1458</v>
      </c>
      <c r="G157" s="66" t="s">
        <v>1310</v>
      </c>
      <c r="H157" s="66" t="s">
        <v>1181</v>
      </c>
      <c r="I157" s="66" t="s">
        <v>1853</v>
      </c>
      <c r="J157" s="66" t="s">
        <v>1196</v>
      </c>
      <c r="K157" s="66" t="s">
        <v>1277</v>
      </c>
      <c r="L157" s="66" t="s">
        <v>891</v>
      </c>
      <c r="M157" s="66" t="s">
        <v>1305</v>
      </c>
      <c r="N157" s="66" t="s">
        <v>891</v>
      </c>
      <c r="O157" s="66" t="s">
        <v>1277</v>
      </c>
      <c r="P157" s="66" t="s">
        <v>891</v>
      </c>
      <c r="Q157" s="86" t="s">
        <v>1215</v>
      </c>
      <c r="R157" s="86" t="s">
        <v>1215</v>
      </c>
      <c r="S157" s="86" t="s">
        <v>1215</v>
      </c>
      <c r="T157" s="86" t="s">
        <v>1215</v>
      </c>
      <c r="U157" s="86" t="s">
        <v>1215</v>
      </c>
      <c r="V157" s="86" t="s">
        <v>1215</v>
      </c>
      <c r="W157" s="67"/>
      <c r="X157" s="84" t="str">
        <f t="shared" si="22"/>
        <v>Belum Dinilai</v>
      </c>
      <c r="Y157" s="84" t="str">
        <f t="shared" si="23"/>
        <v>Belum Dinilai</v>
      </c>
      <c r="Z157" s="85" t="str">
        <f t="shared" si="24"/>
        <v/>
      </c>
      <c r="AA157" s="85" t="str">
        <f t="shared" si="25"/>
        <v/>
      </c>
      <c r="AB157" s="85" t="str">
        <f t="shared" si="26"/>
        <v/>
      </c>
      <c r="AC157" s="68" t="s">
        <v>1215</v>
      </c>
      <c r="AD157" s="68" t="s">
        <v>1215</v>
      </c>
      <c r="AE157" s="68" t="s">
        <v>1215</v>
      </c>
      <c r="AF157" s="68" t="s">
        <v>1215</v>
      </c>
      <c r="AG157" s="68" t="s">
        <v>1215</v>
      </c>
      <c r="AH157" s="68" t="s">
        <v>1215</v>
      </c>
      <c r="AI157" s="68" t="s">
        <v>1215</v>
      </c>
      <c r="AJ157" s="68" t="s">
        <v>1215</v>
      </c>
      <c r="AK157" s="68" t="s">
        <v>1215</v>
      </c>
      <c r="AL157" s="68"/>
      <c r="AM157" s="68" t="s">
        <v>1215</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1189</v>
      </c>
      <c r="AV157" s="66" t="s">
        <v>1204</v>
      </c>
      <c r="AW157" s="66" t="s">
        <v>1898</v>
      </c>
      <c r="AX157" s="66" t="s">
        <v>1206</v>
      </c>
      <c r="AY157" s="66">
        <v>2022</v>
      </c>
      <c r="AZ157" s="66" t="s">
        <v>927</v>
      </c>
      <c r="BA157" s="66"/>
      <c r="BB157" s="178"/>
      <c r="BC157" s="72">
        <v>2026</v>
      </c>
      <c r="BD157" s="66"/>
      <c r="BE157" s="178"/>
      <c r="BF157" s="66" t="s">
        <v>1278</v>
      </c>
    </row>
    <row r="158" spans="1:58" ht="28">
      <c r="A158" s="66" t="s">
        <v>1962</v>
      </c>
      <c r="B158" s="66" t="s">
        <v>1854</v>
      </c>
      <c r="C158" s="66"/>
      <c r="D158" s="66"/>
      <c r="E158" s="66" t="s">
        <v>1855</v>
      </c>
      <c r="F158" s="66" t="s">
        <v>1458</v>
      </c>
      <c r="G158" s="66" t="s">
        <v>1310</v>
      </c>
      <c r="H158" s="66" t="s">
        <v>1262</v>
      </c>
      <c r="I158" s="66" t="s">
        <v>1856</v>
      </c>
      <c r="J158" s="66" t="s">
        <v>1196</v>
      </c>
      <c r="K158" s="66" t="s">
        <v>1277</v>
      </c>
      <c r="L158" s="66" t="s">
        <v>1215</v>
      </c>
      <c r="M158" s="66" t="s">
        <v>1305</v>
      </c>
      <c r="N158" s="66" t="s">
        <v>1215</v>
      </c>
      <c r="O158" s="66" t="s">
        <v>1277</v>
      </c>
      <c r="P158" s="66" t="s">
        <v>1215</v>
      </c>
      <c r="Q158" s="86" t="s">
        <v>1215</v>
      </c>
      <c r="R158" s="86" t="s">
        <v>1215</v>
      </c>
      <c r="S158" s="86" t="s">
        <v>1215</v>
      </c>
      <c r="T158" s="86" t="s">
        <v>1215</v>
      </c>
      <c r="U158" s="86" t="s">
        <v>1215</v>
      </c>
      <c r="V158" s="86" t="s">
        <v>1215</v>
      </c>
      <c r="W158" s="67"/>
      <c r="X158" s="84" t="str">
        <f t="shared" si="22"/>
        <v>Belum Dinilai</v>
      </c>
      <c r="Y158" s="84" t="str">
        <f t="shared" si="23"/>
        <v>Belum Dinilai</v>
      </c>
      <c r="Z158" s="85" t="str">
        <f t="shared" si="24"/>
        <v/>
      </c>
      <c r="AA158" s="85" t="str">
        <f t="shared" si="25"/>
        <v/>
      </c>
      <c r="AB158" s="85" t="str">
        <f t="shared" si="26"/>
        <v/>
      </c>
      <c r="AC158" s="68" t="s">
        <v>1215</v>
      </c>
      <c r="AD158" s="68" t="s">
        <v>1215</v>
      </c>
      <c r="AE158" s="68" t="s">
        <v>1215</v>
      </c>
      <c r="AF158" s="68" t="s">
        <v>1215</v>
      </c>
      <c r="AG158" s="68" t="s">
        <v>1215</v>
      </c>
      <c r="AH158" s="68" t="s">
        <v>1215</v>
      </c>
      <c r="AI158" s="68" t="s">
        <v>1215</v>
      </c>
      <c r="AJ158" s="68" t="s">
        <v>1215</v>
      </c>
      <c r="AK158" s="68" t="s">
        <v>1215</v>
      </c>
      <c r="AL158" s="68"/>
      <c r="AM158" s="68" t="s">
        <v>1215</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1189</v>
      </c>
      <c r="AV158" s="66" t="s">
        <v>1204</v>
      </c>
      <c r="AW158" s="66" t="s">
        <v>1190</v>
      </c>
      <c r="AX158" s="66"/>
      <c r="AY158" s="66"/>
      <c r="AZ158" s="66" t="s">
        <v>927</v>
      </c>
      <c r="BA158" s="66"/>
      <c r="BB158" s="178"/>
      <c r="BC158" s="72">
        <v>2026</v>
      </c>
      <c r="BD158" s="66"/>
      <c r="BE158" s="178"/>
      <c r="BF158" s="66" t="s">
        <v>1278</v>
      </c>
    </row>
    <row r="159" spans="1:58" ht="28">
      <c r="A159" s="66" t="s">
        <v>1748</v>
      </c>
      <c r="B159" s="66" t="s">
        <v>1857</v>
      </c>
      <c r="C159" s="66"/>
      <c r="D159" s="66"/>
      <c r="E159" s="66" t="s">
        <v>1855</v>
      </c>
      <c r="F159" s="66" t="s">
        <v>1458</v>
      </c>
      <c r="G159" s="66" t="s">
        <v>1310</v>
      </c>
      <c r="H159" s="66" t="s">
        <v>1181</v>
      </c>
      <c r="I159" s="66" t="s">
        <v>1858</v>
      </c>
      <c r="J159" s="66" t="s">
        <v>1196</v>
      </c>
      <c r="K159" s="66" t="s">
        <v>1277</v>
      </c>
      <c r="L159" s="66" t="s">
        <v>1215</v>
      </c>
      <c r="M159" s="66" t="s">
        <v>1305</v>
      </c>
      <c r="N159" s="66" t="s">
        <v>1215</v>
      </c>
      <c r="O159" s="66" t="s">
        <v>1277</v>
      </c>
      <c r="P159" s="66" t="s">
        <v>1215</v>
      </c>
      <c r="Q159" s="86" t="s">
        <v>1215</v>
      </c>
      <c r="R159" s="86" t="s">
        <v>1215</v>
      </c>
      <c r="S159" s="86" t="s">
        <v>1215</v>
      </c>
      <c r="T159" s="86" t="s">
        <v>1215</v>
      </c>
      <c r="U159" s="86" t="s">
        <v>1215</v>
      </c>
      <c r="V159" s="86" t="s">
        <v>1215</v>
      </c>
      <c r="W159" s="67"/>
      <c r="X159" s="84" t="str">
        <f t="shared" si="22"/>
        <v>Belum Dinilai</v>
      </c>
      <c r="Y159" s="84" t="str">
        <f t="shared" si="23"/>
        <v>Belum Dinilai</v>
      </c>
      <c r="Z159" s="85" t="str">
        <f t="shared" si="24"/>
        <v/>
      </c>
      <c r="AA159" s="85" t="str">
        <f t="shared" si="25"/>
        <v/>
      </c>
      <c r="AB159" s="85" t="str">
        <f t="shared" si="26"/>
        <v/>
      </c>
      <c r="AC159" s="68" t="s">
        <v>1215</v>
      </c>
      <c r="AD159" s="68" t="s">
        <v>1215</v>
      </c>
      <c r="AE159" s="68" t="s">
        <v>1215</v>
      </c>
      <c r="AF159" s="68" t="s">
        <v>1215</v>
      </c>
      <c r="AG159" s="68" t="s">
        <v>1215</v>
      </c>
      <c r="AH159" s="68" t="s">
        <v>1215</v>
      </c>
      <c r="AI159" s="68" t="s">
        <v>1215</v>
      </c>
      <c r="AJ159" s="68" t="s">
        <v>1215</v>
      </c>
      <c r="AK159" s="68" t="s">
        <v>1215</v>
      </c>
      <c r="AL159" s="68"/>
      <c r="AM159" s="68" t="s">
        <v>1215</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1189</v>
      </c>
      <c r="AV159" s="66" t="s">
        <v>1204</v>
      </c>
      <c r="AW159" s="66" t="s">
        <v>1190</v>
      </c>
      <c r="AX159" s="66"/>
      <c r="AY159" s="66"/>
      <c r="AZ159" s="66" t="s">
        <v>927</v>
      </c>
      <c r="BA159" s="66"/>
      <c r="BB159" s="178"/>
      <c r="BC159" s="72">
        <v>2026</v>
      </c>
      <c r="BD159" s="66"/>
      <c r="BE159" s="178"/>
      <c r="BF159" s="66" t="s">
        <v>1278</v>
      </c>
    </row>
    <row r="160" spans="1:58" ht="28">
      <c r="A160" s="66" t="s">
        <v>1749</v>
      </c>
      <c r="B160" s="66" t="s">
        <v>1859</v>
      </c>
      <c r="C160" s="66"/>
      <c r="D160" s="66"/>
      <c r="E160" s="66" t="s">
        <v>1860</v>
      </c>
      <c r="F160" s="66" t="s">
        <v>1458</v>
      </c>
      <c r="G160" s="66" t="s">
        <v>1310</v>
      </c>
      <c r="H160" s="66" t="s">
        <v>1195</v>
      </c>
      <c r="I160" s="66" t="s">
        <v>1861</v>
      </c>
      <c r="J160" s="66" t="s">
        <v>1196</v>
      </c>
      <c r="K160" s="66" t="s">
        <v>1197</v>
      </c>
      <c r="L160" s="66" t="s">
        <v>1215</v>
      </c>
      <c r="M160" s="66" t="s">
        <v>1305</v>
      </c>
      <c r="N160" s="66" t="s">
        <v>1215</v>
      </c>
      <c r="O160" s="66" t="s">
        <v>1213</v>
      </c>
      <c r="P160" s="66" t="s">
        <v>1215</v>
      </c>
      <c r="Q160" s="86" t="s">
        <v>1215</v>
      </c>
      <c r="R160" s="86" t="s">
        <v>1215</v>
      </c>
      <c r="S160" s="86" t="s">
        <v>1215</v>
      </c>
      <c r="T160" s="86" t="s">
        <v>1215</v>
      </c>
      <c r="U160" s="86" t="s">
        <v>1215</v>
      </c>
      <c r="V160" s="86" t="s">
        <v>1215</v>
      </c>
      <c r="W160" s="67"/>
      <c r="X160" s="84" t="str">
        <f t="shared" si="22"/>
        <v>Belum Dinilai</v>
      </c>
      <c r="Y160" s="84" t="str">
        <f t="shared" si="23"/>
        <v>Belum Dinilai</v>
      </c>
      <c r="Z160" s="85" t="str">
        <f t="shared" si="24"/>
        <v/>
      </c>
      <c r="AA160" s="85" t="str">
        <f t="shared" si="25"/>
        <v/>
      </c>
      <c r="AB160" s="85" t="str">
        <f t="shared" si="26"/>
        <v/>
      </c>
      <c r="AC160" s="68" t="s">
        <v>1215</v>
      </c>
      <c r="AD160" s="68" t="s">
        <v>1215</v>
      </c>
      <c r="AE160" s="68" t="s">
        <v>1215</v>
      </c>
      <c r="AF160" s="68" t="s">
        <v>1215</v>
      </c>
      <c r="AG160" s="68" t="s">
        <v>1215</v>
      </c>
      <c r="AH160" s="68" t="s">
        <v>1215</v>
      </c>
      <c r="AI160" s="68" t="s">
        <v>1215</v>
      </c>
      <c r="AJ160" s="68" t="s">
        <v>1215</v>
      </c>
      <c r="AK160" s="68" t="s">
        <v>1215</v>
      </c>
      <c r="AL160" s="68"/>
      <c r="AM160" s="68" t="s">
        <v>1215</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1189</v>
      </c>
      <c r="AV160" s="66" t="s">
        <v>1204</v>
      </c>
      <c r="AW160" s="66" t="s">
        <v>1898</v>
      </c>
      <c r="AX160" s="66" t="s">
        <v>1206</v>
      </c>
      <c r="AY160" s="66">
        <v>2022</v>
      </c>
      <c r="AZ160" s="66" t="s">
        <v>927</v>
      </c>
      <c r="BA160" s="66"/>
      <c r="BB160" s="178"/>
      <c r="BC160" s="72">
        <v>2026</v>
      </c>
      <c r="BD160" s="66"/>
      <c r="BE160" s="178"/>
      <c r="BF160" s="66" t="s">
        <v>1278</v>
      </c>
    </row>
    <row r="161" spans="1:58" ht="28">
      <c r="A161" s="66" t="s">
        <v>1963</v>
      </c>
      <c r="B161" s="66" t="s">
        <v>1862</v>
      </c>
      <c r="C161" s="66"/>
      <c r="D161" s="66"/>
      <c r="E161" s="66" t="s">
        <v>1863</v>
      </c>
      <c r="F161" s="66" t="s">
        <v>1458</v>
      </c>
      <c r="G161" s="66" t="s">
        <v>1310</v>
      </c>
      <c r="H161" s="66" t="s">
        <v>1195</v>
      </c>
      <c r="I161" s="66" t="s">
        <v>1861</v>
      </c>
      <c r="J161" s="66" t="s">
        <v>1196</v>
      </c>
      <c r="K161" s="66" t="s">
        <v>1197</v>
      </c>
      <c r="L161" s="66" t="s">
        <v>1215</v>
      </c>
      <c r="M161" s="66" t="s">
        <v>1305</v>
      </c>
      <c r="N161" s="66" t="s">
        <v>1215</v>
      </c>
      <c r="O161" s="66" t="s">
        <v>1213</v>
      </c>
      <c r="P161" s="66" t="s">
        <v>1215</v>
      </c>
      <c r="Q161" s="86" t="s">
        <v>1215</v>
      </c>
      <c r="R161" s="86" t="s">
        <v>1215</v>
      </c>
      <c r="S161" s="86" t="s">
        <v>1215</v>
      </c>
      <c r="T161" s="86" t="s">
        <v>1215</v>
      </c>
      <c r="U161" s="86" t="s">
        <v>1215</v>
      </c>
      <c r="V161" s="86" t="s">
        <v>1215</v>
      </c>
      <c r="W161" s="67"/>
      <c r="X161" s="84" t="str">
        <f t="shared" si="22"/>
        <v>Belum Dinilai</v>
      </c>
      <c r="Y161" s="84" t="str">
        <f t="shared" si="23"/>
        <v>Belum Dinilai</v>
      </c>
      <c r="Z161" s="85" t="str">
        <f t="shared" si="24"/>
        <v/>
      </c>
      <c r="AA161" s="85" t="str">
        <f t="shared" si="25"/>
        <v/>
      </c>
      <c r="AB161" s="85" t="str">
        <f t="shared" si="26"/>
        <v/>
      </c>
      <c r="AC161" s="68" t="s">
        <v>1215</v>
      </c>
      <c r="AD161" s="68" t="s">
        <v>1215</v>
      </c>
      <c r="AE161" s="68" t="s">
        <v>1215</v>
      </c>
      <c r="AF161" s="68" t="s">
        <v>1215</v>
      </c>
      <c r="AG161" s="68" t="s">
        <v>1215</v>
      </c>
      <c r="AH161" s="68" t="s">
        <v>1215</v>
      </c>
      <c r="AI161" s="68" t="s">
        <v>1215</v>
      </c>
      <c r="AJ161" s="68" t="s">
        <v>1215</v>
      </c>
      <c r="AK161" s="68" t="s">
        <v>1215</v>
      </c>
      <c r="AL161" s="68"/>
      <c r="AM161" s="68" t="s">
        <v>1215</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1189</v>
      </c>
      <c r="AV161" s="66" t="s">
        <v>1204</v>
      </c>
      <c r="AW161" s="66" t="s">
        <v>1898</v>
      </c>
      <c r="AX161" s="66" t="s">
        <v>1206</v>
      </c>
      <c r="AY161" s="66">
        <v>2022</v>
      </c>
      <c r="AZ161" s="66" t="s">
        <v>927</v>
      </c>
      <c r="BA161" s="66"/>
      <c r="BB161" s="178"/>
      <c r="BC161" s="72">
        <v>2026</v>
      </c>
      <c r="BD161" s="66"/>
      <c r="BE161" s="178"/>
      <c r="BF161" s="66" t="s">
        <v>1278</v>
      </c>
    </row>
    <row r="162" spans="1:58" ht="42">
      <c r="A162" s="66" t="s">
        <v>1753</v>
      </c>
      <c r="B162" s="66" t="s">
        <v>1864</v>
      </c>
      <c r="C162" s="66"/>
      <c r="D162" s="66"/>
      <c r="E162" s="66" t="s">
        <v>1865</v>
      </c>
      <c r="F162" s="66" t="s">
        <v>1458</v>
      </c>
      <c r="G162" s="66" t="s">
        <v>1310</v>
      </c>
      <c r="H162" s="66" t="s">
        <v>1262</v>
      </c>
      <c r="I162" s="66" t="s">
        <v>1866</v>
      </c>
      <c r="J162" s="66" t="s">
        <v>1210</v>
      </c>
      <c r="K162" s="66" t="s">
        <v>1197</v>
      </c>
      <c r="L162" s="66" t="s">
        <v>1215</v>
      </c>
      <c r="M162" s="66" t="s">
        <v>1266</v>
      </c>
      <c r="N162" s="66" t="s">
        <v>1215</v>
      </c>
      <c r="O162" s="66" t="s">
        <v>1213</v>
      </c>
      <c r="P162" s="66" t="s">
        <v>1215</v>
      </c>
      <c r="Q162" s="86" t="s">
        <v>1215</v>
      </c>
      <c r="R162" s="86" t="s">
        <v>1215</v>
      </c>
      <c r="S162" s="86" t="s">
        <v>1215</v>
      </c>
      <c r="T162" s="86" t="s">
        <v>1215</v>
      </c>
      <c r="U162" s="86" t="s">
        <v>1215</v>
      </c>
      <c r="V162" s="86" t="s">
        <v>1215</v>
      </c>
      <c r="W162" s="67"/>
      <c r="X162" s="84" t="str">
        <f t="shared" si="22"/>
        <v>Belum Dinilai</v>
      </c>
      <c r="Y162" s="84" t="str">
        <f t="shared" si="23"/>
        <v>Belum Dinilai</v>
      </c>
      <c r="Z162" s="85" t="str">
        <f t="shared" si="24"/>
        <v/>
      </c>
      <c r="AA162" s="85" t="str">
        <f t="shared" si="25"/>
        <v/>
      </c>
      <c r="AB162" s="85" t="str">
        <f t="shared" si="26"/>
        <v/>
      </c>
      <c r="AC162" s="68" t="s">
        <v>1215</v>
      </c>
      <c r="AD162" s="68" t="s">
        <v>1215</v>
      </c>
      <c r="AE162" s="68" t="s">
        <v>1215</v>
      </c>
      <c r="AF162" s="68" t="s">
        <v>1215</v>
      </c>
      <c r="AG162" s="68" t="s">
        <v>1215</v>
      </c>
      <c r="AH162" s="68" t="s">
        <v>1215</v>
      </c>
      <c r="AI162" s="68" t="s">
        <v>1215</v>
      </c>
      <c r="AJ162" s="68" t="s">
        <v>1215</v>
      </c>
      <c r="AK162" s="68" t="s">
        <v>1215</v>
      </c>
      <c r="AL162" s="68"/>
      <c r="AM162" s="68" t="s">
        <v>1215</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1189</v>
      </c>
      <c r="AV162" s="66" t="s">
        <v>1204</v>
      </c>
      <c r="AW162" s="66" t="s">
        <v>1190</v>
      </c>
      <c r="AX162" s="66"/>
      <c r="AY162" s="66"/>
      <c r="AZ162" s="66" t="s">
        <v>927</v>
      </c>
      <c r="BA162" s="66"/>
      <c r="BB162" s="178"/>
      <c r="BC162" s="72">
        <v>2026</v>
      </c>
      <c r="BD162" s="66"/>
      <c r="BE162" s="178"/>
      <c r="BF162" s="66" t="s">
        <v>1278</v>
      </c>
    </row>
    <row r="163" spans="1:58" ht="28">
      <c r="A163" s="66" t="s">
        <v>1757</v>
      </c>
      <c r="B163" s="66" t="s">
        <v>1867</v>
      </c>
      <c r="C163" s="66"/>
      <c r="D163" s="66"/>
      <c r="E163" s="66" t="s">
        <v>1868</v>
      </c>
      <c r="F163" s="66" t="s">
        <v>1458</v>
      </c>
      <c r="G163" s="66" t="s">
        <v>1310</v>
      </c>
      <c r="H163" s="66" t="s">
        <v>1181</v>
      </c>
      <c r="I163" s="66" t="s">
        <v>1869</v>
      </c>
      <c r="J163" s="66" t="s">
        <v>1210</v>
      </c>
      <c r="K163" s="66" t="s">
        <v>1197</v>
      </c>
      <c r="L163" s="66" t="s">
        <v>1215</v>
      </c>
      <c r="M163" s="66" t="s">
        <v>1266</v>
      </c>
      <c r="N163" s="66" t="s">
        <v>1215</v>
      </c>
      <c r="O163" s="66" t="s">
        <v>1213</v>
      </c>
      <c r="P163" s="66" t="s">
        <v>1215</v>
      </c>
      <c r="Q163" s="86" t="s">
        <v>1215</v>
      </c>
      <c r="R163" s="86" t="s">
        <v>1215</v>
      </c>
      <c r="S163" s="86" t="s">
        <v>1215</v>
      </c>
      <c r="T163" s="86" t="s">
        <v>1215</v>
      </c>
      <c r="U163" s="86" t="s">
        <v>1215</v>
      </c>
      <c r="V163" s="86" t="s">
        <v>1215</v>
      </c>
      <c r="W163" s="67"/>
      <c r="X163" s="84" t="str">
        <f t="shared" si="22"/>
        <v>Belum Dinilai</v>
      </c>
      <c r="Y163" s="84" t="str">
        <f t="shared" si="23"/>
        <v>Belum Dinilai</v>
      </c>
      <c r="Z163" s="85" t="str">
        <f t="shared" si="24"/>
        <v/>
      </c>
      <c r="AA163" s="85" t="str">
        <f t="shared" si="25"/>
        <v/>
      </c>
      <c r="AB163" s="85" t="str">
        <f t="shared" si="26"/>
        <v/>
      </c>
      <c r="AC163" s="68" t="s">
        <v>1215</v>
      </c>
      <c r="AD163" s="68" t="s">
        <v>1215</v>
      </c>
      <c r="AE163" s="68" t="s">
        <v>1215</v>
      </c>
      <c r="AF163" s="68" t="s">
        <v>1215</v>
      </c>
      <c r="AG163" s="68" t="s">
        <v>1215</v>
      </c>
      <c r="AH163" s="68" t="s">
        <v>1215</v>
      </c>
      <c r="AI163" s="68" t="s">
        <v>1215</v>
      </c>
      <c r="AJ163" s="68" t="s">
        <v>1215</v>
      </c>
      <c r="AK163" s="68" t="s">
        <v>1215</v>
      </c>
      <c r="AL163" s="68"/>
      <c r="AM163" s="68" t="s">
        <v>1215</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1189</v>
      </c>
      <c r="AV163" s="66" t="s">
        <v>1204</v>
      </c>
      <c r="AW163" s="66" t="s">
        <v>1190</v>
      </c>
      <c r="AX163" s="66"/>
      <c r="AY163" s="66"/>
      <c r="AZ163" s="66" t="s">
        <v>1207</v>
      </c>
      <c r="BA163" s="66"/>
      <c r="BB163" s="178"/>
      <c r="BC163" s="72">
        <v>2026</v>
      </c>
      <c r="BD163" s="66"/>
      <c r="BE163" s="178"/>
      <c r="BF163" s="66" t="s">
        <v>1278</v>
      </c>
    </row>
    <row r="164" spans="1:58" ht="42">
      <c r="A164" s="66" t="s">
        <v>1761</v>
      </c>
      <c r="B164" s="66" t="s">
        <v>1870</v>
      </c>
      <c r="C164" s="66"/>
      <c r="D164" s="66"/>
      <c r="E164" s="66" t="s">
        <v>1909</v>
      </c>
      <c r="F164" s="66" t="s">
        <v>1274</v>
      </c>
      <c r="G164" s="66" t="s">
        <v>1275</v>
      </c>
      <c r="H164" s="66" t="s">
        <v>1181</v>
      </c>
      <c r="I164" s="66" t="s">
        <v>1871</v>
      </c>
      <c r="J164" s="66" t="s">
        <v>1196</v>
      </c>
      <c r="K164" s="66" t="s">
        <v>1277</v>
      </c>
      <c r="L164" s="66" t="s">
        <v>1215</v>
      </c>
      <c r="M164" s="66" t="s">
        <v>1266</v>
      </c>
      <c r="N164" s="66" t="s">
        <v>1215</v>
      </c>
      <c r="O164" s="66" t="s">
        <v>1277</v>
      </c>
      <c r="P164" s="66" t="s">
        <v>1215</v>
      </c>
      <c r="Q164" s="86" t="s">
        <v>1215</v>
      </c>
      <c r="R164" s="86" t="s">
        <v>1215</v>
      </c>
      <c r="S164" s="86" t="s">
        <v>1215</v>
      </c>
      <c r="T164" s="86" t="s">
        <v>1215</v>
      </c>
      <c r="U164" s="86" t="s">
        <v>1215</v>
      </c>
      <c r="V164" s="86" t="s">
        <v>1215</v>
      </c>
      <c r="W164" s="67"/>
      <c r="X164" s="84" t="str">
        <f t="shared" si="22"/>
        <v>Belum Dinilai</v>
      </c>
      <c r="Y164" s="84" t="str">
        <f t="shared" si="23"/>
        <v>Belum Dinilai</v>
      </c>
      <c r="Z164" s="85" t="str">
        <f t="shared" si="24"/>
        <v/>
      </c>
      <c r="AA164" s="85" t="str">
        <f t="shared" si="25"/>
        <v/>
      </c>
      <c r="AB164" s="85" t="str">
        <f t="shared" si="26"/>
        <v/>
      </c>
      <c r="AC164" s="68" t="s">
        <v>1215</v>
      </c>
      <c r="AD164" s="68" t="s">
        <v>1215</v>
      </c>
      <c r="AE164" s="68" t="s">
        <v>1215</v>
      </c>
      <c r="AF164" s="68" t="s">
        <v>1215</v>
      </c>
      <c r="AG164" s="68" t="s">
        <v>1215</v>
      </c>
      <c r="AH164" s="68" t="s">
        <v>1215</v>
      </c>
      <c r="AI164" s="68" t="s">
        <v>1215</v>
      </c>
      <c r="AJ164" s="68" t="s">
        <v>1215</v>
      </c>
      <c r="AK164" s="68" t="s">
        <v>1215</v>
      </c>
      <c r="AL164" s="68"/>
      <c r="AM164" s="68" t="s">
        <v>1215</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1189</v>
      </c>
      <c r="AV164" s="66" t="s">
        <v>1204</v>
      </c>
      <c r="AW164" s="66" t="s">
        <v>1190</v>
      </c>
      <c r="AX164" s="66"/>
      <c r="AY164" s="66"/>
      <c r="AZ164" s="66" t="s">
        <v>1207</v>
      </c>
      <c r="BA164" s="66"/>
      <c r="BB164" s="178"/>
      <c r="BC164" s="72">
        <v>2026</v>
      </c>
      <c r="BD164" s="66"/>
      <c r="BE164" s="178"/>
      <c r="BF164" s="66" t="s">
        <v>1278</v>
      </c>
    </row>
    <row r="165" spans="1:58" ht="42">
      <c r="A165" s="66" t="s">
        <v>1765</v>
      </c>
      <c r="B165" s="66" t="s">
        <v>1913</v>
      </c>
      <c r="C165" s="83" t="s">
        <v>2181</v>
      </c>
      <c r="D165" s="83" t="s">
        <v>2182</v>
      </c>
      <c r="E165" s="66" t="s">
        <v>1914</v>
      </c>
      <c r="F165" s="66" t="s">
        <v>1537</v>
      </c>
      <c r="G165" s="66" t="s">
        <v>1351</v>
      </c>
      <c r="H165" s="66" t="s">
        <v>1181</v>
      </c>
      <c r="I165" s="66"/>
      <c r="J165" s="66" t="s">
        <v>1210</v>
      </c>
      <c r="K165" s="66" t="s">
        <v>1197</v>
      </c>
      <c r="L165" s="66" t="s">
        <v>895</v>
      </c>
      <c r="M165" s="66" t="s">
        <v>1266</v>
      </c>
      <c r="N165" s="66" t="s">
        <v>895</v>
      </c>
      <c r="O165" s="66" t="s">
        <v>1213</v>
      </c>
      <c r="P165" s="66" t="s">
        <v>895</v>
      </c>
      <c r="Q165" s="86" t="s">
        <v>1186</v>
      </c>
      <c r="R165" s="86" t="s">
        <v>1187</v>
      </c>
      <c r="S165" s="86" t="s">
        <v>1201</v>
      </c>
      <c r="T165" s="86" t="s">
        <v>1201</v>
      </c>
      <c r="U165" s="86" t="s">
        <v>1201</v>
      </c>
      <c r="V165" s="86" t="s">
        <v>1201</v>
      </c>
      <c r="W165" s="67"/>
      <c r="X165" s="84" t="str">
        <f t="shared" si="22"/>
        <v xml:space="preserve">Lansia; </v>
      </c>
      <c r="Y165" s="84" t="str">
        <f t="shared" si="23"/>
        <v>1 Faktor Rentan</v>
      </c>
      <c r="Z165" s="85">
        <f t="shared" si="24"/>
        <v>10</v>
      </c>
      <c r="AA165" s="85">
        <f t="shared" si="25"/>
        <v>5</v>
      </c>
      <c r="AB165" s="85">
        <f t="shared" si="26"/>
        <v>15</v>
      </c>
      <c r="AC165" s="68" t="s">
        <v>1187</v>
      </c>
      <c r="AD165" s="68" t="s">
        <v>1201</v>
      </c>
      <c r="AE165" s="68" t="s">
        <v>1187</v>
      </c>
      <c r="AF165" s="68" t="s">
        <v>1201</v>
      </c>
      <c r="AG165" s="68" t="s">
        <v>1187</v>
      </c>
      <c r="AH165" s="68" t="s">
        <v>1187</v>
      </c>
      <c r="AI165" s="68" t="s">
        <v>1187</v>
      </c>
      <c r="AJ165" s="68" t="s">
        <v>1215</v>
      </c>
      <c r="AK165" s="68" t="s">
        <v>1215</v>
      </c>
      <c r="AL165" s="68"/>
      <c r="AM165" s="68" t="s">
        <v>1215</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1189</v>
      </c>
      <c r="AV165" s="66" t="s">
        <v>1204</v>
      </c>
      <c r="AW165" s="66" t="s">
        <v>1205</v>
      </c>
      <c r="AX165" s="66" t="s">
        <v>1283</v>
      </c>
      <c r="AY165" s="66">
        <v>2026</v>
      </c>
      <c r="AZ165" s="66" t="s">
        <v>1207</v>
      </c>
      <c r="BA165" s="66"/>
      <c r="BB165" s="178"/>
      <c r="BC165" s="72">
        <v>2026</v>
      </c>
      <c r="BD165" s="66"/>
      <c r="BE165" s="178"/>
      <c r="BF165" s="66" t="s">
        <v>1278</v>
      </c>
    </row>
    <row r="166" spans="1:58" ht="28">
      <c r="A166" s="66" t="s">
        <v>1964</v>
      </c>
      <c r="B166" s="66" t="s">
        <v>1915</v>
      </c>
      <c r="C166" s="83" t="s">
        <v>1921</v>
      </c>
      <c r="D166" s="83" t="s">
        <v>1922</v>
      </c>
      <c r="E166" s="66" t="s">
        <v>1916</v>
      </c>
      <c r="F166" s="66" t="s">
        <v>1537</v>
      </c>
      <c r="G166" s="66" t="s">
        <v>1351</v>
      </c>
      <c r="H166" s="66" t="s">
        <v>1262</v>
      </c>
      <c r="I166" s="66"/>
      <c r="J166" s="66" t="s">
        <v>1182</v>
      </c>
      <c r="K166" s="66" t="s">
        <v>1211</v>
      </c>
      <c r="L166" s="66" t="s">
        <v>1215</v>
      </c>
      <c r="M166" s="66" t="s">
        <v>1198</v>
      </c>
      <c r="N166" s="66" t="s">
        <v>1215</v>
      </c>
      <c r="O166" s="66" t="s">
        <v>1277</v>
      </c>
      <c r="P166" s="66" t="s">
        <v>1215</v>
      </c>
      <c r="Q166" s="86" t="s">
        <v>1186</v>
      </c>
      <c r="R166" s="86" t="s">
        <v>1215</v>
      </c>
      <c r="S166" s="86" t="s">
        <v>1215</v>
      </c>
      <c r="T166" s="86" t="s">
        <v>1215</v>
      </c>
      <c r="U166" s="86" t="s">
        <v>1215</v>
      </c>
      <c r="V166" s="86" t="s">
        <v>1215</v>
      </c>
      <c r="W166" s="67"/>
      <c r="X166" s="84" t="str">
        <f t="shared" si="22"/>
        <v>Belum Dinilai</v>
      </c>
      <c r="Y166" s="84" t="str">
        <f t="shared" si="23"/>
        <v>Belum Dinilai</v>
      </c>
      <c r="Z166" s="85">
        <f t="shared" si="24"/>
        <v>10</v>
      </c>
      <c r="AA166" s="85" t="str">
        <f t="shared" si="25"/>
        <v/>
      </c>
      <c r="AB166" s="85" t="str">
        <f t="shared" si="26"/>
        <v/>
      </c>
      <c r="AC166" s="68" t="s">
        <v>1215</v>
      </c>
      <c r="AD166" s="68" t="s">
        <v>1215</v>
      </c>
      <c r="AE166" s="68" t="s">
        <v>1215</v>
      </c>
      <c r="AF166" s="68" t="s">
        <v>1215</v>
      </c>
      <c r="AG166" s="68" t="s">
        <v>1215</v>
      </c>
      <c r="AH166" s="68" t="s">
        <v>1215</v>
      </c>
      <c r="AI166" s="68" t="s">
        <v>1215</v>
      </c>
      <c r="AJ166" s="68" t="s">
        <v>1215</v>
      </c>
      <c r="AK166" s="68" t="s">
        <v>1215</v>
      </c>
      <c r="AL166" s="68"/>
      <c r="AM166" s="68" t="s">
        <v>1215</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1203</v>
      </c>
      <c r="AV166" s="66" t="s">
        <v>1204</v>
      </c>
      <c r="AW166" s="66" t="s">
        <v>1190</v>
      </c>
      <c r="AX166" s="66"/>
      <c r="AY166" s="66"/>
      <c r="AZ166" s="66"/>
      <c r="BA166" s="66"/>
      <c r="BB166" s="178"/>
      <c r="BC166" s="72"/>
      <c r="BD166" s="66"/>
      <c r="BE166" s="178"/>
      <c r="BF166" s="66" t="s">
        <v>1278</v>
      </c>
    </row>
    <row r="167" spans="1:58" ht="28">
      <c r="A167" s="66" t="s">
        <v>1769</v>
      </c>
      <c r="B167" s="66" t="s">
        <v>1917</v>
      </c>
      <c r="C167" s="83" t="s">
        <v>1918</v>
      </c>
      <c r="D167" s="83" t="s">
        <v>1919</v>
      </c>
      <c r="E167" s="66" t="s">
        <v>1920</v>
      </c>
      <c r="F167" s="66" t="s">
        <v>1356</v>
      </c>
      <c r="G167" s="66" t="s">
        <v>1289</v>
      </c>
      <c r="H167" s="66" t="s">
        <v>1262</v>
      </c>
      <c r="I167" s="66"/>
      <c r="J167" s="66" t="s">
        <v>1263</v>
      </c>
      <c r="K167" s="66"/>
      <c r="L167" s="66" t="s">
        <v>1215</v>
      </c>
      <c r="M167" s="66"/>
      <c r="N167" s="66" t="s">
        <v>1215</v>
      </c>
      <c r="O167" s="66"/>
      <c r="P167" s="66" t="s">
        <v>1215</v>
      </c>
      <c r="Q167" s="86" t="s">
        <v>1215</v>
      </c>
      <c r="R167" s="86" t="s">
        <v>1215</v>
      </c>
      <c r="S167" s="86" t="s">
        <v>1215</v>
      </c>
      <c r="T167" s="86" t="s">
        <v>1215</v>
      </c>
      <c r="U167" s="86" t="s">
        <v>1215</v>
      </c>
      <c r="V167" s="86" t="s">
        <v>1215</v>
      </c>
      <c r="W167" s="67"/>
      <c r="X167" s="84" t="str">
        <f t="shared" si="22"/>
        <v>Belum Dinilai</v>
      </c>
      <c r="Y167" s="84" t="str">
        <f t="shared" si="23"/>
        <v>Belum Dinilai</v>
      </c>
      <c r="Z167" s="85" t="str">
        <f t="shared" si="24"/>
        <v/>
      </c>
      <c r="AA167" s="85" t="str">
        <f t="shared" si="25"/>
        <v/>
      </c>
      <c r="AB167" s="85" t="str">
        <f t="shared" si="26"/>
        <v/>
      </c>
      <c r="AC167" s="68" t="s">
        <v>1215</v>
      </c>
      <c r="AD167" s="68" t="s">
        <v>1215</v>
      </c>
      <c r="AE167" s="68" t="s">
        <v>1215</v>
      </c>
      <c r="AF167" s="68" t="s">
        <v>1215</v>
      </c>
      <c r="AG167" s="68" t="s">
        <v>1215</v>
      </c>
      <c r="AH167" s="68" t="s">
        <v>1215</v>
      </c>
      <c r="AI167" s="68" t="s">
        <v>1215</v>
      </c>
      <c r="AJ167" s="68" t="s">
        <v>1215</v>
      </c>
      <c r="AK167" s="68" t="s">
        <v>1215</v>
      </c>
      <c r="AL167" s="68"/>
      <c r="AM167" s="68" t="s">
        <v>1215</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1203</v>
      </c>
      <c r="AV167" s="66" t="s">
        <v>1204</v>
      </c>
      <c r="AW167" s="66" t="s">
        <v>1190</v>
      </c>
      <c r="AX167" s="66"/>
      <c r="AY167" s="66"/>
      <c r="AZ167" s="66"/>
      <c r="BA167" s="66"/>
      <c r="BB167" s="178"/>
      <c r="BC167" s="72"/>
      <c r="BD167" s="66"/>
      <c r="BE167" s="178"/>
      <c r="BF167" s="66" t="s">
        <v>1278</v>
      </c>
    </row>
    <row r="168" spans="1:58" ht="28">
      <c r="A168" s="66" t="s">
        <v>1773</v>
      </c>
      <c r="B168" s="66" t="s">
        <v>1923</v>
      </c>
      <c r="C168" s="83" t="s">
        <v>1924</v>
      </c>
      <c r="D168" s="83" t="s">
        <v>1925</v>
      </c>
      <c r="E168" s="66" t="s">
        <v>1926</v>
      </c>
      <c r="F168" s="66" t="s">
        <v>1641</v>
      </c>
      <c r="G168" s="66" t="s">
        <v>1275</v>
      </c>
      <c r="H168" s="66" t="s">
        <v>1262</v>
      </c>
      <c r="I168" s="66"/>
      <c r="J168" s="66" t="s">
        <v>1196</v>
      </c>
      <c r="K168" s="66" t="s">
        <v>1197</v>
      </c>
      <c r="L168" s="66" t="s">
        <v>905</v>
      </c>
      <c r="M168" s="66" t="s">
        <v>1266</v>
      </c>
      <c r="N168" s="66" t="s">
        <v>905</v>
      </c>
      <c r="O168" s="66" t="s">
        <v>1213</v>
      </c>
      <c r="P168" s="66" t="s">
        <v>891</v>
      </c>
      <c r="Q168" s="86" t="s">
        <v>1215</v>
      </c>
      <c r="R168" s="86" t="s">
        <v>1215</v>
      </c>
      <c r="S168" s="86" t="s">
        <v>1215</v>
      </c>
      <c r="T168" s="86" t="s">
        <v>1215</v>
      </c>
      <c r="U168" s="86" t="s">
        <v>1215</v>
      </c>
      <c r="V168" s="86" t="s">
        <v>1215</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1204</v>
      </c>
      <c r="AW168" s="66" t="s">
        <v>1190</v>
      </c>
      <c r="AX168" s="66"/>
      <c r="AY168" s="66"/>
      <c r="AZ168" s="66" t="s">
        <v>1192</v>
      </c>
      <c r="BA168" s="66"/>
      <c r="BB168" s="178"/>
      <c r="BC168" s="72"/>
      <c r="BD168" s="66"/>
      <c r="BE168" s="178"/>
      <c r="BF168" s="66" t="s">
        <v>1278</v>
      </c>
    </row>
    <row r="169" spans="1:58" ht="28">
      <c r="A169" s="66" t="s">
        <v>1777</v>
      </c>
      <c r="B169" s="66" t="s">
        <v>1927</v>
      </c>
      <c r="C169" s="83" t="s">
        <v>1928</v>
      </c>
      <c r="D169" s="83" t="s">
        <v>1929</v>
      </c>
      <c r="E169" s="66" t="s">
        <v>1930</v>
      </c>
      <c r="F169" s="66" t="s">
        <v>1931</v>
      </c>
      <c r="G169" s="66" t="s">
        <v>1351</v>
      </c>
      <c r="H169" s="66" t="s">
        <v>1262</v>
      </c>
      <c r="I169" s="66"/>
      <c r="J169" s="66" t="s">
        <v>1196</v>
      </c>
      <c r="K169" s="66" t="s">
        <v>1197</v>
      </c>
      <c r="L169" s="66" t="s">
        <v>895</v>
      </c>
      <c r="M169" s="66" t="s">
        <v>1266</v>
      </c>
      <c r="N169" s="66" t="s">
        <v>905</v>
      </c>
      <c r="O169" s="66" t="s">
        <v>1213</v>
      </c>
      <c r="P169" s="66" t="s">
        <v>891</v>
      </c>
      <c r="Q169" s="86" t="s">
        <v>1186</v>
      </c>
      <c r="R169" s="86" t="s">
        <v>1187</v>
      </c>
      <c r="S169" s="86" t="s">
        <v>1201</v>
      </c>
      <c r="T169" s="86" t="s">
        <v>1187</v>
      </c>
      <c r="U169" s="86" t="s">
        <v>1201</v>
      </c>
      <c r="V169" s="86" t="s">
        <v>1215</v>
      </c>
      <c r="W169" s="67"/>
      <c r="X169" s="84" t="str">
        <f t="shared" si="22"/>
        <v>Belum Dinilai</v>
      </c>
      <c r="Y169" s="84" t="str">
        <f t="shared" si="23"/>
        <v>Belum Dinilai</v>
      </c>
      <c r="Z169" s="85">
        <f t="shared" si="24"/>
        <v>10</v>
      </c>
      <c r="AA169" s="85" t="str">
        <f t="shared" si="25"/>
        <v/>
      </c>
      <c r="AB169" s="85" t="str">
        <f t="shared" si="26"/>
        <v/>
      </c>
      <c r="AC169" s="68" t="s">
        <v>1201</v>
      </c>
      <c r="AD169" s="68" t="s">
        <v>1201</v>
      </c>
      <c r="AE169" s="68" t="s">
        <v>1187</v>
      </c>
      <c r="AF169" s="68" t="s">
        <v>1201</v>
      </c>
      <c r="AG169" s="68" t="s">
        <v>1201</v>
      </c>
      <c r="AH169" s="68" t="s">
        <v>1187</v>
      </c>
      <c r="AI169" s="68" t="s">
        <v>1187</v>
      </c>
      <c r="AJ169" s="68" t="s">
        <v>1201</v>
      </c>
      <c r="AK169" s="68" t="s">
        <v>1201</v>
      </c>
      <c r="AL169" s="68"/>
      <c r="AM169" s="68" t="s">
        <v>1215</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1204</v>
      </c>
      <c r="AW169" s="66" t="s">
        <v>1190</v>
      </c>
      <c r="AX169" s="66"/>
      <c r="AY169" s="66"/>
      <c r="AZ169" s="66"/>
      <c r="BA169" s="66"/>
      <c r="BB169" s="178"/>
      <c r="BC169" s="72"/>
      <c r="BD169" s="66"/>
      <c r="BE169" s="178"/>
      <c r="BF169" s="66" t="s">
        <v>1278</v>
      </c>
    </row>
    <row r="170" spans="1:58" ht="28">
      <c r="A170" s="66" t="s">
        <v>1781</v>
      </c>
      <c r="B170" s="66" t="s">
        <v>1966</v>
      </c>
      <c r="C170" s="83" t="s">
        <v>1967</v>
      </c>
      <c r="D170" s="83" t="s">
        <v>1968</v>
      </c>
      <c r="E170" s="66" t="s">
        <v>1969</v>
      </c>
      <c r="F170" s="66" t="s">
        <v>1537</v>
      </c>
      <c r="G170" s="66" t="s">
        <v>1351</v>
      </c>
      <c r="H170" s="66" t="s">
        <v>1262</v>
      </c>
      <c r="I170" s="66"/>
      <c r="J170" s="66" t="s">
        <v>1182</v>
      </c>
      <c r="K170" s="66" t="s">
        <v>1211</v>
      </c>
      <c r="L170" s="66" t="s">
        <v>888</v>
      </c>
      <c r="M170" s="66" t="s">
        <v>1184</v>
      </c>
      <c r="N170" s="66" t="s">
        <v>888</v>
      </c>
      <c r="O170" s="66" t="s">
        <v>1185</v>
      </c>
      <c r="P170" s="66" t="s">
        <v>888</v>
      </c>
      <c r="Q170" s="86" t="s">
        <v>1186</v>
      </c>
      <c r="R170" s="86" t="s">
        <v>1187</v>
      </c>
      <c r="S170" s="86" t="s">
        <v>1201</v>
      </c>
      <c r="T170" s="86" t="s">
        <v>1201</v>
      </c>
      <c r="U170" s="86" t="s">
        <v>1201</v>
      </c>
      <c r="V170" s="86" t="s">
        <v>1215</v>
      </c>
      <c r="W170" s="67"/>
      <c r="X170" s="84" t="str">
        <f t="shared" si="22"/>
        <v>Belum Dinilai</v>
      </c>
      <c r="Y170" s="84" t="str">
        <f t="shared" si="23"/>
        <v>Belum Dinilai</v>
      </c>
      <c r="Z170" s="85">
        <f t="shared" si="24"/>
        <v>10</v>
      </c>
      <c r="AA170" s="85" t="str">
        <f t="shared" si="25"/>
        <v/>
      </c>
      <c r="AB170" s="85" t="str">
        <f t="shared" si="26"/>
        <v/>
      </c>
      <c r="AC170" s="68" t="s">
        <v>1201</v>
      </c>
      <c r="AD170" s="68" t="s">
        <v>1201</v>
      </c>
      <c r="AE170" s="68" t="s">
        <v>1201</v>
      </c>
      <c r="AF170" s="68" t="s">
        <v>1201</v>
      </c>
      <c r="AG170" s="68" t="s">
        <v>1201</v>
      </c>
      <c r="AH170" s="68" t="s">
        <v>1201</v>
      </c>
      <c r="AI170" s="68" t="s">
        <v>1201</v>
      </c>
      <c r="AJ170" s="68" t="s">
        <v>1201</v>
      </c>
      <c r="AK170" s="68" t="s">
        <v>1201</v>
      </c>
      <c r="AL170" s="68"/>
      <c r="AM170" s="68" t="s">
        <v>1215</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1204</v>
      </c>
      <c r="AW170" s="66" t="s">
        <v>1190</v>
      </c>
      <c r="AX170" s="66"/>
      <c r="AY170" s="66"/>
      <c r="AZ170" s="66" t="s">
        <v>927</v>
      </c>
      <c r="BA170" s="66"/>
      <c r="BB170" s="178"/>
      <c r="BC170" s="72"/>
      <c r="BD170" s="66"/>
      <c r="BE170" s="178"/>
      <c r="BF170" s="66" t="s">
        <v>1278</v>
      </c>
    </row>
    <row r="171" spans="1:58" ht="28">
      <c r="A171" s="66" t="s">
        <v>1965</v>
      </c>
      <c r="B171" s="66" t="s">
        <v>1970</v>
      </c>
      <c r="C171" s="83" t="s">
        <v>1971</v>
      </c>
      <c r="D171" s="83" t="s">
        <v>1972</v>
      </c>
      <c r="E171" s="66" t="s">
        <v>1973</v>
      </c>
      <c r="F171" s="66" t="s">
        <v>1537</v>
      </c>
      <c r="G171" s="66" t="s">
        <v>1351</v>
      </c>
      <c r="H171" s="66" t="s">
        <v>1262</v>
      </c>
      <c r="I171" s="66"/>
      <c r="J171" s="66" t="s">
        <v>1182</v>
      </c>
      <c r="K171" s="66" t="s">
        <v>1211</v>
      </c>
      <c r="L171" s="66" t="s">
        <v>895</v>
      </c>
      <c r="M171" s="66" t="s">
        <v>1184</v>
      </c>
      <c r="N171" s="66" t="s">
        <v>888</v>
      </c>
      <c r="O171" s="66" t="s">
        <v>1185</v>
      </c>
      <c r="P171" s="66" t="s">
        <v>891</v>
      </c>
      <c r="Q171" s="86" t="s">
        <v>1186</v>
      </c>
      <c r="R171" s="86" t="s">
        <v>1201</v>
      </c>
      <c r="S171" s="86" t="s">
        <v>1201</v>
      </c>
      <c r="T171" s="86" t="s">
        <v>1187</v>
      </c>
      <c r="U171" s="86" t="s">
        <v>1187</v>
      </c>
      <c r="V171" s="86" t="s">
        <v>1215</v>
      </c>
      <c r="W171" s="67"/>
      <c r="X171" s="84" t="str">
        <f t="shared" si="22"/>
        <v>Belum Dinilai</v>
      </c>
      <c r="Y171" s="84" t="str">
        <f t="shared" si="23"/>
        <v>Belum Dinilai</v>
      </c>
      <c r="Z171" s="85">
        <f t="shared" si="24"/>
        <v>10</v>
      </c>
      <c r="AA171" s="85" t="str">
        <f t="shared" si="25"/>
        <v/>
      </c>
      <c r="AB171" s="85" t="str">
        <f t="shared" si="26"/>
        <v/>
      </c>
      <c r="AC171" s="68" t="s">
        <v>1201</v>
      </c>
      <c r="AD171" s="68" t="s">
        <v>1201</v>
      </c>
      <c r="AE171" s="68" t="s">
        <v>1201</v>
      </c>
      <c r="AF171" s="68" t="s">
        <v>1201</v>
      </c>
      <c r="AG171" s="68" t="s">
        <v>1201</v>
      </c>
      <c r="AH171" s="68" t="s">
        <v>1201</v>
      </c>
      <c r="AI171" s="68" t="s">
        <v>1201</v>
      </c>
      <c r="AJ171" s="68" t="s">
        <v>1201</v>
      </c>
      <c r="AK171" s="68" t="s">
        <v>1201</v>
      </c>
      <c r="AL171" s="68"/>
      <c r="AM171" s="68" t="s">
        <v>1215</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1203</v>
      </c>
      <c r="AV171" s="66" t="s">
        <v>1204</v>
      </c>
      <c r="AW171" s="66" t="s">
        <v>1190</v>
      </c>
      <c r="AX171" s="66"/>
      <c r="AY171" s="66"/>
      <c r="AZ171" s="66"/>
      <c r="BA171" s="66"/>
      <c r="BB171" s="178"/>
      <c r="BC171" s="72"/>
      <c r="BD171" s="66"/>
      <c r="BE171" s="178"/>
      <c r="BF171" s="66" t="s">
        <v>1278</v>
      </c>
    </row>
    <row r="172" spans="1:58" ht="28">
      <c r="A172" s="66" t="s">
        <v>1785</v>
      </c>
      <c r="B172" s="66" t="s">
        <v>1976</v>
      </c>
      <c r="C172" s="66"/>
      <c r="D172" s="83" t="s">
        <v>1977</v>
      </c>
      <c r="E172" s="66" t="s">
        <v>1978</v>
      </c>
      <c r="F172" s="66" t="s">
        <v>1537</v>
      </c>
      <c r="G172" s="66" t="s">
        <v>1351</v>
      </c>
      <c r="H172" s="66" t="s">
        <v>1262</v>
      </c>
      <c r="I172" s="66"/>
      <c r="J172" s="66" t="s">
        <v>1182</v>
      </c>
      <c r="K172" s="66" t="s">
        <v>1211</v>
      </c>
      <c r="L172" s="66" t="s">
        <v>888</v>
      </c>
      <c r="M172" s="66" t="s">
        <v>1184</v>
      </c>
      <c r="N172" s="66" t="s">
        <v>888</v>
      </c>
      <c r="O172" s="66" t="s">
        <v>1213</v>
      </c>
      <c r="P172" s="66" t="s">
        <v>888</v>
      </c>
      <c r="Q172" s="86" t="s">
        <v>1186</v>
      </c>
      <c r="R172" s="86" t="s">
        <v>1201</v>
      </c>
      <c r="S172" s="86" t="s">
        <v>1201</v>
      </c>
      <c r="T172" s="86" t="s">
        <v>1201</v>
      </c>
      <c r="U172" s="86" t="s">
        <v>1201</v>
      </c>
      <c r="V172" s="86" t="s">
        <v>1215</v>
      </c>
      <c r="W172" s="67"/>
      <c r="X172" s="84" t="str">
        <f t="shared" si="22"/>
        <v>Belum Dinilai</v>
      </c>
      <c r="Y172" s="84" t="str">
        <f t="shared" si="23"/>
        <v>Belum Dinilai</v>
      </c>
      <c r="Z172" s="85">
        <f t="shared" si="24"/>
        <v>10</v>
      </c>
      <c r="AA172" s="85" t="str">
        <f t="shared" si="25"/>
        <v/>
      </c>
      <c r="AB172" s="85" t="str">
        <f t="shared" si="26"/>
        <v/>
      </c>
      <c r="AC172" s="68" t="s">
        <v>1201</v>
      </c>
      <c r="AD172" s="68" t="s">
        <v>1201</v>
      </c>
      <c r="AE172" s="68" t="s">
        <v>1201</v>
      </c>
      <c r="AF172" s="68" t="s">
        <v>1201</v>
      </c>
      <c r="AG172" s="68" t="s">
        <v>1201</v>
      </c>
      <c r="AH172" s="68" t="s">
        <v>1201</v>
      </c>
      <c r="AI172" s="68" t="s">
        <v>1201</v>
      </c>
      <c r="AJ172" s="68" t="s">
        <v>1201</v>
      </c>
      <c r="AK172" s="68" t="s">
        <v>1201</v>
      </c>
      <c r="AL172" s="68"/>
      <c r="AM172" s="68" t="s">
        <v>1215</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1203</v>
      </c>
      <c r="AV172" s="66" t="s">
        <v>1204</v>
      </c>
      <c r="AW172" s="66" t="s">
        <v>1190</v>
      </c>
      <c r="AX172" s="66"/>
      <c r="AY172" s="66"/>
      <c r="AZ172" s="66"/>
      <c r="BA172" s="66"/>
      <c r="BB172" s="178"/>
      <c r="BC172" s="72"/>
      <c r="BD172" s="66"/>
      <c r="BE172" s="178"/>
      <c r="BF172" s="66" t="s">
        <v>1278</v>
      </c>
    </row>
    <row r="173" spans="1:58" ht="28">
      <c r="A173" s="66" t="s">
        <v>1786</v>
      </c>
      <c r="B173" s="66" t="s">
        <v>2183</v>
      </c>
      <c r="C173" s="83" t="s">
        <v>1979</v>
      </c>
      <c r="D173" s="83" t="s">
        <v>1980</v>
      </c>
      <c r="E173" s="66" t="s">
        <v>1981</v>
      </c>
      <c r="F173" s="66" t="s">
        <v>1537</v>
      </c>
      <c r="G173" s="66" t="s">
        <v>1351</v>
      </c>
      <c r="H173" s="66" t="s">
        <v>1262</v>
      </c>
      <c r="I173" s="66"/>
      <c r="J173" s="66" t="s">
        <v>1182</v>
      </c>
      <c r="K173" s="66" t="s">
        <v>1211</v>
      </c>
      <c r="L173" s="66" t="s">
        <v>888</v>
      </c>
      <c r="M173" s="66" t="s">
        <v>1184</v>
      </c>
      <c r="N173" s="66" t="s">
        <v>888</v>
      </c>
      <c r="O173" s="66" t="s">
        <v>1185</v>
      </c>
      <c r="P173" s="66" t="s">
        <v>888</v>
      </c>
      <c r="Q173" s="86" t="s">
        <v>1186</v>
      </c>
      <c r="R173" s="86" t="s">
        <v>1201</v>
      </c>
      <c r="S173" s="86" t="s">
        <v>1201</v>
      </c>
      <c r="T173" s="86" t="s">
        <v>1201</v>
      </c>
      <c r="U173" s="86" t="s">
        <v>1201</v>
      </c>
      <c r="V173" s="86" t="s">
        <v>1215</v>
      </c>
      <c r="W173" s="67"/>
      <c r="X173" s="84" t="str">
        <f t="shared" si="22"/>
        <v>Belum Dinilai</v>
      </c>
      <c r="Y173" s="84" t="str">
        <f t="shared" si="23"/>
        <v>Belum Dinilai</v>
      </c>
      <c r="Z173" s="85">
        <f t="shared" si="24"/>
        <v>10</v>
      </c>
      <c r="AA173" s="85" t="str">
        <f t="shared" si="25"/>
        <v/>
      </c>
      <c r="AB173" s="85" t="str">
        <f t="shared" si="26"/>
        <v/>
      </c>
      <c r="AC173" s="68" t="s">
        <v>1201</v>
      </c>
      <c r="AD173" s="68" t="s">
        <v>1201</v>
      </c>
      <c r="AE173" s="68" t="s">
        <v>1201</v>
      </c>
      <c r="AF173" s="68" t="s">
        <v>1201</v>
      </c>
      <c r="AG173" s="68" t="s">
        <v>1201</v>
      </c>
      <c r="AH173" s="68" t="s">
        <v>1201</v>
      </c>
      <c r="AI173" s="68" t="s">
        <v>1201</v>
      </c>
      <c r="AJ173" s="68" t="s">
        <v>1201</v>
      </c>
      <c r="AK173" s="68" t="s">
        <v>1201</v>
      </c>
      <c r="AL173" s="68"/>
      <c r="AM173" s="68" t="s">
        <v>1215</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1204</v>
      </c>
      <c r="AW173" s="66" t="s">
        <v>1190</v>
      </c>
      <c r="AX173" s="66"/>
      <c r="AY173" s="66"/>
      <c r="AZ173" s="66"/>
      <c r="BA173" s="66"/>
      <c r="BB173" s="178"/>
      <c r="BC173" s="72"/>
      <c r="BD173" s="66"/>
      <c r="BE173" s="178"/>
      <c r="BF173" s="66" t="s">
        <v>1278</v>
      </c>
    </row>
    <row r="174" spans="1:58" ht="28">
      <c r="A174" s="66" t="s">
        <v>1790</v>
      </c>
      <c r="B174" s="66" t="s">
        <v>1982</v>
      </c>
      <c r="C174" s="83" t="s">
        <v>1983</v>
      </c>
      <c r="D174" s="83" t="s">
        <v>1984</v>
      </c>
      <c r="E174" s="66" t="s">
        <v>1985</v>
      </c>
      <c r="F174" s="66" t="s">
        <v>1537</v>
      </c>
      <c r="G174" s="66" t="s">
        <v>1351</v>
      </c>
      <c r="H174" s="66" t="s">
        <v>1262</v>
      </c>
      <c r="I174" s="66"/>
      <c r="J174" s="66" t="s">
        <v>1182</v>
      </c>
      <c r="K174" s="66" t="s">
        <v>1211</v>
      </c>
      <c r="L174" s="66" t="s">
        <v>888</v>
      </c>
      <c r="M174" s="66" t="s">
        <v>1184</v>
      </c>
      <c r="N174" s="66" t="s">
        <v>888</v>
      </c>
      <c r="O174" s="66" t="s">
        <v>1185</v>
      </c>
      <c r="P174" s="66" t="s">
        <v>888</v>
      </c>
      <c r="Q174" s="86" t="s">
        <v>1186</v>
      </c>
      <c r="R174" s="86" t="s">
        <v>1201</v>
      </c>
      <c r="S174" s="86" t="s">
        <v>1201</v>
      </c>
      <c r="T174" s="86" t="s">
        <v>1201</v>
      </c>
      <c r="U174" s="86" t="s">
        <v>1201</v>
      </c>
      <c r="V174" s="86" t="s">
        <v>1215</v>
      </c>
      <c r="W174" s="67"/>
      <c r="X174" s="84" t="str">
        <f t="shared" si="22"/>
        <v>Belum Dinilai</v>
      </c>
      <c r="Y174" s="84" t="str">
        <f t="shared" si="23"/>
        <v>Belum Dinilai</v>
      </c>
      <c r="Z174" s="85">
        <f t="shared" si="24"/>
        <v>10</v>
      </c>
      <c r="AA174" s="85" t="str">
        <f t="shared" si="25"/>
        <v/>
      </c>
      <c r="AB174" s="85" t="str">
        <f t="shared" si="26"/>
        <v/>
      </c>
      <c r="AC174" s="68" t="s">
        <v>1201</v>
      </c>
      <c r="AD174" s="68" t="s">
        <v>1201</v>
      </c>
      <c r="AE174" s="68" t="s">
        <v>1201</v>
      </c>
      <c r="AF174" s="68" t="s">
        <v>1201</v>
      </c>
      <c r="AG174" s="68" t="s">
        <v>1201</v>
      </c>
      <c r="AH174" s="68" t="s">
        <v>1201</v>
      </c>
      <c r="AI174" s="68" t="s">
        <v>1201</v>
      </c>
      <c r="AJ174" s="68" t="s">
        <v>1201</v>
      </c>
      <c r="AK174" s="68" t="s">
        <v>1201</v>
      </c>
      <c r="AL174" s="68"/>
      <c r="AM174" s="68" t="s">
        <v>1215</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1204</v>
      </c>
      <c r="AW174" s="66" t="s">
        <v>1190</v>
      </c>
      <c r="AX174" s="66"/>
      <c r="AY174" s="66"/>
      <c r="AZ174" s="66"/>
      <c r="BA174" s="66"/>
      <c r="BB174" s="178"/>
      <c r="BC174" s="72"/>
      <c r="BD174" s="66"/>
      <c r="BE174" s="178"/>
      <c r="BF174" s="66" t="s">
        <v>1278</v>
      </c>
    </row>
    <row r="175" spans="1:58" ht="28">
      <c r="A175" s="66" t="s">
        <v>1794</v>
      </c>
      <c r="B175" s="66" t="s">
        <v>1987</v>
      </c>
      <c r="C175" s="66"/>
      <c r="D175" s="83" t="s">
        <v>1988</v>
      </c>
      <c r="E175" s="66" t="s">
        <v>1986</v>
      </c>
      <c r="F175" s="66" t="s">
        <v>1537</v>
      </c>
      <c r="G175" s="66" t="s">
        <v>1351</v>
      </c>
      <c r="H175" s="66" t="s">
        <v>1262</v>
      </c>
      <c r="I175" s="66"/>
      <c r="J175" s="66" t="s">
        <v>1182</v>
      </c>
      <c r="K175" s="66" t="s">
        <v>1211</v>
      </c>
      <c r="L175" s="66" t="s">
        <v>888</v>
      </c>
      <c r="M175" s="66" t="s">
        <v>1184</v>
      </c>
      <c r="N175" s="66" t="s">
        <v>888</v>
      </c>
      <c r="O175" s="66" t="s">
        <v>1185</v>
      </c>
      <c r="P175" s="66" t="s">
        <v>888</v>
      </c>
      <c r="Q175" s="86" t="s">
        <v>1186</v>
      </c>
      <c r="R175" s="86" t="s">
        <v>1201</v>
      </c>
      <c r="S175" s="86" t="s">
        <v>1201</v>
      </c>
      <c r="T175" s="86" t="s">
        <v>1201</v>
      </c>
      <c r="U175" s="86" t="s">
        <v>1201</v>
      </c>
      <c r="V175" s="86" t="s">
        <v>1215</v>
      </c>
      <c r="W175" s="67"/>
      <c r="X175" s="84" t="str">
        <f t="shared" si="22"/>
        <v>Belum Dinilai</v>
      </c>
      <c r="Y175" s="84" t="str">
        <f t="shared" si="23"/>
        <v>Belum Dinilai</v>
      </c>
      <c r="Z175" s="85">
        <f t="shared" si="24"/>
        <v>10</v>
      </c>
      <c r="AA175" s="85" t="str">
        <f t="shared" si="25"/>
        <v/>
      </c>
      <c r="AB175" s="85" t="str">
        <f t="shared" si="26"/>
        <v/>
      </c>
      <c r="AC175" s="68" t="s">
        <v>1201</v>
      </c>
      <c r="AD175" s="68" t="s">
        <v>1201</v>
      </c>
      <c r="AE175" s="68" t="s">
        <v>1201</v>
      </c>
      <c r="AF175" s="68" t="s">
        <v>1201</v>
      </c>
      <c r="AG175" s="68" t="s">
        <v>1201</v>
      </c>
      <c r="AH175" s="68" t="s">
        <v>1201</v>
      </c>
      <c r="AI175" s="68" t="s">
        <v>1201</v>
      </c>
      <c r="AJ175" s="68" t="s">
        <v>1201</v>
      </c>
      <c r="AK175" s="68" t="s">
        <v>1201</v>
      </c>
      <c r="AL175" s="68"/>
      <c r="AM175" s="68" t="s">
        <v>1215</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1204</v>
      </c>
      <c r="AW175" s="66" t="s">
        <v>1190</v>
      </c>
      <c r="AX175" s="66"/>
      <c r="AY175" s="66"/>
      <c r="AZ175" s="66" t="s">
        <v>927</v>
      </c>
      <c r="BA175" s="66"/>
      <c r="BB175" s="178"/>
      <c r="BC175" s="72"/>
      <c r="BD175" s="66"/>
      <c r="BE175" s="178"/>
      <c r="BF175" s="66" t="s">
        <v>1278</v>
      </c>
    </row>
    <row r="176" spans="1:58" ht="28">
      <c r="A176" s="66" t="s">
        <v>1974</v>
      </c>
      <c r="B176" s="66" t="s">
        <v>1989</v>
      </c>
      <c r="C176" s="83" t="s">
        <v>1990</v>
      </c>
      <c r="D176" s="83" t="s">
        <v>1991</v>
      </c>
      <c r="E176" s="66" t="s">
        <v>1992</v>
      </c>
      <c r="F176" s="66" t="s">
        <v>1537</v>
      </c>
      <c r="G176" s="66" t="s">
        <v>1351</v>
      </c>
      <c r="H176" s="66" t="s">
        <v>1262</v>
      </c>
      <c r="I176" s="66"/>
      <c r="J176" s="66" t="s">
        <v>1182</v>
      </c>
      <c r="K176" s="66" t="s">
        <v>1211</v>
      </c>
      <c r="L176" s="66" t="s">
        <v>905</v>
      </c>
      <c r="M176" s="66" t="s">
        <v>1184</v>
      </c>
      <c r="N176" s="66" t="s">
        <v>905</v>
      </c>
      <c r="O176" s="66" t="s">
        <v>1185</v>
      </c>
      <c r="P176" s="66" t="s">
        <v>891</v>
      </c>
      <c r="Q176" s="86" t="s">
        <v>1186</v>
      </c>
      <c r="R176" s="86" t="s">
        <v>1201</v>
      </c>
      <c r="S176" s="86" t="s">
        <v>1201</v>
      </c>
      <c r="T176" s="86" t="s">
        <v>1201</v>
      </c>
      <c r="U176" s="86" t="s">
        <v>1201</v>
      </c>
      <c r="V176" s="86" t="s">
        <v>1215</v>
      </c>
      <c r="W176" s="67"/>
      <c r="X176" s="84" t="str">
        <f t="shared" si="22"/>
        <v>Belum Dinilai</v>
      </c>
      <c r="Y176" s="84" t="str">
        <f t="shared" si="23"/>
        <v>Belum Dinilai</v>
      </c>
      <c r="Z176" s="85">
        <f t="shared" si="24"/>
        <v>10</v>
      </c>
      <c r="AA176" s="85" t="str">
        <f t="shared" si="25"/>
        <v/>
      </c>
      <c r="AB176" s="85" t="str">
        <f t="shared" si="26"/>
        <v/>
      </c>
      <c r="AC176" s="68" t="s">
        <v>1201</v>
      </c>
      <c r="AD176" s="68" t="s">
        <v>1201</v>
      </c>
      <c r="AE176" s="68" t="s">
        <v>1201</v>
      </c>
      <c r="AF176" s="68" t="s">
        <v>1201</v>
      </c>
      <c r="AG176" s="68" t="s">
        <v>1201</v>
      </c>
      <c r="AH176" s="68" t="s">
        <v>1201</v>
      </c>
      <c r="AI176" s="68" t="s">
        <v>1201</v>
      </c>
      <c r="AJ176" s="68" t="s">
        <v>1201</v>
      </c>
      <c r="AK176" s="68" t="s">
        <v>1201</v>
      </c>
      <c r="AL176" s="68"/>
      <c r="AM176" s="68" t="s">
        <v>1215</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1204</v>
      </c>
      <c r="AW176" s="66" t="s">
        <v>1190</v>
      </c>
      <c r="AX176" s="66"/>
      <c r="AY176" s="66"/>
      <c r="AZ176" s="66"/>
      <c r="BA176" s="66"/>
      <c r="BB176" s="178"/>
      <c r="BC176" s="72"/>
      <c r="BD176" s="66"/>
      <c r="BE176" s="178"/>
      <c r="BF176" s="66" t="s">
        <v>1278</v>
      </c>
    </row>
    <row r="177" spans="1:58" ht="28">
      <c r="A177" s="66" t="s">
        <v>1975</v>
      </c>
      <c r="B177" s="66" t="s">
        <v>1993</v>
      </c>
      <c r="C177" s="83" t="s">
        <v>2184</v>
      </c>
      <c r="D177" s="83" t="s">
        <v>1994</v>
      </c>
      <c r="E177" s="66" t="s">
        <v>1995</v>
      </c>
      <c r="F177" s="66" t="s">
        <v>1458</v>
      </c>
      <c r="G177" s="66" t="s">
        <v>1310</v>
      </c>
      <c r="H177" s="66" t="s">
        <v>1181</v>
      </c>
      <c r="I177" s="66"/>
      <c r="J177" s="66" t="s">
        <v>1196</v>
      </c>
      <c r="K177" s="66" t="s">
        <v>1183</v>
      </c>
      <c r="L177" s="66" t="s">
        <v>905</v>
      </c>
      <c r="M177" s="66" t="s">
        <v>1305</v>
      </c>
      <c r="N177" s="66" t="s">
        <v>891</v>
      </c>
      <c r="O177" s="66" t="s">
        <v>1213</v>
      </c>
      <c r="P177" s="66" t="s">
        <v>891</v>
      </c>
      <c r="Q177" s="86" t="s">
        <v>1186</v>
      </c>
      <c r="R177" s="86" t="s">
        <v>1201</v>
      </c>
      <c r="S177" s="86" t="s">
        <v>1201</v>
      </c>
      <c r="T177" s="86" t="s">
        <v>1201</v>
      </c>
      <c r="U177" s="86" t="s">
        <v>1201</v>
      </c>
      <c r="V177" s="86" t="s">
        <v>1201</v>
      </c>
      <c r="W177" s="67"/>
      <c r="X177" s="84" t="str">
        <f t="shared" si="22"/>
        <v>Tidak ada faktor rentan</v>
      </c>
      <c r="Y177" s="84" t="str">
        <f t="shared" si="23"/>
        <v>Tidak Ada Faktor Rentan</v>
      </c>
      <c r="Z177" s="85">
        <f t="shared" si="24"/>
        <v>10</v>
      </c>
      <c r="AA177" s="85">
        <f t="shared" si="25"/>
        <v>0</v>
      </c>
      <c r="AB177" s="85">
        <f t="shared" si="26"/>
        <v>10</v>
      </c>
      <c r="AC177" s="68" t="s">
        <v>1201</v>
      </c>
      <c r="AD177" s="68" t="s">
        <v>1201</v>
      </c>
      <c r="AE177" s="68" t="s">
        <v>1187</v>
      </c>
      <c r="AF177" s="68" t="s">
        <v>1201</v>
      </c>
      <c r="AG177" s="68" t="s">
        <v>1187</v>
      </c>
      <c r="AH177" s="68" t="s">
        <v>1187</v>
      </c>
      <c r="AI177" s="68" t="s">
        <v>1187</v>
      </c>
      <c r="AJ177" s="68" t="s">
        <v>1201</v>
      </c>
      <c r="AK177" s="68" t="s">
        <v>1201</v>
      </c>
      <c r="AL177" s="68"/>
      <c r="AM177" s="68" t="s">
        <v>1215</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1189</v>
      </c>
      <c r="AV177" s="66" t="s">
        <v>1204</v>
      </c>
      <c r="AW177" s="66" t="s">
        <v>1205</v>
      </c>
      <c r="AX177" s="66" t="s">
        <v>1283</v>
      </c>
      <c r="AY177" s="66">
        <v>2026</v>
      </c>
      <c r="AZ177" s="66" t="s">
        <v>1207</v>
      </c>
      <c r="BA177" s="66"/>
      <c r="BB177" s="178"/>
      <c r="BC177" s="72">
        <v>2026</v>
      </c>
      <c r="BD177" s="66" t="s">
        <v>1219</v>
      </c>
      <c r="BE177" s="178"/>
      <c r="BF177" s="66" t="s">
        <v>1278</v>
      </c>
    </row>
    <row r="178" spans="1:58" ht="28">
      <c r="A178" s="66" t="s">
        <v>2028</v>
      </c>
      <c r="B178" s="66" t="s">
        <v>1996</v>
      </c>
      <c r="C178" s="83" t="s">
        <v>1997</v>
      </c>
      <c r="D178" s="83" t="s">
        <v>1998</v>
      </c>
      <c r="E178" s="66" t="s">
        <v>1999</v>
      </c>
      <c r="F178" s="66" t="s">
        <v>1350</v>
      </c>
      <c r="G178" s="66" t="s">
        <v>1351</v>
      </c>
      <c r="H178" s="66" t="s">
        <v>1262</v>
      </c>
      <c r="I178" s="66"/>
      <c r="J178" s="66" t="s">
        <v>1210</v>
      </c>
      <c r="K178" s="66" t="s">
        <v>1211</v>
      </c>
      <c r="L178" s="66" t="s">
        <v>891</v>
      </c>
      <c r="M178" s="66" t="s">
        <v>1266</v>
      </c>
      <c r="N178" s="66" t="s">
        <v>905</v>
      </c>
      <c r="O178" s="66" t="s">
        <v>1213</v>
      </c>
      <c r="P178" s="66" t="s">
        <v>891</v>
      </c>
      <c r="Q178" s="86" t="s">
        <v>1186</v>
      </c>
      <c r="R178" s="86" t="s">
        <v>1201</v>
      </c>
      <c r="S178" s="86" t="s">
        <v>1201</v>
      </c>
      <c r="T178" s="86" t="s">
        <v>1187</v>
      </c>
      <c r="U178" s="86" t="s">
        <v>1201</v>
      </c>
      <c r="V178" s="86" t="s">
        <v>1215</v>
      </c>
      <c r="W178" s="67"/>
      <c r="X178" s="84" t="str">
        <f t="shared" si="22"/>
        <v>Belum Dinilai</v>
      </c>
      <c r="Y178" s="84" t="str">
        <f t="shared" si="23"/>
        <v>Belum Dinilai</v>
      </c>
      <c r="Z178" s="85">
        <f t="shared" si="24"/>
        <v>10</v>
      </c>
      <c r="AA178" s="85" t="str">
        <f t="shared" si="25"/>
        <v/>
      </c>
      <c r="AB178" s="85" t="str">
        <f t="shared" si="26"/>
        <v/>
      </c>
      <c r="AC178" s="68" t="s">
        <v>1201</v>
      </c>
      <c r="AD178" s="68" t="s">
        <v>1201</v>
      </c>
      <c r="AE178" s="68" t="s">
        <v>1201</v>
      </c>
      <c r="AF178" s="68" t="s">
        <v>1201</v>
      </c>
      <c r="AG178" s="68" t="s">
        <v>1201</v>
      </c>
      <c r="AH178" s="68" t="s">
        <v>1201</v>
      </c>
      <c r="AI178" s="68" t="s">
        <v>1201</v>
      </c>
      <c r="AJ178" s="68" t="s">
        <v>1201</v>
      </c>
      <c r="AK178" s="68" t="s">
        <v>1201</v>
      </c>
      <c r="AL178" s="68"/>
      <c r="AM178" s="68" t="s">
        <v>1215</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1189</v>
      </c>
      <c r="AV178" s="66" t="s">
        <v>1204</v>
      </c>
      <c r="AW178" s="66" t="s">
        <v>1216</v>
      </c>
      <c r="AX178" s="66" t="s">
        <v>1268</v>
      </c>
      <c r="AY178" s="66">
        <v>2026</v>
      </c>
      <c r="AZ178" s="66" t="s">
        <v>1192</v>
      </c>
      <c r="BA178" s="66"/>
      <c r="BB178" s="178"/>
      <c r="BC178" s="72">
        <v>2025</v>
      </c>
      <c r="BD178" s="66" t="s">
        <v>1208</v>
      </c>
      <c r="BE178" s="178"/>
      <c r="BF178" s="66" t="s">
        <v>1278</v>
      </c>
    </row>
    <row r="179" spans="1:58" ht="28">
      <c r="A179" s="66" t="s">
        <v>2029</v>
      </c>
      <c r="B179" s="66" t="s">
        <v>2000</v>
      </c>
      <c r="C179" s="83" t="s">
        <v>2001</v>
      </c>
      <c r="D179" s="83" t="s">
        <v>2002</v>
      </c>
      <c r="E179" s="66" t="s">
        <v>2003</v>
      </c>
      <c r="F179" s="66" t="s">
        <v>1341</v>
      </c>
      <c r="G179" s="66" t="s">
        <v>1331</v>
      </c>
      <c r="H179" s="66" t="s">
        <v>1262</v>
      </c>
      <c r="I179" s="66"/>
      <c r="J179" s="66"/>
      <c r="K179" s="66"/>
      <c r="L179" s="66" t="s">
        <v>1215</v>
      </c>
      <c r="M179" s="66"/>
      <c r="N179" s="66" t="s">
        <v>1215</v>
      </c>
      <c r="O179" s="66"/>
      <c r="P179" s="66" t="s">
        <v>1215</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1201</v>
      </c>
      <c r="AD179" s="68" t="s">
        <v>1201</v>
      </c>
      <c r="AE179" s="68" t="s">
        <v>1201</v>
      </c>
      <c r="AF179" s="68" t="s">
        <v>1201</v>
      </c>
      <c r="AG179" s="68" t="s">
        <v>1201</v>
      </c>
      <c r="AH179" s="68" t="s">
        <v>1201</v>
      </c>
      <c r="AI179" s="68" t="s">
        <v>1201</v>
      </c>
      <c r="AJ179" s="68" t="s">
        <v>1201</v>
      </c>
      <c r="AK179" s="68" t="s">
        <v>1201</v>
      </c>
      <c r="AL179" s="68"/>
      <c r="AM179" s="68" t="s">
        <v>1215</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1204</v>
      </c>
      <c r="AW179" s="66" t="s">
        <v>1190</v>
      </c>
      <c r="AX179" s="66"/>
      <c r="AY179" s="66"/>
      <c r="AZ179" s="66"/>
      <c r="BA179" s="66"/>
      <c r="BB179" s="178"/>
      <c r="BC179" s="72"/>
      <c r="BD179" s="66"/>
      <c r="BE179" s="178"/>
      <c r="BF179" s="66" t="s">
        <v>1278</v>
      </c>
    </row>
    <row r="180" spans="1:58" ht="28">
      <c r="A180" s="66" t="s">
        <v>2030</v>
      </c>
      <c r="B180" s="66" t="s">
        <v>2004</v>
      </c>
      <c r="C180" s="83" t="s">
        <v>2005</v>
      </c>
      <c r="D180" s="83" t="s">
        <v>2006</v>
      </c>
      <c r="E180" s="66" t="s">
        <v>2007</v>
      </c>
      <c r="F180" s="66" t="s">
        <v>1341</v>
      </c>
      <c r="G180" s="66" t="s">
        <v>1331</v>
      </c>
      <c r="H180" s="66" t="s">
        <v>1262</v>
      </c>
      <c r="I180" s="66"/>
      <c r="J180" s="66" t="s">
        <v>1196</v>
      </c>
      <c r="K180" s="66" t="s">
        <v>1211</v>
      </c>
      <c r="L180" s="66" t="s">
        <v>891</v>
      </c>
      <c r="M180" s="66" t="s">
        <v>1305</v>
      </c>
      <c r="N180" s="66" t="s">
        <v>891</v>
      </c>
      <c r="O180" s="66" t="s">
        <v>1213</v>
      </c>
      <c r="P180" s="66" t="s">
        <v>891</v>
      </c>
      <c r="Q180" s="86" t="s">
        <v>1186</v>
      </c>
      <c r="R180" s="86" t="s">
        <v>1201</v>
      </c>
      <c r="S180" s="86" t="s">
        <v>1201</v>
      </c>
      <c r="T180" s="86" t="s">
        <v>1187</v>
      </c>
      <c r="U180" s="86" t="s">
        <v>1201</v>
      </c>
      <c r="V180" s="86" t="s">
        <v>1201</v>
      </c>
      <c r="W180" s="67"/>
      <c r="X180" s="84" t="str">
        <f t="shared" si="22"/>
        <v xml:space="preserve">Kepala keluarga perempuan; </v>
      </c>
      <c r="Y180" s="84" t="str">
        <f t="shared" si="23"/>
        <v>1 Faktor Rentan</v>
      </c>
      <c r="Z180" s="85">
        <f t="shared" si="24"/>
        <v>10</v>
      </c>
      <c r="AA180" s="85">
        <f t="shared" si="25"/>
        <v>5</v>
      </c>
      <c r="AB180" s="85">
        <f t="shared" si="26"/>
        <v>15</v>
      </c>
      <c r="AC180" s="68" t="s">
        <v>1201</v>
      </c>
      <c r="AD180" s="68" t="s">
        <v>1201</v>
      </c>
      <c r="AE180" s="68" t="s">
        <v>1201</v>
      </c>
      <c r="AF180" s="68" t="s">
        <v>1201</v>
      </c>
      <c r="AG180" s="68" t="s">
        <v>1201</v>
      </c>
      <c r="AH180" s="68" t="s">
        <v>1201</v>
      </c>
      <c r="AI180" s="68" t="s">
        <v>1187</v>
      </c>
      <c r="AJ180" s="68" t="s">
        <v>1201</v>
      </c>
      <c r="AK180" s="68" t="s">
        <v>1201</v>
      </c>
      <c r="AL180" s="68"/>
      <c r="AM180" s="68" t="s">
        <v>1215</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1189</v>
      </c>
      <c r="AV180" s="66" t="s">
        <v>1204</v>
      </c>
      <c r="AW180" s="66" t="s">
        <v>1190</v>
      </c>
      <c r="AX180" s="66" t="s">
        <v>1283</v>
      </c>
      <c r="AY180" s="66">
        <v>2026</v>
      </c>
      <c r="AZ180" s="66" t="s">
        <v>1192</v>
      </c>
      <c r="BA180" s="66"/>
      <c r="BB180" s="178"/>
      <c r="BC180" s="72">
        <v>2026</v>
      </c>
      <c r="BD180" s="66" t="s">
        <v>1208</v>
      </c>
      <c r="BE180" s="178"/>
      <c r="BF180" s="66" t="s">
        <v>1278</v>
      </c>
    </row>
    <row r="181" spans="1:58" ht="28">
      <c r="A181" s="66" t="s">
        <v>2031</v>
      </c>
      <c r="B181" s="66" t="s">
        <v>2008</v>
      </c>
      <c r="C181" s="83" t="s">
        <v>2009</v>
      </c>
      <c r="D181" s="83" t="s">
        <v>2010</v>
      </c>
      <c r="E181" s="66" t="s">
        <v>1439</v>
      </c>
      <c r="F181" s="66" t="s">
        <v>1429</v>
      </c>
      <c r="G181" s="66" t="s">
        <v>1310</v>
      </c>
      <c r="H181" s="66" t="s">
        <v>1262</v>
      </c>
      <c r="I181" s="66"/>
      <c r="J181" s="66"/>
      <c r="K181" s="66"/>
      <c r="L181" s="66" t="s">
        <v>1215</v>
      </c>
      <c r="M181" s="66"/>
      <c r="N181" s="66" t="s">
        <v>1215</v>
      </c>
      <c r="O181" s="66"/>
      <c r="P181" s="66" t="s">
        <v>1215</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1201</v>
      </c>
      <c r="AD181" s="68" t="s">
        <v>1201</v>
      </c>
      <c r="AE181" s="68" t="s">
        <v>1201</v>
      </c>
      <c r="AF181" s="68" t="s">
        <v>1201</v>
      </c>
      <c r="AG181" s="68" t="s">
        <v>1201</v>
      </c>
      <c r="AH181" s="68" t="s">
        <v>1201</v>
      </c>
      <c r="AI181" s="68" t="s">
        <v>1201</v>
      </c>
      <c r="AJ181" s="68" t="s">
        <v>1201</v>
      </c>
      <c r="AK181" s="68" t="s">
        <v>1201</v>
      </c>
      <c r="AL181" s="68"/>
      <c r="AM181" s="68" t="s">
        <v>1215</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1204</v>
      </c>
      <c r="AW181" s="66" t="s">
        <v>1190</v>
      </c>
      <c r="AX181" s="66"/>
      <c r="AY181" s="66"/>
      <c r="AZ181" s="66"/>
      <c r="BA181" s="66"/>
      <c r="BB181" s="178"/>
      <c r="BC181" s="72"/>
      <c r="BD181" s="66"/>
      <c r="BE181" s="178"/>
      <c r="BF181" s="66" t="s">
        <v>1278</v>
      </c>
    </row>
    <row r="182" spans="1:58" ht="28">
      <c r="A182" s="66" t="s">
        <v>2032</v>
      </c>
      <c r="B182" s="66" t="s">
        <v>1432</v>
      </c>
      <c r="C182" s="83" t="s">
        <v>2011</v>
      </c>
      <c r="D182" s="83" t="s">
        <v>2012</v>
      </c>
      <c r="E182" s="66" t="s">
        <v>1433</v>
      </c>
      <c r="F182" s="66" t="s">
        <v>1429</v>
      </c>
      <c r="G182" s="66" t="s">
        <v>1310</v>
      </c>
      <c r="H182" s="66" t="s">
        <v>1262</v>
      </c>
      <c r="I182" s="66"/>
      <c r="J182" s="66"/>
      <c r="K182" s="66"/>
      <c r="L182" s="66" t="s">
        <v>1215</v>
      </c>
      <c r="M182" s="66"/>
      <c r="N182" s="66" t="s">
        <v>1215</v>
      </c>
      <c r="O182" s="66"/>
      <c r="P182" s="66" t="s">
        <v>1215</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1201</v>
      </c>
      <c r="AD182" s="68" t="s">
        <v>1201</v>
      </c>
      <c r="AE182" s="68" t="s">
        <v>1201</v>
      </c>
      <c r="AF182" s="68" t="s">
        <v>1201</v>
      </c>
      <c r="AG182" s="68" t="s">
        <v>1201</v>
      </c>
      <c r="AH182" s="68" t="s">
        <v>1201</v>
      </c>
      <c r="AI182" s="68" t="s">
        <v>1201</v>
      </c>
      <c r="AJ182" s="68" t="s">
        <v>1201</v>
      </c>
      <c r="AK182" s="68" t="s">
        <v>1201</v>
      </c>
      <c r="AL182" s="68"/>
      <c r="AM182" s="68" t="s">
        <v>1215</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1204</v>
      </c>
      <c r="AW182" s="66" t="s">
        <v>1190</v>
      </c>
      <c r="AX182" s="66"/>
      <c r="AY182" s="66"/>
      <c r="AZ182" s="66"/>
      <c r="BA182" s="66"/>
      <c r="BB182" s="178"/>
      <c r="BC182" s="72"/>
      <c r="BD182" s="66"/>
      <c r="BE182" s="178"/>
      <c r="BF182" s="66" t="s">
        <v>1278</v>
      </c>
    </row>
    <row r="183" spans="1:58" ht="28">
      <c r="A183" s="66" t="s">
        <v>2033</v>
      </c>
      <c r="B183" s="66" t="s">
        <v>2013</v>
      </c>
      <c r="C183" s="83" t="s">
        <v>2014</v>
      </c>
      <c r="D183" s="83" t="s">
        <v>2015</v>
      </c>
      <c r="E183" s="66" t="s">
        <v>1439</v>
      </c>
      <c r="F183" s="66" t="s">
        <v>1429</v>
      </c>
      <c r="G183" s="66" t="s">
        <v>1310</v>
      </c>
      <c r="H183" s="66" t="s">
        <v>1262</v>
      </c>
      <c r="I183" s="66"/>
      <c r="J183" s="66"/>
      <c r="K183" s="66"/>
      <c r="L183" s="66" t="s">
        <v>1215</v>
      </c>
      <c r="M183" s="66"/>
      <c r="N183" s="66" t="s">
        <v>1215</v>
      </c>
      <c r="O183" s="66"/>
      <c r="P183" s="66" t="s">
        <v>1215</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1201</v>
      </c>
      <c r="AD183" s="68" t="s">
        <v>1201</v>
      </c>
      <c r="AE183" s="68" t="s">
        <v>1201</v>
      </c>
      <c r="AF183" s="68" t="s">
        <v>1201</v>
      </c>
      <c r="AG183" s="68" t="s">
        <v>1201</v>
      </c>
      <c r="AH183" s="68" t="s">
        <v>1201</v>
      </c>
      <c r="AI183" s="68" t="s">
        <v>1201</v>
      </c>
      <c r="AJ183" s="68" t="s">
        <v>1201</v>
      </c>
      <c r="AK183" s="68" t="s">
        <v>1201</v>
      </c>
      <c r="AL183" s="68"/>
      <c r="AM183" s="68" t="s">
        <v>1215</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1204</v>
      </c>
      <c r="AW183" s="66" t="s">
        <v>1190</v>
      </c>
      <c r="AX183" s="66"/>
      <c r="AY183" s="66"/>
      <c r="AZ183" s="66"/>
      <c r="BA183" s="66"/>
      <c r="BB183" s="178"/>
      <c r="BC183" s="72"/>
      <c r="BD183" s="66"/>
      <c r="BE183" s="178"/>
      <c r="BF183" s="66" t="s">
        <v>1278</v>
      </c>
    </row>
    <row r="184" spans="1:58" s="179" customFormat="1" ht="28">
      <c r="A184" s="66" t="s">
        <v>2034</v>
      </c>
      <c r="B184" s="66" t="s">
        <v>2016</v>
      </c>
      <c r="C184" s="83" t="s">
        <v>2017</v>
      </c>
      <c r="D184" s="83" t="s">
        <v>2018</v>
      </c>
      <c r="E184" s="66" t="s">
        <v>2019</v>
      </c>
      <c r="F184" s="66" t="s">
        <v>2020</v>
      </c>
      <c r="G184" s="66" t="s">
        <v>1325</v>
      </c>
      <c r="H184" s="66" t="s">
        <v>1262</v>
      </c>
      <c r="I184" s="66"/>
      <c r="J184" s="66"/>
      <c r="K184" s="66"/>
      <c r="L184" s="66" t="s">
        <v>1215</v>
      </c>
      <c r="M184" s="66"/>
      <c r="N184" s="66" t="s">
        <v>1215</v>
      </c>
      <c r="O184" s="66"/>
      <c r="P184" s="66" t="s">
        <v>1215</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1201</v>
      </c>
      <c r="AD184" s="68" t="s">
        <v>1201</v>
      </c>
      <c r="AE184" s="68" t="s">
        <v>1201</v>
      </c>
      <c r="AF184" s="68" t="s">
        <v>1201</v>
      </c>
      <c r="AG184" s="68" t="s">
        <v>1201</v>
      </c>
      <c r="AH184" s="68" t="s">
        <v>1201</v>
      </c>
      <c r="AI184" s="68" t="s">
        <v>1201</v>
      </c>
      <c r="AJ184" s="68" t="s">
        <v>1201</v>
      </c>
      <c r="AK184" s="68" t="s">
        <v>1201</v>
      </c>
      <c r="AL184" s="68"/>
      <c r="AM184" s="68" t="s">
        <v>1215</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1204</v>
      </c>
      <c r="AW184" s="66" t="s">
        <v>1190</v>
      </c>
      <c r="AX184" s="66"/>
      <c r="AY184" s="66"/>
      <c r="AZ184" s="66"/>
      <c r="BA184" s="66"/>
      <c r="BB184" s="178"/>
      <c r="BC184" s="72"/>
      <c r="BD184" s="66"/>
      <c r="BE184" s="178"/>
      <c r="BF184" s="66" t="s">
        <v>1278</v>
      </c>
    </row>
    <row r="185" spans="1:58" s="179" customFormat="1" ht="28">
      <c r="A185" s="66" t="s">
        <v>2035</v>
      </c>
      <c r="B185" s="66" t="s">
        <v>2021</v>
      </c>
      <c r="C185" s="66"/>
      <c r="D185" s="83" t="s">
        <v>2022</v>
      </c>
      <c r="E185" s="66" t="s">
        <v>1973</v>
      </c>
      <c r="F185" s="66" t="s">
        <v>1537</v>
      </c>
      <c r="G185" s="66" t="s">
        <v>1351</v>
      </c>
      <c r="H185" s="66" t="s">
        <v>1262</v>
      </c>
      <c r="I185" s="66"/>
      <c r="J185" s="66" t="s">
        <v>1196</v>
      </c>
      <c r="K185" s="66" t="s">
        <v>1211</v>
      </c>
      <c r="L185" s="66" t="s">
        <v>888</v>
      </c>
      <c r="M185" s="66" t="s">
        <v>1305</v>
      </c>
      <c r="N185" s="66" t="s">
        <v>888</v>
      </c>
      <c r="O185" s="66" t="s">
        <v>1185</v>
      </c>
      <c r="P185" s="66" t="s">
        <v>891</v>
      </c>
      <c r="Q185" s="86" t="s">
        <v>1186</v>
      </c>
      <c r="R185" s="86" t="s">
        <v>1201</v>
      </c>
      <c r="S185" s="86" t="s">
        <v>1201</v>
      </c>
      <c r="T185" s="86" t="s">
        <v>1201</v>
      </c>
      <c r="U185" s="86" t="s">
        <v>1201</v>
      </c>
      <c r="V185" s="86" t="s">
        <v>1215</v>
      </c>
      <c r="W185" s="67"/>
      <c r="X185" s="84" t="str">
        <f t="shared" si="22"/>
        <v>Belum Dinilai</v>
      </c>
      <c r="Y185" s="84" t="str">
        <f t="shared" si="23"/>
        <v>Belum Dinilai</v>
      </c>
      <c r="Z185" s="85">
        <f t="shared" si="24"/>
        <v>10</v>
      </c>
      <c r="AA185" s="85" t="str">
        <f t="shared" si="25"/>
        <v/>
      </c>
      <c r="AB185" s="85" t="str">
        <f t="shared" si="26"/>
        <v/>
      </c>
      <c r="AC185" s="68" t="s">
        <v>1201</v>
      </c>
      <c r="AD185" s="68" t="s">
        <v>1201</v>
      </c>
      <c r="AE185" s="68" t="s">
        <v>1201</v>
      </c>
      <c r="AF185" s="68" t="s">
        <v>1201</v>
      </c>
      <c r="AG185" s="68" t="s">
        <v>1201</v>
      </c>
      <c r="AH185" s="68" t="s">
        <v>1201</v>
      </c>
      <c r="AI185" s="68" t="s">
        <v>1201</v>
      </c>
      <c r="AJ185" s="68" t="s">
        <v>1201</v>
      </c>
      <c r="AK185" s="68" t="s">
        <v>1201</v>
      </c>
      <c r="AL185" s="68"/>
      <c r="AM185" s="68" t="s">
        <v>1215</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1204</v>
      </c>
      <c r="AW185" s="66" t="s">
        <v>1190</v>
      </c>
      <c r="AX185" s="66"/>
      <c r="AY185" s="66"/>
      <c r="AZ185" s="66"/>
      <c r="BA185" s="66"/>
      <c r="BB185" s="178"/>
      <c r="BC185" s="72"/>
      <c r="BD185" s="66"/>
      <c r="BE185" s="178"/>
      <c r="BF185" s="66" t="s">
        <v>1278</v>
      </c>
    </row>
    <row r="186" spans="1:58" s="179" customFormat="1" ht="28">
      <c r="A186" s="66" t="s">
        <v>2036</v>
      </c>
      <c r="B186" s="66" t="s">
        <v>2185</v>
      </c>
      <c r="C186" s="83" t="s">
        <v>2023</v>
      </c>
      <c r="D186" s="83" t="s">
        <v>2024</v>
      </c>
      <c r="E186" s="66" t="s">
        <v>1978</v>
      </c>
      <c r="F186" s="66" t="s">
        <v>1537</v>
      </c>
      <c r="G186" s="66" t="s">
        <v>1351</v>
      </c>
      <c r="H186" s="66" t="s">
        <v>1262</v>
      </c>
      <c r="I186" s="66"/>
      <c r="J186" s="66" t="s">
        <v>1182</v>
      </c>
      <c r="K186" s="66" t="s">
        <v>1211</v>
      </c>
      <c r="L186" s="66" t="s">
        <v>888</v>
      </c>
      <c r="M186" s="66" t="s">
        <v>1184</v>
      </c>
      <c r="N186" s="66" t="s">
        <v>888</v>
      </c>
      <c r="O186" s="66" t="s">
        <v>1185</v>
      </c>
      <c r="P186" s="66" t="s">
        <v>888</v>
      </c>
      <c r="Q186" s="86" t="s">
        <v>1186</v>
      </c>
      <c r="R186" s="86" t="s">
        <v>1201</v>
      </c>
      <c r="S186" s="86" t="s">
        <v>1201</v>
      </c>
      <c r="T186" s="86" t="s">
        <v>1201</v>
      </c>
      <c r="U186" s="86" t="s">
        <v>1201</v>
      </c>
      <c r="V186" s="86" t="s">
        <v>1215</v>
      </c>
      <c r="W186" s="67"/>
      <c r="X186" s="84" t="str">
        <f t="shared" si="22"/>
        <v>Belum Dinilai</v>
      </c>
      <c r="Y186" s="84" t="str">
        <f t="shared" si="23"/>
        <v>Belum Dinilai</v>
      </c>
      <c r="Z186" s="85">
        <f t="shared" si="24"/>
        <v>10</v>
      </c>
      <c r="AA186" s="85" t="str">
        <f t="shared" si="25"/>
        <v/>
      </c>
      <c r="AB186" s="85" t="str">
        <f t="shared" si="26"/>
        <v/>
      </c>
      <c r="AC186" s="68" t="s">
        <v>1201</v>
      </c>
      <c r="AD186" s="68" t="s">
        <v>1201</v>
      </c>
      <c r="AE186" s="68" t="s">
        <v>1201</v>
      </c>
      <c r="AF186" s="68" t="s">
        <v>1201</v>
      </c>
      <c r="AG186" s="68" t="s">
        <v>1201</v>
      </c>
      <c r="AH186" s="68" t="s">
        <v>1201</v>
      </c>
      <c r="AI186" s="68" t="s">
        <v>1201</v>
      </c>
      <c r="AJ186" s="68" t="s">
        <v>1201</v>
      </c>
      <c r="AK186" s="68" t="s">
        <v>1201</v>
      </c>
      <c r="AL186" s="68"/>
      <c r="AM186" s="68" t="s">
        <v>1215</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1204</v>
      </c>
      <c r="AW186" s="66" t="s">
        <v>1190</v>
      </c>
      <c r="AX186" s="66"/>
      <c r="AY186" s="66"/>
      <c r="AZ186" s="66"/>
      <c r="BA186" s="66"/>
      <c r="BB186" s="178"/>
      <c r="BC186" s="72"/>
      <c r="BD186" s="66"/>
      <c r="BE186" s="178"/>
      <c r="BF186" s="66" t="s">
        <v>1278</v>
      </c>
    </row>
    <row r="187" spans="1:58" s="179" customFormat="1" ht="28">
      <c r="A187" s="66" t="s">
        <v>2037</v>
      </c>
      <c r="B187" s="66" t="s">
        <v>2025</v>
      </c>
      <c r="C187" s="83" t="s">
        <v>2026</v>
      </c>
      <c r="D187" s="83" t="s">
        <v>2027</v>
      </c>
      <c r="E187" s="66" t="s">
        <v>1973</v>
      </c>
      <c r="F187" s="66" t="s">
        <v>1537</v>
      </c>
      <c r="G187" s="66" t="s">
        <v>1351</v>
      </c>
      <c r="H187" s="66" t="s">
        <v>1262</v>
      </c>
      <c r="I187" s="66"/>
      <c r="J187" s="66" t="s">
        <v>1182</v>
      </c>
      <c r="K187" s="66" t="s">
        <v>1211</v>
      </c>
      <c r="L187" s="66" t="s">
        <v>888</v>
      </c>
      <c r="M187" s="66" t="s">
        <v>1198</v>
      </c>
      <c r="N187" s="66" t="s">
        <v>888</v>
      </c>
      <c r="O187" s="66" t="s">
        <v>1185</v>
      </c>
      <c r="P187" s="66" t="s">
        <v>888</v>
      </c>
      <c r="Q187" s="86" t="s">
        <v>1186</v>
      </c>
      <c r="R187" s="86" t="s">
        <v>1201</v>
      </c>
      <c r="S187" s="86" t="s">
        <v>1201</v>
      </c>
      <c r="T187" s="86" t="s">
        <v>1201</v>
      </c>
      <c r="U187" s="86" t="s">
        <v>1187</v>
      </c>
      <c r="V187" s="86" t="s">
        <v>1215</v>
      </c>
      <c r="W187" s="67"/>
      <c r="X187" s="84" t="str">
        <f t="shared" si="22"/>
        <v>Belum Dinilai</v>
      </c>
      <c r="Y187" s="84" t="str">
        <f t="shared" si="23"/>
        <v>Belum Dinilai</v>
      </c>
      <c r="Z187" s="85">
        <f t="shared" si="24"/>
        <v>10</v>
      </c>
      <c r="AA187" s="85" t="str">
        <f t="shared" si="25"/>
        <v/>
      </c>
      <c r="AB187" s="85" t="str">
        <f t="shared" si="26"/>
        <v/>
      </c>
      <c r="AC187" s="68" t="s">
        <v>1201</v>
      </c>
      <c r="AD187" s="68" t="s">
        <v>1201</v>
      </c>
      <c r="AE187" s="68" t="s">
        <v>1201</v>
      </c>
      <c r="AF187" s="68" t="s">
        <v>1201</v>
      </c>
      <c r="AG187" s="68" t="s">
        <v>1201</v>
      </c>
      <c r="AH187" s="68" t="s">
        <v>1201</v>
      </c>
      <c r="AI187" s="68" t="s">
        <v>1201</v>
      </c>
      <c r="AJ187" s="68" t="s">
        <v>1201</v>
      </c>
      <c r="AK187" s="68" t="s">
        <v>1201</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1204</v>
      </c>
      <c r="AW187" s="66" t="s">
        <v>1190</v>
      </c>
      <c r="AX187" s="66"/>
      <c r="AY187" s="66"/>
      <c r="AZ187" s="66"/>
      <c r="BA187" s="66"/>
      <c r="BB187" s="178"/>
      <c r="BC187" s="72"/>
      <c r="BD187" s="66"/>
      <c r="BE187" s="178"/>
      <c r="BF187" s="66" t="s">
        <v>1278</v>
      </c>
    </row>
    <row r="188" spans="1:58" ht="28">
      <c r="A188" s="180" t="s">
        <v>2038</v>
      </c>
      <c r="B188" s="180" t="s">
        <v>2186</v>
      </c>
      <c r="C188" s="180"/>
      <c r="D188" s="180"/>
      <c r="E188" s="180" t="s">
        <v>2187</v>
      </c>
      <c r="F188" s="180" t="s">
        <v>1458</v>
      </c>
      <c r="G188" s="180" t="s">
        <v>1310</v>
      </c>
      <c r="H188" s="180" t="s">
        <v>1181</v>
      </c>
      <c r="I188" s="180"/>
      <c r="J188" s="180" t="s">
        <v>1196</v>
      </c>
      <c r="K188" s="180" t="s">
        <v>1197</v>
      </c>
      <c r="L188" s="180" t="s">
        <v>888</v>
      </c>
      <c r="M188" s="180" t="s">
        <v>1266</v>
      </c>
      <c r="N188" s="180" t="s">
        <v>888</v>
      </c>
      <c r="O188" s="180" t="s">
        <v>1213</v>
      </c>
      <c r="P188" s="180" t="s">
        <v>888</v>
      </c>
      <c r="Q188" s="180" t="s">
        <v>1215</v>
      </c>
      <c r="R188" s="180" t="s">
        <v>1215</v>
      </c>
      <c r="S188" s="180" t="s">
        <v>1215</v>
      </c>
      <c r="T188" s="180" t="s">
        <v>1215</v>
      </c>
      <c r="U188" s="180" t="s">
        <v>1215</v>
      </c>
      <c r="V188" s="180" t="s">
        <v>1215</v>
      </c>
      <c r="W188" s="180"/>
      <c r="X188" s="180" t="str">
        <f t="shared" si="22"/>
        <v>Belum Dinilai</v>
      </c>
      <c r="Y188" s="180" t="str">
        <f t="shared" si="23"/>
        <v>Belum Dinilai</v>
      </c>
      <c r="Z188" s="181" t="str">
        <f t="shared" si="24"/>
        <v/>
      </c>
      <c r="AA188" s="181" t="str">
        <f t="shared" si="25"/>
        <v/>
      </c>
      <c r="AB188" s="181" t="str">
        <f t="shared" si="26"/>
        <v/>
      </c>
      <c r="AC188" s="180" t="s">
        <v>1201</v>
      </c>
      <c r="AD188" s="180" t="s">
        <v>1201</v>
      </c>
      <c r="AE188" s="180" t="s">
        <v>1201</v>
      </c>
      <c r="AF188" s="180" t="s">
        <v>1201</v>
      </c>
      <c r="AG188" s="180" t="s">
        <v>1187</v>
      </c>
      <c r="AH188" s="180" t="s">
        <v>1201</v>
      </c>
      <c r="AI188" s="180" t="s">
        <v>1187</v>
      </c>
      <c r="AJ188" s="180" t="s">
        <v>1201</v>
      </c>
      <c r="AK188" s="180" t="s">
        <v>1201</v>
      </c>
      <c r="AL188" s="180"/>
      <c r="AM188" s="180"/>
      <c r="AN188" s="180" t="str">
        <f t="shared" si="27"/>
        <v xml:space="preserve">Struktur rumah tidak stabil; Komponen bangunan lepas atau lapuk; </v>
      </c>
      <c r="AO188" s="180" t="str">
        <f t="shared" si="28"/>
        <v>Risiko Tinggi/Darurat</v>
      </c>
      <c r="AP188" s="180"/>
      <c r="AQ188" s="181">
        <f t="shared" si="29"/>
        <v>8</v>
      </c>
      <c r="AR188" s="181">
        <f t="shared" si="30"/>
        <v>10</v>
      </c>
      <c r="AS188" s="181" t="str">
        <f t="shared" si="31"/>
        <v/>
      </c>
      <c r="AT188" s="180" t="str">
        <f t="shared" si="32"/>
        <v>Belum Dapat Ditentukan</v>
      </c>
      <c r="AU188" s="180"/>
      <c r="AV188" s="180" t="s">
        <v>1204</v>
      </c>
      <c r="AW188" s="180" t="s">
        <v>1190</v>
      </c>
      <c r="AX188" s="180"/>
      <c r="AY188" s="180"/>
      <c r="AZ188" s="180" t="s">
        <v>1207</v>
      </c>
      <c r="BA188" s="180"/>
      <c r="BB188" s="182"/>
      <c r="BC188" s="181">
        <v>2025</v>
      </c>
      <c r="BD188" s="180" t="s">
        <v>1208</v>
      </c>
      <c r="BE188" s="182"/>
      <c r="BF188" s="180" t="s">
        <v>1278</v>
      </c>
    </row>
    <row r="189" spans="1:58" ht="28">
      <c r="A189" s="180" t="s">
        <v>2039</v>
      </c>
      <c r="B189" s="180" t="s">
        <v>2188</v>
      </c>
      <c r="C189" s="180"/>
      <c r="D189" s="180"/>
      <c r="E189" s="180" t="s">
        <v>2189</v>
      </c>
      <c r="F189" s="180" t="s">
        <v>1458</v>
      </c>
      <c r="G189" s="180" t="s">
        <v>1310</v>
      </c>
      <c r="H189" s="180" t="s">
        <v>1181</v>
      </c>
      <c r="I189" s="180"/>
      <c r="J189" s="180" t="s">
        <v>1196</v>
      </c>
      <c r="K189" s="180" t="s">
        <v>1197</v>
      </c>
      <c r="L189" s="180" t="s">
        <v>891</v>
      </c>
      <c r="M189" s="180" t="s">
        <v>1305</v>
      </c>
      <c r="N189" s="180" t="s">
        <v>905</v>
      </c>
      <c r="O189" s="180" t="s">
        <v>1213</v>
      </c>
      <c r="P189" s="180" t="s">
        <v>891</v>
      </c>
      <c r="Q189" s="180" t="s">
        <v>1186</v>
      </c>
      <c r="R189" s="180" t="s">
        <v>1201</v>
      </c>
      <c r="S189" s="180" t="s">
        <v>1201</v>
      </c>
      <c r="T189" s="180" t="s">
        <v>1201</v>
      </c>
      <c r="U189" s="180" t="s">
        <v>1201</v>
      </c>
      <c r="V189" s="180" t="s">
        <v>1201</v>
      </c>
      <c r="W189" s="180"/>
      <c r="X189" s="180" t="str">
        <f t="shared" si="22"/>
        <v>Tidak ada faktor rentan</v>
      </c>
      <c r="Y189" s="180" t="str">
        <f t="shared" si="23"/>
        <v>Tidak Ada Faktor Rentan</v>
      </c>
      <c r="Z189" s="181">
        <f t="shared" si="24"/>
        <v>10</v>
      </c>
      <c r="AA189" s="181">
        <f t="shared" si="25"/>
        <v>0</v>
      </c>
      <c r="AB189" s="181">
        <f t="shared" si="26"/>
        <v>10</v>
      </c>
      <c r="AC189" s="180" t="s">
        <v>1201</v>
      </c>
      <c r="AD189" s="180" t="s">
        <v>1201</v>
      </c>
      <c r="AE189" s="180" t="s">
        <v>1187</v>
      </c>
      <c r="AF189" s="180" t="s">
        <v>1201</v>
      </c>
      <c r="AG189" s="180" t="s">
        <v>1187</v>
      </c>
      <c r="AH189" s="180" t="s">
        <v>1187</v>
      </c>
      <c r="AI189" s="180" t="s">
        <v>1187</v>
      </c>
      <c r="AJ189" s="180" t="s">
        <v>1201</v>
      </c>
      <c r="AK189" s="180" t="s">
        <v>1201</v>
      </c>
      <c r="AL189" s="180"/>
      <c r="AM189" s="180"/>
      <c r="AN189" s="180" t="str">
        <f t="shared" si="27"/>
        <v xml:space="preserve">Atap atau dinding utama hampir runtuh; Struktur rumah tidak stabil; Instalasi listrik berbahaya; Komponen bangunan lepas atau lapuk; </v>
      </c>
      <c r="AO189" s="180" t="str">
        <f t="shared" si="28"/>
        <v>Risiko Tinggi/Darurat</v>
      </c>
      <c r="AP189" s="180"/>
      <c r="AQ189" s="181">
        <f t="shared" si="29"/>
        <v>27</v>
      </c>
      <c r="AR189" s="181">
        <f t="shared" si="30"/>
        <v>10</v>
      </c>
      <c r="AS189" s="181">
        <f t="shared" si="31"/>
        <v>47</v>
      </c>
      <c r="AT189" s="180" t="str">
        <f t="shared" si="32"/>
        <v>Tinggi</v>
      </c>
      <c r="AU189" s="180"/>
      <c r="AV189" s="180" t="s">
        <v>1204</v>
      </c>
      <c r="AW189" s="180" t="s">
        <v>1190</v>
      </c>
      <c r="AX189" s="180"/>
      <c r="AY189" s="180"/>
      <c r="AZ189" s="180" t="s">
        <v>1207</v>
      </c>
      <c r="BA189" s="180"/>
      <c r="BB189" s="182"/>
      <c r="BC189" s="181">
        <v>2025</v>
      </c>
      <c r="BD189" s="180" t="s">
        <v>1208</v>
      </c>
      <c r="BE189" s="182"/>
      <c r="BF189" s="180" t="s">
        <v>1278</v>
      </c>
    </row>
    <row r="190" spans="1:58" ht="28">
      <c r="A190" s="180" t="s">
        <v>2040</v>
      </c>
      <c r="B190" s="180" t="s">
        <v>2190</v>
      </c>
      <c r="C190" s="183" t="s">
        <v>2191</v>
      </c>
      <c r="D190" s="183" t="s">
        <v>2192</v>
      </c>
      <c r="E190" s="180" t="s">
        <v>2193</v>
      </c>
      <c r="F190" s="180" t="s">
        <v>1458</v>
      </c>
      <c r="G190" s="180" t="s">
        <v>1310</v>
      </c>
      <c r="H190" s="180" t="s">
        <v>1195</v>
      </c>
      <c r="I190" s="180"/>
      <c r="J190" s="180" t="s">
        <v>1196</v>
      </c>
      <c r="K190" s="180" t="s">
        <v>1197</v>
      </c>
      <c r="L190" s="180" t="s">
        <v>891</v>
      </c>
      <c r="M190" s="180" t="s">
        <v>1305</v>
      </c>
      <c r="N190" s="180" t="s">
        <v>891</v>
      </c>
      <c r="O190" s="180" t="s">
        <v>1213</v>
      </c>
      <c r="P190" s="180" t="s">
        <v>888</v>
      </c>
      <c r="Q190" s="180" t="s">
        <v>1186</v>
      </c>
      <c r="R190" s="180" t="s">
        <v>1201</v>
      </c>
      <c r="S190" s="180" t="s">
        <v>1201</v>
      </c>
      <c r="T190" s="180" t="s">
        <v>1201</v>
      </c>
      <c r="U190" s="180" t="s">
        <v>1201</v>
      </c>
      <c r="V190" s="180" t="s">
        <v>1201</v>
      </c>
      <c r="W190" s="180"/>
      <c r="X190" s="180" t="str">
        <f t="shared" si="22"/>
        <v>Tidak ada faktor rentan</v>
      </c>
      <c r="Y190" s="180" t="str">
        <f t="shared" si="23"/>
        <v>Tidak Ada Faktor Rentan</v>
      </c>
      <c r="Z190" s="181">
        <f t="shared" si="24"/>
        <v>10</v>
      </c>
      <c r="AA190" s="181">
        <f t="shared" si="25"/>
        <v>0</v>
      </c>
      <c r="AB190" s="181">
        <f t="shared" si="26"/>
        <v>10</v>
      </c>
      <c r="AC190" s="180" t="s">
        <v>1187</v>
      </c>
      <c r="AD190" s="180" t="s">
        <v>1201</v>
      </c>
      <c r="AE190" s="180" t="s">
        <v>1187</v>
      </c>
      <c r="AF190" s="180" t="s">
        <v>1201</v>
      </c>
      <c r="AG190" s="180" t="s">
        <v>1187</v>
      </c>
      <c r="AH190" s="180" t="s">
        <v>1187</v>
      </c>
      <c r="AI190" s="180" t="s">
        <v>1201</v>
      </c>
      <c r="AJ190" s="180" t="s">
        <v>1201</v>
      </c>
      <c r="AK190" s="180" t="s">
        <v>1201</v>
      </c>
      <c r="AL190" s="180"/>
      <c r="AM190" s="180"/>
      <c r="AN190" s="180" t="str">
        <f t="shared" si="27"/>
        <v xml:space="preserve">Bangunan berpotensi roboh; Atap atau dinding utama hampir runtuh; Struktur rumah tidak stabil; Instalasi listrik berbahaya; </v>
      </c>
      <c r="AO190" s="180" t="str">
        <f t="shared" si="28"/>
        <v>Risiko Tinggi/Darurat</v>
      </c>
      <c r="AP190" s="180"/>
      <c r="AQ190" s="181">
        <f t="shared" si="29"/>
        <v>18</v>
      </c>
      <c r="AR190" s="181">
        <f t="shared" si="30"/>
        <v>10</v>
      </c>
      <c r="AS190" s="181">
        <f t="shared" si="31"/>
        <v>38</v>
      </c>
      <c r="AT190" s="180" t="str">
        <f t="shared" si="32"/>
        <v>Tinggi</v>
      </c>
      <c r="AU190" s="180" t="s">
        <v>1189</v>
      </c>
      <c r="AV190" s="180" t="s">
        <v>1204</v>
      </c>
      <c r="AW190" s="180" t="s">
        <v>1267</v>
      </c>
      <c r="AX190" s="180" t="s">
        <v>1206</v>
      </c>
      <c r="AY190" s="180">
        <v>2026</v>
      </c>
      <c r="AZ190" s="180" t="s">
        <v>1192</v>
      </c>
      <c r="BA190" s="180"/>
      <c r="BB190" s="182"/>
      <c r="BC190" s="181">
        <v>2025</v>
      </c>
      <c r="BD190" s="180" t="s">
        <v>1208</v>
      </c>
      <c r="BE190" s="182"/>
      <c r="BF190" s="180" t="s">
        <v>1278</v>
      </c>
    </row>
    <row r="191" spans="1:58" ht="28">
      <c r="A191" s="180" t="s">
        <v>2041</v>
      </c>
      <c r="B191" s="180" t="s">
        <v>2194</v>
      </c>
      <c r="C191" s="183" t="s">
        <v>2195</v>
      </c>
      <c r="D191" s="183" t="s">
        <v>2196</v>
      </c>
      <c r="E191" s="180" t="s">
        <v>2197</v>
      </c>
      <c r="F191" s="180" t="s">
        <v>1350</v>
      </c>
      <c r="G191" s="180" t="s">
        <v>1351</v>
      </c>
      <c r="H191" s="180" t="s">
        <v>1195</v>
      </c>
      <c r="I191" s="180"/>
      <c r="J191" s="180" t="s">
        <v>1196</v>
      </c>
      <c r="K191" s="180" t="s">
        <v>1197</v>
      </c>
      <c r="L191" s="180" t="s">
        <v>891</v>
      </c>
      <c r="M191" s="180" t="s">
        <v>1305</v>
      </c>
      <c r="N191" s="180" t="s">
        <v>891</v>
      </c>
      <c r="O191" s="180" t="s">
        <v>1213</v>
      </c>
      <c r="P191" s="180" t="s">
        <v>891</v>
      </c>
      <c r="Q191" s="180" t="s">
        <v>1186</v>
      </c>
      <c r="R191" s="180" t="s">
        <v>1201</v>
      </c>
      <c r="S191" s="180" t="s">
        <v>1201</v>
      </c>
      <c r="T191" s="180" t="s">
        <v>1201</v>
      </c>
      <c r="U191" s="180" t="s">
        <v>1201</v>
      </c>
      <c r="V191" s="180" t="s">
        <v>1201</v>
      </c>
      <c r="W191" s="180"/>
      <c r="X191" s="180" t="str">
        <f t="shared" si="22"/>
        <v>Tidak ada faktor rentan</v>
      </c>
      <c r="Y191" s="180" t="str">
        <f t="shared" si="23"/>
        <v>Tidak Ada Faktor Rentan</v>
      </c>
      <c r="Z191" s="181">
        <f t="shared" si="24"/>
        <v>10</v>
      </c>
      <c r="AA191" s="181">
        <f t="shared" si="25"/>
        <v>0</v>
      </c>
      <c r="AB191" s="181">
        <f t="shared" si="26"/>
        <v>10</v>
      </c>
      <c r="AC191" s="180" t="s">
        <v>1201</v>
      </c>
      <c r="AD191" s="180" t="s">
        <v>1201</v>
      </c>
      <c r="AE191" s="180" t="s">
        <v>1201</v>
      </c>
      <c r="AF191" s="180" t="s">
        <v>1187</v>
      </c>
      <c r="AG191" s="180" t="s">
        <v>1187</v>
      </c>
      <c r="AH191" s="180" t="s">
        <v>1187</v>
      </c>
      <c r="AI191" s="180" t="s">
        <v>1187</v>
      </c>
      <c r="AJ191" s="180" t="s">
        <v>1201</v>
      </c>
      <c r="AK191" s="180" t="s">
        <v>1201</v>
      </c>
      <c r="AL191" s="180"/>
      <c r="AM191" s="180"/>
      <c r="AN191" s="180" t="str">
        <f t="shared" si="27"/>
        <v xml:space="preserve">Genangan yang membahayakan; Struktur rumah tidak stabil; Instalasi listrik berbahaya; Komponen bangunan lepas atau lapuk; </v>
      </c>
      <c r="AO191" s="180" t="str">
        <f t="shared" si="28"/>
        <v>Risiko Tinggi/Darurat</v>
      </c>
      <c r="AP191" s="180"/>
      <c r="AQ191" s="181">
        <f t="shared" si="29"/>
        <v>22</v>
      </c>
      <c r="AR191" s="181">
        <f t="shared" si="30"/>
        <v>10</v>
      </c>
      <c r="AS191" s="181">
        <f t="shared" si="31"/>
        <v>42</v>
      </c>
      <c r="AT191" s="180" t="str">
        <f t="shared" si="32"/>
        <v>Tinggi</v>
      </c>
      <c r="AU191" s="180" t="s">
        <v>1189</v>
      </c>
      <c r="AV191" s="180" t="s">
        <v>1204</v>
      </c>
      <c r="AW191" s="180" t="s">
        <v>1267</v>
      </c>
      <c r="AX191" s="180" t="s">
        <v>1206</v>
      </c>
      <c r="AY191" s="180">
        <v>2026</v>
      </c>
      <c r="AZ191" s="180" t="s">
        <v>1192</v>
      </c>
      <c r="BA191" s="180"/>
      <c r="BB191" s="182"/>
      <c r="BC191" s="181">
        <v>2025</v>
      </c>
      <c r="BD191" s="180" t="s">
        <v>1208</v>
      </c>
      <c r="BE191" s="182"/>
      <c r="BF191" s="180" t="s">
        <v>1278</v>
      </c>
    </row>
    <row r="192" spans="1:58" ht="28">
      <c r="A192" s="180" t="s">
        <v>2042</v>
      </c>
      <c r="B192" s="180" t="s">
        <v>2198</v>
      </c>
      <c r="C192" s="180"/>
      <c r="D192" s="180"/>
      <c r="E192" s="180" t="s">
        <v>2199</v>
      </c>
      <c r="F192" s="180" t="s">
        <v>1350</v>
      </c>
      <c r="G192" s="180" t="s">
        <v>1351</v>
      </c>
      <c r="H192" s="180" t="s">
        <v>1181</v>
      </c>
      <c r="I192" s="180"/>
      <c r="J192" s="180" t="s">
        <v>1196</v>
      </c>
      <c r="K192" s="180" t="s">
        <v>1211</v>
      </c>
      <c r="L192" s="180" t="s">
        <v>891</v>
      </c>
      <c r="M192" s="180" t="s">
        <v>1305</v>
      </c>
      <c r="N192" s="180" t="s">
        <v>891</v>
      </c>
      <c r="O192" s="180" t="s">
        <v>1213</v>
      </c>
      <c r="P192" s="180" t="s">
        <v>891</v>
      </c>
      <c r="Q192" s="180" t="s">
        <v>1186</v>
      </c>
      <c r="R192" s="180" t="s">
        <v>1201</v>
      </c>
      <c r="S192" s="180" t="s">
        <v>1201</v>
      </c>
      <c r="T192" s="180" t="s">
        <v>1201</v>
      </c>
      <c r="U192" s="180" t="s">
        <v>1201</v>
      </c>
      <c r="V192" s="180" t="s">
        <v>1201</v>
      </c>
      <c r="W192" s="180"/>
      <c r="X192" s="180" t="str">
        <f t="shared" si="22"/>
        <v>Tidak ada faktor rentan</v>
      </c>
      <c r="Y192" s="180" t="str">
        <f t="shared" si="23"/>
        <v>Tidak Ada Faktor Rentan</v>
      </c>
      <c r="Z192" s="181">
        <f t="shared" si="24"/>
        <v>10</v>
      </c>
      <c r="AA192" s="181">
        <f t="shared" si="25"/>
        <v>0</v>
      </c>
      <c r="AB192" s="181">
        <f t="shared" si="26"/>
        <v>10</v>
      </c>
      <c r="AC192" s="180" t="s">
        <v>1201</v>
      </c>
      <c r="AD192" s="180" t="s">
        <v>1201</v>
      </c>
      <c r="AE192" s="180" t="s">
        <v>1201</v>
      </c>
      <c r="AF192" s="180" t="s">
        <v>1201</v>
      </c>
      <c r="AG192" s="180" t="s">
        <v>1187</v>
      </c>
      <c r="AH192" s="180" t="s">
        <v>1187</v>
      </c>
      <c r="AI192" s="180" t="s">
        <v>1187</v>
      </c>
      <c r="AJ192" s="180" t="s">
        <v>1201</v>
      </c>
      <c r="AK192" s="180" t="s">
        <v>1201</v>
      </c>
      <c r="AL192" s="180"/>
      <c r="AM192" s="180"/>
      <c r="AN192" s="180" t="str">
        <f t="shared" si="27"/>
        <v xml:space="preserve">Struktur rumah tidak stabil; Instalasi listrik berbahaya; Komponen bangunan lepas atau lapuk; </v>
      </c>
      <c r="AO192" s="180" t="str">
        <f t="shared" si="28"/>
        <v>Risiko Tinggi/Darurat</v>
      </c>
      <c r="AP192" s="180"/>
      <c r="AQ192" s="181">
        <f t="shared" si="29"/>
        <v>22</v>
      </c>
      <c r="AR192" s="181">
        <f t="shared" si="30"/>
        <v>10</v>
      </c>
      <c r="AS192" s="181">
        <f t="shared" si="31"/>
        <v>42</v>
      </c>
      <c r="AT192" s="180" t="str">
        <f t="shared" si="32"/>
        <v>Tinggi</v>
      </c>
      <c r="AU192" s="180" t="s">
        <v>1203</v>
      </c>
      <c r="AV192" s="180" t="s">
        <v>1204</v>
      </c>
      <c r="AW192" s="180" t="s">
        <v>1190</v>
      </c>
      <c r="AX192" s="180"/>
      <c r="AY192" s="180"/>
      <c r="AZ192" s="180" t="s">
        <v>927</v>
      </c>
      <c r="BA192" s="180"/>
      <c r="BB192" s="182"/>
      <c r="BC192" s="181">
        <v>2025</v>
      </c>
      <c r="BD192" s="180" t="s">
        <v>1208</v>
      </c>
      <c r="BE192" s="182"/>
      <c r="BF192" s="180" t="s">
        <v>1278</v>
      </c>
    </row>
    <row r="193" spans="1:58" ht="28">
      <c r="A193" s="180" t="s">
        <v>2200</v>
      </c>
      <c r="B193" s="180" t="s">
        <v>2201</v>
      </c>
      <c r="C193" s="180"/>
      <c r="D193" s="180"/>
      <c r="E193" s="180" t="s">
        <v>2202</v>
      </c>
      <c r="F193" s="180" t="s">
        <v>1350</v>
      </c>
      <c r="G193" s="180" t="s">
        <v>1351</v>
      </c>
      <c r="H193" s="180" t="s">
        <v>1195</v>
      </c>
      <c r="I193" s="180"/>
      <c r="J193" s="180" t="s">
        <v>1196</v>
      </c>
      <c r="K193" s="180" t="s">
        <v>1197</v>
      </c>
      <c r="L193" s="180" t="s">
        <v>888</v>
      </c>
      <c r="M193" s="180" t="s">
        <v>1305</v>
      </c>
      <c r="N193" s="180" t="s">
        <v>888</v>
      </c>
      <c r="O193" s="180" t="s">
        <v>1213</v>
      </c>
      <c r="P193" s="180" t="s">
        <v>888</v>
      </c>
      <c r="Q193" s="180" t="s">
        <v>1215</v>
      </c>
      <c r="R193" s="180" t="s">
        <v>1201</v>
      </c>
      <c r="S193" s="180" t="s">
        <v>1201</v>
      </c>
      <c r="T193" s="180" t="s">
        <v>1201</v>
      </c>
      <c r="U193" s="180"/>
      <c r="V193" s="180"/>
      <c r="W193" s="180"/>
      <c r="X193" s="180" t="str">
        <f t="shared" si="22"/>
        <v>Tidak ada faktor rentan</v>
      </c>
      <c r="Y193" s="180" t="str">
        <f t="shared" si="23"/>
        <v>Tidak Ada Faktor Rentan</v>
      </c>
      <c r="Z193" s="181" t="str">
        <f t="shared" si="24"/>
        <v/>
      </c>
      <c r="AA193" s="181">
        <f t="shared" si="25"/>
        <v>0</v>
      </c>
      <c r="AB193" s="181" t="str">
        <f t="shared" si="26"/>
        <v/>
      </c>
      <c r="AC193" s="180" t="s">
        <v>1201</v>
      </c>
      <c r="AD193" s="180" t="s">
        <v>1201</v>
      </c>
      <c r="AE193" s="180" t="s">
        <v>1201</v>
      </c>
      <c r="AF193" s="180" t="s">
        <v>1201</v>
      </c>
      <c r="AG193" s="180" t="s">
        <v>1201</v>
      </c>
      <c r="AH193" s="180" t="s">
        <v>1201</v>
      </c>
      <c r="AI193" s="180" t="s">
        <v>1187</v>
      </c>
      <c r="AJ193" s="180" t="s">
        <v>1201</v>
      </c>
      <c r="AK193" s="180" t="s">
        <v>1201</v>
      </c>
      <c r="AL193" s="180"/>
      <c r="AM193" s="180"/>
      <c r="AN193" s="180" t="str">
        <f t="shared" si="27"/>
        <v xml:space="preserve">Komponen bangunan lepas atau lapuk; </v>
      </c>
      <c r="AO193" s="180" t="str">
        <f t="shared" si="28"/>
        <v>Risiko Sedang</v>
      </c>
      <c r="AP193" s="180"/>
      <c r="AQ193" s="181">
        <f t="shared" si="29"/>
        <v>8</v>
      </c>
      <c r="AR193" s="181">
        <f t="shared" si="30"/>
        <v>5</v>
      </c>
      <c r="AS193" s="181" t="str">
        <f t="shared" si="31"/>
        <v/>
      </c>
      <c r="AT193" s="180" t="str">
        <f t="shared" si="32"/>
        <v>Belum Dapat Ditentukan</v>
      </c>
      <c r="AU193" s="180" t="s">
        <v>1189</v>
      </c>
      <c r="AV193" s="180" t="s">
        <v>1204</v>
      </c>
      <c r="AW193" s="180" t="s">
        <v>1190</v>
      </c>
      <c r="AX193" s="180"/>
      <c r="AY193" s="180"/>
      <c r="AZ193" s="180" t="s">
        <v>1192</v>
      </c>
      <c r="BA193" s="180"/>
      <c r="BB193" s="182"/>
      <c r="BC193" s="181">
        <v>2025</v>
      </c>
      <c r="BD193" s="180" t="s">
        <v>1208</v>
      </c>
      <c r="BE193" s="182"/>
      <c r="BF193" s="180" t="s">
        <v>1278</v>
      </c>
    </row>
    <row r="194" spans="1:58" ht="28">
      <c r="A194" s="180" t="s">
        <v>2203</v>
      </c>
      <c r="B194" s="180" t="s">
        <v>2204</v>
      </c>
      <c r="C194" s="183" t="s">
        <v>2205</v>
      </c>
      <c r="D194" s="183" t="s">
        <v>2206</v>
      </c>
      <c r="E194" s="180" t="s">
        <v>2207</v>
      </c>
      <c r="F194" s="180" t="s">
        <v>1350</v>
      </c>
      <c r="G194" s="180" t="s">
        <v>1351</v>
      </c>
      <c r="H194" s="180" t="s">
        <v>1195</v>
      </c>
      <c r="I194" s="180"/>
      <c r="J194" s="180" t="s">
        <v>1196</v>
      </c>
      <c r="K194" s="180" t="s">
        <v>1197</v>
      </c>
      <c r="L194" s="180" t="s">
        <v>891</v>
      </c>
      <c r="M194" s="180" t="s">
        <v>1198</v>
      </c>
      <c r="N194" s="180" t="s">
        <v>891</v>
      </c>
      <c r="O194" s="180" t="s">
        <v>1213</v>
      </c>
      <c r="P194" s="180" t="s">
        <v>891</v>
      </c>
      <c r="Q194" s="180" t="s">
        <v>1186</v>
      </c>
      <c r="R194" s="180" t="s">
        <v>1187</v>
      </c>
      <c r="S194" s="180" t="s">
        <v>1201</v>
      </c>
      <c r="T194" s="180" t="s">
        <v>1187</v>
      </c>
      <c r="U194" s="180" t="s">
        <v>1201</v>
      </c>
      <c r="V194" s="180" t="s">
        <v>1201</v>
      </c>
      <c r="W194" s="180"/>
      <c r="X194" s="180" t="str">
        <f t="shared" si="22"/>
        <v xml:space="preserve">Lansia; Kepala keluarga perempuan; </v>
      </c>
      <c r="Y194" s="180" t="str">
        <f t="shared" si="23"/>
        <v>2 atau Lebih Faktor Rentan</v>
      </c>
      <c r="Z194" s="181">
        <f t="shared" si="24"/>
        <v>10</v>
      </c>
      <c r="AA194" s="181">
        <f t="shared" si="25"/>
        <v>10</v>
      </c>
      <c r="AB194" s="181">
        <f t="shared" si="26"/>
        <v>20</v>
      </c>
      <c r="AC194" s="180" t="s">
        <v>1201</v>
      </c>
      <c r="AD194" s="180" t="s">
        <v>1201</v>
      </c>
      <c r="AE194" s="180" t="s">
        <v>1187</v>
      </c>
      <c r="AF194" s="180" t="s">
        <v>1201</v>
      </c>
      <c r="AG194" s="180" t="s">
        <v>1187</v>
      </c>
      <c r="AH194" s="180" t="s">
        <v>1187</v>
      </c>
      <c r="AI194" s="180" t="s">
        <v>1187</v>
      </c>
      <c r="AJ194" s="180" t="s">
        <v>1201</v>
      </c>
      <c r="AK194" s="180" t="s">
        <v>1201</v>
      </c>
      <c r="AL194" s="180"/>
      <c r="AM194" s="180"/>
      <c r="AN194" s="180" t="str">
        <f t="shared" si="27"/>
        <v xml:space="preserve">Atap atau dinding utama hampir runtuh; Struktur rumah tidak stabil; Instalasi listrik berbahaya; Komponen bangunan lepas atau lapuk; </v>
      </c>
      <c r="AO194" s="180" t="str">
        <f t="shared" si="28"/>
        <v>Risiko Tinggi/Darurat</v>
      </c>
      <c r="AP194" s="180"/>
      <c r="AQ194" s="181">
        <f t="shared" si="29"/>
        <v>22</v>
      </c>
      <c r="AR194" s="181">
        <f t="shared" si="30"/>
        <v>10</v>
      </c>
      <c r="AS194" s="181">
        <f t="shared" si="31"/>
        <v>52</v>
      </c>
      <c r="AT194" s="180" t="str">
        <f t="shared" si="32"/>
        <v>Tinggi</v>
      </c>
      <c r="AU194" s="180" t="s">
        <v>1189</v>
      </c>
      <c r="AV194" s="180" t="s">
        <v>1204</v>
      </c>
      <c r="AW194" s="180" t="s">
        <v>1267</v>
      </c>
      <c r="AX194" s="180" t="s">
        <v>1206</v>
      </c>
      <c r="AY194" s="180">
        <v>2026</v>
      </c>
      <c r="AZ194" s="180" t="s">
        <v>1192</v>
      </c>
      <c r="BA194" s="180"/>
      <c r="BB194" s="182"/>
      <c r="BC194" s="181">
        <v>2025</v>
      </c>
      <c r="BD194" s="180" t="s">
        <v>1193</v>
      </c>
      <c r="BE194" s="182"/>
      <c r="BF194" s="180" t="s">
        <v>1278</v>
      </c>
    </row>
    <row r="195" spans="1:58" ht="28">
      <c r="A195" s="180" t="s">
        <v>2208</v>
      </c>
      <c r="B195" s="180" t="s">
        <v>2209</v>
      </c>
      <c r="C195" s="180"/>
      <c r="D195" s="180"/>
      <c r="E195" s="180" t="s">
        <v>2210</v>
      </c>
      <c r="F195" s="180" t="s">
        <v>1350</v>
      </c>
      <c r="G195" s="180" t="s">
        <v>1351</v>
      </c>
      <c r="H195" s="180" t="s">
        <v>1181</v>
      </c>
      <c r="I195" s="180"/>
      <c r="J195" s="180" t="s">
        <v>1182</v>
      </c>
      <c r="K195" s="180" t="s">
        <v>1197</v>
      </c>
      <c r="L195" s="180" t="s">
        <v>891</v>
      </c>
      <c r="M195" s="180" t="s">
        <v>1198</v>
      </c>
      <c r="N195" s="180" t="s">
        <v>891</v>
      </c>
      <c r="O195" s="180" t="s">
        <v>1185</v>
      </c>
      <c r="P195" s="180" t="s">
        <v>888</v>
      </c>
      <c r="Q195" s="180" t="s">
        <v>1186</v>
      </c>
      <c r="R195" s="180" t="s">
        <v>1201</v>
      </c>
      <c r="S195" s="180" t="s">
        <v>1201</v>
      </c>
      <c r="T195" s="180" t="s">
        <v>1201</v>
      </c>
      <c r="U195" s="180" t="s">
        <v>1201</v>
      </c>
      <c r="V195" s="180" t="s">
        <v>1201</v>
      </c>
      <c r="W195" s="180"/>
      <c r="X195" s="180" t="str">
        <f t="shared" si="22"/>
        <v>Tidak ada faktor rentan</v>
      </c>
      <c r="Y195" s="180" t="str">
        <f t="shared" si="23"/>
        <v>Tidak Ada Faktor Rentan</v>
      </c>
      <c r="Z195" s="181">
        <f t="shared" si="24"/>
        <v>10</v>
      </c>
      <c r="AA195" s="181">
        <f t="shared" si="25"/>
        <v>0</v>
      </c>
      <c r="AB195" s="181">
        <f t="shared" si="26"/>
        <v>10</v>
      </c>
      <c r="AC195" s="180" t="s">
        <v>1201</v>
      </c>
      <c r="AD195" s="180" t="s">
        <v>1201</v>
      </c>
      <c r="AE195" s="180" t="s">
        <v>1201</v>
      </c>
      <c r="AF195" s="180" t="s">
        <v>1215</v>
      </c>
      <c r="AG195" s="180" t="s">
        <v>1215</v>
      </c>
      <c r="AH195" s="180" t="s">
        <v>1215</v>
      </c>
      <c r="AI195" s="180" t="s">
        <v>1215</v>
      </c>
      <c r="AJ195" s="180" t="s">
        <v>1201</v>
      </c>
      <c r="AK195" s="180" t="s">
        <v>1201</v>
      </c>
      <c r="AL195" s="180"/>
      <c r="AM195" s="180"/>
      <c r="AN195" s="180" t="str">
        <f t="shared" si="27"/>
        <v>Belum Dinilai</v>
      </c>
      <c r="AO195" s="180" t="str">
        <f t="shared" si="28"/>
        <v>Belum Dinilai</v>
      </c>
      <c r="AP195" s="180"/>
      <c r="AQ195" s="181">
        <f t="shared" si="29"/>
        <v>10</v>
      </c>
      <c r="AR195" s="181" t="str">
        <f t="shared" si="30"/>
        <v/>
      </c>
      <c r="AS195" s="181" t="str">
        <f t="shared" si="31"/>
        <v/>
      </c>
      <c r="AT195" s="180" t="str">
        <f t="shared" si="32"/>
        <v>Belum Dapat Ditentukan</v>
      </c>
      <c r="AU195" s="180"/>
      <c r="AV195" s="180"/>
      <c r="AW195" s="180"/>
      <c r="AX195" s="180"/>
      <c r="AY195" s="180"/>
      <c r="AZ195" s="180"/>
      <c r="BA195" s="180"/>
      <c r="BB195" s="182"/>
      <c r="BC195" s="181"/>
      <c r="BD195" s="180"/>
      <c r="BE195" s="182"/>
      <c r="BF195" s="180" t="s">
        <v>1278</v>
      </c>
    </row>
    <row r="196" spans="1:58" ht="28">
      <c r="A196" s="180" t="s">
        <v>2211</v>
      </c>
      <c r="B196" s="180" t="s">
        <v>2212</v>
      </c>
      <c r="C196" s="180"/>
      <c r="D196" s="180"/>
      <c r="E196" s="180"/>
      <c r="F196" s="180" t="s">
        <v>2213</v>
      </c>
      <c r="G196" s="180" t="s">
        <v>1310</v>
      </c>
      <c r="H196" s="180" t="s">
        <v>1181</v>
      </c>
      <c r="I196" s="180"/>
      <c r="J196" s="180" t="s">
        <v>1196</v>
      </c>
      <c r="K196" s="180" t="s">
        <v>1197</v>
      </c>
      <c r="L196" s="180" t="s">
        <v>905</v>
      </c>
      <c r="M196" s="180" t="s">
        <v>1305</v>
      </c>
      <c r="N196" s="180" t="s">
        <v>891</v>
      </c>
      <c r="O196" s="180" t="s">
        <v>1213</v>
      </c>
      <c r="P196" s="180" t="s">
        <v>891</v>
      </c>
      <c r="Q196" s="180" t="s">
        <v>1186</v>
      </c>
      <c r="R196" s="180"/>
      <c r="S196" s="180"/>
      <c r="T196" s="180"/>
      <c r="U196" s="180"/>
      <c r="V196" s="180"/>
      <c r="W196" s="180"/>
      <c r="X196" s="180" t="str">
        <f t="shared" si="22"/>
        <v>Tidak ada faktor rentan</v>
      </c>
      <c r="Y196" s="180" t="str">
        <f t="shared" si="23"/>
        <v>Tidak Ada Faktor Rentan</v>
      </c>
      <c r="Z196" s="181">
        <f t="shared" si="24"/>
        <v>10</v>
      </c>
      <c r="AA196" s="181">
        <f t="shared" si="25"/>
        <v>0</v>
      </c>
      <c r="AB196" s="181">
        <f t="shared" si="26"/>
        <v>10</v>
      </c>
      <c r="AC196" s="180" t="s">
        <v>1201</v>
      </c>
      <c r="AD196" s="180" t="s">
        <v>1201</v>
      </c>
      <c r="AE196" s="180" t="s">
        <v>1187</v>
      </c>
      <c r="AF196" s="180" t="s">
        <v>1201</v>
      </c>
      <c r="AG196" s="180" t="s">
        <v>1201</v>
      </c>
      <c r="AH196" s="180" t="s">
        <v>1201</v>
      </c>
      <c r="AI196" s="180" t="s">
        <v>1187</v>
      </c>
      <c r="AJ196" s="180" t="s">
        <v>1201</v>
      </c>
      <c r="AK196" s="180" t="s">
        <v>1201</v>
      </c>
      <c r="AL196" s="180"/>
      <c r="AM196" s="180"/>
      <c r="AN196" s="180" t="str">
        <f t="shared" si="27"/>
        <v xml:space="preserve">Atap atau dinding utama hampir runtuh; Komponen bangunan lepas atau lapuk; </v>
      </c>
      <c r="AO196" s="180" t="str">
        <f t="shared" si="28"/>
        <v>Risiko Tinggi/Darurat</v>
      </c>
      <c r="AP196" s="180"/>
      <c r="AQ196" s="181">
        <f t="shared" si="29"/>
        <v>27</v>
      </c>
      <c r="AR196" s="181">
        <f t="shared" si="30"/>
        <v>10</v>
      </c>
      <c r="AS196" s="181">
        <f t="shared" si="31"/>
        <v>47</v>
      </c>
      <c r="AT196" s="180" t="str">
        <f t="shared" si="32"/>
        <v>Tinggi</v>
      </c>
      <c r="AU196" s="180" t="s">
        <v>1203</v>
      </c>
      <c r="AV196" s="180" t="s">
        <v>1204</v>
      </c>
      <c r="AW196" s="180" t="s">
        <v>1190</v>
      </c>
      <c r="AX196" s="180"/>
      <c r="AY196" s="180"/>
      <c r="AZ196" s="180"/>
      <c r="BA196" s="180"/>
      <c r="BB196" s="182"/>
      <c r="BC196" s="181">
        <v>2025</v>
      </c>
      <c r="BD196" s="180" t="s">
        <v>1208</v>
      </c>
      <c r="BE196" s="182"/>
      <c r="BF196" s="180" t="s">
        <v>1278</v>
      </c>
    </row>
    <row r="197" spans="1:58" ht="28">
      <c r="A197" s="180" t="s">
        <v>2214</v>
      </c>
      <c r="B197" s="180" t="s">
        <v>2215</v>
      </c>
      <c r="C197" s="180"/>
      <c r="D197" s="180"/>
      <c r="E197" s="180"/>
      <c r="F197" s="180" t="s">
        <v>2213</v>
      </c>
      <c r="G197" s="180" t="s">
        <v>1310</v>
      </c>
      <c r="H197" s="180" t="s">
        <v>1181</v>
      </c>
      <c r="I197" s="180"/>
      <c r="J197" s="180" t="s">
        <v>1210</v>
      </c>
      <c r="K197" s="180" t="s">
        <v>1197</v>
      </c>
      <c r="L197" s="180" t="s">
        <v>891</v>
      </c>
      <c r="M197" s="180" t="s">
        <v>1266</v>
      </c>
      <c r="N197" s="180" t="s">
        <v>891</v>
      </c>
      <c r="O197" s="180" t="s">
        <v>1213</v>
      </c>
      <c r="P197" s="180" t="s">
        <v>891</v>
      </c>
      <c r="Q197" s="180" t="s">
        <v>1186</v>
      </c>
      <c r="R197" s="180"/>
      <c r="S197" s="180"/>
      <c r="T197" s="180"/>
      <c r="U197" s="180"/>
      <c r="V197" s="180"/>
      <c r="W197" s="180"/>
      <c r="X197" s="180" t="str">
        <f t="shared" si="22"/>
        <v>Tidak ada faktor rentan</v>
      </c>
      <c r="Y197" s="180" t="str">
        <f t="shared" si="23"/>
        <v>Tidak Ada Faktor Rentan</v>
      </c>
      <c r="Z197" s="181">
        <f t="shared" si="24"/>
        <v>10</v>
      </c>
      <c r="AA197" s="181">
        <f t="shared" si="25"/>
        <v>0</v>
      </c>
      <c r="AB197" s="181">
        <f t="shared" si="26"/>
        <v>10</v>
      </c>
      <c r="AC197" s="180" t="s">
        <v>1201</v>
      </c>
      <c r="AD197" s="180" t="s">
        <v>1201</v>
      </c>
      <c r="AE197" s="180" t="s">
        <v>1201</v>
      </c>
      <c r="AF197" s="180" t="s">
        <v>1201</v>
      </c>
      <c r="AG197" s="180" t="s">
        <v>1201</v>
      </c>
      <c r="AH197" s="180" t="s">
        <v>1201</v>
      </c>
      <c r="AI197" s="180" t="s">
        <v>1187</v>
      </c>
      <c r="AJ197" s="180" t="s">
        <v>1201</v>
      </c>
      <c r="AK197" s="180" t="s">
        <v>1201</v>
      </c>
      <c r="AL197" s="180"/>
      <c r="AM197" s="180"/>
      <c r="AN197" s="180" t="str">
        <f t="shared" si="27"/>
        <v xml:space="preserve">Komponen bangunan lepas atau lapuk; </v>
      </c>
      <c r="AO197" s="180" t="str">
        <f t="shared" si="28"/>
        <v>Risiko Sedang</v>
      </c>
      <c r="AP197" s="180"/>
      <c r="AQ197" s="181">
        <f t="shared" si="29"/>
        <v>29</v>
      </c>
      <c r="AR197" s="181">
        <f t="shared" si="30"/>
        <v>5</v>
      </c>
      <c r="AS197" s="181">
        <f t="shared" si="31"/>
        <v>44</v>
      </c>
      <c r="AT197" s="180" t="str">
        <f t="shared" si="32"/>
        <v>Rendah</v>
      </c>
      <c r="AU197" s="180"/>
      <c r="AV197" s="180"/>
      <c r="AW197" s="180"/>
      <c r="AX197" s="180"/>
      <c r="AY197" s="180"/>
      <c r="AZ197" s="180"/>
      <c r="BA197" s="180"/>
      <c r="BB197" s="182"/>
      <c r="BC197" s="181"/>
      <c r="BD197" s="180"/>
      <c r="BE197" s="182"/>
      <c r="BF197" s="180" t="s">
        <v>1278</v>
      </c>
    </row>
    <row r="198" spans="1:58" ht="28">
      <c r="A198" s="180" t="s">
        <v>2216</v>
      </c>
      <c r="B198" s="180" t="s">
        <v>2217</v>
      </c>
      <c r="C198" s="180"/>
      <c r="D198" s="180"/>
      <c r="E198" s="180" t="s">
        <v>2218</v>
      </c>
      <c r="F198" s="180" t="s">
        <v>2213</v>
      </c>
      <c r="G198" s="180" t="s">
        <v>1310</v>
      </c>
      <c r="H198" s="180"/>
      <c r="I198" s="180"/>
      <c r="J198" s="180" t="s">
        <v>1196</v>
      </c>
      <c r="K198" s="180" t="s">
        <v>1183</v>
      </c>
      <c r="L198" s="180" t="s">
        <v>891</v>
      </c>
      <c r="M198" s="180" t="s">
        <v>1305</v>
      </c>
      <c r="N198" s="180" t="s">
        <v>891</v>
      </c>
      <c r="O198" s="180" t="s">
        <v>1213</v>
      </c>
      <c r="P198" s="180" t="s">
        <v>891</v>
      </c>
      <c r="Q198" s="180" t="s">
        <v>1186</v>
      </c>
      <c r="R198" s="180"/>
      <c r="S198" s="180"/>
      <c r="T198" s="180"/>
      <c r="U198" s="180"/>
      <c r="V198" s="180"/>
      <c r="W198" s="180"/>
      <c r="X198" s="18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80" t="str">
        <f t="shared" ref="Y198:Y261" si="34">IF(COUNTIF(R198:V198,"Belum Dinilai")&gt;0,"Belum Dinilai",IF(COUNTIF(R198:V198,"Ya")=0,"Tidak Ada Faktor Rentan",IF(COUNTIF(R198:V198,"Ya")=1,"1 Faktor Rentan","2 atau Lebih Faktor Rentan")))</f>
        <v>Tidak Ada Faktor Rentan</v>
      </c>
      <c r="Z198" s="181">
        <f t="shared" ref="Z198:Z261" si="35">IF(OR(Q198="",Q198="Belum Dinilai"),"",IF(Q198="Terverifikasi DTKS/P3KE/MBR",10,IF(Q198="Diusulkan, Belum Terverifikasi",5,0)))</f>
        <v>10</v>
      </c>
      <c r="AA198" s="181">
        <f t="shared" ref="AA198:AA261" si="36">IF(COUNTIF(R198:V198,"Belum Dinilai")&gt;0,"",IF(COUNTIF(R198:V198,"Ya")=0,0,IF(COUNTIF(R198:V198,"Ya")=1,5,10)))</f>
        <v>0</v>
      </c>
      <c r="AB198" s="181">
        <f t="shared" ref="AB198:AB261" si="37">IF(OR(Z198="",AA198=""),"",Z198+AA198)</f>
        <v>10</v>
      </c>
      <c r="AC198" s="180" t="s">
        <v>1201</v>
      </c>
      <c r="AD198" s="180" t="s">
        <v>1201</v>
      </c>
      <c r="AE198" s="180" t="s">
        <v>1201</v>
      </c>
      <c r="AF198" s="180" t="s">
        <v>1201</v>
      </c>
      <c r="AG198" s="180" t="s">
        <v>1201</v>
      </c>
      <c r="AH198" s="180" t="s">
        <v>1201</v>
      </c>
      <c r="AI198" s="180" t="s">
        <v>1187</v>
      </c>
      <c r="AJ198" s="180" t="s">
        <v>1201</v>
      </c>
      <c r="AK198" s="180" t="s">
        <v>1201</v>
      </c>
      <c r="AL198" s="180"/>
      <c r="AM198" s="180"/>
      <c r="AN198" s="18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80" t="str">
        <f t="shared" ref="AO198:AO261" si="39">IF(AR198="","Belum Dinilai",IF(AR198=10,"Risiko Tinggi/Darurat",IF(AR198=5,"Risiko Sedang","Tidak Ada Risiko Khusus")))</f>
        <v>Risiko Sedang</v>
      </c>
      <c r="AP198" s="180"/>
      <c r="AQ198" s="18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8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81">
        <f t="shared" ref="AS198:AS261" si="42">IF(OR(AQ198="",AB198="",AR198=""),"",AQ198+AB198+AR198)</f>
        <v>37</v>
      </c>
      <c r="AT198" s="18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80" t="s">
        <v>1203</v>
      </c>
      <c r="AV198" s="180" t="s">
        <v>1204</v>
      </c>
      <c r="AW198" s="180" t="s">
        <v>1190</v>
      </c>
      <c r="AX198" s="180"/>
      <c r="AY198" s="180"/>
      <c r="AZ198" s="180"/>
      <c r="BA198" s="180"/>
      <c r="BB198" s="182"/>
      <c r="BC198" s="181">
        <v>2025</v>
      </c>
      <c r="BD198" s="180" t="s">
        <v>1208</v>
      </c>
      <c r="BE198" s="182"/>
      <c r="BF198" s="180" t="s">
        <v>1278</v>
      </c>
    </row>
    <row r="199" spans="1:58" ht="28">
      <c r="A199" s="180" t="s">
        <v>2219</v>
      </c>
      <c r="B199" s="180" t="s">
        <v>2220</v>
      </c>
      <c r="C199" s="180"/>
      <c r="D199" s="180"/>
      <c r="E199" s="180" t="s">
        <v>2221</v>
      </c>
      <c r="F199" s="180" t="s">
        <v>2213</v>
      </c>
      <c r="G199" s="180" t="s">
        <v>1310</v>
      </c>
      <c r="H199" s="180" t="s">
        <v>1181</v>
      </c>
      <c r="I199" s="180"/>
      <c r="J199" s="180" t="s">
        <v>1196</v>
      </c>
      <c r="K199" s="180" t="s">
        <v>1197</v>
      </c>
      <c r="L199" s="180" t="s">
        <v>891</v>
      </c>
      <c r="M199" s="180" t="s">
        <v>1266</v>
      </c>
      <c r="N199" s="180" t="s">
        <v>905</v>
      </c>
      <c r="O199" s="180" t="s">
        <v>1213</v>
      </c>
      <c r="P199" s="180" t="s">
        <v>888</v>
      </c>
      <c r="Q199" s="180" t="s">
        <v>1186</v>
      </c>
      <c r="R199" s="180"/>
      <c r="S199" s="180"/>
      <c r="T199" s="180"/>
      <c r="U199" s="180"/>
      <c r="V199" s="180"/>
      <c r="W199" s="180"/>
      <c r="X199" s="180" t="str">
        <f t="shared" si="33"/>
        <v>Tidak ada faktor rentan</v>
      </c>
      <c r="Y199" s="180" t="str">
        <f t="shared" si="34"/>
        <v>Tidak Ada Faktor Rentan</v>
      </c>
      <c r="Z199" s="181">
        <f t="shared" si="35"/>
        <v>10</v>
      </c>
      <c r="AA199" s="181">
        <f t="shared" si="36"/>
        <v>0</v>
      </c>
      <c r="AB199" s="181">
        <f t="shared" si="37"/>
        <v>10</v>
      </c>
      <c r="AC199" s="180" t="s">
        <v>1201</v>
      </c>
      <c r="AD199" s="180" t="s">
        <v>1201</v>
      </c>
      <c r="AE199" s="180" t="s">
        <v>1201</v>
      </c>
      <c r="AF199" s="180" t="s">
        <v>1201</v>
      </c>
      <c r="AG199" s="180" t="s">
        <v>1201</v>
      </c>
      <c r="AH199" s="180" t="s">
        <v>1201</v>
      </c>
      <c r="AI199" s="180" t="s">
        <v>1201</v>
      </c>
      <c r="AJ199" s="180" t="s">
        <v>1201</v>
      </c>
      <c r="AK199" s="180" t="s">
        <v>1201</v>
      </c>
      <c r="AL199" s="180"/>
      <c r="AM199" s="180"/>
      <c r="AN199" s="180" t="str">
        <f t="shared" si="38"/>
        <v>Tidak ada risiko khusus</v>
      </c>
      <c r="AO199" s="180" t="str">
        <f t="shared" si="39"/>
        <v>Tidak Ada Risiko Khusus</v>
      </c>
      <c r="AP199" s="180"/>
      <c r="AQ199" s="181">
        <f t="shared" si="40"/>
        <v>23</v>
      </c>
      <c r="AR199" s="181">
        <f t="shared" si="41"/>
        <v>0</v>
      </c>
      <c r="AS199" s="181">
        <f t="shared" si="42"/>
        <v>33</v>
      </c>
      <c r="AT199" s="180" t="str">
        <f t="shared" si="43"/>
        <v>Rendah</v>
      </c>
      <c r="AU199" s="180" t="s">
        <v>1189</v>
      </c>
      <c r="AV199" s="180" t="s">
        <v>1204</v>
      </c>
      <c r="AW199" s="180" t="s">
        <v>1190</v>
      </c>
      <c r="AX199" s="180"/>
      <c r="AY199" s="180"/>
      <c r="AZ199" s="180"/>
      <c r="BA199" s="180"/>
      <c r="BB199" s="182"/>
      <c r="BC199" s="181">
        <v>2025</v>
      </c>
      <c r="BD199" s="180" t="s">
        <v>1208</v>
      </c>
      <c r="BE199" s="182"/>
      <c r="BF199" s="180" t="s">
        <v>1278</v>
      </c>
    </row>
    <row r="200" spans="1:58" ht="28">
      <c r="A200" s="180" t="s">
        <v>2222</v>
      </c>
      <c r="B200" s="180" t="s">
        <v>2223</v>
      </c>
      <c r="C200" s="180"/>
      <c r="D200" s="180"/>
      <c r="E200" s="180" t="s">
        <v>2224</v>
      </c>
      <c r="F200" s="180" t="s">
        <v>2213</v>
      </c>
      <c r="G200" s="180" t="s">
        <v>1310</v>
      </c>
      <c r="H200" s="180" t="s">
        <v>1181</v>
      </c>
      <c r="I200" s="180"/>
      <c r="J200" s="180" t="s">
        <v>1210</v>
      </c>
      <c r="K200" s="180" t="s">
        <v>1211</v>
      </c>
      <c r="L200" s="180" t="s">
        <v>891</v>
      </c>
      <c r="M200" s="180" t="s">
        <v>1266</v>
      </c>
      <c r="N200" s="180" t="s">
        <v>891</v>
      </c>
      <c r="O200" s="180" t="s">
        <v>1213</v>
      </c>
      <c r="P200" s="180" t="s">
        <v>891</v>
      </c>
      <c r="Q200" s="180" t="s">
        <v>1186</v>
      </c>
      <c r="R200" s="180"/>
      <c r="S200" s="180"/>
      <c r="T200" s="180"/>
      <c r="U200" s="180"/>
      <c r="V200" s="180"/>
      <c r="W200" s="180"/>
      <c r="X200" s="180" t="str">
        <f t="shared" si="33"/>
        <v>Tidak ada faktor rentan</v>
      </c>
      <c r="Y200" s="180" t="str">
        <f t="shared" si="34"/>
        <v>Tidak Ada Faktor Rentan</v>
      </c>
      <c r="Z200" s="181">
        <f t="shared" si="35"/>
        <v>10</v>
      </c>
      <c r="AA200" s="181">
        <f t="shared" si="36"/>
        <v>0</v>
      </c>
      <c r="AB200" s="181">
        <f t="shared" si="37"/>
        <v>10</v>
      </c>
      <c r="AC200" s="180"/>
      <c r="AD200" s="180" t="s">
        <v>1201</v>
      </c>
      <c r="AE200" s="180" t="s">
        <v>1201</v>
      </c>
      <c r="AF200" s="180" t="s">
        <v>1201</v>
      </c>
      <c r="AG200" s="180" t="s">
        <v>1201</v>
      </c>
      <c r="AH200" s="180" t="s">
        <v>1201</v>
      </c>
      <c r="AI200" s="180" t="s">
        <v>1187</v>
      </c>
      <c r="AJ200" s="180" t="s">
        <v>1201</v>
      </c>
      <c r="AK200" s="180" t="s">
        <v>1201</v>
      </c>
      <c r="AL200" s="180"/>
      <c r="AM200" s="180"/>
      <c r="AN200" s="180" t="str">
        <f t="shared" si="38"/>
        <v xml:space="preserve">Komponen bangunan lepas atau lapuk; </v>
      </c>
      <c r="AO200" s="180" t="str">
        <f t="shared" si="39"/>
        <v>Risiko Sedang</v>
      </c>
      <c r="AP200" s="180"/>
      <c r="AQ200" s="181">
        <f t="shared" si="40"/>
        <v>29</v>
      </c>
      <c r="AR200" s="181">
        <f t="shared" si="41"/>
        <v>5</v>
      </c>
      <c r="AS200" s="181">
        <f t="shared" si="42"/>
        <v>44</v>
      </c>
      <c r="AT200" s="180" t="str">
        <f t="shared" si="43"/>
        <v>Rendah</v>
      </c>
      <c r="AU200" s="180" t="s">
        <v>1203</v>
      </c>
      <c r="AV200" s="180" t="s">
        <v>1204</v>
      </c>
      <c r="AW200" s="180" t="s">
        <v>1190</v>
      </c>
      <c r="AX200" s="180"/>
      <c r="AY200" s="180"/>
      <c r="AZ200" s="180" t="s">
        <v>1207</v>
      </c>
      <c r="BA200" s="180"/>
      <c r="BB200" s="182"/>
      <c r="BC200" s="181">
        <v>2025</v>
      </c>
      <c r="BD200" s="180" t="s">
        <v>1208</v>
      </c>
      <c r="BE200" s="182"/>
      <c r="BF200" s="180" t="s">
        <v>1278</v>
      </c>
    </row>
    <row r="201" spans="1:58" ht="28">
      <c r="A201" s="180" t="s">
        <v>2225</v>
      </c>
      <c r="B201" s="180" t="s">
        <v>2226</v>
      </c>
      <c r="C201" s="180"/>
      <c r="D201" s="180"/>
      <c r="E201" s="180" t="s">
        <v>2227</v>
      </c>
      <c r="F201" s="180" t="s">
        <v>1356</v>
      </c>
      <c r="G201" s="180" t="s">
        <v>1289</v>
      </c>
      <c r="H201" s="180" t="s">
        <v>1181</v>
      </c>
      <c r="I201" s="180"/>
      <c r="J201" s="180" t="s">
        <v>1210</v>
      </c>
      <c r="K201" s="180" t="s">
        <v>1197</v>
      </c>
      <c r="L201" s="180" t="s">
        <v>888</v>
      </c>
      <c r="M201" s="180" t="s">
        <v>1266</v>
      </c>
      <c r="N201" s="180" t="s">
        <v>888</v>
      </c>
      <c r="O201" s="180" t="s">
        <v>1213</v>
      </c>
      <c r="P201" s="180" t="s">
        <v>888</v>
      </c>
      <c r="Q201" s="180" t="s">
        <v>1215</v>
      </c>
      <c r="R201" s="180"/>
      <c r="S201" s="180"/>
      <c r="T201" s="180"/>
      <c r="U201" s="180"/>
      <c r="V201" s="180"/>
      <c r="W201" s="180"/>
      <c r="X201" s="180" t="str">
        <f t="shared" si="33"/>
        <v>Tidak ada faktor rentan</v>
      </c>
      <c r="Y201" s="180" t="str">
        <f t="shared" si="34"/>
        <v>Tidak Ada Faktor Rentan</v>
      </c>
      <c r="Z201" s="181" t="str">
        <f t="shared" si="35"/>
        <v/>
      </c>
      <c r="AA201" s="181">
        <f t="shared" si="36"/>
        <v>0</v>
      </c>
      <c r="AB201" s="181" t="str">
        <f t="shared" si="37"/>
        <v/>
      </c>
      <c r="AC201" s="180" t="s">
        <v>1201</v>
      </c>
      <c r="AD201" s="180" t="s">
        <v>1201</v>
      </c>
      <c r="AE201" s="180" t="s">
        <v>1201</v>
      </c>
      <c r="AF201" s="180" t="s">
        <v>1201</v>
      </c>
      <c r="AG201" s="180" t="s">
        <v>1201</v>
      </c>
      <c r="AH201" s="180" t="s">
        <v>1201</v>
      </c>
      <c r="AI201" s="180" t="s">
        <v>1187</v>
      </c>
      <c r="AJ201" s="180" t="s">
        <v>1201</v>
      </c>
      <c r="AK201" s="180" t="s">
        <v>1201</v>
      </c>
      <c r="AL201" s="180"/>
      <c r="AM201" s="180"/>
      <c r="AN201" s="180" t="str">
        <f t="shared" si="38"/>
        <v xml:space="preserve">Komponen bangunan lepas atau lapuk; </v>
      </c>
      <c r="AO201" s="180" t="str">
        <f t="shared" si="39"/>
        <v>Risiko Sedang</v>
      </c>
      <c r="AP201" s="180"/>
      <c r="AQ201" s="181">
        <f t="shared" si="40"/>
        <v>15</v>
      </c>
      <c r="AR201" s="181">
        <f t="shared" si="41"/>
        <v>5</v>
      </c>
      <c r="AS201" s="181" t="str">
        <f t="shared" si="42"/>
        <v/>
      </c>
      <c r="AT201" s="180" t="str">
        <f t="shared" si="43"/>
        <v>Belum Dapat Ditentukan</v>
      </c>
      <c r="AU201" s="180" t="s">
        <v>1189</v>
      </c>
      <c r="AV201" s="180" t="s">
        <v>1204</v>
      </c>
      <c r="AW201" s="180" t="s">
        <v>1190</v>
      </c>
      <c r="AX201" s="180"/>
      <c r="AY201" s="180"/>
      <c r="AZ201" s="180" t="s">
        <v>1192</v>
      </c>
      <c r="BA201" s="180"/>
      <c r="BB201" s="182"/>
      <c r="BC201" s="181">
        <v>2025</v>
      </c>
      <c r="BD201" s="180" t="s">
        <v>1219</v>
      </c>
      <c r="BE201" s="182"/>
      <c r="BF201" s="180" t="s">
        <v>1278</v>
      </c>
    </row>
    <row r="202" spans="1:58" ht="28">
      <c r="A202" s="180" t="s">
        <v>2228</v>
      </c>
      <c r="B202" s="180" t="s">
        <v>2229</v>
      </c>
      <c r="C202" s="180"/>
      <c r="D202" s="180"/>
      <c r="E202" s="180" t="s">
        <v>2230</v>
      </c>
      <c r="F202" s="180" t="s">
        <v>1378</v>
      </c>
      <c r="G202" s="180" t="s">
        <v>1289</v>
      </c>
      <c r="H202" s="180" t="s">
        <v>1195</v>
      </c>
      <c r="I202" s="180"/>
      <c r="J202" s="180" t="s">
        <v>1210</v>
      </c>
      <c r="K202" s="180"/>
      <c r="L202" s="180" t="s">
        <v>905</v>
      </c>
      <c r="M202" s="180" t="s">
        <v>1266</v>
      </c>
      <c r="N202" s="180" t="s">
        <v>891</v>
      </c>
      <c r="O202" s="180" t="s">
        <v>1213</v>
      </c>
      <c r="P202" s="180" t="s">
        <v>891</v>
      </c>
      <c r="Q202" s="180" t="s">
        <v>1186</v>
      </c>
      <c r="R202" s="180"/>
      <c r="S202" s="180"/>
      <c r="T202" s="180"/>
      <c r="U202" s="180"/>
      <c r="V202" s="180"/>
      <c r="W202" s="180"/>
      <c r="X202" s="180" t="str">
        <f t="shared" si="33"/>
        <v>Tidak ada faktor rentan</v>
      </c>
      <c r="Y202" s="180" t="str">
        <f t="shared" si="34"/>
        <v>Tidak Ada Faktor Rentan</v>
      </c>
      <c r="Z202" s="181">
        <f t="shared" si="35"/>
        <v>10</v>
      </c>
      <c r="AA202" s="181">
        <f t="shared" si="36"/>
        <v>0</v>
      </c>
      <c r="AB202" s="181">
        <f t="shared" si="37"/>
        <v>10</v>
      </c>
      <c r="AC202" s="180" t="s">
        <v>1201</v>
      </c>
      <c r="AD202" s="180" t="s">
        <v>1201</v>
      </c>
      <c r="AE202" s="180" t="s">
        <v>1201</v>
      </c>
      <c r="AF202" s="180" t="s">
        <v>1201</v>
      </c>
      <c r="AG202" s="180" t="s">
        <v>1187</v>
      </c>
      <c r="AH202" s="180" t="s">
        <v>1187</v>
      </c>
      <c r="AI202" s="180" t="s">
        <v>1187</v>
      </c>
      <c r="AJ202" s="180" t="s">
        <v>1201</v>
      </c>
      <c r="AK202" s="180" t="s">
        <v>1201</v>
      </c>
      <c r="AL202" s="180"/>
      <c r="AM202" s="180"/>
      <c r="AN202" s="180" t="str">
        <f t="shared" si="38"/>
        <v xml:space="preserve">Struktur rumah tidak stabil; Instalasi listrik berbahaya; Komponen bangunan lepas atau lapuk; </v>
      </c>
      <c r="AO202" s="180" t="str">
        <f t="shared" si="39"/>
        <v>Risiko Tinggi/Darurat</v>
      </c>
      <c r="AP202" s="180"/>
      <c r="AQ202" s="181">
        <f t="shared" si="40"/>
        <v>34</v>
      </c>
      <c r="AR202" s="181">
        <f t="shared" si="41"/>
        <v>10</v>
      </c>
      <c r="AS202" s="181">
        <f t="shared" si="42"/>
        <v>54</v>
      </c>
      <c r="AT202" s="180" t="str">
        <f t="shared" si="43"/>
        <v>Tinggi</v>
      </c>
      <c r="AU202" s="180" t="s">
        <v>1189</v>
      </c>
      <c r="AV202" s="180" t="s">
        <v>1204</v>
      </c>
      <c r="AW202" s="180" t="s">
        <v>1190</v>
      </c>
      <c r="AX202" s="180"/>
      <c r="AY202" s="180"/>
      <c r="AZ202" s="180" t="s">
        <v>1192</v>
      </c>
      <c r="BA202" s="180"/>
      <c r="BB202" s="182"/>
      <c r="BC202" s="181">
        <v>2025</v>
      </c>
      <c r="BD202" s="180" t="s">
        <v>1219</v>
      </c>
      <c r="BE202" s="182"/>
      <c r="BF202" s="180" t="s">
        <v>1278</v>
      </c>
    </row>
    <row r="203" spans="1:58" ht="42">
      <c r="A203" s="180" t="s">
        <v>2231</v>
      </c>
      <c r="B203" s="180" t="s">
        <v>2232</v>
      </c>
      <c r="C203" s="180"/>
      <c r="D203" s="180"/>
      <c r="E203" s="180" t="s">
        <v>2233</v>
      </c>
      <c r="F203" s="180" t="s">
        <v>1274</v>
      </c>
      <c r="G203" s="180" t="s">
        <v>1275</v>
      </c>
      <c r="H203" s="180" t="s">
        <v>1195</v>
      </c>
      <c r="I203" s="180"/>
      <c r="J203" s="180" t="s">
        <v>1182</v>
      </c>
      <c r="K203" s="180" t="s">
        <v>1211</v>
      </c>
      <c r="L203" s="180" t="s">
        <v>905</v>
      </c>
      <c r="M203" s="180" t="s">
        <v>1198</v>
      </c>
      <c r="N203" s="180" t="s">
        <v>905</v>
      </c>
      <c r="O203" s="180" t="s">
        <v>1213</v>
      </c>
      <c r="P203" s="180" t="s">
        <v>891</v>
      </c>
      <c r="Q203" s="180" t="s">
        <v>1186</v>
      </c>
      <c r="R203" s="180" t="s">
        <v>1201</v>
      </c>
      <c r="S203" s="180" t="s">
        <v>1201</v>
      </c>
      <c r="T203" s="180" t="s">
        <v>1201</v>
      </c>
      <c r="U203" s="180" t="s">
        <v>1201</v>
      </c>
      <c r="V203" s="180" t="s">
        <v>1201</v>
      </c>
      <c r="W203" s="180"/>
      <c r="X203" s="180" t="str">
        <f t="shared" si="33"/>
        <v>Tidak ada faktor rentan</v>
      </c>
      <c r="Y203" s="180" t="str">
        <f t="shared" si="34"/>
        <v>Tidak Ada Faktor Rentan</v>
      </c>
      <c r="Z203" s="181">
        <f t="shared" si="35"/>
        <v>10</v>
      </c>
      <c r="AA203" s="181">
        <f t="shared" si="36"/>
        <v>0</v>
      </c>
      <c r="AB203" s="181">
        <f t="shared" si="37"/>
        <v>10</v>
      </c>
      <c r="AC203" s="180" t="s">
        <v>1201</v>
      </c>
      <c r="AD203" s="180" t="s">
        <v>1201</v>
      </c>
      <c r="AE203" s="180" t="s">
        <v>1201</v>
      </c>
      <c r="AF203" s="180" t="s">
        <v>1201</v>
      </c>
      <c r="AG203" s="180" t="s">
        <v>1201</v>
      </c>
      <c r="AH203" s="180" t="s">
        <v>1201</v>
      </c>
      <c r="AI203" s="180" t="s">
        <v>1187</v>
      </c>
      <c r="AJ203" s="180" t="s">
        <v>1201</v>
      </c>
      <c r="AK203" s="180" t="s">
        <v>1201</v>
      </c>
      <c r="AL203" s="180"/>
      <c r="AM203" s="180"/>
      <c r="AN203" s="180" t="str">
        <f t="shared" si="38"/>
        <v xml:space="preserve">Komponen bangunan lepas atau lapuk; </v>
      </c>
      <c r="AO203" s="180" t="str">
        <f t="shared" si="39"/>
        <v>Risiko Sedang</v>
      </c>
      <c r="AP203" s="180"/>
      <c r="AQ203" s="181">
        <f t="shared" si="40"/>
        <v>24</v>
      </c>
      <c r="AR203" s="181">
        <f t="shared" si="41"/>
        <v>5</v>
      </c>
      <c r="AS203" s="181">
        <f t="shared" si="42"/>
        <v>39</v>
      </c>
      <c r="AT203" s="180" t="str">
        <f t="shared" si="43"/>
        <v>Rendah</v>
      </c>
      <c r="AU203" s="180" t="s">
        <v>1189</v>
      </c>
      <c r="AV203" s="180" t="s">
        <v>1204</v>
      </c>
      <c r="AW203" s="180" t="s">
        <v>1267</v>
      </c>
      <c r="AX203" s="180" t="s">
        <v>1206</v>
      </c>
      <c r="AY203" s="180">
        <v>2025</v>
      </c>
      <c r="AZ203" s="180" t="s">
        <v>1192</v>
      </c>
      <c r="BA203" s="180"/>
      <c r="BB203" s="182"/>
      <c r="BC203" s="181">
        <v>2025</v>
      </c>
      <c r="BD203" s="180" t="s">
        <v>1219</v>
      </c>
      <c r="BE203" s="182"/>
      <c r="BF203" s="180" t="s">
        <v>1278</v>
      </c>
    </row>
    <row r="204" spans="1:58" ht="56">
      <c r="A204" s="180" t="s">
        <v>2234</v>
      </c>
      <c r="B204" s="180" t="s">
        <v>2235</v>
      </c>
      <c r="C204" s="183" t="s">
        <v>2236</v>
      </c>
      <c r="D204" s="183" t="s">
        <v>2237</v>
      </c>
      <c r="E204" s="180" t="s">
        <v>1640</v>
      </c>
      <c r="F204" s="180" t="s">
        <v>1641</v>
      </c>
      <c r="G204" s="180" t="s">
        <v>1275</v>
      </c>
      <c r="H204" s="180" t="s">
        <v>1181</v>
      </c>
      <c r="I204" s="180"/>
      <c r="J204" s="180" t="s">
        <v>1210</v>
      </c>
      <c r="K204" s="180" t="s">
        <v>1197</v>
      </c>
      <c r="L204" s="180" t="s">
        <v>891</v>
      </c>
      <c r="M204" s="180" t="s">
        <v>1266</v>
      </c>
      <c r="N204" s="180" t="s">
        <v>905</v>
      </c>
      <c r="O204" s="180" t="s">
        <v>1266</v>
      </c>
      <c r="P204" s="180" t="s">
        <v>891</v>
      </c>
      <c r="Q204" s="180" t="s">
        <v>1186</v>
      </c>
      <c r="R204" s="180" t="s">
        <v>1201</v>
      </c>
      <c r="S204" s="180" t="s">
        <v>1187</v>
      </c>
      <c r="T204" s="180" t="s">
        <v>1201</v>
      </c>
      <c r="U204" s="180" t="s">
        <v>1201</v>
      </c>
      <c r="V204" s="180" t="s">
        <v>1201</v>
      </c>
      <c r="W204" s="180"/>
      <c r="X204" s="180" t="str">
        <f t="shared" si="33"/>
        <v xml:space="preserve">Penyandang disabilitas; </v>
      </c>
      <c r="Y204" s="180" t="str">
        <f t="shared" si="34"/>
        <v>1 Faktor Rentan</v>
      </c>
      <c r="Z204" s="181">
        <f t="shared" si="35"/>
        <v>10</v>
      </c>
      <c r="AA204" s="181">
        <f t="shared" si="36"/>
        <v>5</v>
      </c>
      <c r="AB204" s="181">
        <f t="shared" si="37"/>
        <v>15</v>
      </c>
      <c r="AC204" s="180" t="s">
        <v>1187</v>
      </c>
      <c r="AD204" s="180" t="s">
        <v>1201</v>
      </c>
      <c r="AE204" s="180" t="s">
        <v>1187</v>
      </c>
      <c r="AF204" s="180" t="s">
        <v>1187</v>
      </c>
      <c r="AG204" s="180" t="s">
        <v>1187</v>
      </c>
      <c r="AH204" s="180" t="s">
        <v>1187</v>
      </c>
      <c r="AI204" s="180" t="s">
        <v>1187</v>
      </c>
      <c r="AJ204" s="180" t="s">
        <v>1201</v>
      </c>
      <c r="AK204" s="180" t="s">
        <v>1187</v>
      </c>
      <c r="AL204" s="180"/>
      <c r="AM204" s="180"/>
      <c r="AN204" s="180" t="str">
        <f t="shared" si="38"/>
        <v xml:space="preserve">Bangunan berpotensi roboh; Atap atau dinding utama hampir runtuh; Genangan yang membahayakan; Struktur rumah tidak stabil; Instalasi listrik berbahaya; Komponen bangunan lepas atau lapuk; Lokasi rawan bencana; </v>
      </c>
      <c r="AO204" s="180" t="str">
        <f t="shared" si="39"/>
        <v>Risiko Tinggi/Darurat</v>
      </c>
      <c r="AP204" s="180"/>
      <c r="AQ204" s="181">
        <f t="shared" si="40"/>
        <v>34</v>
      </c>
      <c r="AR204" s="181">
        <f t="shared" si="41"/>
        <v>10</v>
      </c>
      <c r="AS204" s="181">
        <f t="shared" si="42"/>
        <v>59</v>
      </c>
      <c r="AT204" s="180" t="str">
        <f t="shared" si="43"/>
        <v>Tinggi</v>
      </c>
      <c r="AU204" s="180" t="s">
        <v>1189</v>
      </c>
      <c r="AV204" s="180" t="s">
        <v>1204</v>
      </c>
      <c r="AW204" s="180" t="s">
        <v>1267</v>
      </c>
      <c r="AX204" s="180" t="s">
        <v>1206</v>
      </c>
      <c r="AY204" s="180">
        <v>2026</v>
      </c>
      <c r="AZ204" s="180" t="s">
        <v>1192</v>
      </c>
      <c r="BA204" s="180"/>
      <c r="BB204" s="182"/>
      <c r="BC204" s="181">
        <v>2025</v>
      </c>
      <c r="BD204" s="180" t="s">
        <v>1219</v>
      </c>
      <c r="BE204" s="182"/>
      <c r="BF204" s="180" t="s">
        <v>1278</v>
      </c>
    </row>
    <row r="205" spans="1:58" ht="28">
      <c r="A205" s="180" t="s">
        <v>2238</v>
      </c>
      <c r="B205" s="180" t="s">
        <v>2239</v>
      </c>
      <c r="C205" s="180"/>
      <c r="D205" s="180"/>
      <c r="E205" s="180" t="s">
        <v>2240</v>
      </c>
      <c r="F205" s="180" t="s">
        <v>2241</v>
      </c>
      <c r="G205" s="180" t="s">
        <v>1289</v>
      </c>
      <c r="H205" s="180" t="s">
        <v>1181</v>
      </c>
      <c r="I205" s="180"/>
      <c r="J205" s="180" t="s">
        <v>1196</v>
      </c>
      <c r="K205" s="180" t="s">
        <v>1211</v>
      </c>
      <c r="L205" s="180" t="s">
        <v>888</v>
      </c>
      <c r="M205" s="180" t="s">
        <v>1266</v>
      </c>
      <c r="N205" s="180" t="s">
        <v>888</v>
      </c>
      <c r="O205" s="180" t="s">
        <v>1266</v>
      </c>
      <c r="P205" s="180" t="s">
        <v>888</v>
      </c>
      <c r="Q205" s="180" t="s">
        <v>1215</v>
      </c>
      <c r="R205" s="180" t="s">
        <v>1201</v>
      </c>
      <c r="S205" s="180" t="s">
        <v>1201</v>
      </c>
      <c r="T205" s="180" t="s">
        <v>1201</v>
      </c>
      <c r="U205" s="180" t="s">
        <v>1201</v>
      </c>
      <c r="V205" s="180" t="s">
        <v>1201</v>
      </c>
      <c r="W205" s="180"/>
      <c r="X205" s="180" t="str">
        <f t="shared" si="33"/>
        <v>Tidak ada faktor rentan</v>
      </c>
      <c r="Y205" s="180" t="str">
        <f t="shared" si="34"/>
        <v>Tidak Ada Faktor Rentan</v>
      </c>
      <c r="Z205" s="181" t="str">
        <f t="shared" si="35"/>
        <v/>
      </c>
      <c r="AA205" s="181">
        <f t="shared" si="36"/>
        <v>0</v>
      </c>
      <c r="AB205" s="181" t="str">
        <f t="shared" si="37"/>
        <v/>
      </c>
      <c r="AC205" s="180"/>
      <c r="AD205" s="180"/>
      <c r="AE205" s="180" t="s">
        <v>1201</v>
      </c>
      <c r="AF205" s="180" t="s">
        <v>1201</v>
      </c>
      <c r="AG205" s="180" t="s">
        <v>1201</v>
      </c>
      <c r="AH205" s="180" t="s">
        <v>1201</v>
      </c>
      <c r="AI205" s="180" t="s">
        <v>1201</v>
      </c>
      <c r="AJ205" s="180" t="s">
        <v>1201</v>
      </c>
      <c r="AK205" s="180" t="s">
        <v>1201</v>
      </c>
      <c r="AL205" s="180"/>
      <c r="AM205" s="180"/>
      <c r="AN205" s="180" t="str">
        <f t="shared" si="38"/>
        <v>Tidak ada risiko khusus</v>
      </c>
      <c r="AO205" s="180" t="str">
        <f t="shared" si="39"/>
        <v>Tidak Ada Risiko Khusus</v>
      </c>
      <c r="AP205" s="180"/>
      <c r="AQ205" s="181">
        <f t="shared" si="40"/>
        <v>8</v>
      </c>
      <c r="AR205" s="181">
        <f t="shared" si="41"/>
        <v>0</v>
      </c>
      <c r="AS205" s="181" t="str">
        <f t="shared" si="42"/>
        <v/>
      </c>
      <c r="AT205" s="180" t="str">
        <f t="shared" si="43"/>
        <v>Belum Dapat Ditentukan</v>
      </c>
      <c r="AU205" s="180" t="s">
        <v>1203</v>
      </c>
      <c r="AV205" s="180" t="s">
        <v>1204</v>
      </c>
      <c r="AW205" s="180" t="s">
        <v>1190</v>
      </c>
      <c r="AX205" s="180"/>
      <c r="AY205" s="180"/>
      <c r="AZ205" s="180"/>
      <c r="BA205" s="180"/>
      <c r="BB205" s="182"/>
      <c r="BC205" s="181">
        <v>2025</v>
      </c>
      <c r="BD205" s="180" t="s">
        <v>1219</v>
      </c>
      <c r="BE205" s="182"/>
      <c r="BF205" s="180" t="s">
        <v>1278</v>
      </c>
    </row>
    <row r="206" spans="1:58" ht="28">
      <c r="A206" s="180" t="s">
        <v>2242</v>
      </c>
      <c r="B206" s="180" t="s">
        <v>2243</v>
      </c>
      <c r="C206" s="183" t="s">
        <v>2244</v>
      </c>
      <c r="D206" s="183" t="s">
        <v>2245</v>
      </c>
      <c r="E206" s="180" t="s">
        <v>1569</v>
      </c>
      <c r="F206" s="180" t="s">
        <v>1274</v>
      </c>
      <c r="G206" s="180" t="s">
        <v>1275</v>
      </c>
      <c r="H206" s="180" t="s">
        <v>1181</v>
      </c>
      <c r="I206" s="180"/>
      <c r="J206" s="180" t="s">
        <v>1210</v>
      </c>
      <c r="K206" s="180" t="s">
        <v>1197</v>
      </c>
      <c r="L206" s="180" t="s">
        <v>891</v>
      </c>
      <c r="M206" s="180" t="s">
        <v>1266</v>
      </c>
      <c r="N206" s="180" t="s">
        <v>905</v>
      </c>
      <c r="O206" s="180" t="s">
        <v>1213</v>
      </c>
      <c r="P206" s="180" t="s">
        <v>891</v>
      </c>
      <c r="Q206" s="180" t="s">
        <v>1186</v>
      </c>
      <c r="R206" s="180" t="s">
        <v>1187</v>
      </c>
      <c r="S206" s="180" t="s">
        <v>1201</v>
      </c>
      <c r="T206" s="180" t="s">
        <v>1187</v>
      </c>
      <c r="U206" s="180" t="s">
        <v>1201</v>
      </c>
      <c r="V206" s="180" t="s">
        <v>1201</v>
      </c>
      <c r="W206" s="180"/>
      <c r="X206" s="180" t="str">
        <f t="shared" si="33"/>
        <v xml:space="preserve">Lansia; Kepala keluarga perempuan; </v>
      </c>
      <c r="Y206" s="180" t="str">
        <f t="shared" si="34"/>
        <v>2 atau Lebih Faktor Rentan</v>
      </c>
      <c r="Z206" s="181">
        <f t="shared" si="35"/>
        <v>10</v>
      </c>
      <c r="AA206" s="181">
        <f t="shared" si="36"/>
        <v>10</v>
      </c>
      <c r="AB206" s="181">
        <f t="shared" si="37"/>
        <v>20</v>
      </c>
      <c r="AC206" s="180" t="s">
        <v>1201</v>
      </c>
      <c r="AD206" s="180" t="s">
        <v>1201</v>
      </c>
      <c r="AE206" s="180" t="s">
        <v>1187</v>
      </c>
      <c r="AF206" s="180" t="s">
        <v>1201</v>
      </c>
      <c r="AG206" s="180" t="s">
        <v>1187</v>
      </c>
      <c r="AH206" s="180" t="s">
        <v>1187</v>
      </c>
      <c r="AI206" s="180" t="s">
        <v>1187</v>
      </c>
      <c r="AJ206" s="180" t="s">
        <v>1201</v>
      </c>
      <c r="AK206" s="180" t="s">
        <v>1201</v>
      </c>
      <c r="AL206" s="180"/>
      <c r="AM206" s="180"/>
      <c r="AN206" s="180" t="str">
        <f t="shared" si="38"/>
        <v xml:space="preserve">Atap atau dinding utama hampir runtuh; Struktur rumah tidak stabil; Instalasi listrik berbahaya; Komponen bangunan lepas atau lapuk; </v>
      </c>
      <c r="AO206" s="180" t="str">
        <f t="shared" si="39"/>
        <v>Risiko Tinggi/Darurat</v>
      </c>
      <c r="AP206" s="180"/>
      <c r="AQ206" s="181">
        <f t="shared" si="40"/>
        <v>34</v>
      </c>
      <c r="AR206" s="181">
        <f t="shared" si="41"/>
        <v>10</v>
      </c>
      <c r="AS206" s="181">
        <f t="shared" si="42"/>
        <v>64</v>
      </c>
      <c r="AT206" s="180" t="str">
        <f t="shared" si="43"/>
        <v>Tinggi</v>
      </c>
      <c r="AU206" s="180" t="s">
        <v>1189</v>
      </c>
      <c r="AV206" s="180" t="s">
        <v>1204</v>
      </c>
      <c r="AW206" s="180" t="s">
        <v>1267</v>
      </c>
      <c r="AX206" s="180" t="s">
        <v>1206</v>
      </c>
      <c r="AY206" s="180">
        <v>2026</v>
      </c>
      <c r="AZ206" s="180" t="s">
        <v>1192</v>
      </c>
      <c r="BA206" s="180"/>
      <c r="BB206" s="182"/>
      <c r="BC206" s="181">
        <v>2025</v>
      </c>
      <c r="BD206" s="180"/>
      <c r="BE206" s="182"/>
      <c r="BF206" s="180" t="s">
        <v>1278</v>
      </c>
    </row>
    <row r="207" spans="1:58" ht="28">
      <c r="A207" s="180" t="s">
        <v>2246</v>
      </c>
      <c r="B207" s="180" t="s">
        <v>1532</v>
      </c>
      <c r="C207" s="183" t="s">
        <v>2247</v>
      </c>
      <c r="D207" s="183" t="s">
        <v>2248</v>
      </c>
      <c r="E207" s="180" t="s">
        <v>1533</v>
      </c>
      <c r="F207" s="180" t="s">
        <v>1289</v>
      </c>
      <c r="G207" s="180" t="s">
        <v>1289</v>
      </c>
      <c r="H207" s="180" t="s">
        <v>1181</v>
      </c>
      <c r="I207" s="180"/>
      <c r="J207" s="180" t="s">
        <v>1210</v>
      </c>
      <c r="K207" s="180" t="s">
        <v>1211</v>
      </c>
      <c r="L207" s="180" t="s">
        <v>905</v>
      </c>
      <c r="M207" s="180" t="s">
        <v>1266</v>
      </c>
      <c r="N207" s="180" t="s">
        <v>905</v>
      </c>
      <c r="O207" s="180" t="s">
        <v>1213</v>
      </c>
      <c r="P207" s="180" t="s">
        <v>891</v>
      </c>
      <c r="Q207" s="180" t="s">
        <v>1186</v>
      </c>
      <c r="R207" s="180" t="s">
        <v>1201</v>
      </c>
      <c r="S207" s="180" t="s">
        <v>1201</v>
      </c>
      <c r="T207" s="180" t="s">
        <v>1201</v>
      </c>
      <c r="U207" s="180" t="s">
        <v>1201</v>
      </c>
      <c r="V207" s="180" t="s">
        <v>1201</v>
      </c>
      <c r="W207" s="180"/>
      <c r="X207" s="180" t="str">
        <f t="shared" si="33"/>
        <v>Tidak ada faktor rentan</v>
      </c>
      <c r="Y207" s="180" t="str">
        <f t="shared" si="34"/>
        <v>Tidak Ada Faktor Rentan</v>
      </c>
      <c r="Z207" s="181">
        <f t="shared" si="35"/>
        <v>10</v>
      </c>
      <c r="AA207" s="181">
        <f t="shared" si="36"/>
        <v>0</v>
      </c>
      <c r="AB207" s="181">
        <f t="shared" si="37"/>
        <v>10</v>
      </c>
      <c r="AC207" s="180" t="s">
        <v>1201</v>
      </c>
      <c r="AD207" s="180" t="s">
        <v>1201</v>
      </c>
      <c r="AE207" s="180" t="s">
        <v>1187</v>
      </c>
      <c r="AF207" s="180" t="s">
        <v>1201</v>
      </c>
      <c r="AG207" s="180" t="s">
        <v>1187</v>
      </c>
      <c r="AH207" s="180" t="s">
        <v>1187</v>
      </c>
      <c r="AI207" s="180" t="s">
        <v>1187</v>
      </c>
      <c r="AJ207" s="180" t="s">
        <v>1201</v>
      </c>
      <c r="AK207" s="180" t="s">
        <v>1201</v>
      </c>
      <c r="AL207" s="180"/>
      <c r="AM207" s="180"/>
      <c r="AN207" s="180" t="str">
        <f t="shared" si="38"/>
        <v xml:space="preserve">Atap atau dinding utama hampir runtuh; Struktur rumah tidak stabil; Instalasi listrik berbahaya; Komponen bangunan lepas atau lapuk; </v>
      </c>
      <c r="AO207" s="180" t="str">
        <f t="shared" si="39"/>
        <v>Risiko Tinggi/Darurat</v>
      </c>
      <c r="AP207" s="180"/>
      <c r="AQ207" s="181">
        <f t="shared" si="40"/>
        <v>39</v>
      </c>
      <c r="AR207" s="181">
        <f t="shared" si="41"/>
        <v>10</v>
      </c>
      <c r="AS207" s="181">
        <f t="shared" si="42"/>
        <v>59</v>
      </c>
      <c r="AT207" s="180" t="str">
        <f t="shared" si="43"/>
        <v>Tinggi</v>
      </c>
      <c r="AU207" s="180" t="s">
        <v>1189</v>
      </c>
      <c r="AV207" s="180" t="s">
        <v>1204</v>
      </c>
      <c r="AW207" s="180" t="s">
        <v>1267</v>
      </c>
      <c r="AX207" s="180" t="s">
        <v>1206</v>
      </c>
      <c r="AY207" s="180">
        <v>2026</v>
      </c>
      <c r="AZ207" s="180" t="s">
        <v>1192</v>
      </c>
      <c r="BA207" s="180"/>
      <c r="BB207" s="182"/>
      <c r="BC207" s="181">
        <v>2025</v>
      </c>
      <c r="BD207" s="180" t="s">
        <v>1219</v>
      </c>
      <c r="BE207" s="182"/>
      <c r="BF207" s="180" t="s">
        <v>1278</v>
      </c>
    </row>
    <row r="208" spans="1:58" ht="28">
      <c r="A208" s="180" t="s">
        <v>2249</v>
      </c>
      <c r="B208" s="180" t="s">
        <v>2250</v>
      </c>
      <c r="C208" s="183" t="s">
        <v>2251</v>
      </c>
      <c r="D208" s="183" t="s">
        <v>2252</v>
      </c>
      <c r="E208" s="180" t="s">
        <v>1533</v>
      </c>
      <c r="F208" s="180" t="s">
        <v>1289</v>
      </c>
      <c r="G208" s="180" t="s">
        <v>1289</v>
      </c>
      <c r="H208" s="180" t="s">
        <v>1195</v>
      </c>
      <c r="I208" s="180"/>
      <c r="J208" s="180" t="s">
        <v>1210</v>
      </c>
      <c r="K208" s="180" t="s">
        <v>1197</v>
      </c>
      <c r="L208" s="180" t="s">
        <v>905</v>
      </c>
      <c r="M208" s="180" t="s">
        <v>1266</v>
      </c>
      <c r="N208" s="180" t="s">
        <v>905</v>
      </c>
      <c r="O208" s="180" t="s">
        <v>1213</v>
      </c>
      <c r="P208" s="180" t="s">
        <v>891</v>
      </c>
      <c r="Q208" s="180" t="s">
        <v>1186</v>
      </c>
      <c r="R208" s="180" t="s">
        <v>1201</v>
      </c>
      <c r="S208" s="180" t="s">
        <v>1201</v>
      </c>
      <c r="T208" s="180" t="s">
        <v>1201</v>
      </c>
      <c r="U208" s="180" t="s">
        <v>1201</v>
      </c>
      <c r="V208" s="180" t="s">
        <v>1201</v>
      </c>
      <c r="W208" s="180"/>
      <c r="X208" s="180" t="str">
        <f t="shared" si="33"/>
        <v>Tidak ada faktor rentan</v>
      </c>
      <c r="Y208" s="180" t="str">
        <f t="shared" si="34"/>
        <v>Tidak Ada Faktor Rentan</v>
      </c>
      <c r="Z208" s="181">
        <f t="shared" si="35"/>
        <v>10</v>
      </c>
      <c r="AA208" s="181">
        <f t="shared" si="36"/>
        <v>0</v>
      </c>
      <c r="AB208" s="181">
        <f t="shared" si="37"/>
        <v>10</v>
      </c>
      <c r="AC208" s="180" t="s">
        <v>1201</v>
      </c>
      <c r="AD208" s="180" t="s">
        <v>1201</v>
      </c>
      <c r="AE208" s="180" t="s">
        <v>1187</v>
      </c>
      <c r="AF208" s="180" t="s">
        <v>1201</v>
      </c>
      <c r="AG208" s="180" t="s">
        <v>1187</v>
      </c>
      <c r="AH208" s="180" t="s">
        <v>1187</v>
      </c>
      <c r="AI208" s="180" t="s">
        <v>1187</v>
      </c>
      <c r="AJ208" s="180" t="s">
        <v>1201</v>
      </c>
      <c r="AK208" s="180" t="s">
        <v>1201</v>
      </c>
      <c r="AL208" s="180"/>
      <c r="AM208" s="180"/>
      <c r="AN208" s="180" t="str">
        <f t="shared" si="38"/>
        <v xml:space="preserve">Atap atau dinding utama hampir runtuh; Struktur rumah tidak stabil; Instalasi listrik berbahaya; Komponen bangunan lepas atau lapuk; </v>
      </c>
      <c r="AO208" s="180" t="str">
        <f t="shared" si="39"/>
        <v>Risiko Tinggi/Darurat</v>
      </c>
      <c r="AP208" s="180"/>
      <c r="AQ208" s="181">
        <f t="shared" si="40"/>
        <v>39</v>
      </c>
      <c r="AR208" s="181">
        <f t="shared" si="41"/>
        <v>10</v>
      </c>
      <c r="AS208" s="181">
        <f t="shared" si="42"/>
        <v>59</v>
      </c>
      <c r="AT208" s="180" t="str">
        <f t="shared" si="43"/>
        <v>Tinggi</v>
      </c>
      <c r="AU208" s="180" t="s">
        <v>1189</v>
      </c>
      <c r="AV208" s="180" t="s">
        <v>1204</v>
      </c>
      <c r="AW208" s="180" t="s">
        <v>1267</v>
      </c>
      <c r="AX208" s="180" t="s">
        <v>1206</v>
      </c>
      <c r="AY208" s="180">
        <v>2026</v>
      </c>
      <c r="AZ208" s="180" t="s">
        <v>1192</v>
      </c>
      <c r="BA208" s="180"/>
      <c r="BB208" s="182"/>
      <c r="BC208" s="181">
        <v>2025</v>
      </c>
      <c r="BD208" s="180" t="s">
        <v>1219</v>
      </c>
      <c r="BE208" s="182"/>
      <c r="BF208" s="180" t="s">
        <v>1278</v>
      </c>
    </row>
    <row r="209" spans="1:58" ht="28">
      <c r="A209" s="180" t="s">
        <v>2253</v>
      </c>
      <c r="B209" s="180" t="s">
        <v>2254</v>
      </c>
      <c r="C209" s="180"/>
      <c r="D209" s="180"/>
      <c r="E209" s="180"/>
      <c r="F209" s="180" t="s">
        <v>1289</v>
      </c>
      <c r="G209" s="180" t="s">
        <v>1289</v>
      </c>
      <c r="H209" s="180" t="s">
        <v>1195</v>
      </c>
      <c r="I209" s="180"/>
      <c r="J209" s="180" t="s">
        <v>1196</v>
      </c>
      <c r="K209" s="180" t="s">
        <v>1197</v>
      </c>
      <c r="L209" s="180" t="s">
        <v>891</v>
      </c>
      <c r="M209" s="180" t="s">
        <v>1266</v>
      </c>
      <c r="N209" s="180" t="s">
        <v>891</v>
      </c>
      <c r="O209" s="180" t="s">
        <v>1213</v>
      </c>
      <c r="P209" s="180" t="s">
        <v>891</v>
      </c>
      <c r="Q209" s="180" t="s">
        <v>1186</v>
      </c>
      <c r="R209" s="180" t="s">
        <v>1201</v>
      </c>
      <c r="S209" s="180" t="s">
        <v>1201</v>
      </c>
      <c r="T209" s="180" t="s">
        <v>1201</v>
      </c>
      <c r="U209" s="180" t="s">
        <v>1201</v>
      </c>
      <c r="V209" s="180" t="s">
        <v>1201</v>
      </c>
      <c r="W209" s="180"/>
      <c r="X209" s="180" t="str">
        <f t="shared" si="33"/>
        <v>Tidak ada faktor rentan</v>
      </c>
      <c r="Y209" s="180" t="str">
        <f t="shared" si="34"/>
        <v>Tidak Ada Faktor Rentan</v>
      </c>
      <c r="Z209" s="181">
        <f t="shared" si="35"/>
        <v>10</v>
      </c>
      <c r="AA209" s="181">
        <f t="shared" si="36"/>
        <v>0</v>
      </c>
      <c r="AB209" s="181">
        <f t="shared" si="37"/>
        <v>10</v>
      </c>
      <c r="AC209" s="180" t="s">
        <v>1201</v>
      </c>
      <c r="AD209" s="180" t="s">
        <v>1201</v>
      </c>
      <c r="AE209" s="180" t="s">
        <v>1187</v>
      </c>
      <c r="AF209" s="180" t="s">
        <v>1201</v>
      </c>
      <c r="AG209" s="180" t="s">
        <v>1201</v>
      </c>
      <c r="AH209" s="180" t="s">
        <v>1187</v>
      </c>
      <c r="AI209" s="180" t="s">
        <v>1187</v>
      </c>
      <c r="AJ209" s="180" t="s">
        <v>1201</v>
      </c>
      <c r="AK209" s="180" t="s">
        <v>1201</v>
      </c>
      <c r="AL209" s="180"/>
      <c r="AM209" s="180"/>
      <c r="AN209" s="180" t="str">
        <f t="shared" si="38"/>
        <v xml:space="preserve">Atap atau dinding utama hampir runtuh; Instalasi listrik berbahaya; Komponen bangunan lepas atau lapuk; </v>
      </c>
      <c r="AO209" s="180" t="str">
        <f t="shared" si="39"/>
        <v>Risiko Tinggi/Darurat</v>
      </c>
      <c r="AP209" s="180"/>
      <c r="AQ209" s="181">
        <f t="shared" si="40"/>
        <v>22</v>
      </c>
      <c r="AR209" s="181">
        <f t="shared" si="41"/>
        <v>10</v>
      </c>
      <c r="AS209" s="181">
        <f t="shared" si="42"/>
        <v>42</v>
      </c>
      <c r="AT209" s="180" t="str">
        <f t="shared" si="43"/>
        <v>Tinggi</v>
      </c>
      <c r="AU209" s="180" t="s">
        <v>1189</v>
      </c>
      <c r="AV209" s="180" t="s">
        <v>1204</v>
      </c>
      <c r="AW209" s="180" t="s">
        <v>1190</v>
      </c>
      <c r="AX209" s="180"/>
      <c r="AY209" s="180"/>
      <c r="AZ209" s="180" t="s">
        <v>1207</v>
      </c>
      <c r="BA209" s="180"/>
      <c r="BB209" s="182"/>
      <c r="BC209" s="181">
        <v>2025</v>
      </c>
      <c r="BD209" s="180" t="s">
        <v>1219</v>
      </c>
      <c r="BE209" s="182"/>
      <c r="BF209" s="180" t="s">
        <v>1278</v>
      </c>
    </row>
    <row r="210" spans="1:58" ht="42">
      <c r="A210" s="180" t="s">
        <v>2255</v>
      </c>
      <c r="B210" s="180" t="s">
        <v>2256</v>
      </c>
      <c r="C210" s="183" t="s">
        <v>2257</v>
      </c>
      <c r="D210" s="183" t="s">
        <v>2258</v>
      </c>
      <c r="E210" s="180" t="s">
        <v>2259</v>
      </c>
      <c r="F210" s="180" t="s">
        <v>2260</v>
      </c>
      <c r="G210" s="180" t="s">
        <v>1325</v>
      </c>
      <c r="H210" s="180" t="s">
        <v>1195</v>
      </c>
      <c r="I210" s="180"/>
      <c r="J210" s="180" t="s">
        <v>1196</v>
      </c>
      <c r="K210" s="180" t="s">
        <v>1197</v>
      </c>
      <c r="L210" s="180" t="s">
        <v>905</v>
      </c>
      <c r="M210" s="180" t="s">
        <v>1305</v>
      </c>
      <c r="N210" s="180" t="s">
        <v>905</v>
      </c>
      <c r="O210" s="180" t="s">
        <v>1213</v>
      </c>
      <c r="P210" s="180" t="s">
        <v>891</v>
      </c>
      <c r="Q210" s="180" t="s">
        <v>1186</v>
      </c>
      <c r="R210" s="180" t="s">
        <v>1187</v>
      </c>
      <c r="S210" s="180" t="s">
        <v>1201</v>
      </c>
      <c r="T210" s="180" t="s">
        <v>1201</v>
      </c>
      <c r="U210" s="180" t="s">
        <v>1201</v>
      </c>
      <c r="V210" s="180" t="s">
        <v>1201</v>
      </c>
      <c r="W210" s="180"/>
      <c r="X210" s="180" t="str">
        <f t="shared" si="33"/>
        <v xml:space="preserve">Lansia; </v>
      </c>
      <c r="Y210" s="180" t="str">
        <f t="shared" si="34"/>
        <v>1 Faktor Rentan</v>
      </c>
      <c r="Z210" s="181">
        <f t="shared" si="35"/>
        <v>10</v>
      </c>
      <c r="AA210" s="181">
        <f t="shared" si="36"/>
        <v>5</v>
      </c>
      <c r="AB210" s="181">
        <f t="shared" si="37"/>
        <v>15</v>
      </c>
      <c r="AC210" s="180" t="s">
        <v>1187</v>
      </c>
      <c r="AD210" s="180" t="s">
        <v>1201</v>
      </c>
      <c r="AE210" s="180" t="s">
        <v>1187</v>
      </c>
      <c r="AF210" s="180" t="s">
        <v>1201</v>
      </c>
      <c r="AG210" s="180" t="s">
        <v>1187</v>
      </c>
      <c r="AH210" s="180" t="s">
        <v>1187</v>
      </c>
      <c r="AI210" s="180" t="s">
        <v>1187</v>
      </c>
      <c r="AJ210" s="180" t="s">
        <v>1201</v>
      </c>
      <c r="AK210" s="180" t="s">
        <v>1201</v>
      </c>
      <c r="AL210" s="180"/>
      <c r="AM210" s="180"/>
      <c r="AN210" s="180" t="str">
        <f t="shared" si="38"/>
        <v xml:space="preserve">Bangunan berpotensi roboh; Atap atau dinding utama hampir runtuh; Struktur rumah tidak stabil; Instalasi listrik berbahaya; Komponen bangunan lepas atau lapuk; </v>
      </c>
      <c r="AO210" s="180" t="str">
        <f t="shared" si="39"/>
        <v>Risiko Tinggi/Darurat</v>
      </c>
      <c r="AP210" s="180"/>
      <c r="AQ210" s="181">
        <f t="shared" si="40"/>
        <v>32</v>
      </c>
      <c r="AR210" s="181">
        <f t="shared" si="41"/>
        <v>10</v>
      </c>
      <c r="AS210" s="181">
        <f t="shared" si="42"/>
        <v>57</v>
      </c>
      <c r="AT210" s="180" t="str">
        <f t="shared" si="43"/>
        <v>Tinggi</v>
      </c>
      <c r="AU210" s="180" t="s">
        <v>1189</v>
      </c>
      <c r="AV210" s="180" t="s">
        <v>1204</v>
      </c>
      <c r="AW210" s="180" t="s">
        <v>1267</v>
      </c>
      <c r="AX210" s="180" t="s">
        <v>1206</v>
      </c>
      <c r="AY210" s="180">
        <v>2026</v>
      </c>
      <c r="AZ210" s="180" t="s">
        <v>1192</v>
      </c>
      <c r="BA210" s="180"/>
      <c r="BB210" s="182"/>
      <c r="BC210" s="181">
        <v>2025</v>
      </c>
      <c r="BD210" s="180" t="s">
        <v>1219</v>
      </c>
      <c r="BE210" s="182"/>
      <c r="BF210" s="180" t="s">
        <v>1278</v>
      </c>
    </row>
    <row r="211" spans="1:58" ht="28">
      <c r="A211" s="180" t="s">
        <v>2261</v>
      </c>
      <c r="B211" s="180" t="s">
        <v>2262</v>
      </c>
      <c r="C211" s="183" t="s">
        <v>2263</v>
      </c>
      <c r="D211" s="183" t="s">
        <v>2264</v>
      </c>
      <c r="E211" s="180" t="s">
        <v>2265</v>
      </c>
      <c r="F211" s="180" t="s">
        <v>1324</v>
      </c>
      <c r="G211" s="180" t="s">
        <v>1325</v>
      </c>
      <c r="H211" s="180" t="s">
        <v>1181</v>
      </c>
      <c r="I211" s="180"/>
      <c r="J211" s="180" t="s">
        <v>1196</v>
      </c>
      <c r="K211" s="180" t="s">
        <v>1211</v>
      </c>
      <c r="L211" s="180" t="s">
        <v>891</v>
      </c>
      <c r="M211" s="180" t="s">
        <v>1305</v>
      </c>
      <c r="N211" s="180" t="s">
        <v>891</v>
      </c>
      <c r="O211" s="180" t="s">
        <v>1213</v>
      </c>
      <c r="P211" s="180" t="s">
        <v>891</v>
      </c>
      <c r="Q211" s="180" t="s">
        <v>1186</v>
      </c>
      <c r="R211" s="180" t="s">
        <v>1187</v>
      </c>
      <c r="S211" s="180" t="s">
        <v>1201</v>
      </c>
      <c r="T211" s="180" t="s">
        <v>1201</v>
      </c>
      <c r="U211" s="180" t="s">
        <v>1201</v>
      </c>
      <c r="V211" s="180" t="s">
        <v>1201</v>
      </c>
      <c r="W211" s="180"/>
      <c r="X211" s="180" t="str">
        <f t="shared" si="33"/>
        <v xml:space="preserve">Lansia; </v>
      </c>
      <c r="Y211" s="180" t="str">
        <f t="shared" si="34"/>
        <v>1 Faktor Rentan</v>
      </c>
      <c r="Z211" s="181">
        <f t="shared" si="35"/>
        <v>10</v>
      </c>
      <c r="AA211" s="181">
        <f t="shared" si="36"/>
        <v>5</v>
      </c>
      <c r="AB211" s="181">
        <f t="shared" si="37"/>
        <v>15</v>
      </c>
      <c r="AC211" s="180" t="s">
        <v>1201</v>
      </c>
      <c r="AD211" s="180" t="s">
        <v>1201</v>
      </c>
      <c r="AE211" s="180" t="s">
        <v>1201</v>
      </c>
      <c r="AF211" s="180" t="s">
        <v>1201</v>
      </c>
      <c r="AG211" s="180" t="s">
        <v>1187</v>
      </c>
      <c r="AH211" s="180" t="s">
        <v>1187</v>
      </c>
      <c r="AI211" s="180" t="s">
        <v>1187</v>
      </c>
      <c r="AJ211" s="180" t="s">
        <v>1201</v>
      </c>
      <c r="AK211" s="180" t="s">
        <v>1201</v>
      </c>
      <c r="AL211" s="180"/>
      <c r="AM211" s="180"/>
      <c r="AN211" s="180" t="str">
        <f t="shared" si="38"/>
        <v xml:space="preserve">Struktur rumah tidak stabil; Instalasi listrik berbahaya; Komponen bangunan lepas atau lapuk; </v>
      </c>
      <c r="AO211" s="180" t="str">
        <f t="shared" si="39"/>
        <v>Risiko Tinggi/Darurat</v>
      </c>
      <c r="AP211" s="180"/>
      <c r="AQ211" s="181">
        <f t="shared" si="40"/>
        <v>22</v>
      </c>
      <c r="AR211" s="181">
        <f t="shared" si="41"/>
        <v>10</v>
      </c>
      <c r="AS211" s="181">
        <f t="shared" si="42"/>
        <v>47</v>
      </c>
      <c r="AT211" s="180" t="str">
        <f t="shared" si="43"/>
        <v>Tinggi</v>
      </c>
      <c r="AU211" s="180" t="s">
        <v>1189</v>
      </c>
      <c r="AV211" s="180" t="s">
        <v>1204</v>
      </c>
      <c r="AW211" s="180" t="s">
        <v>1267</v>
      </c>
      <c r="AX211" s="180" t="s">
        <v>1206</v>
      </c>
      <c r="AY211" s="180">
        <v>2026</v>
      </c>
      <c r="AZ211" s="180" t="s">
        <v>1192</v>
      </c>
      <c r="BA211" s="180"/>
      <c r="BB211" s="182"/>
      <c r="BC211" s="181">
        <v>2025</v>
      </c>
      <c r="BD211" s="180" t="s">
        <v>1219</v>
      </c>
      <c r="BE211" s="182"/>
      <c r="BF211" s="180" t="s">
        <v>1278</v>
      </c>
    </row>
    <row r="212" spans="1:58" ht="28">
      <c r="A212" s="180" t="s">
        <v>2266</v>
      </c>
      <c r="B212" s="180" t="s">
        <v>2267</v>
      </c>
      <c r="C212" s="183" t="s">
        <v>2268</v>
      </c>
      <c r="D212" s="183" t="s">
        <v>2269</v>
      </c>
      <c r="E212" s="180" t="s">
        <v>2270</v>
      </c>
      <c r="F212" s="180" t="s">
        <v>1366</v>
      </c>
      <c r="G212" s="180" t="s">
        <v>1361</v>
      </c>
      <c r="H212" s="180" t="s">
        <v>1181</v>
      </c>
      <c r="I212" s="180"/>
      <c r="J212" s="180" t="s">
        <v>1210</v>
      </c>
      <c r="K212" s="180" t="s">
        <v>1197</v>
      </c>
      <c r="L212" s="180" t="s">
        <v>891</v>
      </c>
      <c r="M212" s="180" t="s">
        <v>1266</v>
      </c>
      <c r="N212" s="180" t="s">
        <v>905</v>
      </c>
      <c r="O212" s="180" t="s">
        <v>1213</v>
      </c>
      <c r="P212" s="180" t="s">
        <v>891</v>
      </c>
      <c r="Q212" s="180" t="s">
        <v>1186</v>
      </c>
      <c r="R212" s="180" t="s">
        <v>1201</v>
      </c>
      <c r="S212" s="180" t="s">
        <v>1201</v>
      </c>
      <c r="T212" s="180" t="s">
        <v>1201</v>
      </c>
      <c r="U212" s="180" t="s">
        <v>1201</v>
      </c>
      <c r="V212" s="180" t="s">
        <v>1201</v>
      </c>
      <c r="W212" s="180"/>
      <c r="X212" s="180" t="str">
        <f t="shared" si="33"/>
        <v>Tidak ada faktor rentan</v>
      </c>
      <c r="Y212" s="180" t="str">
        <f t="shared" si="34"/>
        <v>Tidak Ada Faktor Rentan</v>
      </c>
      <c r="Z212" s="181">
        <f t="shared" si="35"/>
        <v>10</v>
      </c>
      <c r="AA212" s="181">
        <f t="shared" si="36"/>
        <v>0</v>
      </c>
      <c r="AB212" s="181">
        <f t="shared" si="37"/>
        <v>10</v>
      </c>
      <c r="AC212" s="180" t="s">
        <v>1201</v>
      </c>
      <c r="AD212" s="180" t="s">
        <v>1201</v>
      </c>
      <c r="AE212" s="180" t="s">
        <v>1187</v>
      </c>
      <c r="AF212" s="180" t="s">
        <v>1201</v>
      </c>
      <c r="AG212" s="180" t="s">
        <v>1187</v>
      </c>
      <c r="AH212" s="180" t="s">
        <v>1187</v>
      </c>
      <c r="AI212" s="180" t="s">
        <v>1187</v>
      </c>
      <c r="AJ212" s="180" t="s">
        <v>1201</v>
      </c>
      <c r="AK212" s="180" t="s">
        <v>1201</v>
      </c>
      <c r="AL212" s="180"/>
      <c r="AM212" s="180"/>
      <c r="AN212" s="180" t="str">
        <f t="shared" si="38"/>
        <v xml:space="preserve">Atap atau dinding utama hampir runtuh; Struktur rumah tidak stabil; Instalasi listrik berbahaya; Komponen bangunan lepas atau lapuk; </v>
      </c>
      <c r="AO212" s="180" t="str">
        <f t="shared" si="39"/>
        <v>Risiko Tinggi/Darurat</v>
      </c>
      <c r="AP212" s="180"/>
      <c r="AQ212" s="181">
        <f t="shared" si="40"/>
        <v>34</v>
      </c>
      <c r="AR212" s="181">
        <f t="shared" si="41"/>
        <v>10</v>
      </c>
      <c r="AS212" s="181">
        <f t="shared" si="42"/>
        <v>54</v>
      </c>
      <c r="AT212" s="180" t="str">
        <f t="shared" si="43"/>
        <v>Tinggi</v>
      </c>
      <c r="AU212" s="180" t="s">
        <v>1189</v>
      </c>
      <c r="AV212" s="180" t="s">
        <v>1204</v>
      </c>
      <c r="AW212" s="180" t="s">
        <v>1205</v>
      </c>
      <c r="AX212" s="180" t="s">
        <v>1283</v>
      </c>
      <c r="AY212" s="180">
        <v>2026</v>
      </c>
      <c r="AZ212" s="180" t="s">
        <v>1192</v>
      </c>
      <c r="BA212" s="180"/>
      <c r="BB212" s="182"/>
      <c r="BC212" s="181">
        <v>2025</v>
      </c>
      <c r="BD212" s="180" t="s">
        <v>1193</v>
      </c>
      <c r="BE212" s="182"/>
      <c r="BF212" s="180" t="s">
        <v>1278</v>
      </c>
    </row>
    <row r="213" spans="1:58" ht="28">
      <c r="A213" s="180" t="s">
        <v>2271</v>
      </c>
      <c r="B213" s="180" t="s">
        <v>2272</v>
      </c>
      <c r="C213" s="183" t="s">
        <v>2273</v>
      </c>
      <c r="D213" s="183" t="s">
        <v>2274</v>
      </c>
      <c r="E213" s="180" t="s">
        <v>2275</v>
      </c>
      <c r="F213" s="180" t="s">
        <v>1366</v>
      </c>
      <c r="G213" s="180" t="s">
        <v>1361</v>
      </c>
      <c r="H213" s="180" t="s">
        <v>1181</v>
      </c>
      <c r="I213" s="180"/>
      <c r="J213" s="180" t="s">
        <v>1210</v>
      </c>
      <c r="K213" s="180" t="s">
        <v>1211</v>
      </c>
      <c r="L213" s="180" t="s">
        <v>895</v>
      </c>
      <c r="M213" s="180" t="s">
        <v>1292</v>
      </c>
      <c r="N213" s="180" t="s">
        <v>905</v>
      </c>
      <c r="O213" s="180" t="s">
        <v>1213</v>
      </c>
      <c r="P213" s="180" t="s">
        <v>905</v>
      </c>
      <c r="Q213" s="180" t="s">
        <v>1186</v>
      </c>
      <c r="R213" s="180" t="s">
        <v>1201</v>
      </c>
      <c r="S213" s="180" t="s">
        <v>1201</v>
      </c>
      <c r="T213" s="180" t="s">
        <v>1201</v>
      </c>
      <c r="U213" s="180" t="s">
        <v>1187</v>
      </c>
      <c r="V213" s="180" t="s">
        <v>1201</v>
      </c>
      <c r="W213" s="180"/>
      <c r="X213" s="180" t="str">
        <f t="shared" si="33"/>
        <v xml:space="preserve">Balita; </v>
      </c>
      <c r="Y213" s="180" t="str">
        <f t="shared" si="34"/>
        <v>1 Faktor Rentan</v>
      </c>
      <c r="Z213" s="181">
        <f t="shared" si="35"/>
        <v>10</v>
      </c>
      <c r="AA213" s="181">
        <f t="shared" si="36"/>
        <v>5</v>
      </c>
      <c r="AB213" s="181">
        <f t="shared" si="37"/>
        <v>15</v>
      </c>
      <c r="AC213" s="180" t="s">
        <v>1201</v>
      </c>
      <c r="AD213" s="180" t="s">
        <v>1201</v>
      </c>
      <c r="AE213" s="180" t="s">
        <v>1187</v>
      </c>
      <c r="AF213" s="180" t="s">
        <v>1201</v>
      </c>
      <c r="AG213" s="180" t="s">
        <v>1187</v>
      </c>
      <c r="AH213" s="180" t="s">
        <v>1187</v>
      </c>
      <c r="AI213" s="180" t="s">
        <v>1201</v>
      </c>
      <c r="AJ213" s="180" t="s">
        <v>1201</v>
      </c>
      <c r="AK213" s="180" t="s">
        <v>1201</v>
      </c>
      <c r="AL213" s="180"/>
      <c r="AM213" s="180"/>
      <c r="AN213" s="180" t="str">
        <f t="shared" si="38"/>
        <v xml:space="preserve">Atap atau dinding utama hampir runtuh; Struktur rumah tidak stabil; Instalasi listrik berbahaya; </v>
      </c>
      <c r="AO213" s="180" t="str">
        <f t="shared" si="39"/>
        <v>Risiko Tinggi/Darurat</v>
      </c>
      <c r="AP213" s="180"/>
      <c r="AQ213" s="181">
        <f t="shared" si="40"/>
        <v>48</v>
      </c>
      <c r="AR213" s="181">
        <f t="shared" si="41"/>
        <v>10</v>
      </c>
      <c r="AS213" s="181">
        <f t="shared" si="42"/>
        <v>73</v>
      </c>
      <c r="AT213" s="180" t="str">
        <f t="shared" si="43"/>
        <v>Tinggi</v>
      </c>
      <c r="AU213" s="180" t="s">
        <v>1189</v>
      </c>
      <c r="AV213" s="180" t="s">
        <v>1204</v>
      </c>
      <c r="AW213" s="180" t="s">
        <v>2276</v>
      </c>
      <c r="AX213" s="180" t="s">
        <v>1206</v>
      </c>
      <c r="AY213" s="180">
        <v>2026</v>
      </c>
      <c r="AZ213" s="180" t="s">
        <v>1192</v>
      </c>
      <c r="BA213" s="180"/>
      <c r="BB213" s="182"/>
      <c r="BC213" s="181">
        <v>2025</v>
      </c>
      <c r="BD213" s="180" t="s">
        <v>1208</v>
      </c>
      <c r="BE213" s="182"/>
      <c r="BF213" s="180" t="s">
        <v>1278</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178"/>
      <c r="BC214" s="72"/>
      <c r="BD214" s="66"/>
      <c r="BE214" s="17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178"/>
      <c r="BC215" s="72"/>
      <c r="BD215" s="66"/>
      <c r="BE215" s="17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178"/>
      <c r="BC216" s="72"/>
      <c r="BD216" s="66"/>
      <c r="BE216" s="17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178"/>
      <c r="BC217" s="72"/>
      <c r="BD217" s="66"/>
      <c r="BE217" s="17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178"/>
      <c r="BC218" s="72"/>
      <c r="BD218" s="66"/>
      <c r="BE218" s="17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178"/>
      <c r="BC219" s="72"/>
      <c r="BD219" s="66"/>
      <c r="BE219" s="17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178"/>
      <c r="BC220" s="72"/>
      <c r="BD220" s="66"/>
      <c r="BE220" s="17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178"/>
      <c r="BC221" s="72"/>
      <c r="BD221" s="66"/>
      <c r="BE221" s="17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178"/>
      <c r="BC222" s="72"/>
      <c r="BD222" s="66"/>
      <c r="BE222" s="17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178"/>
      <c r="BC223" s="72"/>
      <c r="BD223" s="66"/>
      <c r="BE223" s="17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178"/>
      <c r="BC224" s="72"/>
      <c r="BD224" s="66"/>
      <c r="BE224" s="17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178"/>
      <c r="BC225" s="72"/>
      <c r="BD225" s="66"/>
      <c r="BE225" s="17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178"/>
      <c r="BC226" s="72"/>
      <c r="BD226" s="66"/>
      <c r="BE226" s="17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178"/>
      <c r="BC227" s="72"/>
      <c r="BD227" s="66"/>
      <c r="BE227" s="17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178"/>
      <c r="BC228" s="72"/>
      <c r="BD228" s="66"/>
      <c r="BE228" s="17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178"/>
      <c r="BC229" s="72"/>
      <c r="BD229" s="66"/>
      <c r="BE229" s="17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178"/>
      <c r="BC230" s="72"/>
      <c r="BD230" s="66"/>
      <c r="BE230" s="17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178"/>
      <c r="BC231" s="72"/>
      <c r="BD231" s="66"/>
      <c r="BE231" s="17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178"/>
      <c r="BC232" s="72"/>
      <c r="BD232" s="66"/>
      <c r="BE232" s="17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178"/>
      <c r="BC233" s="72"/>
      <c r="BD233" s="66"/>
      <c r="BE233" s="17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178"/>
      <c r="BC234" s="72"/>
      <c r="BD234" s="66"/>
      <c r="BE234" s="17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178"/>
      <c r="BC235" s="72"/>
      <c r="BD235" s="66"/>
      <c r="BE235" s="17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178"/>
      <c r="BC236" s="72"/>
      <c r="BD236" s="66"/>
      <c r="BE236" s="17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178"/>
      <c r="BC237" s="72"/>
      <c r="BD237" s="66"/>
      <c r="BE237" s="17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178"/>
      <c r="BC238" s="72"/>
      <c r="BD238" s="66"/>
      <c r="BE238" s="17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178"/>
      <c r="BC239" s="72"/>
      <c r="BD239" s="66"/>
      <c r="BE239" s="17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178"/>
      <c r="BC240" s="72"/>
      <c r="BD240" s="66"/>
      <c r="BE240" s="17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178"/>
      <c r="BC241" s="72"/>
      <c r="BD241" s="66"/>
      <c r="BE241" s="17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178"/>
      <c r="BC242" s="72"/>
      <c r="BD242" s="66"/>
      <c r="BE242" s="17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178"/>
      <c r="BC243" s="72"/>
      <c r="BD243" s="66"/>
      <c r="BE243" s="17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178"/>
      <c r="BC244" s="72"/>
      <c r="BD244" s="66"/>
      <c r="BE244" s="17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178"/>
      <c r="BC245" s="72"/>
      <c r="BD245" s="66"/>
      <c r="BE245" s="17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178"/>
      <c r="BC246" s="72"/>
      <c r="BD246" s="66"/>
      <c r="BE246" s="17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178"/>
      <c r="BC247" s="72"/>
      <c r="BD247" s="66"/>
      <c r="BE247" s="17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178"/>
      <c r="BC248" s="72"/>
      <c r="BD248" s="66"/>
      <c r="BE248" s="17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178"/>
      <c r="BC249" s="72"/>
      <c r="BD249" s="66"/>
      <c r="BE249" s="17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178"/>
      <c r="BC250" s="72"/>
      <c r="BD250" s="66"/>
      <c r="BE250" s="17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178"/>
      <c r="BC251" s="72"/>
      <c r="BD251" s="66"/>
      <c r="BE251" s="17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178"/>
      <c r="BC252" s="72"/>
      <c r="BD252" s="66"/>
      <c r="BE252" s="17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178"/>
      <c r="BC253" s="72"/>
      <c r="BD253" s="66"/>
      <c r="BE253" s="17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178"/>
      <c r="BC254" s="72"/>
      <c r="BD254" s="66"/>
      <c r="BE254" s="17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178"/>
      <c r="BC255" s="72"/>
      <c r="BD255" s="66"/>
      <c r="BE255" s="17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178"/>
      <c r="BC256" s="72"/>
      <c r="BD256" s="66"/>
      <c r="BE256" s="17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178"/>
      <c r="BC257" s="72"/>
      <c r="BD257" s="66"/>
      <c r="BE257" s="17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178"/>
      <c r="BC258" s="72"/>
      <c r="BD258" s="66"/>
      <c r="BE258" s="17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178"/>
      <c r="BC259" s="72"/>
      <c r="BD259" s="66"/>
      <c r="BE259" s="17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178"/>
      <c r="BC260" s="72"/>
      <c r="BD260" s="66"/>
      <c r="BE260" s="17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178"/>
      <c r="BC261" s="72"/>
      <c r="BD261" s="66"/>
      <c r="BE261" s="17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178"/>
      <c r="BC262" s="72"/>
      <c r="BD262" s="66"/>
      <c r="BE262" s="17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178"/>
      <c r="BC263" s="72"/>
      <c r="BD263" s="66"/>
      <c r="BE263" s="17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178"/>
      <c r="BC264" s="72"/>
      <c r="BD264" s="66"/>
      <c r="BE264" s="17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178"/>
      <c r="BC265" s="72"/>
      <c r="BD265" s="66"/>
      <c r="BE265" s="17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178"/>
      <c r="BC266" s="72"/>
      <c r="BD266" s="66"/>
      <c r="BE266" s="17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178"/>
      <c r="BC267" s="72"/>
      <c r="BD267" s="66"/>
      <c r="BE267" s="17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178"/>
      <c r="BC268" s="72"/>
      <c r="BD268" s="66"/>
      <c r="BE268" s="17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178"/>
      <c r="BC269" s="72"/>
      <c r="BD269" s="66"/>
      <c r="BE269" s="17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178"/>
      <c r="BC270" s="72"/>
      <c r="BD270" s="66"/>
      <c r="BE270" s="17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178"/>
      <c r="BC271" s="72"/>
      <c r="BD271" s="66"/>
      <c r="BE271" s="17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178"/>
      <c r="BC272" s="72"/>
      <c r="BD272" s="66"/>
      <c r="BE272" s="17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178"/>
      <c r="BC273" s="72"/>
      <c r="BD273" s="66"/>
      <c r="BE273" s="17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178"/>
      <c r="BC274" s="72"/>
      <c r="BD274" s="66"/>
      <c r="BE274" s="17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178"/>
      <c r="BC275" s="72"/>
      <c r="BD275" s="66"/>
      <c r="BE275" s="17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178"/>
      <c r="BC276" s="72"/>
      <c r="BD276" s="66"/>
      <c r="BE276" s="17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178"/>
      <c r="BC277" s="72"/>
      <c r="BD277" s="66"/>
      <c r="BE277" s="17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178"/>
      <c r="BC278" s="72"/>
      <c r="BD278" s="66"/>
      <c r="BE278" s="17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178"/>
      <c r="BC279" s="72"/>
      <c r="BD279" s="66"/>
      <c r="BE279" s="17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178"/>
      <c r="BC280" s="72"/>
      <c r="BD280" s="66"/>
      <c r="BE280" s="17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178"/>
      <c r="BC281" s="72"/>
      <c r="BD281" s="66"/>
      <c r="BE281" s="17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178"/>
      <c r="BC282" s="72"/>
      <c r="BD282" s="66"/>
      <c r="BE282" s="17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178"/>
      <c r="BC283" s="72"/>
      <c r="BD283" s="66"/>
      <c r="BE283" s="17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178"/>
      <c r="BC284" s="72"/>
      <c r="BD284" s="66"/>
      <c r="BE284" s="17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178"/>
      <c r="BC285" s="72"/>
      <c r="BD285" s="66"/>
      <c r="BE285" s="17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178"/>
      <c r="BC286" s="72"/>
      <c r="BD286" s="66"/>
      <c r="BE286" s="17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178"/>
      <c r="BC287" s="72"/>
      <c r="BD287" s="66"/>
      <c r="BE287" s="17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178"/>
      <c r="BC288" s="72"/>
      <c r="BD288" s="66"/>
      <c r="BE288" s="17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178"/>
      <c r="BC289" s="72"/>
      <c r="BD289" s="66"/>
      <c r="BE289" s="17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H81" sqref="H81"/>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32" t="s">
        <v>874</v>
      </c>
      <c r="B1" s="232"/>
      <c r="C1" s="232"/>
      <c r="D1" s="232"/>
      <c r="E1" s="232"/>
      <c r="F1" s="232"/>
      <c r="G1" s="232"/>
      <c r="H1" s="232"/>
      <c r="I1" s="232"/>
      <c r="J1" s="232"/>
      <c r="K1" s="232"/>
      <c r="L1" s="232"/>
      <c r="M1" s="232"/>
      <c r="N1" s="232"/>
    </row>
    <row r="2" spans="1:14">
      <c r="A2" s="234" t="s">
        <v>875</v>
      </c>
      <c r="B2" s="234"/>
      <c r="C2" s="234"/>
      <c r="D2" s="234"/>
      <c r="E2" s="234"/>
      <c r="F2" s="234"/>
      <c r="G2" s="234"/>
      <c r="H2" s="234"/>
      <c r="I2" s="234"/>
      <c r="J2" s="234"/>
      <c r="K2" s="234"/>
      <c r="L2" s="234"/>
      <c r="M2" s="234"/>
      <c r="N2" s="234"/>
    </row>
    <row r="3" spans="1:14">
      <c r="A3" s="235" t="s">
        <v>847</v>
      </c>
      <c r="B3" s="235"/>
      <c r="C3" s="235"/>
      <c r="D3" s="235"/>
      <c r="E3" s="235"/>
      <c r="F3" s="235"/>
      <c r="G3" s="235"/>
      <c r="H3" s="235"/>
      <c r="I3" s="235"/>
      <c r="J3" s="235"/>
      <c r="K3" s="235"/>
      <c r="L3" s="235"/>
      <c r="M3" s="235"/>
      <c r="N3" s="235"/>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956</v>
      </c>
      <c r="B6" s="57" t="s">
        <v>884</v>
      </c>
      <c r="C6" s="8" t="s">
        <v>885</v>
      </c>
      <c r="D6" s="17" t="s">
        <v>886</v>
      </c>
      <c r="E6" s="38" t="s">
        <v>854</v>
      </c>
      <c r="F6" s="4"/>
      <c r="G6" s="8" t="s">
        <v>2424</v>
      </c>
      <c r="H6" s="8" t="s">
        <v>888</v>
      </c>
      <c r="I6" s="4"/>
      <c r="J6" s="17"/>
      <c r="K6" s="8"/>
      <c r="L6" s="8"/>
      <c r="M6" s="11"/>
      <c r="N6" s="32"/>
    </row>
    <row r="7" spans="1:14">
      <c r="A7" s="30" t="s">
        <v>957</v>
      </c>
      <c r="B7" s="57" t="s">
        <v>884</v>
      </c>
      <c r="C7" s="8" t="s">
        <v>885</v>
      </c>
      <c r="D7" s="18" t="s">
        <v>886</v>
      </c>
      <c r="E7" s="39" t="s">
        <v>858</v>
      </c>
      <c r="F7" s="5"/>
      <c r="G7" s="8" t="s">
        <v>2424</v>
      </c>
      <c r="H7" s="9" t="s">
        <v>888</v>
      </c>
      <c r="I7" s="5"/>
      <c r="J7" s="18"/>
      <c r="K7" s="9"/>
      <c r="L7" s="9"/>
      <c r="M7" s="12"/>
      <c r="N7" s="33"/>
    </row>
    <row r="8" spans="1:14">
      <c r="A8" s="30" t="s">
        <v>958</v>
      </c>
      <c r="B8" s="57" t="s">
        <v>884</v>
      </c>
      <c r="C8" s="8" t="s">
        <v>885</v>
      </c>
      <c r="D8" s="18" t="s">
        <v>886</v>
      </c>
      <c r="E8" s="39" t="s">
        <v>859</v>
      </c>
      <c r="F8" s="5"/>
      <c r="G8" s="8" t="s">
        <v>2424</v>
      </c>
      <c r="H8" s="9" t="s">
        <v>888</v>
      </c>
      <c r="I8" s="5"/>
      <c r="J8" s="18"/>
      <c r="K8" s="9"/>
      <c r="L8" s="9"/>
      <c r="M8" s="12"/>
      <c r="N8" s="33"/>
    </row>
    <row r="9" spans="1:14">
      <c r="A9" s="30" t="s">
        <v>959</v>
      </c>
      <c r="B9" s="57" t="s">
        <v>884</v>
      </c>
      <c r="C9" s="8" t="s">
        <v>885</v>
      </c>
      <c r="D9" s="18" t="s">
        <v>889</v>
      </c>
      <c r="E9" s="39" t="s">
        <v>854</v>
      </c>
      <c r="F9" s="5"/>
      <c r="G9" s="9" t="s">
        <v>890</v>
      </c>
      <c r="H9" s="9" t="s">
        <v>888</v>
      </c>
      <c r="I9" s="5"/>
      <c r="J9" s="18"/>
      <c r="K9" s="9"/>
      <c r="L9" s="9"/>
      <c r="M9" s="12"/>
      <c r="N9" s="33"/>
    </row>
    <row r="10" spans="1:14">
      <c r="A10" s="30" t="s">
        <v>960</v>
      </c>
      <c r="B10" s="57" t="s">
        <v>884</v>
      </c>
      <c r="C10" s="8" t="s">
        <v>885</v>
      </c>
      <c r="D10" s="18" t="s">
        <v>889</v>
      </c>
      <c r="E10" s="39" t="s">
        <v>858</v>
      </c>
      <c r="F10" s="5"/>
      <c r="G10" s="9" t="s">
        <v>890</v>
      </c>
      <c r="H10" s="9" t="s">
        <v>891</v>
      </c>
      <c r="I10" s="5"/>
      <c r="J10" s="18"/>
      <c r="K10" s="9"/>
      <c r="L10" s="9"/>
      <c r="M10" s="12"/>
      <c r="N10" s="33"/>
    </row>
    <row r="11" spans="1:14">
      <c r="A11" s="30" t="s">
        <v>961</v>
      </c>
      <c r="B11" s="57" t="s">
        <v>884</v>
      </c>
      <c r="C11" s="8" t="s">
        <v>885</v>
      </c>
      <c r="D11" s="18" t="s">
        <v>889</v>
      </c>
      <c r="E11" s="39" t="s">
        <v>859</v>
      </c>
      <c r="F11" s="5"/>
      <c r="G11" s="9" t="s">
        <v>890</v>
      </c>
      <c r="H11" s="9" t="s">
        <v>888</v>
      </c>
      <c r="I11" s="5"/>
      <c r="J11" s="18"/>
      <c r="K11" s="9"/>
      <c r="L11" s="9"/>
      <c r="M11" s="12"/>
      <c r="N11" s="33"/>
    </row>
    <row r="12" spans="1:14">
      <c r="A12" s="30" t="s">
        <v>962</v>
      </c>
      <c r="B12" s="57" t="s">
        <v>884</v>
      </c>
      <c r="C12" s="8" t="s">
        <v>885</v>
      </c>
      <c r="D12" s="18" t="s">
        <v>889</v>
      </c>
      <c r="E12" s="39" t="s">
        <v>861</v>
      </c>
      <c r="F12" s="5"/>
      <c r="G12" s="9" t="s">
        <v>890</v>
      </c>
      <c r="H12" s="9" t="s">
        <v>888</v>
      </c>
      <c r="I12" s="5"/>
      <c r="J12" s="18"/>
      <c r="K12" s="9"/>
      <c r="L12" s="9"/>
      <c r="M12" s="12"/>
      <c r="N12" s="33"/>
    </row>
    <row r="13" spans="1:14">
      <c r="A13" s="30" t="s">
        <v>963</v>
      </c>
      <c r="B13" s="57" t="s">
        <v>884</v>
      </c>
      <c r="C13" s="8" t="s">
        <v>885</v>
      </c>
      <c r="D13" s="18" t="s">
        <v>889</v>
      </c>
      <c r="E13" s="39" t="s">
        <v>862</v>
      </c>
      <c r="F13" s="5"/>
      <c r="G13" s="9" t="s">
        <v>887</v>
      </c>
      <c r="H13" s="9" t="s">
        <v>891</v>
      </c>
      <c r="I13" s="5"/>
      <c r="J13" s="18"/>
      <c r="K13" s="9"/>
      <c r="L13" s="9"/>
      <c r="M13" s="12"/>
      <c r="N13" s="33"/>
    </row>
    <row r="14" spans="1:14">
      <c r="A14" s="30" t="s">
        <v>964</v>
      </c>
      <c r="B14" s="57" t="s">
        <v>884</v>
      </c>
      <c r="C14" s="8" t="s">
        <v>885</v>
      </c>
      <c r="D14" s="18" t="s">
        <v>889</v>
      </c>
      <c r="E14" s="39" t="s">
        <v>863</v>
      </c>
      <c r="F14" s="5"/>
      <c r="G14" s="9" t="s">
        <v>890</v>
      </c>
      <c r="H14" s="9" t="s">
        <v>891</v>
      </c>
      <c r="I14" s="5"/>
      <c r="J14" s="18"/>
      <c r="K14" s="9"/>
      <c r="L14" s="9"/>
      <c r="M14" s="12"/>
      <c r="N14" s="33"/>
    </row>
    <row r="15" spans="1:14">
      <c r="A15" s="30" t="s">
        <v>965</v>
      </c>
      <c r="B15" s="57" t="s">
        <v>884</v>
      </c>
      <c r="C15" s="8" t="s">
        <v>885</v>
      </c>
      <c r="D15" s="18" t="s">
        <v>889</v>
      </c>
      <c r="E15" s="39" t="s">
        <v>864</v>
      </c>
      <c r="F15" s="5"/>
      <c r="G15" s="9" t="s">
        <v>890</v>
      </c>
      <c r="H15" s="9" t="s">
        <v>891</v>
      </c>
      <c r="I15" s="5"/>
      <c r="J15" s="18"/>
      <c r="K15" s="9"/>
      <c r="L15" s="9"/>
      <c r="M15" s="12"/>
      <c r="N15" s="33"/>
    </row>
    <row r="16" spans="1:14">
      <c r="A16" s="30" t="s">
        <v>966</v>
      </c>
      <c r="B16" s="57" t="s">
        <v>884</v>
      </c>
      <c r="C16" s="8" t="s">
        <v>885</v>
      </c>
      <c r="D16" s="18" t="s">
        <v>889</v>
      </c>
      <c r="E16" s="39" t="s">
        <v>865</v>
      </c>
      <c r="F16" s="5"/>
      <c r="G16" s="9" t="s">
        <v>890</v>
      </c>
      <c r="H16" s="9" t="s">
        <v>888</v>
      </c>
      <c r="I16" s="5"/>
      <c r="J16" s="18"/>
      <c r="K16" s="9"/>
      <c r="L16" s="9"/>
      <c r="M16" s="12"/>
      <c r="N16" s="33"/>
    </row>
    <row r="17" spans="1:14">
      <c r="A17" s="30" t="s">
        <v>967</v>
      </c>
      <c r="B17" s="57" t="s">
        <v>884</v>
      </c>
      <c r="C17" s="8" t="s">
        <v>885</v>
      </c>
      <c r="D17" s="18" t="s">
        <v>889</v>
      </c>
      <c r="E17" s="39" t="s">
        <v>892</v>
      </c>
      <c r="F17" s="5"/>
      <c r="G17" s="9" t="s">
        <v>887</v>
      </c>
      <c r="H17" s="9" t="s">
        <v>888</v>
      </c>
      <c r="I17" s="5"/>
      <c r="J17" s="18"/>
      <c r="K17" s="9"/>
      <c r="L17" s="9"/>
      <c r="M17" s="12"/>
      <c r="N17" s="33"/>
    </row>
    <row r="18" spans="1:14">
      <c r="A18" s="30" t="s">
        <v>968</v>
      </c>
      <c r="B18" s="57" t="s">
        <v>884</v>
      </c>
      <c r="C18" s="8" t="s">
        <v>885</v>
      </c>
      <c r="D18" s="18" t="s">
        <v>889</v>
      </c>
      <c r="E18" s="39" t="s">
        <v>893</v>
      </c>
      <c r="F18" s="5"/>
      <c r="G18" s="9" t="s">
        <v>894</v>
      </c>
      <c r="H18" s="9" t="s">
        <v>895</v>
      </c>
      <c r="I18" s="5"/>
      <c r="J18" s="18"/>
      <c r="K18" s="9"/>
      <c r="L18" s="9"/>
      <c r="M18" s="12"/>
      <c r="N18" s="33"/>
    </row>
    <row r="19" spans="1:14">
      <c r="A19" s="30" t="s">
        <v>969</v>
      </c>
      <c r="B19" s="57" t="s">
        <v>884</v>
      </c>
      <c r="C19" s="8" t="s">
        <v>885</v>
      </c>
      <c r="D19" s="18" t="s">
        <v>889</v>
      </c>
      <c r="E19" s="39" t="s">
        <v>896</v>
      </c>
      <c r="F19" s="5"/>
      <c r="G19" s="9" t="s">
        <v>894</v>
      </c>
      <c r="H19" s="9" t="s">
        <v>895</v>
      </c>
      <c r="I19" s="5"/>
      <c r="J19" s="18"/>
      <c r="K19" s="9"/>
      <c r="L19" s="9"/>
      <c r="M19" s="12"/>
      <c r="N19" s="33"/>
    </row>
    <row r="20" spans="1:14">
      <c r="A20" s="30" t="s">
        <v>970</v>
      </c>
      <c r="B20" s="57" t="s">
        <v>884</v>
      </c>
      <c r="C20" s="8" t="s">
        <v>885</v>
      </c>
      <c r="D20" s="18" t="s">
        <v>889</v>
      </c>
      <c r="E20" s="39" t="s">
        <v>897</v>
      </c>
      <c r="F20" s="5"/>
      <c r="G20" s="9" t="s">
        <v>894</v>
      </c>
      <c r="H20" s="9" t="s">
        <v>895</v>
      </c>
      <c r="I20" s="5"/>
      <c r="J20" s="18"/>
      <c r="K20" s="9"/>
      <c r="L20" s="9"/>
      <c r="M20" s="12"/>
      <c r="N20" s="33"/>
    </row>
    <row r="21" spans="1:14">
      <c r="A21" s="30" t="s">
        <v>971</v>
      </c>
      <c r="B21" s="57" t="s">
        <v>884</v>
      </c>
      <c r="C21" s="8" t="s">
        <v>885</v>
      </c>
      <c r="D21" s="18" t="s">
        <v>889</v>
      </c>
      <c r="E21" s="39" t="s">
        <v>898</v>
      </c>
      <c r="F21" s="5"/>
      <c r="G21" s="9" t="s">
        <v>887</v>
      </c>
      <c r="H21" s="9" t="s">
        <v>891</v>
      </c>
      <c r="I21" s="5"/>
      <c r="J21" s="18"/>
      <c r="K21" s="9"/>
      <c r="L21" s="9"/>
      <c r="M21" s="12"/>
      <c r="N21" s="33"/>
    </row>
    <row r="22" spans="1:14">
      <c r="A22" s="30" t="s">
        <v>972</v>
      </c>
      <c r="B22" s="57" t="s">
        <v>884</v>
      </c>
      <c r="C22" s="8" t="s">
        <v>885</v>
      </c>
      <c r="D22" s="18" t="s">
        <v>889</v>
      </c>
      <c r="E22" s="39" t="s">
        <v>899</v>
      </c>
      <c r="F22" s="5"/>
      <c r="G22" s="9" t="s">
        <v>887</v>
      </c>
      <c r="H22" s="9" t="s">
        <v>891</v>
      </c>
      <c r="I22" s="5"/>
      <c r="J22" s="18"/>
      <c r="K22" s="9"/>
      <c r="L22" s="9"/>
      <c r="M22" s="12"/>
      <c r="N22" s="33"/>
    </row>
    <row r="23" spans="1:14">
      <c r="A23" s="30" t="s">
        <v>973</v>
      </c>
      <c r="B23" s="57" t="s">
        <v>884</v>
      </c>
      <c r="C23" s="8" t="s">
        <v>885</v>
      </c>
      <c r="D23" s="18" t="s">
        <v>889</v>
      </c>
      <c r="E23" s="39" t="s">
        <v>900</v>
      </c>
      <c r="F23" s="5"/>
      <c r="G23" s="9" t="s">
        <v>887</v>
      </c>
      <c r="H23" s="9" t="s">
        <v>891</v>
      </c>
      <c r="I23" s="5"/>
      <c r="J23" s="18"/>
      <c r="K23" s="9"/>
      <c r="L23" s="9"/>
      <c r="M23" s="12"/>
      <c r="N23" s="33"/>
    </row>
    <row r="24" spans="1:14">
      <c r="A24" s="30" t="s">
        <v>974</v>
      </c>
      <c r="B24" s="57" t="s">
        <v>884</v>
      </c>
      <c r="C24" s="8" t="s">
        <v>885</v>
      </c>
      <c r="D24" s="18" t="s">
        <v>889</v>
      </c>
      <c r="E24" s="39" t="s">
        <v>901</v>
      </c>
      <c r="F24" s="5"/>
      <c r="G24" s="9" t="s">
        <v>890</v>
      </c>
      <c r="H24" s="9" t="s">
        <v>891</v>
      </c>
      <c r="I24" s="5"/>
      <c r="J24" s="18"/>
      <c r="K24" s="9"/>
      <c r="L24" s="9"/>
      <c r="M24" s="12"/>
      <c r="N24" s="33"/>
    </row>
    <row r="25" spans="1:14">
      <c r="A25" s="30" t="s">
        <v>975</v>
      </c>
      <c r="B25" s="57" t="s">
        <v>884</v>
      </c>
      <c r="C25" s="8" t="s">
        <v>885</v>
      </c>
      <c r="D25" s="18" t="s">
        <v>889</v>
      </c>
      <c r="E25" s="39" t="s">
        <v>902</v>
      </c>
      <c r="F25" s="5"/>
      <c r="G25" s="9" t="s">
        <v>890</v>
      </c>
      <c r="H25" s="9" t="s">
        <v>891</v>
      </c>
      <c r="I25" s="5"/>
      <c r="J25" s="18"/>
      <c r="K25" s="9"/>
      <c r="L25" s="9"/>
      <c r="M25" s="12"/>
      <c r="N25" s="33"/>
    </row>
    <row r="26" spans="1:14">
      <c r="A26" s="30" t="s">
        <v>976</v>
      </c>
      <c r="B26" s="57" t="s">
        <v>884</v>
      </c>
      <c r="C26" s="8" t="s">
        <v>885</v>
      </c>
      <c r="D26" s="18" t="s">
        <v>889</v>
      </c>
      <c r="E26" s="39" t="s">
        <v>903</v>
      </c>
      <c r="F26" s="5"/>
      <c r="G26" s="9" t="s">
        <v>890</v>
      </c>
      <c r="H26" s="9" t="s">
        <v>891</v>
      </c>
      <c r="I26" s="5"/>
      <c r="J26" s="18"/>
      <c r="K26" s="9"/>
      <c r="L26" s="9"/>
      <c r="M26" s="12"/>
      <c r="N26" s="33"/>
    </row>
    <row r="27" spans="1:14">
      <c r="A27" s="30" t="s">
        <v>977</v>
      </c>
      <c r="B27" s="57" t="s">
        <v>884</v>
      </c>
      <c r="C27" s="8" t="s">
        <v>885</v>
      </c>
      <c r="D27" s="18" t="s">
        <v>889</v>
      </c>
      <c r="E27" s="39" t="s">
        <v>904</v>
      </c>
      <c r="F27" s="5"/>
      <c r="G27" s="9" t="s">
        <v>887</v>
      </c>
      <c r="H27" s="9" t="s">
        <v>905</v>
      </c>
      <c r="I27" s="5"/>
      <c r="J27" s="18"/>
      <c r="K27" s="9"/>
      <c r="L27" s="9"/>
      <c r="M27" s="12"/>
      <c r="N27" s="33"/>
    </row>
    <row r="28" spans="1:14">
      <c r="A28" s="30" t="s">
        <v>978</v>
      </c>
      <c r="B28" s="57" t="s">
        <v>884</v>
      </c>
      <c r="C28" s="8" t="s">
        <v>885</v>
      </c>
      <c r="D28" s="18" t="s">
        <v>889</v>
      </c>
      <c r="E28" s="39" t="s">
        <v>906</v>
      </c>
      <c r="F28" s="5"/>
      <c r="G28" s="9" t="s">
        <v>890</v>
      </c>
      <c r="H28" s="9" t="s">
        <v>891</v>
      </c>
      <c r="I28" s="5"/>
      <c r="J28" s="18"/>
      <c r="K28" s="9"/>
      <c r="L28" s="9"/>
      <c r="M28" s="12"/>
      <c r="N28" s="33"/>
    </row>
    <row r="29" spans="1:14">
      <c r="A29" s="30" t="s">
        <v>979</v>
      </c>
      <c r="B29" s="57" t="s">
        <v>884</v>
      </c>
      <c r="C29" s="8" t="s">
        <v>885</v>
      </c>
      <c r="D29" s="18" t="s">
        <v>889</v>
      </c>
      <c r="E29" s="39" t="s">
        <v>907</v>
      </c>
      <c r="F29" s="5"/>
      <c r="G29" s="9" t="s">
        <v>890</v>
      </c>
      <c r="H29" s="9" t="s">
        <v>888</v>
      </c>
      <c r="I29" s="5"/>
      <c r="J29" s="18"/>
      <c r="K29" s="9"/>
      <c r="L29" s="9"/>
      <c r="M29" s="12"/>
      <c r="N29" s="33"/>
    </row>
    <row r="30" spans="1:14">
      <c r="A30" s="30" t="s">
        <v>980</v>
      </c>
      <c r="B30" s="57" t="s">
        <v>884</v>
      </c>
      <c r="C30" s="8" t="s">
        <v>885</v>
      </c>
      <c r="D30" s="18" t="s">
        <v>889</v>
      </c>
      <c r="E30" s="39" t="s">
        <v>908</v>
      </c>
      <c r="F30" s="5"/>
      <c r="G30" s="9" t="s">
        <v>890</v>
      </c>
      <c r="H30" s="9" t="s">
        <v>888</v>
      </c>
      <c r="I30" s="5"/>
      <c r="J30" s="18"/>
      <c r="K30" s="9"/>
      <c r="L30" s="9"/>
      <c r="M30" s="12"/>
      <c r="N30" s="33"/>
    </row>
    <row r="31" spans="1:14">
      <c r="A31" s="30" t="s">
        <v>981</v>
      </c>
      <c r="B31" s="57" t="s">
        <v>884</v>
      </c>
      <c r="C31" s="8" t="s">
        <v>885</v>
      </c>
      <c r="D31" s="18" t="s">
        <v>889</v>
      </c>
      <c r="E31" s="39" t="s">
        <v>909</v>
      </c>
      <c r="F31" s="5"/>
      <c r="G31" s="9" t="s">
        <v>887</v>
      </c>
      <c r="H31" s="9" t="s">
        <v>891</v>
      </c>
      <c r="I31" s="5"/>
      <c r="J31" s="18"/>
      <c r="K31" s="9"/>
      <c r="L31" s="9"/>
      <c r="M31" s="12"/>
      <c r="N31" s="33"/>
    </row>
    <row r="32" spans="1:14">
      <c r="A32" s="30" t="s">
        <v>982</v>
      </c>
      <c r="B32" s="57" t="s">
        <v>884</v>
      </c>
      <c r="C32" s="8" t="s">
        <v>885</v>
      </c>
      <c r="D32" s="18" t="s">
        <v>889</v>
      </c>
      <c r="E32" s="39" t="s">
        <v>910</v>
      </c>
      <c r="F32" s="5"/>
      <c r="G32" s="9" t="s">
        <v>887</v>
      </c>
      <c r="H32" s="9" t="s">
        <v>891</v>
      </c>
      <c r="I32" s="5"/>
      <c r="J32" s="18"/>
      <c r="K32" s="9"/>
      <c r="L32" s="9"/>
      <c r="M32" s="12"/>
      <c r="N32" s="33"/>
    </row>
    <row r="33" spans="1:14">
      <c r="A33" s="30" t="s">
        <v>983</v>
      </c>
      <c r="B33" s="57" t="s">
        <v>884</v>
      </c>
      <c r="C33" s="8" t="s">
        <v>885</v>
      </c>
      <c r="D33" s="18" t="s">
        <v>911</v>
      </c>
      <c r="E33" s="39" t="s">
        <v>854</v>
      </c>
      <c r="F33" s="5"/>
      <c r="G33" s="9" t="s">
        <v>890</v>
      </c>
      <c r="H33" s="9" t="s">
        <v>905</v>
      </c>
      <c r="I33" s="5"/>
      <c r="J33" s="18"/>
      <c r="K33" s="9"/>
      <c r="L33" s="9"/>
      <c r="M33" s="12"/>
      <c r="N33" s="33"/>
    </row>
    <row r="34" spans="1:14">
      <c r="A34" s="30" t="s">
        <v>984</v>
      </c>
      <c r="B34" s="57" t="s">
        <v>884</v>
      </c>
      <c r="C34" s="8" t="s">
        <v>885</v>
      </c>
      <c r="D34" s="18" t="s">
        <v>911</v>
      </c>
      <c r="E34" s="39" t="s">
        <v>858</v>
      </c>
      <c r="F34" s="5"/>
      <c r="G34" s="9" t="s">
        <v>890</v>
      </c>
      <c r="H34" s="9" t="s">
        <v>905</v>
      </c>
      <c r="I34" s="5"/>
      <c r="J34" s="18"/>
      <c r="K34" s="9"/>
      <c r="L34" s="9"/>
      <c r="M34" s="12"/>
      <c r="N34" s="33"/>
    </row>
    <row r="35" spans="1:14">
      <c r="A35" s="30" t="s">
        <v>985</v>
      </c>
      <c r="B35" s="57" t="s">
        <v>884</v>
      </c>
      <c r="C35" s="8" t="s">
        <v>885</v>
      </c>
      <c r="D35" s="18" t="s">
        <v>911</v>
      </c>
      <c r="E35" s="39" t="s">
        <v>859</v>
      </c>
      <c r="F35" s="5"/>
      <c r="G35" s="9" t="s">
        <v>890</v>
      </c>
      <c r="H35" s="9" t="s">
        <v>891</v>
      </c>
      <c r="I35" s="5"/>
      <c r="J35" s="18"/>
      <c r="K35" s="9"/>
      <c r="L35" s="9"/>
      <c r="M35" s="12"/>
      <c r="N35" s="33"/>
    </row>
    <row r="36" spans="1:14">
      <c r="A36" s="30" t="s">
        <v>986</v>
      </c>
      <c r="B36" s="57" t="s">
        <v>884</v>
      </c>
      <c r="C36" s="8" t="s">
        <v>885</v>
      </c>
      <c r="D36" s="18" t="s">
        <v>911</v>
      </c>
      <c r="E36" s="39" t="s">
        <v>861</v>
      </c>
      <c r="F36" s="5"/>
      <c r="G36" s="9" t="s">
        <v>890</v>
      </c>
      <c r="H36" s="9" t="s">
        <v>891</v>
      </c>
      <c r="I36" s="5"/>
      <c r="J36" s="18"/>
      <c r="K36" s="9"/>
      <c r="L36" s="9"/>
      <c r="M36" s="12"/>
      <c r="N36" s="33"/>
    </row>
    <row r="37" spans="1:14">
      <c r="A37" s="30" t="s">
        <v>987</v>
      </c>
      <c r="B37" s="57" t="s">
        <v>884</v>
      </c>
      <c r="C37" s="8" t="s">
        <v>885</v>
      </c>
      <c r="D37" s="18" t="s">
        <v>911</v>
      </c>
      <c r="E37" s="39" t="s">
        <v>862</v>
      </c>
      <c r="F37" s="5"/>
      <c r="G37" s="9" t="s">
        <v>894</v>
      </c>
      <c r="H37" s="9" t="s">
        <v>895</v>
      </c>
      <c r="I37" s="5"/>
      <c r="J37" s="18"/>
      <c r="K37" s="9"/>
      <c r="L37" s="9"/>
      <c r="M37" s="12"/>
      <c r="N37" s="33"/>
    </row>
    <row r="38" spans="1:14">
      <c r="A38" s="30" t="s">
        <v>988</v>
      </c>
      <c r="B38" s="57" t="s">
        <v>884</v>
      </c>
      <c r="C38" s="8" t="s">
        <v>885</v>
      </c>
      <c r="D38" s="18" t="s">
        <v>911</v>
      </c>
      <c r="E38" s="39" t="s">
        <v>863</v>
      </c>
      <c r="F38" s="5"/>
      <c r="G38" s="9" t="s">
        <v>894</v>
      </c>
      <c r="H38" s="9" t="s">
        <v>895</v>
      </c>
      <c r="I38" s="5"/>
      <c r="J38" s="18"/>
      <c r="K38" s="9"/>
      <c r="L38" s="9"/>
      <c r="M38" s="12"/>
      <c r="N38" s="33"/>
    </row>
    <row r="39" spans="1:14">
      <c r="A39" s="30" t="s">
        <v>989</v>
      </c>
      <c r="B39" s="57" t="s">
        <v>884</v>
      </c>
      <c r="C39" s="8" t="s">
        <v>885</v>
      </c>
      <c r="D39" s="18" t="s">
        <v>911</v>
      </c>
      <c r="E39" s="39" t="s">
        <v>864</v>
      </c>
      <c r="F39" s="5"/>
      <c r="G39" s="9" t="s">
        <v>887</v>
      </c>
      <c r="H39" s="9" t="s">
        <v>891</v>
      </c>
      <c r="I39" s="5"/>
      <c r="J39" s="18"/>
      <c r="K39" s="9"/>
      <c r="L39" s="9"/>
      <c r="M39" s="12"/>
      <c r="N39" s="33"/>
    </row>
    <row r="40" spans="1:14">
      <c r="A40" s="30" t="s">
        <v>990</v>
      </c>
      <c r="B40" s="57" t="s">
        <v>884</v>
      </c>
      <c r="C40" s="8" t="s">
        <v>885</v>
      </c>
      <c r="D40" s="18" t="s">
        <v>911</v>
      </c>
      <c r="E40" s="39" t="s">
        <v>865</v>
      </c>
      <c r="F40" s="5"/>
      <c r="G40" s="9" t="s">
        <v>890</v>
      </c>
      <c r="H40" s="9" t="s">
        <v>891</v>
      </c>
      <c r="I40" s="5"/>
      <c r="J40" s="18"/>
      <c r="K40" s="9"/>
      <c r="L40" s="9"/>
      <c r="M40" s="12"/>
      <c r="N40" s="33"/>
    </row>
    <row r="41" spans="1:14">
      <c r="A41" s="30" t="s">
        <v>991</v>
      </c>
      <c r="B41" s="57" t="s">
        <v>884</v>
      </c>
      <c r="C41" s="8" t="s">
        <v>885</v>
      </c>
      <c r="D41" s="18" t="s">
        <v>911</v>
      </c>
      <c r="E41" s="39" t="s">
        <v>892</v>
      </c>
      <c r="F41" s="5"/>
      <c r="G41" s="9" t="s">
        <v>887</v>
      </c>
      <c r="H41" s="9" t="s">
        <v>905</v>
      </c>
      <c r="I41" s="5"/>
      <c r="J41" s="18"/>
      <c r="K41" s="9"/>
      <c r="L41" s="9"/>
      <c r="M41" s="12"/>
      <c r="N41" s="33"/>
    </row>
    <row r="42" spans="1:14">
      <c r="A42" s="30" t="s">
        <v>992</v>
      </c>
      <c r="B42" s="57" t="s">
        <v>884</v>
      </c>
      <c r="C42" s="8" t="s">
        <v>885</v>
      </c>
      <c r="D42" s="18" t="s">
        <v>911</v>
      </c>
      <c r="E42" s="39" t="s">
        <v>893</v>
      </c>
      <c r="F42" s="5"/>
      <c r="G42" s="9" t="s">
        <v>887</v>
      </c>
      <c r="H42" s="9" t="s">
        <v>905</v>
      </c>
      <c r="I42" s="5"/>
      <c r="J42" s="18"/>
      <c r="K42" s="9"/>
      <c r="L42" s="9"/>
      <c r="M42" s="12"/>
      <c r="N42" s="33"/>
    </row>
    <row r="43" spans="1:14">
      <c r="A43" s="30" t="s">
        <v>993</v>
      </c>
      <c r="B43" s="57" t="s">
        <v>884</v>
      </c>
      <c r="C43" s="8" t="s">
        <v>885</v>
      </c>
      <c r="D43" s="18" t="s">
        <v>911</v>
      </c>
      <c r="E43" s="39" t="s">
        <v>896</v>
      </c>
      <c r="F43" s="5"/>
      <c r="G43" s="9" t="s">
        <v>887</v>
      </c>
      <c r="H43" s="9" t="s">
        <v>905</v>
      </c>
      <c r="I43" s="5"/>
      <c r="J43" s="18"/>
      <c r="K43" s="9"/>
      <c r="L43" s="9"/>
      <c r="M43" s="12"/>
      <c r="N43" s="33"/>
    </row>
    <row r="44" spans="1:14">
      <c r="A44" s="30" t="s">
        <v>994</v>
      </c>
      <c r="B44" s="57" t="s">
        <v>884</v>
      </c>
      <c r="C44" s="8" t="s">
        <v>885</v>
      </c>
      <c r="D44" s="18" t="s">
        <v>911</v>
      </c>
      <c r="E44" s="39" t="s">
        <v>897</v>
      </c>
      <c r="F44" s="5"/>
      <c r="G44" s="9" t="s">
        <v>890</v>
      </c>
      <c r="H44" s="9" t="s">
        <v>891</v>
      </c>
      <c r="I44" s="5"/>
      <c r="J44" s="18"/>
      <c r="K44" s="9"/>
      <c r="L44" s="9"/>
      <c r="M44" s="12"/>
      <c r="N44" s="33"/>
    </row>
    <row r="45" spans="1:14">
      <c r="A45" s="30" t="s">
        <v>995</v>
      </c>
      <c r="B45" s="57" t="s">
        <v>884</v>
      </c>
      <c r="C45" s="8" t="s">
        <v>885</v>
      </c>
      <c r="D45" s="18" t="s">
        <v>911</v>
      </c>
      <c r="E45" s="39" t="s">
        <v>898</v>
      </c>
      <c r="F45" s="5"/>
      <c r="G45" s="9" t="s">
        <v>887</v>
      </c>
      <c r="H45" s="9" t="s">
        <v>905</v>
      </c>
      <c r="I45" s="5"/>
      <c r="J45" s="18"/>
      <c r="K45" s="9"/>
      <c r="L45" s="9"/>
      <c r="M45" s="12"/>
      <c r="N45" s="33"/>
    </row>
    <row r="46" spans="1:14">
      <c r="A46" s="30" t="s">
        <v>996</v>
      </c>
      <c r="B46" s="57" t="s">
        <v>884</v>
      </c>
      <c r="C46" s="8" t="s">
        <v>885</v>
      </c>
      <c r="D46" s="18" t="s">
        <v>911</v>
      </c>
      <c r="E46" s="39" t="s">
        <v>899</v>
      </c>
      <c r="F46" s="5"/>
      <c r="G46" s="9" t="s">
        <v>890</v>
      </c>
      <c r="H46" s="9" t="s">
        <v>891</v>
      </c>
      <c r="I46" s="5"/>
      <c r="J46" s="18"/>
      <c r="K46" s="9"/>
      <c r="L46" s="9"/>
      <c r="M46" s="12"/>
      <c r="N46" s="33"/>
    </row>
    <row r="47" spans="1:14">
      <c r="A47" s="30" t="s">
        <v>997</v>
      </c>
      <c r="B47" s="57" t="s">
        <v>884</v>
      </c>
      <c r="C47" s="8" t="s">
        <v>885</v>
      </c>
      <c r="D47" s="18" t="s">
        <v>911</v>
      </c>
      <c r="E47" s="39" t="s">
        <v>900</v>
      </c>
      <c r="F47" s="5"/>
      <c r="G47" s="9" t="s">
        <v>890</v>
      </c>
      <c r="H47" s="9" t="s">
        <v>891</v>
      </c>
      <c r="I47" s="5"/>
      <c r="J47" s="18"/>
      <c r="K47" s="9"/>
      <c r="L47" s="9"/>
      <c r="M47" s="12"/>
      <c r="N47" s="33"/>
    </row>
    <row r="48" spans="1:14">
      <c r="A48" s="30" t="s">
        <v>998</v>
      </c>
      <c r="B48" s="57" t="s">
        <v>884</v>
      </c>
      <c r="C48" s="8" t="s">
        <v>885</v>
      </c>
      <c r="D48" s="18" t="s">
        <v>911</v>
      </c>
      <c r="E48" s="39" t="s">
        <v>901</v>
      </c>
      <c r="F48" s="5"/>
      <c r="G48" s="9" t="s">
        <v>890</v>
      </c>
      <c r="H48" s="9" t="s">
        <v>891</v>
      </c>
      <c r="I48" s="5"/>
      <c r="J48" s="18"/>
      <c r="K48" s="9"/>
      <c r="L48" s="9"/>
      <c r="M48" s="12"/>
      <c r="N48" s="33"/>
    </row>
    <row r="49" spans="1:14">
      <c r="A49" s="30" t="s">
        <v>999</v>
      </c>
      <c r="B49" s="57" t="s">
        <v>884</v>
      </c>
      <c r="C49" s="8" t="s">
        <v>885</v>
      </c>
      <c r="D49" s="18" t="s">
        <v>911</v>
      </c>
      <c r="E49" s="39" t="s">
        <v>902</v>
      </c>
      <c r="F49" s="5"/>
      <c r="G49" s="9" t="s">
        <v>890</v>
      </c>
      <c r="H49" s="9" t="s">
        <v>891</v>
      </c>
      <c r="I49" s="5"/>
      <c r="J49" s="18"/>
      <c r="K49" s="9"/>
      <c r="L49" s="9"/>
      <c r="M49" s="12"/>
      <c r="N49" s="33"/>
    </row>
    <row r="50" spans="1:14">
      <c r="A50" s="30" t="s">
        <v>1000</v>
      </c>
      <c r="B50" s="57" t="s">
        <v>884</v>
      </c>
      <c r="C50" s="8" t="s">
        <v>885</v>
      </c>
      <c r="D50" s="18" t="s">
        <v>911</v>
      </c>
      <c r="E50" s="39" t="s">
        <v>903</v>
      </c>
      <c r="F50" s="5"/>
      <c r="G50" s="9" t="s">
        <v>890</v>
      </c>
      <c r="H50" s="9" t="s">
        <v>891</v>
      </c>
      <c r="I50" s="5"/>
      <c r="J50" s="18"/>
      <c r="K50" s="9"/>
      <c r="L50" s="9"/>
      <c r="M50" s="12"/>
      <c r="N50" s="33"/>
    </row>
    <row r="51" spans="1:14">
      <c r="A51" s="30" t="s">
        <v>1001</v>
      </c>
      <c r="B51" s="57" t="s">
        <v>884</v>
      </c>
      <c r="C51" s="8" t="s">
        <v>885</v>
      </c>
      <c r="D51" s="18" t="s">
        <v>911</v>
      </c>
      <c r="E51" s="39" t="s">
        <v>904</v>
      </c>
      <c r="F51" s="5"/>
      <c r="G51" s="9" t="s">
        <v>890</v>
      </c>
      <c r="H51" s="9" t="s">
        <v>905</v>
      </c>
      <c r="I51" s="5"/>
      <c r="J51" s="18"/>
      <c r="K51" s="9"/>
      <c r="L51" s="9"/>
      <c r="M51" s="12"/>
      <c r="N51" s="33"/>
    </row>
    <row r="52" spans="1:14">
      <c r="A52" s="30" t="s">
        <v>1002</v>
      </c>
      <c r="B52" s="57" t="s">
        <v>884</v>
      </c>
      <c r="C52" s="8" t="s">
        <v>885</v>
      </c>
      <c r="D52" s="18" t="s">
        <v>911</v>
      </c>
      <c r="E52" s="39" t="s">
        <v>906</v>
      </c>
      <c r="F52" s="5"/>
      <c r="G52" s="9" t="s">
        <v>890</v>
      </c>
      <c r="H52" s="9" t="s">
        <v>905</v>
      </c>
      <c r="I52" s="5"/>
      <c r="J52" s="18"/>
      <c r="K52" s="9"/>
      <c r="L52" s="9"/>
      <c r="M52" s="12"/>
      <c r="N52" s="33"/>
    </row>
    <row r="53" spans="1:14">
      <c r="A53" s="30" t="s">
        <v>1003</v>
      </c>
      <c r="B53" s="57" t="s">
        <v>884</v>
      </c>
      <c r="C53" s="8" t="s">
        <v>885</v>
      </c>
      <c r="D53" s="18" t="s">
        <v>911</v>
      </c>
      <c r="E53" s="39" t="s">
        <v>907</v>
      </c>
      <c r="F53" s="5"/>
      <c r="G53" s="9" t="s">
        <v>890</v>
      </c>
      <c r="H53" s="9" t="s">
        <v>891</v>
      </c>
      <c r="I53" s="5"/>
      <c r="J53" s="18"/>
      <c r="K53" s="9"/>
      <c r="L53" s="9"/>
      <c r="M53" s="12"/>
      <c r="N53" s="33"/>
    </row>
    <row r="54" spans="1:14">
      <c r="A54" s="30" t="s">
        <v>1004</v>
      </c>
      <c r="B54" s="57" t="s">
        <v>884</v>
      </c>
      <c r="C54" s="8" t="s">
        <v>885</v>
      </c>
      <c r="D54" s="18" t="s">
        <v>911</v>
      </c>
      <c r="E54" s="39" t="s">
        <v>908</v>
      </c>
      <c r="F54" s="5"/>
      <c r="G54" s="9" t="s">
        <v>887</v>
      </c>
      <c r="H54" s="9" t="s">
        <v>905</v>
      </c>
      <c r="I54" s="5"/>
      <c r="J54" s="18"/>
      <c r="K54" s="9"/>
      <c r="L54" s="9"/>
      <c r="M54" s="12"/>
      <c r="N54" s="33"/>
    </row>
    <row r="55" spans="1:14">
      <c r="A55" s="30" t="s">
        <v>1005</v>
      </c>
      <c r="B55" s="57" t="s">
        <v>884</v>
      </c>
      <c r="C55" s="8" t="s">
        <v>885</v>
      </c>
      <c r="D55" s="18" t="s">
        <v>911</v>
      </c>
      <c r="E55" s="39" t="s">
        <v>909</v>
      </c>
      <c r="F55" s="5"/>
      <c r="G55" s="9" t="s">
        <v>894</v>
      </c>
      <c r="H55" s="9" t="s">
        <v>895</v>
      </c>
      <c r="I55" s="5"/>
      <c r="J55" s="18"/>
      <c r="K55" s="9"/>
      <c r="L55" s="9"/>
      <c r="M55" s="12"/>
      <c r="N55" s="33"/>
    </row>
    <row r="56" spans="1:14">
      <c r="A56" s="30" t="s">
        <v>1006</v>
      </c>
      <c r="B56" s="57" t="s">
        <v>884</v>
      </c>
      <c r="C56" s="8" t="s">
        <v>885</v>
      </c>
      <c r="D56" s="18" t="s">
        <v>911</v>
      </c>
      <c r="E56" s="39" t="s">
        <v>910</v>
      </c>
      <c r="F56" s="5"/>
      <c r="G56" s="9" t="s">
        <v>894</v>
      </c>
      <c r="H56" s="9" t="s">
        <v>895</v>
      </c>
      <c r="I56" s="5"/>
      <c r="J56" s="18"/>
      <c r="K56" s="9"/>
      <c r="L56" s="9"/>
      <c r="M56" s="12"/>
      <c r="N56" s="33"/>
    </row>
    <row r="57" spans="1:14">
      <c r="A57" s="30" t="s">
        <v>1007</v>
      </c>
      <c r="B57" s="57" t="s">
        <v>884</v>
      </c>
      <c r="C57" s="8" t="s">
        <v>885</v>
      </c>
      <c r="D57" s="18" t="s">
        <v>912</v>
      </c>
      <c r="E57" s="39" t="s">
        <v>854</v>
      </c>
      <c r="F57" s="5"/>
      <c r="G57" s="9" t="s">
        <v>890</v>
      </c>
      <c r="H57" s="9" t="s">
        <v>891</v>
      </c>
      <c r="I57" s="5"/>
      <c r="J57" s="18"/>
      <c r="K57" s="9"/>
      <c r="L57" s="9"/>
      <c r="M57" s="12"/>
      <c r="N57" s="33"/>
    </row>
    <row r="58" spans="1:14">
      <c r="A58" s="30" t="s">
        <v>1008</v>
      </c>
      <c r="B58" s="57" t="s">
        <v>884</v>
      </c>
      <c r="C58" s="8" t="s">
        <v>885</v>
      </c>
      <c r="D58" s="18" t="s">
        <v>912</v>
      </c>
      <c r="E58" s="39" t="s">
        <v>858</v>
      </c>
      <c r="F58" s="5"/>
      <c r="G58" s="9" t="s">
        <v>890</v>
      </c>
      <c r="H58" s="9" t="s">
        <v>891</v>
      </c>
      <c r="I58" s="5"/>
      <c r="J58" s="18"/>
      <c r="K58" s="9"/>
      <c r="L58" s="9"/>
      <c r="M58" s="12"/>
      <c r="N58" s="33"/>
    </row>
    <row r="59" spans="1:14">
      <c r="A59" s="30" t="s">
        <v>1009</v>
      </c>
      <c r="B59" s="57" t="s">
        <v>884</v>
      </c>
      <c r="C59" s="8" t="s">
        <v>885</v>
      </c>
      <c r="D59" s="18" t="s">
        <v>912</v>
      </c>
      <c r="E59" s="39" t="s">
        <v>859</v>
      </c>
      <c r="F59" s="5"/>
      <c r="G59" s="9" t="s">
        <v>890</v>
      </c>
      <c r="H59" s="9" t="s">
        <v>891</v>
      </c>
      <c r="I59" s="5"/>
      <c r="J59" s="18"/>
      <c r="K59" s="9"/>
      <c r="L59" s="9"/>
      <c r="M59" s="12"/>
      <c r="N59" s="33"/>
    </row>
    <row r="60" spans="1:14">
      <c r="A60" s="30" t="s">
        <v>1010</v>
      </c>
      <c r="B60" s="57" t="s">
        <v>884</v>
      </c>
      <c r="C60" s="8" t="s">
        <v>885</v>
      </c>
      <c r="D60" s="18" t="s">
        <v>912</v>
      </c>
      <c r="E60" s="39" t="s">
        <v>861</v>
      </c>
      <c r="F60" s="5"/>
      <c r="G60" s="9" t="s">
        <v>890</v>
      </c>
      <c r="H60" s="9" t="s">
        <v>905</v>
      </c>
      <c r="I60" s="5"/>
      <c r="J60" s="18"/>
      <c r="K60" s="9"/>
      <c r="L60" s="9"/>
      <c r="M60" s="12"/>
      <c r="N60" s="33"/>
    </row>
    <row r="61" spans="1:14">
      <c r="A61" s="30" t="s">
        <v>1011</v>
      </c>
      <c r="B61" s="57" t="s">
        <v>884</v>
      </c>
      <c r="C61" s="8" t="s">
        <v>885</v>
      </c>
      <c r="D61" s="18" t="s">
        <v>912</v>
      </c>
      <c r="E61" s="39" t="s">
        <v>862</v>
      </c>
      <c r="F61" s="5"/>
      <c r="G61" s="9" t="s">
        <v>890</v>
      </c>
      <c r="H61" s="9" t="s">
        <v>891</v>
      </c>
      <c r="I61" s="5"/>
      <c r="J61" s="18"/>
      <c r="K61" s="9"/>
      <c r="L61" s="9"/>
      <c r="M61" s="12"/>
      <c r="N61" s="33"/>
    </row>
    <row r="62" spans="1:14">
      <c r="A62" s="30" t="s">
        <v>1012</v>
      </c>
      <c r="B62" s="57" t="s">
        <v>884</v>
      </c>
      <c r="C62" s="8" t="s">
        <v>885</v>
      </c>
      <c r="D62" s="18" t="s">
        <v>912</v>
      </c>
      <c r="E62" s="39" t="s">
        <v>863</v>
      </c>
      <c r="F62" s="5"/>
      <c r="G62" s="9" t="s">
        <v>890</v>
      </c>
      <c r="H62" s="9" t="s">
        <v>888</v>
      </c>
      <c r="I62" s="5"/>
      <c r="J62" s="18"/>
      <c r="K62" s="9"/>
      <c r="L62" s="9"/>
      <c r="M62" s="12"/>
      <c r="N62" s="33"/>
    </row>
    <row r="63" spans="1:14">
      <c r="A63" s="30" t="s">
        <v>1013</v>
      </c>
      <c r="B63" s="57" t="s">
        <v>884</v>
      </c>
      <c r="C63" s="8" t="s">
        <v>885</v>
      </c>
      <c r="D63" s="18" t="s">
        <v>912</v>
      </c>
      <c r="E63" s="39" t="s">
        <v>864</v>
      </c>
      <c r="F63" s="5"/>
      <c r="G63" s="9" t="s">
        <v>890</v>
      </c>
      <c r="H63" s="9" t="s">
        <v>891</v>
      </c>
      <c r="I63" s="5"/>
      <c r="J63" s="18"/>
      <c r="K63" s="9"/>
      <c r="L63" s="9"/>
      <c r="M63" s="12"/>
      <c r="N63" s="33"/>
    </row>
    <row r="64" spans="1:14">
      <c r="A64" s="30" t="s">
        <v>1014</v>
      </c>
      <c r="B64" s="57" t="s">
        <v>884</v>
      </c>
      <c r="C64" s="8" t="s">
        <v>885</v>
      </c>
      <c r="D64" s="18" t="s">
        <v>912</v>
      </c>
      <c r="E64" s="39" t="s">
        <v>865</v>
      </c>
      <c r="F64" s="5"/>
      <c r="G64" s="9" t="s">
        <v>890</v>
      </c>
      <c r="H64" s="9" t="s">
        <v>891</v>
      </c>
      <c r="I64" s="5"/>
      <c r="J64" s="18"/>
      <c r="K64" s="9"/>
      <c r="L64" s="9"/>
      <c r="M64" s="12"/>
      <c r="N64" s="33"/>
    </row>
    <row r="65" spans="1:14">
      <c r="A65" s="30" t="s">
        <v>1015</v>
      </c>
      <c r="B65" s="57" t="s">
        <v>884</v>
      </c>
      <c r="C65" s="8" t="s">
        <v>885</v>
      </c>
      <c r="D65" s="18" t="s">
        <v>912</v>
      </c>
      <c r="E65" s="39" t="s">
        <v>892</v>
      </c>
      <c r="F65" s="5"/>
      <c r="G65" s="9" t="s">
        <v>890</v>
      </c>
      <c r="H65" s="9" t="s">
        <v>905</v>
      </c>
      <c r="I65" s="5"/>
      <c r="J65" s="18"/>
      <c r="K65" s="9"/>
      <c r="L65" s="9"/>
      <c r="M65" s="12"/>
      <c r="N65" s="33"/>
    </row>
    <row r="66" spans="1:14">
      <c r="A66" s="30" t="s">
        <v>1016</v>
      </c>
      <c r="B66" s="57" t="s">
        <v>884</v>
      </c>
      <c r="C66" s="8" t="s">
        <v>885</v>
      </c>
      <c r="D66" s="18" t="s">
        <v>912</v>
      </c>
      <c r="E66" s="39" t="s">
        <v>893</v>
      </c>
      <c r="F66" s="5"/>
      <c r="G66" s="9" t="s">
        <v>890</v>
      </c>
      <c r="H66" s="9" t="s">
        <v>888</v>
      </c>
      <c r="I66" s="5"/>
      <c r="J66" s="18"/>
      <c r="K66" s="9"/>
      <c r="L66" s="9"/>
      <c r="M66" s="12"/>
      <c r="N66" s="33"/>
    </row>
    <row r="67" spans="1:14">
      <c r="A67" s="30" t="s">
        <v>1017</v>
      </c>
      <c r="B67" s="57" t="s">
        <v>884</v>
      </c>
      <c r="C67" s="8" t="s">
        <v>885</v>
      </c>
      <c r="D67" s="18" t="s">
        <v>912</v>
      </c>
      <c r="E67" s="39" t="s">
        <v>896</v>
      </c>
      <c r="F67" s="5"/>
      <c r="G67" s="9" t="s">
        <v>890</v>
      </c>
      <c r="H67" s="9" t="s">
        <v>888</v>
      </c>
      <c r="I67" s="5"/>
      <c r="J67" s="18"/>
      <c r="K67" s="9"/>
      <c r="L67" s="9"/>
      <c r="M67" s="12"/>
      <c r="N67" s="33"/>
    </row>
    <row r="68" spans="1:14">
      <c r="A68" s="30" t="s">
        <v>1018</v>
      </c>
      <c r="B68" s="57" t="s">
        <v>884</v>
      </c>
      <c r="C68" s="8" t="s">
        <v>885</v>
      </c>
      <c r="D68" s="18" t="s">
        <v>912</v>
      </c>
      <c r="E68" s="39" t="s">
        <v>897</v>
      </c>
      <c r="F68" s="5"/>
      <c r="G68" s="9" t="s">
        <v>890</v>
      </c>
      <c r="H68" s="9" t="s">
        <v>888</v>
      </c>
      <c r="I68" s="5"/>
      <c r="J68" s="18"/>
      <c r="K68" s="9"/>
      <c r="L68" s="9"/>
      <c r="M68" s="12"/>
      <c r="N68" s="33"/>
    </row>
    <row r="69" spans="1:14">
      <c r="A69" s="30" t="s">
        <v>1019</v>
      </c>
      <c r="B69" s="57" t="s">
        <v>884</v>
      </c>
      <c r="C69" s="8" t="s">
        <v>885</v>
      </c>
      <c r="D69" s="18" t="s">
        <v>912</v>
      </c>
      <c r="E69" s="39" t="s">
        <v>898</v>
      </c>
      <c r="F69" s="5"/>
      <c r="G69" s="9" t="s">
        <v>890</v>
      </c>
      <c r="H69" s="9" t="s">
        <v>905</v>
      </c>
      <c r="I69" s="5"/>
      <c r="J69" s="18"/>
      <c r="K69" s="9"/>
      <c r="L69" s="9"/>
      <c r="M69" s="12"/>
      <c r="N69" s="33"/>
    </row>
    <row r="70" spans="1:14">
      <c r="A70" s="30" t="s">
        <v>1020</v>
      </c>
      <c r="B70" s="57" t="s">
        <v>884</v>
      </c>
      <c r="C70" s="8" t="s">
        <v>885</v>
      </c>
      <c r="D70" s="18" t="s">
        <v>912</v>
      </c>
      <c r="E70" s="39" t="s">
        <v>899</v>
      </c>
      <c r="F70" s="5"/>
      <c r="G70" s="9" t="s">
        <v>890</v>
      </c>
      <c r="H70" s="9" t="s">
        <v>891</v>
      </c>
      <c r="I70" s="5"/>
      <c r="J70" s="18"/>
      <c r="K70" s="9"/>
      <c r="L70" s="9"/>
      <c r="M70" s="12"/>
      <c r="N70" s="33"/>
    </row>
    <row r="71" spans="1:14">
      <c r="A71" s="30" t="s">
        <v>1021</v>
      </c>
      <c r="B71" s="57" t="s">
        <v>884</v>
      </c>
      <c r="C71" s="8" t="s">
        <v>885</v>
      </c>
      <c r="D71" s="18" t="s">
        <v>912</v>
      </c>
      <c r="E71" s="39" t="s">
        <v>900</v>
      </c>
      <c r="F71" s="5"/>
      <c r="G71" s="9" t="s">
        <v>890</v>
      </c>
      <c r="H71" s="9" t="s">
        <v>891</v>
      </c>
      <c r="I71" s="5"/>
      <c r="J71" s="18"/>
      <c r="K71" s="9"/>
      <c r="L71" s="9"/>
      <c r="M71" s="12"/>
      <c r="N71" s="33"/>
    </row>
    <row r="72" spans="1:14">
      <c r="A72" s="30" t="s">
        <v>1022</v>
      </c>
      <c r="B72" s="57" t="s">
        <v>884</v>
      </c>
      <c r="C72" s="8" t="s">
        <v>885</v>
      </c>
      <c r="D72" s="18" t="s">
        <v>912</v>
      </c>
      <c r="E72" s="39" t="s">
        <v>901</v>
      </c>
      <c r="F72" s="5"/>
      <c r="G72" s="9" t="s">
        <v>890</v>
      </c>
      <c r="H72" s="9" t="s">
        <v>891</v>
      </c>
      <c r="I72" s="5"/>
      <c r="J72" s="18"/>
      <c r="K72" s="9"/>
      <c r="L72" s="9"/>
      <c r="M72" s="12"/>
      <c r="N72" s="33"/>
    </row>
    <row r="73" spans="1:14">
      <c r="A73" s="30" t="s">
        <v>1023</v>
      </c>
      <c r="B73" s="57" t="s">
        <v>884</v>
      </c>
      <c r="C73" s="8" t="s">
        <v>885</v>
      </c>
      <c r="D73" s="18" t="s">
        <v>912</v>
      </c>
      <c r="E73" s="39" t="s">
        <v>902</v>
      </c>
      <c r="F73" s="5"/>
      <c r="G73" s="9" t="s">
        <v>887</v>
      </c>
      <c r="H73" s="9" t="s">
        <v>891</v>
      </c>
      <c r="I73" s="5"/>
      <c r="J73" s="18"/>
      <c r="K73" s="9"/>
      <c r="L73" s="9"/>
      <c r="M73" s="12"/>
      <c r="N73" s="33"/>
    </row>
    <row r="74" spans="1:14">
      <c r="A74" s="30" t="s">
        <v>1024</v>
      </c>
      <c r="B74" s="57" t="s">
        <v>884</v>
      </c>
      <c r="C74" s="8" t="s">
        <v>885</v>
      </c>
      <c r="D74" s="18" t="s">
        <v>912</v>
      </c>
      <c r="E74" s="39" t="s">
        <v>903</v>
      </c>
      <c r="F74" s="5"/>
      <c r="G74" s="9" t="s">
        <v>890</v>
      </c>
      <c r="H74" s="9" t="s">
        <v>891</v>
      </c>
      <c r="I74" s="5"/>
      <c r="J74" s="18"/>
      <c r="K74" s="9"/>
      <c r="L74" s="9"/>
      <c r="M74" s="12"/>
      <c r="N74" s="33"/>
    </row>
    <row r="75" spans="1:14">
      <c r="A75" s="30" t="s">
        <v>1025</v>
      </c>
      <c r="B75" s="57" t="s">
        <v>884</v>
      </c>
      <c r="C75" s="8" t="s">
        <v>885</v>
      </c>
      <c r="D75" s="18" t="s">
        <v>912</v>
      </c>
      <c r="E75" s="39" t="s">
        <v>904</v>
      </c>
      <c r="F75" s="5"/>
      <c r="G75" s="9" t="s">
        <v>890</v>
      </c>
      <c r="H75" s="9" t="s">
        <v>905</v>
      </c>
      <c r="I75" s="5"/>
      <c r="J75" s="18"/>
      <c r="K75" s="9"/>
      <c r="L75" s="9"/>
      <c r="M75" s="12"/>
      <c r="N75" s="33"/>
    </row>
    <row r="76" spans="1:14">
      <c r="A76" s="30" t="s">
        <v>1026</v>
      </c>
      <c r="B76" s="57" t="s">
        <v>884</v>
      </c>
      <c r="C76" s="8" t="s">
        <v>885</v>
      </c>
      <c r="D76" s="18" t="s">
        <v>912</v>
      </c>
      <c r="E76" s="39" t="s">
        <v>906</v>
      </c>
      <c r="F76" s="5"/>
      <c r="G76" s="9" t="s">
        <v>890</v>
      </c>
      <c r="H76" s="9" t="s">
        <v>891</v>
      </c>
      <c r="I76" s="5"/>
      <c r="J76" s="18"/>
      <c r="K76" s="9"/>
      <c r="L76" s="9"/>
      <c r="M76" s="12"/>
      <c r="N76" s="33"/>
    </row>
    <row r="77" spans="1:14">
      <c r="A77" s="30" t="s">
        <v>1027</v>
      </c>
      <c r="B77" s="57" t="s">
        <v>884</v>
      </c>
      <c r="C77" s="8" t="s">
        <v>885</v>
      </c>
      <c r="D77" s="18" t="s">
        <v>912</v>
      </c>
      <c r="E77" s="39" t="s">
        <v>907</v>
      </c>
      <c r="F77" s="5"/>
      <c r="G77" s="9" t="s">
        <v>890</v>
      </c>
      <c r="H77" s="9" t="s">
        <v>891</v>
      </c>
      <c r="I77" s="5"/>
      <c r="J77" s="18"/>
      <c r="K77" s="9"/>
      <c r="L77" s="9"/>
      <c r="M77" s="12"/>
      <c r="N77" s="33"/>
    </row>
    <row r="78" spans="1:14">
      <c r="A78" s="30" t="s">
        <v>1028</v>
      </c>
      <c r="B78" s="57" t="s">
        <v>884</v>
      </c>
      <c r="C78" s="8" t="s">
        <v>885</v>
      </c>
      <c r="D78" s="18" t="s">
        <v>912</v>
      </c>
      <c r="E78" s="39" t="s">
        <v>908</v>
      </c>
      <c r="F78" s="5"/>
      <c r="G78" s="9" t="s">
        <v>890</v>
      </c>
      <c r="H78" s="9" t="s">
        <v>891</v>
      </c>
      <c r="I78" s="5"/>
      <c r="J78" s="18"/>
      <c r="K78" s="9"/>
      <c r="L78" s="9"/>
      <c r="M78" s="12"/>
      <c r="N78" s="33"/>
    </row>
    <row r="79" spans="1:14">
      <c r="A79" s="30" t="s">
        <v>1029</v>
      </c>
      <c r="B79" s="57" t="s">
        <v>884</v>
      </c>
      <c r="C79" s="8" t="s">
        <v>885</v>
      </c>
      <c r="D79" s="18" t="s">
        <v>912</v>
      </c>
      <c r="E79" s="39" t="s">
        <v>909</v>
      </c>
      <c r="F79" s="5"/>
      <c r="G79" s="9" t="s">
        <v>887</v>
      </c>
      <c r="H79" s="9" t="s">
        <v>905</v>
      </c>
      <c r="I79" s="5"/>
      <c r="J79" s="18"/>
      <c r="K79" s="9"/>
      <c r="L79" s="9"/>
      <c r="M79" s="12"/>
      <c r="N79" s="33"/>
    </row>
    <row r="80" spans="1:14">
      <c r="A80" s="30" t="s">
        <v>1030</v>
      </c>
      <c r="B80" s="57" t="s">
        <v>884</v>
      </c>
      <c r="C80" s="8" t="s">
        <v>885</v>
      </c>
      <c r="D80" s="18" t="s">
        <v>912</v>
      </c>
      <c r="E80" s="39" t="s">
        <v>910</v>
      </c>
      <c r="F80" s="5"/>
      <c r="G80" s="9" t="s">
        <v>887</v>
      </c>
      <c r="H80" s="9" t="s">
        <v>905</v>
      </c>
      <c r="I80" s="5"/>
      <c r="J80" s="18"/>
      <c r="K80" s="9"/>
      <c r="L80" s="9"/>
      <c r="M80" s="12"/>
      <c r="N80" s="33"/>
    </row>
    <row r="81" spans="1:14">
      <c r="A81" s="30" t="s">
        <v>1031</v>
      </c>
      <c r="B81" s="57" t="s">
        <v>884</v>
      </c>
      <c r="C81" s="8" t="s">
        <v>885</v>
      </c>
      <c r="D81" s="18" t="s">
        <v>913</v>
      </c>
      <c r="E81" s="39" t="s">
        <v>854</v>
      </c>
      <c r="F81" s="5"/>
      <c r="G81" s="9" t="s">
        <v>890</v>
      </c>
      <c r="H81" s="9" t="s">
        <v>891</v>
      </c>
      <c r="I81" s="5"/>
      <c r="J81" s="18"/>
      <c r="K81" s="9"/>
      <c r="L81" s="9"/>
      <c r="M81" s="12"/>
      <c r="N81" s="33"/>
    </row>
    <row r="82" spans="1:14">
      <c r="A82" s="30" t="s">
        <v>1032</v>
      </c>
      <c r="B82" s="57" t="s">
        <v>884</v>
      </c>
      <c r="C82" s="8" t="s">
        <v>885</v>
      </c>
      <c r="D82" s="18" t="s">
        <v>913</v>
      </c>
      <c r="E82" s="39" t="s">
        <v>858</v>
      </c>
      <c r="F82" s="5"/>
      <c r="G82" s="9" t="s">
        <v>890</v>
      </c>
      <c r="H82" s="9" t="s">
        <v>888</v>
      </c>
      <c r="I82" s="5"/>
      <c r="J82" s="18"/>
      <c r="K82" s="9"/>
      <c r="L82" s="9"/>
      <c r="M82" s="12"/>
      <c r="N82" s="33"/>
    </row>
    <row r="83" spans="1:14">
      <c r="A83" s="30" t="s">
        <v>1033</v>
      </c>
      <c r="B83" s="57" t="s">
        <v>884</v>
      </c>
      <c r="C83" s="8" t="s">
        <v>885</v>
      </c>
      <c r="D83" s="18" t="s">
        <v>913</v>
      </c>
      <c r="E83" s="39" t="s">
        <v>859</v>
      </c>
      <c r="F83" s="5"/>
      <c r="G83" s="9" t="s">
        <v>887</v>
      </c>
      <c r="H83" s="9" t="s">
        <v>888</v>
      </c>
      <c r="I83" s="5"/>
      <c r="J83" s="18"/>
      <c r="K83" s="9"/>
      <c r="L83" s="9"/>
      <c r="M83" s="12"/>
      <c r="N83" s="33"/>
    </row>
    <row r="84" spans="1:14">
      <c r="A84" s="30" t="s">
        <v>1034</v>
      </c>
      <c r="B84" s="57" t="s">
        <v>884</v>
      </c>
      <c r="C84" s="8" t="s">
        <v>885</v>
      </c>
      <c r="D84" s="18" t="s">
        <v>913</v>
      </c>
      <c r="E84" s="39" t="s">
        <v>861</v>
      </c>
      <c r="F84" s="5"/>
      <c r="G84" s="9" t="s">
        <v>890</v>
      </c>
      <c r="H84" s="9" t="s">
        <v>888</v>
      </c>
      <c r="I84" s="5"/>
      <c r="J84" s="18"/>
      <c r="K84" s="9"/>
      <c r="L84" s="9"/>
      <c r="M84" s="12"/>
      <c r="N84" s="33"/>
    </row>
    <row r="85" spans="1:14">
      <c r="A85" s="30" t="s">
        <v>1035</v>
      </c>
      <c r="B85" s="57" t="s">
        <v>884</v>
      </c>
      <c r="C85" s="8" t="s">
        <v>885</v>
      </c>
      <c r="D85" s="18" t="s">
        <v>913</v>
      </c>
      <c r="E85" s="39" t="s">
        <v>862</v>
      </c>
      <c r="F85" s="5"/>
      <c r="G85" s="9" t="s">
        <v>890</v>
      </c>
      <c r="H85" s="9" t="s">
        <v>888</v>
      </c>
      <c r="I85" s="5"/>
      <c r="J85" s="18"/>
      <c r="K85" s="9"/>
      <c r="L85" s="9"/>
      <c r="M85" s="12"/>
      <c r="N85" s="33"/>
    </row>
    <row r="86" spans="1:14">
      <c r="A86" s="30" t="s">
        <v>1036</v>
      </c>
      <c r="B86" s="57" t="s">
        <v>884</v>
      </c>
      <c r="C86" s="8" t="s">
        <v>885</v>
      </c>
      <c r="D86" s="18" t="s">
        <v>913</v>
      </c>
      <c r="E86" s="39" t="s">
        <v>863</v>
      </c>
      <c r="F86" s="5"/>
      <c r="G86" s="9" t="s">
        <v>890</v>
      </c>
      <c r="H86" s="9" t="s">
        <v>888</v>
      </c>
      <c r="I86" s="5"/>
      <c r="J86" s="18"/>
      <c r="K86" s="9"/>
      <c r="L86" s="9"/>
      <c r="M86" s="12"/>
      <c r="N86" s="33"/>
    </row>
    <row r="87" spans="1:14">
      <c r="A87" s="30" t="s">
        <v>1037</v>
      </c>
      <c r="B87" s="57" t="s">
        <v>884</v>
      </c>
      <c r="C87" s="8" t="s">
        <v>885</v>
      </c>
      <c r="D87" s="18" t="s">
        <v>913</v>
      </c>
      <c r="E87" s="39" t="s">
        <v>864</v>
      </c>
      <c r="F87" s="5"/>
      <c r="G87" s="9" t="s">
        <v>890</v>
      </c>
      <c r="H87" s="9" t="s">
        <v>888</v>
      </c>
      <c r="I87" s="5"/>
      <c r="J87" s="18"/>
      <c r="K87" s="9"/>
      <c r="L87" s="9"/>
      <c r="M87" s="12"/>
      <c r="N87" s="33"/>
    </row>
    <row r="88" spans="1:14">
      <c r="A88" s="30" t="s">
        <v>1038</v>
      </c>
      <c r="B88" s="57" t="s">
        <v>884</v>
      </c>
      <c r="C88" s="8" t="s">
        <v>885</v>
      </c>
      <c r="D88" s="18" t="s">
        <v>913</v>
      </c>
      <c r="E88" s="39" t="s">
        <v>865</v>
      </c>
      <c r="F88" s="5"/>
      <c r="G88" s="9" t="s">
        <v>890</v>
      </c>
      <c r="H88" s="9" t="s">
        <v>888</v>
      </c>
      <c r="I88" s="5"/>
      <c r="J88" s="18"/>
      <c r="K88" s="9"/>
      <c r="L88" s="9"/>
      <c r="M88" s="12"/>
      <c r="N88" s="33"/>
    </row>
    <row r="89" spans="1:14">
      <c r="A89" s="30" t="s">
        <v>1039</v>
      </c>
      <c r="B89" s="57" t="s">
        <v>884</v>
      </c>
      <c r="C89" s="8" t="s">
        <v>885</v>
      </c>
      <c r="D89" s="18" t="s">
        <v>913</v>
      </c>
      <c r="E89" s="39" t="s">
        <v>892</v>
      </c>
      <c r="F89" s="5"/>
      <c r="G89" s="9" t="s">
        <v>890</v>
      </c>
      <c r="H89" s="9" t="s">
        <v>888</v>
      </c>
      <c r="I89" s="5"/>
      <c r="J89" s="18"/>
      <c r="K89" s="9"/>
      <c r="L89" s="9"/>
      <c r="M89" s="12"/>
      <c r="N89" s="33"/>
    </row>
    <row r="90" spans="1:14">
      <c r="A90" s="30" t="s">
        <v>1040</v>
      </c>
      <c r="B90" s="57" t="s">
        <v>884</v>
      </c>
      <c r="C90" s="8" t="s">
        <v>885</v>
      </c>
      <c r="D90" s="18" t="s">
        <v>913</v>
      </c>
      <c r="E90" s="39" t="s">
        <v>893</v>
      </c>
      <c r="F90" s="5"/>
      <c r="G90" s="9" t="s">
        <v>887</v>
      </c>
      <c r="H90" s="9" t="s">
        <v>891</v>
      </c>
      <c r="I90" s="5"/>
      <c r="J90" s="18"/>
      <c r="K90" s="9"/>
      <c r="L90" s="9"/>
      <c r="M90" s="12"/>
      <c r="N90" s="33"/>
    </row>
    <row r="91" spans="1:14">
      <c r="A91" s="30" t="s">
        <v>1041</v>
      </c>
      <c r="B91" s="57" t="s">
        <v>884</v>
      </c>
      <c r="C91" s="8" t="s">
        <v>885</v>
      </c>
      <c r="D91" s="18" t="s">
        <v>913</v>
      </c>
      <c r="E91" s="39" t="s">
        <v>896</v>
      </c>
      <c r="F91" s="5"/>
      <c r="G91" s="9" t="s">
        <v>887</v>
      </c>
      <c r="H91" s="9" t="s">
        <v>891</v>
      </c>
      <c r="I91" s="5"/>
      <c r="J91" s="18"/>
      <c r="K91" s="9"/>
      <c r="L91" s="9"/>
      <c r="M91" s="12"/>
      <c r="N91" s="33"/>
    </row>
    <row r="92" spans="1:14">
      <c r="A92" s="30" t="s">
        <v>1042</v>
      </c>
      <c r="B92" s="57" t="s">
        <v>884</v>
      </c>
      <c r="C92" s="8" t="s">
        <v>885</v>
      </c>
      <c r="D92" s="18" t="s">
        <v>913</v>
      </c>
      <c r="E92" s="39" t="s">
        <v>897</v>
      </c>
      <c r="F92" s="5"/>
      <c r="G92" s="9" t="s">
        <v>887</v>
      </c>
      <c r="H92" s="9" t="s">
        <v>891</v>
      </c>
      <c r="I92" s="5"/>
      <c r="J92" s="18"/>
      <c r="K92" s="9"/>
      <c r="L92" s="9"/>
      <c r="M92" s="12"/>
      <c r="N92" s="33"/>
    </row>
    <row r="93" spans="1:14">
      <c r="A93" s="30" t="s">
        <v>1043</v>
      </c>
      <c r="B93" s="57" t="s">
        <v>884</v>
      </c>
      <c r="C93" s="8" t="s">
        <v>885</v>
      </c>
      <c r="D93" s="18" t="s">
        <v>913</v>
      </c>
      <c r="E93" s="39" t="s">
        <v>898</v>
      </c>
      <c r="F93" s="5"/>
      <c r="G93" s="9" t="s">
        <v>890</v>
      </c>
      <c r="H93" s="9" t="s">
        <v>888</v>
      </c>
      <c r="I93" s="5"/>
      <c r="J93" s="18"/>
      <c r="K93" s="9"/>
      <c r="L93" s="9"/>
      <c r="M93" s="12"/>
      <c r="N93" s="33"/>
    </row>
    <row r="94" spans="1:14">
      <c r="A94" s="30" t="s">
        <v>1044</v>
      </c>
      <c r="B94" s="57" t="s">
        <v>884</v>
      </c>
      <c r="C94" s="8" t="s">
        <v>885</v>
      </c>
      <c r="D94" s="18" t="s">
        <v>913</v>
      </c>
      <c r="E94" s="39" t="s">
        <v>899</v>
      </c>
      <c r="F94" s="5"/>
      <c r="G94" s="9" t="s">
        <v>890</v>
      </c>
      <c r="H94" s="9" t="s">
        <v>888</v>
      </c>
      <c r="I94" s="5"/>
      <c r="J94" s="18"/>
      <c r="K94" s="9"/>
      <c r="L94" s="9"/>
      <c r="M94" s="12"/>
      <c r="N94" s="33"/>
    </row>
    <row r="95" spans="1:14">
      <c r="A95" s="30" t="s">
        <v>1045</v>
      </c>
      <c r="B95" s="57" t="s">
        <v>884</v>
      </c>
      <c r="C95" s="8" t="s">
        <v>885</v>
      </c>
      <c r="D95" s="18" t="s">
        <v>913</v>
      </c>
      <c r="E95" s="39" t="s">
        <v>900</v>
      </c>
      <c r="F95" s="5"/>
      <c r="G95" s="9" t="s">
        <v>890</v>
      </c>
      <c r="H95" s="9" t="s">
        <v>888</v>
      </c>
      <c r="I95" s="5"/>
      <c r="J95" s="18"/>
      <c r="K95" s="9"/>
      <c r="L95" s="9"/>
      <c r="M95" s="12"/>
      <c r="N95" s="33"/>
    </row>
    <row r="96" spans="1:14">
      <c r="A96" s="30" t="s">
        <v>1046</v>
      </c>
      <c r="B96" s="57" t="s">
        <v>884</v>
      </c>
      <c r="C96" s="8" t="s">
        <v>885</v>
      </c>
      <c r="D96" s="18" t="s">
        <v>913</v>
      </c>
      <c r="E96" s="39" t="s">
        <v>901</v>
      </c>
      <c r="F96" s="5"/>
      <c r="G96" s="9" t="s">
        <v>890</v>
      </c>
      <c r="H96" s="9" t="s">
        <v>891</v>
      </c>
      <c r="I96" s="5"/>
      <c r="J96" s="18"/>
      <c r="K96" s="9"/>
      <c r="L96" s="9"/>
      <c r="M96" s="12"/>
      <c r="N96" s="33"/>
    </row>
    <row r="97" spans="1:14">
      <c r="A97" s="30" t="s">
        <v>1047</v>
      </c>
      <c r="B97" s="57" t="s">
        <v>884</v>
      </c>
      <c r="C97" s="8" t="s">
        <v>885</v>
      </c>
      <c r="D97" s="18" t="s">
        <v>913</v>
      </c>
      <c r="E97" s="39" t="s">
        <v>902</v>
      </c>
      <c r="F97" s="5"/>
      <c r="G97" s="9" t="s">
        <v>890</v>
      </c>
      <c r="H97" s="9" t="s">
        <v>888</v>
      </c>
      <c r="I97" s="5"/>
      <c r="J97" s="18"/>
      <c r="K97" s="9"/>
      <c r="L97" s="9"/>
      <c r="M97" s="12"/>
      <c r="N97" s="33"/>
    </row>
    <row r="98" spans="1:14">
      <c r="A98" s="30" t="s">
        <v>1048</v>
      </c>
      <c r="B98" s="57" t="s">
        <v>884</v>
      </c>
      <c r="C98" s="8" t="s">
        <v>885</v>
      </c>
      <c r="D98" s="18" t="s">
        <v>913</v>
      </c>
      <c r="E98" s="39" t="s">
        <v>903</v>
      </c>
      <c r="F98" s="5"/>
      <c r="G98" s="9" t="s">
        <v>890</v>
      </c>
      <c r="H98" s="9" t="s">
        <v>888</v>
      </c>
      <c r="I98" s="5"/>
      <c r="J98" s="18"/>
      <c r="K98" s="9"/>
      <c r="L98" s="9"/>
      <c r="M98" s="12"/>
      <c r="N98" s="33"/>
    </row>
    <row r="99" spans="1:14">
      <c r="A99" s="30" t="s">
        <v>1049</v>
      </c>
      <c r="B99" s="57" t="s">
        <v>884</v>
      </c>
      <c r="C99" s="8" t="s">
        <v>885</v>
      </c>
      <c r="D99" s="18" t="s">
        <v>913</v>
      </c>
      <c r="E99" s="39" t="s">
        <v>904</v>
      </c>
      <c r="F99" s="5"/>
      <c r="G99" s="9" t="s">
        <v>890</v>
      </c>
      <c r="H99" s="9" t="s">
        <v>888</v>
      </c>
      <c r="I99" s="5"/>
      <c r="J99" s="18"/>
      <c r="K99" s="9"/>
      <c r="L99" s="9"/>
      <c r="M99" s="12"/>
      <c r="N99" s="33"/>
    </row>
    <row r="100" spans="1:14">
      <c r="A100" s="30" t="s">
        <v>1050</v>
      </c>
      <c r="B100" s="57" t="s">
        <v>884</v>
      </c>
      <c r="C100" s="8" t="s">
        <v>885</v>
      </c>
      <c r="D100" s="18" t="s">
        <v>913</v>
      </c>
      <c r="E100" s="39" t="s">
        <v>906</v>
      </c>
      <c r="F100" s="5"/>
      <c r="G100" s="9" t="s">
        <v>887</v>
      </c>
      <c r="H100" s="9" t="s">
        <v>888</v>
      </c>
      <c r="I100" s="5"/>
      <c r="J100" s="18"/>
      <c r="K100" s="9"/>
      <c r="L100" s="9"/>
      <c r="M100" s="12"/>
      <c r="N100" s="33"/>
    </row>
    <row r="101" spans="1:14">
      <c r="A101" s="30" t="s">
        <v>1051</v>
      </c>
      <c r="B101" s="57" t="s">
        <v>884</v>
      </c>
      <c r="C101" s="8" t="s">
        <v>885</v>
      </c>
      <c r="D101" s="18" t="s">
        <v>913</v>
      </c>
      <c r="E101" s="39" t="s">
        <v>907</v>
      </c>
      <c r="F101" s="5"/>
      <c r="G101" s="9" t="s">
        <v>887</v>
      </c>
      <c r="H101" s="9" t="s">
        <v>891</v>
      </c>
      <c r="I101" s="5"/>
      <c r="J101" s="18"/>
      <c r="K101" s="9"/>
      <c r="L101" s="9"/>
      <c r="M101" s="12"/>
      <c r="N101" s="33"/>
    </row>
    <row r="102" spans="1:14">
      <c r="A102" s="30" t="s">
        <v>1052</v>
      </c>
      <c r="B102" s="57" t="s">
        <v>884</v>
      </c>
      <c r="C102" s="8" t="s">
        <v>885</v>
      </c>
      <c r="D102" s="18" t="s">
        <v>913</v>
      </c>
      <c r="E102" s="39" t="s">
        <v>908</v>
      </c>
      <c r="F102" s="5"/>
      <c r="G102" s="9" t="s">
        <v>890</v>
      </c>
      <c r="H102" s="9" t="s">
        <v>888</v>
      </c>
      <c r="I102" s="5"/>
      <c r="J102" s="18"/>
      <c r="K102" s="9"/>
      <c r="L102" s="9"/>
      <c r="M102" s="12"/>
      <c r="N102" s="33"/>
    </row>
    <row r="103" spans="1:14">
      <c r="A103" s="30" t="s">
        <v>1053</v>
      </c>
      <c r="B103" s="57" t="s">
        <v>884</v>
      </c>
      <c r="C103" s="8" t="s">
        <v>885</v>
      </c>
      <c r="D103" s="18" t="s">
        <v>913</v>
      </c>
      <c r="E103" s="39" t="s">
        <v>909</v>
      </c>
      <c r="F103" s="5"/>
      <c r="G103" s="9" t="s">
        <v>887</v>
      </c>
      <c r="H103" s="9" t="s">
        <v>891</v>
      </c>
      <c r="I103" s="5"/>
      <c r="J103" s="18"/>
      <c r="K103" s="9"/>
      <c r="L103" s="9"/>
      <c r="M103" s="12"/>
      <c r="N103" s="33"/>
    </row>
    <row r="104" spans="1:14">
      <c r="A104" s="30" t="s">
        <v>1054</v>
      </c>
      <c r="B104" s="57" t="s">
        <v>884</v>
      </c>
      <c r="C104" s="8" t="s">
        <v>885</v>
      </c>
      <c r="D104" s="18" t="s">
        <v>913</v>
      </c>
      <c r="E104" s="39" t="s">
        <v>910</v>
      </c>
      <c r="F104" s="5"/>
      <c r="G104" s="9" t="s">
        <v>890</v>
      </c>
      <c r="H104" s="9" t="s">
        <v>888</v>
      </c>
      <c r="I104" s="5"/>
      <c r="J104" s="18"/>
      <c r="K104" s="9"/>
      <c r="L104" s="9"/>
      <c r="M104" s="12"/>
      <c r="N104" s="33"/>
    </row>
    <row r="105" spans="1:14">
      <c r="A105" s="30" t="s">
        <v>1055</v>
      </c>
      <c r="B105" s="57" t="s">
        <v>884</v>
      </c>
      <c r="C105" s="8" t="s">
        <v>914</v>
      </c>
      <c r="D105" s="18" t="s">
        <v>886</v>
      </c>
      <c r="E105" s="39" t="s">
        <v>854</v>
      </c>
      <c r="F105" s="5"/>
      <c r="G105" s="9" t="s">
        <v>894</v>
      </c>
      <c r="H105" s="9" t="s">
        <v>895</v>
      </c>
      <c r="I105" s="5"/>
      <c r="J105" s="18"/>
      <c r="K105" s="9"/>
      <c r="L105" s="9"/>
      <c r="M105" s="12"/>
      <c r="N105" s="33"/>
    </row>
    <row r="106" spans="1:14">
      <c r="A106" s="30" t="s">
        <v>1056</v>
      </c>
      <c r="B106" s="57" t="s">
        <v>884</v>
      </c>
      <c r="C106" s="8" t="s">
        <v>914</v>
      </c>
      <c r="D106" s="18" t="s">
        <v>886</v>
      </c>
      <c r="E106" s="39" t="s">
        <v>858</v>
      </c>
      <c r="F106" s="5"/>
      <c r="G106" s="9" t="s">
        <v>890</v>
      </c>
      <c r="H106" s="9" t="s">
        <v>891</v>
      </c>
      <c r="I106" s="5"/>
      <c r="J106" s="18"/>
      <c r="K106" s="9"/>
      <c r="L106" s="9"/>
      <c r="M106" s="12"/>
      <c r="N106" s="33"/>
    </row>
    <row r="107" spans="1:14">
      <c r="A107" s="30" t="s">
        <v>1057</v>
      </c>
      <c r="B107" s="57" t="s">
        <v>884</v>
      </c>
      <c r="C107" s="8" t="s">
        <v>914</v>
      </c>
      <c r="D107" s="18" t="s">
        <v>886</v>
      </c>
      <c r="E107" s="39" t="s">
        <v>859</v>
      </c>
      <c r="F107" s="5"/>
      <c r="G107" s="9" t="s">
        <v>890</v>
      </c>
      <c r="H107" s="9" t="s">
        <v>891</v>
      </c>
      <c r="I107" s="5"/>
      <c r="J107" s="18"/>
      <c r="K107" s="9"/>
      <c r="L107" s="9"/>
      <c r="M107" s="12"/>
      <c r="N107" s="33"/>
    </row>
    <row r="108" spans="1:14">
      <c r="A108" s="30" t="s">
        <v>1058</v>
      </c>
      <c r="B108" s="57" t="s">
        <v>884</v>
      </c>
      <c r="C108" s="8" t="s">
        <v>914</v>
      </c>
      <c r="D108" s="18" t="s">
        <v>889</v>
      </c>
      <c r="E108" s="39" t="s">
        <v>854</v>
      </c>
      <c r="F108" s="5"/>
      <c r="G108" s="9" t="s">
        <v>894</v>
      </c>
      <c r="H108" s="9" t="s">
        <v>895</v>
      </c>
      <c r="I108" s="5"/>
      <c r="J108" s="18"/>
      <c r="K108" s="9"/>
      <c r="L108" s="9"/>
      <c r="M108" s="12"/>
      <c r="N108" s="33"/>
    </row>
    <row r="109" spans="1:14">
      <c r="A109" s="30" t="s">
        <v>1059</v>
      </c>
      <c r="B109" s="57" t="s">
        <v>884</v>
      </c>
      <c r="C109" s="8" t="s">
        <v>914</v>
      </c>
      <c r="D109" s="18" t="s">
        <v>889</v>
      </c>
      <c r="E109" s="39" t="s">
        <v>858</v>
      </c>
      <c r="F109" s="5"/>
      <c r="G109" s="9" t="s">
        <v>890</v>
      </c>
      <c r="H109" s="9" t="s">
        <v>888</v>
      </c>
      <c r="I109" s="5"/>
      <c r="J109" s="18"/>
      <c r="K109" s="9"/>
      <c r="L109" s="9"/>
      <c r="M109" s="12"/>
      <c r="N109" s="33"/>
    </row>
    <row r="110" spans="1:14">
      <c r="A110" s="30" t="s">
        <v>1060</v>
      </c>
      <c r="B110" s="57" t="s">
        <v>884</v>
      </c>
      <c r="C110" s="8" t="s">
        <v>914</v>
      </c>
      <c r="D110" s="18" t="s">
        <v>889</v>
      </c>
      <c r="E110" s="39" t="s">
        <v>859</v>
      </c>
      <c r="F110" s="5"/>
      <c r="G110" s="9" t="s">
        <v>890</v>
      </c>
      <c r="H110" s="9" t="s">
        <v>888</v>
      </c>
      <c r="I110" s="5"/>
      <c r="J110" s="18"/>
      <c r="K110" s="9"/>
      <c r="L110" s="9"/>
      <c r="M110" s="12"/>
      <c r="N110" s="33"/>
    </row>
    <row r="111" spans="1:14">
      <c r="A111" s="30" t="s">
        <v>1061</v>
      </c>
      <c r="B111" s="57" t="s">
        <v>884</v>
      </c>
      <c r="C111" s="8" t="s">
        <v>914</v>
      </c>
      <c r="D111" s="18" t="s">
        <v>889</v>
      </c>
      <c r="E111" s="39" t="s">
        <v>861</v>
      </c>
      <c r="F111" s="5"/>
      <c r="G111" s="9" t="s">
        <v>890</v>
      </c>
      <c r="H111" s="9" t="s">
        <v>891</v>
      </c>
      <c r="I111" s="5"/>
      <c r="J111" s="18"/>
      <c r="K111" s="9"/>
      <c r="L111" s="9"/>
      <c r="M111" s="12"/>
      <c r="N111" s="33"/>
    </row>
    <row r="112" spans="1:14">
      <c r="A112" s="30" t="s">
        <v>1062</v>
      </c>
      <c r="B112" s="57" t="s">
        <v>884</v>
      </c>
      <c r="C112" s="8" t="s">
        <v>914</v>
      </c>
      <c r="D112" s="18" t="s">
        <v>889</v>
      </c>
      <c r="E112" s="39" t="s">
        <v>862</v>
      </c>
      <c r="F112" s="5"/>
      <c r="G112" s="9" t="s">
        <v>890</v>
      </c>
      <c r="H112" s="9" t="s">
        <v>891</v>
      </c>
      <c r="I112" s="5"/>
      <c r="J112" s="18"/>
      <c r="K112" s="9"/>
      <c r="L112" s="9"/>
      <c r="M112" s="12"/>
      <c r="N112" s="33"/>
    </row>
    <row r="113" spans="1:14">
      <c r="A113" s="30" t="s">
        <v>1063</v>
      </c>
      <c r="B113" s="57" t="s">
        <v>884</v>
      </c>
      <c r="C113" s="8" t="s">
        <v>914</v>
      </c>
      <c r="D113" s="18" t="s">
        <v>889</v>
      </c>
      <c r="E113" s="39" t="s">
        <v>863</v>
      </c>
      <c r="F113" s="5"/>
      <c r="G113" s="9" t="s">
        <v>887</v>
      </c>
      <c r="H113" s="9" t="s">
        <v>891</v>
      </c>
      <c r="I113" s="5"/>
      <c r="J113" s="18"/>
      <c r="K113" s="9"/>
      <c r="L113" s="9"/>
      <c r="M113" s="12"/>
      <c r="N113" s="33"/>
    </row>
    <row r="114" spans="1:14">
      <c r="A114" s="30" t="s">
        <v>1064</v>
      </c>
      <c r="B114" s="57" t="s">
        <v>884</v>
      </c>
      <c r="C114" s="8" t="s">
        <v>914</v>
      </c>
      <c r="D114" s="18" t="s">
        <v>889</v>
      </c>
      <c r="E114" s="39" t="s">
        <v>864</v>
      </c>
      <c r="F114" s="5"/>
      <c r="G114" s="9" t="s">
        <v>890</v>
      </c>
      <c r="H114" s="9" t="s">
        <v>891</v>
      </c>
      <c r="I114" s="5"/>
      <c r="J114" s="18"/>
      <c r="K114" s="9"/>
      <c r="L114" s="9"/>
      <c r="M114" s="12"/>
      <c r="N114" s="33"/>
    </row>
    <row r="115" spans="1:14">
      <c r="A115" s="30" t="s">
        <v>1065</v>
      </c>
      <c r="B115" s="57" t="s">
        <v>884</v>
      </c>
      <c r="C115" s="8" t="s">
        <v>914</v>
      </c>
      <c r="D115" s="18" t="s">
        <v>889</v>
      </c>
      <c r="E115" s="39" t="s">
        <v>865</v>
      </c>
      <c r="F115" s="5"/>
      <c r="G115" s="9" t="s">
        <v>890</v>
      </c>
      <c r="H115" s="9" t="s">
        <v>891</v>
      </c>
      <c r="I115" s="5"/>
      <c r="J115" s="18"/>
      <c r="K115" s="9"/>
      <c r="L115" s="9"/>
      <c r="M115" s="12"/>
      <c r="N115" s="33"/>
    </row>
    <row r="116" spans="1:14">
      <c r="A116" s="30" t="s">
        <v>1066</v>
      </c>
      <c r="B116" s="57" t="s">
        <v>884</v>
      </c>
      <c r="C116" s="8" t="s">
        <v>914</v>
      </c>
      <c r="D116" s="18" t="s">
        <v>889</v>
      </c>
      <c r="E116" s="39" t="s">
        <v>892</v>
      </c>
      <c r="F116" s="5"/>
      <c r="G116" s="9" t="s">
        <v>890</v>
      </c>
      <c r="H116" s="9" t="s">
        <v>888</v>
      </c>
      <c r="I116" s="5"/>
      <c r="J116" s="18"/>
      <c r="K116" s="9"/>
      <c r="L116" s="9"/>
      <c r="M116" s="12"/>
      <c r="N116" s="33"/>
    </row>
    <row r="117" spans="1:14">
      <c r="A117" s="30" t="s">
        <v>1067</v>
      </c>
      <c r="B117" s="57" t="s">
        <v>884</v>
      </c>
      <c r="C117" s="8" t="s">
        <v>914</v>
      </c>
      <c r="D117" s="18" t="s">
        <v>889</v>
      </c>
      <c r="E117" s="39" t="s">
        <v>893</v>
      </c>
      <c r="F117" s="5"/>
      <c r="G117" s="9" t="s">
        <v>894</v>
      </c>
      <c r="H117" s="9" t="s">
        <v>895</v>
      </c>
      <c r="I117" s="5"/>
      <c r="J117" s="18"/>
      <c r="K117" s="9"/>
      <c r="L117" s="9"/>
      <c r="M117" s="12"/>
      <c r="N117" s="33"/>
    </row>
    <row r="118" spans="1:14">
      <c r="A118" s="30" t="s">
        <v>1068</v>
      </c>
      <c r="B118" s="57" t="s">
        <v>884</v>
      </c>
      <c r="C118" s="8" t="s">
        <v>914</v>
      </c>
      <c r="D118" s="18" t="s">
        <v>889</v>
      </c>
      <c r="E118" s="39" t="s">
        <v>896</v>
      </c>
      <c r="F118" s="5"/>
      <c r="G118" s="9" t="s">
        <v>890</v>
      </c>
      <c r="H118" s="9" t="s">
        <v>891</v>
      </c>
      <c r="I118" s="5"/>
      <c r="J118" s="18"/>
      <c r="K118" s="9"/>
      <c r="L118" s="9"/>
      <c r="M118" s="12"/>
      <c r="N118" s="33"/>
    </row>
    <row r="119" spans="1:14">
      <c r="A119" s="30" t="s">
        <v>1069</v>
      </c>
      <c r="B119" s="57" t="s">
        <v>884</v>
      </c>
      <c r="C119" s="8" t="s">
        <v>914</v>
      </c>
      <c r="D119" s="18" t="s">
        <v>889</v>
      </c>
      <c r="E119" s="39" t="s">
        <v>897</v>
      </c>
      <c r="F119" s="5"/>
      <c r="G119" s="9" t="s">
        <v>890</v>
      </c>
      <c r="H119" s="9" t="s">
        <v>888</v>
      </c>
      <c r="I119" s="5"/>
      <c r="J119" s="18"/>
      <c r="K119" s="9"/>
      <c r="L119" s="9"/>
      <c r="M119" s="12"/>
      <c r="N119" s="33"/>
    </row>
    <row r="120" spans="1:14">
      <c r="A120" s="30" t="s">
        <v>1070</v>
      </c>
      <c r="B120" s="57" t="s">
        <v>884</v>
      </c>
      <c r="C120" s="8" t="s">
        <v>914</v>
      </c>
      <c r="D120" s="18" t="s">
        <v>889</v>
      </c>
      <c r="E120" s="39" t="s">
        <v>898</v>
      </c>
      <c r="F120" s="5"/>
      <c r="G120" s="9" t="s">
        <v>887</v>
      </c>
      <c r="H120" s="9" t="s">
        <v>891</v>
      </c>
      <c r="I120" s="5"/>
      <c r="J120" s="18"/>
      <c r="K120" s="9"/>
      <c r="L120" s="9"/>
      <c r="M120" s="12"/>
      <c r="N120" s="33"/>
    </row>
    <row r="121" spans="1:14">
      <c r="A121" s="30" t="s">
        <v>1071</v>
      </c>
      <c r="B121" s="57" t="s">
        <v>884</v>
      </c>
      <c r="C121" s="8" t="s">
        <v>914</v>
      </c>
      <c r="D121" s="18" t="s">
        <v>889</v>
      </c>
      <c r="E121" s="39" t="s">
        <v>899</v>
      </c>
      <c r="F121" s="5"/>
      <c r="G121" s="9" t="s">
        <v>894</v>
      </c>
      <c r="H121" s="9" t="s">
        <v>895</v>
      </c>
      <c r="I121" s="5"/>
      <c r="J121" s="18"/>
      <c r="K121" s="9"/>
      <c r="L121" s="9"/>
      <c r="M121" s="12"/>
      <c r="N121" s="33"/>
    </row>
    <row r="122" spans="1:14">
      <c r="A122" s="30" t="s">
        <v>1072</v>
      </c>
      <c r="B122" s="57" t="s">
        <v>884</v>
      </c>
      <c r="C122" s="8" t="s">
        <v>914</v>
      </c>
      <c r="D122" s="18" t="s">
        <v>889</v>
      </c>
      <c r="E122" s="39" t="s">
        <v>900</v>
      </c>
      <c r="F122" s="5"/>
      <c r="G122" s="9" t="s">
        <v>894</v>
      </c>
      <c r="H122" s="9" t="s">
        <v>895</v>
      </c>
      <c r="I122" s="5"/>
      <c r="J122" s="18"/>
      <c r="K122" s="9"/>
      <c r="L122" s="9"/>
      <c r="M122" s="12"/>
      <c r="N122" s="33"/>
    </row>
    <row r="123" spans="1:14">
      <c r="A123" s="30" t="s">
        <v>1073</v>
      </c>
      <c r="B123" s="57" t="s">
        <v>884</v>
      </c>
      <c r="C123" s="8" t="s">
        <v>914</v>
      </c>
      <c r="D123" s="18" t="s">
        <v>889</v>
      </c>
      <c r="E123" s="39" t="s">
        <v>901</v>
      </c>
      <c r="F123" s="5"/>
      <c r="G123" s="9" t="s">
        <v>890</v>
      </c>
      <c r="H123" s="9" t="s">
        <v>891</v>
      </c>
      <c r="I123" s="5"/>
      <c r="J123" s="18"/>
      <c r="K123" s="9"/>
      <c r="L123" s="9"/>
      <c r="M123" s="12"/>
      <c r="N123" s="33"/>
    </row>
    <row r="124" spans="1:14">
      <c r="A124" s="30" t="s">
        <v>1074</v>
      </c>
      <c r="B124" s="57" t="s">
        <v>884</v>
      </c>
      <c r="C124" s="8" t="s">
        <v>914</v>
      </c>
      <c r="D124" s="18" t="s">
        <v>889</v>
      </c>
      <c r="E124" s="39" t="s">
        <v>902</v>
      </c>
      <c r="F124" s="5"/>
      <c r="G124" s="9" t="s">
        <v>887</v>
      </c>
      <c r="H124" s="9" t="s">
        <v>905</v>
      </c>
      <c r="I124" s="5"/>
      <c r="J124" s="18"/>
      <c r="K124" s="9"/>
      <c r="L124" s="9"/>
      <c r="M124" s="12"/>
      <c r="N124" s="33"/>
    </row>
    <row r="125" spans="1:14">
      <c r="A125" s="30" t="s">
        <v>1075</v>
      </c>
      <c r="B125" s="57" t="s">
        <v>884</v>
      </c>
      <c r="C125" s="8" t="s">
        <v>914</v>
      </c>
      <c r="D125" s="18" t="s">
        <v>889</v>
      </c>
      <c r="E125" s="39" t="s">
        <v>903</v>
      </c>
      <c r="F125" s="5"/>
      <c r="G125" s="9" t="s">
        <v>890</v>
      </c>
      <c r="H125" s="9" t="s">
        <v>888</v>
      </c>
      <c r="I125" s="5"/>
      <c r="J125" s="18"/>
      <c r="K125" s="9"/>
      <c r="L125" s="9"/>
      <c r="M125" s="12"/>
      <c r="N125" s="33"/>
    </row>
    <row r="126" spans="1:14">
      <c r="A126" s="30" t="s">
        <v>1076</v>
      </c>
      <c r="B126" s="57" t="s">
        <v>884</v>
      </c>
      <c r="C126" s="8" t="s">
        <v>914</v>
      </c>
      <c r="D126" s="18" t="s">
        <v>889</v>
      </c>
      <c r="E126" s="39" t="s">
        <v>904</v>
      </c>
      <c r="F126" s="5"/>
      <c r="G126" s="9" t="s">
        <v>890</v>
      </c>
      <c r="H126" s="9" t="s">
        <v>891</v>
      </c>
      <c r="I126" s="5"/>
      <c r="J126" s="18"/>
      <c r="K126" s="9"/>
      <c r="L126" s="9"/>
      <c r="M126" s="12"/>
      <c r="N126" s="33"/>
    </row>
    <row r="127" spans="1:14">
      <c r="A127" s="30" t="s">
        <v>1077</v>
      </c>
      <c r="B127" s="57" t="s">
        <v>884</v>
      </c>
      <c r="C127" s="8" t="s">
        <v>914</v>
      </c>
      <c r="D127" s="18" t="s">
        <v>889</v>
      </c>
      <c r="E127" s="39" t="s">
        <v>906</v>
      </c>
      <c r="F127" s="5"/>
      <c r="G127" s="9" t="s">
        <v>890</v>
      </c>
      <c r="H127" s="9" t="s">
        <v>891</v>
      </c>
      <c r="I127" s="5"/>
      <c r="J127" s="18"/>
      <c r="K127" s="9"/>
      <c r="L127" s="9"/>
      <c r="M127" s="12"/>
      <c r="N127" s="33"/>
    </row>
    <row r="128" spans="1:14">
      <c r="A128" s="30" t="s">
        <v>1078</v>
      </c>
      <c r="B128" s="57" t="s">
        <v>884</v>
      </c>
      <c r="C128" s="8" t="s">
        <v>914</v>
      </c>
      <c r="D128" s="18" t="s">
        <v>889</v>
      </c>
      <c r="E128" s="39" t="s">
        <v>907</v>
      </c>
      <c r="F128" s="5"/>
      <c r="G128" s="9" t="s">
        <v>894</v>
      </c>
      <c r="H128" s="9" t="s">
        <v>895</v>
      </c>
      <c r="I128" s="5"/>
      <c r="J128" s="18"/>
      <c r="K128" s="9"/>
      <c r="L128" s="9"/>
      <c r="M128" s="12"/>
      <c r="N128" s="33"/>
    </row>
    <row r="129" spans="1:14">
      <c r="A129" s="30" t="s">
        <v>1079</v>
      </c>
      <c r="B129" s="57" t="s">
        <v>884</v>
      </c>
      <c r="C129" s="8" t="s">
        <v>914</v>
      </c>
      <c r="D129" s="18" t="s">
        <v>889</v>
      </c>
      <c r="E129" s="39" t="s">
        <v>908</v>
      </c>
      <c r="F129" s="5"/>
      <c r="G129" s="9" t="s">
        <v>890</v>
      </c>
      <c r="H129" s="9" t="s">
        <v>891</v>
      </c>
      <c r="I129" s="5"/>
      <c r="J129" s="18"/>
      <c r="K129" s="9"/>
      <c r="L129" s="9"/>
      <c r="M129" s="12"/>
      <c r="N129" s="33"/>
    </row>
    <row r="130" spans="1:14">
      <c r="A130" s="30" t="s">
        <v>1080</v>
      </c>
      <c r="B130" s="57" t="s">
        <v>884</v>
      </c>
      <c r="C130" s="8" t="s">
        <v>914</v>
      </c>
      <c r="D130" s="18" t="s">
        <v>889</v>
      </c>
      <c r="E130" s="39" t="s">
        <v>909</v>
      </c>
      <c r="F130" s="5"/>
      <c r="G130" s="9" t="s">
        <v>890</v>
      </c>
      <c r="H130" s="9" t="s">
        <v>891</v>
      </c>
      <c r="I130" s="5"/>
      <c r="J130" s="18"/>
      <c r="K130" s="9"/>
      <c r="L130" s="9"/>
      <c r="M130" s="12"/>
      <c r="N130" s="33"/>
    </row>
    <row r="131" spans="1:14">
      <c r="A131" s="30" t="s">
        <v>1081</v>
      </c>
      <c r="B131" s="57" t="s">
        <v>884</v>
      </c>
      <c r="C131" s="8" t="s">
        <v>914</v>
      </c>
      <c r="D131" s="18" t="s">
        <v>889</v>
      </c>
      <c r="E131" s="39" t="s">
        <v>910</v>
      </c>
      <c r="F131" s="5"/>
      <c r="G131" s="9" t="s">
        <v>890</v>
      </c>
      <c r="H131" s="9" t="s">
        <v>895</v>
      </c>
      <c r="I131" s="5"/>
      <c r="J131" s="18"/>
      <c r="K131" s="9"/>
      <c r="L131" s="9"/>
      <c r="M131" s="12"/>
      <c r="N131" s="33"/>
    </row>
    <row r="132" spans="1:14">
      <c r="A132" s="30" t="s">
        <v>1082</v>
      </c>
      <c r="B132" s="57" t="s">
        <v>884</v>
      </c>
      <c r="C132" s="8" t="s">
        <v>914</v>
      </c>
      <c r="D132" s="18" t="s">
        <v>911</v>
      </c>
      <c r="E132" s="39" t="s">
        <v>854</v>
      </c>
      <c r="F132" s="5"/>
      <c r="G132" s="9" t="s">
        <v>890</v>
      </c>
      <c r="H132" s="9" t="s">
        <v>888</v>
      </c>
      <c r="I132" s="5"/>
      <c r="J132" s="18"/>
      <c r="K132" s="9"/>
      <c r="L132" s="9"/>
      <c r="M132" s="12"/>
      <c r="N132" s="33"/>
    </row>
    <row r="133" spans="1:14">
      <c r="A133" s="30" t="s">
        <v>1083</v>
      </c>
      <c r="B133" s="57" t="s">
        <v>884</v>
      </c>
      <c r="C133" s="8" t="s">
        <v>914</v>
      </c>
      <c r="D133" s="18" t="s">
        <v>911</v>
      </c>
      <c r="E133" s="39" t="s">
        <v>858</v>
      </c>
      <c r="F133" s="5"/>
      <c r="G133" s="9" t="s">
        <v>890</v>
      </c>
      <c r="H133" s="9" t="s">
        <v>891</v>
      </c>
      <c r="I133" s="5"/>
      <c r="J133" s="18"/>
      <c r="K133" s="9"/>
      <c r="L133" s="9"/>
      <c r="M133" s="12"/>
      <c r="N133" s="33"/>
    </row>
    <row r="134" spans="1:14">
      <c r="A134" s="30" t="s">
        <v>1084</v>
      </c>
      <c r="B134" s="57" t="s">
        <v>884</v>
      </c>
      <c r="C134" s="8" t="s">
        <v>914</v>
      </c>
      <c r="D134" s="18" t="s">
        <v>911</v>
      </c>
      <c r="E134" s="39" t="s">
        <v>859</v>
      </c>
      <c r="F134" s="5"/>
      <c r="G134" s="9" t="s">
        <v>890</v>
      </c>
      <c r="H134" s="9" t="s">
        <v>891</v>
      </c>
      <c r="I134" s="5"/>
      <c r="J134" s="18"/>
      <c r="K134" s="9"/>
      <c r="L134" s="9"/>
      <c r="M134" s="12"/>
      <c r="N134" s="33"/>
    </row>
    <row r="135" spans="1:14">
      <c r="A135" s="30" t="s">
        <v>1085</v>
      </c>
      <c r="B135" s="57" t="s">
        <v>884</v>
      </c>
      <c r="C135" s="8" t="s">
        <v>914</v>
      </c>
      <c r="D135" s="18" t="s">
        <v>911</v>
      </c>
      <c r="E135" s="39" t="s">
        <v>861</v>
      </c>
      <c r="F135" s="5"/>
      <c r="G135" s="9" t="s">
        <v>890</v>
      </c>
      <c r="H135" s="9" t="s">
        <v>891</v>
      </c>
      <c r="I135" s="5"/>
      <c r="J135" s="18"/>
      <c r="K135" s="9"/>
      <c r="L135" s="9"/>
      <c r="M135" s="12"/>
      <c r="N135" s="33"/>
    </row>
    <row r="136" spans="1:14">
      <c r="A136" s="30" t="s">
        <v>1086</v>
      </c>
      <c r="B136" s="57" t="s">
        <v>884</v>
      </c>
      <c r="C136" s="8" t="s">
        <v>914</v>
      </c>
      <c r="D136" s="18" t="s">
        <v>911</v>
      </c>
      <c r="E136" s="39" t="s">
        <v>862</v>
      </c>
      <c r="F136" s="5"/>
      <c r="G136" s="9" t="s">
        <v>890</v>
      </c>
      <c r="H136" s="9" t="s">
        <v>891</v>
      </c>
      <c r="I136" s="5"/>
      <c r="J136" s="18"/>
      <c r="K136" s="9"/>
      <c r="L136" s="9"/>
      <c r="M136" s="12"/>
      <c r="N136" s="33"/>
    </row>
    <row r="137" spans="1:14">
      <c r="A137" s="30" t="s">
        <v>1087</v>
      </c>
      <c r="B137" s="57" t="s">
        <v>884</v>
      </c>
      <c r="C137" s="8" t="s">
        <v>914</v>
      </c>
      <c r="D137" s="18" t="s">
        <v>911</v>
      </c>
      <c r="E137" s="39" t="s">
        <v>863</v>
      </c>
      <c r="F137" s="5"/>
      <c r="G137" s="9" t="s">
        <v>890</v>
      </c>
      <c r="H137" s="9" t="s">
        <v>895</v>
      </c>
      <c r="I137" s="5"/>
      <c r="J137" s="18"/>
      <c r="K137" s="9"/>
      <c r="L137" s="9"/>
      <c r="M137" s="12"/>
      <c r="N137" s="33"/>
    </row>
    <row r="138" spans="1:14">
      <c r="A138" s="30" t="s">
        <v>1088</v>
      </c>
      <c r="B138" s="57" t="s">
        <v>884</v>
      </c>
      <c r="C138" s="8" t="s">
        <v>914</v>
      </c>
      <c r="D138" s="18" t="s">
        <v>911</v>
      </c>
      <c r="E138" s="39" t="s">
        <v>864</v>
      </c>
      <c r="F138" s="5"/>
      <c r="G138" s="9" t="s">
        <v>890</v>
      </c>
      <c r="H138" s="9" t="s">
        <v>891</v>
      </c>
      <c r="I138" s="5"/>
      <c r="J138" s="18"/>
      <c r="K138" s="9"/>
      <c r="L138" s="9"/>
      <c r="M138" s="12"/>
      <c r="N138" s="33"/>
    </row>
    <row r="139" spans="1:14">
      <c r="A139" s="30" t="s">
        <v>1089</v>
      </c>
      <c r="B139" s="57" t="s">
        <v>884</v>
      </c>
      <c r="C139" s="8" t="s">
        <v>914</v>
      </c>
      <c r="D139" s="18" t="s">
        <v>911</v>
      </c>
      <c r="E139" s="39" t="s">
        <v>865</v>
      </c>
      <c r="F139" s="5"/>
      <c r="G139" s="9" t="s">
        <v>890</v>
      </c>
      <c r="H139" s="9" t="s">
        <v>888</v>
      </c>
      <c r="I139" s="5"/>
      <c r="J139" s="18"/>
      <c r="K139" s="9"/>
      <c r="L139" s="9"/>
      <c r="M139" s="12"/>
      <c r="N139" s="33"/>
    </row>
    <row r="140" spans="1:14">
      <c r="A140" s="30" t="s">
        <v>1090</v>
      </c>
      <c r="B140" s="57" t="s">
        <v>884</v>
      </c>
      <c r="C140" s="8" t="s">
        <v>914</v>
      </c>
      <c r="D140" s="18" t="s">
        <v>911</v>
      </c>
      <c r="E140" s="39" t="s">
        <v>892</v>
      </c>
      <c r="F140" s="5"/>
      <c r="G140" s="9" t="s">
        <v>890</v>
      </c>
      <c r="H140" s="9" t="s">
        <v>891</v>
      </c>
      <c r="I140" s="5"/>
      <c r="J140" s="18"/>
      <c r="K140" s="9"/>
      <c r="L140" s="9"/>
      <c r="M140" s="12"/>
      <c r="N140" s="33"/>
    </row>
    <row r="141" spans="1:14">
      <c r="A141" s="30" t="s">
        <v>1091</v>
      </c>
      <c r="B141" s="57" t="s">
        <v>884</v>
      </c>
      <c r="C141" s="8" t="s">
        <v>914</v>
      </c>
      <c r="D141" s="18" t="s">
        <v>911</v>
      </c>
      <c r="E141" s="39" t="s">
        <v>893</v>
      </c>
      <c r="F141" s="5"/>
      <c r="G141" s="9" t="s">
        <v>890</v>
      </c>
      <c r="H141" s="9" t="s">
        <v>891</v>
      </c>
      <c r="I141" s="5"/>
      <c r="J141" s="18"/>
      <c r="K141" s="9"/>
      <c r="L141" s="9"/>
      <c r="M141" s="12"/>
      <c r="N141" s="33"/>
    </row>
    <row r="142" spans="1:14">
      <c r="A142" s="30" t="s">
        <v>1092</v>
      </c>
      <c r="B142" s="57" t="s">
        <v>884</v>
      </c>
      <c r="C142" s="8" t="s">
        <v>914</v>
      </c>
      <c r="D142" s="18" t="s">
        <v>911</v>
      </c>
      <c r="E142" s="39" t="s">
        <v>896</v>
      </c>
      <c r="F142" s="5"/>
      <c r="G142" s="9" t="s">
        <v>890</v>
      </c>
      <c r="H142" s="9" t="s">
        <v>888</v>
      </c>
      <c r="I142" s="5"/>
      <c r="J142" s="18"/>
      <c r="K142" s="9"/>
      <c r="L142" s="9"/>
      <c r="M142" s="12"/>
      <c r="N142" s="33"/>
    </row>
    <row r="143" spans="1:14">
      <c r="A143" s="30" t="s">
        <v>1093</v>
      </c>
      <c r="B143" s="57" t="s">
        <v>884</v>
      </c>
      <c r="C143" s="8" t="s">
        <v>914</v>
      </c>
      <c r="D143" s="18" t="s">
        <v>911</v>
      </c>
      <c r="E143" s="39" t="s">
        <v>897</v>
      </c>
      <c r="F143" s="5"/>
      <c r="G143" s="9" t="s">
        <v>890</v>
      </c>
      <c r="H143" s="9" t="s">
        <v>891</v>
      </c>
      <c r="I143" s="5"/>
      <c r="J143" s="18"/>
      <c r="K143" s="9"/>
      <c r="L143" s="9"/>
      <c r="M143" s="12"/>
      <c r="N143" s="33"/>
    </row>
    <row r="144" spans="1:14">
      <c r="A144" s="30" t="s">
        <v>1094</v>
      </c>
      <c r="B144" s="57" t="s">
        <v>884</v>
      </c>
      <c r="C144" s="8" t="s">
        <v>914</v>
      </c>
      <c r="D144" s="18" t="s">
        <v>911</v>
      </c>
      <c r="E144" s="39" t="s">
        <v>898</v>
      </c>
      <c r="F144" s="5"/>
      <c r="G144" s="9" t="s">
        <v>890</v>
      </c>
      <c r="H144" s="9" t="s">
        <v>891</v>
      </c>
      <c r="I144" s="5"/>
      <c r="J144" s="18"/>
      <c r="K144" s="9"/>
      <c r="L144" s="9"/>
      <c r="M144" s="12"/>
      <c r="N144" s="33"/>
    </row>
    <row r="145" spans="1:14">
      <c r="A145" s="30" t="s">
        <v>1095</v>
      </c>
      <c r="B145" s="57" t="s">
        <v>884</v>
      </c>
      <c r="C145" s="8" t="s">
        <v>914</v>
      </c>
      <c r="D145" s="18" t="s">
        <v>911</v>
      </c>
      <c r="E145" s="39" t="s">
        <v>899</v>
      </c>
      <c r="F145" s="5"/>
      <c r="G145" s="9" t="s">
        <v>890</v>
      </c>
      <c r="H145" s="9" t="s">
        <v>891</v>
      </c>
      <c r="I145" s="5"/>
      <c r="J145" s="18"/>
      <c r="K145" s="9"/>
      <c r="L145" s="9"/>
      <c r="M145" s="12"/>
      <c r="N145" s="33"/>
    </row>
    <row r="146" spans="1:14">
      <c r="A146" s="30" t="s">
        <v>1096</v>
      </c>
      <c r="B146" s="57" t="s">
        <v>884</v>
      </c>
      <c r="C146" s="8" t="s">
        <v>914</v>
      </c>
      <c r="D146" s="18" t="s">
        <v>911</v>
      </c>
      <c r="E146" s="39" t="s">
        <v>900</v>
      </c>
      <c r="F146" s="5"/>
      <c r="G146" s="9" t="s">
        <v>887</v>
      </c>
      <c r="H146" s="9" t="s">
        <v>891</v>
      </c>
      <c r="I146" s="5"/>
      <c r="J146" s="18"/>
      <c r="K146" s="9"/>
      <c r="L146" s="9"/>
      <c r="M146" s="12"/>
      <c r="N146" s="33"/>
    </row>
    <row r="147" spans="1:14">
      <c r="A147" s="30" t="s">
        <v>1097</v>
      </c>
      <c r="B147" s="57" t="s">
        <v>884</v>
      </c>
      <c r="C147" s="8" t="s">
        <v>914</v>
      </c>
      <c r="D147" s="18" t="s">
        <v>911</v>
      </c>
      <c r="E147" s="39" t="s">
        <v>901</v>
      </c>
      <c r="F147" s="5"/>
      <c r="G147" s="9" t="s">
        <v>887</v>
      </c>
      <c r="H147" s="9" t="s">
        <v>888</v>
      </c>
      <c r="I147" s="5"/>
      <c r="J147" s="18"/>
      <c r="K147" s="9"/>
      <c r="L147" s="9"/>
      <c r="M147" s="12"/>
      <c r="N147" s="33"/>
    </row>
    <row r="148" spans="1:14">
      <c r="A148" s="30" t="s">
        <v>1098</v>
      </c>
      <c r="B148" s="57" t="s">
        <v>884</v>
      </c>
      <c r="C148" s="8" t="s">
        <v>914</v>
      </c>
      <c r="D148" s="18" t="s">
        <v>911</v>
      </c>
      <c r="E148" s="39" t="s">
        <v>902</v>
      </c>
      <c r="F148" s="5"/>
      <c r="G148" s="9" t="s">
        <v>894</v>
      </c>
      <c r="H148" s="9" t="s">
        <v>895</v>
      </c>
      <c r="I148" s="5"/>
      <c r="J148" s="18"/>
      <c r="K148" s="9"/>
      <c r="L148" s="9"/>
      <c r="M148" s="12"/>
      <c r="N148" s="33"/>
    </row>
    <row r="149" spans="1:14">
      <c r="A149" s="30" t="s">
        <v>1099</v>
      </c>
      <c r="B149" s="57" t="s">
        <v>884</v>
      </c>
      <c r="C149" s="8" t="s">
        <v>914</v>
      </c>
      <c r="D149" s="18" t="s">
        <v>911</v>
      </c>
      <c r="E149" s="39" t="s">
        <v>903</v>
      </c>
      <c r="F149" s="5"/>
      <c r="G149" s="9" t="s">
        <v>890</v>
      </c>
      <c r="H149" s="9" t="s">
        <v>891</v>
      </c>
      <c r="I149" s="5"/>
      <c r="J149" s="18"/>
      <c r="K149" s="9"/>
      <c r="L149" s="9"/>
      <c r="M149" s="12"/>
      <c r="N149" s="33"/>
    </row>
    <row r="150" spans="1:14">
      <c r="A150" s="30" t="s">
        <v>1100</v>
      </c>
      <c r="B150" s="57" t="s">
        <v>884</v>
      </c>
      <c r="C150" s="8" t="s">
        <v>914</v>
      </c>
      <c r="D150" s="18" t="s">
        <v>911</v>
      </c>
      <c r="E150" s="39" t="s">
        <v>904</v>
      </c>
      <c r="F150" s="5"/>
      <c r="G150" s="9" t="s">
        <v>890</v>
      </c>
      <c r="H150" s="9" t="s">
        <v>888</v>
      </c>
      <c r="I150" s="5"/>
      <c r="J150" s="18"/>
      <c r="K150" s="9"/>
      <c r="L150" s="9"/>
      <c r="M150" s="12"/>
      <c r="N150" s="33"/>
    </row>
    <row r="151" spans="1:14">
      <c r="A151" s="30" t="s">
        <v>1101</v>
      </c>
      <c r="B151" s="57" t="s">
        <v>884</v>
      </c>
      <c r="C151" s="8" t="s">
        <v>914</v>
      </c>
      <c r="D151" s="18" t="s">
        <v>911</v>
      </c>
      <c r="E151" s="39" t="s">
        <v>906</v>
      </c>
      <c r="F151" s="5"/>
      <c r="G151" s="9" t="s">
        <v>890</v>
      </c>
      <c r="H151" s="9" t="s">
        <v>905</v>
      </c>
      <c r="I151" s="5"/>
      <c r="J151" s="18"/>
      <c r="K151" s="9"/>
      <c r="L151" s="9"/>
      <c r="M151" s="12"/>
      <c r="N151" s="33"/>
    </row>
    <row r="152" spans="1:14">
      <c r="A152" s="30" t="s">
        <v>1102</v>
      </c>
      <c r="B152" s="57" t="s">
        <v>884</v>
      </c>
      <c r="C152" s="8" t="s">
        <v>914</v>
      </c>
      <c r="D152" s="18" t="s">
        <v>911</v>
      </c>
      <c r="E152" s="39" t="s">
        <v>907</v>
      </c>
      <c r="F152" s="5"/>
      <c r="G152" s="9" t="s">
        <v>890</v>
      </c>
      <c r="H152" s="9" t="s">
        <v>891</v>
      </c>
      <c r="I152" s="5"/>
      <c r="J152" s="18"/>
      <c r="K152" s="9"/>
      <c r="L152" s="9"/>
      <c r="M152" s="12"/>
      <c r="N152" s="33"/>
    </row>
    <row r="153" spans="1:14">
      <c r="A153" s="30" t="s">
        <v>1103</v>
      </c>
      <c r="B153" s="57" t="s">
        <v>884</v>
      </c>
      <c r="C153" s="8" t="s">
        <v>914</v>
      </c>
      <c r="D153" s="18" t="s">
        <v>911</v>
      </c>
      <c r="E153" s="39" t="s">
        <v>908</v>
      </c>
      <c r="F153" s="5"/>
      <c r="G153" s="9" t="s">
        <v>890</v>
      </c>
      <c r="H153" s="9" t="s">
        <v>888</v>
      </c>
      <c r="I153" s="5"/>
      <c r="J153" s="18"/>
      <c r="K153" s="9"/>
      <c r="L153" s="9"/>
      <c r="M153" s="12"/>
      <c r="N153" s="33"/>
    </row>
    <row r="154" spans="1:14">
      <c r="A154" s="30" t="s">
        <v>1104</v>
      </c>
      <c r="B154" s="57" t="s">
        <v>884</v>
      </c>
      <c r="C154" s="8" t="s">
        <v>914</v>
      </c>
      <c r="D154" s="18" t="s">
        <v>911</v>
      </c>
      <c r="E154" s="39" t="s">
        <v>909</v>
      </c>
      <c r="F154" s="5"/>
      <c r="G154" s="9" t="s">
        <v>890</v>
      </c>
      <c r="H154" s="9" t="s">
        <v>891</v>
      </c>
      <c r="I154" s="5"/>
      <c r="J154" s="18"/>
      <c r="K154" s="9"/>
      <c r="L154" s="9"/>
      <c r="M154" s="12"/>
      <c r="N154" s="33"/>
    </row>
    <row r="155" spans="1:14">
      <c r="A155" s="30" t="s">
        <v>1105</v>
      </c>
      <c r="B155" s="57" t="s">
        <v>884</v>
      </c>
      <c r="C155" s="8" t="s">
        <v>914</v>
      </c>
      <c r="D155" s="18" t="s">
        <v>911</v>
      </c>
      <c r="E155" s="39" t="s">
        <v>910</v>
      </c>
      <c r="F155" s="5"/>
      <c r="G155" s="9" t="s">
        <v>890</v>
      </c>
      <c r="H155" s="9" t="s">
        <v>888</v>
      </c>
      <c r="I155" s="5"/>
      <c r="J155" s="18"/>
      <c r="K155" s="9"/>
      <c r="L155" s="9"/>
      <c r="M155" s="12"/>
      <c r="N155" s="33"/>
    </row>
    <row r="156" spans="1:14">
      <c r="A156" s="30" t="s">
        <v>1106</v>
      </c>
      <c r="B156" s="57" t="s">
        <v>884</v>
      </c>
      <c r="C156" s="8" t="s">
        <v>914</v>
      </c>
      <c r="D156" s="18" t="s">
        <v>912</v>
      </c>
      <c r="E156" s="39" t="s">
        <v>854</v>
      </c>
      <c r="F156" s="5"/>
      <c r="G156" s="9" t="s">
        <v>890</v>
      </c>
      <c r="H156" s="9" t="s">
        <v>888</v>
      </c>
      <c r="I156" s="5"/>
      <c r="J156" s="18"/>
      <c r="K156" s="9"/>
      <c r="L156" s="9"/>
      <c r="M156" s="12"/>
      <c r="N156" s="33"/>
    </row>
    <row r="157" spans="1:14">
      <c r="A157" s="30" t="s">
        <v>1107</v>
      </c>
      <c r="B157" s="57" t="s">
        <v>884</v>
      </c>
      <c r="C157" s="8" t="s">
        <v>914</v>
      </c>
      <c r="D157" s="18" t="s">
        <v>912</v>
      </c>
      <c r="E157" s="39" t="s">
        <v>858</v>
      </c>
      <c r="F157" s="5"/>
      <c r="G157" s="9" t="s">
        <v>890</v>
      </c>
      <c r="H157" s="9" t="s">
        <v>888</v>
      </c>
      <c r="I157" s="5"/>
      <c r="J157" s="18"/>
      <c r="K157" s="9"/>
      <c r="L157" s="9"/>
      <c r="M157" s="12"/>
      <c r="N157" s="33"/>
    </row>
    <row r="158" spans="1:14">
      <c r="A158" s="30" t="s">
        <v>1108</v>
      </c>
      <c r="B158" s="57" t="s">
        <v>884</v>
      </c>
      <c r="C158" s="8" t="s">
        <v>914</v>
      </c>
      <c r="D158" s="18" t="s">
        <v>912</v>
      </c>
      <c r="E158" s="39" t="s">
        <v>859</v>
      </c>
      <c r="F158" s="5"/>
      <c r="G158" s="9" t="s">
        <v>890</v>
      </c>
      <c r="H158" s="9" t="s">
        <v>888</v>
      </c>
      <c r="I158" s="5"/>
      <c r="J158" s="18"/>
      <c r="K158" s="9"/>
      <c r="L158" s="9"/>
      <c r="M158" s="12"/>
      <c r="N158" s="33"/>
    </row>
    <row r="159" spans="1:14">
      <c r="A159" s="30" t="s">
        <v>1109</v>
      </c>
      <c r="B159" s="57" t="s">
        <v>884</v>
      </c>
      <c r="C159" s="8" t="s">
        <v>914</v>
      </c>
      <c r="D159" s="18" t="s">
        <v>912</v>
      </c>
      <c r="E159" s="39" t="s">
        <v>861</v>
      </c>
      <c r="F159" s="5"/>
      <c r="G159" s="9" t="s">
        <v>887</v>
      </c>
      <c r="H159" s="9" t="s">
        <v>905</v>
      </c>
      <c r="I159" s="5"/>
      <c r="J159" s="18"/>
      <c r="K159" s="9"/>
      <c r="L159" s="9"/>
      <c r="M159" s="12"/>
      <c r="N159" s="33"/>
    </row>
    <row r="160" spans="1:14">
      <c r="A160" s="30" t="s">
        <v>1110</v>
      </c>
      <c r="B160" s="57" t="s">
        <v>884</v>
      </c>
      <c r="C160" s="8" t="s">
        <v>914</v>
      </c>
      <c r="D160" s="18" t="s">
        <v>912</v>
      </c>
      <c r="E160" s="39" t="s">
        <v>862</v>
      </c>
      <c r="F160" s="5"/>
      <c r="G160" s="9" t="s">
        <v>890</v>
      </c>
      <c r="H160" s="9" t="s">
        <v>891</v>
      </c>
      <c r="I160" s="5"/>
      <c r="J160" s="18"/>
      <c r="K160" s="9"/>
      <c r="L160" s="9"/>
      <c r="M160" s="12"/>
      <c r="N160" s="33"/>
    </row>
    <row r="161" spans="1:14">
      <c r="A161" s="30" t="s">
        <v>1111</v>
      </c>
      <c r="B161" s="57" t="s">
        <v>884</v>
      </c>
      <c r="C161" s="8" t="s">
        <v>914</v>
      </c>
      <c r="D161" s="18" t="s">
        <v>912</v>
      </c>
      <c r="E161" s="39" t="s">
        <v>863</v>
      </c>
      <c r="F161" s="5"/>
      <c r="G161" s="9" t="s">
        <v>890</v>
      </c>
      <c r="H161" s="9" t="s">
        <v>895</v>
      </c>
      <c r="I161" s="5"/>
      <c r="J161" s="18"/>
      <c r="K161" s="9"/>
      <c r="L161" s="9"/>
      <c r="M161" s="12"/>
      <c r="N161" s="33"/>
    </row>
    <row r="162" spans="1:14">
      <c r="A162" s="30" t="s">
        <v>1112</v>
      </c>
      <c r="B162" s="57" t="s">
        <v>884</v>
      </c>
      <c r="C162" s="8" t="s">
        <v>914</v>
      </c>
      <c r="D162" s="18" t="s">
        <v>912</v>
      </c>
      <c r="E162" s="39" t="s">
        <v>864</v>
      </c>
      <c r="F162" s="5"/>
      <c r="G162" s="9" t="s">
        <v>890</v>
      </c>
      <c r="H162" s="9" t="s">
        <v>891</v>
      </c>
      <c r="I162" s="5"/>
      <c r="J162" s="18"/>
      <c r="K162" s="9"/>
      <c r="L162" s="9"/>
      <c r="M162" s="12"/>
      <c r="N162" s="33"/>
    </row>
    <row r="163" spans="1:14">
      <c r="A163" s="30" t="s">
        <v>1113</v>
      </c>
      <c r="B163" s="57" t="s">
        <v>884</v>
      </c>
      <c r="C163" s="8" t="s">
        <v>914</v>
      </c>
      <c r="D163" s="18" t="s">
        <v>912</v>
      </c>
      <c r="E163" s="39" t="s">
        <v>865</v>
      </c>
      <c r="F163" s="5"/>
      <c r="G163" s="9" t="s">
        <v>890</v>
      </c>
      <c r="H163" s="9" t="s">
        <v>888</v>
      </c>
      <c r="I163" s="5"/>
      <c r="J163" s="18"/>
      <c r="K163" s="9"/>
      <c r="L163" s="9"/>
      <c r="M163" s="12"/>
      <c r="N163" s="33"/>
    </row>
    <row r="164" spans="1:14">
      <c r="A164" s="30" t="s">
        <v>1114</v>
      </c>
      <c r="B164" s="57" t="s">
        <v>884</v>
      </c>
      <c r="C164" s="8" t="s">
        <v>914</v>
      </c>
      <c r="D164" s="18" t="s">
        <v>912</v>
      </c>
      <c r="E164" s="39" t="s">
        <v>892</v>
      </c>
      <c r="F164" s="5"/>
      <c r="G164" s="9" t="s">
        <v>890</v>
      </c>
      <c r="H164" s="9" t="s">
        <v>888</v>
      </c>
      <c r="I164" s="5"/>
      <c r="J164" s="18"/>
      <c r="K164" s="9"/>
      <c r="L164" s="9"/>
      <c r="M164" s="12"/>
      <c r="N164" s="33"/>
    </row>
    <row r="165" spans="1:14">
      <c r="A165" s="30" t="s">
        <v>1115</v>
      </c>
      <c r="B165" s="57" t="s">
        <v>884</v>
      </c>
      <c r="C165" s="8" t="s">
        <v>914</v>
      </c>
      <c r="D165" s="18" t="s">
        <v>912</v>
      </c>
      <c r="E165" s="39" t="s">
        <v>893</v>
      </c>
      <c r="F165" s="5"/>
      <c r="G165" s="9" t="s">
        <v>890</v>
      </c>
      <c r="H165" s="9" t="s">
        <v>888</v>
      </c>
      <c r="I165" s="5"/>
      <c r="J165" s="18"/>
      <c r="K165" s="9"/>
      <c r="L165" s="9"/>
      <c r="M165" s="12"/>
      <c r="N165" s="33"/>
    </row>
    <row r="166" spans="1:14">
      <c r="A166" s="30" t="s">
        <v>1116</v>
      </c>
      <c r="B166" s="57" t="s">
        <v>884</v>
      </c>
      <c r="C166" s="8" t="s">
        <v>914</v>
      </c>
      <c r="D166" s="18" t="s">
        <v>912</v>
      </c>
      <c r="E166" s="39" t="s">
        <v>896</v>
      </c>
      <c r="F166" s="5"/>
      <c r="G166" s="9" t="s">
        <v>890</v>
      </c>
      <c r="H166" s="9" t="s">
        <v>888</v>
      </c>
      <c r="I166" s="5"/>
      <c r="J166" s="18"/>
      <c r="K166" s="9"/>
      <c r="L166" s="9"/>
      <c r="M166" s="12"/>
      <c r="N166" s="33"/>
    </row>
    <row r="167" spans="1:14">
      <c r="A167" s="30" t="s">
        <v>1117</v>
      </c>
      <c r="B167" s="57" t="s">
        <v>884</v>
      </c>
      <c r="C167" s="8" t="s">
        <v>914</v>
      </c>
      <c r="D167" s="18" t="s">
        <v>912</v>
      </c>
      <c r="E167" s="39" t="s">
        <v>897</v>
      </c>
      <c r="F167" s="5"/>
      <c r="G167" s="9" t="s">
        <v>890</v>
      </c>
      <c r="H167" s="9" t="s">
        <v>888</v>
      </c>
      <c r="I167" s="5"/>
      <c r="J167" s="18"/>
      <c r="K167" s="9"/>
      <c r="L167" s="9"/>
      <c r="M167" s="12"/>
      <c r="N167" s="33"/>
    </row>
    <row r="168" spans="1:14">
      <c r="A168" s="30" t="s">
        <v>1118</v>
      </c>
      <c r="B168" s="57" t="s">
        <v>884</v>
      </c>
      <c r="C168" s="8" t="s">
        <v>914</v>
      </c>
      <c r="D168" s="18" t="s">
        <v>912</v>
      </c>
      <c r="E168" s="39" t="s">
        <v>898</v>
      </c>
      <c r="F168" s="5"/>
      <c r="G168" s="9" t="s">
        <v>887</v>
      </c>
      <c r="H168" s="9" t="s">
        <v>891</v>
      </c>
      <c r="I168" s="5"/>
      <c r="J168" s="18"/>
      <c r="K168" s="9"/>
      <c r="L168" s="9"/>
      <c r="M168" s="12"/>
      <c r="N168" s="33"/>
    </row>
    <row r="169" spans="1:14">
      <c r="A169" s="30" t="s">
        <v>1119</v>
      </c>
      <c r="B169" s="57" t="s">
        <v>884</v>
      </c>
      <c r="C169" s="8" t="s">
        <v>914</v>
      </c>
      <c r="D169" s="18" t="s">
        <v>912</v>
      </c>
      <c r="E169" s="39" t="s">
        <v>899</v>
      </c>
      <c r="F169" s="5"/>
      <c r="G169" s="9" t="s">
        <v>890</v>
      </c>
      <c r="H169" s="9" t="s">
        <v>888</v>
      </c>
      <c r="I169" s="5"/>
      <c r="J169" s="18"/>
      <c r="K169" s="9"/>
      <c r="L169" s="9"/>
      <c r="M169" s="12"/>
      <c r="N169" s="33"/>
    </row>
    <row r="170" spans="1:14">
      <c r="A170" s="30" t="s">
        <v>1120</v>
      </c>
      <c r="B170" s="57" t="s">
        <v>884</v>
      </c>
      <c r="C170" s="8" t="s">
        <v>914</v>
      </c>
      <c r="D170" s="18" t="s">
        <v>912</v>
      </c>
      <c r="E170" s="39" t="s">
        <v>900</v>
      </c>
      <c r="F170" s="5"/>
      <c r="G170" s="9" t="s">
        <v>890</v>
      </c>
      <c r="H170" s="9" t="s">
        <v>888</v>
      </c>
      <c r="I170" s="5"/>
      <c r="J170" s="18"/>
      <c r="K170" s="9"/>
      <c r="L170" s="9"/>
      <c r="M170" s="12"/>
      <c r="N170" s="33"/>
    </row>
    <row r="171" spans="1:14">
      <c r="A171" s="30" t="s">
        <v>1121</v>
      </c>
      <c r="B171" s="57" t="s">
        <v>884</v>
      </c>
      <c r="C171" s="8" t="s">
        <v>914</v>
      </c>
      <c r="D171" s="18" t="s">
        <v>912</v>
      </c>
      <c r="E171" s="39" t="s">
        <v>901</v>
      </c>
      <c r="F171" s="5"/>
      <c r="G171" s="9" t="s">
        <v>890</v>
      </c>
      <c r="H171" s="9" t="s">
        <v>888</v>
      </c>
      <c r="I171" s="5"/>
      <c r="J171" s="18"/>
      <c r="K171" s="9"/>
      <c r="L171" s="9"/>
      <c r="M171" s="12"/>
      <c r="N171" s="33"/>
    </row>
    <row r="172" spans="1:14">
      <c r="A172" s="30" t="s">
        <v>1122</v>
      </c>
      <c r="B172" s="57" t="s">
        <v>884</v>
      </c>
      <c r="C172" s="8" t="s">
        <v>914</v>
      </c>
      <c r="D172" s="18" t="s">
        <v>912</v>
      </c>
      <c r="E172" s="39" t="s">
        <v>902</v>
      </c>
      <c r="F172" s="5"/>
      <c r="G172" s="9" t="s">
        <v>890</v>
      </c>
      <c r="H172" s="9" t="s">
        <v>888</v>
      </c>
      <c r="I172" s="5"/>
      <c r="J172" s="18"/>
      <c r="K172" s="9"/>
      <c r="L172" s="9"/>
      <c r="M172" s="12"/>
      <c r="N172" s="33"/>
    </row>
    <row r="173" spans="1:14">
      <c r="A173" s="30" t="s">
        <v>1123</v>
      </c>
      <c r="B173" s="57" t="s">
        <v>884</v>
      </c>
      <c r="C173" s="8" t="s">
        <v>914</v>
      </c>
      <c r="D173" s="18" t="s">
        <v>912</v>
      </c>
      <c r="E173" s="39" t="s">
        <v>903</v>
      </c>
      <c r="F173" s="5"/>
      <c r="G173" s="9" t="s">
        <v>890</v>
      </c>
      <c r="H173" s="9" t="s">
        <v>888</v>
      </c>
      <c r="I173" s="5"/>
      <c r="J173" s="18"/>
      <c r="K173" s="9"/>
      <c r="L173" s="9"/>
      <c r="M173" s="12"/>
      <c r="N173" s="33"/>
    </row>
    <row r="174" spans="1:14">
      <c r="A174" s="30" t="s">
        <v>1124</v>
      </c>
      <c r="B174" s="57" t="s">
        <v>884</v>
      </c>
      <c r="C174" s="8" t="s">
        <v>914</v>
      </c>
      <c r="D174" s="18" t="s">
        <v>912</v>
      </c>
      <c r="E174" s="39" t="s">
        <v>904</v>
      </c>
      <c r="F174" s="5"/>
      <c r="G174" s="9" t="s">
        <v>890</v>
      </c>
      <c r="H174" s="9" t="s">
        <v>891</v>
      </c>
      <c r="I174" s="5"/>
      <c r="J174" s="18"/>
      <c r="K174" s="9"/>
      <c r="L174" s="9"/>
      <c r="M174" s="12"/>
      <c r="N174" s="33"/>
    </row>
    <row r="175" spans="1:14">
      <c r="A175" s="30" t="s">
        <v>1125</v>
      </c>
      <c r="B175" s="57" t="s">
        <v>884</v>
      </c>
      <c r="C175" s="8" t="s">
        <v>914</v>
      </c>
      <c r="D175" s="18" t="s">
        <v>912</v>
      </c>
      <c r="E175" s="39" t="s">
        <v>906</v>
      </c>
      <c r="F175" s="5"/>
      <c r="G175" s="9" t="s">
        <v>890</v>
      </c>
      <c r="H175" s="9" t="s">
        <v>888</v>
      </c>
      <c r="I175" s="5"/>
      <c r="J175" s="18"/>
      <c r="K175" s="9"/>
      <c r="L175" s="9"/>
      <c r="M175" s="12"/>
      <c r="N175" s="33"/>
    </row>
    <row r="176" spans="1:14">
      <c r="A176" s="30" t="s">
        <v>1126</v>
      </c>
      <c r="B176" s="57" t="s">
        <v>884</v>
      </c>
      <c r="C176" s="8" t="s">
        <v>914</v>
      </c>
      <c r="D176" s="18" t="s">
        <v>912</v>
      </c>
      <c r="E176" s="39" t="s">
        <v>907</v>
      </c>
      <c r="F176" s="5"/>
      <c r="G176" s="9" t="s">
        <v>890</v>
      </c>
      <c r="H176" s="9" t="s">
        <v>888</v>
      </c>
      <c r="I176" s="5"/>
      <c r="J176" s="18"/>
      <c r="K176" s="9"/>
      <c r="L176" s="9"/>
      <c r="M176" s="12"/>
      <c r="N176" s="33"/>
    </row>
    <row r="177" spans="1:14">
      <c r="A177" s="30" t="s">
        <v>1127</v>
      </c>
      <c r="B177" s="57" t="s">
        <v>884</v>
      </c>
      <c r="C177" s="8" t="s">
        <v>914</v>
      </c>
      <c r="D177" s="18" t="s">
        <v>912</v>
      </c>
      <c r="E177" s="39" t="s">
        <v>908</v>
      </c>
      <c r="F177" s="5"/>
      <c r="G177" s="9" t="s">
        <v>887</v>
      </c>
      <c r="H177" s="9" t="s">
        <v>891</v>
      </c>
      <c r="I177" s="5"/>
      <c r="J177" s="18"/>
      <c r="K177" s="9"/>
      <c r="L177" s="9"/>
      <c r="M177" s="12"/>
      <c r="N177" s="33"/>
    </row>
    <row r="178" spans="1:14">
      <c r="A178" s="30" t="s">
        <v>1128</v>
      </c>
      <c r="B178" s="57" t="s">
        <v>884</v>
      </c>
      <c r="C178" s="8" t="s">
        <v>914</v>
      </c>
      <c r="D178" s="18" t="s">
        <v>912</v>
      </c>
      <c r="E178" s="39" t="s">
        <v>909</v>
      </c>
      <c r="F178" s="5"/>
      <c r="G178" s="9" t="s">
        <v>890</v>
      </c>
      <c r="H178" s="9" t="s">
        <v>888</v>
      </c>
      <c r="I178" s="5"/>
      <c r="J178" s="18"/>
      <c r="K178" s="9"/>
      <c r="L178" s="9"/>
      <c r="M178" s="12"/>
      <c r="N178" s="33"/>
    </row>
    <row r="179" spans="1:14">
      <c r="A179" s="30" t="s">
        <v>1129</v>
      </c>
      <c r="B179" s="57" t="s">
        <v>884</v>
      </c>
      <c r="C179" s="8" t="s">
        <v>914</v>
      </c>
      <c r="D179" s="18" t="s">
        <v>912</v>
      </c>
      <c r="E179" s="39" t="s">
        <v>910</v>
      </c>
      <c r="F179" s="5"/>
      <c r="G179" s="9" t="s">
        <v>890</v>
      </c>
      <c r="H179" s="9" t="s">
        <v>888</v>
      </c>
      <c r="I179" s="5"/>
      <c r="J179" s="18"/>
      <c r="K179" s="9"/>
      <c r="L179" s="9"/>
      <c r="M179" s="12"/>
      <c r="N179" s="33"/>
    </row>
    <row r="180" spans="1:14">
      <c r="A180" s="30" t="s">
        <v>1130</v>
      </c>
      <c r="B180" s="57" t="s">
        <v>884</v>
      </c>
      <c r="C180" s="8" t="s">
        <v>914</v>
      </c>
      <c r="D180" s="18" t="s">
        <v>913</v>
      </c>
      <c r="E180" s="39" t="s">
        <v>854</v>
      </c>
      <c r="F180" s="5"/>
      <c r="G180" s="9" t="s">
        <v>887</v>
      </c>
      <c r="H180" s="9" t="s">
        <v>888</v>
      </c>
      <c r="I180" s="5"/>
      <c r="J180" s="18"/>
      <c r="K180" s="9"/>
      <c r="L180" s="9"/>
      <c r="M180" s="12"/>
      <c r="N180" s="33"/>
    </row>
    <row r="181" spans="1:14">
      <c r="A181" s="30" t="s">
        <v>1131</v>
      </c>
      <c r="B181" s="57" t="s">
        <v>884</v>
      </c>
      <c r="C181" s="8" t="s">
        <v>914</v>
      </c>
      <c r="D181" s="18" t="s">
        <v>913</v>
      </c>
      <c r="E181" s="39" t="s">
        <v>858</v>
      </c>
      <c r="F181" s="5"/>
      <c r="G181" s="9" t="s">
        <v>894</v>
      </c>
      <c r="H181" s="9" t="s">
        <v>895</v>
      </c>
      <c r="I181" s="5"/>
      <c r="J181" s="18"/>
      <c r="K181" s="9"/>
      <c r="L181" s="9"/>
      <c r="M181" s="12"/>
      <c r="N181" s="33"/>
    </row>
    <row r="182" spans="1:14">
      <c r="A182" s="30" t="s">
        <v>1132</v>
      </c>
      <c r="B182" s="57" t="s">
        <v>884</v>
      </c>
      <c r="C182" s="8" t="s">
        <v>914</v>
      </c>
      <c r="D182" s="18" t="s">
        <v>913</v>
      </c>
      <c r="E182" s="39" t="s">
        <v>859</v>
      </c>
      <c r="F182" s="5"/>
      <c r="G182" s="9" t="s">
        <v>887</v>
      </c>
      <c r="H182" s="9" t="s">
        <v>891</v>
      </c>
      <c r="I182" s="5"/>
      <c r="J182" s="18"/>
      <c r="K182" s="9"/>
      <c r="L182" s="9"/>
      <c r="M182" s="12"/>
      <c r="N182" s="33"/>
    </row>
    <row r="183" spans="1:14">
      <c r="A183" s="30" t="s">
        <v>1133</v>
      </c>
      <c r="B183" s="57" t="s">
        <v>884</v>
      </c>
      <c r="C183" s="8" t="s">
        <v>914</v>
      </c>
      <c r="D183" s="18" t="s">
        <v>913</v>
      </c>
      <c r="E183" s="39" t="s">
        <v>861</v>
      </c>
      <c r="F183" s="5"/>
      <c r="G183" s="9" t="s">
        <v>890</v>
      </c>
      <c r="H183" s="9" t="s">
        <v>888</v>
      </c>
      <c r="I183" s="5"/>
      <c r="J183" s="18"/>
      <c r="K183" s="9"/>
      <c r="L183" s="9"/>
      <c r="M183" s="12"/>
      <c r="N183" s="33"/>
    </row>
    <row r="184" spans="1:14">
      <c r="A184" s="30" t="s">
        <v>1134</v>
      </c>
      <c r="B184" s="57" t="s">
        <v>884</v>
      </c>
      <c r="C184" s="8" t="s">
        <v>914</v>
      </c>
      <c r="D184" s="18" t="s">
        <v>913</v>
      </c>
      <c r="E184" s="39" t="s">
        <v>862</v>
      </c>
      <c r="F184" s="5"/>
      <c r="G184" s="9" t="s">
        <v>890</v>
      </c>
      <c r="H184" s="9" t="s">
        <v>888</v>
      </c>
      <c r="I184" s="5"/>
      <c r="J184" s="18"/>
      <c r="K184" s="9"/>
      <c r="L184" s="9"/>
      <c r="M184" s="12"/>
      <c r="N184" s="33"/>
    </row>
    <row r="185" spans="1:14">
      <c r="A185" s="30" t="s">
        <v>1135</v>
      </c>
      <c r="B185" s="57" t="s">
        <v>884</v>
      </c>
      <c r="C185" s="8" t="s">
        <v>914</v>
      </c>
      <c r="D185" s="18" t="s">
        <v>913</v>
      </c>
      <c r="E185" s="39" t="s">
        <v>863</v>
      </c>
      <c r="F185" s="5"/>
      <c r="G185" s="9" t="s">
        <v>890</v>
      </c>
      <c r="H185" s="9" t="s">
        <v>888</v>
      </c>
      <c r="I185" s="5"/>
      <c r="J185" s="18"/>
      <c r="K185" s="9"/>
      <c r="L185" s="9"/>
      <c r="M185" s="12"/>
      <c r="N185" s="33"/>
    </row>
    <row r="186" spans="1:14">
      <c r="A186" s="30" t="s">
        <v>1136</v>
      </c>
      <c r="B186" s="57" t="s">
        <v>884</v>
      </c>
      <c r="C186" s="8" t="s">
        <v>914</v>
      </c>
      <c r="D186" s="18" t="s">
        <v>913</v>
      </c>
      <c r="E186" s="39" t="s">
        <v>864</v>
      </c>
      <c r="F186" s="5"/>
      <c r="G186" s="9" t="s">
        <v>890</v>
      </c>
      <c r="H186" s="9" t="s">
        <v>888</v>
      </c>
      <c r="I186" s="5"/>
      <c r="J186" s="18"/>
      <c r="K186" s="9"/>
      <c r="L186" s="9"/>
      <c r="M186" s="12"/>
      <c r="N186" s="33"/>
    </row>
    <row r="187" spans="1:14">
      <c r="A187" s="30" t="s">
        <v>1137</v>
      </c>
      <c r="B187" s="57" t="s">
        <v>884</v>
      </c>
      <c r="C187" s="8" t="s">
        <v>914</v>
      </c>
      <c r="D187" s="18" t="s">
        <v>913</v>
      </c>
      <c r="E187" s="39" t="s">
        <v>865</v>
      </c>
      <c r="F187" s="5"/>
      <c r="G187" s="9" t="s">
        <v>894</v>
      </c>
      <c r="H187" s="9" t="s">
        <v>895</v>
      </c>
      <c r="I187" s="5"/>
      <c r="J187" s="18"/>
      <c r="K187" s="9"/>
      <c r="L187" s="9"/>
      <c r="M187" s="12"/>
      <c r="N187" s="33"/>
    </row>
    <row r="188" spans="1:14">
      <c r="A188" s="30" t="s">
        <v>1138</v>
      </c>
      <c r="B188" s="57" t="s">
        <v>884</v>
      </c>
      <c r="C188" s="8" t="s">
        <v>914</v>
      </c>
      <c r="D188" s="18" t="s">
        <v>913</v>
      </c>
      <c r="E188" s="39" t="s">
        <v>892</v>
      </c>
      <c r="F188" s="5"/>
      <c r="G188" s="9" t="s">
        <v>894</v>
      </c>
      <c r="H188" s="9" t="s">
        <v>895</v>
      </c>
      <c r="I188" s="5"/>
      <c r="J188" s="18"/>
      <c r="K188" s="9"/>
      <c r="L188" s="9"/>
      <c r="M188" s="12"/>
      <c r="N188" s="33"/>
    </row>
    <row r="189" spans="1:14">
      <c r="A189" s="30" t="s">
        <v>1139</v>
      </c>
      <c r="B189" s="57" t="s">
        <v>884</v>
      </c>
      <c r="C189" s="8" t="s">
        <v>914</v>
      </c>
      <c r="D189" s="18" t="s">
        <v>913</v>
      </c>
      <c r="E189" s="39" t="s">
        <v>893</v>
      </c>
      <c r="F189" s="5"/>
      <c r="G189" s="9" t="s">
        <v>894</v>
      </c>
      <c r="H189" s="9" t="s">
        <v>895</v>
      </c>
      <c r="I189" s="5"/>
      <c r="J189" s="18"/>
      <c r="K189" s="9"/>
      <c r="L189" s="9"/>
      <c r="M189" s="12"/>
      <c r="N189" s="33"/>
    </row>
    <row r="190" spans="1:14">
      <c r="A190" s="30" t="s">
        <v>1140</v>
      </c>
      <c r="B190" s="57" t="s">
        <v>884</v>
      </c>
      <c r="C190" s="8" t="s">
        <v>914</v>
      </c>
      <c r="D190" s="18" t="s">
        <v>913</v>
      </c>
      <c r="E190" s="39" t="s">
        <v>896</v>
      </c>
      <c r="F190" s="5"/>
      <c r="G190" s="9" t="s">
        <v>887</v>
      </c>
      <c r="H190" s="9" t="s">
        <v>891</v>
      </c>
      <c r="I190" s="5"/>
      <c r="J190" s="18"/>
      <c r="K190" s="9"/>
      <c r="L190" s="9"/>
      <c r="M190" s="12"/>
      <c r="N190" s="33"/>
    </row>
    <row r="191" spans="1:14">
      <c r="A191" s="30" t="s">
        <v>1141</v>
      </c>
      <c r="B191" s="57" t="s">
        <v>884</v>
      </c>
      <c r="C191" s="8" t="s">
        <v>914</v>
      </c>
      <c r="D191" s="18" t="s">
        <v>913</v>
      </c>
      <c r="E191" s="39" t="s">
        <v>897</v>
      </c>
      <c r="F191" s="5"/>
      <c r="G191" s="9" t="s">
        <v>887</v>
      </c>
      <c r="H191" s="9" t="s">
        <v>891</v>
      </c>
      <c r="I191" s="5"/>
      <c r="J191" s="18"/>
      <c r="K191" s="9"/>
      <c r="L191" s="9"/>
      <c r="M191" s="12"/>
      <c r="N191" s="33"/>
    </row>
    <row r="192" spans="1:14">
      <c r="A192" s="30" t="s">
        <v>1142</v>
      </c>
      <c r="B192" s="57" t="s">
        <v>884</v>
      </c>
      <c r="C192" s="8" t="s">
        <v>914</v>
      </c>
      <c r="D192" s="18" t="s">
        <v>913</v>
      </c>
      <c r="E192" s="39" t="s">
        <v>898</v>
      </c>
      <c r="F192" s="5"/>
      <c r="G192" s="9" t="s">
        <v>894</v>
      </c>
      <c r="H192" s="9" t="s">
        <v>895</v>
      </c>
      <c r="I192" s="5"/>
      <c r="J192" s="18"/>
      <c r="K192" s="9"/>
      <c r="L192" s="9"/>
      <c r="M192" s="12"/>
      <c r="N192" s="33"/>
    </row>
    <row r="193" spans="1:14">
      <c r="A193" s="30" t="s">
        <v>1143</v>
      </c>
      <c r="B193" s="57" t="s">
        <v>884</v>
      </c>
      <c r="C193" s="8" t="s">
        <v>914</v>
      </c>
      <c r="D193" s="18" t="s">
        <v>913</v>
      </c>
      <c r="E193" s="39" t="s">
        <v>899</v>
      </c>
      <c r="F193" s="5"/>
      <c r="G193" s="9" t="s">
        <v>894</v>
      </c>
      <c r="H193" s="9" t="s">
        <v>895</v>
      </c>
      <c r="I193" s="5"/>
      <c r="J193" s="18"/>
      <c r="K193" s="9"/>
      <c r="L193" s="9"/>
      <c r="M193" s="12"/>
      <c r="N193" s="33"/>
    </row>
    <row r="194" spans="1:14">
      <c r="A194" s="30" t="s">
        <v>1144</v>
      </c>
      <c r="B194" s="57" t="s">
        <v>884</v>
      </c>
      <c r="C194" s="8" t="s">
        <v>914</v>
      </c>
      <c r="D194" s="18" t="s">
        <v>913</v>
      </c>
      <c r="E194" s="39" t="s">
        <v>900</v>
      </c>
      <c r="F194" s="5"/>
      <c r="G194" s="9" t="s">
        <v>894</v>
      </c>
      <c r="H194" s="9" t="s">
        <v>895</v>
      </c>
      <c r="I194" s="5"/>
      <c r="J194" s="18"/>
      <c r="K194" s="9"/>
      <c r="L194" s="9"/>
      <c r="M194" s="12"/>
      <c r="N194" s="33"/>
    </row>
    <row r="195" spans="1:14">
      <c r="A195" s="30" t="s">
        <v>1145</v>
      </c>
      <c r="B195" s="57" t="s">
        <v>884</v>
      </c>
      <c r="C195" s="8" t="s">
        <v>914</v>
      </c>
      <c r="D195" s="18" t="s">
        <v>913</v>
      </c>
      <c r="E195" s="39" t="s">
        <v>901</v>
      </c>
      <c r="F195" s="5"/>
      <c r="G195" s="9" t="s">
        <v>894</v>
      </c>
      <c r="H195" s="9" t="s">
        <v>895</v>
      </c>
      <c r="I195" s="5"/>
      <c r="J195" s="18"/>
      <c r="K195" s="9"/>
      <c r="L195" s="9"/>
      <c r="M195" s="12"/>
      <c r="N195" s="33"/>
    </row>
    <row r="196" spans="1:14">
      <c r="A196" s="30" t="s">
        <v>1146</v>
      </c>
      <c r="B196" s="57" t="s">
        <v>884</v>
      </c>
      <c r="C196" s="8" t="s">
        <v>914</v>
      </c>
      <c r="D196" s="18" t="s">
        <v>913</v>
      </c>
      <c r="E196" s="39" t="s">
        <v>902</v>
      </c>
      <c r="F196" s="5"/>
      <c r="G196" s="9" t="s">
        <v>887</v>
      </c>
      <c r="H196" s="9" t="s">
        <v>891</v>
      </c>
      <c r="I196" s="5"/>
      <c r="J196" s="18"/>
      <c r="K196" s="9"/>
      <c r="L196" s="9"/>
      <c r="M196" s="12"/>
      <c r="N196" s="33"/>
    </row>
    <row r="197" spans="1:14">
      <c r="A197" s="30" t="s">
        <v>1147</v>
      </c>
      <c r="B197" s="57" t="s">
        <v>884</v>
      </c>
      <c r="C197" s="8" t="s">
        <v>914</v>
      </c>
      <c r="D197" s="18" t="s">
        <v>913</v>
      </c>
      <c r="E197" s="39" t="s">
        <v>903</v>
      </c>
      <c r="F197" s="5"/>
      <c r="G197" s="9" t="s">
        <v>890</v>
      </c>
      <c r="H197" s="9" t="s">
        <v>888</v>
      </c>
      <c r="I197" s="5"/>
      <c r="J197" s="18"/>
      <c r="K197" s="9"/>
      <c r="L197" s="9"/>
      <c r="M197" s="12"/>
      <c r="N197" s="33"/>
    </row>
    <row r="198" spans="1:14">
      <c r="A198" s="30" t="s">
        <v>1148</v>
      </c>
      <c r="B198" s="57" t="s">
        <v>884</v>
      </c>
      <c r="C198" s="8" t="s">
        <v>914</v>
      </c>
      <c r="D198" s="18" t="s">
        <v>913</v>
      </c>
      <c r="E198" s="39" t="s">
        <v>904</v>
      </c>
      <c r="F198" s="5"/>
      <c r="G198" s="9" t="s">
        <v>890</v>
      </c>
      <c r="H198" s="9" t="s">
        <v>888</v>
      </c>
      <c r="I198" s="5"/>
      <c r="J198" s="18"/>
      <c r="K198" s="9"/>
      <c r="L198" s="9"/>
      <c r="M198" s="12"/>
      <c r="N198" s="33"/>
    </row>
    <row r="199" spans="1:14">
      <c r="A199" s="30" t="s">
        <v>1149</v>
      </c>
      <c r="B199" s="57" t="s">
        <v>884</v>
      </c>
      <c r="C199" s="8" t="s">
        <v>914</v>
      </c>
      <c r="D199" s="18" t="s">
        <v>913</v>
      </c>
      <c r="E199" s="39" t="s">
        <v>906</v>
      </c>
      <c r="F199" s="5"/>
      <c r="G199" s="9" t="s">
        <v>890</v>
      </c>
      <c r="H199" s="9" t="s">
        <v>888</v>
      </c>
      <c r="I199" s="5"/>
      <c r="J199" s="18"/>
      <c r="K199" s="9"/>
      <c r="L199" s="9"/>
      <c r="M199" s="12"/>
      <c r="N199" s="33"/>
    </row>
    <row r="200" spans="1:14">
      <c r="A200" s="30" t="s">
        <v>1150</v>
      </c>
      <c r="B200" s="57" t="s">
        <v>884</v>
      </c>
      <c r="C200" s="8" t="s">
        <v>914</v>
      </c>
      <c r="D200" s="18" t="s">
        <v>913</v>
      </c>
      <c r="E200" s="39" t="s">
        <v>907</v>
      </c>
      <c r="F200" s="5"/>
      <c r="G200" s="9" t="s">
        <v>890</v>
      </c>
      <c r="H200" s="9" t="s">
        <v>888</v>
      </c>
      <c r="I200" s="5"/>
      <c r="J200" s="18"/>
      <c r="K200" s="9"/>
      <c r="L200" s="9"/>
      <c r="M200" s="12"/>
      <c r="N200" s="33"/>
    </row>
    <row r="201" spans="1:14">
      <c r="A201" s="30" t="s">
        <v>1151</v>
      </c>
      <c r="B201" s="57" t="s">
        <v>884</v>
      </c>
      <c r="C201" s="8" t="s">
        <v>914</v>
      </c>
      <c r="D201" s="18" t="s">
        <v>913</v>
      </c>
      <c r="E201" s="39" t="s">
        <v>908</v>
      </c>
      <c r="F201" s="5"/>
      <c r="G201" s="9" t="s">
        <v>890</v>
      </c>
      <c r="H201" s="9" t="s">
        <v>888</v>
      </c>
      <c r="I201" s="5"/>
      <c r="J201" s="18"/>
      <c r="K201" s="9"/>
      <c r="L201" s="9"/>
      <c r="M201" s="12"/>
      <c r="N201" s="33"/>
    </row>
    <row r="202" spans="1:14">
      <c r="A202" s="30" t="s">
        <v>1152</v>
      </c>
      <c r="B202" s="57" t="s">
        <v>884</v>
      </c>
      <c r="C202" s="8" t="s">
        <v>914</v>
      </c>
      <c r="D202" s="18" t="s">
        <v>913</v>
      </c>
      <c r="E202" s="39" t="s">
        <v>909</v>
      </c>
      <c r="F202" s="5"/>
      <c r="G202" s="9" t="s">
        <v>890</v>
      </c>
      <c r="H202" s="9" t="s">
        <v>888</v>
      </c>
      <c r="I202" s="5"/>
      <c r="J202" s="18"/>
      <c r="K202" s="9"/>
      <c r="L202" s="9"/>
      <c r="M202" s="12"/>
      <c r="N202" s="33"/>
    </row>
    <row r="203" spans="1:14">
      <c r="A203" s="30" t="s">
        <v>1153</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23" sqref="E23"/>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45" t="s">
        <v>915</v>
      </c>
      <c r="B1" s="245"/>
      <c r="C1" s="245"/>
      <c r="D1" s="245"/>
      <c r="E1" s="245"/>
      <c r="F1" s="245"/>
      <c r="G1" s="245"/>
      <c r="H1" s="245"/>
      <c r="I1" s="245"/>
      <c r="J1" s="245"/>
      <c r="K1" s="245"/>
      <c r="L1" s="245"/>
      <c r="M1" s="246"/>
    </row>
    <row r="2" spans="1:13" ht="14.5">
      <c r="A2" s="247" t="s">
        <v>916</v>
      </c>
      <c r="B2" s="247"/>
      <c r="C2" s="247"/>
      <c r="D2" s="247"/>
      <c r="E2" s="247"/>
      <c r="F2" s="247"/>
      <c r="G2" s="247"/>
      <c r="H2" s="247"/>
      <c r="I2" s="247"/>
      <c r="J2" s="247"/>
      <c r="K2" s="247"/>
      <c r="L2" s="247"/>
      <c r="M2" s="248"/>
    </row>
    <row r="3" spans="1:13">
      <c r="A3" s="249" t="s">
        <v>917</v>
      </c>
      <c r="B3" s="249"/>
      <c r="C3" s="249"/>
      <c r="D3" s="249"/>
      <c r="E3" s="249"/>
      <c r="F3" s="249"/>
      <c r="G3" s="249"/>
      <c r="H3" s="249"/>
      <c r="I3" s="249"/>
      <c r="J3" s="249"/>
      <c r="K3" s="249"/>
      <c r="L3" s="249"/>
      <c r="M3" s="250"/>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1204</v>
      </c>
      <c r="J6" s="62"/>
      <c r="K6" s="62"/>
      <c r="L6" s="56"/>
      <c r="M6" s="57"/>
    </row>
    <row r="7" spans="1:13">
      <c r="A7" s="56" t="s">
        <v>928</v>
      </c>
      <c r="B7" s="57" t="s">
        <v>884</v>
      </c>
      <c r="C7" s="58">
        <v>2026</v>
      </c>
      <c r="D7" s="56" t="s">
        <v>929</v>
      </c>
      <c r="E7" s="59">
        <v>350000000</v>
      </c>
      <c r="F7" s="59">
        <v>23675000</v>
      </c>
      <c r="G7" s="60">
        <f t="shared" si="0"/>
        <v>39525000</v>
      </c>
      <c r="H7" s="61">
        <f t="shared" si="1"/>
        <v>0.11292857142857143</v>
      </c>
      <c r="I7" s="56" t="s">
        <v>1204</v>
      </c>
      <c r="J7" s="62"/>
      <c r="K7" s="62"/>
      <c r="L7" s="56"/>
      <c r="M7" s="57"/>
    </row>
    <row r="8" spans="1:13">
      <c r="A8" s="56" t="s">
        <v>930</v>
      </c>
      <c r="B8" s="57" t="s">
        <v>884</v>
      </c>
      <c r="C8" s="58">
        <v>2026</v>
      </c>
      <c r="D8" s="56" t="s">
        <v>931</v>
      </c>
      <c r="E8" s="59">
        <v>350000000</v>
      </c>
      <c r="F8" s="59">
        <v>24950000</v>
      </c>
      <c r="G8" s="60">
        <f t="shared" si="0"/>
        <v>64475000</v>
      </c>
      <c r="H8" s="61">
        <f t="shared" si="1"/>
        <v>0.18421428571428572</v>
      </c>
      <c r="I8" s="56" t="s">
        <v>1204</v>
      </c>
      <c r="J8" s="62"/>
      <c r="K8" s="62"/>
      <c r="L8" s="56"/>
      <c r="M8" s="57"/>
    </row>
    <row r="9" spans="1:13">
      <c r="A9" s="56" t="s">
        <v>932</v>
      </c>
      <c r="B9" s="57" t="s">
        <v>884</v>
      </c>
      <c r="C9" s="58">
        <v>2026</v>
      </c>
      <c r="D9" s="56" t="s">
        <v>933</v>
      </c>
      <c r="E9" s="59">
        <v>350000000</v>
      </c>
      <c r="F9" s="59">
        <v>32950000</v>
      </c>
      <c r="G9" s="60">
        <f t="shared" si="0"/>
        <v>97425000</v>
      </c>
      <c r="H9" s="61">
        <f t="shared" si="1"/>
        <v>0.27835714285714286</v>
      </c>
      <c r="I9" s="56" t="s">
        <v>1204</v>
      </c>
      <c r="J9" s="62"/>
      <c r="K9" s="62"/>
      <c r="L9" s="56"/>
      <c r="M9" s="57"/>
    </row>
    <row r="10" spans="1:13">
      <c r="A10" s="56" t="s">
        <v>934</v>
      </c>
      <c r="B10" s="57" t="s">
        <v>884</v>
      </c>
      <c r="C10" s="58">
        <v>2026</v>
      </c>
      <c r="D10" s="56" t="s">
        <v>935</v>
      </c>
      <c r="E10" s="59">
        <v>350000000</v>
      </c>
      <c r="F10" s="59">
        <v>23000000</v>
      </c>
      <c r="G10" s="60">
        <f t="shared" si="0"/>
        <v>120425000</v>
      </c>
      <c r="H10" s="61">
        <f t="shared" si="1"/>
        <v>0.34407142857142858</v>
      </c>
      <c r="I10" s="56" t="s">
        <v>1204</v>
      </c>
      <c r="J10" s="62"/>
      <c r="K10" s="62"/>
      <c r="L10" s="56"/>
      <c r="M10" s="57"/>
    </row>
    <row r="11" spans="1:13">
      <c r="A11" s="56" t="s">
        <v>2278</v>
      </c>
      <c r="B11" s="57" t="s">
        <v>884</v>
      </c>
      <c r="C11" s="58">
        <v>2026</v>
      </c>
      <c r="D11" s="56" t="s">
        <v>2277</v>
      </c>
      <c r="E11" s="59">
        <v>350000000</v>
      </c>
      <c r="F11" s="59">
        <v>34775000</v>
      </c>
      <c r="G11" s="60">
        <f t="shared" si="0"/>
        <v>155200000</v>
      </c>
      <c r="H11" s="61">
        <f t="shared" si="1"/>
        <v>0.44342857142857145</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phoneticPr fontId="17" type="noConversion"/>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32" t="s">
        <v>936</v>
      </c>
      <c r="B1" s="232"/>
      <c r="C1" s="232"/>
      <c r="D1" s="232"/>
      <c r="E1" s="232"/>
      <c r="F1" s="232"/>
      <c r="G1" s="232"/>
      <c r="H1" s="232"/>
      <c r="I1" s="232"/>
      <c r="J1" s="232"/>
      <c r="K1" s="232"/>
      <c r="L1" s="232"/>
      <c r="M1" s="232"/>
      <c r="N1" s="232"/>
    </row>
    <row r="2" spans="1:14">
      <c r="A2" s="234" t="s">
        <v>937</v>
      </c>
      <c r="B2" s="234"/>
      <c r="C2" s="234"/>
      <c r="D2" s="234"/>
      <c r="E2" s="234"/>
      <c r="F2" s="234"/>
      <c r="G2" s="234"/>
      <c r="H2" s="234"/>
      <c r="I2" s="234"/>
      <c r="J2" s="234"/>
      <c r="K2" s="234"/>
      <c r="L2" s="234"/>
      <c r="M2" s="234"/>
      <c r="N2" s="234"/>
    </row>
    <row r="3" spans="1:14">
      <c r="A3" s="235" t="s">
        <v>847</v>
      </c>
      <c r="B3" s="235"/>
      <c r="C3" s="235"/>
      <c r="D3" s="235"/>
      <c r="E3" s="235"/>
      <c r="F3" s="235"/>
      <c r="G3" s="235"/>
      <c r="H3" s="235"/>
      <c r="I3" s="235"/>
      <c r="J3" s="235"/>
      <c r="K3" s="235"/>
      <c r="L3" s="235"/>
      <c r="M3" s="235"/>
      <c r="N3" s="235"/>
    </row>
    <row r="5" spans="1:14" ht="26">
      <c r="A5" s="1" t="s">
        <v>938</v>
      </c>
      <c r="B5" s="2" t="s">
        <v>877</v>
      </c>
      <c r="C5" s="2" t="s">
        <v>939</v>
      </c>
      <c r="D5" s="2" t="s">
        <v>940</v>
      </c>
      <c r="E5" s="2" t="s">
        <v>941</v>
      </c>
      <c r="F5" s="64" t="s">
        <v>942</v>
      </c>
      <c r="G5" s="2" t="s">
        <v>943</v>
      </c>
      <c r="H5" s="2" t="s">
        <v>944</v>
      </c>
      <c r="I5" s="2" t="s">
        <v>945</v>
      </c>
      <c r="J5" s="2" t="s">
        <v>26</v>
      </c>
      <c r="K5" s="2" t="s">
        <v>27</v>
      </c>
      <c r="L5" s="2" t="s">
        <v>28</v>
      </c>
      <c r="M5" s="2" t="s">
        <v>29</v>
      </c>
      <c r="N5" s="3" t="s">
        <v>30</v>
      </c>
    </row>
    <row r="6" spans="1:14">
      <c r="A6" s="29" t="s">
        <v>1154</v>
      </c>
      <c r="B6" s="8" t="s">
        <v>884</v>
      </c>
      <c r="C6" s="8" t="s">
        <v>946</v>
      </c>
      <c r="D6" s="4"/>
      <c r="E6" s="8" t="s">
        <v>947</v>
      </c>
      <c r="F6" s="8" t="s">
        <v>948</v>
      </c>
      <c r="G6" s="8"/>
      <c r="H6" s="8"/>
      <c r="I6" s="11"/>
      <c r="J6" s="17"/>
      <c r="K6" s="8"/>
      <c r="L6" s="8"/>
      <c r="M6" s="11"/>
      <c r="N6" s="32"/>
    </row>
    <row r="7" spans="1:14">
      <c r="A7" s="30" t="s">
        <v>1155</v>
      </c>
      <c r="B7" s="9" t="s">
        <v>884</v>
      </c>
      <c r="C7" s="9" t="s">
        <v>949</v>
      </c>
      <c r="D7" s="5"/>
      <c r="E7" s="9" t="s">
        <v>888</v>
      </c>
      <c r="F7" s="9" t="s">
        <v>948</v>
      </c>
      <c r="G7" s="9"/>
      <c r="H7" s="9"/>
      <c r="I7" s="12"/>
      <c r="J7" s="18"/>
      <c r="K7" s="9"/>
      <c r="L7" s="9"/>
      <c r="M7" s="12"/>
      <c r="N7" s="33"/>
    </row>
    <row r="8" spans="1:14">
      <c r="A8" s="30" t="s">
        <v>1156</v>
      </c>
      <c r="B8" s="9" t="s">
        <v>884</v>
      </c>
      <c r="C8" s="9" t="s">
        <v>950</v>
      </c>
      <c r="D8" s="5"/>
      <c r="E8" s="9" t="s">
        <v>905</v>
      </c>
      <c r="F8" s="9" t="s">
        <v>951</v>
      </c>
      <c r="G8" s="9"/>
      <c r="H8" s="9"/>
      <c r="I8" s="12"/>
      <c r="J8" s="18"/>
      <c r="K8" s="9"/>
      <c r="L8" s="9"/>
      <c r="M8" s="12"/>
      <c r="N8" s="33"/>
    </row>
    <row r="9" spans="1:14">
      <c r="A9" s="30" t="s">
        <v>1157</v>
      </c>
      <c r="B9" s="9" t="s">
        <v>884</v>
      </c>
      <c r="C9" s="9" t="s">
        <v>952</v>
      </c>
      <c r="D9" s="5"/>
      <c r="E9" s="9" t="s">
        <v>947</v>
      </c>
      <c r="F9" s="9" t="s">
        <v>948</v>
      </c>
      <c r="G9" s="9"/>
      <c r="H9" s="9"/>
      <c r="I9" s="12"/>
      <c r="J9" s="18"/>
      <c r="K9" s="9"/>
      <c r="L9" s="9"/>
      <c r="M9" s="12"/>
      <c r="N9" s="33"/>
    </row>
    <row r="10" spans="1:14">
      <c r="A10" s="30" t="s">
        <v>1158</v>
      </c>
      <c r="B10" s="9" t="s">
        <v>884</v>
      </c>
      <c r="C10" s="9" t="s">
        <v>953</v>
      </c>
      <c r="D10" s="5"/>
      <c r="E10" s="9" t="s">
        <v>891</v>
      </c>
      <c r="F10" s="9" t="s">
        <v>948</v>
      </c>
      <c r="G10" s="9"/>
      <c r="H10" s="9"/>
      <c r="I10" s="12"/>
      <c r="J10" s="18"/>
      <c r="K10" s="9"/>
      <c r="L10" s="9"/>
      <c r="M10" s="12"/>
      <c r="N10" s="33"/>
    </row>
    <row r="11" spans="1:14">
      <c r="A11" s="30" t="s">
        <v>1159</v>
      </c>
      <c r="B11" s="9" t="s">
        <v>884</v>
      </c>
      <c r="C11" s="9" t="s">
        <v>954</v>
      </c>
      <c r="D11" s="5"/>
      <c r="E11" s="9" t="s">
        <v>891</v>
      </c>
      <c r="F11" s="9" t="s">
        <v>948</v>
      </c>
      <c r="G11" s="9"/>
      <c r="H11" s="9"/>
      <c r="I11" s="12"/>
      <c r="J11" s="18"/>
      <c r="K11" s="9"/>
      <c r="L11" s="9"/>
      <c r="M11" s="12"/>
      <c r="N11" s="33"/>
    </row>
    <row r="12" spans="1:14">
      <c r="A12" s="30" t="s">
        <v>1160</v>
      </c>
      <c r="B12" s="9" t="s">
        <v>884</v>
      </c>
      <c r="C12" s="9" t="s">
        <v>955</v>
      </c>
      <c r="D12" s="5"/>
      <c r="E12" s="9" t="s">
        <v>947</v>
      </c>
      <c r="F12" s="9" t="s">
        <v>948</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54" t="s">
        <v>2102</v>
      </c>
      <c r="B1" s="254"/>
      <c r="C1" s="254"/>
      <c r="D1" s="254"/>
      <c r="E1" s="254"/>
      <c r="F1" s="254"/>
      <c r="G1" s="254"/>
      <c r="H1" s="254"/>
      <c r="I1" s="254"/>
      <c r="J1" s="254"/>
      <c r="K1" s="254"/>
      <c r="L1" s="254"/>
      <c r="M1" s="254"/>
      <c r="N1" s="254"/>
      <c r="O1" s="254"/>
    </row>
    <row r="2" spans="1:15" ht="16" customHeight="1">
      <c r="A2" s="255" t="s">
        <v>2101</v>
      </c>
      <c r="B2" s="255"/>
      <c r="C2" s="255"/>
      <c r="D2" s="255"/>
      <c r="E2" s="255"/>
      <c r="F2" s="255"/>
      <c r="G2" s="255"/>
      <c r="H2" s="255"/>
      <c r="I2" s="255"/>
      <c r="J2" s="255"/>
      <c r="K2" s="255"/>
      <c r="L2" s="255"/>
      <c r="M2" s="255"/>
      <c r="N2" s="255"/>
      <c r="O2" s="255"/>
    </row>
    <row r="3" spans="1:15" ht="22.65" customHeight="1">
      <c r="A3" s="256" t="s">
        <v>2100</v>
      </c>
      <c r="B3" s="256"/>
      <c r="C3" s="256"/>
      <c r="D3" s="256"/>
      <c r="E3" s="256"/>
      <c r="F3" s="256"/>
      <c r="G3" s="256"/>
      <c r="H3" s="256"/>
      <c r="I3" s="256"/>
      <c r="J3" s="256"/>
      <c r="K3" s="256"/>
      <c r="L3" s="256"/>
      <c r="M3" s="256"/>
      <c r="N3" s="256"/>
      <c r="O3" s="256"/>
    </row>
    <row r="5" spans="1:15" ht="25.4" customHeight="1">
      <c r="A5" s="163" t="s">
        <v>2099</v>
      </c>
      <c r="B5" s="162" t="s">
        <v>919</v>
      </c>
      <c r="C5" s="162" t="s">
        <v>2098</v>
      </c>
      <c r="D5" s="162" t="s">
        <v>2097</v>
      </c>
      <c r="E5" s="162" t="s">
        <v>2096</v>
      </c>
      <c r="F5" s="162" t="s">
        <v>2095</v>
      </c>
      <c r="G5" s="162" t="s">
        <v>2094</v>
      </c>
      <c r="H5" s="162" t="s">
        <v>2093</v>
      </c>
      <c r="I5" s="162" t="s">
        <v>2092</v>
      </c>
      <c r="J5" s="162" t="s">
        <v>2091</v>
      </c>
      <c r="K5" s="162" t="s">
        <v>27</v>
      </c>
      <c r="L5" s="162" t="s">
        <v>28</v>
      </c>
      <c r="M5" s="162" t="s">
        <v>29</v>
      </c>
      <c r="N5" s="162" t="s">
        <v>30</v>
      </c>
      <c r="O5" s="161" t="s">
        <v>853</v>
      </c>
    </row>
    <row r="6" spans="1:15" ht="16" customHeight="1">
      <c r="A6" s="160" t="s">
        <v>2090</v>
      </c>
      <c r="B6" s="159">
        <v>2018</v>
      </c>
      <c r="C6" s="159" t="s">
        <v>2074</v>
      </c>
      <c r="D6" s="159" t="s">
        <v>2072</v>
      </c>
      <c r="E6" s="158">
        <v>87</v>
      </c>
      <c r="F6" s="158">
        <v>36</v>
      </c>
      <c r="G6" s="158">
        <v>122</v>
      </c>
      <c r="H6" s="158">
        <v>0</v>
      </c>
      <c r="I6" s="158">
        <v>0</v>
      </c>
      <c r="J6" s="158">
        <f t="shared" ref="J6:J23" si="0">SUM(E6:I6)</f>
        <v>245</v>
      </c>
      <c r="K6" s="157" t="s">
        <v>1278</v>
      </c>
      <c r="L6" s="157" t="s">
        <v>927</v>
      </c>
      <c r="M6" s="157"/>
      <c r="N6" s="157"/>
      <c r="O6" s="156"/>
    </row>
    <row r="7" spans="1:15" ht="16" customHeight="1">
      <c r="A7" s="155" t="s">
        <v>2089</v>
      </c>
      <c r="B7" s="154">
        <v>2018</v>
      </c>
      <c r="C7" s="154" t="s">
        <v>2074</v>
      </c>
      <c r="D7" s="154" t="s">
        <v>2069</v>
      </c>
      <c r="E7" s="153">
        <v>169</v>
      </c>
      <c r="F7" s="153">
        <v>46</v>
      </c>
      <c r="G7" s="153">
        <v>0</v>
      </c>
      <c r="H7" s="153">
        <v>0</v>
      </c>
      <c r="I7" s="153">
        <v>0</v>
      </c>
      <c r="J7" s="153">
        <f t="shared" si="0"/>
        <v>215</v>
      </c>
      <c r="K7" s="152" t="s">
        <v>1278</v>
      </c>
      <c r="L7" s="152" t="s">
        <v>927</v>
      </c>
      <c r="M7" s="152"/>
      <c r="N7" s="152"/>
      <c r="O7" s="151"/>
    </row>
    <row r="8" spans="1:15" ht="16" customHeight="1">
      <c r="A8" s="155" t="s">
        <v>2088</v>
      </c>
      <c r="B8" s="154">
        <v>2019</v>
      </c>
      <c r="C8" s="154" t="s">
        <v>2074</v>
      </c>
      <c r="D8" s="154" t="s">
        <v>2072</v>
      </c>
      <c r="E8" s="153">
        <v>70</v>
      </c>
      <c r="F8" s="153">
        <v>0</v>
      </c>
      <c r="G8" s="153">
        <v>111</v>
      </c>
      <c r="H8" s="153">
        <v>0</v>
      </c>
      <c r="I8" s="153">
        <v>0</v>
      </c>
      <c r="J8" s="153">
        <f t="shared" si="0"/>
        <v>181</v>
      </c>
      <c r="K8" s="152" t="s">
        <v>1278</v>
      </c>
      <c r="L8" s="152" t="s">
        <v>927</v>
      </c>
      <c r="M8" s="152"/>
      <c r="N8" s="152"/>
      <c r="O8" s="151"/>
    </row>
    <row r="9" spans="1:15" ht="16" customHeight="1">
      <c r="A9" s="155" t="s">
        <v>2087</v>
      </c>
      <c r="B9" s="154">
        <v>2019</v>
      </c>
      <c r="C9" s="154" t="s">
        <v>2074</v>
      </c>
      <c r="D9" s="154" t="s">
        <v>2069</v>
      </c>
      <c r="E9" s="153">
        <v>50</v>
      </c>
      <c r="F9" s="153">
        <v>12</v>
      </c>
      <c r="G9" s="153">
        <v>0</v>
      </c>
      <c r="H9" s="153">
        <v>57</v>
      </c>
      <c r="I9" s="153">
        <v>0</v>
      </c>
      <c r="J9" s="153">
        <f t="shared" si="0"/>
        <v>119</v>
      </c>
      <c r="K9" s="152" t="s">
        <v>1278</v>
      </c>
      <c r="L9" s="152" t="s">
        <v>927</v>
      </c>
      <c r="M9" s="152"/>
      <c r="N9" s="152"/>
      <c r="O9" s="151"/>
    </row>
    <row r="10" spans="1:15" ht="16" customHeight="1">
      <c r="A10" s="155" t="s">
        <v>2086</v>
      </c>
      <c r="B10" s="154">
        <v>2020</v>
      </c>
      <c r="C10" s="154" t="s">
        <v>2074</v>
      </c>
      <c r="D10" s="154" t="s">
        <v>2072</v>
      </c>
      <c r="E10" s="153">
        <v>8</v>
      </c>
      <c r="F10" s="153">
        <v>0</v>
      </c>
      <c r="G10" s="153">
        <v>19</v>
      </c>
      <c r="H10" s="153">
        <v>0</v>
      </c>
      <c r="I10" s="153">
        <v>0</v>
      </c>
      <c r="J10" s="153">
        <f t="shared" si="0"/>
        <v>27</v>
      </c>
      <c r="K10" s="152" t="s">
        <v>1278</v>
      </c>
      <c r="L10" s="152" t="s">
        <v>927</v>
      </c>
      <c r="M10" s="152"/>
      <c r="N10" s="152"/>
      <c r="O10" s="151"/>
    </row>
    <row r="11" spans="1:15" ht="16" customHeight="1">
      <c r="A11" s="155" t="s">
        <v>2085</v>
      </c>
      <c r="B11" s="154">
        <v>2020</v>
      </c>
      <c r="C11" s="154" t="s">
        <v>2074</v>
      </c>
      <c r="D11" s="154" t="s">
        <v>2069</v>
      </c>
      <c r="E11" s="153">
        <v>40</v>
      </c>
      <c r="F11" s="153">
        <v>0</v>
      </c>
      <c r="G11" s="153">
        <v>80</v>
      </c>
      <c r="H11" s="153">
        <v>23</v>
      </c>
      <c r="I11" s="153">
        <v>0</v>
      </c>
      <c r="J11" s="153">
        <f t="shared" si="0"/>
        <v>143</v>
      </c>
      <c r="K11" s="152" t="s">
        <v>1278</v>
      </c>
      <c r="L11" s="152" t="s">
        <v>927</v>
      </c>
      <c r="M11" s="152"/>
      <c r="N11" s="152"/>
      <c r="O11" s="151"/>
    </row>
    <row r="12" spans="1:15" ht="16" customHeight="1">
      <c r="A12" s="155" t="s">
        <v>2084</v>
      </c>
      <c r="B12" s="154">
        <v>2021</v>
      </c>
      <c r="C12" s="154" t="s">
        <v>2074</v>
      </c>
      <c r="D12" s="154" t="s">
        <v>2072</v>
      </c>
      <c r="E12" s="153">
        <v>6</v>
      </c>
      <c r="F12" s="153">
        <v>0</v>
      </c>
      <c r="G12" s="153">
        <v>0</v>
      </c>
      <c r="H12" s="153">
        <v>0</v>
      </c>
      <c r="I12" s="153">
        <v>0</v>
      </c>
      <c r="J12" s="153">
        <f t="shared" si="0"/>
        <v>6</v>
      </c>
      <c r="K12" s="152" t="s">
        <v>1278</v>
      </c>
      <c r="L12" s="152" t="s">
        <v>927</v>
      </c>
      <c r="M12" s="152"/>
      <c r="N12" s="152"/>
      <c r="O12" s="151"/>
    </row>
    <row r="13" spans="1:15" ht="16" customHeight="1">
      <c r="A13" s="155" t="s">
        <v>2083</v>
      </c>
      <c r="B13" s="154">
        <v>2021</v>
      </c>
      <c r="C13" s="154" t="s">
        <v>2074</v>
      </c>
      <c r="D13" s="154" t="s">
        <v>2069</v>
      </c>
      <c r="E13" s="153">
        <v>16</v>
      </c>
      <c r="F13" s="153">
        <v>0</v>
      </c>
      <c r="G13" s="153">
        <v>47</v>
      </c>
      <c r="H13" s="153">
        <v>99</v>
      </c>
      <c r="I13" s="153">
        <v>0</v>
      </c>
      <c r="J13" s="153">
        <f t="shared" si="0"/>
        <v>162</v>
      </c>
      <c r="K13" s="152" t="s">
        <v>1278</v>
      </c>
      <c r="L13" s="152" t="s">
        <v>927</v>
      </c>
      <c r="M13" s="152"/>
      <c r="N13" s="152"/>
      <c r="O13" s="151"/>
    </row>
    <row r="14" spans="1:15" ht="16" customHeight="1">
      <c r="A14" s="155" t="s">
        <v>2082</v>
      </c>
      <c r="B14" s="154">
        <v>2022</v>
      </c>
      <c r="C14" s="154" t="s">
        <v>2074</v>
      </c>
      <c r="D14" s="154" t="s">
        <v>2072</v>
      </c>
      <c r="E14" s="153">
        <v>4</v>
      </c>
      <c r="F14" s="153">
        <v>0</v>
      </c>
      <c r="G14" s="153">
        <v>0</v>
      </c>
      <c r="H14" s="153">
        <v>0</v>
      </c>
      <c r="I14" s="153">
        <v>0</v>
      </c>
      <c r="J14" s="153">
        <f t="shared" si="0"/>
        <v>4</v>
      </c>
      <c r="K14" s="152" t="s">
        <v>1278</v>
      </c>
      <c r="L14" s="152" t="s">
        <v>927</v>
      </c>
      <c r="M14" s="152"/>
      <c r="N14" s="152"/>
      <c r="O14" s="151"/>
    </row>
    <row r="15" spans="1:15" ht="16" customHeight="1">
      <c r="A15" s="155" t="s">
        <v>2081</v>
      </c>
      <c r="B15" s="154">
        <v>2022</v>
      </c>
      <c r="C15" s="154" t="s">
        <v>2074</v>
      </c>
      <c r="D15" s="154" t="s">
        <v>2069</v>
      </c>
      <c r="E15" s="153">
        <v>18</v>
      </c>
      <c r="F15" s="153">
        <v>0</v>
      </c>
      <c r="G15" s="153">
        <v>0</v>
      </c>
      <c r="H15" s="153">
        <v>0</v>
      </c>
      <c r="I15" s="153">
        <v>0</v>
      </c>
      <c r="J15" s="153">
        <f t="shared" si="0"/>
        <v>18</v>
      </c>
      <c r="K15" s="152" t="s">
        <v>1278</v>
      </c>
      <c r="L15" s="152" t="s">
        <v>927</v>
      </c>
      <c r="M15" s="152"/>
      <c r="N15" s="152"/>
      <c r="O15" s="151"/>
    </row>
    <row r="16" spans="1:15" ht="16" customHeight="1">
      <c r="A16" s="155" t="s">
        <v>2080</v>
      </c>
      <c r="B16" s="154">
        <v>2023</v>
      </c>
      <c r="C16" s="154" t="s">
        <v>2074</v>
      </c>
      <c r="D16" s="154" t="s">
        <v>2072</v>
      </c>
      <c r="E16" s="153">
        <v>4</v>
      </c>
      <c r="F16" s="153">
        <v>0</v>
      </c>
      <c r="G16" s="153">
        <v>0</v>
      </c>
      <c r="H16" s="153">
        <v>0</v>
      </c>
      <c r="I16" s="153">
        <v>0</v>
      </c>
      <c r="J16" s="153">
        <f t="shared" si="0"/>
        <v>4</v>
      </c>
      <c r="K16" s="152" t="s">
        <v>1278</v>
      </c>
      <c r="L16" s="152" t="s">
        <v>927</v>
      </c>
      <c r="M16" s="152"/>
      <c r="N16" s="152"/>
      <c r="O16" s="151"/>
    </row>
    <row r="17" spans="1:15" ht="16" customHeight="1">
      <c r="A17" s="155" t="s">
        <v>2079</v>
      </c>
      <c r="B17" s="154">
        <v>2023</v>
      </c>
      <c r="C17" s="154" t="s">
        <v>2074</v>
      </c>
      <c r="D17" s="154" t="s">
        <v>2069</v>
      </c>
      <c r="E17" s="153">
        <v>11</v>
      </c>
      <c r="F17" s="153">
        <v>0</v>
      </c>
      <c r="G17" s="153">
        <v>0</v>
      </c>
      <c r="H17" s="153">
        <v>0</v>
      </c>
      <c r="I17" s="153">
        <v>0</v>
      </c>
      <c r="J17" s="153">
        <f t="shared" si="0"/>
        <v>11</v>
      </c>
      <c r="K17" s="152" t="s">
        <v>1278</v>
      </c>
      <c r="L17" s="152" t="s">
        <v>927</v>
      </c>
      <c r="M17" s="152"/>
      <c r="N17" s="152"/>
      <c r="O17" s="151"/>
    </row>
    <row r="18" spans="1:15" ht="16" customHeight="1">
      <c r="A18" s="155" t="s">
        <v>2078</v>
      </c>
      <c r="B18" s="154">
        <v>2024</v>
      </c>
      <c r="C18" s="154" t="s">
        <v>2074</v>
      </c>
      <c r="D18" s="154" t="s">
        <v>2072</v>
      </c>
      <c r="E18" s="153">
        <v>0</v>
      </c>
      <c r="F18" s="153">
        <v>20</v>
      </c>
      <c r="G18" s="153">
        <v>0</v>
      </c>
      <c r="H18" s="153">
        <v>0</v>
      </c>
      <c r="I18" s="153">
        <v>0</v>
      </c>
      <c r="J18" s="153">
        <f t="shared" si="0"/>
        <v>20</v>
      </c>
      <c r="K18" s="152" t="s">
        <v>1278</v>
      </c>
      <c r="L18" s="152" t="s">
        <v>927</v>
      </c>
      <c r="M18" s="152"/>
      <c r="N18" s="152"/>
      <c r="O18" s="151"/>
    </row>
    <row r="19" spans="1:15" ht="16" customHeight="1">
      <c r="A19" s="155" t="s">
        <v>2077</v>
      </c>
      <c r="B19" s="154">
        <v>2024</v>
      </c>
      <c r="C19" s="154" t="s">
        <v>2074</v>
      </c>
      <c r="D19" s="154" t="s">
        <v>2069</v>
      </c>
      <c r="E19" s="153">
        <v>8</v>
      </c>
      <c r="F19" s="153">
        <v>0</v>
      </c>
      <c r="G19" s="153">
        <v>0</v>
      </c>
      <c r="H19" s="153">
        <v>0</v>
      </c>
      <c r="I19" s="153">
        <v>2</v>
      </c>
      <c r="J19" s="153">
        <f t="shared" si="0"/>
        <v>10</v>
      </c>
      <c r="K19" s="152" t="s">
        <v>1278</v>
      </c>
      <c r="L19" s="152" t="s">
        <v>927</v>
      </c>
      <c r="M19" s="152"/>
      <c r="N19" s="152"/>
      <c r="O19" s="151"/>
    </row>
    <row r="20" spans="1:15" ht="16" customHeight="1">
      <c r="A20" s="155" t="s">
        <v>2076</v>
      </c>
      <c r="B20" s="154">
        <v>2025</v>
      </c>
      <c r="C20" s="154" t="s">
        <v>2074</v>
      </c>
      <c r="D20" s="154" t="s">
        <v>2072</v>
      </c>
      <c r="E20" s="153">
        <v>1</v>
      </c>
      <c r="F20" s="153">
        <v>0</v>
      </c>
      <c r="G20" s="153">
        <v>0</v>
      </c>
      <c r="H20" s="153">
        <v>1</v>
      </c>
      <c r="I20" s="153">
        <v>0</v>
      </c>
      <c r="J20" s="153">
        <f t="shared" si="0"/>
        <v>2</v>
      </c>
      <c r="K20" s="152" t="s">
        <v>1278</v>
      </c>
      <c r="L20" s="152" t="s">
        <v>927</v>
      </c>
      <c r="M20" s="152"/>
      <c r="N20" s="152"/>
      <c r="O20" s="151"/>
    </row>
    <row r="21" spans="1:15" ht="16" customHeight="1">
      <c r="A21" s="155" t="s">
        <v>2075</v>
      </c>
      <c r="B21" s="154">
        <v>2025</v>
      </c>
      <c r="C21" s="154" t="s">
        <v>2074</v>
      </c>
      <c r="D21" s="154" t="s">
        <v>2069</v>
      </c>
      <c r="E21" s="153">
        <v>4</v>
      </c>
      <c r="F21" s="153">
        <v>0</v>
      </c>
      <c r="G21" s="153">
        <v>0</v>
      </c>
      <c r="H21" s="153">
        <v>49</v>
      </c>
      <c r="I21" s="153">
        <v>6</v>
      </c>
      <c r="J21" s="153">
        <f t="shared" si="0"/>
        <v>59</v>
      </c>
      <c r="K21" s="152" t="s">
        <v>1278</v>
      </c>
      <c r="L21" s="152" t="s">
        <v>927</v>
      </c>
      <c r="M21" s="152"/>
      <c r="N21" s="152"/>
      <c r="O21" s="151"/>
    </row>
    <row r="22" spans="1:15" ht="16" customHeight="1">
      <c r="A22" s="155" t="s">
        <v>2073</v>
      </c>
      <c r="B22" s="154">
        <v>2026</v>
      </c>
      <c r="C22" s="154" t="s">
        <v>2070</v>
      </c>
      <c r="D22" s="154" t="s">
        <v>2072</v>
      </c>
      <c r="E22" s="153">
        <v>2</v>
      </c>
      <c r="F22" s="153">
        <v>0</v>
      </c>
      <c r="G22" s="153">
        <v>0</v>
      </c>
      <c r="H22" s="153">
        <v>0</v>
      </c>
      <c r="I22" s="153">
        <v>0</v>
      </c>
      <c r="J22" s="153">
        <f t="shared" si="0"/>
        <v>2</v>
      </c>
      <c r="K22" s="152" t="s">
        <v>1278</v>
      </c>
      <c r="L22" s="152" t="s">
        <v>927</v>
      </c>
      <c r="M22" s="152"/>
      <c r="N22" s="152"/>
      <c r="O22" s="151" t="s">
        <v>2068</v>
      </c>
    </row>
    <row r="23" spans="1:15" ht="16" customHeight="1">
      <c r="A23" s="150" t="s">
        <v>2071</v>
      </c>
      <c r="B23" s="149">
        <v>2026</v>
      </c>
      <c r="C23" s="149" t="s">
        <v>2070</v>
      </c>
      <c r="D23" s="149" t="s">
        <v>2069</v>
      </c>
      <c r="E23" s="148">
        <v>8</v>
      </c>
      <c r="F23" s="148">
        <v>0</v>
      </c>
      <c r="G23" s="148">
        <v>0</v>
      </c>
      <c r="H23" s="148">
        <v>135</v>
      </c>
      <c r="I23" s="148">
        <v>0</v>
      </c>
      <c r="J23" s="148">
        <f t="shared" si="0"/>
        <v>143</v>
      </c>
      <c r="K23" s="147" t="s">
        <v>1278</v>
      </c>
      <c r="L23" s="147" t="s">
        <v>927</v>
      </c>
      <c r="M23" s="147"/>
      <c r="N23" s="147"/>
      <c r="O23" s="146" t="s">
        <v>2068</v>
      </c>
    </row>
    <row r="24" spans="1:15" ht="14.5" thickBot="1">
      <c r="E24" s="145"/>
      <c r="F24" s="145"/>
      <c r="G24" s="145"/>
      <c r="H24" s="145"/>
      <c r="I24" s="145"/>
      <c r="J24" s="145"/>
    </row>
    <row r="25" spans="1:15" ht="16" customHeight="1">
      <c r="B25" s="257" t="s">
        <v>2067</v>
      </c>
      <c r="C25" s="257"/>
      <c r="D25" s="257"/>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251" t="s">
        <v>2066</v>
      </c>
      <c r="C26" s="251"/>
      <c r="D26" s="251"/>
      <c r="E26" s="252"/>
      <c r="F26" s="252"/>
      <c r="G26" s="252"/>
      <c r="H26" s="252"/>
      <c r="I26" s="252"/>
      <c r="J26" s="141">
        <f>SUMIF(C6:C23,"Realisasi",J6:J23)</f>
        <v>1226</v>
      </c>
    </row>
    <row r="27" spans="1:15" ht="16" customHeight="1">
      <c r="B27" s="251" t="s">
        <v>2065</v>
      </c>
      <c r="C27" s="251"/>
      <c r="D27" s="251"/>
      <c r="E27" s="252"/>
      <c r="F27" s="252"/>
      <c r="G27" s="252"/>
      <c r="H27" s="252"/>
      <c r="I27" s="252"/>
      <c r="J27" s="141">
        <f>SUMIF(C6:C23,"Proses",J6:J23)</f>
        <v>145</v>
      </c>
      <c r="K27" s="253" t="s">
        <v>2064</v>
      </c>
      <c r="L27" s="253"/>
      <c r="M27" s="253"/>
      <c r="N27" s="253"/>
      <c r="O27" s="253"/>
    </row>
  </sheetData>
  <mergeCells count="7">
    <mergeCell ref="B27:I27"/>
    <mergeCell ref="K27:O27"/>
    <mergeCell ref="A1:O1"/>
    <mergeCell ref="A2:O2"/>
    <mergeCell ref="A3:O3"/>
    <mergeCell ref="B25:D25"/>
    <mergeCell ref="B26:I26"/>
  </mergeCells>
  <conditionalFormatting sqref="C6:C205">
    <cfRule type="expression" dxfId="9"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54" t="s">
        <v>2160</v>
      </c>
      <c r="B1" s="254"/>
      <c r="C1" s="254"/>
      <c r="D1" s="254"/>
      <c r="E1" s="254"/>
      <c r="F1" s="254"/>
      <c r="G1" s="254"/>
      <c r="H1" s="254"/>
      <c r="I1" s="254"/>
      <c r="J1" s="254"/>
      <c r="K1" s="254"/>
      <c r="L1" s="254"/>
      <c r="M1" s="254"/>
      <c r="N1" s="254"/>
      <c r="O1" s="254"/>
      <c r="P1" s="254"/>
      <c r="Q1" s="254"/>
      <c r="R1" s="254"/>
      <c r="S1" s="254"/>
    </row>
    <row r="2" spans="1:19" ht="17.399999999999999" customHeight="1">
      <c r="A2" s="255" t="s">
        <v>2159</v>
      </c>
      <c r="B2" s="255"/>
      <c r="C2" s="255"/>
      <c r="D2" s="255"/>
      <c r="E2" s="255"/>
      <c r="F2" s="255"/>
      <c r="G2" s="255"/>
      <c r="H2" s="255"/>
      <c r="I2" s="255"/>
      <c r="J2" s="255"/>
      <c r="K2" s="255"/>
      <c r="L2" s="255"/>
      <c r="M2" s="255"/>
      <c r="N2" s="255"/>
      <c r="O2" s="255"/>
      <c r="P2" s="255"/>
      <c r="Q2" s="255"/>
      <c r="R2" s="255"/>
      <c r="S2" s="255"/>
    </row>
    <row r="3" spans="1:19" ht="24" customHeight="1">
      <c r="A3" s="256" t="s">
        <v>2158</v>
      </c>
      <c r="B3" s="256"/>
      <c r="C3" s="256"/>
      <c r="D3" s="256"/>
      <c r="E3" s="256"/>
      <c r="F3" s="256"/>
      <c r="G3" s="256"/>
      <c r="H3" s="256"/>
      <c r="I3" s="256"/>
      <c r="J3" s="256"/>
      <c r="K3" s="256"/>
      <c r="L3" s="256"/>
      <c r="M3" s="256"/>
      <c r="N3" s="256"/>
      <c r="O3" s="256"/>
      <c r="P3" s="256"/>
      <c r="Q3" s="256"/>
      <c r="R3" s="256"/>
      <c r="S3" s="256"/>
    </row>
    <row r="5" spans="1:19" ht="28" customHeight="1">
      <c r="A5" s="163" t="s">
        <v>2157</v>
      </c>
      <c r="B5" s="162" t="s">
        <v>919</v>
      </c>
      <c r="C5" s="162" t="s">
        <v>2156</v>
      </c>
      <c r="D5" s="162" t="s">
        <v>2155</v>
      </c>
      <c r="E5" s="162" t="s">
        <v>2154</v>
      </c>
      <c r="F5" s="162" t="s">
        <v>2153</v>
      </c>
      <c r="G5" s="162" t="s">
        <v>2152</v>
      </c>
      <c r="H5" s="162" t="s">
        <v>2151</v>
      </c>
      <c r="I5" s="162" t="s">
        <v>2150</v>
      </c>
      <c r="J5" s="162" t="s">
        <v>2149</v>
      </c>
      <c r="K5" s="162" t="s">
        <v>2148</v>
      </c>
      <c r="L5" s="162" t="s">
        <v>2147</v>
      </c>
      <c r="M5" s="162" t="s">
        <v>2146</v>
      </c>
      <c r="N5" s="162" t="s">
        <v>2098</v>
      </c>
      <c r="O5" s="162" t="s">
        <v>853</v>
      </c>
      <c r="P5" s="162" t="s">
        <v>27</v>
      </c>
      <c r="Q5" s="162" t="s">
        <v>28</v>
      </c>
      <c r="R5" s="162" t="s">
        <v>29</v>
      </c>
      <c r="S5" s="161" t="s">
        <v>30</v>
      </c>
    </row>
    <row r="6" spans="1:19" ht="28" customHeight="1">
      <c r="A6" s="160" t="s">
        <v>2145</v>
      </c>
      <c r="B6" s="159">
        <v>2014</v>
      </c>
      <c r="C6" s="159" t="s">
        <v>2144</v>
      </c>
      <c r="D6" s="159" t="s">
        <v>2135</v>
      </c>
      <c r="E6" s="159"/>
      <c r="F6" s="159">
        <v>14</v>
      </c>
      <c r="G6" s="175">
        <v>196.2</v>
      </c>
      <c r="H6" s="175"/>
      <c r="I6" s="174"/>
      <c r="J6" s="175">
        <f t="shared" ref="J6:J13" si="0">$G$6-G6</f>
        <v>0</v>
      </c>
      <c r="K6" s="174">
        <f t="shared" ref="K6:K13" si="1">IF($G$6=0,"",J6/$G$6)</f>
        <v>0</v>
      </c>
      <c r="L6" s="157" t="s">
        <v>2143</v>
      </c>
      <c r="M6" s="157" t="s">
        <v>2133</v>
      </c>
      <c r="N6" s="157" t="s">
        <v>2118</v>
      </c>
      <c r="O6" s="157" t="s">
        <v>2142</v>
      </c>
      <c r="P6" s="157" t="s">
        <v>1278</v>
      </c>
      <c r="Q6" s="157" t="s">
        <v>2109</v>
      </c>
      <c r="R6" s="157"/>
      <c r="S6" s="156"/>
    </row>
    <row r="7" spans="1:19" ht="28" customHeight="1">
      <c r="A7" s="155" t="s">
        <v>2141</v>
      </c>
      <c r="B7" s="154">
        <v>2018</v>
      </c>
      <c r="C7" s="154" t="s">
        <v>2140</v>
      </c>
      <c r="D7" s="154" t="s">
        <v>2135</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2139</v>
      </c>
      <c r="M7" s="152" t="s">
        <v>2133</v>
      </c>
      <c r="N7" s="152" t="s">
        <v>2118</v>
      </c>
      <c r="O7" s="152" t="s">
        <v>2138</v>
      </c>
      <c r="P7" s="152" t="s">
        <v>1278</v>
      </c>
      <c r="Q7" s="152" t="s">
        <v>2109</v>
      </c>
      <c r="R7" s="152"/>
      <c r="S7" s="151"/>
    </row>
    <row r="8" spans="1:19" ht="28" customHeight="1">
      <c r="A8" s="155" t="s">
        <v>2137</v>
      </c>
      <c r="B8" s="154">
        <v>2019</v>
      </c>
      <c r="C8" s="154" t="s">
        <v>2136</v>
      </c>
      <c r="D8" s="154" t="s">
        <v>2135</v>
      </c>
      <c r="E8" s="154"/>
      <c r="F8" s="154">
        <v>1</v>
      </c>
      <c r="G8" s="173">
        <v>21.9</v>
      </c>
      <c r="H8" s="173">
        <f t="shared" si="2"/>
        <v>-165.98999999999998</v>
      </c>
      <c r="I8" s="172">
        <f t="shared" si="3"/>
        <v>-0.88344243972537118</v>
      </c>
      <c r="J8" s="173">
        <f t="shared" si="0"/>
        <v>174.29999999999998</v>
      </c>
      <c r="K8" s="172">
        <f t="shared" si="1"/>
        <v>0.88837920489296629</v>
      </c>
      <c r="L8" s="152" t="s">
        <v>2134</v>
      </c>
      <c r="M8" s="152" t="s">
        <v>2133</v>
      </c>
      <c r="N8" s="152" t="s">
        <v>2118</v>
      </c>
      <c r="O8" s="152" t="s">
        <v>2132</v>
      </c>
      <c r="P8" s="152" t="s">
        <v>1278</v>
      </c>
      <c r="Q8" s="152" t="s">
        <v>2109</v>
      </c>
      <c r="R8" s="152"/>
      <c r="S8" s="151"/>
    </row>
    <row r="9" spans="1:19" ht="28" customHeight="1">
      <c r="A9" s="155" t="s">
        <v>2131</v>
      </c>
      <c r="B9" s="154">
        <v>2020</v>
      </c>
      <c r="C9" s="154" t="s">
        <v>2120</v>
      </c>
      <c r="D9" s="154" t="s">
        <v>2114</v>
      </c>
      <c r="E9" s="154"/>
      <c r="F9" s="154">
        <v>8</v>
      </c>
      <c r="G9" s="173">
        <v>148.5</v>
      </c>
      <c r="H9" s="173">
        <f t="shared" si="2"/>
        <v>126.6</v>
      </c>
      <c r="I9" s="172">
        <f t="shared" si="3"/>
        <v>5.7808219178082192</v>
      </c>
      <c r="J9" s="173">
        <f t="shared" si="0"/>
        <v>47.699999999999989</v>
      </c>
      <c r="K9" s="172">
        <f t="shared" si="1"/>
        <v>0.24311926605504583</v>
      </c>
      <c r="L9" s="152" t="s">
        <v>2130</v>
      </c>
      <c r="M9" s="152" t="s">
        <v>2126</v>
      </c>
      <c r="N9" s="152" t="s">
        <v>2118</v>
      </c>
      <c r="O9" s="152" t="s">
        <v>2129</v>
      </c>
      <c r="P9" s="152" t="s">
        <v>1278</v>
      </c>
      <c r="Q9" s="152" t="s">
        <v>2109</v>
      </c>
      <c r="R9" s="152"/>
      <c r="S9" s="151"/>
    </row>
    <row r="10" spans="1:19" ht="28" customHeight="1">
      <c r="A10" s="155" t="s">
        <v>2128</v>
      </c>
      <c r="B10" s="154">
        <v>2021</v>
      </c>
      <c r="C10" s="154" t="s">
        <v>2120</v>
      </c>
      <c r="D10" s="154" t="s">
        <v>2114</v>
      </c>
      <c r="E10" s="154"/>
      <c r="F10" s="154">
        <v>8</v>
      </c>
      <c r="G10" s="173">
        <v>150.09</v>
      </c>
      <c r="H10" s="173">
        <f t="shared" si="2"/>
        <v>1.5900000000000034</v>
      </c>
      <c r="I10" s="172">
        <f t="shared" si="3"/>
        <v>1.0707070707070729E-2</v>
      </c>
      <c r="J10" s="173">
        <f t="shared" si="0"/>
        <v>46.109999999999985</v>
      </c>
      <c r="K10" s="172">
        <f t="shared" si="1"/>
        <v>0.2350152905198776</v>
      </c>
      <c r="L10" s="152" t="s">
        <v>2127</v>
      </c>
      <c r="M10" s="152" t="s">
        <v>2126</v>
      </c>
      <c r="N10" s="152" t="s">
        <v>2118</v>
      </c>
      <c r="O10" s="152" t="s">
        <v>2125</v>
      </c>
      <c r="P10" s="152" t="s">
        <v>1278</v>
      </c>
      <c r="Q10" s="152" t="s">
        <v>2109</v>
      </c>
      <c r="R10" s="152"/>
      <c r="S10" s="151"/>
    </row>
    <row r="11" spans="1:19" ht="28" customHeight="1">
      <c r="A11" s="155" t="s">
        <v>2124</v>
      </c>
      <c r="B11" s="154">
        <v>2022</v>
      </c>
      <c r="C11" s="154" t="s">
        <v>2120</v>
      </c>
      <c r="D11" s="154" t="s">
        <v>2114</v>
      </c>
      <c r="E11" s="154"/>
      <c r="F11" s="154">
        <v>6</v>
      </c>
      <c r="G11" s="173">
        <v>85.3</v>
      </c>
      <c r="H11" s="173">
        <f t="shared" si="2"/>
        <v>-64.790000000000006</v>
      </c>
      <c r="I11" s="172">
        <f t="shared" si="3"/>
        <v>-0.43167432873609168</v>
      </c>
      <c r="J11" s="173">
        <f t="shared" si="0"/>
        <v>110.89999999999999</v>
      </c>
      <c r="K11" s="172">
        <f t="shared" si="1"/>
        <v>0.56523955147808358</v>
      </c>
      <c r="L11" s="152" t="s">
        <v>2123</v>
      </c>
      <c r="M11" s="152" t="s">
        <v>2112</v>
      </c>
      <c r="N11" s="152" t="s">
        <v>2118</v>
      </c>
      <c r="O11" s="152" t="s">
        <v>2122</v>
      </c>
      <c r="P11" s="152" t="s">
        <v>1278</v>
      </c>
      <c r="Q11" s="152" t="s">
        <v>2109</v>
      </c>
      <c r="R11" s="152"/>
      <c r="S11" s="151"/>
    </row>
    <row r="12" spans="1:19" ht="28" customHeight="1">
      <c r="A12" s="155" t="s">
        <v>2121</v>
      </c>
      <c r="B12" s="154">
        <v>2023</v>
      </c>
      <c r="C12" s="154" t="s">
        <v>2120</v>
      </c>
      <c r="D12" s="154" t="s">
        <v>2114</v>
      </c>
      <c r="E12" s="154"/>
      <c r="F12" s="154">
        <v>2</v>
      </c>
      <c r="G12" s="173">
        <v>28.43</v>
      </c>
      <c r="H12" s="173">
        <f t="shared" si="2"/>
        <v>-56.87</v>
      </c>
      <c r="I12" s="172">
        <f t="shared" si="3"/>
        <v>-0.6667057444314185</v>
      </c>
      <c r="J12" s="173">
        <f t="shared" si="0"/>
        <v>167.76999999999998</v>
      </c>
      <c r="K12" s="172">
        <f t="shared" si="1"/>
        <v>0.85509683995922525</v>
      </c>
      <c r="L12" s="152" t="s">
        <v>2119</v>
      </c>
      <c r="M12" s="152" t="s">
        <v>2112</v>
      </c>
      <c r="N12" s="152" t="s">
        <v>2118</v>
      </c>
      <c r="O12" s="152" t="s">
        <v>2117</v>
      </c>
      <c r="P12" s="152" t="s">
        <v>1278</v>
      </c>
      <c r="Q12" s="152" t="s">
        <v>2109</v>
      </c>
      <c r="R12" s="152"/>
      <c r="S12" s="151"/>
    </row>
    <row r="13" spans="1:19" ht="28" customHeight="1">
      <c r="A13" s="150" t="s">
        <v>2116</v>
      </c>
      <c r="B13" s="149">
        <v>2024</v>
      </c>
      <c r="C13" s="149" t="s">
        <v>2115</v>
      </c>
      <c r="D13" s="149" t="s">
        <v>2114</v>
      </c>
      <c r="E13" s="149"/>
      <c r="F13" s="149">
        <v>2</v>
      </c>
      <c r="G13" s="171">
        <v>24.08</v>
      </c>
      <c r="H13" s="171">
        <f t="shared" si="2"/>
        <v>-4.3500000000000014</v>
      </c>
      <c r="I13" s="170">
        <f t="shared" si="3"/>
        <v>-0.15300738656348933</v>
      </c>
      <c r="J13" s="171">
        <f t="shared" si="0"/>
        <v>172.12</v>
      </c>
      <c r="K13" s="170">
        <f t="shared" si="1"/>
        <v>0.87726809378185533</v>
      </c>
      <c r="L13" s="147" t="s">
        <v>2113</v>
      </c>
      <c r="M13" s="147" t="s">
        <v>2112</v>
      </c>
      <c r="N13" s="147" t="s">
        <v>2111</v>
      </c>
      <c r="O13" s="147" t="s">
        <v>2110</v>
      </c>
      <c r="P13" s="147" t="s">
        <v>1278</v>
      </c>
      <c r="Q13" s="147" t="s">
        <v>2109</v>
      </c>
      <c r="R13" s="147"/>
      <c r="S13" s="146"/>
    </row>
    <row r="15" spans="1:19" ht="16" customHeight="1">
      <c r="B15" s="259" t="s">
        <v>2108</v>
      </c>
      <c r="C15" s="259"/>
      <c r="D15" s="259"/>
      <c r="E15" s="259"/>
      <c r="F15" s="259"/>
      <c r="G15" s="169" t="s">
        <v>2107</v>
      </c>
    </row>
    <row r="16" spans="1:19" ht="16" customHeight="1">
      <c r="B16" s="260" t="s">
        <v>2106</v>
      </c>
      <c r="C16" s="260"/>
      <c r="D16" s="260"/>
      <c r="E16" s="260"/>
      <c r="F16" s="260"/>
      <c r="G16" s="167">
        <f>G6</f>
        <v>196.2</v>
      </c>
    </row>
    <row r="17" spans="2:7" ht="16" customHeight="1">
      <c r="B17" s="251" t="s">
        <v>2105</v>
      </c>
      <c r="C17" s="251"/>
      <c r="D17" s="251"/>
      <c r="E17" s="251"/>
      <c r="F17" s="251"/>
      <c r="G17" s="166">
        <f>G13</f>
        <v>24.08</v>
      </c>
    </row>
    <row r="18" spans="2:7" ht="16" customHeight="1">
      <c r="B18" s="251" t="s">
        <v>2104</v>
      </c>
      <c r="C18" s="251"/>
      <c r="D18" s="251"/>
      <c r="E18" s="251"/>
      <c r="F18" s="251"/>
      <c r="G18" s="166">
        <f>G16-G17</f>
        <v>172.12</v>
      </c>
    </row>
    <row r="19" spans="2:7" ht="16" customHeight="1">
      <c r="B19" s="258" t="s">
        <v>2103</v>
      </c>
      <c r="C19" s="258"/>
      <c r="D19" s="258"/>
      <c r="E19" s="258"/>
      <c r="F19" s="258"/>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8" priority="1">
      <formula>H6&lt;0</formula>
    </cfRule>
    <cfRule type="expression" dxfId="7" priority="2">
      <formula>H6&gt;0</formula>
    </cfRule>
  </conditionalFormatting>
  <conditionalFormatting sqref="N6:N205">
    <cfRule type="expression" dxfId="6"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U256"/>
  <sheetViews>
    <sheetView zoomScale="85" zoomScaleNormal="85" workbookViewId="0">
      <selection activeCell="O9" sqref="O9"/>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54" t="s">
        <v>2179</v>
      </c>
      <c r="B1" s="254"/>
      <c r="C1" s="254"/>
      <c r="D1" s="254"/>
      <c r="E1" s="254"/>
      <c r="F1" s="254"/>
      <c r="G1" s="254"/>
      <c r="H1" s="254"/>
      <c r="I1" s="254"/>
      <c r="J1" s="254"/>
      <c r="K1" s="254"/>
      <c r="L1" s="254"/>
      <c r="M1" s="254"/>
      <c r="N1" s="254"/>
      <c r="O1" s="254"/>
      <c r="P1" s="254"/>
      <c r="Q1" s="254"/>
      <c r="R1" s="254"/>
      <c r="S1" s="254"/>
      <c r="T1" s="254"/>
    </row>
    <row r="2" spans="1:20" ht="14.5">
      <c r="A2" s="255" t="s">
        <v>2178</v>
      </c>
      <c r="B2" s="255"/>
      <c r="C2" s="255"/>
      <c r="D2" s="255"/>
      <c r="E2" s="255"/>
      <c r="F2" s="255"/>
      <c r="G2" s="255"/>
      <c r="H2" s="255"/>
      <c r="I2" s="255"/>
      <c r="J2" s="255"/>
      <c r="K2" s="255"/>
      <c r="L2" s="255"/>
      <c r="M2" s="255"/>
      <c r="N2" s="255"/>
      <c r="O2" s="255"/>
      <c r="P2" s="255"/>
      <c r="Q2" s="255"/>
      <c r="R2" s="255"/>
      <c r="S2" s="255"/>
      <c r="T2" s="255"/>
    </row>
    <row r="3" spans="1:20">
      <c r="A3" s="256" t="s">
        <v>2177</v>
      </c>
      <c r="B3" s="256"/>
      <c r="C3" s="256"/>
      <c r="D3" s="256"/>
      <c r="E3" s="256"/>
      <c r="F3" s="256"/>
      <c r="G3" s="256"/>
      <c r="H3" s="256"/>
      <c r="I3" s="256"/>
      <c r="J3" s="256"/>
      <c r="K3" s="256"/>
      <c r="L3" s="256"/>
      <c r="M3" s="256"/>
      <c r="N3" s="256"/>
      <c r="O3" s="256"/>
      <c r="P3" s="256"/>
      <c r="Q3" s="256"/>
      <c r="R3" s="256"/>
      <c r="S3" s="256"/>
      <c r="T3" s="256"/>
    </row>
    <row r="5" spans="1:20" ht="26">
      <c r="A5" s="163" t="s">
        <v>2176</v>
      </c>
      <c r="B5" s="162" t="s">
        <v>26</v>
      </c>
      <c r="C5" s="162" t="s">
        <v>2175</v>
      </c>
      <c r="D5" s="162" t="s">
        <v>7</v>
      </c>
      <c r="E5" s="162" t="s">
        <v>1162</v>
      </c>
      <c r="F5" s="162" t="s">
        <v>2174</v>
      </c>
      <c r="G5" s="162" t="s">
        <v>2152</v>
      </c>
      <c r="H5" s="162" t="s">
        <v>2097</v>
      </c>
      <c r="I5" s="162" t="s">
        <v>1176</v>
      </c>
      <c r="J5" s="162" t="s">
        <v>2173</v>
      </c>
      <c r="K5" s="162" t="s">
        <v>2155</v>
      </c>
      <c r="L5" s="162" t="s">
        <v>2154</v>
      </c>
      <c r="M5" s="162" t="s">
        <v>24</v>
      </c>
      <c r="N5" s="162" t="s">
        <v>25</v>
      </c>
      <c r="O5" s="162" t="s">
        <v>2172</v>
      </c>
      <c r="P5" s="162" t="s">
        <v>853</v>
      </c>
      <c r="Q5" s="162" t="s">
        <v>27</v>
      </c>
      <c r="R5" s="162" t="s">
        <v>28</v>
      </c>
      <c r="S5" s="162" t="s">
        <v>29</v>
      </c>
      <c r="T5" s="161" t="s">
        <v>30</v>
      </c>
    </row>
    <row r="6" spans="1:20" s="202" customFormat="1" ht="75">
      <c r="A6" s="189" t="s">
        <v>2407</v>
      </c>
      <c r="B6" s="189">
        <v>2014</v>
      </c>
      <c r="C6" s="189" t="s">
        <v>2354</v>
      </c>
      <c r="D6" s="189" t="s">
        <v>2355</v>
      </c>
      <c r="E6" s="189" t="s">
        <v>81</v>
      </c>
      <c r="F6" s="189">
        <v>6</v>
      </c>
      <c r="G6" s="190">
        <v>22.8</v>
      </c>
      <c r="H6" s="189" t="s">
        <v>2118</v>
      </c>
      <c r="I6" s="189" t="s">
        <v>1190</v>
      </c>
      <c r="J6" s="189">
        <v>2014</v>
      </c>
      <c r="K6" s="189" t="s">
        <v>2356</v>
      </c>
      <c r="L6" s="199" t="s">
        <v>2408</v>
      </c>
      <c r="M6" s="200" t="s">
        <v>2358</v>
      </c>
      <c r="N6" s="200" t="s">
        <v>2359</v>
      </c>
      <c r="O6" s="189"/>
      <c r="P6" s="192" t="s">
        <v>2409</v>
      </c>
      <c r="Q6" s="192" t="s">
        <v>2315</v>
      </c>
      <c r="R6" s="192" t="s">
        <v>857</v>
      </c>
      <c r="S6" s="192"/>
      <c r="T6" s="192" t="s">
        <v>1278</v>
      </c>
    </row>
    <row r="7" spans="1:20" s="202" customFormat="1" ht="75">
      <c r="A7" s="189" t="s">
        <v>2410</v>
      </c>
      <c r="B7" s="189">
        <v>2014</v>
      </c>
      <c r="C7" s="189" t="s">
        <v>2361</v>
      </c>
      <c r="D7" s="189" t="s">
        <v>398</v>
      </c>
      <c r="E7" s="189" t="s">
        <v>81</v>
      </c>
      <c r="F7" s="189">
        <v>5</v>
      </c>
      <c r="G7" s="190">
        <v>15.6</v>
      </c>
      <c r="H7" s="189" t="s">
        <v>2118</v>
      </c>
      <c r="I7" s="189" t="s">
        <v>1190</v>
      </c>
      <c r="J7" s="189">
        <v>2014</v>
      </c>
      <c r="K7" s="189" t="s">
        <v>2356</v>
      </c>
      <c r="L7" s="199" t="s">
        <v>2408</v>
      </c>
      <c r="M7" s="200" t="s">
        <v>2362</v>
      </c>
      <c r="N7" s="200" t="s">
        <v>2363</v>
      </c>
      <c r="O7" s="189"/>
      <c r="P7" s="192" t="s">
        <v>2409</v>
      </c>
      <c r="Q7" s="192" t="s">
        <v>2315</v>
      </c>
      <c r="R7" s="192" t="s">
        <v>857</v>
      </c>
      <c r="S7" s="192"/>
      <c r="T7" s="192" t="s">
        <v>1278</v>
      </c>
    </row>
    <row r="8" spans="1:20" s="202" customFormat="1" ht="75">
      <c r="A8" s="189" t="s">
        <v>2411</v>
      </c>
      <c r="B8" s="189">
        <v>2014</v>
      </c>
      <c r="C8" s="189" t="s">
        <v>2365</v>
      </c>
      <c r="D8" s="189" t="s">
        <v>2366</v>
      </c>
      <c r="E8" s="189" t="s">
        <v>304</v>
      </c>
      <c r="F8" s="189">
        <v>3</v>
      </c>
      <c r="G8" s="190">
        <v>8.3000000000000007</v>
      </c>
      <c r="H8" s="189" t="s">
        <v>2118</v>
      </c>
      <c r="I8" s="189" t="s">
        <v>1190</v>
      </c>
      <c r="J8" s="189">
        <v>2014</v>
      </c>
      <c r="K8" s="189" t="s">
        <v>2356</v>
      </c>
      <c r="L8" s="199" t="s">
        <v>2408</v>
      </c>
      <c r="M8" s="200" t="s">
        <v>2367</v>
      </c>
      <c r="N8" s="200" t="s">
        <v>2368</v>
      </c>
      <c r="O8" s="189"/>
      <c r="P8" s="192" t="s">
        <v>2409</v>
      </c>
      <c r="Q8" s="192" t="s">
        <v>2315</v>
      </c>
      <c r="R8" s="192" t="s">
        <v>857</v>
      </c>
      <c r="S8" s="192"/>
      <c r="T8" s="192" t="s">
        <v>1278</v>
      </c>
    </row>
    <row r="9" spans="1:20" s="202" customFormat="1" ht="75">
      <c r="A9" s="189" t="s">
        <v>2412</v>
      </c>
      <c r="B9" s="189">
        <v>2014</v>
      </c>
      <c r="C9" s="189" t="s">
        <v>2370</v>
      </c>
      <c r="D9" s="189" t="s">
        <v>2371</v>
      </c>
      <c r="E9" s="189" t="s">
        <v>304</v>
      </c>
      <c r="F9" s="189">
        <v>2</v>
      </c>
      <c r="G9" s="190">
        <v>2.4</v>
      </c>
      <c r="H9" s="189" t="s">
        <v>2118</v>
      </c>
      <c r="I9" s="189" t="s">
        <v>1190</v>
      </c>
      <c r="J9" s="189">
        <v>2014</v>
      </c>
      <c r="K9" s="189" t="s">
        <v>2356</v>
      </c>
      <c r="L9" s="199" t="s">
        <v>2408</v>
      </c>
      <c r="M9" s="200" t="s">
        <v>2372</v>
      </c>
      <c r="N9" s="200" t="s">
        <v>2373</v>
      </c>
      <c r="O9" s="189"/>
      <c r="P9" s="192" t="s">
        <v>2409</v>
      </c>
      <c r="Q9" s="192" t="s">
        <v>2315</v>
      </c>
      <c r="R9" s="192" t="s">
        <v>857</v>
      </c>
      <c r="S9" s="192"/>
      <c r="T9" s="192" t="s">
        <v>1278</v>
      </c>
    </row>
    <row r="10" spans="1:20" s="202" customFormat="1" ht="75">
      <c r="A10" s="189" t="s">
        <v>2413</v>
      </c>
      <c r="B10" s="189">
        <v>2014</v>
      </c>
      <c r="C10" s="189" t="s">
        <v>2375</v>
      </c>
      <c r="D10" s="189" t="s">
        <v>2376</v>
      </c>
      <c r="E10" s="189" t="s">
        <v>304</v>
      </c>
      <c r="F10" s="189">
        <v>5</v>
      </c>
      <c r="G10" s="190">
        <v>7.9</v>
      </c>
      <c r="H10" s="189" t="s">
        <v>2118</v>
      </c>
      <c r="I10" s="189" t="s">
        <v>1190</v>
      </c>
      <c r="J10" s="189">
        <v>2014</v>
      </c>
      <c r="K10" s="189" t="s">
        <v>2356</v>
      </c>
      <c r="L10" s="199" t="s">
        <v>2408</v>
      </c>
      <c r="M10" s="200" t="s">
        <v>2377</v>
      </c>
      <c r="N10" s="200" t="s">
        <v>2378</v>
      </c>
      <c r="O10" s="189"/>
      <c r="P10" s="192" t="s">
        <v>2409</v>
      </c>
      <c r="Q10" s="192" t="s">
        <v>2315</v>
      </c>
      <c r="R10" s="192" t="s">
        <v>857</v>
      </c>
      <c r="S10" s="192"/>
      <c r="T10" s="192" t="s">
        <v>1278</v>
      </c>
    </row>
    <row r="11" spans="1:20" s="202" customFormat="1" ht="75">
      <c r="A11" s="189" t="s">
        <v>2414</v>
      </c>
      <c r="B11" s="189">
        <v>2014</v>
      </c>
      <c r="C11" s="189" t="s">
        <v>2380</v>
      </c>
      <c r="D11" s="189" t="s">
        <v>100</v>
      </c>
      <c r="E11" s="189" t="s">
        <v>99</v>
      </c>
      <c r="F11" s="189">
        <v>4</v>
      </c>
      <c r="G11" s="190">
        <v>16.2</v>
      </c>
      <c r="H11" s="189" t="s">
        <v>2118</v>
      </c>
      <c r="I11" s="189" t="s">
        <v>1190</v>
      </c>
      <c r="J11" s="189">
        <v>2014</v>
      </c>
      <c r="K11" s="189" t="s">
        <v>2356</v>
      </c>
      <c r="L11" s="199" t="s">
        <v>2408</v>
      </c>
      <c r="M11" s="200" t="s">
        <v>2381</v>
      </c>
      <c r="N11" s="200" t="s">
        <v>2382</v>
      </c>
      <c r="O11" s="189"/>
      <c r="P11" s="192" t="s">
        <v>2409</v>
      </c>
      <c r="Q11" s="192" t="s">
        <v>2315</v>
      </c>
      <c r="R11" s="192" t="s">
        <v>857</v>
      </c>
      <c r="S11" s="192"/>
      <c r="T11" s="192" t="s">
        <v>1278</v>
      </c>
    </row>
    <row r="12" spans="1:20" s="202" customFormat="1" ht="75">
      <c r="A12" s="189" t="s">
        <v>2415</v>
      </c>
      <c r="B12" s="189">
        <v>2014</v>
      </c>
      <c r="C12" s="189" t="s">
        <v>2384</v>
      </c>
      <c r="D12" s="189" t="s">
        <v>213</v>
      </c>
      <c r="E12" s="189" t="s">
        <v>99</v>
      </c>
      <c r="F12" s="189">
        <v>2</v>
      </c>
      <c r="G12" s="190">
        <v>5.3</v>
      </c>
      <c r="H12" s="189" t="s">
        <v>2118</v>
      </c>
      <c r="I12" s="189" t="s">
        <v>1190</v>
      </c>
      <c r="J12" s="189">
        <v>2014</v>
      </c>
      <c r="K12" s="189" t="s">
        <v>2356</v>
      </c>
      <c r="L12" s="199" t="s">
        <v>2408</v>
      </c>
      <c r="M12" s="200" t="s">
        <v>2385</v>
      </c>
      <c r="N12" s="200" t="s">
        <v>2386</v>
      </c>
      <c r="O12" s="189"/>
      <c r="P12" s="192" t="s">
        <v>2409</v>
      </c>
      <c r="Q12" s="192" t="s">
        <v>2315</v>
      </c>
      <c r="R12" s="192" t="s">
        <v>857</v>
      </c>
      <c r="S12" s="192"/>
      <c r="T12" s="192" t="s">
        <v>1278</v>
      </c>
    </row>
    <row r="13" spans="1:20" s="202" customFormat="1" ht="75">
      <c r="A13" s="189" t="s">
        <v>2416</v>
      </c>
      <c r="B13" s="189">
        <v>2014</v>
      </c>
      <c r="C13" s="189" t="s">
        <v>2295</v>
      </c>
      <c r="D13" s="189" t="s">
        <v>2296</v>
      </c>
      <c r="E13" s="189" t="s">
        <v>810</v>
      </c>
      <c r="F13" s="189">
        <v>5</v>
      </c>
      <c r="G13" s="190">
        <v>6</v>
      </c>
      <c r="H13" s="189" t="s">
        <v>2118</v>
      </c>
      <c r="I13" s="189" t="s">
        <v>1190</v>
      </c>
      <c r="J13" s="189">
        <v>2014</v>
      </c>
      <c r="K13" s="189" t="s">
        <v>2356</v>
      </c>
      <c r="L13" s="199" t="s">
        <v>2408</v>
      </c>
      <c r="M13" s="200" t="s">
        <v>2388</v>
      </c>
      <c r="N13" s="200" t="s">
        <v>2389</v>
      </c>
      <c r="O13" s="189"/>
      <c r="P13" s="192" t="s">
        <v>2409</v>
      </c>
      <c r="Q13" s="192" t="s">
        <v>2315</v>
      </c>
      <c r="R13" s="192" t="s">
        <v>857</v>
      </c>
      <c r="S13" s="192"/>
      <c r="T13" s="192" t="s">
        <v>1278</v>
      </c>
    </row>
    <row r="14" spans="1:20" s="202" customFormat="1" ht="75">
      <c r="A14" s="189" t="s">
        <v>2417</v>
      </c>
      <c r="B14" s="189">
        <v>2014</v>
      </c>
      <c r="C14" s="189" t="s">
        <v>2170</v>
      </c>
      <c r="D14" s="189" t="s">
        <v>2134</v>
      </c>
      <c r="E14" s="189" t="s">
        <v>810</v>
      </c>
      <c r="F14" s="189">
        <v>8</v>
      </c>
      <c r="G14" s="190">
        <v>44.8</v>
      </c>
      <c r="H14" s="189" t="s">
        <v>2118</v>
      </c>
      <c r="I14" s="189" t="s">
        <v>1190</v>
      </c>
      <c r="J14" s="189">
        <v>2014</v>
      </c>
      <c r="K14" s="189" t="s">
        <v>2356</v>
      </c>
      <c r="L14" s="199" t="s">
        <v>2408</v>
      </c>
      <c r="M14" s="200" t="s">
        <v>2391</v>
      </c>
      <c r="N14" s="200" t="s">
        <v>2392</v>
      </c>
      <c r="O14" s="189"/>
      <c r="P14" s="192" t="s">
        <v>2409</v>
      </c>
      <c r="Q14" s="192" t="s">
        <v>2315</v>
      </c>
      <c r="R14" s="192" t="s">
        <v>857</v>
      </c>
      <c r="S14" s="192"/>
      <c r="T14" s="192" t="s">
        <v>1278</v>
      </c>
    </row>
    <row r="15" spans="1:20" s="202" customFormat="1" ht="75">
      <c r="A15" s="189" t="s">
        <v>2418</v>
      </c>
      <c r="B15" s="189">
        <v>2014</v>
      </c>
      <c r="C15" s="189" t="s">
        <v>2394</v>
      </c>
      <c r="D15" s="189" t="s">
        <v>2395</v>
      </c>
      <c r="E15" s="189" t="s">
        <v>860</v>
      </c>
      <c r="F15" s="189">
        <v>1</v>
      </c>
      <c r="G15" s="190">
        <v>1.8</v>
      </c>
      <c r="H15" s="189" t="s">
        <v>2118</v>
      </c>
      <c r="I15" s="189" t="s">
        <v>1190</v>
      </c>
      <c r="J15" s="189">
        <v>2014</v>
      </c>
      <c r="K15" s="189" t="s">
        <v>2356</v>
      </c>
      <c r="L15" s="199" t="s">
        <v>2408</v>
      </c>
      <c r="M15" s="200" t="s">
        <v>2396</v>
      </c>
      <c r="N15" s="200" t="s">
        <v>2397</v>
      </c>
      <c r="O15" s="189"/>
      <c r="P15" s="192" t="s">
        <v>2409</v>
      </c>
      <c r="Q15" s="192" t="s">
        <v>2315</v>
      </c>
      <c r="R15" s="192" t="s">
        <v>857</v>
      </c>
      <c r="S15" s="192"/>
      <c r="T15" s="192" t="s">
        <v>1278</v>
      </c>
    </row>
    <row r="16" spans="1:20" s="202" customFormat="1" ht="75">
      <c r="A16" s="189" t="s">
        <v>2419</v>
      </c>
      <c r="B16" s="189">
        <v>2014</v>
      </c>
      <c r="C16" s="189" t="s">
        <v>2341</v>
      </c>
      <c r="D16" s="189" t="s">
        <v>2342</v>
      </c>
      <c r="E16" s="189" t="s">
        <v>860</v>
      </c>
      <c r="F16" s="189">
        <v>2</v>
      </c>
      <c r="G16" s="190">
        <v>6.6</v>
      </c>
      <c r="H16" s="189" t="s">
        <v>2118</v>
      </c>
      <c r="I16" s="189" t="s">
        <v>1190</v>
      </c>
      <c r="J16" s="189">
        <v>2014</v>
      </c>
      <c r="K16" s="189" t="s">
        <v>2356</v>
      </c>
      <c r="L16" s="199" t="s">
        <v>2408</v>
      </c>
      <c r="M16" s="200" t="s">
        <v>2343</v>
      </c>
      <c r="N16" s="200" t="s">
        <v>2344</v>
      </c>
      <c r="O16" s="189"/>
      <c r="P16" s="192" t="s">
        <v>2409</v>
      </c>
      <c r="Q16" s="192" t="s">
        <v>2315</v>
      </c>
      <c r="R16" s="192" t="s">
        <v>857</v>
      </c>
      <c r="S16" s="192"/>
      <c r="T16" s="192" t="s">
        <v>1278</v>
      </c>
    </row>
    <row r="17" spans="1:21" s="202" customFormat="1" ht="75">
      <c r="A17" s="189" t="s">
        <v>2420</v>
      </c>
      <c r="B17" s="189">
        <v>2014</v>
      </c>
      <c r="C17" s="189" t="s">
        <v>2168</v>
      </c>
      <c r="D17" s="189" t="s">
        <v>2167</v>
      </c>
      <c r="E17" s="189" t="s">
        <v>860</v>
      </c>
      <c r="F17" s="189">
        <v>7</v>
      </c>
      <c r="G17" s="190">
        <v>24.5</v>
      </c>
      <c r="H17" s="189" t="s">
        <v>2118</v>
      </c>
      <c r="I17" s="189" t="s">
        <v>1190</v>
      </c>
      <c r="J17" s="189">
        <v>2014</v>
      </c>
      <c r="K17" s="189" t="s">
        <v>2356</v>
      </c>
      <c r="L17" s="199" t="s">
        <v>2408</v>
      </c>
      <c r="M17" s="200" t="s">
        <v>2400</v>
      </c>
      <c r="N17" s="200" t="s">
        <v>2401</v>
      </c>
      <c r="O17" s="189"/>
      <c r="P17" s="192" t="s">
        <v>2409</v>
      </c>
      <c r="Q17" s="192" t="s">
        <v>2315</v>
      </c>
      <c r="R17" s="192" t="s">
        <v>857</v>
      </c>
      <c r="S17" s="192"/>
      <c r="T17" s="192" t="s">
        <v>1278</v>
      </c>
    </row>
    <row r="18" spans="1:21" s="202" customFormat="1" ht="75">
      <c r="A18" s="189" t="s">
        <v>2421</v>
      </c>
      <c r="B18" s="189">
        <v>2014</v>
      </c>
      <c r="C18" s="189" t="s">
        <v>2334</v>
      </c>
      <c r="D18" s="189" t="s">
        <v>2335</v>
      </c>
      <c r="E18" s="189" t="s">
        <v>860</v>
      </c>
      <c r="F18" s="189">
        <v>4</v>
      </c>
      <c r="G18" s="190">
        <v>17.7</v>
      </c>
      <c r="H18" s="189" t="s">
        <v>2118</v>
      </c>
      <c r="I18" s="189" t="s">
        <v>1190</v>
      </c>
      <c r="J18" s="189">
        <v>2014</v>
      </c>
      <c r="K18" s="189" t="s">
        <v>2356</v>
      </c>
      <c r="L18" s="199" t="s">
        <v>2408</v>
      </c>
      <c r="M18" s="200" t="s">
        <v>2337</v>
      </c>
      <c r="N18" s="200" t="s">
        <v>2338</v>
      </c>
      <c r="O18" s="189"/>
      <c r="P18" s="192" t="s">
        <v>2409</v>
      </c>
      <c r="Q18" s="192" t="s">
        <v>2315</v>
      </c>
      <c r="R18" s="192" t="s">
        <v>857</v>
      </c>
      <c r="S18" s="192"/>
      <c r="T18" s="192" t="s">
        <v>1278</v>
      </c>
    </row>
    <row r="19" spans="1:21" s="202" customFormat="1" ht="75">
      <c r="A19" s="189" t="s">
        <v>2422</v>
      </c>
      <c r="B19" s="189">
        <v>2014</v>
      </c>
      <c r="C19" s="189" t="s">
        <v>2404</v>
      </c>
      <c r="D19" s="189" t="s">
        <v>2405</v>
      </c>
      <c r="E19" s="189" t="s">
        <v>860</v>
      </c>
      <c r="F19" s="189">
        <v>9</v>
      </c>
      <c r="G19" s="190">
        <v>16.3</v>
      </c>
      <c r="H19" s="189" t="s">
        <v>2118</v>
      </c>
      <c r="I19" s="189" t="s">
        <v>1190</v>
      </c>
      <c r="J19" s="189">
        <v>2014</v>
      </c>
      <c r="K19" s="189" t="s">
        <v>2356</v>
      </c>
      <c r="L19" s="199" t="s">
        <v>2408</v>
      </c>
      <c r="M19" s="200">
        <v>-212775</v>
      </c>
      <c r="N19" s="200" t="s">
        <v>2406</v>
      </c>
      <c r="O19" s="189"/>
      <c r="P19" s="192" t="s">
        <v>2409</v>
      </c>
      <c r="Q19" s="192" t="s">
        <v>2315</v>
      </c>
      <c r="R19" s="192" t="s">
        <v>857</v>
      </c>
      <c r="S19" s="192"/>
      <c r="T19" s="192" t="s">
        <v>1278</v>
      </c>
    </row>
    <row r="20" spans="1:21" s="198" customFormat="1" ht="25">
      <c r="A20" s="185" t="s">
        <v>2353</v>
      </c>
      <c r="B20" s="185">
        <v>2018</v>
      </c>
      <c r="C20" s="185" t="s">
        <v>2354</v>
      </c>
      <c r="D20" s="185" t="s">
        <v>2355</v>
      </c>
      <c r="E20" s="185" t="s">
        <v>81</v>
      </c>
      <c r="F20" s="185">
        <v>6</v>
      </c>
      <c r="G20" s="186">
        <v>22.6</v>
      </c>
      <c r="H20" s="185" t="s">
        <v>2118</v>
      </c>
      <c r="I20" s="185" t="s">
        <v>1898</v>
      </c>
      <c r="J20" s="185">
        <v>2018</v>
      </c>
      <c r="K20" s="185" t="s">
        <v>2356</v>
      </c>
      <c r="L20" s="195" t="s">
        <v>2357</v>
      </c>
      <c r="M20" s="196" t="s">
        <v>2358</v>
      </c>
      <c r="N20" s="196" t="s">
        <v>2359</v>
      </c>
      <c r="O20" s="185"/>
      <c r="P20" s="188" t="s">
        <v>2291</v>
      </c>
      <c r="Q20" s="188" t="s">
        <v>2315</v>
      </c>
      <c r="R20" s="188" t="s">
        <v>857</v>
      </c>
      <c r="S20" s="188"/>
      <c r="T20" s="188" t="s">
        <v>1278</v>
      </c>
      <c r="U20" s="197"/>
    </row>
    <row r="21" spans="1:21" s="198" customFormat="1" ht="25">
      <c r="A21" s="185" t="s">
        <v>2360</v>
      </c>
      <c r="B21" s="185">
        <v>2018</v>
      </c>
      <c r="C21" s="185" t="s">
        <v>2361</v>
      </c>
      <c r="D21" s="185" t="s">
        <v>398</v>
      </c>
      <c r="E21" s="185" t="s">
        <v>81</v>
      </c>
      <c r="F21" s="185">
        <v>5</v>
      </c>
      <c r="G21" s="186">
        <v>15.6</v>
      </c>
      <c r="H21" s="185" t="s">
        <v>2118</v>
      </c>
      <c r="I21" s="185" t="s">
        <v>1898</v>
      </c>
      <c r="J21" s="185">
        <v>2018</v>
      </c>
      <c r="K21" s="185" t="s">
        <v>2356</v>
      </c>
      <c r="L21" s="195" t="s">
        <v>2357</v>
      </c>
      <c r="M21" s="196" t="s">
        <v>2362</v>
      </c>
      <c r="N21" s="196" t="s">
        <v>2363</v>
      </c>
      <c r="O21" s="185"/>
      <c r="P21" s="188" t="s">
        <v>2291</v>
      </c>
      <c r="Q21" s="188" t="s">
        <v>2315</v>
      </c>
      <c r="R21" s="188" t="s">
        <v>857</v>
      </c>
      <c r="S21" s="188"/>
      <c r="T21" s="188" t="s">
        <v>1278</v>
      </c>
      <c r="U21" s="197"/>
    </row>
    <row r="22" spans="1:21" s="198" customFormat="1" ht="25">
      <c r="A22" s="185" t="s">
        <v>2364</v>
      </c>
      <c r="B22" s="185">
        <v>2018</v>
      </c>
      <c r="C22" s="185" t="s">
        <v>2365</v>
      </c>
      <c r="D22" s="185" t="s">
        <v>2366</v>
      </c>
      <c r="E22" s="185" t="s">
        <v>304</v>
      </c>
      <c r="F22" s="185">
        <v>3</v>
      </c>
      <c r="G22" s="186">
        <v>0</v>
      </c>
      <c r="H22" s="185" t="s">
        <v>2118</v>
      </c>
      <c r="I22" s="185" t="s">
        <v>1898</v>
      </c>
      <c r="J22" s="185">
        <v>2018</v>
      </c>
      <c r="K22" s="185" t="s">
        <v>2356</v>
      </c>
      <c r="L22" s="195" t="s">
        <v>2357</v>
      </c>
      <c r="M22" s="196" t="s">
        <v>2367</v>
      </c>
      <c r="N22" s="196" t="s">
        <v>2368</v>
      </c>
      <c r="O22" s="185"/>
      <c r="P22" s="188" t="s">
        <v>2291</v>
      </c>
      <c r="Q22" s="188" t="s">
        <v>2315</v>
      </c>
      <c r="R22" s="188" t="s">
        <v>857</v>
      </c>
      <c r="S22" s="188"/>
      <c r="T22" s="188" t="s">
        <v>1278</v>
      </c>
      <c r="U22" s="197"/>
    </row>
    <row r="23" spans="1:21" s="198" customFormat="1" ht="25">
      <c r="A23" s="185" t="s">
        <v>2369</v>
      </c>
      <c r="B23" s="185">
        <v>2018</v>
      </c>
      <c r="C23" s="185" t="s">
        <v>2370</v>
      </c>
      <c r="D23" s="185" t="s">
        <v>2371</v>
      </c>
      <c r="E23" s="185" t="s">
        <v>304</v>
      </c>
      <c r="F23" s="185">
        <v>2</v>
      </c>
      <c r="G23" s="186">
        <v>2.4</v>
      </c>
      <c r="H23" s="185" t="s">
        <v>2118</v>
      </c>
      <c r="I23" s="185" t="s">
        <v>1898</v>
      </c>
      <c r="J23" s="185">
        <v>2018</v>
      </c>
      <c r="K23" s="185" t="s">
        <v>2356</v>
      </c>
      <c r="L23" s="195" t="s">
        <v>2357</v>
      </c>
      <c r="M23" s="196" t="s">
        <v>2372</v>
      </c>
      <c r="N23" s="196" t="s">
        <v>2373</v>
      </c>
      <c r="O23" s="185"/>
      <c r="P23" s="188" t="s">
        <v>2291</v>
      </c>
      <c r="Q23" s="188" t="s">
        <v>2315</v>
      </c>
      <c r="R23" s="188" t="s">
        <v>857</v>
      </c>
      <c r="S23" s="188"/>
      <c r="T23" s="188" t="s">
        <v>1278</v>
      </c>
      <c r="U23" s="197"/>
    </row>
    <row r="24" spans="1:21" s="198" customFormat="1" ht="25">
      <c r="A24" s="185" t="s">
        <v>2374</v>
      </c>
      <c r="B24" s="185">
        <v>2018</v>
      </c>
      <c r="C24" s="185" t="s">
        <v>2375</v>
      </c>
      <c r="D24" s="185" t="s">
        <v>2376</v>
      </c>
      <c r="E24" s="185" t="s">
        <v>304</v>
      </c>
      <c r="F24" s="185">
        <v>5</v>
      </c>
      <c r="G24" s="186">
        <v>7.9</v>
      </c>
      <c r="H24" s="185" t="s">
        <v>2118</v>
      </c>
      <c r="I24" s="185" t="s">
        <v>1898</v>
      </c>
      <c r="J24" s="185">
        <v>2018</v>
      </c>
      <c r="K24" s="185" t="s">
        <v>2356</v>
      </c>
      <c r="L24" s="195" t="s">
        <v>2357</v>
      </c>
      <c r="M24" s="196" t="s">
        <v>2377</v>
      </c>
      <c r="N24" s="196" t="s">
        <v>2378</v>
      </c>
      <c r="O24" s="185"/>
      <c r="P24" s="188" t="s">
        <v>2291</v>
      </c>
      <c r="Q24" s="188" t="s">
        <v>2315</v>
      </c>
      <c r="R24" s="188" t="s">
        <v>857</v>
      </c>
      <c r="S24" s="188"/>
      <c r="T24" s="188" t="s">
        <v>1278</v>
      </c>
      <c r="U24" s="197"/>
    </row>
    <row r="25" spans="1:21" s="198" customFormat="1" ht="25">
      <c r="A25" s="185" t="s">
        <v>2379</v>
      </c>
      <c r="B25" s="185">
        <v>2018</v>
      </c>
      <c r="C25" s="185" t="s">
        <v>2380</v>
      </c>
      <c r="D25" s="185" t="s">
        <v>100</v>
      </c>
      <c r="E25" s="185" t="s">
        <v>99</v>
      </c>
      <c r="F25" s="185">
        <v>4</v>
      </c>
      <c r="G25" s="186">
        <v>16.2</v>
      </c>
      <c r="H25" s="185" t="s">
        <v>2118</v>
      </c>
      <c r="I25" s="185" t="s">
        <v>1898</v>
      </c>
      <c r="J25" s="185">
        <v>2018</v>
      </c>
      <c r="K25" s="185" t="s">
        <v>2356</v>
      </c>
      <c r="L25" s="195" t="s">
        <v>2357</v>
      </c>
      <c r="M25" s="196" t="s">
        <v>2381</v>
      </c>
      <c r="N25" s="196" t="s">
        <v>2382</v>
      </c>
      <c r="O25" s="185"/>
      <c r="P25" s="188" t="s">
        <v>2291</v>
      </c>
      <c r="Q25" s="188" t="s">
        <v>2315</v>
      </c>
      <c r="R25" s="188" t="s">
        <v>857</v>
      </c>
      <c r="S25" s="188"/>
      <c r="T25" s="188" t="s">
        <v>1278</v>
      </c>
      <c r="U25" s="197"/>
    </row>
    <row r="26" spans="1:21" s="198" customFormat="1" ht="25">
      <c r="A26" s="185" t="s">
        <v>2383</v>
      </c>
      <c r="B26" s="185">
        <v>2018</v>
      </c>
      <c r="C26" s="185" t="s">
        <v>2384</v>
      </c>
      <c r="D26" s="185" t="s">
        <v>213</v>
      </c>
      <c r="E26" s="185" t="s">
        <v>99</v>
      </c>
      <c r="F26" s="185">
        <v>2</v>
      </c>
      <c r="G26" s="186">
        <v>5.3</v>
      </c>
      <c r="H26" s="185" t="s">
        <v>2118</v>
      </c>
      <c r="I26" s="185" t="s">
        <v>1898</v>
      </c>
      <c r="J26" s="185">
        <v>2018</v>
      </c>
      <c r="K26" s="185" t="s">
        <v>2356</v>
      </c>
      <c r="L26" s="195" t="s">
        <v>2357</v>
      </c>
      <c r="M26" s="196" t="s">
        <v>2385</v>
      </c>
      <c r="N26" s="196" t="s">
        <v>2386</v>
      </c>
      <c r="O26" s="185"/>
      <c r="P26" s="188" t="s">
        <v>2291</v>
      </c>
      <c r="Q26" s="188" t="s">
        <v>2315</v>
      </c>
      <c r="R26" s="188" t="s">
        <v>857</v>
      </c>
      <c r="S26" s="188"/>
      <c r="T26" s="188" t="s">
        <v>1278</v>
      </c>
      <c r="U26" s="197"/>
    </row>
    <row r="27" spans="1:21" s="198" customFormat="1" ht="25">
      <c r="A27" s="185" t="s">
        <v>2387</v>
      </c>
      <c r="B27" s="185">
        <v>2018</v>
      </c>
      <c r="C27" s="185" t="s">
        <v>2295</v>
      </c>
      <c r="D27" s="185" t="s">
        <v>2296</v>
      </c>
      <c r="E27" s="185" t="s">
        <v>810</v>
      </c>
      <c r="F27" s="185">
        <v>5</v>
      </c>
      <c r="G27" s="186">
        <v>6</v>
      </c>
      <c r="H27" s="185" t="s">
        <v>2118</v>
      </c>
      <c r="I27" s="185" t="s">
        <v>1898</v>
      </c>
      <c r="J27" s="185">
        <v>2018</v>
      </c>
      <c r="K27" s="185" t="s">
        <v>2356</v>
      </c>
      <c r="L27" s="195" t="s">
        <v>2357</v>
      </c>
      <c r="M27" s="196" t="s">
        <v>2388</v>
      </c>
      <c r="N27" s="196" t="s">
        <v>2389</v>
      </c>
      <c r="O27" s="185"/>
      <c r="P27" s="188" t="s">
        <v>2291</v>
      </c>
      <c r="Q27" s="188" t="s">
        <v>2315</v>
      </c>
      <c r="R27" s="188" t="s">
        <v>857</v>
      </c>
      <c r="S27" s="188"/>
      <c r="T27" s="188" t="s">
        <v>1278</v>
      </c>
      <c r="U27" s="197"/>
    </row>
    <row r="28" spans="1:21" s="198" customFormat="1" ht="25">
      <c r="A28" s="185" t="s">
        <v>2390</v>
      </c>
      <c r="B28" s="185">
        <v>2018</v>
      </c>
      <c r="C28" s="185" t="s">
        <v>2170</v>
      </c>
      <c r="D28" s="185" t="s">
        <v>2134</v>
      </c>
      <c r="E28" s="185" t="s">
        <v>810</v>
      </c>
      <c r="F28" s="185">
        <v>8</v>
      </c>
      <c r="G28" s="186">
        <v>44.8</v>
      </c>
      <c r="H28" s="185" t="s">
        <v>2118</v>
      </c>
      <c r="I28" s="185" t="s">
        <v>1898</v>
      </c>
      <c r="J28" s="185">
        <v>2018</v>
      </c>
      <c r="K28" s="185" t="s">
        <v>2356</v>
      </c>
      <c r="L28" s="195" t="s">
        <v>2357</v>
      </c>
      <c r="M28" s="196" t="s">
        <v>2391</v>
      </c>
      <c r="N28" s="196" t="s">
        <v>2392</v>
      </c>
      <c r="O28" s="185"/>
      <c r="P28" s="188" t="s">
        <v>2291</v>
      </c>
      <c r="Q28" s="188" t="s">
        <v>2315</v>
      </c>
      <c r="R28" s="188" t="s">
        <v>857</v>
      </c>
      <c r="S28" s="188"/>
      <c r="T28" s="188" t="s">
        <v>1278</v>
      </c>
      <c r="U28" s="197"/>
    </row>
    <row r="29" spans="1:21" s="198" customFormat="1" ht="25">
      <c r="A29" s="185" t="s">
        <v>2393</v>
      </c>
      <c r="B29" s="185">
        <v>2018</v>
      </c>
      <c r="C29" s="185" t="s">
        <v>2394</v>
      </c>
      <c r="D29" s="185" t="s">
        <v>2395</v>
      </c>
      <c r="E29" s="185" t="s">
        <v>860</v>
      </c>
      <c r="F29" s="185">
        <v>1</v>
      </c>
      <c r="G29" s="186">
        <v>1.89</v>
      </c>
      <c r="H29" s="185" t="s">
        <v>2118</v>
      </c>
      <c r="I29" s="185" t="s">
        <v>1898</v>
      </c>
      <c r="J29" s="185">
        <v>2018</v>
      </c>
      <c r="K29" s="185" t="s">
        <v>2356</v>
      </c>
      <c r="L29" s="195" t="s">
        <v>2357</v>
      </c>
      <c r="M29" s="196" t="s">
        <v>2396</v>
      </c>
      <c r="N29" s="196" t="s">
        <v>2397</v>
      </c>
      <c r="O29" s="185"/>
      <c r="P29" s="188" t="s">
        <v>2291</v>
      </c>
      <c r="Q29" s="188" t="s">
        <v>2315</v>
      </c>
      <c r="R29" s="188" t="s">
        <v>857</v>
      </c>
      <c r="S29" s="188"/>
      <c r="T29" s="188" t="s">
        <v>1278</v>
      </c>
      <c r="U29" s="197"/>
    </row>
    <row r="30" spans="1:21" s="198" customFormat="1" ht="25">
      <c r="A30" s="185" t="s">
        <v>2398</v>
      </c>
      <c r="B30" s="185">
        <v>2018</v>
      </c>
      <c r="C30" s="185" t="s">
        <v>2341</v>
      </c>
      <c r="D30" s="185" t="s">
        <v>2342</v>
      </c>
      <c r="E30" s="185" t="s">
        <v>860</v>
      </c>
      <c r="F30" s="185">
        <v>2</v>
      </c>
      <c r="G30" s="186">
        <v>6.6</v>
      </c>
      <c r="H30" s="185" t="s">
        <v>2118</v>
      </c>
      <c r="I30" s="185" t="s">
        <v>1898</v>
      </c>
      <c r="J30" s="185">
        <v>2018</v>
      </c>
      <c r="K30" s="185" t="s">
        <v>2356</v>
      </c>
      <c r="L30" s="195" t="s">
        <v>2357</v>
      </c>
      <c r="M30" s="187" t="s">
        <v>2343</v>
      </c>
      <c r="N30" s="187" t="s">
        <v>2344</v>
      </c>
      <c r="O30" s="185"/>
      <c r="P30" s="188" t="s">
        <v>2291</v>
      </c>
      <c r="Q30" s="188" t="s">
        <v>2315</v>
      </c>
      <c r="R30" s="188" t="s">
        <v>857</v>
      </c>
      <c r="S30" s="188"/>
      <c r="T30" s="188" t="s">
        <v>1278</v>
      </c>
      <c r="U30" s="197"/>
    </row>
    <row r="31" spans="1:21" s="198" customFormat="1" ht="25">
      <c r="A31" s="185" t="s">
        <v>2399</v>
      </c>
      <c r="B31" s="185">
        <v>2018</v>
      </c>
      <c r="C31" s="185" t="s">
        <v>2168</v>
      </c>
      <c r="D31" s="185" t="s">
        <v>2167</v>
      </c>
      <c r="E31" s="185" t="s">
        <v>860</v>
      </c>
      <c r="F31" s="185">
        <v>7</v>
      </c>
      <c r="G31" s="186">
        <v>24.6</v>
      </c>
      <c r="H31" s="185" t="s">
        <v>2118</v>
      </c>
      <c r="I31" s="185" t="s">
        <v>1898</v>
      </c>
      <c r="J31" s="185">
        <v>2018</v>
      </c>
      <c r="K31" s="185" t="s">
        <v>2356</v>
      </c>
      <c r="L31" s="195" t="s">
        <v>2357</v>
      </c>
      <c r="M31" s="196" t="s">
        <v>2400</v>
      </c>
      <c r="N31" s="196" t="s">
        <v>2401</v>
      </c>
      <c r="O31" s="185"/>
      <c r="P31" s="188" t="s">
        <v>2291</v>
      </c>
      <c r="Q31" s="188" t="s">
        <v>2315</v>
      </c>
      <c r="R31" s="188" t="s">
        <v>857</v>
      </c>
      <c r="S31" s="188"/>
      <c r="T31" s="188" t="s">
        <v>1278</v>
      </c>
      <c r="U31" s="197"/>
    </row>
    <row r="32" spans="1:21" s="198" customFormat="1" ht="25">
      <c r="A32" s="185" t="s">
        <v>2402</v>
      </c>
      <c r="B32" s="185">
        <v>2018</v>
      </c>
      <c r="C32" s="185" t="s">
        <v>2334</v>
      </c>
      <c r="D32" s="185" t="s">
        <v>2335</v>
      </c>
      <c r="E32" s="185" t="s">
        <v>860</v>
      </c>
      <c r="F32" s="185">
        <v>4</v>
      </c>
      <c r="G32" s="186">
        <v>17.7</v>
      </c>
      <c r="H32" s="185" t="s">
        <v>2118</v>
      </c>
      <c r="I32" s="185" t="s">
        <v>1898</v>
      </c>
      <c r="J32" s="185">
        <v>2018</v>
      </c>
      <c r="K32" s="185" t="s">
        <v>2356</v>
      </c>
      <c r="L32" s="195" t="s">
        <v>2357</v>
      </c>
      <c r="M32" s="187" t="s">
        <v>2337</v>
      </c>
      <c r="N32" s="187" t="s">
        <v>2338</v>
      </c>
      <c r="O32" s="185"/>
      <c r="P32" s="188" t="s">
        <v>2291</v>
      </c>
      <c r="Q32" s="188" t="s">
        <v>2315</v>
      </c>
      <c r="R32" s="188" t="s">
        <v>857</v>
      </c>
      <c r="S32" s="188"/>
      <c r="T32" s="188" t="s">
        <v>1278</v>
      </c>
      <c r="U32" s="197"/>
    </row>
    <row r="33" spans="1:21" s="198" customFormat="1" ht="25">
      <c r="A33" s="185" t="s">
        <v>2403</v>
      </c>
      <c r="B33" s="185">
        <v>2018</v>
      </c>
      <c r="C33" s="185" t="s">
        <v>2404</v>
      </c>
      <c r="D33" s="185" t="s">
        <v>2405</v>
      </c>
      <c r="E33" s="185" t="s">
        <v>860</v>
      </c>
      <c r="F33" s="185">
        <v>9</v>
      </c>
      <c r="G33" s="186">
        <v>16.3</v>
      </c>
      <c r="H33" s="185" t="s">
        <v>2118</v>
      </c>
      <c r="I33" s="185" t="s">
        <v>1898</v>
      </c>
      <c r="J33" s="185">
        <v>2018</v>
      </c>
      <c r="K33" s="185" t="s">
        <v>2356</v>
      </c>
      <c r="L33" s="195" t="s">
        <v>2357</v>
      </c>
      <c r="M33" s="187">
        <v>-212775</v>
      </c>
      <c r="N33" s="196" t="s">
        <v>2406</v>
      </c>
      <c r="O33" s="185"/>
      <c r="P33" s="188" t="s">
        <v>2291</v>
      </c>
      <c r="Q33" s="188" t="s">
        <v>2315</v>
      </c>
      <c r="R33" s="188" t="s">
        <v>857</v>
      </c>
      <c r="S33" s="188"/>
      <c r="T33" s="188" t="s">
        <v>1278</v>
      </c>
      <c r="U33" s="197"/>
    </row>
    <row r="34" spans="1:21" s="194" customFormat="1" ht="37.5">
      <c r="A34" s="189" t="s">
        <v>2333</v>
      </c>
      <c r="B34" s="189">
        <v>2020</v>
      </c>
      <c r="C34" s="189" t="s">
        <v>2334</v>
      </c>
      <c r="D34" s="189" t="s">
        <v>2335</v>
      </c>
      <c r="E34" s="189" t="s">
        <v>860</v>
      </c>
      <c r="F34" s="189">
        <v>3</v>
      </c>
      <c r="G34" s="190">
        <f>4+1.5+7.1</f>
        <v>12.6</v>
      </c>
      <c r="H34" s="189" t="s">
        <v>2118</v>
      </c>
      <c r="I34" s="189" t="s">
        <v>1898</v>
      </c>
      <c r="J34" s="189">
        <v>2020</v>
      </c>
      <c r="K34" s="189" t="s">
        <v>2114</v>
      </c>
      <c r="L34" s="199" t="s">
        <v>2336</v>
      </c>
      <c r="M34" s="191" t="s">
        <v>2337</v>
      </c>
      <c r="N34" s="191" t="s">
        <v>2338</v>
      </c>
      <c r="O34" s="189"/>
      <c r="P34" s="192" t="s">
        <v>2339</v>
      </c>
      <c r="Q34" s="192" t="s">
        <v>2315</v>
      </c>
      <c r="R34" s="192" t="s">
        <v>857</v>
      </c>
      <c r="S34" s="192"/>
      <c r="T34" s="192" t="s">
        <v>1278</v>
      </c>
      <c r="U34" s="193"/>
    </row>
    <row r="35" spans="1:21" s="194" customFormat="1" ht="37.5">
      <c r="A35" s="189" t="s">
        <v>2340</v>
      </c>
      <c r="B35" s="189">
        <v>2020</v>
      </c>
      <c r="C35" s="189" t="s">
        <v>2341</v>
      </c>
      <c r="D35" s="189" t="s">
        <v>2342</v>
      </c>
      <c r="E35" s="189" t="s">
        <v>860</v>
      </c>
      <c r="F35" s="189">
        <v>3</v>
      </c>
      <c r="G35" s="190">
        <f>3.4+1.4+6.9</f>
        <v>11.7</v>
      </c>
      <c r="H35" s="189" t="s">
        <v>2118</v>
      </c>
      <c r="I35" s="189" t="s">
        <v>1898</v>
      </c>
      <c r="J35" s="189">
        <v>2020</v>
      </c>
      <c r="K35" s="189" t="s">
        <v>2114</v>
      </c>
      <c r="L35" s="199" t="s">
        <v>2336</v>
      </c>
      <c r="M35" s="191" t="s">
        <v>2343</v>
      </c>
      <c r="N35" s="191" t="s">
        <v>2344</v>
      </c>
      <c r="O35" s="189"/>
      <c r="P35" s="192" t="s">
        <v>2339</v>
      </c>
      <c r="Q35" s="192" t="s">
        <v>2315</v>
      </c>
      <c r="R35" s="192" t="s">
        <v>857</v>
      </c>
      <c r="S35" s="192"/>
      <c r="T35" s="192" t="s">
        <v>1278</v>
      </c>
      <c r="U35" s="193"/>
    </row>
    <row r="36" spans="1:21" s="194" customFormat="1" ht="37.5">
      <c r="A36" s="189" t="s">
        <v>2345</v>
      </c>
      <c r="B36" s="189">
        <v>2020</v>
      </c>
      <c r="C36" s="189" t="s">
        <v>2346</v>
      </c>
      <c r="D36" s="189" t="s">
        <v>811</v>
      </c>
      <c r="E36" s="189" t="s">
        <v>810</v>
      </c>
      <c r="F36" s="189">
        <v>1</v>
      </c>
      <c r="G36" s="190">
        <v>5.8</v>
      </c>
      <c r="H36" s="189" t="s">
        <v>2118</v>
      </c>
      <c r="I36" s="189" t="s">
        <v>1190</v>
      </c>
      <c r="J36" s="189">
        <v>2020</v>
      </c>
      <c r="K36" s="189" t="s">
        <v>2114</v>
      </c>
      <c r="L36" s="199" t="s">
        <v>2336</v>
      </c>
      <c r="M36" s="200" t="s">
        <v>2313</v>
      </c>
      <c r="N36" s="200" t="s">
        <v>2314</v>
      </c>
      <c r="O36" s="189"/>
      <c r="P36" s="192" t="s">
        <v>2347</v>
      </c>
      <c r="Q36" s="192" t="s">
        <v>2315</v>
      </c>
      <c r="R36" s="192" t="s">
        <v>857</v>
      </c>
      <c r="S36" s="192"/>
      <c r="T36" s="192" t="s">
        <v>1278</v>
      </c>
      <c r="U36" s="193"/>
    </row>
    <row r="37" spans="1:21" s="194" customFormat="1" ht="37.5">
      <c r="A37" s="189" t="s">
        <v>2348</v>
      </c>
      <c r="B37" s="189">
        <v>2020</v>
      </c>
      <c r="C37" s="189" t="s">
        <v>2286</v>
      </c>
      <c r="D37" s="189" t="s">
        <v>2287</v>
      </c>
      <c r="E37" s="189" t="s">
        <v>810</v>
      </c>
      <c r="F37" s="189">
        <v>3</v>
      </c>
      <c r="G37" s="190">
        <f>9.2+12.5+10.8</f>
        <v>32.5</v>
      </c>
      <c r="H37" s="189" t="s">
        <v>2118</v>
      </c>
      <c r="I37" s="189" t="s">
        <v>1190</v>
      </c>
      <c r="J37" s="189">
        <v>2020</v>
      </c>
      <c r="K37" s="189" t="s">
        <v>2114</v>
      </c>
      <c r="L37" s="199" t="s">
        <v>2336</v>
      </c>
      <c r="M37" s="200" t="s">
        <v>2289</v>
      </c>
      <c r="N37" s="200" t="s">
        <v>2290</v>
      </c>
      <c r="O37" s="189"/>
      <c r="P37" s="192" t="s">
        <v>2347</v>
      </c>
      <c r="Q37" s="192" t="s">
        <v>2315</v>
      </c>
      <c r="R37" s="192" t="s">
        <v>857</v>
      </c>
      <c r="S37" s="192"/>
      <c r="T37" s="192" t="s">
        <v>1278</v>
      </c>
      <c r="U37" s="193"/>
    </row>
    <row r="38" spans="1:21" s="194" customFormat="1" ht="37.5">
      <c r="A38" s="189" t="s">
        <v>2349</v>
      </c>
      <c r="B38" s="189">
        <v>2020</v>
      </c>
      <c r="C38" s="189" t="s">
        <v>2319</v>
      </c>
      <c r="D38" s="189" t="s">
        <v>2320</v>
      </c>
      <c r="E38" s="189" t="s">
        <v>99</v>
      </c>
      <c r="F38" s="189">
        <v>3</v>
      </c>
      <c r="G38" s="190">
        <f>3.2+5.4+5.3</f>
        <v>13.900000000000002</v>
      </c>
      <c r="H38" s="189" t="s">
        <v>2118</v>
      </c>
      <c r="I38" s="189" t="s">
        <v>1190</v>
      </c>
      <c r="J38" s="189">
        <v>2020</v>
      </c>
      <c r="K38" s="189" t="s">
        <v>2114</v>
      </c>
      <c r="L38" s="199" t="s">
        <v>2336</v>
      </c>
      <c r="M38" s="200" t="s">
        <v>2321</v>
      </c>
      <c r="N38" s="200" t="s">
        <v>2322</v>
      </c>
      <c r="O38" s="189"/>
      <c r="P38" s="192" t="s">
        <v>2347</v>
      </c>
      <c r="Q38" s="192" t="s">
        <v>2315</v>
      </c>
      <c r="R38" s="192" t="s">
        <v>857</v>
      </c>
      <c r="S38" s="192"/>
      <c r="T38" s="192" t="s">
        <v>1278</v>
      </c>
      <c r="U38" s="193"/>
    </row>
    <row r="39" spans="1:21" s="194" customFormat="1" ht="37.5">
      <c r="A39" s="189" t="s">
        <v>2350</v>
      </c>
      <c r="B39" s="189">
        <v>2020</v>
      </c>
      <c r="C39" s="189" t="s">
        <v>2324</v>
      </c>
      <c r="D39" s="189" t="s">
        <v>122</v>
      </c>
      <c r="E39" s="189" t="s">
        <v>81</v>
      </c>
      <c r="F39" s="189">
        <v>3</v>
      </c>
      <c r="G39" s="190">
        <f>6.2+4+6.9</f>
        <v>17.100000000000001</v>
      </c>
      <c r="H39" s="189" t="s">
        <v>2118</v>
      </c>
      <c r="I39" s="189" t="s">
        <v>1190</v>
      </c>
      <c r="J39" s="189">
        <v>2020</v>
      </c>
      <c r="K39" s="189" t="s">
        <v>2114</v>
      </c>
      <c r="L39" s="199" t="s">
        <v>2336</v>
      </c>
      <c r="M39" s="200" t="s">
        <v>2325</v>
      </c>
      <c r="N39" s="200" t="s">
        <v>2326</v>
      </c>
      <c r="O39" s="189"/>
      <c r="P39" s="192" t="s">
        <v>2347</v>
      </c>
      <c r="Q39" s="192" t="s">
        <v>2315</v>
      </c>
      <c r="R39" s="192" t="s">
        <v>857</v>
      </c>
      <c r="S39" s="192"/>
      <c r="T39" s="192" t="s">
        <v>1278</v>
      </c>
      <c r="U39" s="193"/>
    </row>
    <row r="40" spans="1:21" s="194" customFormat="1" ht="37.5">
      <c r="A40" s="189" t="s">
        <v>2351</v>
      </c>
      <c r="B40" s="189">
        <v>2020</v>
      </c>
      <c r="C40" s="189" t="s">
        <v>2170</v>
      </c>
      <c r="D40" s="189" t="s">
        <v>2134</v>
      </c>
      <c r="E40" s="189" t="s">
        <v>810</v>
      </c>
      <c r="F40" s="189">
        <v>5</v>
      </c>
      <c r="G40" s="190">
        <f>10.3+5.3+13.5+9.3+12.5</f>
        <v>50.900000000000006</v>
      </c>
      <c r="H40" s="189" t="s">
        <v>2118</v>
      </c>
      <c r="I40" s="189" t="s">
        <v>1190</v>
      </c>
      <c r="J40" s="189">
        <v>2020</v>
      </c>
      <c r="K40" s="189" t="s">
        <v>2114</v>
      </c>
      <c r="L40" s="199" t="s">
        <v>2336</v>
      </c>
      <c r="M40" s="200" t="s">
        <v>2279</v>
      </c>
      <c r="N40" s="200" t="s">
        <v>2280</v>
      </c>
      <c r="O40" s="189"/>
      <c r="P40" s="192" t="s">
        <v>2347</v>
      </c>
      <c r="Q40" s="192" t="s">
        <v>2315</v>
      </c>
      <c r="R40" s="192" t="s">
        <v>857</v>
      </c>
      <c r="S40" s="192"/>
      <c r="T40" s="192" t="s">
        <v>1278</v>
      </c>
      <c r="U40" s="193"/>
    </row>
    <row r="41" spans="1:21" s="194" customFormat="1" ht="37.5">
      <c r="A41" s="189" t="s">
        <v>2352</v>
      </c>
      <c r="B41" s="189">
        <v>2020</v>
      </c>
      <c r="C41" s="189" t="s">
        <v>2295</v>
      </c>
      <c r="D41" s="189" t="s">
        <v>2296</v>
      </c>
      <c r="E41" s="189" t="s">
        <v>810</v>
      </c>
      <c r="F41" s="189">
        <v>1</v>
      </c>
      <c r="G41" s="201">
        <v>3.9</v>
      </c>
      <c r="H41" s="189" t="s">
        <v>2118</v>
      </c>
      <c r="I41" s="189" t="s">
        <v>1190</v>
      </c>
      <c r="J41" s="189">
        <v>2020</v>
      </c>
      <c r="K41" s="189" t="s">
        <v>2114</v>
      </c>
      <c r="L41" s="199" t="s">
        <v>2336</v>
      </c>
      <c r="M41" s="200" t="s">
        <v>2297</v>
      </c>
      <c r="N41" s="200" t="s">
        <v>2298</v>
      </c>
      <c r="O41" s="189"/>
      <c r="P41" s="192" t="s">
        <v>2347</v>
      </c>
      <c r="Q41" s="192" t="s">
        <v>2315</v>
      </c>
      <c r="R41" s="192" t="s">
        <v>857</v>
      </c>
      <c r="S41" s="192"/>
      <c r="T41" s="192" t="s">
        <v>1278</v>
      </c>
      <c r="U41" s="193"/>
    </row>
    <row r="42" spans="1:21" s="198" customFormat="1" ht="25">
      <c r="A42" s="185" t="s">
        <v>2310</v>
      </c>
      <c r="B42" s="185">
        <v>2021</v>
      </c>
      <c r="C42" s="185" t="s">
        <v>2311</v>
      </c>
      <c r="D42" s="185" t="s">
        <v>811</v>
      </c>
      <c r="E42" s="185" t="s">
        <v>810</v>
      </c>
      <c r="F42" s="185">
        <v>1</v>
      </c>
      <c r="G42" s="186">
        <v>5.8</v>
      </c>
      <c r="H42" s="185" t="s">
        <v>2118</v>
      </c>
      <c r="I42" s="185" t="s">
        <v>1898</v>
      </c>
      <c r="J42" s="185">
        <v>2021</v>
      </c>
      <c r="K42" s="185" t="s">
        <v>2114</v>
      </c>
      <c r="L42" s="195" t="s">
        <v>2312</v>
      </c>
      <c r="M42" s="196" t="s">
        <v>2313</v>
      </c>
      <c r="N42" s="196" t="s">
        <v>2314</v>
      </c>
      <c r="O42" s="185"/>
      <c r="P42" s="188" t="s">
        <v>2291</v>
      </c>
      <c r="Q42" s="188" t="s">
        <v>2315</v>
      </c>
      <c r="R42" s="188" t="s">
        <v>857</v>
      </c>
      <c r="S42" s="188"/>
      <c r="T42" s="188" t="s">
        <v>1278</v>
      </c>
      <c r="U42" s="197"/>
    </row>
    <row r="43" spans="1:21" s="198" customFormat="1" ht="50">
      <c r="A43" s="185" t="s">
        <v>2316</v>
      </c>
      <c r="B43" s="185">
        <v>2021</v>
      </c>
      <c r="C43" s="185" t="s">
        <v>2286</v>
      </c>
      <c r="D43" s="185" t="s">
        <v>2287</v>
      </c>
      <c r="E43" s="185" t="s">
        <v>810</v>
      </c>
      <c r="F43" s="185">
        <v>3</v>
      </c>
      <c r="G43" s="186">
        <v>32.520000000000003</v>
      </c>
      <c r="H43" s="185" t="s">
        <v>2118</v>
      </c>
      <c r="I43" s="185" t="s">
        <v>1898</v>
      </c>
      <c r="J43" s="185">
        <v>2021</v>
      </c>
      <c r="K43" s="185" t="s">
        <v>2114</v>
      </c>
      <c r="L43" s="195" t="s">
        <v>2312</v>
      </c>
      <c r="M43" s="187" t="s">
        <v>2289</v>
      </c>
      <c r="N43" s="187" t="s">
        <v>2290</v>
      </c>
      <c r="O43" s="185"/>
      <c r="P43" s="188" t="s">
        <v>2317</v>
      </c>
      <c r="Q43" s="188" t="s">
        <v>2315</v>
      </c>
      <c r="R43" s="188" t="s">
        <v>857</v>
      </c>
      <c r="S43" s="188"/>
      <c r="T43" s="188" t="s">
        <v>1278</v>
      </c>
      <c r="U43" s="197"/>
    </row>
    <row r="44" spans="1:21" s="198" customFormat="1" ht="25">
      <c r="A44" s="185" t="s">
        <v>2318</v>
      </c>
      <c r="B44" s="185">
        <v>2021</v>
      </c>
      <c r="C44" s="185" t="s">
        <v>2319</v>
      </c>
      <c r="D44" s="185" t="s">
        <v>2320</v>
      </c>
      <c r="E44" s="185" t="s">
        <v>99</v>
      </c>
      <c r="F44" s="185">
        <v>3</v>
      </c>
      <c r="G44" s="186">
        <v>13.9</v>
      </c>
      <c r="H44" s="185" t="s">
        <v>2118</v>
      </c>
      <c r="I44" s="185" t="s">
        <v>1898</v>
      </c>
      <c r="J44" s="185">
        <v>2021</v>
      </c>
      <c r="K44" s="185" t="s">
        <v>2114</v>
      </c>
      <c r="L44" s="195" t="s">
        <v>2312</v>
      </c>
      <c r="M44" s="196" t="s">
        <v>2321</v>
      </c>
      <c r="N44" s="196" t="s">
        <v>2322</v>
      </c>
      <c r="O44" s="185"/>
      <c r="P44" s="188" t="s">
        <v>2291</v>
      </c>
      <c r="Q44" s="188" t="s">
        <v>2315</v>
      </c>
      <c r="R44" s="188" t="s">
        <v>857</v>
      </c>
      <c r="S44" s="188"/>
      <c r="T44" s="188" t="s">
        <v>1278</v>
      </c>
      <c r="U44" s="197"/>
    </row>
    <row r="45" spans="1:21" s="198" customFormat="1" ht="25">
      <c r="A45" s="185" t="s">
        <v>2323</v>
      </c>
      <c r="B45" s="185">
        <v>2021</v>
      </c>
      <c r="C45" s="185" t="s">
        <v>2324</v>
      </c>
      <c r="D45" s="185" t="s">
        <v>122</v>
      </c>
      <c r="E45" s="185" t="s">
        <v>81</v>
      </c>
      <c r="F45" s="185">
        <v>3</v>
      </c>
      <c r="G45" s="186">
        <v>17.14</v>
      </c>
      <c r="H45" s="185" t="s">
        <v>2118</v>
      </c>
      <c r="I45" s="185" t="s">
        <v>1898</v>
      </c>
      <c r="J45" s="185">
        <v>2021</v>
      </c>
      <c r="K45" s="185" t="s">
        <v>2114</v>
      </c>
      <c r="L45" s="195" t="s">
        <v>2312</v>
      </c>
      <c r="M45" s="196" t="s">
        <v>2325</v>
      </c>
      <c r="N45" s="196" t="s">
        <v>2326</v>
      </c>
      <c r="O45" s="185"/>
      <c r="P45" s="188" t="s">
        <v>2291</v>
      </c>
      <c r="Q45" s="188" t="s">
        <v>2315</v>
      </c>
      <c r="R45" s="188" t="s">
        <v>857</v>
      </c>
      <c r="S45" s="188"/>
      <c r="T45" s="188" t="s">
        <v>1278</v>
      </c>
      <c r="U45" s="197"/>
    </row>
    <row r="46" spans="1:21" s="198" customFormat="1" ht="50">
      <c r="A46" s="185" t="s">
        <v>2327</v>
      </c>
      <c r="B46" s="185">
        <v>2021</v>
      </c>
      <c r="C46" s="185" t="s">
        <v>2170</v>
      </c>
      <c r="D46" s="185" t="s">
        <v>2134</v>
      </c>
      <c r="E46" s="185" t="s">
        <v>810</v>
      </c>
      <c r="F46" s="185">
        <v>5</v>
      </c>
      <c r="G46" s="186">
        <v>50.92</v>
      </c>
      <c r="H46" s="185" t="s">
        <v>2118</v>
      </c>
      <c r="I46" s="185" t="s">
        <v>1898</v>
      </c>
      <c r="J46" s="185">
        <v>2021</v>
      </c>
      <c r="K46" s="185" t="s">
        <v>2114</v>
      </c>
      <c r="L46" s="195" t="s">
        <v>2312</v>
      </c>
      <c r="M46" s="187" t="s">
        <v>2279</v>
      </c>
      <c r="N46" s="187" t="s">
        <v>2280</v>
      </c>
      <c r="O46" s="185"/>
      <c r="P46" s="188" t="s">
        <v>2328</v>
      </c>
      <c r="Q46" s="188" t="s">
        <v>2315</v>
      </c>
      <c r="R46" s="188" t="s">
        <v>857</v>
      </c>
      <c r="S46" s="188"/>
      <c r="T46" s="188" t="s">
        <v>1278</v>
      </c>
      <c r="U46" s="197"/>
    </row>
    <row r="47" spans="1:21" s="198" customFormat="1" ht="37.5">
      <c r="A47" s="185" t="s">
        <v>2329</v>
      </c>
      <c r="B47" s="185">
        <v>2021</v>
      </c>
      <c r="C47" s="185" t="s">
        <v>2295</v>
      </c>
      <c r="D47" s="185" t="s">
        <v>2296</v>
      </c>
      <c r="E47" s="185" t="s">
        <v>810</v>
      </c>
      <c r="F47" s="185">
        <v>1</v>
      </c>
      <c r="G47" s="186">
        <v>3.94</v>
      </c>
      <c r="H47" s="185" t="s">
        <v>2118</v>
      </c>
      <c r="I47" s="185" t="s">
        <v>2300</v>
      </c>
      <c r="J47" s="185">
        <v>2021</v>
      </c>
      <c r="K47" s="185" t="s">
        <v>2114</v>
      </c>
      <c r="L47" s="195" t="s">
        <v>2312</v>
      </c>
      <c r="M47" s="187" t="s">
        <v>2297</v>
      </c>
      <c r="N47" s="187" t="s">
        <v>2298</v>
      </c>
      <c r="O47" s="185"/>
      <c r="P47" s="188" t="s">
        <v>2301</v>
      </c>
      <c r="Q47" s="188" t="s">
        <v>2315</v>
      </c>
      <c r="R47" s="188" t="s">
        <v>857</v>
      </c>
      <c r="S47" s="188"/>
      <c r="T47" s="188" t="s">
        <v>1278</v>
      </c>
      <c r="U47" s="197"/>
    </row>
    <row r="48" spans="1:21" s="198" customFormat="1" ht="25">
      <c r="A48" s="185" t="s">
        <v>2330</v>
      </c>
      <c r="B48" s="185">
        <v>2021</v>
      </c>
      <c r="C48" s="185" t="s">
        <v>2168</v>
      </c>
      <c r="D48" s="185" t="s">
        <v>2167</v>
      </c>
      <c r="E48" s="185" t="s">
        <v>860</v>
      </c>
      <c r="F48" s="185">
        <v>6</v>
      </c>
      <c r="G48" s="186">
        <v>18.13</v>
      </c>
      <c r="H48" s="185" t="s">
        <v>2118</v>
      </c>
      <c r="I48" s="185" t="s">
        <v>1190</v>
      </c>
      <c r="J48" s="185">
        <v>2021</v>
      </c>
      <c r="K48" s="185" t="s">
        <v>2114</v>
      </c>
      <c r="L48" s="195" t="s">
        <v>2312</v>
      </c>
      <c r="M48" s="187" t="s">
        <v>2282</v>
      </c>
      <c r="N48" s="187" t="s">
        <v>2283</v>
      </c>
      <c r="O48" s="185"/>
      <c r="P48" s="188" t="s">
        <v>2331</v>
      </c>
      <c r="Q48" s="188" t="s">
        <v>2315</v>
      </c>
      <c r="R48" s="188" t="s">
        <v>857</v>
      </c>
      <c r="S48" s="188"/>
      <c r="T48" s="188" t="s">
        <v>1278</v>
      </c>
      <c r="U48" s="197"/>
    </row>
    <row r="49" spans="1:21" s="198" customFormat="1" ht="25">
      <c r="A49" s="185" t="s">
        <v>2332</v>
      </c>
      <c r="B49" s="185">
        <v>2021</v>
      </c>
      <c r="C49" s="185" t="s">
        <v>2303</v>
      </c>
      <c r="D49" s="185" t="s">
        <v>838</v>
      </c>
      <c r="E49" s="185" t="s">
        <v>810</v>
      </c>
      <c r="F49" s="185">
        <v>1</v>
      </c>
      <c r="G49" s="186">
        <v>7.74</v>
      </c>
      <c r="H49" s="185" t="s">
        <v>2118</v>
      </c>
      <c r="I49" s="185" t="s">
        <v>1190</v>
      </c>
      <c r="J49" s="185">
        <v>2021</v>
      </c>
      <c r="K49" s="185" t="s">
        <v>2114</v>
      </c>
      <c r="L49" s="195" t="s">
        <v>2312</v>
      </c>
      <c r="M49" s="187" t="s">
        <v>2304</v>
      </c>
      <c r="N49" s="187" t="s">
        <v>2305</v>
      </c>
      <c r="O49" s="185"/>
      <c r="P49" s="188" t="s">
        <v>2331</v>
      </c>
      <c r="Q49" s="188" t="s">
        <v>2315</v>
      </c>
      <c r="R49" s="188" t="s">
        <v>857</v>
      </c>
      <c r="S49" s="188"/>
      <c r="T49" s="188" t="s">
        <v>1278</v>
      </c>
      <c r="U49" s="197"/>
    </row>
    <row r="50" spans="1:21" s="194" customFormat="1" ht="25">
      <c r="A50" s="189" t="s">
        <v>2285</v>
      </c>
      <c r="B50" s="189">
        <v>2022</v>
      </c>
      <c r="C50" s="189" t="s">
        <v>2286</v>
      </c>
      <c r="D50" s="189" t="s">
        <v>2287</v>
      </c>
      <c r="E50" s="189" t="s">
        <v>810</v>
      </c>
      <c r="F50" s="189">
        <v>1</v>
      </c>
      <c r="G50" s="190">
        <v>12.5</v>
      </c>
      <c r="H50" s="189" t="s">
        <v>2118</v>
      </c>
      <c r="I50" s="189" t="s">
        <v>1898</v>
      </c>
      <c r="J50" s="189">
        <v>2022</v>
      </c>
      <c r="K50" s="189" t="s">
        <v>2114</v>
      </c>
      <c r="L50" s="189" t="s">
        <v>2288</v>
      </c>
      <c r="M50" s="191" t="s">
        <v>2289</v>
      </c>
      <c r="N50" s="191" t="s">
        <v>2290</v>
      </c>
      <c r="O50" s="189"/>
      <c r="P50" s="192" t="s">
        <v>2291</v>
      </c>
      <c r="Q50" s="192" t="s">
        <v>1278</v>
      </c>
      <c r="R50" s="192" t="s">
        <v>857</v>
      </c>
      <c r="S50" s="192"/>
      <c r="T50" s="192" t="s">
        <v>1278</v>
      </c>
      <c r="U50" s="193"/>
    </row>
    <row r="51" spans="1:21" s="194" customFormat="1" ht="50">
      <c r="A51" s="189" t="s">
        <v>2292</v>
      </c>
      <c r="B51" s="189">
        <v>2022</v>
      </c>
      <c r="C51" s="189" t="s">
        <v>2170</v>
      </c>
      <c r="D51" s="189" t="s">
        <v>2134</v>
      </c>
      <c r="E51" s="189" t="s">
        <v>810</v>
      </c>
      <c r="F51" s="189">
        <v>3</v>
      </c>
      <c r="G51" s="190">
        <v>32.090000000000003</v>
      </c>
      <c r="H51" s="189" t="s">
        <v>2118</v>
      </c>
      <c r="I51" s="189" t="s">
        <v>1898</v>
      </c>
      <c r="J51" s="189">
        <v>2022</v>
      </c>
      <c r="K51" s="189" t="s">
        <v>2114</v>
      </c>
      <c r="L51" s="189" t="s">
        <v>2288</v>
      </c>
      <c r="M51" s="191" t="s">
        <v>2279</v>
      </c>
      <c r="N51" s="191" t="s">
        <v>2280</v>
      </c>
      <c r="O51" s="189"/>
      <c r="P51" s="192" t="s">
        <v>2293</v>
      </c>
      <c r="Q51" s="192" t="s">
        <v>1278</v>
      </c>
      <c r="R51" s="192" t="s">
        <v>857</v>
      </c>
      <c r="S51" s="192"/>
      <c r="T51" s="192" t="s">
        <v>1278</v>
      </c>
      <c r="U51" s="193"/>
    </row>
    <row r="52" spans="1:21" s="194" customFormat="1" ht="25">
      <c r="A52" s="189" t="s">
        <v>2294</v>
      </c>
      <c r="B52" s="189">
        <v>2022</v>
      </c>
      <c r="C52" s="189" t="s">
        <v>2295</v>
      </c>
      <c r="D52" s="189" t="s">
        <v>2296</v>
      </c>
      <c r="E52" s="189" t="s">
        <v>810</v>
      </c>
      <c r="F52" s="189">
        <v>1</v>
      </c>
      <c r="G52" s="190">
        <v>3.94</v>
      </c>
      <c r="H52" s="189" t="s">
        <v>2118</v>
      </c>
      <c r="I52" s="189" t="s">
        <v>1898</v>
      </c>
      <c r="J52" s="189">
        <v>2022</v>
      </c>
      <c r="K52" s="189" t="s">
        <v>2114</v>
      </c>
      <c r="L52" s="189" t="s">
        <v>2288</v>
      </c>
      <c r="M52" s="191" t="s">
        <v>2297</v>
      </c>
      <c r="N52" s="191" t="s">
        <v>2298</v>
      </c>
      <c r="O52" s="189"/>
      <c r="P52" s="192" t="s">
        <v>2291</v>
      </c>
      <c r="Q52" s="192" t="s">
        <v>1278</v>
      </c>
      <c r="R52" s="192" t="s">
        <v>857</v>
      </c>
      <c r="S52" s="192"/>
      <c r="T52" s="192" t="s">
        <v>1278</v>
      </c>
      <c r="U52" s="193"/>
    </row>
    <row r="53" spans="1:21" s="194" customFormat="1" ht="37.5">
      <c r="A53" s="189" t="s">
        <v>2299</v>
      </c>
      <c r="B53" s="189">
        <v>2022</v>
      </c>
      <c r="C53" s="189" t="s">
        <v>2168</v>
      </c>
      <c r="D53" s="189" t="s">
        <v>2167</v>
      </c>
      <c r="E53" s="189" t="s">
        <v>860</v>
      </c>
      <c r="F53" s="189">
        <v>6</v>
      </c>
      <c r="G53" s="190">
        <v>18.13</v>
      </c>
      <c r="H53" s="189" t="s">
        <v>2118</v>
      </c>
      <c r="I53" s="189" t="s">
        <v>2300</v>
      </c>
      <c r="J53" s="189">
        <v>2022</v>
      </c>
      <c r="K53" s="189" t="s">
        <v>2114</v>
      </c>
      <c r="L53" s="189" t="s">
        <v>2288</v>
      </c>
      <c r="M53" s="191" t="s">
        <v>2282</v>
      </c>
      <c r="N53" s="191" t="s">
        <v>2283</v>
      </c>
      <c r="O53" s="189"/>
      <c r="P53" s="192" t="s">
        <v>2301</v>
      </c>
      <c r="Q53" s="192" t="s">
        <v>1278</v>
      </c>
      <c r="R53" s="192" t="s">
        <v>857</v>
      </c>
      <c r="S53" s="192"/>
      <c r="T53" s="192" t="s">
        <v>1278</v>
      </c>
      <c r="U53" s="193"/>
    </row>
    <row r="54" spans="1:21" s="194" customFormat="1" ht="25">
      <c r="A54" s="189" t="s">
        <v>2302</v>
      </c>
      <c r="B54" s="189">
        <v>2022</v>
      </c>
      <c r="C54" s="189" t="s">
        <v>2303</v>
      </c>
      <c r="D54" s="189" t="s">
        <v>838</v>
      </c>
      <c r="E54" s="189" t="s">
        <v>810</v>
      </c>
      <c r="F54" s="189">
        <v>1</v>
      </c>
      <c r="G54" s="190">
        <v>7.74</v>
      </c>
      <c r="H54" s="189" t="s">
        <v>2118</v>
      </c>
      <c r="I54" s="189" t="s">
        <v>1898</v>
      </c>
      <c r="J54" s="189">
        <v>2022</v>
      </c>
      <c r="K54" s="189" t="s">
        <v>2114</v>
      </c>
      <c r="L54" s="189" t="s">
        <v>2288</v>
      </c>
      <c r="M54" s="191" t="s">
        <v>2304</v>
      </c>
      <c r="N54" s="191" t="s">
        <v>2305</v>
      </c>
      <c r="O54" s="189"/>
      <c r="P54" s="192" t="s">
        <v>2291</v>
      </c>
      <c r="Q54" s="192" t="s">
        <v>1278</v>
      </c>
      <c r="R54" s="192" t="s">
        <v>857</v>
      </c>
      <c r="S54" s="192"/>
      <c r="T54" s="192" t="s">
        <v>1278</v>
      </c>
      <c r="U54" s="193"/>
    </row>
    <row r="55" spans="1:21" s="194" customFormat="1" ht="25">
      <c r="A55" s="189" t="s">
        <v>2306</v>
      </c>
      <c r="B55" s="189">
        <v>2022</v>
      </c>
      <c r="C55" s="189" t="s">
        <v>2307</v>
      </c>
      <c r="D55" s="189" t="s">
        <v>91</v>
      </c>
      <c r="E55" s="189" t="s">
        <v>60</v>
      </c>
      <c r="F55" s="189">
        <v>2</v>
      </c>
      <c r="G55" s="190">
        <v>10.9</v>
      </c>
      <c r="H55" s="189" t="s">
        <v>2118</v>
      </c>
      <c r="I55" s="189" t="s">
        <v>1898</v>
      </c>
      <c r="J55" s="189">
        <v>2022</v>
      </c>
      <c r="K55" s="189" t="s">
        <v>2114</v>
      </c>
      <c r="L55" s="189" t="s">
        <v>2288</v>
      </c>
      <c r="M55" s="191" t="s">
        <v>2308</v>
      </c>
      <c r="N55" s="191" t="s">
        <v>2309</v>
      </c>
      <c r="O55" s="189"/>
      <c r="P55" s="192" t="s">
        <v>2291</v>
      </c>
      <c r="Q55" s="192" t="s">
        <v>1278</v>
      </c>
      <c r="R55" s="192" t="s">
        <v>857</v>
      </c>
      <c r="S55" s="192"/>
      <c r="T55" s="192" t="s">
        <v>1278</v>
      </c>
      <c r="U55" s="193"/>
    </row>
    <row r="56" spans="1:21" ht="25">
      <c r="A56" s="185" t="s">
        <v>2171</v>
      </c>
      <c r="B56" s="185">
        <v>2024</v>
      </c>
      <c r="C56" s="185" t="s">
        <v>2170</v>
      </c>
      <c r="D56" s="185" t="s">
        <v>2134</v>
      </c>
      <c r="E56" s="185" t="s">
        <v>810</v>
      </c>
      <c r="F56" s="185">
        <v>1</v>
      </c>
      <c r="G56" s="186">
        <v>8.8000000000000007</v>
      </c>
      <c r="H56" s="185" t="s">
        <v>2166</v>
      </c>
      <c r="I56" s="185" t="s">
        <v>1190</v>
      </c>
      <c r="J56" s="185">
        <v>2024</v>
      </c>
      <c r="K56" s="185" t="s">
        <v>2114</v>
      </c>
      <c r="L56" s="185"/>
      <c r="M56" s="187" t="s">
        <v>2279</v>
      </c>
      <c r="N56" s="187" t="s">
        <v>2280</v>
      </c>
      <c r="O56" s="195"/>
      <c r="P56" s="188" t="s">
        <v>2281</v>
      </c>
      <c r="Q56" s="188" t="s">
        <v>1278</v>
      </c>
      <c r="R56" s="188" t="s">
        <v>857</v>
      </c>
      <c r="S56" s="188"/>
      <c r="T56" s="188" t="s">
        <v>1278</v>
      </c>
    </row>
    <row r="57" spans="1:21" ht="25">
      <c r="A57" s="185" t="s">
        <v>2169</v>
      </c>
      <c r="B57" s="185">
        <v>2024</v>
      </c>
      <c r="C57" s="185" t="s">
        <v>2168</v>
      </c>
      <c r="D57" s="185" t="s">
        <v>2167</v>
      </c>
      <c r="E57" s="185" t="s">
        <v>860</v>
      </c>
      <c r="F57" s="185">
        <v>6</v>
      </c>
      <c r="G57" s="186">
        <v>15.28</v>
      </c>
      <c r="H57" s="185" t="s">
        <v>2166</v>
      </c>
      <c r="I57" s="185" t="s">
        <v>1190</v>
      </c>
      <c r="J57" s="185">
        <v>2024</v>
      </c>
      <c r="K57" s="185" t="s">
        <v>2114</v>
      </c>
      <c r="L57" s="185"/>
      <c r="M57" s="187" t="s">
        <v>2282</v>
      </c>
      <c r="N57" s="187" t="s">
        <v>2283</v>
      </c>
      <c r="O57" s="185"/>
      <c r="P57" s="188" t="s">
        <v>2284</v>
      </c>
      <c r="Q57" s="188" t="s">
        <v>1278</v>
      </c>
      <c r="R57" s="188" t="s">
        <v>857</v>
      </c>
      <c r="S57" s="188"/>
      <c r="T57" s="188" t="s">
        <v>1278</v>
      </c>
    </row>
    <row r="58" spans="1:21">
      <c r="A58" s="150"/>
      <c r="B58" s="149"/>
      <c r="C58" s="149"/>
      <c r="D58" s="149"/>
      <c r="E58" s="149"/>
      <c r="F58" s="149"/>
      <c r="G58" s="171"/>
      <c r="H58" s="149"/>
      <c r="I58" s="149"/>
      <c r="J58" s="149"/>
      <c r="K58" s="149"/>
      <c r="L58" s="149"/>
      <c r="M58" s="177"/>
      <c r="N58" s="177"/>
      <c r="O58" s="149"/>
      <c r="P58" s="147"/>
      <c r="Q58" s="147"/>
      <c r="R58" s="147"/>
      <c r="S58" s="147"/>
      <c r="T58" s="146"/>
    </row>
    <row r="59" spans="1:21">
      <c r="M59" s="176"/>
      <c r="N59" s="176"/>
    </row>
    <row r="60" spans="1:21">
      <c r="B60" s="261" t="s">
        <v>2165</v>
      </c>
      <c r="C60" s="261"/>
      <c r="D60" s="261"/>
      <c r="E60" s="261"/>
      <c r="F60" s="261"/>
      <c r="G60" s="169" t="s">
        <v>2107</v>
      </c>
      <c r="M60" s="176"/>
      <c r="N60" s="176"/>
    </row>
    <row r="61" spans="1:21">
      <c r="B61" s="260" t="s">
        <v>2164</v>
      </c>
      <c r="C61" s="260"/>
      <c r="D61" s="260"/>
      <c r="E61" s="260"/>
      <c r="F61" s="260"/>
      <c r="G61" s="168">
        <f>COUNTA(A6:A58)</f>
        <v>52</v>
      </c>
      <c r="M61" s="176"/>
      <c r="N61" s="176"/>
    </row>
    <row r="62" spans="1:21">
      <c r="B62" s="251" t="s">
        <v>2163</v>
      </c>
      <c r="C62" s="251"/>
      <c r="D62" s="251"/>
      <c r="E62" s="251"/>
      <c r="F62" s="251"/>
      <c r="G62" s="142">
        <f>SUM(F6:F58)</f>
        <v>192</v>
      </c>
      <c r="M62" s="176"/>
      <c r="N62" s="176"/>
    </row>
    <row r="63" spans="1:21">
      <c r="B63" s="251" t="s">
        <v>2162</v>
      </c>
      <c r="C63" s="251"/>
      <c r="D63" s="251"/>
      <c r="E63" s="251"/>
      <c r="F63" s="251"/>
      <c r="G63" s="166">
        <f>SUM(G6:G58)</f>
        <v>791.96</v>
      </c>
      <c r="M63" s="176"/>
      <c r="N63" s="176"/>
    </row>
    <row r="64" spans="1:21">
      <c r="B64" s="258" t="s">
        <v>2161</v>
      </c>
      <c r="C64" s="258"/>
      <c r="D64" s="258"/>
      <c r="E64" s="258"/>
      <c r="F64" s="258"/>
      <c r="G64" s="165">
        <f>COUNTIFS(M6:M58,"&lt;&gt;",N6:N58,"&lt;&gt;")</f>
        <v>52</v>
      </c>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row r="206" spans="13:14">
      <c r="M206" s="176"/>
      <c r="N206" s="176"/>
    </row>
    <row r="207" spans="13:14">
      <c r="M207" s="176"/>
      <c r="N207" s="176"/>
    </row>
    <row r="208" spans="13:14">
      <c r="M208" s="176"/>
      <c r="N208" s="176"/>
    </row>
    <row r="209" spans="13:14">
      <c r="M209" s="176"/>
      <c r="N209" s="176"/>
    </row>
    <row r="210" spans="13:14">
      <c r="M210" s="176"/>
      <c r="N210" s="176"/>
    </row>
    <row r="211" spans="13:14">
      <c r="M211" s="176"/>
      <c r="N211" s="176"/>
    </row>
    <row r="212" spans="13:14">
      <c r="M212" s="176"/>
      <c r="N212" s="176"/>
    </row>
    <row r="213" spans="13:14">
      <c r="M213" s="176"/>
      <c r="N213" s="176"/>
    </row>
    <row r="214" spans="13:14">
      <c r="M214" s="176"/>
      <c r="N214" s="176"/>
    </row>
    <row r="215" spans="13:14">
      <c r="M215" s="176"/>
      <c r="N215" s="176"/>
    </row>
    <row r="216" spans="13:14">
      <c r="M216" s="176"/>
      <c r="N216" s="176"/>
    </row>
    <row r="217" spans="13:14">
      <c r="M217" s="176"/>
      <c r="N217" s="176"/>
    </row>
    <row r="218" spans="13:14">
      <c r="M218" s="176"/>
      <c r="N218" s="176"/>
    </row>
    <row r="219" spans="13:14">
      <c r="M219" s="176"/>
      <c r="N219" s="176"/>
    </row>
    <row r="220" spans="13:14">
      <c r="M220" s="176"/>
      <c r="N220" s="176"/>
    </row>
    <row r="221" spans="13:14">
      <c r="M221" s="176"/>
      <c r="N221" s="176"/>
    </row>
    <row r="222" spans="13:14">
      <c r="M222" s="176"/>
      <c r="N222" s="176"/>
    </row>
    <row r="223" spans="13:14">
      <c r="M223" s="176"/>
      <c r="N223" s="176"/>
    </row>
    <row r="224" spans="13:14">
      <c r="M224" s="176"/>
      <c r="N224" s="176"/>
    </row>
    <row r="225" spans="13:14">
      <c r="M225" s="176"/>
      <c r="N225" s="176"/>
    </row>
    <row r="226" spans="13:14">
      <c r="M226" s="176"/>
      <c r="N226" s="176"/>
    </row>
    <row r="227" spans="13:14">
      <c r="M227" s="176"/>
      <c r="N227" s="176"/>
    </row>
    <row r="228" spans="13:14">
      <c r="M228" s="176"/>
      <c r="N228" s="176"/>
    </row>
    <row r="229" spans="13:14">
      <c r="M229" s="176"/>
      <c r="N229" s="176"/>
    </row>
    <row r="230" spans="13:14">
      <c r="M230" s="176"/>
      <c r="N230" s="176"/>
    </row>
    <row r="231" spans="13:14">
      <c r="M231" s="176"/>
      <c r="N231" s="176"/>
    </row>
    <row r="232" spans="13:14">
      <c r="M232" s="176"/>
      <c r="N232" s="176"/>
    </row>
    <row r="233" spans="13:14">
      <c r="M233" s="176"/>
      <c r="N233" s="176"/>
    </row>
    <row r="234" spans="13:14">
      <c r="M234" s="176"/>
      <c r="N234" s="176"/>
    </row>
    <row r="235" spans="13:14">
      <c r="M235" s="176"/>
      <c r="N235" s="176"/>
    </row>
    <row r="236" spans="13:14">
      <c r="M236" s="176"/>
      <c r="N236" s="176"/>
    </row>
    <row r="237" spans="13:14">
      <c r="M237" s="176"/>
      <c r="N237" s="176"/>
    </row>
    <row r="238" spans="13:14">
      <c r="M238" s="176"/>
      <c r="N238" s="176"/>
    </row>
    <row r="239" spans="13:14">
      <c r="M239" s="176"/>
      <c r="N239" s="176"/>
    </row>
    <row r="240" spans="13:14">
      <c r="M240" s="176"/>
      <c r="N240" s="176"/>
    </row>
    <row r="241" spans="13:14">
      <c r="M241" s="176"/>
      <c r="N241" s="176"/>
    </row>
    <row r="242" spans="13:14">
      <c r="M242" s="176"/>
      <c r="N242" s="176"/>
    </row>
    <row r="243" spans="13:14">
      <c r="M243" s="176"/>
      <c r="N243" s="176"/>
    </row>
    <row r="244" spans="13:14">
      <c r="M244" s="176"/>
      <c r="N244" s="176"/>
    </row>
    <row r="245" spans="13:14">
      <c r="M245" s="176"/>
      <c r="N245" s="176"/>
    </row>
    <row r="246" spans="13:14">
      <c r="M246" s="176"/>
      <c r="N246" s="176"/>
    </row>
    <row r="247" spans="13:14">
      <c r="M247" s="176"/>
      <c r="N247" s="176"/>
    </row>
    <row r="248" spans="13:14">
      <c r="M248" s="176"/>
      <c r="N248" s="176"/>
    </row>
    <row r="249" spans="13:14">
      <c r="M249" s="176"/>
      <c r="N249" s="176"/>
    </row>
    <row r="250" spans="13:14">
      <c r="M250" s="176"/>
      <c r="N250" s="176"/>
    </row>
    <row r="251" spans="13:14">
      <c r="M251" s="176"/>
      <c r="N251" s="176"/>
    </row>
    <row r="252" spans="13:14">
      <c r="M252" s="176"/>
      <c r="N252" s="176"/>
    </row>
    <row r="253" spans="13:14">
      <c r="M253" s="176"/>
      <c r="N253" s="176"/>
    </row>
    <row r="254" spans="13:14">
      <c r="M254" s="176"/>
      <c r="N254" s="176"/>
    </row>
    <row r="255" spans="13:14">
      <c r="M255" s="176"/>
      <c r="N255" s="176"/>
    </row>
    <row r="256" spans="13:14">
      <c r="M256" s="176"/>
      <c r="N256" s="176"/>
    </row>
  </sheetData>
  <mergeCells count="8">
    <mergeCell ref="B62:F62"/>
    <mergeCell ref="B63:F63"/>
    <mergeCell ref="B64:F64"/>
    <mergeCell ref="A1:T1"/>
    <mergeCell ref="A2:T2"/>
    <mergeCell ref="A3:T3"/>
    <mergeCell ref="B60:F60"/>
    <mergeCell ref="B61:F61"/>
  </mergeCells>
  <phoneticPr fontId="17" type="noConversion"/>
  <conditionalFormatting sqref="H6:H256">
    <cfRule type="expression" dxfId="5" priority="1">
      <formula>H6="Kawasan Kumuh Tersisa"</formula>
    </cfRule>
  </conditionalFormatting>
  <conditionalFormatting sqref="I6:I256">
    <cfRule type="expression" dxfId="4" priority="2">
      <formula>I6="Dalam Penanganan"</formula>
    </cfRule>
    <cfRule type="expression" dxfId="3" priority="3">
      <formula>I6="Selesai Ditangani"</formula>
    </cfRule>
  </conditionalFormatting>
  <dataValidations count="3">
    <dataValidation type="list" sqref="R6:R256" xr:uid="{00000000-0002-0000-0900-000002000000}">
      <formula1>"Terverifikasi,Belum Diverifikasi,Perlu Konfirmasi Dokumen,Perlu Perbaikan"</formula1>
    </dataValidation>
    <dataValidation type="list" sqref="I6:I256" xr:uid="{00000000-0002-0000-0900-000001000000}">
      <formula1>"Belum Ditangani,Dalam Penanganan,Selesai Ditangani,Perlu Verifikasi"</formula1>
    </dataValidation>
    <dataValidation type="list" sqref="H6:H256" xr:uid="{00000000-0002-0000-0900-000000000000}">
      <formula1>"Kawasan Kumuh Tersisa,Dalam Evaluasi,Keluar dari SK,Historis"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C5677-3A5A-4398-834B-CB76BD1DAC01}">
  <dimension ref="A1:AE205"/>
  <sheetViews>
    <sheetView workbookViewId="0">
      <selection activeCell="J23" sqref="J23"/>
    </sheetView>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7.399999999999999" customHeight="1">
      <c r="A1" s="262" t="s">
        <v>2451</v>
      </c>
      <c r="B1" s="262"/>
      <c r="C1" s="262"/>
      <c r="D1" s="262"/>
      <c r="E1" s="262"/>
      <c r="F1" s="262"/>
      <c r="G1" s="262"/>
      <c r="H1" s="262"/>
      <c r="I1" s="262"/>
      <c r="J1" s="262"/>
      <c r="K1" s="262"/>
      <c r="L1" s="262"/>
      <c r="M1" s="262"/>
      <c r="N1" s="262"/>
      <c r="O1" s="262"/>
      <c r="P1" s="262"/>
      <c r="Q1" s="262"/>
      <c r="R1" s="262"/>
      <c r="S1" s="262"/>
      <c r="T1" s="262"/>
      <c r="U1" s="262"/>
      <c r="V1" s="262"/>
      <c r="W1" s="262"/>
      <c r="X1" s="262"/>
      <c r="Y1" s="262"/>
      <c r="Z1" s="262"/>
      <c r="AA1" s="262"/>
      <c r="AB1" s="262"/>
      <c r="AC1" s="262"/>
      <c r="AD1" s="262"/>
      <c r="AE1" s="262"/>
    </row>
    <row r="2" spans="1:31" ht="16" customHeight="1">
      <c r="A2" s="263" t="s">
        <v>2450</v>
      </c>
      <c r="B2" s="263"/>
      <c r="C2" s="263"/>
      <c r="D2" s="263"/>
      <c r="E2" s="263"/>
      <c r="F2" s="263"/>
      <c r="G2" s="263"/>
      <c r="H2" s="263"/>
      <c r="I2" s="263"/>
      <c r="J2" s="263"/>
      <c r="K2" s="263"/>
      <c r="L2" s="263"/>
      <c r="M2" s="263"/>
      <c r="N2" s="263"/>
      <c r="O2" s="263"/>
      <c r="P2" s="263"/>
      <c r="Q2" s="263"/>
      <c r="R2" s="263"/>
      <c r="S2" s="263"/>
      <c r="T2" s="263"/>
      <c r="U2" s="263"/>
      <c r="V2" s="263"/>
      <c r="W2" s="263"/>
      <c r="X2" s="263"/>
      <c r="Y2" s="263"/>
      <c r="Z2" s="263"/>
      <c r="AA2" s="263"/>
      <c r="AB2" s="263"/>
      <c r="AC2" s="263"/>
      <c r="AD2" s="263"/>
      <c r="AE2" s="263"/>
    </row>
    <row r="3" spans="1:31" ht="21.4" customHeight="1">
      <c r="A3" s="264" t="s">
        <v>2449</v>
      </c>
      <c r="B3" s="264"/>
      <c r="C3" s="264"/>
      <c r="D3" s="264"/>
      <c r="E3" s="264"/>
      <c r="F3" s="264"/>
      <c r="G3" s="264"/>
      <c r="H3" s="264"/>
      <c r="I3" s="264"/>
      <c r="J3" s="264"/>
      <c r="K3" s="264"/>
      <c r="L3" s="264"/>
      <c r="M3" s="264"/>
      <c r="N3" s="264"/>
      <c r="O3" s="264"/>
      <c r="P3" s="264"/>
      <c r="Q3" s="264"/>
      <c r="R3" s="264"/>
      <c r="S3" s="264"/>
      <c r="T3" s="264"/>
      <c r="U3" s="264"/>
      <c r="V3" s="264"/>
      <c r="W3" s="264"/>
      <c r="X3" s="264"/>
      <c r="Y3" s="264"/>
      <c r="Z3" s="264"/>
      <c r="AA3" s="264"/>
      <c r="AB3" s="264"/>
      <c r="AC3" s="264"/>
      <c r="AD3" s="264"/>
      <c r="AE3" s="264"/>
    </row>
    <row r="5" spans="1:31" ht="24" customHeight="1">
      <c r="A5" s="218" t="s">
        <v>2448</v>
      </c>
      <c r="B5" s="218" t="s">
        <v>919</v>
      </c>
      <c r="C5" s="218" t="s">
        <v>2447</v>
      </c>
      <c r="D5" s="218" t="s">
        <v>849</v>
      </c>
      <c r="E5" s="218" t="s">
        <v>2446</v>
      </c>
      <c r="F5" s="218" t="s">
        <v>2445</v>
      </c>
      <c r="G5" s="218" t="s">
        <v>2444</v>
      </c>
      <c r="H5" s="218" t="s">
        <v>2443</v>
      </c>
      <c r="I5" s="218" t="s">
        <v>2442</v>
      </c>
      <c r="J5" s="218" t="s">
        <v>2441</v>
      </c>
      <c r="K5" s="218" t="s">
        <v>2440</v>
      </c>
      <c r="L5" s="218" t="s">
        <v>2439</v>
      </c>
      <c r="M5" s="218" t="s">
        <v>2438</v>
      </c>
      <c r="N5" s="218" t="s">
        <v>851</v>
      </c>
      <c r="O5" s="218" t="s">
        <v>2437</v>
      </c>
      <c r="P5" s="218" t="s">
        <v>2436</v>
      </c>
      <c r="Q5" s="218" t="s">
        <v>2435</v>
      </c>
      <c r="R5" s="218" t="s">
        <v>872</v>
      </c>
      <c r="S5" s="218" t="s">
        <v>2434</v>
      </c>
      <c r="T5" s="218" t="s">
        <v>2433</v>
      </c>
      <c r="U5" s="218" t="s">
        <v>2432</v>
      </c>
      <c r="V5" s="218" t="s">
        <v>2431</v>
      </c>
      <c r="W5" s="218" t="s">
        <v>2430</v>
      </c>
      <c r="X5" s="218" t="s">
        <v>2429</v>
      </c>
      <c r="Y5" s="218" t="s">
        <v>2428</v>
      </c>
      <c r="Z5" s="218" t="s">
        <v>2427</v>
      </c>
      <c r="AA5" s="218" t="s">
        <v>2426</v>
      </c>
      <c r="AB5" s="218" t="s">
        <v>27</v>
      </c>
      <c r="AC5" s="218" t="s">
        <v>853</v>
      </c>
      <c r="AD5" s="218" t="s">
        <v>30</v>
      </c>
      <c r="AE5" s="217" t="s">
        <v>29</v>
      </c>
    </row>
    <row r="6" spans="1:31">
      <c r="A6" s="211"/>
      <c r="B6" s="216"/>
      <c r="C6" s="215"/>
      <c r="D6" s="211"/>
      <c r="E6" s="211"/>
      <c r="F6" s="211"/>
      <c r="G6" s="213"/>
      <c r="H6" s="213"/>
      <c r="I6" s="213"/>
      <c r="J6" s="213"/>
      <c r="K6" s="213"/>
      <c r="L6" s="213"/>
      <c r="M6" s="212" t="str">
        <f t="shared" ref="M6:M37" si="0">IF(OR($A6="",$G6=0),"",$K6/$G6)</f>
        <v/>
      </c>
      <c r="N6" s="213"/>
      <c r="O6" s="213"/>
      <c r="P6" s="213"/>
      <c r="Q6" s="213"/>
      <c r="R6" s="213"/>
      <c r="S6" s="214"/>
      <c r="T6" s="213"/>
      <c r="U6" s="213"/>
      <c r="V6" s="213"/>
      <c r="W6" s="213"/>
      <c r="X6" s="212" t="str">
        <f t="shared" ref="X6:X37" si="1">IF(OR($A6="",$T6=0),"",$U6/$T6)</f>
        <v/>
      </c>
      <c r="Y6" s="213"/>
      <c r="Z6" s="213"/>
      <c r="AA6" s="212" t="str">
        <f t="shared" ref="AA6:AA37" si="2">IF(OR($A6="",$Y6=0),"",$Z6/$Y6)</f>
        <v/>
      </c>
      <c r="AB6" s="211"/>
      <c r="AC6" s="211"/>
      <c r="AD6" s="211"/>
      <c r="AE6" s="210"/>
    </row>
    <row r="7" spans="1:31">
      <c r="A7" s="211"/>
      <c r="B7" s="216"/>
      <c r="C7" s="215"/>
      <c r="D7" s="211"/>
      <c r="E7" s="211"/>
      <c r="F7" s="211"/>
      <c r="G7" s="213"/>
      <c r="H7" s="213"/>
      <c r="I7" s="213"/>
      <c r="J7" s="213"/>
      <c r="K7" s="213"/>
      <c r="L7" s="213"/>
      <c r="M7" s="212" t="str">
        <f t="shared" si="0"/>
        <v/>
      </c>
      <c r="N7" s="213"/>
      <c r="O7" s="213"/>
      <c r="P7" s="213"/>
      <c r="Q7" s="213"/>
      <c r="R7" s="213"/>
      <c r="S7" s="214"/>
      <c r="T7" s="213"/>
      <c r="U7" s="213"/>
      <c r="V7" s="213"/>
      <c r="W7" s="213"/>
      <c r="X7" s="212" t="str">
        <f t="shared" si="1"/>
        <v/>
      </c>
      <c r="Y7" s="213"/>
      <c r="Z7" s="213"/>
      <c r="AA7" s="212" t="str">
        <f t="shared" si="2"/>
        <v/>
      </c>
      <c r="AB7" s="211"/>
      <c r="AC7" s="211"/>
      <c r="AD7" s="211"/>
      <c r="AE7" s="210"/>
    </row>
    <row r="8" spans="1:31">
      <c r="A8" s="211"/>
      <c r="B8" s="216"/>
      <c r="C8" s="215"/>
      <c r="D8" s="211"/>
      <c r="E8" s="211"/>
      <c r="F8" s="211"/>
      <c r="G8" s="213"/>
      <c r="H8" s="213"/>
      <c r="I8" s="213"/>
      <c r="J8" s="213"/>
      <c r="K8" s="213"/>
      <c r="L8" s="213"/>
      <c r="M8" s="212" t="str">
        <f t="shared" si="0"/>
        <v/>
      </c>
      <c r="N8" s="213"/>
      <c r="O8" s="213"/>
      <c r="P8" s="213"/>
      <c r="Q8" s="213"/>
      <c r="R8" s="213"/>
      <c r="S8" s="214"/>
      <c r="T8" s="213"/>
      <c r="U8" s="213"/>
      <c r="V8" s="213"/>
      <c r="W8" s="213"/>
      <c r="X8" s="212" t="str">
        <f t="shared" si="1"/>
        <v/>
      </c>
      <c r="Y8" s="213"/>
      <c r="Z8" s="213"/>
      <c r="AA8" s="212" t="str">
        <f t="shared" si="2"/>
        <v/>
      </c>
      <c r="AB8" s="211"/>
      <c r="AC8" s="211"/>
      <c r="AD8" s="211"/>
      <c r="AE8" s="210"/>
    </row>
    <row r="9" spans="1:31">
      <c r="A9" s="211"/>
      <c r="B9" s="216"/>
      <c r="C9" s="215"/>
      <c r="D9" s="211"/>
      <c r="E9" s="211"/>
      <c r="F9" s="211"/>
      <c r="G9" s="213"/>
      <c r="H9" s="213"/>
      <c r="I9" s="213"/>
      <c r="J9" s="213"/>
      <c r="K9" s="213"/>
      <c r="L9" s="213"/>
      <c r="M9" s="212" t="str">
        <f t="shared" si="0"/>
        <v/>
      </c>
      <c r="N9" s="213"/>
      <c r="O9" s="213"/>
      <c r="P9" s="213"/>
      <c r="Q9" s="213"/>
      <c r="R9" s="213"/>
      <c r="S9" s="214"/>
      <c r="T9" s="213"/>
      <c r="U9" s="213"/>
      <c r="V9" s="213"/>
      <c r="W9" s="213"/>
      <c r="X9" s="212" t="str">
        <f t="shared" si="1"/>
        <v/>
      </c>
      <c r="Y9" s="213"/>
      <c r="Z9" s="213"/>
      <c r="AA9" s="212" t="str">
        <f t="shared" si="2"/>
        <v/>
      </c>
      <c r="AB9" s="211"/>
      <c r="AC9" s="211"/>
      <c r="AD9" s="211"/>
      <c r="AE9" s="210"/>
    </row>
    <row r="10" spans="1:31">
      <c r="A10" s="211"/>
      <c r="B10" s="216"/>
      <c r="C10" s="215"/>
      <c r="D10" s="211"/>
      <c r="E10" s="211"/>
      <c r="F10" s="211"/>
      <c r="G10" s="213"/>
      <c r="H10" s="213"/>
      <c r="I10" s="213"/>
      <c r="J10" s="213"/>
      <c r="K10" s="213"/>
      <c r="L10" s="213"/>
      <c r="M10" s="212" t="str">
        <f t="shared" si="0"/>
        <v/>
      </c>
      <c r="N10" s="213"/>
      <c r="O10" s="213"/>
      <c r="P10" s="213"/>
      <c r="Q10" s="213"/>
      <c r="R10" s="213"/>
      <c r="S10" s="214"/>
      <c r="T10" s="213"/>
      <c r="U10" s="213"/>
      <c r="V10" s="213"/>
      <c r="W10" s="213"/>
      <c r="X10" s="212" t="str">
        <f t="shared" si="1"/>
        <v/>
      </c>
      <c r="Y10" s="213"/>
      <c r="Z10" s="213"/>
      <c r="AA10" s="212" t="str">
        <f t="shared" si="2"/>
        <v/>
      </c>
      <c r="AB10" s="211"/>
      <c r="AC10" s="211"/>
      <c r="AD10" s="211"/>
      <c r="AE10" s="210"/>
    </row>
    <row r="11" spans="1:31">
      <c r="A11" s="211"/>
      <c r="B11" s="216"/>
      <c r="C11" s="215"/>
      <c r="D11" s="211"/>
      <c r="E11" s="211"/>
      <c r="F11" s="211"/>
      <c r="G11" s="213"/>
      <c r="H11" s="213"/>
      <c r="I11" s="213"/>
      <c r="J11" s="213"/>
      <c r="K11" s="213"/>
      <c r="L11" s="213"/>
      <c r="M11" s="212" t="str">
        <f t="shared" si="0"/>
        <v/>
      </c>
      <c r="N11" s="213"/>
      <c r="O11" s="213"/>
      <c r="P11" s="213"/>
      <c r="Q11" s="213"/>
      <c r="R11" s="213"/>
      <c r="S11" s="214"/>
      <c r="T11" s="213"/>
      <c r="U11" s="213"/>
      <c r="V11" s="213"/>
      <c r="W11" s="213"/>
      <c r="X11" s="212" t="str">
        <f t="shared" si="1"/>
        <v/>
      </c>
      <c r="Y11" s="213"/>
      <c r="Z11" s="213"/>
      <c r="AA11" s="212" t="str">
        <f t="shared" si="2"/>
        <v/>
      </c>
      <c r="AB11" s="211"/>
      <c r="AC11" s="211"/>
      <c r="AD11" s="211"/>
      <c r="AE11" s="210"/>
    </row>
    <row r="12" spans="1:31">
      <c r="A12" s="211"/>
      <c r="B12" s="216"/>
      <c r="C12" s="215"/>
      <c r="D12" s="211"/>
      <c r="E12" s="211"/>
      <c r="F12" s="211"/>
      <c r="G12" s="213"/>
      <c r="H12" s="213"/>
      <c r="I12" s="213"/>
      <c r="J12" s="213"/>
      <c r="K12" s="213"/>
      <c r="L12" s="213"/>
      <c r="M12" s="212" t="str">
        <f t="shared" si="0"/>
        <v/>
      </c>
      <c r="N12" s="213"/>
      <c r="O12" s="213"/>
      <c r="P12" s="213"/>
      <c r="Q12" s="213"/>
      <c r="R12" s="213"/>
      <c r="S12" s="214"/>
      <c r="T12" s="213"/>
      <c r="U12" s="213"/>
      <c r="V12" s="213"/>
      <c r="W12" s="213"/>
      <c r="X12" s="212" t="str">
        <f t="shared" si="1"/>
        <v/>
      </c>
      <c r="Y12" s="213"/>
      <c r="Z12" s="213"/>
      <c r="AA12" s="212" t="str">
        <f t="shared" si="2"/>
        <v/>
      </c>
      <c r="AB12" s="211"/>
      <c r="AC12" s="211"/>
      <c r="AD12" s="211"/>
      <c r="AE12" s="210"/>
    </row>
    <row r="13" spans="1:31">
      <c r="A13" s="211"/>
      <c r="B13" s="216"/>
      <c r="C13" s="215"/>
      <c r="D13" s="211"/>
      <c r="E13" s="211"/>
      <c r="F13" s="211"/>
      <c r="G13" s="213"/>
      <c r="H13" s="213"/>
      <c r="I13" s="213"/>
      <c r="J13" s="213"/>
      <c r="K13" s="213"/>
      <c r="L13" s="213"/>
      <c r="M13" s="212" t="str">
        <f t="shared" si="0"/>
        <v/>
      </c>
      <c r="N13" s="213"/>
      <c r="O13" s="213"/>
      <c r="P13" s="213"/>
      <c r="Q13" s="213"/>
      <c r="R13" s="213"/>
      <c r="S13" s="214"/>
      <c r="T13" s="213"/>
      <c r="U13" s="213"/>
      <c r="V13" s="213"/>
      <c r="W13" s="213"/>
      <c r="X13" s="212" t="str">
        <f t="shared" si="1"/>
        <v/>
      </c>
      <c r="Y13" s="213"/>
      <c r="Z13" s="213"/>
      <c r="AA13" s="212" t="str">
        <f t="shared" si="2"/>
        <v/>
      </c>
      <c r="AB13" s="211"/>
      <c r="AC13" s="211"/>
      <c r="AD13" s="211"/>
      <c r="AE13" s="210"/>
    </row>
    <row r="14" spans="1:31">
      <c r="A14" s="211"/>
      <c r="B14" s="216"/>
      <c r="C14" s="215"/>
      <c r="D14" s="211"/>
      <c r="E14" s="211"/>
      <c r="F14" s="211"/>
      <c r="G14" s="213"/>
      <c r="H14" s="213"/>
      <c r="I14" s="213"/>
      <c r="J14" s="213"/>
      <c r="K14" s="213"/>
      <c r="L14" s="213"/>
      <c r="M14" s="212" t="str">
        <f t="shared" si="0"/>
        <v/>
      </c>
      <c r="N14" s="213"/>
      <c r="O14" s="213"/>
      <c r="P14" s="213"/>
      <c r="Q14" s="213"/>
      <c r="R14" s="213"/>
      <c r="S14" s="214"/>
      <c r="T14" s="213"/>
      <c r="U14" s="213"/>
      <c r="V14" s="213"/>
      <c r="W14" s="213"/>
      <c r="X14" s="212" t="str">
        <f t="shared" si="1"/>
        <v/>
      </c>
      <c r="Y14" s="213"/>
      <c r="Z14" s="213"/>
      <c r="AA14" s="212" t="str">
        <f t="shared" si="2"/>
        <v/>
      </c>
      <c r="AB14" s="211"/>
      <c r="AC14" s="211"/>
      <c r="AD14" s="211"/>
      <c r="AE14" s="210"/>
    </row>
    <row r="15" spans="1:31">
      <c r="A15" s="211"/>
      <c r="B15" s="216"/>
      <c r="C15" s="215"/>
      <c r="D15" s="211"/>
      <c r="E15" s="211"/>
      <c r="F15" s="211"/>
      <c r="G15" s="213"/>
      <c r="H15" s="213"/>
      <c r="I15" s="213"/>
      <c r="J15" s="213"/>
      <c r="K15" s="213"/>
      <c r="L15" s="213"/>
      <c r="M15" s="212" t="str">
        <f t="shared" si="0"/>
        <v/>
      </c>
      <c r="N15" s="213"/>
      <c r="O15" s="213"/>
      <c r="P15" s="213"/>
      <c r="Q15" s="213"/>
      <c r="R15" s="213"/>
      <c r="S15" s="214"/>
      <c r="T15" s="213"/>
      <c r="U15" s="213"/>
      <c r="V15" s="213"/>
      <c r="W15" s="213"/>
      <c r="X15" s="212" t="str">
        <f t="shared" si="1"/>
        <v/>
      </c>
      <c r="Y15" s="213"/>
      <c r="Z15" s="213"/>
      <c r="AA15" s="212" t="str">
        <f t="shared" si="2"/>
        <v/>
      </c>
      <c r="AB15" s="211"/>
      <c r="AC15" s="211"/>
      <c r="AD15" s="211"/>
      <c r="AE15" s="210"/>
    </row>
    <row r="16" spans="1:31">
      <c r="A16" s="211"/>
      <c r="B16" s="216"/>
      <c r="C16" s="215"/>
      <c r="D16" s="211"/>
      <c r="E16" s="211"/>
      <c r="F16" s="211"/>
      <c r="G16" s="213"/>
      <c r="H16" s="213"/>
      <c r="I16" s="213"/>
      <c r="J16" s="213"/>
      <c r="K16" s="213"/>
      <c r="L16" s="213"/>
      <c r="M16" s="212" t="str">
        <f t="shared" si="0"/>
        <v/>
      </c>
      <c r="N16" s="213"/>
      <c r="O16" s="213"/>
      <c r="P16" s="213"/>
      <c r="Q16" s="213"/>
      <c r="R16" s="213"/>
      <c r="S16" s="214"/>
      <c r="T16" s="213"/>
      <c r="U16" s="213"/>
      <c r="V16" s="213"/>
      <c r="W16" s="213"/>
      <c r="X16" s="212" t="str">
        <f t="shared" si="1"/>
        <v/>
      </c>
      <c r="Y16" s="213"/>
      <c r="Z16" s="213"/>
      <c r="AA16" s="212" t="str">
        <f t="shared" si="2"/>
        <v/>
      </c>
      <c r="AB16" s="211"/>
      <c r="AC16" s="211"/>
      <c r="AD16" s="211"/>
      <c r="AE16" s="210"/>
    </row>
    <row r="17" spans="1:31">
      <c r="A17" s="211"/>
      <c r="B17" s="216"/>
      <c r="C17" s="215"/>
      <c r="D17" s="211"/>
      <c r="E17" s="211"/>
      <c r="F17" s="211"/>
      <c r="G17" s="213"/>
      <c r="H17" s="213"/>
      <c r="I17" s="213"/>
      <c r="J17" s="213"/>
      <c r="K17" s="213"/>
      <c r="L17" s="213"/>
      <c r="M17" s="212" t="str">
        <f t="shared" si="0"/>
        <v/>
      </c>
      <c r="N17" s="213"/>
      <c r="O17" s="213"/>
      <c r="P17" s="213"/>
      <c r="Q17" s="213"/>
      <c r="R17" s="213"/>
      <c r="S17" s="214"/>
      <c r="T17" s="213"/>
      <c r="U17" s="213"/>
      <c r="V17" s="213"/>
      <c r="W17" s="213"/>
      <c r="X17" s="212" t="str">
        <f t="shared" si="1"/>
        <v/>
      </c>
      <c r="Y17" s="213"/>
      <c r="Z17" s="213"/>
      <c r="AA17" s="212" t="str">
        <f t="shared" si="2"/>
        <v/>
      </c>
      <c r="AB17" s="211"/>
      <c r="AC17" s="211"/>
      <c r="AD17" s="211"/>
      <c r="AE17" s="210"/>
    </row>
    <row r="18" spans="1:31">
      <c r="A18" s="211"/>
      <c r="B18" s="216"/>
      <c r="C18" s="215"/>
      <c r="D18" s="211"/>
      <c r="E18" s="211"/>
      <c r="F18" s="211"/>
      <c r="G18" s="213"/>
      <c r="H18" s="213"/>
      <c r="I18" s="213"/>
      <c r="J18" s="213"/>
      <c r="K18" s="213"/>
      <c r="L18" s="213"/>
      <c r="M18" s="212" t="str">
        <f t="shared" si="0"/>
        <v/>
      </c>
      <c r="N18" s="213"/>
      <c r="O18" s="213"/>
      <c r="P18" s="213"/>
      <c r="Q18" s="213"/>
      <c r="R18" s="213"/>
      <c r="S18" s="214"/>
      <c r="T18" s="213"/>
      <c r="U18" s="213"/>
      <c r="V18" s="213"/>
      <c r="W18" s="213"/>
      <c r="X18" s="212" t="str">
        <f t="shared" si="1"/>
        <v/>
      </c>
      <c r="Y18" s="213"/>
      <c r="Z18" s="213"/>
      <c r="AA18" s="212" t="str">
        <f t="shared" si="2"/>
        <v/>
      </c>
      <c r="AB18" s="211"/>
      <c r="AC18" s="211"/>
      <c r="AD18" s="211"/>
      <c r="AE18" s="210"/>
    </row>
    <row r="19" spans="1:31">
      <c r="A19" s="211"/>
      <c r="B19" s="216"/>
      <c r="C19" s="215"/>
      <c r="D19" s="211"/>
      <c r="E19" s="211"/>
      <c r="F19" s="211"/>
      <c r="G19" s="213"/>
      <c r="H19" s="213"/>
      <c r="I19" s="213"/>
      <c r="J19" s="213"/>
      <c r="K19" s="213"/>
      <c r="L19" s="213"/>
      <c r="M19" s="212" t="str">
        <f t="shared" si="0"/>
        <v/>
      </c>
      <c r="N19" s="213"/>
      <c r="O19" s="213"/>
      <c r="P19" s="213"/>
      <c r="Q19" s="213"/>
      <c r="R19" s="213"/>
      <c r="S19" s="214"/>
      <c r="T19" s="213"/>
      <c r="U19" s="213"/>
      <c r="V19" s="213"/>
      <c r="W19" s="213"/>
      <c r="X19" s="212" t="str">
        <f t="shared" si="1"/>
        <v/>
      </c>
      <c r="Y19" s="213"/>
      <c r="Z19" s="213"/>
      <c r="AA19" s="212" t="str">
        <f t="shared" si="2"/>
        <v/>
      </c>
      <c r="AB19" s="211"/>
      <c r="AC19" s="211"/>
      <c r="AD19" s="211"/>
      <c r="AE19" s="210"/>
    </row>
    <row r="20" spans="1:31">
      <c r="A20" s="211"/>
      <c r="B20" s="216"/>
      <c r="C20" s="215"/>
      <c r="D20" s="211"/>
      <c r="E20" s="211"/>
      <c r="F20" s="211"/>
      <c r="G20" s="213"/>
      <c r="H20" s="213"/>
      <c r="I20" s="213"/>
      <c r="J20" s="213"/>
      <c r="K20" s="213"/>
      <c r="L20" s="213"/>
      <c r="M20" s="212" t="str">
        <f t="shared" si="0"/>
        <v/>
      </c>
      <c r="N20" s="213"/>
      <c r="O20" s="213"/>
      <c r="P20" s="213"/>
      <c r="Q20" s="213"/>
      <c r="R20" s="213"/>
      <c r="S20" s="214"/>
      <c r="T20" s="213"/>
      <c r="U20" s="213"/>
      <c r="V20" s="213"/>
      <c r="W20" s="213"/>
      <c r="X20" s="212" t="str">
        <f t="shared" si="1"/>
        <v/>
      </c>
      <c r="Y20" s="213"/>
      <c r="Z20" s="213"/>
      <c r="AA20" s="212" t="str">
        <f t="shared" si="2"/>
        <v/>
      </c>
      <c r="AB20" s="211"/>
      <c r="AC20" s="211"/>
      <c r="AD20" s="211"/>
      <c r="AE20" s="210"/>
    </row>
    <row r="21" spans="1:31">
      <c r="A21" s="211"/>
      <c r="B21" s="216"/>
      <c r="C21" s="215"/>
      <c r="D21" s="211"/>
      <c r="E21" s="211"/>
      <c r="F21" s="211"/>
      <c r="G21" s="213"/>
      <c r="H21" s="213"/>
      <c r="I21" s="213"/>
      <c r="J21" s="213"/>
      <c r="K21" s="213"/>
      <c r="L21" s="213"/>
      <c r="M21" s="212" t="str">
        <f t="shared" si="0"/>
        <v/>
      </c>
      <c r="N21" s="213"/>
      <c r="O21" s="213"/>
      <c r="P21" s="213"/>
      <c r="Q21" s="213"/>
      <c r="R21" s="213"/>
      <c r="S21" s="214"/>
      <c r="T21" s="213"/>
      <c r="U21" s="213"/>
      <c r="V21" s="213"/>
      <c r="W21" s="213"/>
      <c r="X21" s="212" t="str">
        <f t="shared" si="1"/>
        <v/>
      </c>
      <c r="Y21" s="213"/>
      <c r="Z21" s="213"/>
      <c r="AA21" s="212" t="str">
        <f t="shared" si="2"/>
        <v/>
      </c>
      <c r="AB21" s="211"/>
      <c r="AC21" s="211"/>
      <c r="AD21" s="211"/>
      <c r="AE21" s="210"/>
    </row>
    <row r="22" spans="1:31">
      <c r="A22" s="211"/>
      <c r="B22" s="216"/>
      <c r="C22" s="215"/>
      <c r="D22" s="211"/>
      <c r="E22" s="211"/>
      <c r="F22" s="211"/>
      <c r="G22" s="213"/>
      <c r="H22" s="213"/>
      <c r="I22" s="213"/>
      <c r="J22" s="213"/>
      <c r="K22" s="213"/>
      <c r="L22" s="213"/>
      <c r="M22" s="212" t="str">
        <f t="shared" si="0"/>
        <v/>
      </c>
      <c r="N22" s="213"/>
      <c r="O22" s="213"/>
      <c r="P22" s="213"/>
      <c r="Q22" s="213"/>
      <c r="R22" s="213"/>
      <c r="S22" s="214"/>
      <c r="T22" s="213"/>
      <c r="U22" s="213"/>
      <c r="V22" s="213"/>
      <c r="W22" s="213"/>
      <c r="X22" s="212" t="str">
        <f t="shared" si="1"/>
        <v/>
      </c>
      <c r="Y22" s="213"/>
      <c r="Z22" s="213"/>
      <c r="AA22" s="212" t="str">
        <f t="shared" si="2"/>
        <v/>
      </c>
      <c r="AB22" s="211"/>
      <c r="AC22" s="211"/>
      <c r="AD22" s="211"/>
      <c r="AE22" s="210"/>
    </row>
    <row r="23" spans="1:31">
      <c r="A23" s="211"/>
      <c r="B23" s="216"/>
      <c r="C23" s="215"/>
      <c r="D23" s="211"/>
      <c r="E23" s="211"/>
      <c r="F23" s="211"/>
      <c r="G23" s="213"/>
      <c r="H23" s="213"/>
      <c r="I23" s="213"/>
      <c r="J23" s="213"/>
      <c r="K23" s="213"/>
      <c r="L23" s="213"/>
      <c r="M23" s="212" t="str">
        <f t="shared" si="0"/>
        <v/>
      </c>
      <c r="N23" s="213"/>
      <c r="O23" s="213"/>
      <c r="P23" s="213"/>
      <c r="Q23" s="213"/>
      <c r="R23" s="213"/>
      <c r="S23" s="214"/>
      <c r="T23" s="213"/>
      <c r="U23" s="213"/>
      <c r="V23" s="213"/>
      <c r="W23" s="213"/>
      <c r="X23" s="212" t="str">
        <f t="shared" si="1"/>
        <v/>
      </c>
      <c r="Y23" s="213"/>
      <c r="Z23" s="213"/>
      <c r="AA23" s="212" t="str">
        <f t="shared" si="2"/>
        <v/>
      </c>
      <c r="AB23" s="211"/>
      <c r="AC23" s="211"/>
      <c r="AD23" s="211"/>
      <c r="AE23" s="210"/>
    </row>
    <row r="24" spans="1:31">
      <c r="A24" s="211"/>
      <c r="B24" s="216"/>
      <c r="C24" s="215"/>
      <c r="D24" s="211"/>
      <c r="E24" s="211"/>
      <c r="F24" s="211"/>
      <c r="G24" s="213"/>
      <c r="H24" s="213"/>
      <c r="I24" s="213"/>
      <c r="J24" s="213"/>
      <c r="K24" s="213"/>
      <c r="L24" s="213"/>
      <c r="M24" s="212" t="str">
        <f t="shared" si="0"/>
        <v/>
      </c>
      <c r="N24" s="213"/>
      <c r="O24" s="213"/>
      <c r="P24" s="213"/>
      <c r="Q24" s="213"/>
      <c r="R24" s="213"/>
      <c r="S24" s="214"/>
      <c r="T24" s="213"/>
      <c r="U24" s="213"/>
      <c r="V24" s="213"/>
      <c r="W24" s="213"/>
      <c r="X24" s="212" t="str">
        <f t="shared" si="1"/>
        <v/>
      </c>
      <c r="Y24" s="213"/>
      <c r="Z24" s="213"/>
      <c r="AA24" s="212" t="str">
        <f t="shared" si="2"/>
        <v/>
      </c>
      <c r="AB24" s="211"/>
      <c r="AC24" s="211"/>
      <c r="AD24" s="211"/>
      <c r="AE24" s="210"/>
    </row>
    <row r="25" spans="1:31">
      <c r="A25" s="211"/>
      <c r="B25" s="216"/>
      <c r="C25" s="215"/>
      <c r="D25" s="211"/>
      <c r="E25" s="211"/>
      <c r="F25" s="211"/>
      <c r="G25" s="213"/>
      <c r="H25" s="213"/>
      <c r="I25" s="213"/>
      <c r="J25" s="213"/>
      <c r="K25" s="213"/>
      <c r="L25" s="213"/>
      <c r="M25" s="212" t="str">
        <f t="shared" si="0"/>
        <v/>
      </c>
      <c r="N25" s="213"/>
      <c r="O25" s="213"/>
      <c r="P25" s="213"/>
      <c r="Q25" s="213"/>
      <c r="R25" s="213"/>
      <c r="S25" s="214"/>
      <c r="T25" s="213"/>
      <c r="U25" s="213"/>
      <c r="V25" s="213"/>
      <c r="W25" s="213"/>
      <c r="X25" s="212" t="str">
        <f t="shared" si="1"/>
        <v/>
      </c>
      <c r="Y25" s="213"/>
      <c r="Z25" s="213"/>
      <c r="AA25" s="212" t="str">
        <f t="shared" si="2"/>
        <v/>
      </c>
      <c r="AB25" s="211"/>
      <c r="AC25" s="211"/>
      <c r="AD25" s="211"/>
      <c r="AE25" s="210"/>
    </row>
    <row r="26" spans="1:31">
      <c r="A26" s="211"/>
      <c r="B26" s="216"/>
      <c r="C26" s="215"/>
      <c r="D26" s="211"/>
      <c r="E26" s="211"/>
      <c r="F26" s="211"/>
      <c r="G26" s="213"/>
      <c r="H26" s="213"/>
      <c r="I26" s="213"/>
      <c r="J26" s="213"/>
      <c r="K26" s="213"/>
      <c r="L26" s="213"/>
      <c r="M26" s="212" t="str">
        <f t="shared" si="0"/>
        <v/>
      </c>
      <c r="N26" s="213"/>
      <c r="O26" s="213"/>
      <c r="P26" s="213"/>
      <c r="Q26" s="213"/>
      <c r="R26" s="213"/>
      <c r="S26" s="214"/>
      <c r="T26" s="213"/>
      <c r="U26" s="213"/>
      <c r="V26" s="213"/>
      <c r="W26" s="213"/>
      <c r="X26" s="212" t="str">
        <f t="shared" si="1"/>
        <v/>
      </c>
      <c r="Y26" s="213"/>
      <c r="Z26" s="213"/>
      <c r="AA26" s="212" t="str">
        <f t="shared" si="2"/>
        <v/>
      </c>
      <c r="AB26" s="211"/>
      <c r="AC26" s="211"/>
      <c r="AD26" s="211"/>
      <c r="AE26" s="210"/>
    </row>
    <row r="27" spans="1:31">
      <c r="A27" s="211"/>
      <c r="B27" s="216"/>
      <c r="C27" s="215"/>
      <c r="D27" s="211"/>
      <c r="E27" s="211"/>
      <c r="F27" s="211"/>
      <c r="G27" s="213"/>
      <c r="H27" s="213"/>
      <c r="I27" s="213"/>
      <c r="J27" s="213"/>
      <c r="K27" s="213"/>
      <c r="L27" s="213"/>
      <c r="M27" s="212" t="str">
        <f t="shared" si="0"/>
        <v/>
      </c>
      <c r="N27" s="213"/>
      <c r="O27" s="213"/>
      <c r="P27" s="213"/>
      <c r="Q27" s="213"/>
      <c r="R27" s="213"/>
      <c r="S27" s="214"/>
      <c r="T27" s="213"/>
      <c r="U27" s="213"/>
      <c r="V27" s="213"/>
      <c r="W27" s="213"/>
      <c r="X27" s="212" t="str">
        <f t="shared" si="1"/>
        <v/>
      </c>
      <c r="Y27" s="213"/>
      <c r="Z27" s="213"/>
      <c r="AA27" s="212" t="str">
        <f t="shared" si="2"/>
        <v/>
      </c>
      <c r="AB27" s="211"/>
      <c r="AC27" s="211"/>
      <c r="AD27" s="211"/>
      <c r="AE27" s="210"/>
    </row>
    <row r="28" spans="1:31">
      <c r="A28" s="211"/>
      <c r="B28" s="216"/>
      <c r="C28" s="215"/>
      <c r="D28" s="211"/>
      <c r="E28" s="211"/>
      <c r="F28" s="211"/>
      <c r="G28" s="213"/>
      <c r="H28" s="213"/>
      <c r="I28" s="213"/>
      <c r="J28" s="213"/>
      <c r="K28" s="213"/>
      <c r="L28" s="213"/>
      <c r="M28" s="212" t="str">
        <f t="shared" si="0"/>
        <v/>
      </c>
      <c r="N28" s="213"/>
      <c r="O28" s="213"/>
      <c r="P28" s="213"/>
      <c r="Q28" s="213"/>
      <c r="R28" s="213"/>
      <c r="S28" s="214"/>
      <c r="T28" s="213"/>
      <c r="U28" s="213"/>
      <c r="V28" s="213"/>
      <c r="W28" s="213"/>
      <c r="X28" s="212" t="str">
        <f t="shared" si="1"/>
        <v/>
      </c>
      <c r="Y28" s="213"/>
      <c r="Z28" s="213"/>
      <c r="AA28" s="212" t="str">
        <f t="shared" si="2"/>
        <v/>
      </c>
      <c r="AB28" s="211"/>
      <c r="AC28" s="211"/>
      <c r="AD28" s="211"/>
      <c r="AE28" s="210"/>
    </row>
    <row r="29" spans="1:31">
      <c r="A29" s="211"/>
      <c r="B29" s="216"/>
      <c r="C29" s="215"/>
      <c r="D29" s="211"/>
      <c r="E29" s="211"/>
      <c r="F29" s="211"/>
      <c r="G29" s="213"/>
      <c r="H29" s="213"/>
      <c r="I29" s="213"/>
      <c r="J29" s="213"/>
      <c r="K29" s="213"/>
      <c r="L29" s="213"/>
      <c r="M29" s="212" t="str">
        <f t="shared" si="0"/>
        <v/>
      </c>
      <c r="N29" s="213"/>
      <c r="O29" s="213"/>
      <c r="P29" s="213"/>
      <c r="Q29" s="213"/>
      <c r="R29" s="213"/>
      <c r="S29" s="214"/>
      <c r="T29" s="213"/>
      <c r="U29" s="213"/>
      <c r="V29" s="213"/>
      <c r="W29" s="213"/>
      <c r="X29" s="212" t="str">
        <f t="shared" si="1"/>
        <v/>
      </c>
      <c r="Y29" s="213"/>
      <c r="Z29" s="213"/>
      <c r="AA29" s="212" t="str">
        <f t="shared" si="2"/>
        <v/>
      </c>
      <c r="AB29" s="211"/>
      <c r="AC29" s="211"/>
      <c r="AD29" s="211"/>
      <c r="AE29" s="210"/>
    </row>
    <row r="30" spans="1:31">
      <c r="A30" s="211"/>
      <c r="B30" s="216"/>
      <c r="C30" s="215"/>
      <c r="D30" s="211"/>
      <c r="E30" s="211"/>
      <c r="F30" s="211"/>
      <c r="G30" s="213"/>
      <c r="H30" s="213"/>
      <c r="I30" s="213"/>
      <c r="J30" s="213"/>
      <c r="K30" s="213"/>
      <c r="L30" s="213"/>
      <c r="M30" s="212" t="str">
        <f t="shared" si="0"/>
        <v/>
      </c>
      <c r="N30" s="213"/>
      <c r="O30" s="213"/>
      <c r="P30" s="213"/>
      <c r="Q30" s="213"/>
      <c r="R30" s="213"/>
      <c r="S30" s="214"/>
      <c r="T30" s="213"/>
      <c r="U30" s="213"/>
      <c r="V30" s="213"/>
      <c r="W30" s="213"/>
      <c r="X30" s="212" t="str">
        <f t="shared" si="1"/>
        <v/>
      </c>
      <c r="Y30" s="213"/>
      <c r="Z30" s="213"/>
      <c r="AA30" s="212" t="str">
        <f t="shared" si="2"/>
        <v/>
      </c>
      <c r="AB30" s="211"/>
      <c r="AC30" s="211"/>
      <c r="AD30" s="211"/>
      <c r="AE30" s="210"/>
    </row>
    <row r="31" spans="1:31">
      <c r="A31" s="211"/>
      <c r="B31" s="216"/>
      <c r="C31" s="215"/>
      <c r="D31" s="211"/>
      <c r="E31" s="211"/>
      <c r="F31" s="211"/>
      <c r="G31" s="213"/>
      <c r="H31" s="213"/>
      <c r="I31" s="213"/>
      <c r="J31" s="213"/>
      <c r="K31" s="213"/>
      <c r="L31" s="213"/>
      <c r="M31" s="212" t="str">
        <f t="shared" si="0"/>
        <v/>
      </c>
      <c r="N31" s="213"/>
      <c r="O31" s="213"/>
      <c r="P31" s="213"/>
      <c r="Q31" s="213"/>
      <c r="R31" s="213"/>
      <c r="S31" s="214"/>
      <c r="T31" s="213"/>
      <c r="U31" s="213"/>
      <c r="V31" s="213"/>
      <c r="W31" s="213"/>
      <c r="X31" s="212" t="str">
        <f t="shared" si="1"/>
        <v/>
      </c>
      <c r="Y31" s="213"/>
      <c r="Z31" s="213"/>
      <c r="AA31" s="212" t="str">
        <f t="shared" si="2"/>
        <v/>
      </c>
      <c r="AB31" s="211"/>
      <c r="AC31" s="211"/>
      <c r="AD31" s="211"/>
      <c r="AE31" s="210"/>
    </row>
    <row r="32" spans="1:31">
      <c r="A32" s="211"/>
      <c r="B32" s="216"/>
      <c r="C32" s="215"/>
      <c r="D32" s="211"/>
      <c r="E32" s="211"/>
      <c r="F32" s="211"/>
      <c r="G32" s="213"/>
      <c r="H32" s="213"/>
      <c r="I32" s="213"/>
      <c r="J32" s="213"/>
      <c r="K32" s="213"/>
      <c r="L32" s="213"/>
      <c r="M32" s="212" t="str">
        <f t="shared" si="0"/>
        <v/>
      </c>
      <c r="N32" s="213"/>
      <c r="O32" s="213"/>
      <c r="P32" s="213"/>
      <c r="Q32" s="213"/>
      <c r="R32" s="213"/>
      <c r="S32" s="214"/>
      <c r="T32" s="213"/>
      <c r="U32" s="213"/>
      <c r="V32" s="213"/>
      <c r="W32" s="213"/>
      <c r="X32" s="212" t="str">
        <f t="shared" si="1"/>
        <v/>
      </c>
      <c r="Y32" s="213"/>
      <c r="Z32" s="213"/>
      <c r="AA32" s="212" t="str">
        <f t="shared" si="2"/>
        <v/>
      </c>
      <c r="AB32" s="211"/>
      <c r="AC32" s="211"/>
      <c r="AD32" s="211"/>
      <c r="AE32" s="210"/>
    </row>
    <row r="33" spans="1:31">
      <c r="A33" s="211"/>
      <c r="B33" s="216"/>
      <c r="C33" s="215"/>
      <c r="D33" s="211"/>
      <c r="E33" s="211"/>
      <c r="F33" s="211"/>
      <c r="G33" s="213"/>
      <c r="H33" s="213"/>
      <c r="I33" s="213"/>
      <c r="J33" s="213"/>
      <c r="K33" s="213"/>
      <c r="L33" s="213"/>
      <c r="M33" s="212" t="str">
        <f t="shared" si="0"/>
        <v/>
      </c>
      <c r="N33" s="213"/>
      <c r="O33" s="213"/>
      <c r="P33" s="213"/>
      <c r="Q33" s="213"/>
      <c r="R33" s="213"/>
      <c r="S33" s="214"/>
      <c r="T33" s="213"/>
      <c r="U33" s="213"/>
      <c r="V33" s="213"/>
      <c r="W33" s="213"/>
      <c r="X33" s="212" t="str">
        <f t="shared" si="1"/>
        <v/>
      </c>
      <c r="Y33" s="213"/>
      <c r="Z33" s="213"/>
      <c r="AA33" s="212" t="str">
        <f t="shared" si="2"/>
        <v/>
      </c>
      <c r="AB33" s="211"/>
      <c r="AC33" s="211"/>
      <c r="AD33" s="211"/>
      <c r="AE33" s="210"/>
    </row>
    <row r="34" spans="1:31">
      <c r="A34" s="211"/>
      <c r="B34" s="216"/>
      <c r="C34" s="215"/>
      <c r="D34" s="211"/>
      <c r="E34" s="211"/>
      <c r="F34" s="211"/>
      <c r="G34" s="213"/>
      <c r="H34" s="213"/>
      <c r="I34" s="213"/>
      <c r="J34" s="213"/>
      <c r="K34" s="213"/>
      <c r="L34" s="213"/>
      <c r="M34" s="212" t="str">
        <f t="shared" si="0"/>
        <v/>
      </c>
      <c r="N34" s="213"/>
      <c r="O34" s="213"/>
      <c r="P34" s="213"/>
      <c r="Q34" s="213"/>
      <c r="R34" s="213"/>
      <c r="S34" s="214"/>
      <c r="T34" s="213"/>
      <c r="U34" s="213"/>
      <c r="V34" s="213"/>
      <c r="W34" s="213"/>
      <c r="X34" s="212" t="str">
        <f t="shared" si="1"/>
        <v/>
      </c>
      <c r="Y34" s="213"/>
      <c r="Z34" s="213"/>
      <c r="AA34" s="212" t="str">
        <f t="shared" si="2"/>
        <v/>
      </c>
      <c r="AB34" s="211"/>
      <c r="AC34" s="211"/>
      <c r="AD34" s="211"/>
      <c r="AE34" s="210"/>
    </row>
    <row r="35" spans="1:31">
      <c r="A35" s="211"/>
      <c r="B35" s="216"/>
      <c r="C35" s="215"/>
      <c r="D35" s="211"/>
      <c r="E35" s="211"/>
      <c r="F35" s="211"/>
      <c r="G35" s="213"/>
      <c r="H35" s="213"/>
      <c r="I35" s="213"/>
      <c r="J35" s="213"/>
      <c r="K35" s="213"/>
      <c r="L35" s="213"/>
      <c r="M35" s="212" t="str">
        <f t="shared" si="0"/>
        <v/>
      </c>
      <c r="N35" s="213"/>
      <c r="O35" s="213"/>
      <c r="P35" s="213"/>
      <c r="Q35" s="213"/>
      <c r="R35" s="213"/>
      <c r="S35" s="214"/>
      <c r="T35" s="213"/>
      <c r="U35" s="213"/>
      <c r="V35" s="213"/>
      <c r="W35" s="213"/>
      <c r="X35" s="212" t="str">
        <f t="shared" si="1"/>
        <v/>
      </c>
      <c r="Y35" s="213"/>
      <c r="Z35" s="213"/>
      <c r="AA35" s="212" t="str">
        <f t="shared" si="2"/>
        <v/>
      </c>
      <c r="AB35" s="211"/>
      <c r="AC35" s="211"/>
      <c r="AD35" s="211"/>
      <c r="AE35" s="210"/>
    </row>
    <row r="36" spans="1:31">
      <c r="A36" s="211"/>
      <c r="B36" s="216"/>
      <c r="C36" s="215"/>
      <c r="D36" s="211"/>
      <c r="E36" s="211"/>
      <c r="F36" s="211"/>
      <c r="G36" s="213"/>
      <c r="H36" s="213"/>
      <c r="I36" s="213"/>
      <c r="J36" s="213"/>
      <c r="K36" s="213"/>
      <c r="L36" s="213"/>
      <c r="M36" s="212" t="str">
        <f t="shared" si="0"/>
        <v/>
      </c>
      <c r="N36" s="213"/>
      <c r="O36" s="213"/>
      <c r="P36" s="213"/>
      <c r="Q36" s="213"/>
      <c r="R36" s="213"/>
      <c r="S36" s="214"/>
      <c r="T36" s="213"/>
      <c r="U36" s="213"/>
      <c r="V36" s="213"/>
      <c r="W36" s="213"/>
      <c r="X36" s="212" t="str">
        <f t="shared" si="1"/>
        <v/>
      </c>
      <c r="Y36" s="213"/>
      <c r="Z36" s="213"/>
      <c r="AA36" s="212" t="str">
        <f t="shared" si="2"/>
        <v/>
      </c>
      <c r="AB36" s="211"/>
      <c r="AC36" s="211"/>
      <c r="AD36" s="211"/>
      <c r="AE36" s="210"/>
    </row>
    <row r="37" spans="1:31">
      <c r="A37" s="211"/>
      <c r="B37" s="216"/>
      <c r="C37" s="215"/>
      <c r="D37" s="211"/>
      <c r="E37" s="211"/>
      <c r="F37" s="211"/>
      <c r="G37" s="213"/>
      <c r="H37" s="213"/>
      <c r="I37" s="213"/>
      <c r="J37" s="213"/>
      <c r="K37" s="213"/>
      <c r="L37" s="213"/>
      <c r="M37" s="212" t="str">
        <f t="shared" si="0"/>
        <v/>
      </c>
      <c r="N37" s="213"/>
      <c r="O37" s="213"/>
      <c r="P37" s="213"/>
      <c r="Q37" s="213"/>
      <c r="R37" s="213"/>
      <c r="S37" s="214"/>
      <c r="T37" s="213"/>
      <c r="U37" s="213"/>
      <c r="V37" s="213"/>
      <c r="W37" s="213"/>
      <c r="X37" s="212" t="str">
        <f t="shared" si="1"/>
        <v/>
      </c>
      <c r="Y37" s="213"/>
      <c r="Z37" s="213"/>
      <c r="AA37" s="212" t="str">
        <f t="shared" si="2"/>
        <v/>
      </c>
      <c r="AB37" s="211"/>
      <c r="AC37" s="211"/>
      <c r="AD37" s="211"/>
      <c r="AE37" s="210"/>
    </row>
    <row r="38" spans="1:31">
      <c r="A38" s="211"/>
      <c r="B38" s="216"/>
      <c r="C38" s="215"/>
      <c r="D38" s="211"/>
      <c r="E38" s="211"/>
      <c r="F38" s="211"/>
      <c r="G38" s="213"/>
      <c r="H38" s="213"/>
      <c r="I38" s="213"/>
      <c r="J38" s="213"/>
      <c r="K38" s="213"/>
      <c r="L38" s="213"/>
      <c r="M38" s="212" t="str">
        <f t="shared" ref="M38:M69" si="3">IF(OR($A38="",$G38=0),"",$K38/$G38)</f>
        <v/>
      </c>
      <c r="N38" s="213"/>
      <c r="O38" s="213"/>
      <c r="P38" s="213"/>
      <c r="Q38" s="213"/>
      <c r="R38" s="213"/>
      <c r="S38" s="214"/>
      <c r="T38" s="213"/>
      <c r="U38" s="213"/>
      <c r="V38" s="213"/>
      <c r="W38" s="213"/>
      <c r="X38" s="212" t="str">
        <f t="shared" ref="X38:X69" si="4">IF(OR($A38="",$T38=0),"",$U38/$T38)</f>
        <v/>
      </c>
      <c r="Y38" s="213"/>
      <c r="Z38" s="213"/>
      <c r="AA38" s="212" t="str">
        <f t="shared" ref="AA38:AA69" si="5">IF(OR($A38="",$Y38=0),"",$Z38/$Y38)</f>
        <v/>
      </c>
      <c r="AB38" s="211"/>
      <c r="AC38" s="211"/>
      <c r="AD38" s="211"/>
      <c r="AE38" s="210"/>
    </row>
    <row r="39" spans="1:31">
      <c r="A39" s="211"/>
      <c r="B39" s="216"/>
      <c r="C39" s="215"/>
      <c r="D39" s="211"/>
      <c r="E39" s="211"/>
      <c r="F39" s="211"/>
      <c r="G39" s="213"/>
      <c r="H39" s="213"/>
      <c r="I39" s="213"/>
      <c r="J39" s="213"/>
      <c r="K39" s="213"/>
      <c r="L39" s="213"/>
      <c r="M39" s="212" t="str">
        <f t="shared" si="3"/>
        <v/>
      </c>
      <c r="N39" s="213"/>
      <c r="O39" s="213"/>
      <c r="P39" s="213"/>
      <c r="Q39" s="213"/>
      <c r="R39" s="213"/>
      <c r="S39" s="214"/>
      <c r="T39" s="213"/>
      <c r="U39" s="213"/>
      <c r="V39" s="213"/>
      <c r="W39" s="213"/>
      <c r="X39" s="212" t="str">
        <f t="shared" si="4"/>
        <v/>
      </c>
      <c r="Y39" s="213"/>
      <c r="Z39" s="213"/>
      <c r="AA39" s="212" t="str">
        <f t="shared" si="5"/>
        <v/>
      </c>
      <c r="AB39" s="211"/>
      <c r="AC39" s="211"/>
      <c r="AD39" s="211"/>
      <c r="AE39" s="210"/>
    </row>
    <row r="40" spans="1:31">
      <c r="A40" s="211"/>
      <c r="B40" s="216"/>
      <c r="C40" s="215"/>
      <c r="D40" s="211"/>
      <c r="E40" s="211"/>
      <c r="F40" s="211"/>
      <c r="G40" s="213"/>
      <c r="H40" s="213"/>
      <c r="I40" s="213"/>
      <c r="J40" s="213"/>
      <c r="K40" s="213"/>
      <c r="L40" s="213"/>
      <c r="M40" s="212" t="str">
        <f t="shared" si="3"/>
        <v/>
      </c>
      <c r="N40" s="213"/>
      <c r="O40" s="213"/>
      <c r="P40" s="213"/>
      <c r="Q40" s="213"/>
      <c r="R40" s="213"/>
      <c r="S40" s="214"/>
      <c r="T40" s="213"/>
      <c r="U40" s="213"/>
      <c r="V40" s="213"/>
      <c r="W40" s="213"/>
      <c r="X40" s="212" t="str">
        <f t="shared" si="4"/>
        <v/>
      </c>
      <c r="Y40" s="213"/>
      <c r="Z40" s="213"/>
      <c r="AA40" s="212" t="str">
        <f t="shared" si="5"/>
        <v/>
      </c>
      <c r="AB40" s="211"/>
      <c r="AC40" s="211"/>
      <c r="AD40" s="211"/>
      <c r="AE40" s="210"/>
    </row>
    <row r="41" spans="1:31">
      <c r="A41" s="211"/>
      <c r="B41" s="216"/>
      <c r="C41" s="215"/>
      <c r="D41" s="211"/>
      <c r="E41" s="211"/>
      <c r="F41" s="211"/>
      <c r="G41" s="213"/>
      <c r="H41" s="213"/>
      <c r="I41" s="213"/>
      <c r="J41" s="213"/>
      <c r="K41" s="213"/>
      <c r="L41" s="213"/>
      <c r="M41" s="212" t="str">
        <f t="shared" si="3"/>
        <v/>
      </c>
      <c r="N41" s="213"/>
      <c r="O41" s="213"/>
      <c r="P41" s="213"/>
      <c r="Q41" s="213"/>
      <c r="R41" s="213"/>
      <c r="S41" s="214"/>
      <c r="T41" s="213"/>
      <c r="U41" s="213"/>
      <c r="V41" s="213"/>
      <c r="W41" s="213"/>
      <c r="X41" s="212" t="str">
        <f t="shared" si="4"/>
        <v/>
      </c>
      <c r="Y41" s="213"/>
      <c r="Z41" s="213"/>
      <c r="AA41" s="212" t="str">
        <f t="shared" si="5"/>
        <v/>
      </c>
      <c r="AB41" s="211"/>
      <c r="AC41" s="211"/>
      <c r="AD41" s="211"/>
      <c r="AE41" s="210"/>
    </row>
    <row r="42" spans="1:31">
      <c r="A42" s="211"/>
      <c r="B42" s="216"/>
      <c r="C42" s="215"/>
      <c r="D42" s="211"/>
      <c r="E42" s="211"/>
      <c r="F42" s="211"/>
      <c r="G42" s="213"/>
      <c r="H42" s="213"/>
      <c r="I42" s="213"/>
      <c r="J42" s="213"/>
      <c r="K42" s="213"/>
      <c r="L42" s="213"/>
      <c r="M42" s="212" t="str">
        <f t="shared" si="3"/>
        <v/>
      </c>
      <c r="N42" s="213"/>
      <c r="O42" s="213"/>
      <c r="P42" s="213"/>
      <c r="Q42" s="213"/>
      <c r="R42" s="213"/>
      <c r="S42" s="214"/>
      <c r="T42" s="213"/>
      <c r="U42" s="213"/>
      <c r="V42" s="213"/>
      <c r="W42" s="213"/>
      <c r="X42" s="212" t="str">
        <f t="shared" si="4"/>
        <v/>
      </c>
      <c r="Y42" s="213"/>
      <c r="Z42" s="213"/>
      <c r="AA42" s="212" t="str">
        <f t="shared" si="5"/>
        <v/>
      </c>
      <c r="AB42" s="211"/>
      <c r="AC42" s="211"/>
      <c r="AD42" s="211"/>
      <c r="AE42" s="210"/>
    </row>
    <row r="43" spans="1:31">
      <c r="A43" s="211"/>
      <c r="B43" s="216"/>
      <c r="C43" s="215"/>
      <c r="D43" s="211"/>
      <c r="E43" s="211"/>
      <c r="F43" s="211"/>
      <c r="G43" s="213"/>
      <c r="H43" s="213"/>
      <c r="I43" s="213"/>
      <c r="J43" s="213"/>
      <c r="K43" s="213"/>
      <c r="L43" s="213"/>
      <c r="M43" s="212" t="str">
        <f t="shared" si="3"/>
        <v/>
      </c>
      <c r="N43" s="213"/>
      <c r="O43" s="213"/>
      <c r="P43" s="213"/>
      <c r="Q43" s="213"/>
      <c r="R43" s="213"/>
      <c r="S43" s="214"/>
      <c r="T43" s="213"/>
      <c r="U43" s="213"/>
      <c r="V43" s="213"/>
      <c r="W43" s="213"/>
      <c r="X43" s="212" t="str">
        <f t="shared" si="4"/>
        <v/>
      </c>
      <c r="Y43" s="213"/>
      <c r="Z43" s="213"/>
      <c r="AA43" s="212" t="str">
        <f t="shared" si="5"/>
        <v/>
      </c>
      <c r="AB43" s="211"/>
      <c r="AC43" s="211"/>
      <c r="AD43" s="211"/>
      <c r="AE43" s="210"/>
    </row>
    <row r="44" spans="1:31">
      <c r="A44" s="211"/>
      <c r="B44" s="216"/>
      <c r="C44" s="215"/>
      <c r="D44" s="211"/>
      <c r="E44" s="211"/>
      <c r="F44" s="211"/>
      <c r="G44" s="213"/>
      <c r="H44" s="213"/>
      <c r="I44" s="213"/>
      <c r="J44" s="213"/>
      <c r="K44" s="213"/>
      <c r="L44" s="213"/>
      <c r="M44" s="212" t="str">
        <f t="shared" si="3"/>
        <v/>
      </c>
      <c r="N44" s="213"/>
      <c r="O44" s="213"/>
      <c r="P44" s="213"/>
      <c r="Q44" s="213"/>
      <c r="R44" s="213"/>
      <c r="S44" s="214"/>
      <c r="T44" s="213"/>
      <c r="U44" s="213"/>
      <c r="V44" s="213"/>
      <c r="W44" s="213"/>
      <c r="X44" s="212" t="str">
        <f t="shared" si="4"/>
        <v/>
      </c>
      <c r="Y44" s="213"/>
      <c r="Z44" s="213"/>
      <c r="AA44" s="212" t="str">
        <f t="shared" si="5"/>
        <v/>
      </c>
      <c r="AB44" s="211"/>
      <c r="AC44" s="211"/>
      <c r="AD44" s="211"/>
      <c r="AE44" s="210"/>
    </row>
    <row r="45" spans="1:31">
      <c r="A45" s="211"/>
      <c r="B45" s="216"/>
      <c r="C45" s="215"/>
      <c r="D45" s="211"/>
      <c r="E45" s="211"/>
      <c r="F45" s="211"/>
      <c r="G45" s="213"/>
      <c r="H45" s="213"/>
      <c r="I45" s="213"/>
      <c r="J45" s="213"/>
      <c r="K45" s="213"/>
      <c r="L45" s="213"/>
      <c r="M45" s="212" t="str">
        <f t="shared" si="3"/>
        <v/>
      </c>
      <c r="N45" s="213"/>
      <c r="O45" s="213"/>
      <c r="P45" s="213"/>
      <c r="Q45" s="213"/>
      <c r="R45" s="213"/>
      <c r="S45" s="214"/>
      <c r="T45" s="213"/>
      <c r="U45" s="213"/>
      <c r="V45" s="213"/>
      <c r="W45" s="213"/>
      <c r="X45" s="212" t="str">
        <f t="shared" si="4"/>
        <v/>
      </c>
      <c r="Y45" s="213"/>
      <c r="Z45" s="213"/>
      <c r="AA45" s="212" t="str">
        <f t="shared" si="5"/>
        <v/>
      </c>
      <c r="AB45" s="211"/>
      <c r="AC45" s="211"/>
      <c r="AD45" s="211"/>
      <c r="AE45" s="210"/>
    </row>
    <row r="46" spans="1:31">
      <c r="A46" s="211"/>
      <c r="B46" s="216"/>
      <c r="C46" s="215"/>
      <c r="D46" s="211"/>
      <c r="E46" s="211"/>
      <c r="F46" s="211"/>
      <c r="G46" s="213"/>
      <c r="H46" s="213"/>
      <c r="I46" s="213"/>
      <c r="J46" s="213"/>
      <c r="K46" s="213"/>
      <c r="L46" s="213"/>
      <c r="M46" s="212" t="str">
        <f t="shared" si="3"/>
        <v/>
      </c>
      <c r="N46" s="213"/>
      <c r="O46" s="213"/>
      <c r="P46" s="213"/>
      <c r="Q46" s="213"/>
      <c r="R46" s="213"/>
      <c r="S46" s="214"/>
      <c r="T46" s="213"/>
      <c r="U46" s="213"/>
      <c r="V46" s="213"/>
      <c r="W46" s="213"/>
      <c r="X46" s="212" t="str">
        <f t="shared" si="4"/>
        <v/>
      </c>
      <c r="Y46" s="213"/>
      <c r="Z46" s="213"/>
      <c r="AA46" s="212" t="str">
        <f t="shared" si="5"/>
        <v/>
      </c>
      <c r="AB46" s="211"/>
      <c r="AC46" s="211"/>
      <c r="AD46" s="211"/>
      <c r="AE46" s="210"/>
    </row>
    <row r="47" spans="1:31">
      <c r="A47" s="211"/>
      <c r="B47" s="216"/>
      <c r="C47" s="215"/>
      <c r="D47" s="211"/>
      <c r="E47" s="211"/>
      <c r="F47" s="211"/>
      <c r="G47" s="213"/>
      <c r="H47" s="213"/>
      <c r="I47" s="213"/>
      <c r="J47" s="213"/>
      <c r="K47" s="213"/>
      <c r="L47" s="213"/>
      <c r="M47" s="212" t="str">
        <f t="shared" si="3"/>
        <v/>
      </c>
      <c r="N47" s="213"/>
      <c r="O47" s="213"/>
      <c r="P47" s="213"/>
      <c r="Q47" s="213"/>
      <c r="R47" s="213"/>
      <c r="S47" s="214"/>
      <c r="T47" s="213"/>
      <c r="U47" s="213"/>
      <c r="V47" s="213"/>
      <c r="W47" s="213"/>
      <c r="X47" s="212" t="str">
        <f t="shared" si="4"/>
        <v/>
      </c>
      <c r="Y47" s="213"/>
      <c r="Z47" s="213"/>
      <c r="AA47" s="212" t="str">
        <f t="shared" si="5"/>
        <v/>
      </c>
      <c r="AB47" s="211"/>
      <c r="AC47" s="211"/>
      <c r="AD47" s="211"/>
      <c r="AE47" s="210"/>
    </row>
    <row r="48" spans="1:31">
      <c r="A48" s="211"/>
      <c r="B48" s="216"/>
      <c r="C48" s="215"/>
      <c r="D48" s="211"/>
      <c r="E48" s="211"/>
      <c r="F48" s="211"/>
      <c r="G48" s="213"/>
      <c r="H48" s="213"/>
      <c r="I48" s="213"/>
      <c r="J48" s="213"/>
      <c r="K48" s="213"/>
      <c r="L48" s="213"/>
      <c r="M48" s="212" t="str">
        <f t="shared" si="3"/>
        <v/>
      </c>
      <c r="N48" s="213"/>
      <c r="O48" s="213"/>
      <c r="P48" s="213"/>
      <c r="Q48" s="213"/>
      <c r="R48" s="213"/>
      <c r="S48" s="214"/>
      <c r="T48" s="213"/>
      <c r="U48" s="213"/>
      <c r="V48" s="213"/>
      <c r="W48" s="213"/>
      <c r="X48" s="212" t="str">
        <f t="shared" si="4"/>
        <v/>
      </c>
      <c r="Y48" s="213"/>
      <c r="Z48" s="213"/>
      <c r="AA48" s="212" t="str">
        <f t="shared" si="5"/>
        <v/>
      </c>
      <c r="AB48" s="211"/>
      <c r="AC48" s="211"/>
      <c r="AD48" s="211"/>
      <c r="AE48" s="210"/>
    </row>
    <row r="49" spans="1:31">
      <c r="A49" s="211"/>
      <c r="B49" s="216"/>
      <c r="C49" s="215"/>
      <c r="D49" s="211"/>
      <c r="E49" s="211"/>
      <c r="F49" s="211"/>
      <c r="G49" s="213"/>
      <c r="H49" s="213"/>
      <c r="I49" s="213"/>
      <c r="J49" s="213"/>
      <c r="K49" s="213"/>
      <c r="L49" s="213"/>
      <c r="M49" s="212" t="str">
        <f t="shared" si="3"/>
        <v/>
      </c>
      <c r="N49" s="213"/>
      <c r="O49" s="213"/>
      <c r="P49" s="213"/>
      <c r="Q49" s="213"/>
      <c r="R49" s="213"/>
      <c r="S49" s="214"/>
      <c r="T49" s="213"/>
      <c r="U49" s="213"/>
      <c r="V49" s="213"/>
      <c r="W49" s="213"/>
      <c r="X49" s="212" t="str">
        <f t="shared" si="4"/>
        <v/>
      </c>
      <c r="Y49" s="213"/>
      <c r="Z49" s="213"/>
      <c r="AA49" s="212" t="str">
        <f t="shared" si="5"/>
        <v/>
      </c>
      <c r="AB49" s="211"/>
      <c r="AC49" s="211"/>
      <c r="AD49" s="211"/>
      <c r="AE49" s="210"/>
    </row>
    <row r="50" spans="1:31">
      <c r="A50" s="211"/>
      <c r="B50" s="216"/>
      <c r="C50" s="215"/>
      <c r="D50" s="211"/>
      <c r="E50" s="211"/>
      <c r="F50" s="211"/>
      <c r="G50" s="213"/>
      <c r="H50" s="213"/>
      <c r="I50" s="213"/>
      <c r="J50" s="213"/>
      <c r="K50" s="213"/>
      <c r="L50" s="213"/>
      <c r="M50" s="212" t="str">
        <f t="shared" si="3"/>
        <v/>
      </c>
      <c r="N50" s="213"/>
      <c r="O50" s="213"/>
      <c r="P50" s="213"/>
      <c r="Q50" s="213"/>
      <c r="R50" s="213"/>
      <c r="S50" s="214"/>
      <c r="T50" s="213"/>
      <c r="U50" s="213"/>
      <c r="V50" s="213"/>
      <c r="W50" s="213"/>
      <c r="X50" s="212" t="str">
        <f t="shared" si="4"/>
        <v/>
      </c>
      <c r="Y50" s="213"/>
      <c r="Z50" s="213"/>
      <c r="AA50" s="212" t="str">
        <f t="shared" si="5"/>
        <v/>
      </c>
      <c r="AB50" s="211"/>
      <c r="AC50" s="211"/>
      <c r="AD50" s="211"/>
      <c r="AE50" s="210"/>
    </row>
    <row r="51" spans="1:31">
      <c r="A51" s="211"/>
      <c r="B51" s="216"/>
      <c r="C51" s="215"/>
      <c r="D51" s="211"/>
      <c r="E51" s="211"/>
      <c r="F51" s="211"/>
      <c r="G51" s="213"/>
      <c r="H51" s="213"/>
      <c r="I51" s="213"/>
      <c r="J51" s="213"/>
      <c r="K51" s="213"/>
      <c r="L51" s="213"/>
      <c r="M51" s="212" t="str">
        <f t="shared" si="3"/>
        <v/>
      </c>
      <c r="N51" s="213"/>
      <c r="O51" s="213"/>
      <c r="P51" s="213"/>
      <c r="Q51" s="213"/>
      <c r="R51" s="213"/>
      <c r="S51" s="214"/>
      <c r="T51" s="213"/>
      <c r="U51" s="213"/>
      <c r="V51" s="213"/>
      <c r="W51" s="213"/>
      <c r="X51" s="212" t="str">
        <f t="shared" si="4"/>
        <v/>
      </c>
      <c r="Y51" s="213"/>
      <c r="Z51" s="213"/>
      <c r="AA51" s="212" t="str">
        <f t="shared" si="5"/>
        <v/>
      </c>
      <c r="AB51" s="211"/>
      <c r="AC51" s="211"/>
      <c r="AD51" s="211"/>
      <c r="AE51" s="210"/>
    </row>
    <row r="52" spans="1:31">
      <c r="A52" s="211"/>
      <c r="B52" s="216"/>
      <c r="C52" s="215"/>
      <c r="D52" s="211"/>
      <c r="E52" s="211"/>
      <c r="F52" s="211"/>
      <c r="G52" s="213"/>
      <c r="H52" s="213"/>
      <c r="I52" s="213"/>
      <c r="J52" s="213"/>
      <c r="K52" s="213"/>
      <c r="L52" s="213"/>
      <c r="M52" s="212" t="str">
        <f t="shared" si="3"/>
        <v/>
      </c>
      <c r="N52" s="213"/>
      <c r="O52" s="213"/>
      <c r="P52" s="213"/>
      <c r="Q52" s="213"/>
      <c r="R52" s="213"/>
      <c r="S52" s="214"/>
      <c r="T52" s="213"/>
      <c r="U52" s="213"/>
      <c r="V52" s="213"/>
      <c r="W52" s="213"/>
      <c r="X52" s="212" t="str">
        <f t="shared" si="4"/>
        <v/>
      </c>
      <c r="Y52" s="213"/>
      <c r="Z52" s="213"/>
      <c r="AA52" s="212" t="str">
        <f t="shared" si="5"/>
        <v/>
      </c>
      <c r="AB52" s="211"/>
      <c r="AC52" s="211"/>
      <c r="AD52" s="211"/>
      <c r="AE52" s="210"/>
    </row>
    <row r="53" spans="1:31">
      <c r="A53" s="211"/>
      <c r="B53" s="216"/>
      <c r="C53" s="215"/>
      <c r="D53" s="211"/>
      <c r="E53" s="211"/>
      <c r="F53" s="211"/>
      <c r="G53" s="213"/>
      <c r="H53" s="213"/>
      <c r="I53" s="213"/>
      <c r="J53" s="213"/>
      <c r="K53" s="213"/>
      <c r="L53" s="213"/>
      <c r="M53" s="212" t="str">
        <f t="shared" si="3"/>
        <v/>
      </c>
      <c r="N53" s="213"/>
      <c r="O53" s="213"/>
      <c r="P53" s="213"/>
      <c r="Q53" s="213"/>
      <c r="R53" s="213"/>
      <c r="S53" s="214"/>
      <c r="T53" s="213"/>
      <c r="U53" s="213"/>
      <c r="V53" s="213"/>
      <c r="W53" s="213"/>
      <c r="X53" s="212" t="str">
        <f t="shared" si="4"/>
        <v/>
      </c>
      <c r="Y53" s="213"/>
      <c r="Z53" s="213"/>
      <c r="AA53" s="212" t="str">
        <f t="shared" si="5"/>
        <v/>
      </c>
      <c r="AB53" s="211"/>
      <c r="AC53" s="211"/>
      <c r="AD53" s="211"/>
      <c r="AE53" s="210"/>
    </row>
    <row r="54" spans="1:31">
      <c r="A54" s="211"/>
      <c r="B54" s="216"/>
      <c r="C54" s="215"/>
      <c r="D54" s="211"/>
      <c r="E54" s="211"/>
      <c r="F54" s="211"/>
      <c r="G54" s="213"/>
      <c r="H54" s="213"/>
      <c r="I54" s="213"/>
      <c r="J54" s="213"/>
      <c r="K54" s="213"/>
      <c r="L54" s="213"/>
      <c r="M54" s="212" t="str">
        <f t="shared" si="3"/>
        <v/>
      </c>
      <c r="N54" s="213"/>
      <c r="O54" s="213"/>
      <c r="P54" s="213"/>
      <c r="Q54" s="213"/>
      <c r="R54" s="213"/>
      <c r="S54" s="214"/>
      <c r="T54" s="213"/>
      <c r="U54" s="213"/>
      <c r="V54" s="213"/>
      <c r="W54" s="213"/>
      <c r="X54" s="212" t="str">
        <f t="shared" si="4"/>
        <v/>
      </c>
      <c r="Y54" s="213"/>
      <c r="Z54" s="213"/>
      <c r="AA54" s="212" t="str">
        <f t="shared" si="5"/>
        <v/>
      </c>
      <c r="AB54" s="211"/>
      <c r="AC54" s="211"/>
      <c r="AD54" s="211"/>
      <c r="AE54" s="210"/>
    </row>
    <row r="55" spans="1:31">
      <c r="A55" s="211"/>
      <c r="B55" s="216"/>
      <c r="C55" s="215"/>
      <c r="D55" s="211"/>
      <c r="E55" s="211"/>
      <c r="F55" s="211"/>
      <c r="G55" s="213"/>
      <c r="H55" s="213"/>
      <c r="I55" s="213"/>
      <c r="J55" s="213"/>
      <c r="K55" s="213"/>
      <c r="L55" s="213"/>
      <c r="M55" s="212" t="str">
        <f t="shared" si="3"/>
        <v/>
      </c>
      <c r="N55" s="213"/>
      <c r="O55" s="213"/>
      <c r="P55" s="213"/>
      <c r="Q55" s="213"/>
      <c r="R55" s="213"/>
      <c r="S55" s="214"/>
      <c r="T55" s="213"/>
      <c r="U55" s="213"/>
      <c r="V55" s="213"/>
      <c r="W55" s="213"/>
      <c r="X55" s="212" t="str">
        <f t="shared" si="4"/>
        <v/>
      </c>
      <c r="Y55" s="213"/>
      <c r="Z55" s="213"/>
      <c r="AA55" s="212" t="str">
        <f t="shared" si="5"/>
        <v/>
      </c>
      <c r="AB55" s="211"/>
      <c r="AC55" s="211"/>
      <c r="AD55" s="211"/>
      <c r="AE55" s="210"/>
    </row>
    <row r="56" spans="1:31">
      <c r="A56" s="211"/>
      <c r="B56" s="216"/>
      <c r="C56" s="215"/>
      <c r="D56" s="211"/>
      <c r="E56" s="211"/>
      <c r="F56" s="211"/>
      <c r="G56" s="213"/>
      <c r="H56" s="213"/>
      <c r="I56" s="213"/>
      <c r="J56" s="213"/>
      <c r="K56" s="213"/>
      <c r="L56" s="213"/>
      <c r="M56" s="212" t="str">
        <f t="shared" si="3"/>
        <v/>
      </c>
      <c r="N56" s="213"/>
      <c r="O56" s="213"/>
      <c r="P56" s="213"/>
      <c r="Q56" s="213"/>
      <c r="R56" s="213"/>
      <c r="S56" s="214"/>
      <c r="T56" s="213"/>
      <c r="U56" s="213"/>
      <c r="V56" s="213"/>
      <c r="W56" s="213"/>
      <c r="X56" s="212" t="str">
        <f t="shared" si="4"/>
        <v/>
      </c>
      <c r="Y56" s="213"/>
      <c r="Z56" s="213"/>
      <c r="AA56" s="212" t="str">
        <f t="shared" si="5"/>
        <v/>
      </c>
      <c r="AB56" s="211"/>
      <c r="AC56" s="211"/>
      <c r="AD56" s="211"/>
      <c r="AE56" s="210"/>
    </row>
    <row r="57" spans="1:31">
      <c r="A57" s="211"/>
      <c r="B57" s="216"/>
      <c r="C57" s="215"/>
      <c r="D57" s="211"/>
      <c r="E57" s="211"/>
      <c r="F57" s="211"/>
      <c r="G57" s="213"/>
      <c r="H57" s="213"/>
      <c r="I57" s="213"/>
      <c r="J57" s="213"/>
      <c r="K57" s="213"/>
      <c r="L57" s="213"/>
      <c r="M57" s="212" t="str">
        <f t="shared" si="3"/>
        <v/>
      </c>
      <c r="N57" s="213"/>
      <c r="O57" s="213"/>
      <c r="P57" s="213"/>
      <c r="Q57" s="213"/>
      <c r="R57" s="213"/>
      <c r="S57" s="214"/>
      <c r="T57" s="213"/>
      <c r="U57" s="213"/>
      <c r="V57" s="213"/>
      <c r="W57" s="213"/>
      <c r="X57" s="212" t="str">
        <f t="shared" si="4"/>
        <v/>
      </c>
      <c r="Y57" s="213"/>
      <c r="Z57" s="213"/>
      <c r="AA57" s="212" t="str">
        <f t="shared" si="5"/>
        <v/>
      </c>
      <c r="AB57" s="211"/>
      <c r="AC57" s="211"/>
      <c r="AD57" s="211"/>
      <c r="AE57" s="210"/>
    </row>
    <row r="58" spans="1:31">
      <c r="A58" s="211"/>
      <c r="B58" s="216"/>
      <c r="C58" s="215"/>
      <c r="D58" s="211"/>
      <c r="E58" s="211"/>
      <c r="F58" s="211"/>
      <c r="G58" s="213"/>
      <c r="H58" s="213"/>
      <c r="I58" s="213"/>
      <c r="J58" s="213"/>
      <c r="K58" s="213"/>
      <c r="L58" s="213"/>
      <c r="M58" s="212" t="str">
        <f t="shared" si="3"/>
        <v/>
      </c>
      <c r="N58" s="213"/>
      <c r="O58" s="213"/>
      <c r="P58" s="213"/>
      <c r="Q58" s="213"/>
      <c r="R58" s="213"/>
      <c r="S58" s="214"/>
      <c r="T58" s="213"/>
      <c r="U58" s="213"/>
      <c r="V58" s="213"/>
      <c r="W58" s="213"/>
      <c r="X58" s="212" t="str">
        <f t="shared" si="4"/>
        <v/>
      </c>
      <c r="Y58" s="213"/>
      <c r="Z58" s="213"/>
      <c r="AA58" s="212" t="str">
        <f t="shared" si="5"/>
        <v/>
      </c>
      <c r="AB58" s="211"/>
      <c r="AC58" s="211"/>
      <c r="AD58" s="211"/>
      <c r="AE58" s="210"/>
    </row>
    <row r="59" spans="1:31">
      <c r="A59" s="211"/>
      <c r="B59" s="216"/>
      <c r="C59" s="215"/>
      <c r="D59" s="211"/>
      <c r="E59" s="211"/>
      <c r="F59" s="211"/>
      <c r="G59" s="213"/>
      <c r="H59" s="213"/>
      <c r="I59" s="213"/>
      <c r="J59" s="213"/>
      <c r="K59" s="213"/>
      <c r="L59" s="213"/>
      <c r="M59" s="212" t="str">
        <f t="shared" si="3"/>
        <v/>
      </c>
      <c r="N59" s="213"/>
      <c r="O59" s="213"/>
      <c r="P59" s="213"/>
      <c r="Q59" s="213"/>
      <c r="R59" s="213"/>
      <c r="S59" s="214"/>
      <c r="T59" s="213"/>
      <c r="U59" s="213"/>
      <c r="V59" s="213"/>
      <c r="W59" s="213"/>
      <c r="X59" s="212" t="str">
        <f t="shared" si="4"/>
        <v/>
      </c>
      <c r="Y59" s="213"/>
      <c r="Z59" s="213"/>
      <c r="AA59" s="212" t="str">
        <f t="shared" si="5"/>
        <v/>
      </c>
      <c r="AB59" s="211"/>
      <c r="AC59" s="211"/>
      <c r="AD59" s="211"/>
      <c r="AE59" s="210"/>
    </row>
    <row r="60" spans="1:31">
      <c r="A60" s="211"/>
      <c r="B60" s="216"/>
      <c r="C60" s="215"/>
      <c r="D60" s="211"/>
      <c r="E60" s="211"/>
      <c r="F60" s="211"/>
      <c r="G60" s="213"/>
      <c r="H60" s="213"/>
      <c r="I60" s="213"/>
      <c r="J60" s="213"/>
      <c r="K60" s="213"/>
      <c r="L60" s="213"/>
      <c r="M60" s="212" t="str">
        <f t="shared" si="3"/>
        <v/>
      </c>
      <c r="N60" s="213"/>
      <c r="O60" s="213"/>
      <c r="P60" s="213"/>
      <c r="Q60" s="213"/>
      <c r="R60" s="213"/>
      <c r="S60" s="214"/>
      <c r="T60" s="213"/>
      <c r="U60" s="213"/>
      <c r="V60" s="213"/>
      <c r="W60" s="213"/>
      <c r="X60" s="212" t="str">
        <f t="shared" si="4"/>
        <v/>
      </c>
      <c r="Y60" s="213"/>
      <c r="Z60" s="213"/>
      <c r="AA60" s="212" t="str">
        <f t="shared" si="5"/>
        <v/>
      </c>
      <c r="AB60" s="211"/>
      <c r="AC60" s="211"/>
      <c r="AD60" s="211"/>
      <c r="AE60" s="210"/>
    </row>
    <row r="61" spans="1:31">
      <c r="A61" s="211"/>
      <c r="B61" s="216"/>
      <c r="C61" s="215"/>
      <c r="D61" s="211"/>
      <c r="E61" s="211"/>
      <c r="F61" s="211"/>
      <c r="G61" s="213"/>
      <c r="H61" s="213"/>
      <c r="I61" s="213"/>
      <c r="J61" s="213"/>
      <c r="K61" s="213"/>
      <c r="L61" s="213"/>
      <c r="M61" s="212" t="str">
        <f t="shared" si="3"/>
        <v/>
      </c>
      <c r="N61" s="213"/>
      <c r="O61" s="213"/>
      <c r="P61" s="213"/>
      <c r="Q61" s="213"/>
      <c r="R61" s="213"/>
      <c r="S61" s="214"/>
      <c r="T61" s="213"/>
      <c r="U61" s="213"/>
      <c r="V61" s="213"/>
      <c r="W61" s="213"/>
      <c r="X61" s="212" t="str">
        <f t="shared" si="4"/>
        <v/>
      </c>
      <c r="Y61" s="213"/>
      <c r="Z61" s="213"/>
      <c r="AA61" s="212" t="str">
        <f t="shared" si="5"/>
        <v/>
      </c>
      <c r="AB61" s="211"/>
      <c r="AC61" s="211"/>
      <c r="AD61" s="211"/>
      <c r="AE61" s="210"/>
    </row>
    <row r="62" spans="1:31">
      <c r="A62" s="211"/>
      <c r="B62" s="216"/>
      <c r="C62" s="215"/>
      <c r="D62" s="211"/>
      <c r="E62" s="211"/>
      <c r="F62" s="211"/>
      <c r="G62" s="213"/>
      <c r="H62" s="213"/>
      <c r="I62" s="213"/>
      <c r="J62" s="213"/>
      <c r="K62" s="213"/>
      <c r="L62" s="213"/>
      <c r="M62" s="212" t="str">
        <f t="shared" si="3"/>
        <v/>
      </c>
      <c r="N62" s="213"/>
      <c r="O62" s="213"/>
      <c r="P62" s="213"/>
      <c r="Q62" s="213"/>
      <c r="R62" s="213"/>
      <c r="S62" s="214"/>
      <c r="T62" s="213"/>
      <c r="U62" s="213"/>
      <c r="V62" s="213"/>
      <c r="W62" s="213"/>
      <c r="X62" s="212" t="str">
        <f t="shared" si="4"/>
        <v/>
      </c>
      <c r="Y62" s="213"/>
      <c r="Z62" s="213"/>
      <c r="AA62" s="212" t="str">
        <f t="shared" si="5"/>
        <v/>
      </c>
      <c r="AB62" s="211"/>
      <c r="AC62" s="211"/>
      <c r="AD62" s="211"/>
      <c r="AE62" s="210"/>
    </row>
    <row r="63" spans="1:31">
      <c r="A63" s="211"/>
      <c r="B63" s="216"/>
      <c r="C63" s="215"/>
      <c r="D63" s="211"/>
      <c r="E63" s="211"/>
      <c r="F63" s="211"/>
      <c r="G63" s="213"/>
      <c r="H63" s="213"/>
      <c r="I63" s="213"/>
      <c r="J63" s="213"/>
      <c r="K63" s="213"/>
      <c r="L63" s="213"/>
      <c r="M63" s="212" t="str">
        <f t="shared" si="3"/>
        <v/>
      </c>
      <c r="N63" s="213"/>
      <c r="O63" s="213"/>
      <c r="P63" s="213"/>
      <c r="Q63" s="213"/>
      <c r="R63" s="213"/>
      <c r="S63" s="214"/>
      <c r="T63" s="213"/>
      <c r="U63" s="213"/>
      <c r="V63" s="213"/>
      <c r="W63" s="213"/>
      <c r="X63" s="212" t="str">
        <f t="shared" si="4"/>
        <v/>
      </c>
      <c r="Y63" s="213"/>
      <c r="Z63" s="213"/>
      <c r="AA63" s="212" t="str">
        <f t="shared" si="5"/>
        <v/>
      </c>
      <c r="AB63" s="211"/>
      <c r="AC63" s="211"/>
      <c r="AD63" s="211"/>
      <c r="AE63" s="210"/>
    </row>
    <row r="64" spans="1:31">
      <c r="A64" s="211"/>
      <c r="B64" s="216"/>
      <c r="C64" s="215"/>
      <c r="D64" s="211"/>
      <c r="E64" s="211"/>
      <c r="F64" s="211"/>
      <c r="G64" s="213"/>
      <c r="H64" s="213"/>
      <c r="I64" s="213"/>
      <c r="J64" s="213"/>
      <c r="K64" s="213"/>
      <c r="L64" s="213"/>
      <c r="M64" s="212" t="str">
        <f t="shared" si="3"/>
        <v/>
      </c>
      <c r="N64" s="213"/>
      <c r="O64" s="213"/>
      <c r="P64" s="213"/>
      <c r="Q64" s="213"/>
      <c r="R64" s="213"/>
      <c r="S64" s="214"/>
      <c r="T64" s="213"/>
      <c r="U64" s="213"/>
      <c r="V64" s="213"/>
      <c r="W64" s="213"/>
      <c r="X64" s="212" t="str">
        <f t="shared" si="4"/>
        <v/>
      </c>
      <c r="Y64" s="213"/>
      <c r="Z64" s="213"/>
      <c r="AA64" s="212" t="str">
        <f t="shared" si="5"/>
        <v/>
      </c>
      <c r="AB64" s="211"/>
      <c r="AC64" s="211"/>
      <c r="AD64" s="211"/>
      <c r="AE64" s="210"/>
    </row>
    <row r="65" spans="1:31">
      <c r="A65" s="211"/>
      <c r="B65" s="216"/>
      <c r="C65" s="215"/>
      <c r="D65" s="211"/>
      <c r="E65" s="211"/>
      <c r="F65" s="211"/>
      <c r="G65" s="213"/>
      <c r="H65" s="213"/>
      <c r="I65" s="213"/>
      <c r="J65" s="213"/>
      <c r="K65" s="213"/>
      <c r="L65" s="213"/>
      <c r="M65" s="212" t="str">
        <f t="shared" si="3"/>
        <v/>
      </c>
      <c r="N65" s="213"/>
      <c r="O65" s="213"/>
      <c r="P65" s="213"/>
      <c r="Q65" s="213"/>
      <c r="R65" s="213"/>
      <c r="S65" s="214"/>
      <c r="T65" s="213"/>
      <c r="U65" s="213"/>
      <c r="V65" s="213"/>
      <c r="W65" s="213"/>
      <c r="X65" s="212" t="str">
        <f t="shared" si="4"/>
        <v/>
      </c>
      <c r="Y65" s="213"/>
      <c r="Z65" s="213"/>
      <c r="AA65" s="212" t="str">
        <f t="shared" si="5"/>
        <v/>
      </c>
      <c r="AB65" s="211"/>
      <c r="AC65" s="211"/>
      <c r="AD65" s="211"/>
      <c r="AE65" s="210"/>
    </row>
    <row r="66" spans="1:31">
      <c r="A66" s="211"/>
      <c r="B66" s="216"/>
      <c r="C66" s="215"/>
      <c r="D66" s="211"/>
      <c r="E66" s="211"/>
      <c r="F66" s="211"/>
      <c r="G66" s="213"/>
      <c r="H66" s="213"/>
      <c r="I66" s="213"/>
      <c r="J66" s="213"/>
      <c r="K66" s="213"/>
      <c r="L66" s="213"/>
      <c r="M66" s="212" t="str">
        <f t="shared" si="3"/>
        <v/>
      </c>
      <c r="N66" s="213"/>
      <c r="O66" s="213"/>
      <c r="P66" s="213"/>
      <c r="Q66" s="213"/>
      <c r="R66" s="213"/>
      <c r="S66" s="214"/>
      <c r="T66" s="213"/>
      <c r="U66" s="213"/>
      <c r="V66" s="213"/>
      <c r="W66" s="213"/>
      <c r="X66" s="212" t="str">
        <f t="shared" si="4"/>
        <v/>
      </c>
      <c r="Y66" s="213"/>
      <c r="Z66" s="213"/>
      <c r="AA66" s="212" t="str">
        <f t="shared" si="5"/>
        <v/>
      </c>
      <c r="AB66" s="211"/>
      <c r="AC66" s="211"/>
      <c r="AD66" s="211"/>
      <c r="AE66" s="210"/>
    </row>
    <row r="67" spans="1:31">
      <c r="A67" s="211"/>
      <c r="B67" s="216"/>
      <c r="C67" s="215"/>
      <c r="D67" s="211"/>
      <c r="E67" s="211"/>
      <c r="F67" s="211"/>
      <c r="G67" s="213"/>
      <c r="H67" s="213"/>
      <c r="I67" s="213"/>
      <c r="J67" s="213"/>
      <c r="K67" s="213"/>
      <c r="L67" s="213"/>
      <c r="M67" s="212" t="str">
        <f t="shared" si="3"/>
        <v/>
      </c>
      <c r="N67" s="213"/>
      <c r="O67" s="213"/>
      <c r="P67" s="213"/>
      <c r="Q67" s="213"/>
      <c r="R67" s="213"/>
      <c r="S67" s="214"/>
      <c r="T67" s="213"/>
      <c r="U67" s="213"/>
      <c r="V67" s="213"/>
      <c r="W67" s="213"/>
      <c r="X67" s="212" t="str">
        <f t="shared" si="4"/>
        <v/>
      </c>
      <c r="Y67" s="213"/>
      <c r="Z67" s="213"/>
      <c r="AA67" s="212" t="str">
        <f t="shared" si="5"/>
        <v/>
      </c>
      <c r="AB67" s="211"/>
      <c r="AC67" s="211"/>
      <c r="AD67" s="211"/>
      <c r="AE67" s="210"/>
    </row>
    <row r="68" spans="1:31">
      <c r="A68" s="211"/>
      <c r="B68" s="216"/>
      <c r="C68" s="215"/>
      <c r="D68" s="211"/>
      <c r="E68" s="211"/>
      <c r="F68" s="211"/>
      <c r="G68" s="213"/>
      <c r="H68" s="213"/>
      <c r="I68" s="213"/>
      <c r="J68" s="213"/>
      <c r="K68" s="213"/>
      <c r="L68" s="213"/>
      <c r="M68" s="212" t="str">
        <f t="shared" si="3"/>
        <v/>
      </c>
      <c r="N68" s="213"/>
      <c r="O68" s="213"/>
      <c r="P68" s="213"/>
      <c r="Q68" s="213"/>
      <c r="R68" s="213"/>
      <c r="S68" s="214"/>
      <c r="T68" s="213"/>
      <c r="U68" s="213"/>
      <c r="V68" s="213"/>
      <c r="W68" s="213"/>
      <c r="X68" s="212" t="str">
        <f t="shared" si="4"/>
        <v/>
      </c>
      <c r="Y68" s="213"/>
      <c r="Z68" s="213"/>
      <c r="AA68" s="212" t="str">
        <f t="shared" si="5"/>
        <v/>
      </c>
      <c r="AB68" s="211"/>
      <c r="AC68" s="211"/>
      <c r="AD68" s="211"/>
      <c r="AE68" s="210"/>
    </row>
    <row r="69" spans="1:31">
      <c r="A69" s="211"/>
      <c r="B69" s="216"/>
      <c r="C69" s="215"/>
      <c r="D69" s="211"/>
      <c r="E69" s="211"/>
      <c r="F69" s="211"/>
      <c r="G69" s="213"/>
      <c r="H69" s="213"/>
      <c r="I69" s="213"/>
      <c r="J69" s="213"/>
      <c r="K69" s="213"/>
      <c r="L69" s="213"/>
      <c r="M69" s="212" t="str">
        <f t="shared" si="3"/>
        <v/>
      </c>
      <c r="N69" s="213"/>
      <c r="O69" s="213"/>
      <c r="P69" s="213"/>
      <c r="Q69" s="213"/>
      <c r="R69" s="213"/>
      <c r="S69" s="214"/>
      <c r="T69" s="213"/>
      <c r="U69" s="213"/>
      <c r="V69" s="213"/>
      <c r="W69" s="213"/>
      <c r="X69" s="212" t="str">
        <f t="shared" si="4"/>
        <v/>
      </c>
      <c r="Y69" s="213"/>
      <c r="Z69" s="213"/>
      <c r="AA69" s="212" t="str">
        <f t="shared" si="5"/>
        <v/>
      </c>
      <c r="AB69" s="211"/>
      <c r="AC69" s="211"/>
      <c r="AD69" s="211"/>
      <c r="AE69" s="210"/>
    </row>
    <row r="70" spans="1:31">
      <c r="A70" s="211"/>
      <c r="B70" s="216"/>
      <c r="C70" s="215"/>
      <c r="D70" s="211"/>
      <c r="E70" s="211"/>
      <c r="F70" s="211"/>
      <c r="G70" s="213"/>
      <c r="H70" s="213"/>
      <c r="I70" s="213"/>
      <c r="J70" s="213"/>
      <c r="K70" s="213"/>
      <c r="L70" s="213"/>
      <c r="M70" s="212" t="str">
        <f t="shared" ref="M70:M101" si="6">IF(OR($A70="",$G70=0),"",$K70/$G70)</f>
        <v/>
      </c>
      <c r="N70" s="213"/>
      <c r="O70" s="213"/>
      <c r="P70" s="213"/>
      <c r="Q70" s="213"/>
      <c r="R70" s="213"/>
      <c r="S70" s="214"/>
      <c r="T70" s="213"/>
      <c r="U70" s="213"/>
      <c r="V70" s="213"/>
      <c r="W70" s="213"/>
      <c r="X70" s="212" t="str">
        <f t="shared" ref="X70:X101" si="7">IF(OR($A70="",$T70=0),"",$U70/$T70)</f>
        <v/>
      </c>
      <c r="Y70" s="213"/>
      <c r="Z70" s="213"/>
      <c r="AA70" s="212" t="str">
        <f t="shared" ref="AA70:AA101" si="8">IF(OR($A70="",$Y70=0),"",$Z70/$Y70)</f>
        <v/>
      </c>
      <c r="AB70" s="211"/>
      <c r="AC70" s="211"/>
      <c r="AD70" s="211"/>
      <c r="AE70" s="210"/>
    </row>
    <row r="71" spans="1:31">
      <c r="A71" s="211"/>
      <c r="B71" s="216"/>
      <c r="C71" s="215"/>
      <c r="D71" s="211"/>
      <c r="E71" s="211"/>
      <c r="F71" s="211"/>
      <c r="G71" s="213"/>
      <c r="H71" s="213"/>
      <c r="I71" s="213"/>
      <c r="J71" s="213"/>
      <c r="K71" s="213"/>
      <c r="L71" s="213"/>
      <c r="M71" s="212" t="str">
        <f t="shared" si="6"/>
        <v/>
      </c>
      <c r="N71" s="213"/>
      <c r="O71" s="213"/>
      <c r="P71" s="213"/>
      <c r="Q71" s="213"/>
      <c r="R71" s="213"/>
      <c r="S71" s="214"/>
      <c r="T71" s="213"/>
      <c r="U71" s="213"/>
      <c r="V71" s="213"/>
      <c r="W71" s="213"/>
      <c r="X71" s="212" t="str">
        <f t="shared" si="7"/>
        <v/>
      </c>
      <c r="Y71" s="213"/>
      <c r="Z71" s="213"/>
      <c r="AA71" s="212" t="str">
        <f t="shared" si="8"/>
        <v/>
      </c>
      <c r="AB71" s="211"/>
      <c r="AC71" s="211"/>
      <c r="AD71" s="211"/>
      <c r="AE71" s="210"/>
    </row>
    <row r="72" spans="1:31">
      <c r="A72" s="211"/>
      <c r="B72" s="216"/>
      <c r="C72" s="215"/>
      <c r="D72" s="211"/>
      <c r="E72" s="211"/>
      <c r="F72" s="211"/>
      <c r="G72" s="213"/>
      <c r="H72" s="213"/>
      <c r="I72" s="213"/>
      <c r="J72" s="213"/>
      <c r="K72" s="213"/>
      <c r="L72" s="213"/>
      <c r="M72" s="212" t="str">
        <f t="shared" si="6"/>
        <v/>
      </c>
      <c r="N72" s="213"/>
      <c r="O72" s="213"/>
      <c r="P72" s="213"/>
      <c r="Q72" s="213"/>
      <c r="R72" s="213"/>
      <c r="S72" s="214"/>
      <c r="T72" s="213"/>
      <c r="U72" s="213"/>
      <c r="V72" s="213"/>
      <c r="W72" s="213"/>
      <c r="X72" s="212" t="str">
        <f t="shared" si="7"/>
        <v/>
      </c>
      <c r="Y72" s="213"/>
      <c r="Z72" s="213"/>
      <c r="AA72" s="212" t="str">
        <f t="shared" si="8"/>
        <v/>
      </c>
      <c r="AB72" s="211"/>
      <c r="AC72" s="211"/>
      <c r="AD72" s="211"/>
      <c r="AE72" s="210"/>
    </row>
    <row r="73" spans="1:31">
      <c r="A73" s="211"/>
      <c r="B73" s="216"/>
      <c r="C73" s="215"/>
      <c r="D73" s="211"/>
      <c r="E73" s="211"/>
      <c r="F73" s="211"/>
      <c r="G73" s="213"/>
      <c r="H73" s="213"/>
      <c r="I73" s="213"/>
      <c r="J73" s="213"/>
      <c r="K73" s="213"/>
      <c r="L73" s="213"/>
      <c r="M73" s="212" t="str">
        <f t="shared" si="6"/>
        <v/>
      </c>
      <c r="N73" s="213"/>
      <c r="O73" s="213"/>
      <c r="P73" s="213"/>
      <c r="Q73" s="213"/>
      <c r="R73" s="213"/>
      <c r="S73" s="214"/>
      <c r="T73" s="213"/>
      <c r="U73" s="213"/>
      <c r="V73" s="213"/>
      <c r="W73" s="213"/>
      <c r="X73" s="212" t="str">
        <f t="shared" si="7"/>
        <v/>
      </c>
      <c r="Y73" s="213"/>
      <c r="Z73" s="213"/>
      <c r="AA73" s="212" t="str">
        <f t="shared" si="8"/>
        <v/>
      </c>
      <c r="AB73" s="211"/>
      <c r="AC73" s="211"/>
      <c r="AD73" s="211"/>
      <c r="AE73" s="210"/>
    </row>
    <row r="74" spans="1:31">
      <c r="A74" s="211"/>
      <c r="B74" s="216"/>
      <c r="C74" s="215"/>
      <c r="D74" s="211"/>
      <c r="E74" s="211"/>
      <c r="F74" s="211"/>
      <c r="G74" s="213"/>
      <c r="H74" s="213"/>
      <c r="I74" s="213"/>
      <c r="J74" s="213"/>
      <c r="K74" s="213"/>
      <c r="L74" s="213"/>
      <c r="M74" s="212" t="str">
        <f t="shared" si="6"/>
        <v/>
      </c>
      <c r="N74" s="213"/>
      <c r="O74" s="213"/>
      <c r="P74" s="213"/>
      <c r="Q74" s="213"/>
      <c r="R74" s="213"/>
      <c r="S74" s="214"/>
      <c r="T74" s="213"/>
      <c r="U74" s="213"/>
      <c r="V74" s="213"/>
      <c r="W74" s="213"/>
      <c r="X74" s="212" t="str">
        <f t="shared" si="7"/>
        <v/>
      </c>
      <c r="Y74" s="213"/>
      <c r="Z74" s="213"/>
      <c r="AA74" s="212" t="str">
        <f t="shared" si="8"/>
        <v/>
      </c>
      <c r="AB74" s="211"/>
      <c r="AC74" s="211"/>
      <c r="AD74" s="211"/>
      <c r="AE74" s="210"/>
    </row>
    <row r="75" spans="1:31">
      <c r="A75" s="211"/>
      <c r="B75" s="216"/>
      <c r="C75" s="215"/>
      <c r="D75" s="211"/>
      <c r="E75" s="211"/>
      <c r="F75" s="211"/>
      <c r="G75" s="213"/>
      <c r="H75" s="213"/>
      <c r="I75" s="213"/>
      <c r="J75" s="213"/>
      <c r="K75" s="213"/>
      <c r="L75" s="213"/>
      <c r="M75" s="212" t="str">
        <f t="shared" si="6"/>
        <v/>
      </c>
      <c r="N75" s="213"/>
      <c r="O75" s="213"/>
      <c r="P75" s="213"/>
      <c r="Q75" s="213"/>
      <c r="R75" s="213"/>
      <c r="S75" s="214"/>
      <c r="T75" s="213"/>
      <c r="U75" s="213"/>
      <c r="V75" s="213"/>
      <c r="W75" s="213"/>
      <c r="X75" s="212" t="str">
        <f t="shared" si="7"/>
        <v/>
      </c>
      <c r="Y75" s="213"/>
      <c r="Z75" s="213"/>
      <c r="AA75" s="212" t="str">
        <f t="shared" si="8"/>
        <v/>
      </c>
      <c r="AB75" s="211"/>
      <c r="AC75" s="211"/>
      <c r="AD75" s="211"/>
      <c r="AE75" s="210"/>
    </row>
    <row r="76" spans="1:31">
      <c r="A76" s="211"/>
      <c r="B76" s="216"/>
      <c r="C76" s="215"/>
      <c r="D76" s="211"/>
      <c r="E76" s="211"/>
      <c r="F76" s="211"/>
      <c r="G76" s="213"/>
      <c r="H76" s="213"/>
      <c r="I76" s="213"/>
      <c r="J76" s="213"/>
      <c r="K76" s="213"/>
      <c r="L76" s="213"/>
      <c r="M76" s="212" t="str">
        <f t="shared" si="6"/>
        <v/>
      </c>
      <c r="N76" s="213"/>
      <c r="O76" s="213"/>
      <c r="P76" s="213"/>
      <c r="Q76" s="213"/>
      <c r="R76" s="213"/>
      <c r="S76" s="214"/>
      <c r="T76" s="213"/>
      <c r="U76" s="213"/>
      <c r="V76" s="213"/>
      <c r="W76" s="213"/>
      <c r="X76" s="212" t="str">
        <f t="shared" si="7"/>
        <v/>
      </c>
      <c r="Y76" s="213"/>
      <c r="Z76" s="213"/>
      <c r="AA76" s="212" t="str">
        <f t="shared" si="8"/>
        <v/>
      </c>
      <c r="AB76" s="211"/>
      <c r="AC76" s="211"/>
      <c r="AD76" s="211"/>
      <c r="AE76" s="210"/>
    </row>
    <row r="77" spans="1:31">
      <c r="A77" s="211"/>
      <c r="B77" s="216"/>
      <c r="C77" s="215"/>
      <c r="D77" s="211"/>
      <c r="E77" s="211"/>
      <c r="F77" s="211"/>
      <c r="G77" s="213"/>
      <c r="H77" s="213"/>
      <c r="I77" s="213"/>
      <c r="J77" s="213"/>
      <c r="K77" s="213"/>
      <c r="L77" s="213"/>
      <c r="M77" s="212" t="str">
        <f t="shared" si="6"/>
        <v/>
      </c>
      <c r="N77" s="213"/>
      <c r="O77" s="213"/>
      <c r="P77" s="213"/>
      <c r="Q77" s="213"/>
      <c r="R77" s="213"/>
      <c r="S77" s="214"/>
      <c r="T77" s="213"/>
      <c r="U77" s="213"/>
      <c r="V77" s="213"/>
      <c r="W77" s="213"/>
      <c r="X77" s="212" t="str">
        <f t="shared" si="7"/>
        <v/>
      </c>
      <c r="Y77" s="213"/>
      <c r="Z77" s="213"/>
      <c r="AA77" s="212" t="str">
        <f t="shared" si="8"/>
        <v/>
      </c>
      <c r="AB77" s="211"/>
      <c r="AC77" s="211"/>
      <c r="AD77" s="211"/>
      <c r="AE77" s="210"/>
    </row>
    <row r="78" spans="1:31">
      <c r="A78" s="211"/>
      <c r="B78" s="216"/>
      <c r="C78" s="215"/>
      <c r="D78" s="211"/>
      <c r="E78" s="211"/>
      <c r="F78" s="211"/>
      <c r="G78" s="213"/>
      <c r="H78" s="213"/>
      <c r="I78" s="213"/>
      <c r="J78" s="213"/>
      <c r="K78" s="213"/>
      <c r="L78" s="213"/>
      <c r="M78" s="212" t="str">
        <f t="shared" si="6"/>
        <v/>
      </c>
      <c r="N78" s="213"/>
      <c r="O78" s="213"/>
      <c r="P78" s="213"/>
      <c r="Q78" s="213"/>
      <c r="R78" s="213"/>
      <c r="S78" s="214"/>
      <c r="T78" s="213"/>
      <c r="U78" s="213"/>
      <c r="V78" s="213"/>
      <c r="W78" s="213"/>
      <c r="X78" s="212" t="str">
        <f t="shared" si="7"/>
        <v/>
      </c>
      <c r="Y78" s="213"/>
      <c r="Z78" s="213"/>
      <c r="AA78" s="212" t="str">
        <f t="shared" si="8"/>
        <v/>
      </c>
      <c r="AB78" s="211"/>
      <c r="AC78" s="211"/>
      <c r="AD78" s="211"/>
      <c r="AE78" s="210"/>
    </row>
    <row r="79" spans="1:31">
      <c r="A79" s="211"/>
      <c r="B79" s="216"/>
      <c r="C79" s="215"/>
      <c r="D79" s="211"/>
      <c r="E79" s="211"/>
      <c r="F79" s="211"/>
      <c r="G79" s="213"/>
      <c r="H79" s="213"/>
      <c r="I79" s="213"/>
      <c r="J79" s="213"/>
      <c r="K79" s="213"/>
      <c r="L79" s="213"/>
      <c r="M79" s="212" t="str">
        <f t="shared" si="6"/>
        <v/>
      </c>
      <c r="N79" s="213"/>
      <c r="O79" s="213"/>
      <c r="P79" s="213"/>
      <c r="Q79" s="213"/>
      <c r="R79" s="213"/>
      <c r="S79" s="214"/>
      <c r="T79" s="213"/>
      <c r="U79" s="213"/>
      <c r="V79" s="213"/>
      <c r="W79" s="213"/>
      <c r="X79" s="212" t="str">
        <f t="shared" si="7"/>
        <v/>
      </c>
      <c r="Y79" s="213"/>
      <c r="Z79" s="213"/>
      <c r="AA79" s="212" t="str">
        <f t="shared" si="8"/>
        <v/>
      </c>
      <c r="AB79" s="211"/>
      <c r="AC79" s="211"/>
      <c r="AD79" s="211"/>
      <c r="AE79" s="210"/>
    </row>
    <row r="80" spans="1:31">
      <c r="A80" s="211"/>
      <c r="B80" s="216"/>
      <c r="C80" s="215"/>
      <c r="D80" s="211"/>
      <c r="E80" s="211"/>
      <c r="F80" s="211"/>
      <c r="G80" s="213"/>
      <c r="H80" s="213"/>
      <c r="I80" s="213"/>
      <c r="J80" s="213"/>
      <c r="K80" s="213"/>
      <c r="L80" s="213"/>
      <c r="M80" s="212" t="str">
        <f t="shared" si="6"/>
        <v/>
      </c>
      <c r="N80" s="213"/>
      <c r="O80" s="213"/>
      <c r="P80" s="213"/>
      <c r="Q80" s="213"/>
      <c r="R80" s="213"/>
      <c r="S80" s="214"/>
      <c r="T80" s="213"/>
      <c r="U80" s="213"/>
      <c r="V80" s="213"/>
      <c r="W80" s="213"/>
      <c r="X80" s="212" t="str">
        <f t="shared" si="7"/>
        <v/>
      </c>
      <c r="Y80" s="213"/>
      <c r="Z80" s="213"/>
      <c r="AA80" s="212" t="str">
        <f t="shared" si="8"/>
        <v/>
      </c>
      <c r="AB80" s="211"/>
      <c r="AC80" s="211"/>
      <c r="AD80" s="211"/>
      <c r="AE80" s="210"/>
    </row>
    <row r="81" spans="1:31">
      <c r="A81" s="211"/>
      <c r="B81" s="216"/>
      <c r="C81" s="215"/>
      <c r="D81" s="211"/>
      <c r="E81" s="211"/>
      <c r="F81" s="211"/>
      <c r="G81" s="213"/>
      <c r="H81" s="213"/>
      <c r="I81" s="213"/>
      <c r="J81" s="213"/>
      <c r="K81" s="213"/>
      <c r="L81" s="213"/>
      <c r="M81" s="212" t="str">
        <f t="shared" si="6"/>
        <v/>
      </c>
      <c r="N81" s="213"/>
      <c r="O81" s="213"/>
      <c r="P81" s="213"/>
      <c r="Q81" s="213"/>
      <c r="R81" s="213"/>
      <c r="S81" s="214"/>
      <c r="T81" s="213"/>
      <c r="U81" s="213"/>
      <c r="V81" s="213"/>
      <c r="W81" s="213"/>
      <c r="X81" s="212" t="str">
        <f t="shared" si="7"/>
        <v/>
      </c>
      <c r="Y81" s="213"/>
      <c r="Z81" s="213"/>
      <c r="AA81" s="212" t="str">
        <f t="shared" si="8"/>
        <v/>
      </c>
      <c r="AB81" s="211"/>
      <c r="AC81" s="211"/>
      <c r="AD81" s="211"/>
      <c r="AE81" s="210"/>
    </row>
    <row r="82" spans="1:31">
      <c r="A82" s="211"/>
      <c r="B82" s="216"/>
      <c r="C82" s="215"/>
      <c r="D82" s="211"/>
      <c r="E82" s="211"/>
      <c r="F82" s="211"/>
      <c r="G82" s="213"/>
      <c r="H82" s="213"/>
      <c r="I82" s="213"/>
      <c r="J82" s="213"/>
      <c r="K82" s="213"/>
      <c r="L82" s="213"/>
      <c r="M82" s="212" t="str">
        <f t="shared" si="6"/>
        <v/>
      </c>
      <c r="N82" s="213"/>
      <c r="O82" s="213"/>
      <c r="P82" s="213"/>
      <c r="Q82" s="213"/>
      <c r="R82" s="213"/>
      <c r="S82" s="214"/>
      <c r="T82" s="213"/>
      <c r="U82" s="213"/>
      <c r="V82" s="213"/>
      <c r="W82" s="213"/>
      <c r="X82" s="212" t="str">
        <f t="shared" si="7"/>
        <v/>
      </c>
      <c r="Y82" s="213"/>
      <c r="Z82" s="213"/>
      <c r="AA82" s="212" t="str">
        <f t="shared" si="8"/>
        <v/>
      </c>
      <c r="AB82" s="211"/>
      <c r="AC82" s="211"/>
      <c r="AD82" s="211"/>
      <c r="AE82" s="210"/>
    </row>
    <row r="83" spans="1:31">
      <c r="A83" s="211"/>
      <c r="B83" s="216"/>
      <c r="C83" s="215"/>
      <c r="D83" s="211"/>
      <c r="E83" s="211"/>
      <c r="F83" s="211"/>
      <c r="G83" s="213"/>
      <c r="H83" s="213"/>
      <c r="I83" s="213"/>
      <c r="J83" s="213"/>
      <c r="K83" s="213"/>
      <c r="L83" s="213"/>
      <c r="M83" s="212" t="str">
        <f t="shared" si="6"/>
        <v/>
      </c>
      <c r="N83" s="213"/>
      <c r="O83" s="213"/>
      <c r="P83" s="213"/>
      <c r="Q83" s="213"/>
      <c r="R83" s="213"/>
      <c r="S83" s="214"/>
      <c r="T83" s="213"/>
      <c r="U83" s="213"/>
      <c r="V83" s="213"/>
      <c r="W83" s="213"/>
      <c r="X83" s="212" t="str">
        <f t="shared" si="7"/>
        <v/>
      </c>
      <c r="Y83" s="213"/>
      <c r="Z83" s="213"/>
      <c r="AA83" s="212" t="str">
        <f t="shared" si="8"/>
        <v/>
      </c>
      <c r="AB83" s="211"/>
      <c r="AC83" s="211"/>
      <c r="AD83" s="211"/>
      <c r="AE83" s="210"/>
    </row>
    <row r="84" spans="1:31">
      <c r="A84" s="211"/>
      <c r="B84" s="216"/>
      <c r="C84" s="215"/>
      <c r="D84" s="211"/>
      <c r="E84" s="211"/>
      <c r="F84" s="211"/>
      <c r="G84" s="213"/>
      <c r="H84" s="213"/>
      <c r="I84" s="213"/>
      <c r="J84" s="213"/>
      <c r="K84" s="213"/>
      <c r="L84" s="213"/>
      <c r="M84" s="212" t="str">
        <f t="shared" si="6"/>
        <v/>
      </c>
      <c r="N84" s="213"/>
      <c r="O84" s="213"/>
      <c r="P84" s="213"/>
      <c r="Q84" s="213"/>
      <c r="R84" s="213"/>
      <c r="S84" s="214"/>
      <c r="T84" s="213"/>
      <c r="U84" s="213"/>
      <c r="V84" s="213"/>
      <c r="W84" s="213"/>
      <c r="X84" s="212" t="str">
        <f t="shared" si="7"/>
        <v/>
      </c>
      <c r="Y84" s="213"/>
      <c r="Z84" s="213"/>
      <c r="AA84" s="212" t="str">
        <f t="shared" si="8"/>
        <v/>
      </c>
      <c r="AB84" s="211"/>
      <c r="AC84" s="211"/>
      <c r="AD84" s="211"/>
      <c r="AE84" s="210"/>
    </row>
    <row r="85" spans="1:31">
      <c r="A85" s="211"/>
      <c r="B85" s="216"/>
      <c r="C85" s="215"/>
      <c r="D85" s="211"/>
      <c r="E85" s="211"/>
      <c r="F85" s="211"/>
      <c r="G85" s="213"/>
      <c r="H85" s="213"/>
      <c r="I85" s="213"/>
      <c r="J85" s="213"/>
      <c r="K85" s="213"/>
      <c r="L85" s="213"/>
      <c r="M85" s="212" t="str">
        <f t="shared" si="6"/>
        <v/>
      </c>
      <c r="N85" s="213"/>
      <c r="O85" s="213"/>
      <c r="P85" s="213"/>
      <c r="Q85" s="213"/>
      <c r="R85" s="213"/>
      <c r="S85" s="214"/>
      <c r="T85" s="213"/>
      <c r="U85" s="213"/>
      <c r="V85" s="213"/>
      <c r="W85" s="213"/>
      <c r="X85" s="212" t="str">
        <f t="shared" si="7"/>
        <v/>
      </c>
      <c r="Y85" s="213"/>
      <c r="Z85" s="213"/>
      <c r="AA85" s="212" t="str">
        <f t="shared" si="8"/>
        <v/>
      </c>
      <c r="AB85" s="211"/>
      <c r="AC85" s="211"/>
      <c r="AD85" s="211"/>
      <c r="AE85" s="210"/>
    </row>
    <row r="86" spans="1:31">
      <c r="A86" s="211"/>
      <c r="B86" s="216"/>
      <c r="C86" s="215"/>
      <c r="D86" s="211"/>
      <c r="E86" s="211"/>
      <c r="F86" s="211"/>
      <c r="G86" s="213"/>
      <c r="H86" s="213"/>
      <c r="I86" s="213"/>
      <c r="J86" s="213"/>
      <c r="K86" s="213"/>
      <c r="L86" s="213"/>
      <c r="M86" s="212" t="str">
        <f t="shared" si="6"/>
        <v/>
      </c>
      <c r="N86" s="213"/>
      <c r="O86" s="213"/>
      <c r="P86" s="213"/>
      <c r="Q86" s="213"/>
      <c r="R86" s="213"/>
      <c r="S86" s="214"/>
      <c r="T86" s="213"/>
      <c r="U86" s="213"/>
      <c r="V86" s="213"/>
      <c r="W86" s="213"/>
      <c r="X86" s="212" t="str">
        <f t="shared" si="7"/>
        <v/>
      </c>
      <c r="Y86" s="213"/>
      <c r="Z86" s="213"/>
      <c r="AA86" s="212" t="str">
        <f t="shared" si="8"/>
        <v/>
      </c>
      <c r="AB86" s="211"/>
      <c r="AC86" s="211"/>
      <c r="AD86" s="211"/>
      <c r="AE86" s="210"/>
    </row>
    <row r="87" spans="1:31">
      <c r="A87" s="211"/>
      <c r="B87" s="216"/>
      <c r="C87" s="215"/>
      <c r="D87" s="211"/>
      <c r="E87" s="211"/>
      <c r="F87" s="211"/>
      <c r="G87" s="213"/>
      <c r="H87" s="213"/>
      <c r="I87" s="213"/>
      <c r="J87" s="213"/>
      <c r="K87" s="213"/>
      <c r="L87" s="213"/>
      <c r="M87" s="212" t="str">
        <f t="shared" si="6"/>
        <v/>
      </c>
      <c r="N87" s="213"/>
      <c r="O87" s="213"/>
      <c r="P87" s="213"/>
      <c r="Q87" s="213"/>
      <c r="R87" s="213"/>
      <c r="S87" s="214"/>
      <c r="T87" s="213"/>
      <c r="U87" s="213"/>
      <c r="V87" s="213"/>
      <c r="W87" s="213"/>
      <c r="X87" s="212" t="str">
        <f t="shared" si="7"/>
        <v/>
      </c>
      <c r="Y87" s="213"/>
      <c r="Z87" s="213"/>
      <c r="AA87" s="212" t="str">
        <f t="shared" si="8"/>
        <v/>
      </c>
      <c r="AB87" s="211"/>
      <c r="AC87" s="211"/>
      <c r="AD87" s="211"/>
      <c r="AE87" s="210"/>
    </row>
    <row r="88" spans="1:31">
      <c r="A88" s="211"/>
      <c r="B88" s="216"/>
      <c r="C88" s="215"/>
      <c r="D88" s="211"/>
      <c r="E88" s="211"/>
      <c r="F88" s="211"/>
      <c r="G88" s="213"/>
      <c r="H88" s="213"/>
      <c r="I88" s="213"/>
      <c r="J88" s="213"/>
      <c r="K88" s="213"/>
      <c r="L88" s="213"/>
      <c r="M88" s="212" t="str">
        <f t="shared" si="6"/>
        <v/>
      </c>
      <c r="N88" s="213"/>
      <c r="O88" s="213"/>
      <c r="P88" s="213"/>
      <c r="Q88" s="213"/>
      <c r="R88" s="213"/>
      <c r="S88" s="214"/>
      <c r="T88" s="213"/>
      <c r="U88" s="213"/>
      <c r="V88" s="213"/>
      <c r="W88" s="213"/>
      <c r="X88" s="212" t="str">
        <f t="shared" si="7"/>
        <v/>
      </c>
      <c r="Y88" s="213"/>
      <c r="Z88" s="213"/>
      <c r="AA88" s="212" t="str">
        <f t="shared" si="8"/>
        <v/>
      </c>
      <c r="AB88" s="211"/>
      <c r="AC88" s="211"/>
      <c r="AD88" s="211"/>
      <c r="AE88" s="210"/>
    </row>
    <row r="89" spans="1:31">
      <c r="A89" s="211"/>
      <c r="B89" s="216"/>
      <c r="C89" s="215"/>
      <c r="D89" s="211"/>
      <c r="E89" s="211"/>
      <c r="F89" s="211"/>
      <c r="G89" s="213"/>
      <c r="H89" s="213"/>
      <c r="I89" s="213"/>
      <c r="J89" s="213"/>
      <c r="K89" s="213"/>
      <c r="L89" s="213"/>
      <c r="M89" s="212" t="str">
        <f t="shared" si="6"/>
        <v/>
      </c>
      <c r="N89" s="213"/>
      <c r="O89" s="213"/>
      <c r="P89" s="213"/>
      <c r="Q89" s="213"/>
      <c r="R89" s="213"/>
      <c r="S89" s="214"/>
      <c r="T89" s="213"/>
      <c r="U89" s="213"/>
      <c r="V89" s="213"/>
      <c r="W89" s="213"/>
      <c r="X89" s="212" t="str">
        <f t="shared" si="7"/>
        <v/>
      </c>
      <c r="Y89" s="213"/>
      <c r="Z89" s="213"/>
      <c r="AA89" s="212" t="str">
        <f t="shared" si="8"/>
        <v/>
      </c>
      <c r="AB89" s="211"/>
      <c r="AC89" s="211"/>
      <c r="AD89" s="211"/>
      <c r="AE89" s="210"/>
    </row>
    <row r="90" spans="1:31">
      <c r="A90" s="211"/>
      <c r="B90" s="216"/>
      <c r="C90" s="215"/>
      <c r="D90" s="211"/>
      <c r="E90" s="211"/>
      <c r="F90" s="211"/>
      <c r="G90" s="213"/>
      <c r="H90" s="213"/>
      <c r="I90" s="213"/>
      <c r="J90" s="213"/>
      <c r="K90" s="213"/>
      <c r="L90" s="213"/>
      <c r="M90" s="212" t="str">
        <f t="shared" si="6"/>
        <v/>
      </c>
      <c r="N90" s="213"/>
      <c r="O90" s="213"/>
      <c r="P90" s="213"/>
      <c r="Q90" s="213"/>
      <c r="R90" s="213"/>
      <c r="S90" s="214"/>
      <c r="T90" s="213"/>
      <c r="U90" s="213"/>
      <c r="V90" s="213"/>
      <c r="W90" s="213"/>
      <c r="X90" s="212" t="str">
        <f t="shared" si="7"/>
        <v/>
      </c>
      <c r="Y90" s="213"/>
      <c r="Z90" s="213"/>
      <c r="AA90" s="212" t="str">
        <f t="shared" si="8"/>
        <v/>
      </c>
      <c r="AB90" s="211"/>
      <c r="AC90" s="211"/>
      <c r="AD90" s="211"/>
      <c r="AE90" s="210"/>
    </row>
    <row r="91" spans="1:31">
      <c r="A91" s="211"/>
      <c r="B91" s="216"/>
      <c r="C91" s="215"/>
      <c r="D91" s="211"/>
      <c r="E91" s="211"/>
      <c r="F91" s="211"/>
      <c r="G91" s="213"/>
      <c r="H91" s="213"/>
      <c r="I91" s="213"/>
      <c r="J91" s="213"/>
      <c r="K91" s="213"/>
      <c r="L91" s="213"/>
      <c r="M91" s="212" t="str">
        <f t="shared" si="6"/>
        <v/>
      </c>
      <c r="N91" s="213"/>
      <c r="O91" s="213"/>
      <c r="P91" s="213"/>
      <c r="Q91" s="213"/>
      <c r="R91" s="213"/>
      <c r="S91" s="214"/>
      <c r="T91" s="213"/>
      <c r="U91" s="213"/>
      <c r="V91" s="213"/>
      <c r="W91" s="213"/>
      <c r="X91" s="212" t="str">
        <f t="shared" si="7"/>
        <v/>
      </c>
      <c r="Y91" s="213"/>
      <c r="Z91" s="213"/>
      <c r="AA91" s="212" t="str">
        <f t="shared" si="8"/>
        <v/>
      </c>
      <c r="AB91" s="211"/>
      <c r="AC91" s="211"/>
      <c r="AD91" s="211"/>
      <c r="AE91" s="210"/>
    </row>
    <row r="92" spans="1:31">
      <c r="A92" s="211"/>
      <c r="B92" s="216"/>
      <c r="C92" s="215"/>
      <c r="D92" s="211"/>
      <c r="E92" s="211"/>
      <c r="F92" s="211"/>
      <c r="G92" s="213"/>
      <c r="H92" s="213"/>
      <c r="I92" s="213"/>
      <c r="J92" s="213"/>
      <c r="K92" s="213"/>
      <c r="L92" s="213"/>
      <c r="M92" s="212" t="str">
        <f t="shared" si="6"/>
        <v/>
      </c>
      <c r="N92" s="213"/>
      <c r="O92" s="213"/>
      <c r="P92" s="213"/>
      <c r="Q92" s="213"/>
      <c r="R92" s="213"/>
      <c r="S92" s="214"/>
      <c r="T92" s="213"/>
      <c r="U92" s="213"/>
      <c r="V92" s="213"/>
      <c r="W92" s="213"/>
      <c r="X92" s="212" t="str">
        <f t="shared" si="7"/>
        <v/>
      </c>
      <c r="Y92" s="213"/>
      <c r="Z92" s="213"/>
      <c r="AA92" s="212" t="str">
        <f t="shared" si="8"/>
        <v/>
      </c>
      <c r="AB92" s="211"/>
      <c r="AC92" s="211"/>
      <c r="AD92" s="211"/>
      <c r="AE92" s="210"/>
    </row>
    <row r="93" spans="1:31">
      <c r="A93" s="211"/>
      <c r="B93" s="216"/>
      <c r="C93" s="215"/>
      <c r="D93" s="211"/>
      <c r="E93" s="211"/>
      <c r="F93" s="211"/>
      <c r="G93" s="213"/>
      <c r="H93" s="213"/>
      <c r="I93" s="213"/>
      <c r="J93" s="213"/>
      <c r="K93" s="213"/>
      <c r="L93" s="213"/>
      <c r="M93" s="212" t="str">
        <f t="shared" si="6"/>
        <v/>
      </c>
      <c r="N93" s="213"/>
      <c r="O93" s="213"/>
      <c r="P93" s="213"/>
      <c r="Q93" s="213"/>
      <c r="R93" s="213"/>
      <c r="S93" s="214"/>
      <c r="T93" s="213"/>
      <c r="U93" s="213"/>
      <c r="V93" s="213"/>
      <c r="W93" s="213"/>
      <c r="X93" s="212" t="str">
        <f t="shared" si="7"/>
        <v/>
      </c>
      <c r="Y93" s="213"/>
      <c r="Z93" s="213"/>
      <c r="AA93" s="212" t="str">
        <f t="shared" si="8"/>
        <v/>
      </c>
      <c r="AB93" s="211"/>
      <c r="AC93" s="211"/>
      <c r="AD93" s="211"/>
      <c r="AE93" s="210"/>
    </row>
    <row r="94" spans="1:31">
      <c r="A94" s="211"/>
      <c r="B94" s="216"/>
      <c r="C94" s="215"/>
      <c r="D94" s="211"/>
      <c r="E94" s="211"/>
      <c r="F94" s="211"/>
      <c r="G94" s="213"/>
      <c r="H94" s="213"/>
      <c r="I94" s="213"/>
      <c r="J94" s="213"/>
      <c r="K94" s="213"/>
      <c r="L94" s="213"/>
      <c r="M94" s="212" t="str">
        <f t="shared" si="6"/>
        <v/>
      </c>
      <c r="N94" s="213"/>
      <c r="O94" s="213"/>
      <c r="P94" s="213"/>
      <c r="Q94" s="213"/>
      <c r="R94" s="213"/>
      <c r="S94" s="214"/>
      <c r="T94" s="213"/>
      <c r="U94" s="213"/>
      <c r="V94" s="213"/>
      <c r="W94" s="213"/>
      <c r="X94" s="212" t="str">
        <f t="shared" si="7"/>
        <v/>
      </c>
      <c r="Y94" s="213"/>
      <c r="Z94" s="213"/>
      <c r="AA94" s="212" t="str">
        <f t="shared" si="8"/>
        <v/>
      </c>
      <c r="AB94" s="211"/>
      <c r="AC94" s="211"/>
      <c r="AD94" s="211"/>
      <c r="AE94" s="210"/>
    </row>
    <row r="95" spans="1:31">
      <c r="A95" s="211"/>
      <c r="B95" s="216"/>
      <c r="C95" s="215"/>
      <c r="D95" s="211"/>
      <c r="E95" s="211"/>
      <c r="F95" s="211"/>
      <c r="G95" s="213"/>
      <c r="H95" s="213"/>
      <c r="I95" s="213"/>
      <c r="J95" s="213"/>
      <c r="K95" s="213"/>
      <c r="L95" s="213"/>
      <c r="M95" s="212" t="str">
        <f t="shared" si="6"/>
        <v/>
      </c>
      <c r="N95" s="213"/>
      <c r="O95" s="213"/>
      <c r="P95" s="213"/>
      <c r="Q95" s="213"/>
      <c r="R95" s="213"/>
      <c r="S95" s="214"/>
      <c r="T95" s="213"/>
      <c r="U95" s="213"/>
      <c r="V95" s="213"/>
      <c r="W95" s="213"/>
      <c r="X95" s="212" t="str">
        <f t="shared" si="7"/>
        <v/>
      </c>
      <c r="Y95" s="213"/>
      <c r="Z95" s="213"/>
      <c r="AA95" s="212" t="str">
        <f t="shared" si="8"/>
        <v/>
      </c>
      <c r="AB95" s="211"/>
      <c r="AC95" s="211"/>
      <c r="AD95" s="211"/>
      <c r="AE95" s="210"/>
    </row>
    <row r="96" spans="1:31">
      <c r="A96" s="211"/>
      <c r="B96" s="216"/>
      <c r="C96" s="215"/>
      <c r="D96" s="211"/>
      <c r="E96" s="211"/>
      <c r="F96" s="211"/>
      <c r="G96" s="213"/>
      <c r="H96" s="213"/>
      <c r="I96" s="213"/>
      <c r="J96" s="213"/>
      <c r="K96" s="213"/>
      <c r="L96" s="213"/>
      <c r="M96" s="212" t="str">
        <f t="shared" si="6"/>
        <v/>
      </c>
      <c r="N96" s="213"/>
      <c r="O96" s="213"/>
      <c r="P96" s="213"/>
      <c r="Q96" s="213"/>
      <c r="R96" s="213"/>
      <c r="S96" s="214"/>
      <c r="T96" s="213"/>
      <c r="U96" s="213"/>
      <c r="V96" s="213"/>
      <c r="W96" s="213"/>
      <c r="X96" s="212" t="str">
        <f t="shared" si="7"/>
        <v/>
      </c>
      <c r="Y96" s="213"/>
      <c r="Z96" s="213"/>
      <c r="AA96" s="212" t="str">
        <f t="shared" si="8"/>
        <v/>
      </c>
      <c r="AB96" s="211"/>
      <c r="AC96" s="211"/>
      <c r="AD96" s="211"/>
      <c r="AE96" s="210"/>
    </row>
    <row r="97" spans="1:31">
      <c r="A97" s="211"/>
      <c r="B97" s="216"/>
      <c r="C97" s="215"/>
      <c r="D97" s="211"/>
      <c r="E97" s="211"/>
      <c r="F97" s="211"/>
      <c r="G97" s="213"/>
      <c r="H97" s="213"/>
      <c r="I97" s="213"/>
      <c r="J97" s="213"/>
      <c r="K97" s="213"/>
      <c r="L97" s="213"/>
      <c r="M97" s="212" t="str">
        <f t="shared" si="6"/>
        <v/>
      </c>
      <c r="N97" s="213"/>
      <c r="O97" s="213"/>
      <c r="P97" s="213"/>
      <c r="Q97" s="213"/>
      <c r="R97" s="213"/>
      <c r="S97" s="214"/>
      <c r="T97" s="213"/>
      <c r="U97" s="213"/>
      <c r="V97" s="213"/>
      <c r="W97" s="213"/>
      <c r="X97" s="212" t="str">
        <f t="shared" si="7"/>
        <v/>
      </c>
      <c r="Y97" s="213"/>
      <c r="Z97" s="213"/>
      <c r="AA97" s="212" t="str">
        <f t="shared" si="8"/>
        <v/>
      </c>
      <c r="AB97" s="211"/>
      <c r="AC97" s="211"/>
      <c r="AD97" s="211"/>
      <c r="AE97" s="210"/>
    </row>
    <row r="98" spans="1:31">
      <c r="A98" s="211"/>
      <c r="B98" s="216"/>
      <c r="C98" s="215"/>
      <c r="D98" s="211"/>
      <c r="E98" s="211"/>
      <c r="F98" s="211"/>
      <c r="G98" s="213"/>
      <c r="H98" s="213"/>
      <c r="I98" s="213"/>
      <c r="J98" s="213"/>
      <c r="K98" s="213"/>
      <c r="L98" s="213"/>
      <c r="M98" s="212" t="str">
        <f t="shared" si="6"/>
        <v/>
      </c>
      <c r="N98" s="213"/>
      <c r="O98" s="213"/>
      <c r="P98" s="213"/>
      <c r="Q98" s="213"/>
      <c r="R98" s="213"/>
      <c r="S98" s="214"/>
      <c r="T98" s="213"/>
      <c r="U98" s="213"/>
      <c r="V98" s="213"/>
      <c r="W98" s="213"/>
      <c r="X98" s="212" t="str">
        <f t="shared" si="7"/>
        <v/>
      </c>
      <c r="Y98" s="213"/>
      <c r="Z98" s="213"/>
      <c r="AA98" s="212" t="str">
        <f t="shared" si="8"/>
        <v/>
      </c>
      <c r="AB98" s="211"/>
      <c r="AC98" s="211"/>
      <c r="AD98" s="211"/>
      <c r="AE98" s="210"/>
    </row>
    <row r="99" spans="1:31">
      <c r="A99" s="211"/>
      <c r="B99" s="216"/>
      <c r="C99" s="215"/>
      <c r="D99" s="211"/>
      <c r="E99" s="211"/>
      <c r="F99" s="211"/>
      <c r="G99" s="213"/>
      <c r="H99" s="213"/>
      <c r="I99" s="213"/>
      <c r="J99" s="213"/>
      <c r="K99" s="213"/>
      <c r="L99" s="213"/>
      <c r="M99" s="212" t="str">
        <f t="shared" si="6"/>
        <v/>
      </c>
      <c r="N99" s="213"/>
      <c r="O99" s="213"/>
      <c r="P99" s="213"/>
      <c r="Q99" s="213"/>
      <c r="R99" s="213"/>
      <c r="S99" s="214"/>
      <c r="T99" s="213"/>
      <c r="U99" s="213"/>
      <c r="V99" s="213"/>
      <c r="W99" s="213"/>
      <c r="X99" s="212" t="str">
        <f t="shared" si="7"/>
        <v/>
      </c>
      <c r="Y99" s="213"/>
      <c r="Z99" s="213"/>
      <c r="AA99" s="212" t="str">
        <f t="shared" si="8"/>
        <v/>
      </c>
      <c r="AB99" s="211"/>
      <c r="AC99" s="211"/>
      <c r="AD99" s="211"/>
      <c r="AE99" s="210"/>
    </row>
    <row r="100" spans="1:31">
      <c r="A100" s="211"/>
      <c r="B100" s="216"/>
      <c r="C100" s="215"/>
      <c r="D100" s="211"/>
      <c r="E100" s="211"/>
      <c r="F100" s="211"/>
      <c r="G100" s="213"/>
      <c r="H100" s="213"/>
      <c r="I100" s="213"/>
      <c r="J100" s="213"/>
      <c r="K100" s="213"/>
      <c r="L100" s="213"/>
      <c r="M100" s="212" t="str">
        <f t="shared" si="6"/>
        <v/>
      </c>
      <c r="N100" s="213"/>
      <c r="O100" s="213"/>
      <c r="P100" s="213"/>
      <c r="Q100" s="213"/>
      <c r="R100" s="213"/>
      <c r="S100" s="214"/>
      <c r="T100" s="213"/>
      <c r="U100" s="213"/>
      <c r="V100" s="213"/>
      <c r="W100" s="213"/>
      <c r="X100" s="212" t="str">
        <f t="shared" si="7"/>
        <v/>
      </c>
      <c r="Y100" s="213"/>
      <c r="Z100" s="213"/>
      <c r="AA100" s="212" t="str">
        <f t="shared" si="8"/>
        <v/>
      </c>
      <c r="AB100" s="211"/>
      <c r="AC100" s="211"/>
      <c r="AD100" s="211"/>
      <c r="AE100" s="210"/>
    </row>
    <row r="101" spans="1:31">
      <c r="A101" s="211"/>
      <c r="B101" s="216"/>
      <c r="C101" s="215"/>
      <c r="D101" s="211"/>
      <c r="E101" s="211"/>
      <c r="F101" s="211"/>
      <c r="G101" s="213"/>
      <c r="H101" s="213"/>
      <c r="I101" s="213"/>
      <c r="J101" s="213"/>
      <c r="K101" s="213"/>
      <c r="L101" s="213"/>
      <c r="M101" s="212" t="str">
        <f t="shared" si="6"/>
        <v/>
      </c>
      <c r="N101" s="213"/>
      <c r="O101" s="213"/>
      <c r="P101" s="213"/>
      <c r="Q101" s="213"/>
      <c r="R101" s="213"/>
      <c r="S101" s="214"/>
      <c r="T101" s="213"/>
      <c r="U101" s="213"/>
      <c r="V101" s="213"/>
      <c r="W101" s="213"/>
      <c r="X101" s="212" t="str">
        <f t="shared" si="7"/>
        <v/>
      </c>
      <c r="Y101" s="213"/>
      <c r="Z101" s="213"/>
      <c r="AA101" s="212" t="str">
        <f t="shared" si="8"/>
        <v/>
      </c>
      <c r="AB101" s="211"/>
      <c r="AC101" s="211"/>
      <c r="AD101" s="211"/>
      <c r="AE101" s="210"/>
    </row>
    <row r="102" spans="1:31">
      <c r="A102" s="211"/>
      <c r="B102" s="216"/>
      <c r="C102" s="215"/>
      <c r="D102" s="211"/>
      <c r="E102" s="211"/>
      <c r="F102" s="211"/>
      <c r="G102" s="213"/>
      <c r="H102" s="213"/>
      <c r="I102" s="213"/>
      <c r="J102" s="213"/>
      <c r="K102" s="213"/>
      <c r="L102" s="213"/>
      <c r="M102" s="212" t="str">
        <f t="shared" ref="M102:M133" si="9">IF(OR($A102="",$G102=0),"",$K102/$G102)</f>
        <v/>
      </c>
      <c r="N102" s="213"/>
      <c r="O102" s="213"/>
      <c r="P102" s="213"/>
      <c r="Q102" s="213"/>
      <c r="R102" s="213"/>
      <c r="S102" s="214"/>
      <c r="T102" s="213"/>
      <c r="U102" s="213"/>
      <c r="V102" s="213"/>
      <c r="W102" s="213"/>
      <c r="X102" s="212" t="str">
        <f t="shared" ref="X102:X133" si="10">IF(OR($A102="",$T102=0),"",$U102/$T102)</f>
        <v/>
      </c>
      <c r="Y102" s="213"/>
      <c r="Z102" s="213"/>
      <c r="AA102" s="212" t="str">
        <f t="shared" ref="AA102:AA133" si="11">IF(OR($A102="",$Y102=0),"",$Z102/$Y102)</f>
        <v/>
      </c>
      <c r="AB102" s="211"/>
      <c r="AC102" s="211"/>
      <c r="AD102" s="211"/>
      <c r="AE102" s="210"/>
    </row>
    <row r="103" spans="1:31">
      <c r="A103" s="211"/>
      <c r="B103" s="216"/>
      <c r="C103" s="215"/>
      <c r="D103" s="211"/>
      <c r="E103" s="211"/>
      <c r="F103" s="211"/>
      <c r="G103" s="213"/>
      <c r="H103" s="213"/>
      <c r="I103" s="213"/>
      <c r="J103" s="213"/>
      <c r="K103" s="213"/>
      <c r="L103" s="213"/>
      <c r="M103" s="212" t="str">
        <f t="shared" si="9"/>
        <v/>
      </c>
      <c r="N103" s="213"/>
      <c r="O103" s="213"/>
      <c r="P103" s="213"/>
      <c r="Q103" s="213"/>
      <c r="R103" s="213"/>
      <c r="S103" s="214"/>
      <c r="T103" s="213"/>
      <c r="U103" s="213"/>
      <c r="V103" s="213"/>
      <c r="W103" s="213"/>
      <c r="X103" s="212" t="str">
        <f t="shared" si="10"/>
        <v/>
      </c>
      <c r="Y103" s="213"/>
      <c r="Z103" s="213"/>
      <c r="AA103" s="212" t="str">
        <f t="shared" si="11"/>
        <v/>
      </c>
      <c r="AB103" s="211"/>
      <c r="AC103" s="211"/>
      <c r="AD103" s="211"/>
      <c r="AE103" s="210"/>
    </row>
    <row r="104" spans="1:31">
      <c r="A104" s="211"/>
      <c r="B104" s="216"/>
      <c r="C104" s="215"/>
      <c r="D104" s="211"/>
      <c r="E104" s="211"/>
      <c r="F104" s="211"/>
      <c r="G104" s="213"/>
      <c r="H104" s="213"/>
      <c r="I104" s="213"/>
      <c r="J104" s="213"/>
      <c r="K104" s="213"/>
      <c r="L104" s="213"/>
      <c r="M104" s="212" t="str">
        <f t="shared" si="9"/>
        <v/>
      </c>
      <c r="N104" s="213"/>
      <c r="O104" s="213"/>
      <c r="P104" s="213"/>
      <c r="Q104" s="213"/>
      <c r="R104" s="213"/>
      <c r="S104" s="214"/>
      <c r="T104" s="213"/>
      <c r="U104" s="213"/>
      <c r="V104" s="213"/>
      <c r="W104" s="213"/>
      <c r="X104" s="212" t="str">
        <f t="shared" si="10"/>
        <v/>
      </c>
      <c r="Y104" s="213"/>
      <c r="Z104" s="213"/>
      <c r="AA104" s="212" t="str">
        <f t="shared" si="11"/>
        <v/>
      </c>
      <c r="AB104" s="211"/>
      <c r="AC104" s="211"/>
      <c r="AD104" s="211"/>
      <c r="AE104" s="210"/>
    </row>
    <row r="105" spans="1:31">
      <c r="A105" s="211"/>
      <c r="B105" s="216"/>
      <c r="C105" s="215"/>
      <c r="D105" s="211"/>
      <c r="E105" s="211"/>
      <c r="F105" s="211"/>
      <c r="G105" s="213"/>
      <c r="H105" s="213"/>
      <c r="I105" s="213"/>
      <c r="J105" s="213"/>
      <c r="K105" s="213"/>
      <c r="L105" s="213"/>
      <c r="M105" s="212" t="str">
        <f t="shared" si="9"/>
        <v/>
      </c>
      <c r="N105" s="213"/>
      <c r="O105" s="213"/>
      <c r="P105" s="213"/>
      <c r="Q105" s="213"/>
      <c r="R105" s="213"/>
      <c r="S105" s="214"/>
      <c r="T105" s="213"/>
      <c r="U105" s="213"/>
      <c r="V105" s="213"/>
      <c r="W105" s="213"/>
      <c r="X105" s="212" t="str">
        <f t="shared" si="10"/>
        <v/>
      </c>
      <c r="Y105" s="213"/>
      <c r="Z105" s="213"/>
      <c r="AA105" s="212" t="str">
        <f t="shared" si="11"/>
        <v/>
      </c>
      <c r="AB105" s="211"/>
      <c r="AC105" s="211"/>
      <c r="AD105" s="211"/>
      <c r="AE105" s="210"/>
    </row>
    <row r="106" spans="1:31">
      <c r="A106" s="211"/>
      <c r="B106" s="216"/>
      <c r="C106" s="215"/>
      <c r="D106" s="211"/>
      <c r="E106" s="211"/>
      <c r="F106" s="211"/>
      <c r="G106" s="213"/>
      <c r="H106" s="213"/>
      <c r="I106" s="213"/>
      <c r="J106" s="213"/>
      <c r="K106" s="213"/>
      <c r="L106" s="213"/>
      <c r="M106" s="212" t="str">
        <f t="shared" si="9"/>
        <v/>
      </c>
      <c r="N106" s="213"/>
      <c r="O106" s="213"/>
      <c r="P106" s="213"/>
      <c r="Q106" s="213"/>
      <c r="R106" s="213"/>
      <c r="S106" s="214"/>
      <c r="T106" s="213"/>
      <c r="U106" s="213"/>
      <c r="V106" s="213"/>
      <c r="W106" s="213"/>
      <c r="X106" s="212" t="str">
        <f t="shared" si="10"/>
        <v/>
      </c>
      <c r="Y106" s="213"/>
      <c r="Z106" s="213"/>
      <c r="AA106" s="212" t="str">
        <f t="shared" si="11"/>
        <v/>
      </c>
      <c r="AB106" s="211"/>
      <c r="AC106" s="211"/>
      <c r="AD106" s="211"/>
      <c r="AE106" s="210"/>
    </row>
    <row r="107" spans="1:31">
      <c r="A107" s="211"/>
      <c r="B107" s="216"/>
      <c r="C107" s="215"/>
      <c r="D107" s="211"/>
      <c r="E107" s="211"/>
      <c r="F107" s="211"/>
      <c r="G107" s="213"/>
      <c r="H107" s="213"/>
      <c r="I107" s="213"/>
      <c r="J107" s="213"/>
      <c r="K107" s="213"/>
      <c r="L107" s="213"/>
      <c r="M107" s="212" t="str">
        <f t="shared" si="9"/>
        <v/>
      </c>
      <c r="N107" s="213"/>
      <c r="O107" s="213"/>
      <c r="P107" s="213"/>
      <c r="Q107" s="213"/>
      <c r="R107" s="213"/>
      <c r="S107" s="214"/>
      <c r="T107" s="213"/>
      <c r="U107" s="213"/>
      <c r="V107" s="213"/>
      <c r="W107" s="213"/>
      <c r="X107" s="212" t="str">
        <f t="shared" si="10"/>
        <v/>
      </c>
      <c r="Y107" s="213"/>
      <c r="Z107" s="213"/>
      <c r="AA107" s="212" t="str">
        <f t="shared" si="11"/>
        <v/>
      </c>
      <c r="AB107" s="211"/>
      <c r="AC107" s="211"/>
      <c r="AD107" s="211"/>
      <c r="AE107" s="210"/>
    </row>
    <row r="108" spans="1:31">
      <c r="A108" s="211"/>
      <c r="B108" s="216"/>
      <c r="C108" s="215"/>
      <c r="D108" s="211"/>
      <c r="E108" s="211"/>
      <c r="F108" s="211"/>
      <c r="G108" s="213"/>
      <c r="H108" s="213"/>
      <c r="I108" s="213"/>
      <c r="J108" s="213"/>
      <c r="K108" s="213"/>
      <c r="L108" s="213"/>
      <c r="M108" s="212" t="str">
        <f t="shared" si="9"/>
        <v/>
      </c>
      <c r="N108" s="213"/>
      <c r="O108" s="213"/>
      <c r="P108" s="213"/>
      <c r="Q108" s="213"/>
      <c r="R108" s="213"/>
      <c r="S108" s="214"/>
      <c r="T108" s="213"/>
      <c r="U108" s="213"/>
      <c r="V108" s="213"/>
      <c r="W108" s="213"/>
      <c r="X108" s="212" t="str">
        <f t="shared" si="10"/>
        <v/>
      </c>
      <c r="Y108" s="213"/>
      <c r="Z108" s="213"/>
      <c r="AA108" s="212" t="str">
        <f t="shared" si="11"/>
        <v/>
      </c>
      <c r="AB108" s="211"/>
      <c r="AC108" s="211"/>
      <c r="AD108" s="211"/>
      <c r="AE108" s="210"/>
    </row>
    <row r="109" spans="1:31">
      <c r="A109" s="211"/>
      <c r="B109" s="216"/>
      <c r="C109" s="215"/>
      <c r="D109" s="211"/>
      <c r="E109" s="211"/>
      <c r="F109" s="211"/>
      <c r="G109" s="213"/>
      <c r="H109" s="213"/>
      <c r="I109" s="213"/>
      <c r="J109" s="213"/>
      <c r="K109" s="213"/>
      <c r="L109" s="213"/>
      <c r="M109" s="212" t="str">
        <f t="shared" si="9"/>
        <v/>
      </c>
      <c r="N109" s="213"/>
      <c r="O109" s="213"/>
      <c r="P109" s="213"/>
      <c r="Q109" s="213"/>
      <c r="R109" s="213"/>
      <c r="S109" s="214"/>
      <c r="T109" s="213"/>
      <c r="U109" s="213"/>
      <c r="V109" s="213"/>
      <c r="W109" s="213"/>
      <c r="X109" s="212" t="str">
        <f t="shared" si="10"/>
        <v/>
      </c>
      <c r="Y109" s="213"/>
      <c r="Z109" s="213"/>
      <c r="AA109" s="212" t="str">
        <f t="shared" si="11"/>
        <v/>
      </c>
      <c r="AB109" s="211"/>
      <c r="AC109" s="211"/>
      <c r="AD109" s="211"/>
      <c r="AE109" s="210"/>
    </row>
    <row r="110" spans="1:31">
      <c r="A110" s="211"/>
      <c r="B110" s="216"/>
      <c r="C110" s="215"/>
      <c r="D110" s="211"/>
      <c r="E110" s="211"/>
      <c r="F110" s="211"/>
      <c r="G110" s="213"/>
      <c r="H110" s="213"/>
      <c r="I110" s="213"/>
      <c r="J110" s="213"/>
      <c r="K110" s="213"/>
      <c r="L110" s="213"/>
      <c r="M110" s="212" t="str">
        <f t="shared" si="9"/>
        <v/>
      </c>
      <c r="N110" s="213"/>
      <c r="O110" s="213"/>
      <c r="P110" s="213"/>
      <c r="Q110" s="213"/>
      <c r="R110" s="213"/>
      <c r="S110" s="214"/>
      <c r="T110" s="213"/>
      <c r="U110" s="213"/>
      <c r="V110" s="213"/>
      <c r="W110" s="213"/>
      <c r="X110" s="212" t="str">
        <f t="shared" si="10"/>
        <v/>
      </c>
      <c r="Y110" s="213"/>
      <c r="Z110" s="213"/>
      <c r="AA110" s="212" t="str">
        <f t="shared" si="11"/>
        <v/>
      </c>
      <c r="AB110" s="211"/>
      <c r="AC110" s="211"/>
      <c r="AD110" s="211"/>
      <c r="AE110" s="210"/>
    </row>
    <row r="111" spans="1:31">
      <c r="A111" s="211"/>
      <c r="B111" s="216"/>
      <c r="C111" s="215"/>
      <c r="D111" s="211"/>
      <c r="E111" s="211"/>
      <c r="F111" s="211"/>
      <c r="G111" s="213"/>
      <c r="H111" s="213"/>
      <c r="I111" s="213"/>
      <c r="J111" s="213"/>
      <c r="K111" s="213"/>
      <c r="L111" s="213"/>
      <c r="M111" s="212" t="str">
        <f t="shared" si="9"/>
        <v/>
      </c>
      <c r="N111" s="213"/>
      <c r="O111" s="213"/>
      <c r="P111" s="213"/>
      <c r="Q111" s="213"/>
      <c r="R111" s="213"/>
      <c r="S111" s="214"/>
      <c r="T111" s="213"/>
      <c r="U111" s="213"/>
      <c r="V111" s="213"/>
      <c r="W111" s="213"/>
      <c r="X111" s="212" t="str">
        <f t="shared" si="10"/>
        <v/>
      </c>
      <c r="Y111" s="213"/>
      <c r="Z111" s="213"/>
      <c r="AA111" s="212" t="str">
        <f t="shared" si="11"/>
        <v/>
      </c>
      <c r="AB111" s="211"/>
      <c r="AC111" s="211"/>
      <c r="AD111" s="211"/>
      <c r="AE111" s="210"/>
    </row>
    <row r="112" spans="1:31">
      <c r="A112" s="211"/>
      <c r="B112" s="216"/>
      <c r="C112" s="215"/>
      <c r="D112" s="211"/>
      <c r="E112" s="211"/>
      <c r="F112" s="211"/>
      <c r="G112" s="213"/>
      <c r="H112" s="213"/>
      <c r="I112" s="213"/>
      <c r="J112" s="213"/>
      <c r="K112" s="213"/>
      <c r="L112" s="213"/>
      <c r="M112" s="212" t="str">
        <f t="shared" si="9"/>
        <v/>
      </c>
      <c r="N112" s="213"/>
      <c r="O112" s="213"/>
      <c r="P112" s="213"/>
      <c r="Q112" s="213"/>
      <c r="R112" s="213"/>
      <c r="S112" s="214"/>
      <c r="T112" s="213"/>
      <c r="U112" s="213"/>
      <c r="V112" s="213"/>
      <c r="W112" s="213"/>
      <c r="X112" s="212" t="str">
        <f t="shared" si="10"/>
        <v/>
      </c>
      <c r="Y112" s="213"/>
      <c r="Z112" s="213"/>
      <c r="AA112" s="212" t="str">
        <f t="shared" si="11"/>
        <v/>
      </c>
      <c r="AB112" s="211"/>
      <c r="AC112" s="211"/>
      <c r="AD112" s="211"/>
      <c r="AE112" s="210"/>
    </row>
    <row r="113" spans="1:31">
      <c r="A113" s="211"/>
      <c r="B113" s="216"/>
      <c r="C113" s="215"/>
      <c r="D113" s="211"/>
      <c r="E113" s="211"/>
      <c r="F113" s="211"/>
      <c r="G113" s="213"/>
      <c r="H113" s="213"/>
      <c r="I113" s="213"/>
      <c r="J113" s="213"/>
      <c r="K113" s="213"/>
      <c r="L113" s="213"/>
      <c r="M113" s="212" t="str">
        <f t="shared" si="9"/>
        <v/>
      </c>
      <c r="N113" s="213"/>
      <c r="O113" s="213"/>
      <c r="P113" s="213"/>
      <c r="Q113" s="213"/>
      <c r="R113" s="213"/>
      <c r="S113" s="214"/>
      <c r="T113" s="213"/>
      <c r="U113" s="213"/>
      <c r="V113" s="213"/>
      <c r="W113" s="213"/>
      <c r="X113" s="212" t="str">
        <f t="shared" si="10"/>
        <v/>
      </c>
      <c r="Y113" s="213"/>
      <c r="Z113" s="213"/>
      <c r="AA113" s="212" t="str">
        <f t="shared" si="11"/>
        <v/>
      </c>
      <c r="AB113" s="211"/>
      <c r="AC113" s="211"/>
      <c r="AD113" s="211"/>
      <c r="AE113" s="210"/>
    </row>
    <row r="114" spans="1:31">
      <c r="A114" s="211"/>
      <c r="B114" s="216"/>
      <c r="C114" s="215"/>
      <c r="D114" s="211"/>
      <c r="E114" s="211"/>
      <c r="F114" s="211"/>
      <c r="G114" s="213"/>
      <c r="H114" s="213"/>
      <c r="I114" s="213"/>
      <c r="J114" s="213"/>
      <c r="K114" s="213"/>
      <c r="L114" s="213"/>
      <c r="M114" s="212" t="str">
        <f t="shared" si="9"/>
        <v/>
      </c>
      <c r="N114" s="213"/>
      <c r="O114" s="213"/>
      <c r="P114" s="213"/>
      <c r="Q114" s="213"/>
      <c r="R114" s="213"/>
      <c r="S114" s="214"/>
      <c r="T114" s="213"/>
      <c r="U114" s="213"/>
      <c r="V114" s="213"/>
      <c r="W114" s="213"/>
      <c r="X114" s="212" t="str">
        <f t="shared" si="10"/>
        <v/>
      </c>
      <c r="Y114" s="213"/>
      <c r="Z114" s="213"/>
      <c r="AA114" s="212" t="str">
        <f t="shared" si="11"/>
        <v/>
      </c>
      <c r="AB114" s="211"/>
      <c r="AC114" s="211"/>
      <c r="AD114" s="211"/>
      <c r="AE114" s="210"/>
    </row>
    <row r="115" spans="1:31">
      <c r="A115" s="211"/>
      <c r="B115" s="216"/>
      <c r="C115" s="215"/>
      <c r="D115" s="211"/>
      <c r="E115" s="211"/>
      <c r="F115" s="211"/>
      <c r="G115" s="213"/>
      <c r="H115" s="213"/>
      <c r="I115" s="213"/>
      <c r="J115" s="213"/>
      <c r="K115" s="213"/>
      <c r="L115" s="213"/>
      <c r="M115" s="212" t="str">
        <f t="shared" si="9"/>
        <v/>
      </c>
      <c r="N115" s="213"/>
      <c r="O115" s="213"/>
      <c r="P115" s="213"/>
      <c r="Q115" s="213"/>
      <c r="R115" s="213"/>
      <c r="S115" s="214"/>
      <c r="T115" s="213"/>
      <c r="U115" s="213"/>
      <c r="V115" s="213"/>
      <c r="W115" s="213"/>
      <c r="X115" s="212" t="str">
        <f t="shared" si="10"/>
        <v/>
      </c>
      <c r="Y115" s="213"/>
      <c r="Z115" s="213"/>
      <c r="AA115" s="212" t="str">
        <f t="shared" si="11"/>
        <v/>
      </c>
      <c r="AB115" s="211"/>
      <c r="AC115" s="211"/>
      <c r="AD115" s="211"/>
      <c r="AE115" s="210"/>
    </row>
    <row r="116" spans="1:31">
      <c r="A116" s="211"/>
      <c r="B116" s="216"/>
      <c r="C116" s="215"/>
      <c r="D116" s="211"/>
      <c r="E116" s="211"/>
      <c r="F116" s="211"/>
      <c r="G116" s="213"/>
      <c r="H116" s="213"/>
      <c r="I116" s="213"/>
      <c r="J116" s="213"/>
      <c r="K116" s="213"/>
      <c r="L116" s="213"/>
      <c r="M116" s="212" t="str">
        <f t="shared" si="9"/>
        <v/>
      </c>
      <c r="N116" s="213"/>
      <c r="O116" s="213"/>
      <c r="P116" s="213"/>
      <c r="Q116" s="213"/>
      <c r="R116" s="213"/>
      <c r="S116" s="214"/>
      <c r="T116" s="213"/>
      <c r="U116" s="213"/>
      <c r="V116" s="213"/>
      <c r="W116" s="213"/>
      <c r="X116" s="212" t="str">
        <f t="shared" si="10"/>
        <v/>
      </c>
      <c r="Y116" s="213"/>
      <c r="Z116" s="213"/>
      <c r="AA116" s="212" t="str">
        <f t="shared" si="11"/>
        <v/>
      </c>
      <c r="AB116" s="211"/>
      <c r="AC116" s="211"/>
      <c r="AD116" s="211"/>
      <c r="AE116" s="210"/>
    </row>
    <row r="117" spans="1:31">
      <c r="A117" s="211"/>
      <c r="B117" s="216"/>
      <c r="C117" s="215"/>
      <c r="D117" s="211"/>
      <c r="E117" s="211"/>
      <c r="F117" s="211"/>
      <c r="G117" s="213"/>
      <c r="H117" s="213"/>
      <c r="I117" s="213"/>
      <c r="J117" s="213"/>
      <c r="K117" s="213"/>
      <c r="L117" s="213"/>
      <c r="M117" s="212" t="str">
        <f t="shared" si="9"/>
        <v/>
      </c>
      <c r="N117" s="213"/>
      <c r="O117" s="213"/>
      <c r="P117" s="213"/>
      <c r="Q117" s="213"/>
      <c r="R117" s="213"/>
      <c r="S117" s="214"/>
      <c r="T117" s="213"/>
      <c r="U117" s="213"/>
      <c r="V117" s="213"/>
      <c r="W117" s="213"/>
      <c r="X117" s="212" t="str">
        <f t="shared" si="10"/>
        <v/>
      </c>
      <c r="Y117" s="213"/>
      <c r="Z117" s="213"/>
      <c r="AA117" s="212" t="str">
        <f t="shared" si="11"/>
        <v/>
      </c>
      <c r="AB117" s="211"/>
      <c r="AC117" s="211"/>
      <c r="AD117" s="211"/>
      <c r="AE117" s="210"/>
    </row>
    <row r="118" spans="1:31">
      <c r="A118" s="211"/>
      <c r="B118" s="216"/>
      <c r="C118" s="215"/>
      <c r="D118" s="211"/>
      <c r="E118" s="211"/>
      <c r="F118" s="211"/>
      <c r="G118" s="213"/>
      <c r="H118" s="213"/>
      <c r="I118" s="213"/>
      <c r="J118" s="213"/>
      <c r="K118" s="213"/>
      <c r="L118" s="213"/>
      <c r="M118" s="212" t="str">
        <f t="shared" si="9"/>
        <v/>
      </c>
      <c r="N118" s="213"/>
      <c r="O118" s="213"/>
      <c r="P118" s="213"/>
      <c r="Q118" s="213"/>
      <c r="R118" s="213"/>
      <c r="S118" s="214"/>
      <c r="T118" s="213"/>
      <c r="U118" s="213"/>
      <c r="V118" s="213"/>
      <c r="W118" s="213"/>
      <c r="X118" s="212" t="str">
        <f t="shared" si="10"/>
        <v/>
      </c>
      <c r="Y118" s="213"/>
      <c r="Z118" s="213"/>
      <c r="AA118" s="212" t="str">
        <f t="shared" si="11"/>
        <v/>
      </c>
      <c r="AB118" s="211"/>
      <c r="AC118" s="211"/>
      <c r="AD118" s="211"/>
      <c r="AE118" s="210"/>
    </row>
    <row r="119" spans="1:31">
      <c r="A119" s="211"/>
      <c r="B119" s="216"/>
      <c r="C119" s="215"/>
      <c r="D119" s="211"/>
      <c r="E119" s="211"/>
      <c r="F119" s="211"/>
      <c r="G119" s="213"/>
      <c r="H119" s="213"/>
      <c r="I119" s="213"/>
      <c r="J119" s="213"/>
      <c r="K119" s="213"/>
      <c r="L119" s="213"/>
      <c r="M119" s="212" t="str">
        <f t="shared" si="9"/>
        <v/>
      </c>
      <c r="N119" s="213"/>
      <c r="O119" s="213"/>
      <c r="P119" s="213"/>
      <c r="Q119" s="213"/>
      <c r="R119" s="213"/>
      <c r="S119" s="214"/>
      <c r="T119" s="213"/>
      <c r="U119" s="213"/>
      <c r="V119" s="213"/>
      <c r="W119" s="213"/>
      <c r="X119" s="212" t="str">
        <f t="shared" si="10"/>
        <v/>
      </c>
      <c r="Y119" s="213"/>
      <c r="Z119" s="213"/>
      <c r="AA119" s="212" t="str">
        <f t="shared" si="11"/>
        <v/>
      </c>
      <c r="AB119" s="211"/>
      <c r="AC119" s="211"/>
      <c r="AD119" s="211"/>
      <c r="AE119" s="210"/>
    </row>
    <row r="120" spans="1:31">
      <c r="A120" s="211"/>
      <c r="B120" s="216"/>
      <c r="C120" s="215"/>
      <c r="D120" s="211"/>
      <c r="E120" s="211"/>
      <c r="F120" s="211"/>
      <c r="G120" s="213"/>
      <c r="H120" s="213"/>
      <c r="I120" s="213"/>
      <c r="J120" s="213"/>
      <c r="K120" s="213"/>
      <c r="L120" s="213"/>
      <c r="M120" s="212" t="str">
        <f t="shared" si="9"/>
        <v/>
      </c>
      <c r="N120" s="213"/>
      <c r="O120" s="213"/>
      <c r="P120" s="213"/>
      <c r="Q120" s="213"/>
      <c r="R120" s="213"/>
      <c r="S120" s="214"/>
      <c r="T120" s="213"/>
      <c r="U120" s="213"/>
      <c r="V120" s="213"/>
      <c r="W120" s="213"/>
      <c r="X120" s="212" t="str">
        <f t="shared" si="10"/>
        <v/>
      </c>
      <c r="Y120" s="213"/>
      <c r="Z120" s="213"/>
      <c r="AA120" s="212" t="str">
        <f t="shared" si="11"/>
        <v/>
      </c>
      <c r="AB120" s="211"/>
      <c r="AC120" s="211"/>
      <c r="AD120" s="211"/>
      <c r="AE120" s="210"/>
    </row>
    <row r="121" spans="1:31">
      <c r="A121" s="211"/>
      <c r="B121" s="216"/>
      <c r="C121" s="215"/>
      <c r="D121" s="211"/>
      <c r="E121" s="211"/>
      <c r="F121" s="211"/>
      <c r="G121" s="213"/>
      <c r="H121" s="213"/>
      <c r="I121" s="213"/>
      <c r="J121" s="213"/>
      <c r="K121" s="213"/>
      <c r="L121" s="213"/>
      <c r="M121" s="212" t="str">
        <f t="shared" si="9"/>
        <v/>
      </c>
      <c r="N121" s="213"/>
      <c r="O121" s="213"/>
      <c r="P121" s="213"/>
      <c r="Q121" s="213"/>
      <c r="R121" s="213"/>
      <c r="S121" s="214"/>
      <c r="T121" s="213"/>
      <c r="U121" s="213"/>
      <c r="V121" s="213"/>
      <c r="W121" s="213"/>
      <c r="X121" s="212" t="str">
        <f t="shared" si="10"/>
        <v/>
      </c>
      <c r="Y121" s="213"/>
      <c r="Z121" s="213"/>
      <c r="AA121" s="212" t="str">
        <f t="shared" si="11"/>
        <v/>
      </c>
      <c r="AB121" s="211"/>
      <c r="AC121" s="211"/>
      <c r="AD121" s="211"/>
      <c r="AE121" s="210"/>
    </row>
    <row r="122" spans="1:31">
      <c r="A122" s="211"/>
      <c r="B122" s="216"/>
      <c r="C122" s="215"/>
      <c r="D122" s="211"/>
      <c r="E122" s="211"/>
      <c r="F122" s="211"/>
      <c r="G122" s="213"/>
      <c r="H122" s="213"/>
      <c r="I122" s="213"/>
      <c r="J122" s="213"/>
      <c r="K122" s="213"/>
      <c r="L122" s="213"/>
      <c r="M122" s="212" t="str">
        <f t="shared" si="9"/>
        <v/>
      </c>
      <c r="N122" s="213"/>
      <c r="O122" s="213"/>
      <c r="P122" s="213"/>
      <c r="Q122" s="213"/>
      <c r="R122" s="213"/>
      <c r="S122" s="214"/>
      <c r="T122" s="213"/>
      <c r="U122" s="213"/>
      <c r="V122" s="213"/>
      <c r="W122" s="213"/>
      <c r="X122" s="212" t="str">
        <f t="shared" si="10"/>
        <v/>
      </c>
      <c r="Y122" s="213"/>
      <c r="Z122" s="213"/>
      <c r="AA122" s="212" t="str">
        <f t="shared" si="11"/>
        <v/>
      </c>
      <c r="AB122" s="211"/>
      <c r="AC122" s="211"/>
      <c r="AD122" s="211"/>
      <c r="AE122" s="210"/>
    </row>
    <row r="123" spans="1:31">
      <c r="A123" s="211"/>
      <c r="B123" s="216"/>
      <c r="C123" s="215"/>
      <c r="D123" s="211"/>
      <c r="E123" s="211"/>
      <c r="F123" s="211"/>
      <c r="G123" s="213"/>
      <c r="H123" s="213"/>
      <c r="I123" s="213"/>
      <c r="J123" s="213"/>
      <c r="K123" s="213"/>
      <c r="L123" s="213"/>
      <c r="M123" s="212" t="str">
        <f t="shared" si="9"/>
        <v/>
      </c>
      <c r="N123" s="213"/>
      <c r="O123" s="213"/>
      <c r="P123" s="213"/>
      <c r="Q123" s="213"/>
      <c r="R123" s="213"/>
      <c r="S123" s="214"/>
      <c r="T123" s="213"/>
      <c r="U123" s="213"/>
      <c r="V123" s="213"/>
      <c r="W123" s="213"/>
      <c r="X123" s="212" t="str">
        <f t="shared" si="10"/>
        <v/>
      </c>
      <c r="Y123" s="213"/>
      <c r="Z123" s="213"/>
      <c r="AA123" s="212" t="str">
        <f t="shared" si="11"/>
        <v/>
      </c>
      <c r="AB123" s="211"/>
      <c r="AC123" s="211"/>
      <c r="AD123" s="211"/>
      <c r="AE123" s="210"/>
    </row>
    <row r="124" spans="1:31">
      <c r="A124" s="211"/>
      <c r="B124" s="216"/>
      <c r="C124" s="215"/>
      <c r="D124" s="211"/>
      <c r="E124" s="211"/>
      <c r="F124" s="211"/>
      <c r="G124" s="213"/>
      <c r="H124" s="213"/>
      <c r="I124" s="213"/>
      <c r="J124" s="213"/>
      <c r="K124" s="213"/>
      <c r="L124" s="213"/>
      <c r="M124" s="212" t="str">
        <f t="shared" si="9"/>
        <v/>
      </c>
      <c r="N124" s="213"/>
      <c r="O124" s="213"/>
      <c r="P124" s="213"/>
      <c r="Q124" s="213"/>
      <c r="R124" s="213"/>
      <c r="S124" s="214"/>
      <c r="T124" s="213"/>
      <c r="U124" s="213"/>
      <c r="V124" s="213"/>
      <c r="W124" s="213"/>
      <c r="X124" s="212" t="str">
        <f t="shared" si="10"/>
        <v/>
      </c>
      <c r="Y124" s="213"/>
      <c r="Z124" s="213"/>
      <c r="AA124" s="212" t="str">
        <f t="shared" si="11"/>
        <v/>
      </c>
      <c r="AB124" s="211"/>
      <c r="AC124" s="211"/>
      <c r="AD124" s="211"/>
      <c r="AE124" s="210"/>
    </row>
    <row r="125" spans="1:31">
      <c r="A125" s="211"/>
      <c r="B125" s="216"/>
      <c r="C125" s="215"/>
      <c r="D125" s="211"/>
      <c r="E125" s="211"/>
      <c r="F125" s="211"/>
      <c r="G125" s="213"/>
      <c r="H125" s="213"/>
      <c r="I125" s="213"/>
      <c r="J125" s="213"/>
      <c r="K125" s="213"/>
      <c r="L125" s="213"/>
      <c r="M125" s="212" t="str">
        <f t="shared" si="9"/>
        <v/>
      </c>
      <c r="N125" s="213"/>
      <c r="O125" s="213"/>
      <c r="P125" s="213"/>
      <c r="Q125" s="213"/>
      <c r="R125" s="213"/>
      <c r="S125" s="214"/>
      <c r="T125" s="213"/>
      <c r="U125" s="213"/>
      <c r="V125" s="213"/>
      <c r="W125" s="213"/>
      <c r="X125" s="212" t="str">
        <f t="shared" si="10"/>
        <v/>
      </c>
      <c r="Y125" s="213"/>
      <c r="Z125" s="213"/>
      <c r="AA125" s="212" t="str">
        <f t="shared" si="11"/>
        <v/>
      </c>
      <c r="AB125" s="211"/>
      <c r="AC125" s="211"/>
      <c r="AD125" s="211"/>
      <c r="AE125" s="210"/>
    </row>
    <row r="126" spans="1:31">
      <c r="A126" s="211"/>
      <c r="B126" s="216"/>
      <c r="C126" s="215"/>
      <c r="D126" s="211"/>
      <c r="E126" s="211"/>
      <c r="F126" s="211"/>
      <c r="G126" s="213"/>
      <c r="H126" s="213"/>
      <c r="I126" s="213"/>
      <c r="J126" s="213"/>
      <c r="K126" s="213"/>
      <c r="L126" s="213"/>
      <c r="M126" s="212" t="str">
        <f t="shared" si="9"/>
        <v/>
      </c>
      <c r="N126" s="213"/>
      <c r="O126" s="213"/>
      <c r="P126" s="213"/>
      <c r="Q126" s="213"/>
      <c r="R126" s="213"/>
      <c r="S126" s="214"/>
      <c r="T126" s="213"/>
      <c r="U126" s="213"/>
      <c r="V126" s="213"/>
      <c r="W126" s="213"/>
      <c r="X126" s="212" t="str">
        <f t="shared" si="10"/>
        <v/>
      </c>
      <c r="Y126" s="213"/>
      <c r="Z126" s="213"/>
      <c r="AA126" s="212" t="str">
        <f t="shared" si="11"/>
        <v/>
      </c>
      <c r="AB126" s="211"/>
      <c r="AC126" s="211"/>
      <c r="AD126" s="211"/>
      <c r="AE126" s="210"/>
    </row>
    <row r="127" spans="1:31">
      <c r="A127" s="211"/>
      <c r="B127" s="216"/>
      <c r="C127" s="215"/>
      <c r="D127" s="211"/>
      <c r="E127" s="211"/>
      <c r="F127" s="211"/>
      <c r="G127" s="213"/>
      <c r="H127" s="213"/>
      <c r="I127" s="213"/>
      <c r="J127" s="213"/>
      <c r="K127" s="213"/>
      <c r="L127" s="213"/>
      <c r="M127" s="212" t="str">
        <f t="shared" si="9"/>
        <v/>
      </c>
      <c r="N127" s="213"/>
      <c r="O127" s="213"/>
      <c r="P127" s="213"/>
      <c r="Q127" s="213"/>
      <c r="R127" s="213"/>
      <c r="S127" s="214"/>
      <c r="T127" s="213"/>
      <c r="U127" s="213"/>
      <c r="V127" s="213"/>
      <c r="W127" s="213"/>
      <c r="X127" s="212" t="str">
        <f t="shared" si="10"/>
        <v/>
      </c>
      <c r="Y127" s="213"/>
      <c r="Z127" s="213"/>
      <c r="AA127" s="212" t="str">
        <f t="shared" si="11"/>
        <v/>
      </c>
      <c r="AB127" s="211"/>
      <c r="AC127" s="211"/>
      <c r="AD127" s="211"/>
      <c r="AE127" s="210"/>
    </row>
    <row r="128" spans="1:31">
      <c r="A128" s="211"/>
      <c r="B128" s="216"/>
      <c r="C128" s="215"/>
      <c r="D128" s="211"/>
      <c r="E128" s="211"/>
      <c r="F128" s="211"/>
      <c r="G128" s="213"/>
      <c r="H128" s="213"/>
      <c r="I128" s="213"/>
      <c r="J128" s="213"/>
      <c r="K128" s="213"/>
      <c r="L128" s="213"/>
      <c r="M128" s="212" t="str">
        <f t="shared" si="9"/>
        <v/>
      </c>
      <c r="N128" s="213"/>
      <c r="O128" s="213"/>
      <c r="P128" s="213"/>
      <c r="Q128" s="213"/>
      <c r="R128" s="213"/>
      <c r="S128" s="214"/>
      <c r="T128" s="213"/>
      <c r="U128" s="213"/>
      <c r="V128" s="213"/>
      <c r="W128" s="213"/>
      <c r="X128" s="212" t="str">
        <f t="shared" si="10"/>
        <v/>
      </c>
      <c r="Y128" s="213"/>
      <c r="Z128" s="213"/>
      <c r="AA128" s="212" t="str">
        <f t="shared" si="11"/>
        <v/>
      </c>
      <c r="AB128" s="211"/>
      <c r="AC128" s="211"/>
      <c r="AD128" s="211"/>
      <c r="AE128" s="210"/>
    </row>
    <row r="129" spans="1:31">
      <c r="A129" s="211"/>
      <c r="B129" s="216"/>
      <c r="C129" s="215"/>
      <c r="D129" s="211"/>
      <c r="E129" s="211"/>
      <c r="F129" s="211"/>
      <c r="G129" s="213"/>
      <c r="H129" s="213"/>
      <c r="I129" s="213"/>
      <c r="J129" s="213"/>
      <c r="K129" s="213"/>
      <c r="L129" s="213"/>
      <c r="M129" s="212" t="str">
        <f t="shared" si="9"/>
        <v/>
      </c>
      <c r="N129" s="213"/>
      <c r="O129" s="213"/>
      <c r="P129" s="213"/>
      <c r="Q129" s="213"/>
      <c r="R129" s="213"/>
      <c r="S129" s="214"/>
      <c r="T129" s="213"/>
      <c r="U129" s="213"/>
      <c r="V129" s="213"/>
      <c r="W129" s="213"/>
      <c r="X129" s="212" t="str">
        <f t="shared" si="10"/>
        <v/>
      </c>
      <c r="Y129" s="213"/>
      <c r="Z129" s="213"/>
      <c r="AA129" s="212" t="str">
        <f t="shared" si="11"/>
        <v/>
      </c>
      <c r="AB129" s="211"/>
      <c r="AC129" s="211"/>
      <c r="AD129" s="211"/>
      <c r="AE129" s="210"/>
    </row>
    <row r="130" spans="1:31">
      <c r="A130" s="211"/>
      <c r="B130" s="216"/>
      <c r="C130" s="215"/>
      <c r="D130" s="211"/>
      <c r="E130" s="211"/>
      <c r="F130" s="211"/>
      <c r="G130" s="213"/>
      <c r="H130" s="213"/>
      <c r="I130" s="213"/>
      <c r="J130" s="213"/>
      <c r="K130" s="213"/>
      <c r="L130" s="213"/>
      <c r="M130" s="212" t="str">
        <f t="shared" si="9"/>
        <v/>
      </c>
      <c r="N130" s="213"/>
      <c r="O130" s="213"/>
      <c r="P130" s="213"/>
      <c r="Q130" s="213"/>
      <c r="R130" s="213"/>
      <c r="S130" s="214"/>
      <c r="T130" s="213"/>
      <c r="U130" s="213"/>
      <c r="V130" s="213"/>
      <c r="W130" s="213"/>
      <c r="X130" s="212" t="str">
        <f t="shared" si="10"/>
        <v/>
      </c>
      <c r="Y130" s="213"/>
      <c r="Z130" s="213"/>
      <c r="AA130" s="212" t="str">
        <f t="shared" si="11"/>
        <v/>
      </c>
      <c r="AB130" s="211"/>
      <c r="AC130" s="211"/>
      <c r="AD130" s="211"/>
      <c r="AE130" s="210"/>
    </row>
    <row r="131" spans="1:31">
      <c r="A131" s="211"/>
      <c r="B131" s="216"/>
      <c r="C131" s="215"/>
      <c r="D131" s="211"/>
      <c r="E131" s="211"/>
      <c r="F131" s="211"/>
      <c r="G131" s="213"/>
      <c r="H131" s="213"/>
      <c r="I131" s="213"/>
      <c r="J131" s="213"/>
      <c r="K131" s="213"/>
      <c r="L131" s="213"/>
      <c r="M131" s="212" t="str">
        <f t="shared" si="9"/>
        <v/>
      </c>
      <c r="N131" s="213"/>
      <c r="O131" s="213"/>
      <c r="P131" s="213"/>
      <c r="Q131" s="213"/>
      <c r="R131" s="213"/>
      <c r="S131" s="214"/>
      <c r="T131" s="213"/>
      <c r="U131" s="213"/>
      <c r="V131" s="213"/>
      <c r="W131" s="213"/>
      <c r="X131" s="212" t="str">
        <f t="shared" si="10"/>
        <v/>
      </c>
      <c r="Y131" s="213"/>
      <c r="Z131" s="213"/>
      <c r="AA131" s="212" t="str">
        <f t="shared" si="11"/>
        <v/>
      </c>
      <c r="AB131" s="211"/>
      <c r="AC131" s="211"/>
      <c r="AD131" s="211"/>
      <c r="AE131" s="210"/>
    </row>
    <row r="132" spans="1:31">
      <c r="A132" s="211"/>
      <c r="B132" s="216"/>
      <c r="C132" s="215"/>
      <c r="D132" s="211"/>
      <c r="E132" s="211"/>
      <c r="F132" s="211"/>
      <c r="G132" s="213"/>
      <c r="H132" s="213"/>
      <c r="I132" s="213"/>
      <c r="J132" s="213"/>
      <c r="K132" s="213"/>
      <c r="L132" s="213"/>
      <c r="M132" s="212" t="str">
        <f t="shared" si="9"/>
        <v/>
      </c>
      <c r="N132" s="213"/>
      <c r="O132" s="213"/>
      <c r="P132" s="213"/>
      <c r="Q132" s="213"/>
      <c r="R132" s="213"/>
      <c r="S132" s="214"/>
      <c r="T132" s="213"/>
      <c r="U132" s="213"/>
      <c r="V132" s="213"/>
      <c r="W132" s="213"/>
      <c r="X132" s="212" t="str">
        <f t="shared" si="10"/>
        <v/>
      </c>
      <c r="Y132" s="213"/>
      <c r="Z132" s="213"/>
      <c r="AA132" s="212" t="str">
        <f t="shared" si="11"/>
        <v/>
      </c>
      <c r="AB132" s="211"/>
      <c r="AC132" s="211"/>
      <c r="AD132" s="211"/>
      <c r="AE132" s="210"/>
    </row>
    <row r="133" spans="1:31">
      <c r="A133" s="211"/>
      <c r="B133" s="216"/>
      <c r="C133" s="215"/>
      <c r="D133" s="211"/>
      <c r="E133" s="211"/>
      <c r="F133" s="211"/>
      <c r="G133" s="213"/>
      <c r="H133" s="213"/>
      <c r="I133" s="213"/>
      <c r="J133" s="213"/>
      <c r="K133" s="213"/>
      <c r="L133" s="213"/>
      <c r="M133" s="212" t="str">
        <f t="shared" si="9"/>
        <v/>
      </c>
      <c r="N133" s="213"/>
      <c r="O133" s="213"/>
      <c r="P133" s="213"/>
      <c r="Q133" s="213"/>
      <c r="R133" s="213"/>
      <c r="S133" s="214"/>
      <c r="T133" s="213"/>
      <c r="U133" s="213"/>
      <c r="V133" s="213"/>
      <c r="W133" s="213"/>
      <c r="X133" s="212" t="str">
        <f t="shared" si="10"/>
        <v/>
      </c>
      <c r="Y133" s="213"/>
      <c r="Z133" s="213"/>
      <c r="AA133" s="212" t="str">
        <f t="shared" si="11"/>
        <v/>
      </c>
      <c r="AB133" s="211"/>
      <c r="AC133" s="211"/>
      <c r="AD133" s="211"/>
      <c r="AE133" s="210"/>
    </row>
    <row r="134" spans="1:31">
      <c r="A134" s="211"/>
      <c r="B134" s="216"/>
      <c r="C134" s="215"/>
      <c r="D134" s="211"/>
      <c r="E134" s="211"/>
      <c r="F134" s="211"/>
      <c r="G134" s="213"/>
      <c r="H134" s="213"/>
      <c r="I134" s="213"/>
      <c r="J134" s="213"/>
      <c r="K134" s="213"/>
      <c r="L134" s="213"/>
      <c r="M134" s="212" t="str">
        <f t="shared" ref="M134:M165" si="12">IF(OR($A134="",$G134=0),"",$K134/$G134)</f>
        <v/>
      </c>
      <c r="N134" s="213"/>
      <c r="O134" s="213"/>
      <c r="P134" s="213"/>
      <c r="Q134" s="213"/>
      <c r="R134" s="213"/>
      <c r="S134" s="214"/>
      <c r="T134" s="213"/>
      <c r="U134" s="213"/>
      <c r="V134" s="213"/>
      <c r="W134" s="213"/>
      <c r="X134" s="212" t="str">
        <f t="shared" ref="X134:X165" si="13">IF(OR($A134="",$T134=0),"",$U134/$T134)</f>
        <v/>
      </c>
      <c r="Y134" s="213"/>
      <c r="Z134" s="213"/>
      <c r="AA134" s="212" t="str">
        <f t="shared" ref="AA134:AA165" si="14">IF(OR($A134="",$Y134=0),"",$Z134/$Y134)</f>
        <v/>
      </c>
      <c r="AB134" s="211"/>
      <c r="AC134" s="211"/>
      <c r="AD134" s="211"/>
      <c r="AE134" s="210"/>
    </row>
    <row r="135" spans="1:31">
      <c r="A135" s="211"/>
      <c r="B135" s="216"/>
      <c r="C135" s="215"/>
      <c r="D135" s="211"/>
      <c r="E135" s="211"/>
      <c r="F135" s="211"/>
      <c r="G135" s="213"/>
      <c r="H135" s="213"/>
      <c r="I135" s="213"/>
      <c r="J135" s="213"/>
      <c r="K135" s="213"/>
      <c r="L135" s="213"/>
      <c r="M135" s="212" t="str">
        <f t="shared" si="12"/>
        <v/>
      </c>
      <c r="N135" s="213"/>
      <c r="O135" s="213"/>
      <c r="P135" s="213"/>
      <c r="Q135" s="213"/>
      <c r="R135" s="213"/>
      <c r="S135" s="214"/>
      <c r="T135" s="213"/>
      <c r="U135" s="213"/>
      <c r="V135" s="213"/>
      <c r="W135" s="213"/>
      <c r="X135" s="212" t="str">
        <f t="shared" si="13"/>
        <v/>
      </c>
      <c r="Y135" s="213"/>
      <c r="Z135" s="213"/>
      <c r="AA135" s="212" t="str">
        <f t="shared" si="14"/>
        <v/>
      </c>
      <c r="AB135" s="211"/>
      <c r="AC135" s="211"/>
      <c r="AD135" s="211"/>
      <c r="AE135" s="210"/>
    </row>
    <row r="136" spans="1:31">
      <c r="A136" s="211"/>
      <c r="B136" s="216"/>
      <c r="C136" s="215"/>
      <c r="D136" s="211"/>
      <c r="E136" s="211"/>
      <c r="F136" s="211"/>
      <c r="G136" s="213"/>
      <c r="H136" s="213"/>
      <c r="I136" s="213"/>
      <c r="J136" s="213"/>
      <c r="K136" s="213"/>
      <c r="L136" s="213"/>
      <c r="M136" s="212" t="str">
        <f t="shared" si="12"/>
        <v/>
      </c>
      <c r="N136" s="213"/>
      <c r="O136" s="213"/>
      <c r="P136" s="213"/>
      <c r="Q136" s="213"/>
      <c r="R136" s="213"/>
      <c r="S136" s="214"/>
      <c r="T136" s="213"/>
      <c r="U136" s="213"/>
      <c r="V136" s="213"/>
      <c r="W136" s="213"/>
      <c r="X136" s="212" t="str">
        <f t="shared" si="13"/>
        <v/>
      </c>
      <c r="Y136" s="213"/>
      <c r="Z136" s="213"/>
      <c r="AA136" s="212" t="str">
        <f t="shared" si="14"/>
        <v/>
      </c>
      <c r="AB136" s="211"/>
      <c r="AC136" s="211"/>
      <c r="AD136" s="211"/>
      <c r="AE136" s="210"/>
    </row>
    <row r="137" spans="1:31">
      <c r="A137" s="211"/>
      <c r="B137" s="216"/>
      <c r="C137" s="215"/>
      <c r="D137" s="211"/>
      <c r="E137" s="211"/>
      <c r="F137" s="211"/>
      <c r="G137" s="213"/>
      <c r="H137" s="213"/>
      <c r="I137" s="213"/>
      <c r="J137" s="213"/>
      <c r="K137" s="213"/>
      <c r="L137" s="213"/>
      <c r="M137" s="212" t="str">
        <f t="shared" si="12"/>
        <v/>
      </c>
      <c r="N137" s="213"/>
      <c r="O137" s="213"/>
      <c r="P137" s="213"/>
      <c r="Q137" s="213"/>
      <c r="R137" s="213"/>
      <c r="S137" s="214"/>
      <c r="T137" s="213"/>
      <c r="U137" s="213"/>
      <c r="V137" s="213"/>
      <c r="W137" s="213"/>
      <c r="X137" s="212" t="str">
        <f t="shared" si="13"/>
        <v/>
      </c>
      <c r="Y137" s="213"/>
      <c r="Z137" s="213"/>
      <c r="AA137" s="212" t="str">
        <f t="shared" si="14"/>
        <v/>
      </c>
      <c r="AB137" s="211"/>
      <c r="AC137" s="211"/>
      <c r="AD137" s="211"/>
      <c r="AE137" s="210"/>
    </row>
    <row r="138" spans="1:31">
      <c r="A138" s="211"/>
      <c r="B138" s="216"/>
      <c r="C138" s="215"/>
      <c r="D138" s="211"/>
      <c r="E138" s="211"/>
      <c r="F138" s="211"/>
      <c r="G138" s="213"/>
      <c r="H138" s="213"/>
      <c r="I138" s="213"/>
      <c r="J138" s="213"/>
      <c r="K138" s="213"/>
      <c r="L138" s="213"/>
      <c r="M138" s="212" t="str">
        <f t="shared" si="12"/>
        <v/>
      </c>
      <c r="N138" s="213"/>
      <c r="O138" s="213"/>
      <c r="P138" s="213"/>
      <c r="Q138" s="213"/>
      <c r="R138" s="213"/>
      <c r="S138" s="214"/>
      <c r="T138" s="213"/>
      <c r="U138" s="213"/>
      <c r="V138" s="213"/>
      <c r="W138" s="213"/>
      <c r="X138" s="212" t="str">
        <f t="shared" si="13"/>
        <v/>
      </c>
      <c r="Y138" s="213"/>
      <c r="Z138" s="213"/>
      <c r="AA138" s="212" t="str">
        <f t="shared" si="14"/>
        <v/>
      </c>
      <c r="AB138" s="211"/>
      <c r="AC138" s="211"/>
      <c r="AD138" s="211"/>
      <c r="AE138" s="210"/>
    </row>
    <row r="139" spans="1:31">
      <c r="A139" s="211"/>
      <c r="B139" s="216"/>
      <c r="C139" s="215"/>
      <c r="D139" s="211"/>
      <c r="E139" s="211"/>
      <c r="F139" s="211"/>
      <c r="G139" s="213"/>
      <c r="H139" s="213"/>
      <c r="I139" s="213"/>
      <c r="J139" s="213"/>
      <c r="K139" s="213"/>
      <c r="L139" s="213"/>
      <c r="M139" s="212" t="str">
        <f t="shared" si="12"/>
        <v/>
      </c>
      <c r="N139" s="213"/>
      <c r="O139" s="213"/>
      <c r="P139" s="213"/>
      <c r="Q139" s="213"/>
      <c r="R139" s="213"/>
      <c r="S139" s="214"/>
      <c r="T139" s="213"/>
      <c r="U139" s="213"/>
      <c r="V139" s="213"/>
      <c r="W139" s="213"/>
      <c r="X139" s="212" t="str">
        <f t="shared" si="13"/>
        <v/>
      </c>
      <c r="Y139" s="213"/>
      <c r="Z139" s="213"/>
      <c r="AA139" s="212" t="str">
        <f t="shared" si="14"/>
        <v/>
      </c>
      <c r="AB139" s="211"/>
      <c r="AC139" s="211"/>
      <c r="AD139" s="211"/>
      <c r="AE139" s="210"/>
    </row>
    <row r="140" spans="1:31">
      <c r="A140" s="211"/>
      <c r="B140" s="216"/>
      <c r="C140" s="215"/>
      <c r="D140" s="211"/>
      <c r="E140" s="211"/>
      <c r="F140" s="211"/>
      <c r="G140" s="213"/>
      <c r="H140" s="213"/>
      <c r="I140" s="213"/>
      <c r="J140" s="213"/>
      <c r="K140" s="213"/>
      <c r="L140" s="213"/>
      <c r="M140" s="212" t="str">
        <f t="shared" si="12"/>
        <v/>
      </c>
      <c r="N140" s="213"/>
      <c r="O140" s="213"/>
      <c r="P140" s="213"/>
      <c r="Q140" s="213"/>
      <c r="R140" s="213"/>
      <c r="S140" s="214"/>
      <c r="T140" s="213"/>
      <c r="U140" s="213"/>
      <c r="V140" s="213"/>
      <c r="W140" s="213"/>
      <c r="X140" s="212" t="str">
        <f t="shared" si="13"/>
        <v/>
      </c>
      <c r="Y140" s="213"/>
      <c r="Z140" s="213"/>
      <c r="AA140" s="212" t="str">
        <f t="shared" si="14"/>
        <v/>
      </c>
      <c r="AB140" s="211"/>
      <c r="AC140" s="211"/>
      <c r="AD140" s="211"/>
      <c r="AE140" s="210"/>
    </row>
    <row r="141" spans="1:31">
      <c r="A141" s="211"/>
      <c r="B141" s="216"/>
      <c r="C141" s="215"/>
      <c r="D141" s="211"/>
      <c r="E141" s="211"/>
      <c r="F141" s="211"/>
      <c r="G141" s="213"/>
      <c r="H141" s="213"/>
      <c r="I141" s="213"/>
      <c r="J141" s="213"/>
      <c r="K141" s="213"/>
      <c r="L141" s="213"/>
      <c r="M141" s="212" t="str">
        <f t="shared" si="12"/>
        <v/>
      </c>
      <c r="N141" s="213"/>
      <c r="O141" s="213"/>
      <c r="P141" s="213"/>
      <c r="Q141" s="213"/>
      <c r="R141" s="213"/>
      <c r="S141" s="214"/>
      <c r="T141" s="213"/>
      <c r="U141" s="213"/>
      <c r="V141" s="213"/>
      <c r="W141" s="213"/>
      <c r="X141" s="212" t="str">
        <f t="shared" si="13"/>
        <v/>
      </c>
      <c r="Y141" s="213"/>
      <c r="Z141" s="213"/>
      <c r="AA141" s="212" t="str">
        <f t="shared" si="14"/>
        <v/>
      </c>
      <c r="AB141" s="211"/>
      <c r="AC141" s="211"/>
      <c r="AD141" s="211"/>
      <c r="AE141" s="210"/>
    </row>
    <row r="142" spans="1:31">
      <c r="A142" s="211"/>
      <c r="B142" s="216"/>
      <c r="C142" s="215"/>
      <c r="D142" s="211"/>
      <c r="E142" s="211"/>
      <c r="F142" s="211"/>
      <c r="G142" s="213"/>
      <c r="H142" s="213"/>
      <c r="I142" s="213"/>
      <c r="J142" s="213"/>
      <c r="K142" s="213"/>
      <c r="L142" s="213"/>
      <c r="M142" s="212" t="str">
        <f t="shared" si="12"/>
        <v/>
      </c>
      <c r="N142" s="213"/>
      <c r="O142" s="213"/>
      <c r="P142" s="213"/>
      <c r="Q142" s="213"/>
      <c r="R142" s="213"/>
      <c r="S142" s="214"/>
      <c r="T142" s="213"/>
      <c r="U142" s="213"/>
      <c r="V142" s="213"/>
      <c r="W142" s="213"/>
      <c r="X142" s="212" t="str">
        <f t="shared" si="13"/>
        <v/>
      </c>
      <c r="Y142" s="213"/>
      <c r="Z142" s="213"/>
      <c r="AA142" s="212" t="str">
        <f t="shared" si="14"/>
        <v/>
      </c>
      <c r="AB142" s="211"/>
      <c r="AC142" s="211"/>
      <c r="AD142" s="211"/>
      <c r="AE142" s="210"/>
    </row>
    <row r="143" spans="1:31">
      <c r="A143" s="211"/>
      <c r="B143" s="216"/>
      <c r="C143" s="215"/>
      <c r="D143" s="211"/>
      <c r="E143" s="211"/>
      <c r="F143" s="211"/>
      <c r="G143" s="213"/>
      <c r="H143" s="213"/>
      <c r="I143" s="213"/>
      <c r="J143" s="213"/>
      <c r="K143" s="213"/>
      <c r="L143" s="213"/>
      <c r="M143" s="212" t="str">
        <f t="shared" si="12"/>
        <v/>
      </c>
      <c r="N143" s="213"/>
      <c r="O143" s="213"/>
      <c r="P143" s="213"/>
      <c r="Q143" s="213"/>
      <c r="R143" s="213"/>
      <c r="S143" s="214"/>
      <c r="T143" s="213"/>
      <c r="U143" s="213"/>
      <c r="V143" s="213"/>
      <c r="W143" s="213"/>
      <c r="X143" s="212" t="str">
        <f t="shared" si="13"/>
        <v/>
      </c>
      <c r="Y143" s="213"/>
      <c r="Z143" s="213"/>
      <c r="AA143" s="212" t="str">
        <f t="shared" si="14"/>
        <v/>
      </c>
      <c r="AB143" s="211"/>
      <c r="AC143" s="211"/>
      <c r="AD143" s="211"/>
      <c r="AE143" s="210"/>
    </row>
    <row r="144" spans="1:31">
      <c r="A144" s="211"/>
      <c r="B144" s="216"/>
      <c r="C144" s="215"/>
      <c r="D144" s="211"/>
      <c r="E144" s="211"/>
      <c r="F144" s="211"/>
      <c r="G144" s="213"/>
      <c r="H144" s="213"/>
      <c r="I144" s="213"/>
      <c r="J144" s="213"/>
      <c r="K144" s="213"/>
      <c r="L144" s="213"/>
      <c r="M144" s="212" t="str">
        <f t="shared" si="12"/>
        <v/>
      </c>
      <c r="N144" s="213"/>
      <c r="O144" s="213"/>
      <c r="P144" s="213"/>
      <c r="Q144" s="213"/>
      <c r="R144" s="213"/>
      <c r="S144" s="214"/>
      <c r="T144" s="213"/>
      <c r="U144" s="213"/>
      <c r="V144" s="213"/>
      <c r="W144" s="213"/>
      <c r="X144" s="212" t="str">
        <f t="shared" si="13"/>
        <v/>
      </c>
      <c r="Y144" s="213"/>
      <c r="Z144" s="213"/>
      <c r="AA144" s="212" t="str">
        <f t="shared" si="14"/>
        <v/>
      </c>
      <c r="AB144" s="211"/>
      <c r="AC144" s="211"/>
      <c r="AD144" s="211"/>
      <c r="AE144" s="210"/>
    </row>
    <row r="145" spans="1:31">
      <c r="A145" s="211"/>
      <c r="B145" s="216"/>
      <c r="C145" s="215"/>
      <c r="D145" s="211"/>
      <c r="E145" s="211"/>
      <c r="F145" s="211"/>
      <c r="G145" s="213"/>
      <c r="H145" s="213"/>
      <c r="I145" s="213"/>
      <c r="J145" s="213"/>
      <c r="K145" s="213"/>
      <c r="L145" s="213"/>
      <c r="M145" s="212" t="str">
        <f t="shared" si="12"/>
        <v/>
      </c>
      <c r="N145" s="213"/>
      <c r="O145" s="213"/>
      <c r="P145" s="213"/>
      <c r="Q145" s="213"/>
      <c r="R145" s="213"/>
      <c r="S145" s="214"/>
      <c r="T145" s="213"/>
      <c r="U145" s="213"/>
      <c r="V145" s="213"/>
      <c r="W145" s="213"/>
      <c r="X145" s="212" t="str">
        <f t="shared" si="13"/>
        <v/>
      </c>
      <c r="Y145" s="213"/>
      <c r="Z145" s="213"/>
      <c r="AA145" s="212" t="str">
        <f t="shared" si="14"/>
        <v/>
      </c>
      <c r="AB145" s="211"/>
      <c r="AC145" s="211"/>
      <c r="AD145" s="211"/>
      <c r="AE145" s="210"/>
    </row>
    <row r="146" spans="1:31">
      <c r="A146" s="211"/>
      <c r="B146" s="216"/>
      <c r="C146" s="215"/>
      <c r="D146" s="211"/>
      <c r="E146" s="211"/>
      <c r="F146" s="211"/>
      <c r="G146" s="213"/>
      <c r="H146" s="213"/>
      <c r="I146" s="213"/>
      <c r="J146" s="213"/>
      <c r="K146" s="213"/>
      <c r="L146" s="213"/>
      <c r="M146" s="212" t="str">
        <f t="shared" si="12"/>
        <v/>
      </c>
      <c r="N146" s="213"/>
      <c r="O146" s="213"/>
      <c r="P146" s="213"/>
      <c r="Q146" s="213"/>
      <c r="R146" s="213"/>
      <c r="S146" s="214"/>
      <c r="T146" s="213"/>
      <c r="U146" s="213"/>
      <c r="V146" s="213"/>
      <c r="W146" s="213"/>
      <c r="X146" s="212" t="str">
        <f t="shared" si="13"/>
        <v/>
      </c>
      <c r="Y146" s="213"/>
      <c r="Z146" s="213"/>
      <c r="AA146" s="212" t="str">
        <f t="shared" si="14"/>
        <v/>
      </c>
      <c r="AB146" s="211"/>
      <c r="AC146" s="211"/>
      <c r="AD146" s="211"/>
      <c r="AE146" s="210"/>
    </row>
    <row r="147" spans="1:31">
      <c r="A147" s="211"/>
      <c r="B147" s="216"/>
      <c r="C147" s="215"/>
      <c r="D147" s="211"/>
      <c r="E147" s="211"/>
      <c r="F147" s="211"/>
      <c r="G147" s="213"/>
      <c r="H147" s="213"/>
      <c r="I147" s="213"/>
      <c r="J147" s="213"/>
      <c r="K147" s="213"/>
      <c r="L147" s="213"/>
      <c r="M147" s="212" t="str">
        <f t="shared" si="12"/>
        <v/>
      </c>
      <c r="N147" s="213"/>
      <c r="O147" s="213"/>
      <c r="P147" s="213"/>
      <c r="Q147" s="213"/>
      <c r="R147" s="213"/>
      <c r="S147" s="214"/>
      <c r="T147" s="213"/>
      <c r="U147" s="213"/>
      <c r="V147" s="213"/>
      <c r="W147" s="213"/>
      <c r="X147" s="212" t="str">
        <f t="shared" si="13"/>
        <v/>
      </c>
      <c r="Y147" s="213"/>
      <c r="Z147" s="213"/>
      <c r="AA147" s="212" t="str">
        <f t="shared" si="14"/>
        <v/>
      </c>
      <c r="AB147" s="211"/>
      <c r="AC147" s="211"/>
      <c r="AD147" s="211"/>
      <c r="AE147" s="210"/>
    </row>
    <row r="148" spans="1:31">
      <c r="A148" s="211"/>
      <c r="B148" s="216"/>
      <c r="C148" s="215"/>
      <c r="D148" s="211"/>
      <c r="E148" s="211"/>
      <c r="F148" s="211"/>
      <c r="G148" s="213"/>
      <c r="H148" s="213"/>
      <c r="I148" s="213"/>
      <c r="J148" s="213"/>
      <c r="K148" s="213"/>
      <c r="L148" s="213"/>
      <c r="M148" s="212" t="str">
        <f t="shared" si="12"/>
        <v/>
      </c>
      <c r="N148" s="213"/>
      <c r="O148" s="213"/>
      <c r="P148" s="213"/>
      <c r="Q148" s="213"/>
      <c r="R148" s="213"/>
      <c r="S148" s="214"/>
      <c r="T148" s="213"/>
      <c r="U148" s="213"/>
      <c r="V148" s="213"/>
      <c r="W148" s="213"/>
      <c r="X148" s="212" t="str">
        <f t="shared" si="13"/>
        <v/>
      </c>
      <c r="Y148" s="213"/>
      <c r="Z148" s="213"/>
      <c r="AA148" s="212" t="str">
        <f t="shared" si="14"/>
        <v/>
      </c>
      <c r="AB148" s="211"/>
      <c r="AC148" s="211"/>
      <c r="AD148" s="211"/>
      <c r="AE148" s="210"/>
    </row>
    <row r="149" spans="1:31">
      <c r="A149" s="211"/>
      <c r="B149" s="216"/>
      <c r="C149" s="215"/>
      <c r="D149" s="211"/>
      <c r="E149" s="211"/>
      <c r="F149" s="211"/>
      <c r="G149" s="213"/>
      <c r="H149" s="213"/>
      <c r="I149" s="213"/>
      <c r="J149" s="213"/>
      <c r="K149" s="213"/>
      <c r="L149" s="213"/>
      <c r="M149" s="212" t="str">
        <f t="shared" si="12"/>
        <v/>
      </c>
      <c r="N149" s="213"/>
      <c r="O149" s="213"/>
      <c r="P149" s="213"/>
      <c r="Q149" s="213"/>
      <c r="R149" s="213"/>
      <c r="S149" s="214"/>
      <c r="T149" s="213"/>
      <c r="U149" s="213"/>
      <c r="V149" s="213"/>
      <c r="W149" s="213"/>
      <c r="X149" s="212" t="str">
        <f t="shared" si="13"/>
        <v/>
      </c>
      <c r="Y149" s="213"/>
      <c r="Z149" s="213"/>
      <c r="AA149" s="212" t="str">
        <f t="shared" si="14"/>
        <v/>
      </c>
      <c r="AB149" s="211"/>
      <c r="AC149" s="211"/>
      <c r="AD149" s="211"/>
      <c r="AE149" s="210"/>
    </row>
    <row r="150" spans="1:31">
      <c r="A150" s="211"/>
      <c r="B150" s="216"/>
      <c r="C150" s="215"/>
      <c r="D150" s="211"/>
      <c r="E150" s="211"/>
      <c r="F150" s="211"/>
      <c r="G150" s="213"/>
      <c r="H150" s="213"/>
      <c r="I150" s="213"/>
      <c r="J150" s="213"/>
      <c r="K150" s="213"/>
      <c r="L150" s="213"/>
      <c r="M150" s="212" t="str">
        <f t="shared" si="12"/>
        <v/>
      </c>
      <c r="N150" s="213"/>
      <c r="O150" s="213"/>
      <c r="P150" s="213"/>
      <c r="Q150" s="213"/>
      <c r="R150" s="213"/>
      <c r="S150" s="214"/>
      <c r="T150" s="213"/>
      <c r="U150" s="213"/>
      <c r="V150" s="213"/>
      <c r="W150" s="213"/>
      <c r="X150" s="212" t="str">
        <f t="shared" si="13"/>
        <v/>
      </c>
      <c r="Y150" s="213"/>
      <c r="Z150" s="213"/>
      <c r="AA150" s="212" t="str">
        <f t="shared" si="14"/>
        <v/>
      </c>
      <c r="AB150" s="211"/>
      <c r="AC150" s="211"/>
      <c r="AD150" s="211"/>
      <c r="AE150" s="210"/>
    </row>
    <row r="151" spans="1:31">
      <c r="A151" s="211"/>
      <c r="B151" s="216"/>
      <c r="C151" s="215"/>
      <c r="D151" s="211"/>
      <c r="E151" s="211"/>
      <c r="F151" s="211"/>
      <c r="G151" s="213"/>
      <c r="H151" s="213"/>
      <c r="I151" s="213"/>
      <c r="J151" s="213"/>
      <c r="K151" s="213"/>
      <c r="L151" s="213"/>
      <c r="M151" s="212" t="str">
        <f t="shared" si="12"/>
        <v/>
      </c>
      <c r="N151" s="213"/>
      <c r="O151" s="213"/>
      <c r="P151" s="213"/>
      <c r="Q151" s="213"/>
      <c r="R151" s="213"/>
      <c r="S151" s="214"/>
      <c r="T151" s="213"/>
      <c r="U151" s="213"/>
      <c r="V151" s="213"/>
      <c r="W151" s="213"/>
      <c r="X151" s="212" t="str">
        <f t="shared" si="13"/>
        <v/>
      </c>
      <c r="Y151" s="213"/>
      <c r="Z151" s="213"/>
      <c r="AA151" s="212" t="str">
        <f t="shared" si="14"/>
        <v/>
      </c>
      <c r="AB151" s="211"/>
      <c r="AC151" s="211"/>
      <c r="AD151" s="211"/>
      <c r="AE151" s="210"/>
    </row>
    <row r="152" spans="1:31">
      <c r="A152" s="211"/>
      <c r="B152" s="216"/>
      <c r="C152" s="215"/>
      <c r="D152" s="211"/>
      <c r="E152" s="211"/>
      <c r="F152" s="211"/>
      <c r="G152" s="213"/>
      <c r="H152" s="213"/>
      <c r="I152" s="213"/>
      <c r="J152" s="213"/>
      <c r="K152" s="213"/>
      <c r="L152" s="213"/>
      <c r="M152" s="212" t="str">
        <f t="shared" si="12"/>
        <v/>
      </c>
      <c r="N152" s="213"/>
      <c r="O152" s="213"/>
      <c r="P152" s="213"/>
      <c r="Q152" s="213"/>
      <c r="R152" s="213"/>
      <c r="S152" s="214"/>
      <c r="T152" s="213"/>
      <c r="U152" s="213"/>
      <c r="V152" s="213"/>
      <c r="W152" s="213"/>
      <c r="X152" s="212" t="str">
        <f t="shared" si="13"/>
        <v/>
      </c>
      <c r="Y152" s="213"/>
      <c r="Z152" s="213"/>
      <c r="AA152" s="212" t="str">
        <f t="shared" si="14"/>
        <v/>
      </c>
      <c r="AB152" s="211"/>
      <c r="AC152" s="211"/>
      <c r="AD152" s="211"/>
      <c r="AE152" s="210"/>
    </row>
    <row r="153" spans="1:31">
      <c r="A153" s="211"/>
      <c r="B153" s="216"/>
      <c r="C153" s="215"/>
      <c r="D153" s="211"/>
      <c r="E153" s="211"/>
      <c r="F153" s="211"/>
      <c r="G153" s="213"/>
      <c r="H153" s="213"/>
      <c r="I153" s="213"/>
      <c r="J153" s="213"/>
      <c r="K153" s="213"/>
      <c r="L153" s="213"/>
      <c r="M153" s="212" t="str">
        <f t="shared" si="12"/>
        <v/>
      </c>
      <c r="N153" s="213"/>
      <c r="O153" s="213"/>
      <c r="P153" s="213"/>
      <c r="Q153" s="213"/>
      <c r="R153" s="213"/>
      <c r="S153" s="214"/>
      <c r="T153" s="213"/>
      <c r="U153" s="213"/>
      <c r="V153" s="213"/>
      <c r="W153" s="213"/>
      <c r="X153" s="212" t="str">
        <f t="shared" si="13"/>
        <v/>
      </c>
      <c r="Y153" s="213"/>
      <c r="Z153" s="213"/>
      <c r="AA153" s="212" t="str">
        <f t="shared" si="14"/>
        <v/>
      </c>
      <c r="AB153" s="211"/>
      <c r="AC153" s="211"/>
      <c r="AD153" s="211"/>
      <c r="AE153" s="210"/>
    </row>
    <row r="154" spans="1:31">
      <c r="A154" s="211"/>
      <c r="B154" s="216"/>
      <c r="C154" s="215"/>
      <c r="D154" s="211"/>
      <c r="E154" s="211"/>
      <c r="F154" s="211"/>
      <c r="G154" s="213"/>
      <c r="H154" s="213"/>
      <c r="I154" s="213"/>
      <c r="J154" s="213"/>
      <c r="K154" s="213"/>
      <c r="L154" s="213"/>
      <c r="M154" s="212" t="str">
        <f t="shared" si="12"/>
        <v/>
      </c>
      <c r="N154" s="213"/>
      <c r="O154" s="213"/>
      <c r="P154" s="213"/>
      <c r="Q154" s="213"/>
      <c r="R154" s="213"/>
      <c r="S154" s="214"/>
      <c r="T154" s="213"/>
      <c r="U154" s="213"/>
      <c r="V154" s="213"/>
      <c r="W154" s="213"/>
      <c r="X154" s="212" t="str">
        <f t="shared" si="13"/>
        <v/>
      </c>
      <c r="Y154" s="213"/>
      <c r="Z154" s="213"/>
      <c r="AA154" s="212" t="str">
        <f t="shared" si="14"/>
        <v/>
      </c>
      <c r="AB154" s="211"/>
      <c r="AC154" s="211"/>
      <c r="AD154" s="211"/>
      <c r="AE154" s="210"/>
    </row>
    <row r="155" spans="1:31">
      <c r="A155" s="211"/>
      <c r="B155" s="216"/>
      <c r="C155" s="215"/>
      <c r="D155" s="211"/>
      <c r="E155" s="211"/>
      <c r="F155" s="211"/>
      <c r="G155" s="213"/>
      <c r="H155" s="213"/>
      <c r="I155" s="213"/>
      <c r="J155" s="213"/>
      <c r="K155" s="213"/>
      <c r="L155" s="213"/>
      <c r="M155" s="212" t="str">
        <f t="shared" si="12"/>
        <v/>
      </c>
      <c r="N155" s="213"/>
      <c r="O155" s="213"/>
      <c r="P155" s="213"/>
      <c r="Q155" s="213"/>
      <c r="R155" s="213"/>
      <c r="S155" s="214"/>
      <c r="T155" s="213"/>
      <c r="U155" s="213"/>
      <c r="V155" s="213"/>
      <c r="W155" s="213"/>
      <c r="X155" s="212" t="str">
        <f t="shared" si="13"/>
        <v/>
      </c>
      <c r="Y155" s="213"/>
      <c r="Z155" s="213"/>
      <c r="AA155" s="212" t="str">
        <f t="shared" si="14"/>
        <v/>
      </c>
      <c r="AB155" s="211"/>
      <c r="AC155" s="211"/>
      <c r="AD155" s="211"/>
      <c r="AE155" s="210"/>
    </row>
    <row r="156" spans="1:31">
      <c r="A156" s="211"/>
      <c r="B156" s="216"/>
      <c r="C156" s="215"/>
      <c r="D156" s="211"/>
      <c r="E156" s="211"/>
      <c r="F156" s="211"/>
      <c r="G156" s="213"/>
      <c r="H156" s="213"/>
      <c r="I156" s="213"/>
      <c r="J156" s="213"/>
      <c r="K156" s="213"/>
      <c r="L156" s="213"/>
      <c r="M156" s="212" t="str">
        <f t="shared" si="12"/>
        <v/>
      </c>
      <c r="N156" s="213"/>
      <c r="O156" s="213"/>
      <c r="P156" s="213"/>
      <c r="Q156" s="213"/>
      <c r="R156" s="213"/>
      <c r="S156" s="214"/>
      <c r="T156" s="213"/>
      <c r="U156" s="213"/>
      <c r="V156" s="213"/>
      <c r="W156" s="213"/>
      <c r="X156" s="212" t="str">
        <f t="shared" si="13"/>
        <v/>
      </c>
      <c r="Y156" s="213"/>
      <c r="Z156" s="213"/>
      <c r="AA156" s="212" t="str">
        <f t="shared" si="14"/>
        <v/>
      </c>
      <c r="AB156" s="211"/>
      <c r="AC156" s="211"/>
      <c r="AD156" s="211"/>
      <c r="AE156" s="210"/>
    </row>
    <row r="157" spans="1:31">
      <c r="A157" s="211"/>
      <c r="B157" s="216"/>
      <c r="C157" s="215"/>
      <c r="D157" s="211"/>
      <c r="E157" s="211"/>
      <c r="F157" s="211"/>
      <c r="G157" s="213"/>
      <c r="H157" s="213"/>
      <c r="I157" s="213"/>
      <c r="J157" s="213"/>
      <c r="K157" s="213"/>
      <c r="L157" s="213"/>
      <c r="M157" s="212" t="str">
        <f t="shared" si="12"/>
        <v/>
      </c>
      <c r="N157" s="213"/>
      <c r="O157" s="213"/>
      <c r="P157" s="213"/>
      <c r="Q157" s="213"/>
      <c r="R157" s="213"/>
      <c r="S157" s="214"/>
      <c r="T157" s="213"/>
      <c r="U157" s="213"/>
      <c r="V157" s="213"/>
      <c r="W157" s="213"/>
      <c r="X157" s="212" t="str">
        <f t="shared" si="13"/>
        <v/>
      </c>
      <c r="Y157" s="213"/>
      <c r="Z157" s="213"/>
      <c r="AA157" s="212" t="str">
        <f t="shared" si="14"/>
        <v/>
      </c>
      <c r="AB157" s="211"/>
      <c r="AC157" s="211"/>
      <c r="AD157" s="211"/>
      <c r="AE157" s="210"/>
    </row>
    <row r="158" spans="1:31">
      <c r="A158" s="211"/>
      <c r="B158" s="216"/>
      <c r="C158" s="215"/>
      <c r="D158" s="211"/>
      <c r="E158" s="211"/>
      <c r="F158" s="211"/>
      <c r="G158" s="213"/>
      <c r="H158" s="213"/>
      <c r="I158" s="213"/>
      <c r="J158" s="213"/>
      <c r="K158" s="213"/>
      <c r="L158" s="213"/>
      <c r="M158" s="212" t="str">
        <f t="shared" si="12"/>
        <v/>
      </c>
      <c r="N158" s="213"/>
      <c r="O158" s="213"/>
      <c r="P158" s="213"/>
      <c r="Q158" s="213"/>
      <c r="R158" s="213"/>
      <c r="S158" s="214"/>
      <c r="T158" s="213"/>
      <c r="U158" s="213"/>
      <c r="V158" s="213"/>
      <c r="W158" s="213"/>
      <c r="X158" s="212" t="str">
        <f t="shared" si="13"/>
        <v/>
      </c>
      <c r="Y158" s="213"/>
      <c r="Z158" s="213"/>
      <c r="AA158" s="212" t="str">
        <f t="shared" si="14"/>
        <v/>
      </c>
      <c r="AB158" s="211"/>
      <c r="AC158" s="211"/>
      <c r="AD158" s="211"/>
      <c r="AE158" s="210"/>
    </row>
    <row r="159" spans="1:31">
      <c r="A159" s="211"/>
      <c r="B159" s="216"/>
      <c r="C159" s="215"/>
      <c r="D159" s="211"/>
      <c r="E159" s="211"/>
      <c r="F159" s="211"/>
      <c r="G159" s="213"/>
      <c r="H159" s="213"/>
      <c r="I159" s="213"/>
      <c r="J159" s="213"/>
      <c r="K159" s="213"/>
      <c r="L159" s="213"/>
      <c r="M159" s="212" t="str">
        <f t="shared" si="12"/>
        <v/>
      </c>
      <c r="N159" s="213"/>
      <c r="O159" s="213"/>
      <c r="P159" s="213"/>
      <c r="Q159" s="213"/>
      <c r="R159" s="213"/>
      <c r="S159" s="214"/>
      <c r="T159" s="213"/>
      <c r="U159" s="213"/>
      <c r="V159" s="213"/>
      <c r="W159" s="213"/>
      <c r="X159" s="212" t="str">
        <f t="shared" si="13"/>
        <v/>
      </c>
      <c r="Y159" s="213"/>
      <c r="Z159" s="213"/>
      <c r="AA159" s="212" t="str">
        <f t="shared" si="14"/>
        <v/>
      </c>
      <c r="AB159" s="211"/>
      <c r="AC159" s="211"/>
      <c r="AD159" s="211"/>
      <c r="AE159" s="210"/>
    </row>
    <row r="160" spans="1:31">
      <c r="A160" s="211"/>
      <c r="B160" s="216"/>
      <c r="C160" s="215"/>
      <c r="D160" s="211"/>
      <c r="E160" s="211"/>
      <c r="F160" s="211"/>
      <c r="G160" s="213"/>
      <c r="H160" s="213"/>
      <c r="I160" s="213"/>
      <c r="J160" s="213"/>
      <c r="K160" s="213"/>
      <c r="L160" s="213"/>
      <c r="M160" s="212" t="str">
        <f t="shared" si="12"/>
        <v/>
      </c>
      <c r="N160" s="213"/>
      <c r="O160" s="213"/>
      <c r="P160" s="213"/>
      <c r="Q160" s="213"/>
      <c r="R160" s="213"/>
      <c r="S160" s="214"/>
      <c r="T160" s="213"/>
      <c r="U160" s="213"/>
      <c r="V160" s="213"/>
      <c r="W160" s="213"/>
      <c r="X160" s="212" t="str">
        <f t="shared" si="13"/>
        <v/>
      </c>
      <c r="Y160" s="213"/>
      <c r="Z160" s="213"/>
      <c r="AA160" s="212" t="str">
        <f t="shared" si="14"/>
        <v/>
      </c>
      <c r="AB160" s="211"/>
      <c r="AC160" s="211"/>
      <c r="AD160" s="211"/>
      <c r="AE160" s="210"/>
    </row>
    <row r="161" spans="1:31">
      <c r="A161" s="211"/>
      <c r="B161" s="216"/>
      <c r="C161" s="215"/>
      <c r="D161" s="211"/>
      <c r="E161" s="211"/>
      <c r="F161" s="211"/>
      <c r="G161" s="213"/>
      <c r="H161" s="213"/>
      <c r="I161" s="213"/>
      <c r="J161" s="213"/>
      <c r="K161" s="213"/>
      <c r="L161" s="213"/>
      <c r="M161" s="212" t="str">
        <f t="shared" si="12"/>
        <v/>
      </c>
      <c r="N161" s="213"/>
      <c r="O161" s="213"/>
      <c r="P161" s="213"/>
      <c r="Q161" s="213"/>
      <c r="R161" s="213"/>
      <c r="S161" s="214"/>
      <c r="T161" s="213"/>
      <c r="U161" s="213"/>
      <c r="V161" s="213"/>
      <c r="W161" s="213"/>
      <c r="X161" s="212" t="str">
        <f t="shared" si="13"/>
        <v/>
      </c>
      <c r="Y161" s="213"/>
      <c r="Z161" s="213"/>
      <c r="AA161" s="212" t="str">
        <f t="shared" si="14"/>
        <v/>
      </c>
      <c r="AB161" s="211"/>
      <c r="AC161" s="211"/>
      <c r="AD161" s="211"/>
      <c r="AE161" s="210"/>
    </row>
    <row r="162" spans="1:31">
      <c r="A162" s="211"/>
      <c r="B162" s="216"/>
      <c r="C162" s="215"/>
      <c r="D162" s="211"/>
      <c r="E162" s="211"/>
      <c r="F162" s="211"/>
      <c r="G162" s="213"/>
      <c r="H162" s="213"/>
      <c r="I162" s="213"/>
      <c r="J162" s="213"/>
      <c r="K162" s="213"/>
      <c r="L162" s="213"/>
      <c r="M162" s="212" t="str">
        <f t="shared" si="12"/>
        <v/>
      </c>
      <c r="N162" s="213"/>
      <c r="O162" s="213"/>
      <c r="P162" s="213"/>
      <c r="Q162" s="213"/>
      <c r="R162" s="213"/>
      <c r="S162" s="214"/>
      <c r="T162" s="213"/>
      <c r="U162" s="213"/>
      <c r="V162" s="213"/>
      <c r="W162" s="213"/>
      <c r="X162" s="212" t="str">
        <f t="shared" si="13"/>
        <v/>
      </c>
      <c r="Y162" s="213"/>
      <c r="Z162" s="213"/>
      <c r="AA162" s="212" t="str">
        <f t="shared" si="14"/>
        <v/>
      </c>
      <c r="AB162" s="211"/>
      <c r="AC162" s="211"/>
      <c r="AD162" s="211"/>
      <c r="AE162" s="210"/>
    </row>
    <row r="163" spans="1:31">
      <c r="A163" s="211"/>
      <c r="B163" s="216"/>
      <c r="C163" s="215"/>
      <c r="D163" s="211"/>
      <c r="E163" s="211"/>
      <c r="F163" s="211"/>
      <c r="G163" s="213"/>
      <c r="H163" s="213"/>
      <c r="I163" s="213"/>
      <c r="J163" s="213"/>
      <c r="K163" s="213"/>
      <c r="L163" s="213"/>
      <c r="M163" s="212" t="str">
        <f t="shared" si="12"/>
        <v/>
      </c>
      <c r="N163" s="213"/>
      <c r="O163" s="213"/>
      <c r="P163" s="213"/>
      <c r="Q163" s="213"/>
      <c r="R163" s="213"/>
      <c r="S163" s="214"/>
      <c r="T163" s="213"/>
      <c r="U163" s="213"/>
      <c r="V163" s="213"/>
      <c r="W163" s="213"/>
      <c r="X163" s="212" t="str">
        <f t="shared" si="13"/>
        <v/>
      </c>
      <c r="Y163" s="213"/>
      <c r="Z163" s="213"/>
      <c r="AA163" s="212" t="str">
        <f t="shared" si="14"/>
        <v/>
      </c>
      <c r="AB163" s="211"/>
      <c r="AC163" s="211"/>
      <c r="AD163" s="211"/>
      <c r="AE163" s="210"/>
    </row>
    <row r="164" spans="1:31">
      <c r="A164" s="211"/>
      <c r="B164" s="216"/>
      <c r="C164" s="215"/>
      <c r="D164" s="211"/>
      <c r="E164" s="211"/>
      <c r="F164" s="211"/>
      <c r="G164" s="213"/>
      <c r="H164" s="213"/>
      <c r="I164" s="213"/>
      <c r="J164" s="213"/>
      <c r="K164" s="213"/>
      <c r="L164" s="213"/>
      <c r="M164" s="212" t="str">
        <f t="shared" si="12"/>
        <v/>
      </c>
      <c r="N164" s="213"/>
      <c r="O164" s="213"/>
      <c r="P164" s="213"/>
      <c r="Q164" s="213"/>
      <c r="R164" s="213"/>
      <c r="S164" s="214"/>
      <c r="T164" s="213"/>
      <c r="U164" s="213"/>
      <c r="V164" s="213"/>
      <c r="W164" s="213"/>
      <c r="X164" s="212" t="str">
        <f t="shared" si="13"/>
        <v/>
      </c>
      <c r="Y164" s="213"/>
      <c r="Z164" s="213"/>
      <c r="AA164" s="212" t="str">
        <f t="shared" si="14"/>
        <v/>
      </c>
      <c r="AB164" s="211"/>
      <c r="AC164" s="211"/>
      <c r="AD164" s="211"/>
      <c r="AE164" s="210"/>
    </row>
    <row r="165" spans="1:31">
      <c r="A165" s="211"/>
      <c r="B165" s="216"/>
      <c r="C165" s="215"/>
      <c r="D165" s="211"/>
      <c r="E165" s="211"/>
      <c r="F165" s="211"/>
      <c r="G165" s="213"/>
      <c r="H165" s="213"/>
      <c r="I165" s="213"/>
      <c r="J165" s="213"/>
      <c r="K165" s="213"/>
      <c r="L165" s="213"/>
      <c r="M165" s="212" t="str">
        <f t="shared" si="12"/>
        <v/>
      </c>
      <c r="N165" s="213"/>
      <c r="O165" s="213"/>
      <c r="P165" s="213"/>
      <c r="Q165" s="213"/>
      <c r="R165" s="213"/>
      <c r="S165" s="214"/>
      <c r="T165" s="213"/>
      <c r="U165" s="213"/>
      <c r="V165" s="213"/>
      <c r="W165" s="213"/>
      <c r="X165" s="212" t="str">
        <f t="shared" si="13"/>
        <v/>
      </c>
      <c r="Y165" s="213"/>
      <c r="Z165" s="213"/>
      <c r="AA165" s="212" t="str">
        <f t="shared" si="14"/>
        <v/>
      </c>
      <c r="AB165" s="211"/>
      <c r="AC165" s="211"/>
      <c r="AD165" s="211"/>
      <c r="AE165" s="210"/>
    </row>
    <row r="166" spans="1:31">
      <c r="A166" s="211"/>
      <c r="B166" s="216"/>
      <c r="C166" s="215"/>
      <c r="D166" s="211"/>
      <c r="E166" s="211"/>
      <c r="F166" s="211"/>
      <c r="G166" s="213"/>
      <c r="H166" s="213"/>
      <c r="I166" s="213"/>
      <c r="J166" s="213"/>
      <c r="K166" s="213"/>
      <c r="L166" s="213"/>
      <c r="M166" s="212" t="str">
        <f t="shared" ref="M166:M197" si="15">IF(OR($A166="",$G166=0),"",$K166/$G166)</f>
        <v/>
      </c>
      <c r="N166" s="213"/>
      <c r="O166" s="213"/>
      <c r="P166" s="213"/>
      <c r="Q166" s="213"/>
      <c r="R166" s="213"/>
      <c r="S166" s="214"/>
      <c r="T166" s="213"/>
      <c r="U166" s="213"/>
      <c r="V166" s="213"/>
      <c r="W166" s="213"/>
      <c r="X166" s="212" t="str">
        <f t="shared" ref="X166:X197" si="16">IF(OR($A166="",$T166=0),"",$U166/$T166)</f>
        <v/>
      </c>
      <c r="Y166" s="213"/>
      <c r="Z166" s="213"/>
      <c r="AA166" s="212" t="str">
        <f t="shared" ref="AA166:AA197" si="17">IF(OR($A166="",$Y166=0),"",$Z166/$Y166)</f>
        <v/>
      </c>
      <c r="AB166" s="211"/>
      <c r="AC166" s="211"/>
      <c r="AD166" s="211"/>
      <c r="AE166" s="210"/>
    </row>
    <row r="167" spans="1:31">
      <c r="A167" s="211"/>
      <c r="B167" s="216"/>
      <c r="C167" s="215"/>
      <c r="D167" s="211"/>
      <c r="E167" s="211"/>
      <c r="F167" s="211"/>
      <c r="G167" s="213"/>
      <c r="H167" s="213"/>
      <c r="I167" s="213"/>
      <c r="J167" s="213"/>
      <c r="K167" s="213"/>
      <c r="L167" s="213"/>
      <c r="M167" s="212" t="str">
        <f t="shared" si="15"/>
        <v/>
      </c>
      <c r="N167" s="213"/>
      <c r="O167" s="213"/>
      <c r="P167" s="213"/>
      <c r="Q167" s="213"/>
      <c r="R167" s="213"/>
      <c r="S167" s="214"/>
      <c r="T167" s="213"/>
      <c r="U167" s="213"/>
      <c r="V167" s="213"/>
      <c r="W167" s="213"/>
      <c r="X167" s="212" t="str">
        <f t="shared" si="16"/>
        <v/>
      </c>
      <c r="Y167" s="213"/>
      <c r="Z167" s="213"/>
      <c r="AA167" s="212" t="str">
        <f t="shared" si="17"/>
        <v/>
      </c>
      <c r="AB167" s="211"/>
      <c r="AC167" s="211"/>
      <c r="AD167" s="211"/>
      <c r="AE167" s="210"/>
    </row>
    <row r="168" spans="1:31">
      <c r="A168" s="211"/>
      <c r="B168" s="216"/>
      <c r="C168" s="215"/>
      <c r="D168" s="211"/>
      <c r="E168" s="211"/>
      <c r="F168" s="211"/>
      <c r="G168" s="213"/>
      <c r="H168" s="213"/>
      <c r="I168" s="213"/>
      <c r="J168" s="213"/>
      <c r="K168" s="213"/>
      <c r="L168" s="213"/>
      <c r="M168" s="212" t="str">
        <f t="shared" si="15"/>
        <v/>
      </c>
      <c r="N168" s="213"/>
      <c r="O168" s="213"/>
      <c r="P168" s="213"/>
      <c r="Q168" s="213"/>
      <c r="R168" s="213"/>
      <c r="S168" s="214"/>
      <c r="T168" s="213"/>
      <c r="U168" s="213"/>
      <c r="V168" s="213"/>
      <c r="W168" s="213"/>
      <c r="X168" s="212" t="str">
        <f t="shared" si="16"/>
        <v/>
      </c>
      <c r="Y168" s="213"/>
      <c r="Z168" s="213"/>
      <c r="AA168" s="212" t="str">
        <f t="shared" si="17"/>
        <v/>
      </c>
      <c r="AB168" s="211"/>
      <c r="AC168" s="211"/>
      <c r="AD168" s="211"/>
      <c r="AE168" s="210"/>
    </row>
    <row r="169" spans="1:31">
      <c r="A169" s="211"/>
      <c r="B169" s="216"/>
      <c r="C169" s="215"/>
      <c r="D169" s="211"/>
      <c r="E169" s="211"/>
      <c r="F169" s="211"/>
      <c r="G169" s="213"/>
      <c r="H169" s="213"/>
      <c r="I169" s="213"/>
      <c r="J169" s="213"/>
      <c r="K169" s="213"/>
      <c r="L169" s="213"/>
      <c r="M169" s="212" t="str">
        <f t="shared" si="15"/>
        <v/>
      </c>
      <c r="N169" s="213"/>
      <c r="O169" s="213"/>
      <c r="P169" s="213"/>
      <c r="Q169" s="213"/>
      <c r="R169" s="213"/>
      <c r="S169" s="214"/>
      <c r="T169" s="213"/>
      <c r="U169" s="213"/>
      <c r="V169" s="213"/>
      <c r="W169" s="213"/>
      <c r="X169" s="212" t="str">
        <f t="shared" si="16"/>
        <v/>
      </c>
      <c r="Y169" s="213"/>
      <c r="Z169" s="213"/>
      <c r="AA169" s="212" t="str">
        <f t="shared" si="17"/>
        <v/>
      </c>
      <c r="AB169" s="211"/>
      <c r="AC169" s="211"/>
      <c r="AD169" s="211"/>
      <c r="AE169" s="210"/>
    </row>
    <row r="170" spans="1:31">
      <c r="A170" s="211"/>
      <c r="B170" s="216"/>
      <c r="C170" s="215"/>
      <c r="D170" s="211"/>
      <c r="E170" s="211"/>
      <c r="F170" s="211"/>
      <c r="G170" s="213"/>
      <c r="H170" s="213"/>
      <c r="I170" s="213"/>
      <c r="J170" s="213"/>
      <c r="K170" s="213"/>
      <c r="L170" s="213"/>
      <c r="M170" s="212" t="str">
        <f t="shared" si="15"/>
        <v/>
      </c>
      <c r="N170" s="213"/>
      <c r="O170" s="213"/>
      <c r="P170" s="213"/>
      <c r="Q170" s="213"/>
      <c r="R170" s="213"/>
      <c r="S170" s="214"/>
      <c r="T170" s="213"/>
      <c r="U170" s="213"/>
      <c r="V170" s="213"/>
      <c r="W170" s="213"/>
      <c r="X170" s="212" t="str">
        <f t="shared" si="16"/>
        <v/>
      </c>
      <c r="Y170" s="213"/>
      <c r="Z170" s="213"/>
      <c r="AA170" s="212" t="str">
        <f t="shared" si="17"/>
        <v/>
      </c>
      <c r="AB170" s="211"/>
      <c r="AC170" s="211"/>
      <c r="AD170" s="211"/>
      <c r="AE170" s="210"/>
    </row>
    <row r="171" spans="1:31">
      <c r="A171" s="211"/>
      <c r="B171" s="216"/>
      <c r="C171" s="215"/>
      <c r="D171" s="211"/>
      <c r="E171" s="211"/>
      <c r="F171" s="211"/>
      <c r="G171" s="213"/>
      <c r="H171" s="213"/>
      <c r="I171" s="213"/>
      <c r="J171" s="213"/>
      <c r="K171" s="213"/>
      <c r="L171" s="213"/>
      <c r="M171" s="212" t="str">
        <f t="shared" si="15"/>
        <v/>
      </c>
      <c r="N171" s="213"/>
      <c r="O171" s="213"/>
      <c r="P171" s="213"/>
      <c r="Q171" s="213"/>
      <c r="R171" s="213"/>
      <c r="S171" s="214"/>
      <c r="T171" s="213"/>
      <c r="U171" s="213"/>
      <c r="V171" s="213"/>
      <c r="W171" s="213"/>
      <c r="X171" s="212" t="str">
        <f t="shared" si="16"/>
        <v/>
      </c>
      <c r="Y171" s="213"/>
      <c r="Z171" s="213"/>
      <c r="AA171" s="212" t="str">
        <f t="shared" si="17"/>
        <v/>
      </c>
      <c r="AB171" s="211"/>
      <c r="AC171" s="211"/>
      <c r="AD171" s="211"/>
      <c r="AE171" s="210"/>
    </row>
    <row r="172" spans="1:31">
      <c r="A172" s="211"/>
      <c r="B172" s="216"/>
      <c r="C172" s="215"/>
      <c r="D172" s="211"/>
      <c r="E172" s="211"/>
      <c r="F172" s="211"/>
      <c r="G172" s="213"/>
      <c r="H172" s="213"/>
      <c r="I172" s="213"/>
      <c r="J172" s="213"/>
      <c r="K172" s="213"/>
      <c r="L172" s="213"/>
      <c r="M172" s="212" t="str">
        <f t="shared" si="15"/>
        <v/>
      </c>
      <c r="N172" s="213"/>
      <c r="O172" s="213"/>
      <c r="P172" s="213"/>
      <c r="Q172" s="213"/>
      <c r="R172" s="213"/>
      <c r="S172" s="214"/>
      <c r="T172" s="213"/>
      <c r="U172" s="213"/>
      <c r="V172" s="213"/>
      <c r="W172" s="213"/>
      <c r="X172" s="212" t="str">
        <f t="shared" si="16"/>
        <v/>
      </c>
      <c r="Y172" s="213"/>
      <c r="Z172" s="213"/>
      <c r="AA172" s="212" t="str">
        <f t="shared" si="17"/>
        <v/>
      </c>
      <c r="AB172" s="211"/>
      <c r="AC172" s="211"/>
      <c r="AD172" s="211"/>
      <c r="AE172" s="210"/>
    </row>
    <row r="173" spans="1:31">
      <c r="A173" s="211"/>
      <c r="B173" s="216"/>
      <c r="C173" s="215"/>
      <c r="D173" s="211"/>
      <c r="E173" s="211"/>
      <c r="F173" s="211"/>
      <c r="G173" s="213"/>
      <c r="H173" s="213"/>
      <c r="I173" s="213"/>
      <c r="J173" s="213"/>
      <c r="K173" s="213"/>
      <c r="L173" s="213"/>
      <c r="M173" s="212" t="str">
        <f t="shared" si="15"/>
        <v/>
      </c>
      <c r="N173" s="213"/>
      <c r="O173" s="213"/>
      <c r="P173" s="213"/>
      <c r="Q173" s="213"/>
      <c r="R173" s="213"/>
      <c r="S173" s="214"/>
      <c r="T173" s="213"/>
      <c r="U173" s="213"/>
      <c r="V173" s="213"/>
      <c r="W173" s="213"/>
      <c r="X173" s="212" t="str">
        <f t="shared" si="16"/>
        <v/>
      </c>
      <c r="Y173" s="213"/>
      <c r="Z173" s="213"/>
      <c r="AA173" s="212" t="str">
        <f t="shared" si="17"/>
        <v/>
      </c>
      <c r="AB173" s="211"/>
      <c r="AC173" s="211"/>
      <c r="AD173" s="211"/>
      <c r="AE173" s="210"/>
    </row>
    <row r="174" spans="1:31">
      <c r="A174" s="211"/>
      <c r="B174" s="216"/>
      <c r="C174" s="215"/>
      <c r="D174" s="211"/>
      <c r="E174" s="211"/>
      <c r="F174" s="211"/>
      <c r="G174" s="213"/>
      <c r="H174" s="213"/>
      <c r="I174" s="213"/>
      <c r="J174" s="213"/>
      <c r="K174" s="213"/>
      <c r="L174" s="213"/>
      <c r="M174" s="212" t="str">
        <f t="shared" si="15"/>
        <v/>
      </c>
      <c r="N174" s="213"/>
      <c r="O174" s="213"/>
      <c r="P174" s="213"/>
      <c r="Q174" s="213"/>
      <c r="R174" s="213"/>
      <c r="S174" s="214"/>
      <c r="T174" s="213"/>
      <c r="U174" s="213"/>
      <c r="V174" s="213"/>
      <c r="W174" s="213"/>
      <c r="X174" s="212" t="str">
        <f t="shared" si="16"/>
        <v/>
      </c>
      <c r="Y174" s="213"/>
      <c r="Z174" s="213"/>
      <c r="AA174" s="212" t="str">
        <f t="shared" si="17"/>
        <v/>
      </c>
      <c r="AB174" s="211"/>
      <c r="AC174" s="211"/>
      <c r="AD174" s="211"/>
      <c r="AE174" s="210"/>
    </row>
    <row r="175" spans="1:31">
      <c r="A175" s="211"/>
      <c r="B175" s="216"/>
      <c r="C175" s="215"/>
      <c r="D175" s="211"/>
      <c r="E175" s="211"/>
      <c r="F175" s="211"/>
      <c r="G175" s="213"/>
      <c r="H175" s="213"/>
      <c r="I175" s="213"/>
      <c r="J175" s="213"/>
      <c r="K175" s="213"/>
      <c r="L175" s="213"/>
      <c r="M175" s="212" t="str">
        <f t="shared" si="15"/>
        <v/>
      </c>
      <c r="N175" s="213"/>
      <c r="O175" s="213"/>
      <c r="P175" s="213"/>
      <c r="Q175" s="213"/>
      <c r="R175" s="213"/>
      <c r="S175" s="214"/>
      <c r="T175" s="213"/>
      <c r="U175" s="213"/>
      <c r="V175" s="213"/>
      <c r="W175" s="213"/>
      <c r="X175" s="212" t="str">
        <f t="shared" si="16"/>
        <v/>
      </c>
      <c r="Y175" s="213"/>
      <c r="Z175" s="213"/>
      <c r="AA175" s="212" t="str">
        <f t="shared" si="17"/>
        <v/>
      </c>
      <c r="AB175" s="211"/>
      <c r="AC175" s="211"/>
      <c r="AD175" s="211"/>
      <c r="AE175" s="210"/>
    </row>
    <row r="176" spans="1:31">
      <c r="A176" s="211"/>
      <c r="B176" s="216"/>
      <c r="C176" s="215"/>
      <c r="D176" s="211"/>
      <c r="E176" s="211"/>
      <c r="F176" s="211"/>
      <c r="G176" s="213"/>
      <c r="H176" s="213"/>
      <c r="I176" s="213"/>
      <c r="J176" s="213"/>
      <c r="K176" s="213"/>
      <c r="L176" s="213"/>
      <c r="M176" s="212" t="str">
        <f t="shared" si="15"/>
        <v/>
      </c>
      <c r="N176" s="213"/>
      <c r="O176" s="213"/>
      <c r="P176" s="213"/>
      <c r="Q176" s="213"/>
      <c r="R176" s="213"/>
      <c r="S176" s="214"/>
      <c r="T176" s="213"/>
      <c r="U176" s="213"/>
      <c r="V176" s="213"/>
      <c r="W176" s="213"/>
      <c r="X176" s="212" t="str">
        <f t="shared" si="16"/>
        <v/>
      </c>
      <c r="Y176" s="213"/>
      <c r="Z176" s="213"/>
      <c r="AA176" s="212" t="str">
        <f t="shared" si="17"/>
        <v/>
      </c>
      <c r="AB176" s="211"/>
      <c r="AC176" s="211"/>
      <c r="AD176" s="211"/>
      <c r="AE176" s="210"/>
    </row>
    <row r="177" spans="1:31">
      <c r="A177" s="211"/>
      <c r="B177" s="216"/>
      <c r="C177" s="215"/>
      <c r="D177" s="211"/>
      <c r="E177" s="211"/>
      <c r="F177" s="211"/>
      <c r="G177" s="213"/>
      <c r="H177" s="213"/>
      <c r="I177" s="213"/>
      <c r="J177" s="213"/>
      <c r="K177" s="213"/>
      <c r="L177" s="213"/>
      <c r="M177" s="212" t="str">
        <f t="shared" si="15"/>
        <v/>
      </c>
      <c r="N177" s="213"/>
      <c r="O177" s="213"/>
      <c r="P177" s="213"/>
      <c r="Q177" s="213"/>
      <c r="R177" s="213"/>
      <c r="S177" s="214"/>
      <c r="T177" s="213"/>
      <c r="U177" s="213"/>
      <c r="V177" s="213"/>
      <c r="W177" s="213"/>
      <c r="X177" s="212" t="str">
        <f t="shared" si="16"/>
        <v/>
      </c>
      <c r="Y177" s="213"/>
      <c r="Z177" s="213"/>
      <c r="AA177" s="212" t="str">
        <f t="shared" si="17"/>
        <v/>
      </c>
      <c r="AB177" s="211"/>
      <c r="AC177" s="211"/>
      <c r="AD177" s="211"/>
      <c r="AE177" s="210"/>
    </row>
    <row r="178" spans="1:31">
      <c r="A178" s="211"/>
      <c r="B178" s="216"/>
      <c r="C178" s="215"/>
      <c r="D178" s="211"/>
      <c r="E178" s="211"/>
      <c r="F178" s="211"/>
      <c r="G178" s="213"/>
      <c r="H178" s="213"/>
      <c r="I178" s="213"/>
      <c r="J178" s="213"/>
      <c r="K178" s="213"/>
      <c r="L178" s="213"/>
      <c r="M178" s="212" t="str">
        <f t="shared" si="15"/>
        <v/>
      </c>
      <c r="N178" s="213"/>
      <c r="O178" s="213"/>
      <c r="P178" s="213"/>
      <c r="Q178" s="213"/>
      <c r="R178" s="213"/>
      <c r="S178" s="214"/>
      <c r="T178" s="213"/>
      <c r="U178" s="213"/>
      <c r="V178" s="213"/>
      <c r="W178" s="213"/>
      <c r="X178" s="212" t="str">
        <f t="shared" si="16"/>
        <v/>
      </c>
      <c r="Y178" s="213"/>
      <c r="Z178" s="213"/>
      <c r="AA178" s="212" t="str">
        <f t="shared" si="17"/>
        <v/>
      </c>
      <c r="AB178" s="211"/>
      <c r="AC178" s="211"/>
      <c r="AD178" s="211"/>
      <c r="AE178" s="210"/>
    </row>
    <row r="179" spans="1:31">
      <c r="A179" s="211"/>
      <c r="B179" s="216"/>
      <c r="C179" s="215"/>
      <c r="D179" s="211"/>
      <c r="E179" s="211"/>
      <c r="F179" s="211"/>
      <c r="G179" s="213"/>
      <c r="H179" s="213"/>
      <c r="I179" s="213"/>
      <c r="J179" s="213"/>
      <c r="K179" s="213"/>
      <c r="L179" s="213"/>
      <c r="M179" s="212" t="str">
        <f t="shared" si="15"/>
        <v/>
      </c>
      <c r="N179" s="213"/>
      <c r="O179" s="213"/>
      <c r="P179" s="213"/>
      <c r="Q179" s="213"/>
      <c r="R179" s="213"/>
      <c r="S179" s="214"/>
      <c r="T179" s="213"/>
      <c r="U179" s="213"/>
      <c r="V179" s="213"/>
      <c r="W179" s="213"/>
      <c r="X179" s="212" t="str">
        <f t="shared" si="16"/>
        <v/>
      </c>
      <c r="Y179" s="213"/>
      <c r="Z179" s="213"/>
      <c r="AA179" s="212" t="str">
        <f t="shared" si="17"/>
        <v/>
      </c>
      <c r="AB179" s="211"/>
      <c r="AC179" s="211"/>
      <c r="AD179" s="211"/>
      <c r="AE179" s="210"/>
    </row>
    <row r="180" spans="1:31">
      <c r="A180" s="211"/>
      <c r="B180" s="216"/>
      <c r="C180" s="215"/>
      <c r="D180" s="211"/>
      <c r="E180" s="211"/>
      <c r="F180" s="211"/>
      <c r="G180" s="213"/>
      <c r="H180" s="213"/>
      <c r="I180" s="213"/>
      <c r="J180" s="213"/>
      <c r="K180" s="213"/>
      <c r="L180" s="213"/>
      <c r="M180" s="212" t="str">
        <f t="shared" si="15"/>
        <v/>
      </c>
      <c r="N180" s="213"/>
      <c r="O180" s="213"/>
      <c r="P180" s="213"/>
      <c r="Q180" s="213"/>
      <c r="R180" s="213"/>
      <c r="S180" s="214"/>
      <c r="T180" s="213"/>
      <c r="U180" s="213"/>
      <c r="V180" s="213"/>
      <c r="W180" s="213"/>
      <c r="X180" s="212" t="str">
        <f t="shared" si="16"/>
        <v/>
      </c>
      <c r="Y180" s="213"/>
      <c r="Z180" s="213"/>
      <c r="AA180" s="212" t="str">
        <f t="shared" si="17"/>
        <v/>
      </c>
      <c r="AB180" s="211"/>
      <c r="AC180" s="211"/>
      <c r="AD180" s="211"/>
      <c r="AE180" s="210"/>
    </row>
    <row r="181" spans="1:31">
      <c r="A181" s="211"/>
      <c r="B181" s="216"/>
      <c r="C181" s="215"/>
      <c r="D181" s="211"/>
      <c r="E181" s="211"/>
      <c r="F181" s="211"/>
      <c r="G181" s="213"/>
      <c r="H181" s="213"/>
      <c r="I181" s="213"/>
      <c r="J181" s="213"/>
      <c r="K181" s="213"/>
      <c r="L181" s="213"/>
      <c r="M181" s="212" t="str">
        <f t="shared" si="15"/>
        <v/>
      </c>
      <c r="N181" s="213"/>
      <c r="O181" s="213"/>
      <c r="P181" s="213"/>
      <c r="Q181" s="213"/>
      <c r="R181" s="213"/>
      <c r="S181" s="214"/>
      <c r="T181" s="213"/>
      <c r="U181" s="213"/>
      <c r="V181" s="213"/>
      <c r="W181" s="213"/>
      <c r="X181" s="212" t="str">
        <f t="shared" si="16"/>
        <v/>
      </c>
      <c r="Y181" s="213"/>
      <c r="Z181" s="213"/>
      <c r="AA181" s="212" t="str">
        <f t="shared" si="17"/>
        <v/>
      </c>
      <c r="AB181" s="211"/>
      <c r="AC181" s="211"/>
      <c r="AD181" s="211"/>
      <c r="AE181" s="210"/>
    </row>
    <row r="182" spans="1:31">
      <c r="A182" s="211"/>
      <c r="B182" s="216"/>
      <c r="C182" s="215"/>
      <c r="D182" s="211"/>
      <c r="E182" s="211"/>
      <c r="F182" s="211"/>
      <c r="G182" s="213"/>
      <c r="H182" s="213"/>
      <c r="I182" s="213"/>
      <c r="J182" s="213"/>
      <c r="K182" s="213"/>
      <c r="L182" s="213"/>
      <c r="M182" s="212" t="str">
        <f t="shared" si="15"/>
        <v/>
      </c>
      <c r="N182" s="213"/>
      <c r="O182" s="213"/>
      <c r="P182" s="213"/>
      <c r="Q182" s="213"/>
      <c r="R182" s="213"/>
      <c r="S182" s="214"/>
      <c r="T182" s="213"/>
      <c r="U182" s="213"/>
      <c r="V182" s="213"/>
      <c r="W182" s="213"/>
      <c r="X182" s="212" t="str">
        <f t="shared" si="16"/>
        <v/>
      </c>
      <c r="Y182" s="213"/>
      <c r="Z182" s="213"/>
      <c r="AA182" s="212" t="str">
        <f t="shared" si="17"/>
        <v/>
      </c>
      <c r="AB182" s="211"/>
      <c r="AC182" s="211"/>
      <c r="AD182" s="211"/>
      <c r="AE182" s="210"/>
    </row>
    <row r="183" spans="1:31">
      <c r="A183" s="211"/>
      <c r="B183" s="216"/>
      <c r="C183" s="215"/>
      <c r="D183" s="211"/>
      <c r="E183" s="211"/>
      <c r="F183" s="211"/>
      <c r="G183" s="213"/>
      <c r="H183" s="213"/>
      <c r="I183" s="213"/>
      <c r="J183" s="213"/>
      <c r="K183" s="213"/>
      <c r="L183" s="213"/>
      <c r="M183" s="212" t="str">
        <f t="shared" si="15"/>
        <v/>
      </c>
      <c r="N183" s="213"/>
      <c r="O183" s="213"/>
      <c r="P183" s="213"/>
      <c r="Q183" s="213"/>
      <c r="R183" s="213"/>
      <c r="S183" s="214"/>
      <c r="T183" s="213"/>
      <c r="U183" s="213"/>
      <c r="V183" s="213"/>
      <c r="W183" s="213"/>
      <c r="X183" s="212" t="str">
        <f t="shared" si="16"/>
        <v/>
      </c>
      <c r="Y183" s="213"/>
      <c r="Z183" s="213"/>
      <c r="AA183" s="212" t="str">
        <f t="shared" si="17"/>
        <v/>
      </c>
      <c r="AB183" s="211"/>
      <c r="AC183" s="211"/>
      <c r="AD183" s="211"/>
      <c r="AE183" s="210"/>
    </row>
    <row r="184" spans="1:31">
      <c r="A184" s="211"/>
      <c r="B184" s="216"/>
      <c r="C184" s="215"/>
      <c r="D184" s="211"/>
      <c r="E184" s="211"/>
      <c r="F184" s="211"/>
      <c r="G184" s="213"/>
      <c r="H184" s="213"/>
      <c r="I184" s="213"/>
      <c r="J184" s="213"/>
      <c r="K184" s="213"/>
      <c r="L184" s="213"/>
      <c r="M184" s="212" t="str">
        <f t="shared" si="15"/>
        <v/>
      </c>
      <c r="N184" s="213"/>
      <c r="O184" s="213"/>
      <c r="P184" s="213"/>
      <c r="Q184" s="213"/>
      <c r="R184" s="213"/>
      <c r="S184" s="214"/>
      <c r="T184" s="213"/>
      <c r="U184" s="213"/>
      <c r="V184" s="213"/>
      <c r="W184" s="213"/>
      <c r="X184" s="212" t="str">
        <f t="shared" si="16"/>
        <v/>
      </c>
      <c r="Y184" s="213"/>
      <c r="Z184" s="213"/>
      <c r="AA184" s="212" t="str">
        <f t="shared" si="17"/>
        <v/>
      </c>
      <c r="AB184" s="211"/>
      <c r="AC184" s="211"/>
      <c r="AD184" s="211"/>
      <c r="AE184" s="210"/>
    </row>
    <row r="185" spans="1:31">
      <c r="A185" s="211"/>
      <c r="B185" s="216"/>
      <c r="C185" s="215"/>
      <c r="D185" s="211"/>
      <c r="E185" s="211"/>
      <c r="F185" s="211"/>
      <c r="G185" s="213"/>
      <c r="H185" s="213"/>
      <c r="I185" s="213"/>
      <c r="J185" s="213"/>
      <c r="K185" s="213"/>
      <c r="L185" s="213"/>
      <c r="M185" s="212" t="str">
        <f t="shared" si="15"/>
        <v/>
      </c>
      <c r="N185" s="213"/>
      <c r="O185" s="213"/>
      <c r="P185" s="213"/>
      <c r="Q185" s="213"/>
      <c r="R185" s="213"/>
      <c r="S185" s="214"/>
      <c r="T185" s="213"/>
      <c r="U185" s="213"/>
      <c r="V185" s="213"/>
      <c r="W185" s="213"/>
      <c r="X185" s="212" t="str">
        <f t="shared" si="16"/>
        <v/>
      </c>
      <c r="Y185" s="213"/>
      <c r="Z185" s="213"/>
      <c r="AA185" s="212" t="str">
        <f t="shared" si="17"/>
        <v/>
      </c>
      <c r="AB185" s="211"/>
      <c r="AC185" s="211"/>
      <c r="AD185" s="211"/>
      <c r="AE185" s="210"/>
    </row>
    <row r="186" spans="1:31">
      <c r="A186" s="211"/>
      <c r="B186" s="216"/>
      <c r="C186" s="215"/>
      <c r="D186" s="211"/>
      <c r="E186" s="211"/>
      <c r="F186" s="211"/>
      <c r="G186" s="213"/>
      <c r="H186" s="213"/>
      <c r="I186" s="213"/>
      <c r="J186" s="213"/>
      <c r="K186" s="213"/>
      <c r="L186" s="213"/>
      <c r="M186" s="212" t="str">
        <f t="shared" si="15"/>
        <v/>
      </c>
      <c r="N186" s="213"/>
      <c r="O186" s="213"/>
      <c r="P186" s="213"/>
      <c r="Q186" s="213"/>
      <c r="R186" s="213"/>
      <c r="S186" s="214"/>
      <c r="T186" s="213"/>
      <c r="U186" s="213"/>
      <c r="V186" s="213"/>
      <c r="W186" s="213"/>
      <c r="X186" s="212" t="str">
        <f t="shared" si="16"/>
        <v/>
      </c>
      <c r="Y186" s="213"/>
      <c r="Z186" s="213"/>
      <c r="AA186" s="212" t="str">
        <f t="shared" si="17"/>
        <v/>
      </c>
      <c r="AB186" s="211"/>
      <c r="AC186" s="211"/>
      <c r="AD186" s="211"/>
      <c r="AE186" s="210"/>
    </row>
    <row r="187" spans="1:31">
      <c r="A187" s="211"/>
      <c r="B187" s="216"/>
      <c r="C187" s="215"/>
      <c r="D187" s="211"/>
      <c r="E187" s="211"/>
      <c r="F187" s="211"/>
      <c r="G187" s="213"/>
      <c r="H187" s="213"/>
      <c r="I187" s="213"/>
      <c r="J187" s="213"/>
      <c r="K187" s="213"/>
      <c r="L187" s="213"/>
      <c r="M187" s="212" t="str">
        <f t="shared" si="15"/>
        <v/>
      </c>
      <c r="N187" s="213"/>
      <c r="O187" s="213"/>
      <c r="P187" s="213"/>
      <c r="Q187" s="213"/>
      <c r="R187" s="213"/>
      <c r="S187" s="214"/>
      <c r="T187" s="213"/>
      <c r="U187" s="213"/>
      <c r="V187" s="213"/>
      <c r="W187" s="213"/>
      <c r="X187" s="212" t="str">
        <f t="shared" si="16"/>
        <v/>
      </c>
      <c r="Y187" s="213"/>
      <c r="Z187" s="213"/>
      <c r="AA187" s="212" t="str">
        <f t="shared" si="17"/>
        <v/>
      </c>
      <c r="AB187" s="211"/>
      <c r="AC187" s="211"/>
      <c r="AD187" s="211"/>
      <c r="AE187" s="210"/>
    </row>
    <row r="188" spans="1:31">
      <c r="A188" s="211"/>
      <c r="B188" s="216"/>
      <c r="C188" s="215"/>
      <c r="D188" s="211"/>
      <c r="E188" s="211"/>
      <c r="F188" s="211"/>
      <c r="G188" s="213"/>
      <c r="H188" s="213"/>
      <c r="I188" s="213"/>
      <c r="J188" s="213"/>
      <c r="K188" s="213"/>
      <c r="L188" s="213"/>
      <c r="M188" s="212" t="str">
        <f t="shared" si="15"/>
        <v/>
      </c>
      <c r="N188" s="213"/>
      <c r="O188" s="213"/>
      <c r="P188" s="213"/>
      <c r="Q188" s="213"/>
      <c r="R188" s="213"/>
      <c r="S188" s="214"/>
      <c r="T188" s="213"/>
      <c r="U188" s="213"/>
      <c r="V188" s="213"/>
      <c r="W188" s="213"/>
      <c r="X188" s="212" t="str">
        <f t="shared" si="16"/>
        <v/>
      </c>
      <c r="Y188" s="213"/>
      <c r="Z188" s="213"/>
      <c r="AA188" s="212" t="str">
        <f t="shared" si="17"/>
        <v/>
      </c>
      <c r="AB188" s="211"/>
      <c r="AC188" s="211"/>
      <c r="AD188" s="211"/>
      <c r="AE188" s="210"/>
    </row>
    <row r="189" spans="1:31">
      <c r="A189" s="211"/>
      <c r="B189" s="216"/>
      <c r="C189" s="215"/>
      <c r="D189" s="211"/>
      <c r="E189" s="211"/>
      <c r="F189" s="211"/>
      <c r="G189" s="213"/>
      <c r="H189" s="213"/>
      <c r="I189" s="213"/>
      <c r="J189" s="213"/>
      <c r="K189" s="213"/>
      <c r="L189" s="213"/>
      <c r="M189" s="212" t="str">
        <f t="shared" si="15"/>
        <v/>
      </c>
      <c r="N189" s="213"/>
      <c r="O189" s="213"/>
      <c r="P189" s="213"/>
      <c r="Q189" s="213"/>
      <c r="R189" s="213"/>
      <c r="S189" s="214"/>
      <c r="T189" s="213"/>
      <c r="U189" s="213"/>
      <c r="V189" s="213"/>
      <c r="W189" s="213"/>
      <c r="X189" s="212" t="str">
        <f t="shared" si="16"/>
        <v/>
      </c>
      <c r="Y189" s="213"/>
      <c r="Z189" s="213"/>
      <c r="AA189" s="212" t="str">
        <f t="shared" si="17"/>
        <v/>
      </c>
      <c r="AB189" s="211"/>
      <c r="AC189" s="211"/>
      <c r="AD189" s="211"/>
      <c r="AE189" s="210"/>
    </row>
    <row r="190" spans="1:31">
      <c r="A190" s="211"/>
      <c r="B190" s="216"/>
      <c r="C190" s="215"/>
      <c r="D190" s="211"/>
      <c r="E190" s="211"/>
      <c r="F190" s="211"/>
      <c r="G190" s="213"/>
      <c r="H190" s="213"/>
      <c r="I190" s="213"/>
      <c r="J190" s="213"/>
      <c r="K190" s="213"/>
      <c r="L190" s="213"/>
      <c r="M190" s="212" t="str">
        <f t="shared" si="15"/>
        <v/>
      </c>
      <c r="N190" s="213"/>
      <c r="O190" s="213"/>
      <c r="P190" s="213"/>
      <c r="Q190" s="213"/>
      <c r="R190" s="213"/>
      <c r="S190" s="214"/>
      <c r="T190" s="213"/>
      <c r="U190" s="213"/>
      <c r="V190" s="213"/>
      <c r="W190" s="213"/>
      <c r="X190" s="212" t="str">
        <f t="shared" si="16"/>
        <v/>
      </c>
      <c r="Y190" s="213"/>
      <c r="Z190" s="213"/>
      <c r="AA190" s="212" t="str">
        <f t="shared" si="17"/>
        <v/>
      </c>
      <c r="AB190" s="211"/>
      <c r="AC190" s="211"/>
      <c r="AD190" s="211"/>
      <c r="AE190" s="210"/>
    </row>
    <row r="191" spans="1:31">
      <c r="A191" s="211"/>
      <c r="B191" s="216"/>
      <c r="C191" s="215"/>
      <c r="D191" s="211"/>
      <c r="E191" s="211"/>
      <c r="F191" s="211"/>
      <c r="G191" s="213"/>
      <c r="H191" s="213"/>
      <c r="I191" s="213"/>
      <c r="J191" s="213"/>
      <c r="K191" s="213"/>
      <c r="L191" s="213"/>
      <c r="M191" s="212" t="str">
        <f t="shared" si="15"/>
        <v/>
      </c>
      <c r="N191" s="213"/>
      <c r="O191" s="213"/>
      <c r="P191" s="213"/>
      <c r="Q191" s="213"/>
      <c r="R191" s="213"/>
      <c r="S191" s="214"/>
      <c r="T191" s="213"/>
      <c r="U191" s="213"/>
      <c r="V191" s="213"/>
      <c r="W191" s="213"/>
      <c r="X191" s="212" t="str">
        <f t="shared" si="16"/>
        <v/>
      </c>
      <c r="Y191" s="213"/>
      <c r="Z191" s="213"/>
      <c r="AA191" s="212" t="str">
        <f t="shared" si="17"/>
        <v/>
      </c>
      <c r="AB191" s="211"/>
      <c r="AC191" s="211"/>
      <c r="AD191" s="211"/>
      <c r="AE191" s="210"/>
    </row>
    <row r="192" spans="1:31">
      <c r="A192" s="211"/>
      <c r="B192" s="216"/>
      <c r="C192" s="215"/>
      <c r="D192" s="211"/>
      <c r="E192" s="211"/>
      <c r="F192" s="211"/>
      <c r="G192" s="213"/>
      <c r="H192" s="213"/>
      <c r="I192" s="213"/>
      <c r="J192" s="213"/>
      <c r="K192" s="213"/>
      <c r="L192" s="213"/>
      <c r="M192" s="212" t="str">
        <f t="shared" si="15"/>
        <v/>
      </c>
      <c r="N192" s="213"/>
      <c r="O192" s="213"/>
      <c r="P192" s="213"/>
      <c r="Q192" s="213"/>
      <c r="R192" s="213"/>
      <c r="S192" s="214"/>
      <c r="T192" s="213"/>
      <c r="U192" s="213"/>
      <c r="V192" s="213"/>
      <c r="W192" s="213"/>
      <c r="X192" s="212" t="str">
        <f t="shared" si="16"/>
        <v/>
      </c>
      <c r="Y192" s="213"/>
      <c r="Z192" s="213"/>
      <c r="AA192" s="212" t="str">
        <f t="shared" si="17"/>
        <v/>
      </c>
      <c r="AB192" s="211"/>
      <c r="AC192" s="211"/>
      <c r="AD192" s="211"/>
      <c r="AE192" s="210"/>
    </row>
    <row r="193" spans="1:31">
      <c r="A193" s="211"/>
      <c r="B193" s="216"/>
      <c r="C193" s="215"/>
      <c r="D193" s="211"/>
      <c r="E193" s="211"/>
      <c r="F193" s="211"/>
      <c r="G193" s="213"/>
      <c r="H193" s="213"/>
      <c r="I193" s="213"/>
      <c r="J193" s="213"/>
      <c r="K193" s="213"/>
      <c r="L193" s="213"/>
      <c r="M193" s="212" t="str">
        <f t="shared" si="15"/>
        <v/>
      </c>
      <c r="N193" s="213"/>
      <c r="O193" s="213"/>
      <c r="P193" s="213"/>
      <c r="Q193" s="213"/>
      <c r="R193" s="213"/>
      <c r="S193" s="214"/>
      <c r="T193" s="213"/>
      <c r="U193" s="213"/>
      <c r="V193" s="213"/>
      <c r="W193" s="213"/>
      <c r="X193" s="212" t="str">
        <f t="shared" si="16"/>
        <v/>
      </c>
      <c r="Y193" s="213"/>
      <c r="Z193" s="213"/>
      <c r="AA193" s="212" t="str">
        <f t="shared" si="17"/>
        <v/>
      </c>
      <c r="AB193" s="211"/>
      <c r="AC193" s="211"/>
      <c r="AD193" s="211"/>
      <c r="AE193" s="210"/>
    </row>
    <row r="194" spans="1:31">
      <c r="A194" s="211"/>
      <c r="B194" s="216"/>
      <c r="C194" s="215"/>
      <c r="D194" s="211"/>
      <c r="E194" s="211"/>
      <c r="F194" s="211"/>
      <c r="G194" s="213"/>
      <c r="H194" s="213"/>
      <c r="I194" s="213"/>
      <c r="J194" s="213"/>
      <c r="K194" s="213"/>
      <c r="L194" s="213"/>
      <c r="M194" s="212" t="str">
        <f t="shared" si="15"/>
        <v/>
      </c>
      <c r="N194" s="213"/>
      <c r="O194" s="213"/>
      <c r="P194" s="213"/>
      <c r="Q194" s="213"/>
      <c r="R194" s="213"/>
      <c r="S194" s="214"/>
      <c r="T194" s="213"/>
      <c r="U194" s="213"/>
      <c r="V194" s="213"/>
      <c r="W194" s="213"/>
      <c r="X194" s="212" t="str">
        <f t="shared" si="16"/>
        <v/>
      </c>
      <c r="Y194" s="213"/>
      <c r="Z194" s="213"/>
      <c r="AA194" s="212" t="str">
        <f t="shared" si="17"/>
        <v/>
      </c>
      <c r="AB194" s="211"/>
      <c r="AC194" s="211"/>
      <c r="AD194" s="211"/>
      <c r="AE194" s="210"/>
    </row>
    <row r="195" spans="1:31">
      <c r="A195" s="211"/>
      <c r="B195" s="216"/>
      <c r="C195" s="215"/>
      <c r="D195" s="211"/>
      <c r="E195" s="211"/>
      <c r="F195" s="211"/>
      <c r="G195" s="213"/>
      <c r="H195" s="213"/>
      <c r="I195" s="213"/>
      <c r="J195" s="213"/>
      <c r="K195" s="213"/>
      <c r="L195" s="213"/>
      <c r="M195" s="212" t="str">
        <f t="shared" si="15"/>
        <v/>
      </c>
      <c r="N195" s="213"/>
      <c r="O195" s="213"/>
      <c r="P195" s="213"/>
      <c r="Q195" s="213"/>
      <c r="R195" s="213"/>
      <c r="S195" s="214"/>
      <c r="T195" s="213"/>
      <c r="U195" s="213"/>
      <c r="V195" s="213"/>
      <c r="W195" s="213"/>
      <c r="X195" s="212" t="str">
        <f t="shared" si="16"/>
        <v/>
      </c>
      <c r="Y195" s="213"/>
      <c r="Z195" s="213"/>
      <c r="AA195" s="212" t="str">
        <f t="shared" si="17"/>
        <v/>
      </c>
      <c r="AB195" s="211"/>
      <c r="AC195" s="211"/>
      <c r="AD195" s="211"/>
      <c r="AE195" s="210"/>
    </row>
    <row r="196" spans="1:31">
      <c r="A196" s="211"/>
      <c r="B196" s="216"/>
      <c r="C196" s="215"/>
      <c r="D196" s="211"/>
      <c r="E196" s="211"/>
      <c r="F196" s="211"/>
      <c r="G196" s="213"/>
      <c r="H196" s="213"/>
      <c r="I196" s="213"/>
      <c r="J196" s="213"/>
      <c r="K196" s="213"/>
      <c r="L196" s="213"/>
      <c r="M196" s="212" t="str">
        <f t="shared" si="15"/>
        <v/>
      </c>
      <c r="N196" s="213"/>
      <c r="O196" s="213"/>
      <c r="P196" s="213"/>
      <c r="Q196" s="213"/>
      <c r="R196" s="213"/>
      <c r="S196" s="214"/>
      <c r="T196" s="213"/>
      <c r="U196" s="213"/>
      <c r="V196" s="213"/>
      <c r="W196" s="213"/>
      <c r="X196" s="212" t="str">
        <f t="shared" si="16"/>
        <v/>
      </c>
      <c r="Y196" s="213"/>
      <c r="Z196" s="213"/>
      <c r="AA196" s="212" t="str">
        <f t="shared" si="17"/>
        <v/>
      </c>
      <c r="AB196" s="211"/>
      <c r="AC196" s="211"/>
      <c r="AD196" s="211"/>
      <c r="AE196" s="210"/>
    </row>
    <row r="197" spans="1:31">
      <c r="A197" s="211"/>
      <c r="B197" s="216"/>
      <c r="C197" s="215"/>
      <c r="D197" s="211"/>
      <c r="E197" s="211"/>
      <c r="F197" s="211"/>
      <c r="G197" s="213"/>
      <c r="H197" s="213"/>
      <c r="I197" s="213"/>
      <c r="J197" s="213"/>
      <c r="K197" s="213"/>
      <c r="L197" s="213"/>
      <c r="M197" s="212" t="str">
        <f t="shared" si="15"/>
        <v/>
      </c>
      <c r="N197" s="213"/>
      <c r="O197" s="213"/>
      <c r="P197" s="213"/>
      <c r="Q197" s="213"/>
      <c r="R197" s="213"/>
      <c r="S197" s="214"/>
      <c r="T197" s="213"/>
      <c r="U197" s="213"/>
      <c r="V197" s="213"/>
      <c r="W197" s="213"/>
      <c r="X197" s="212" t="str">
        <f t="shared" si="16"/>
        <v/>
      </c>
      <c r="Y197" s="213"/>
      <c r="Z197" s="213"/>
      <c r="AA197" s="212" t="str">
        <f t="shared" si="17"/>
        <v/>
      </c>
      <c r="AB197" s="211"/>
      <c r="AC197" s="211"/>
      <c r="AD197" s="211"/>
      <c r="AE197" s="210"/>
    </row>
    <row r="198" spans="1:31">
      <c r="A198" s="211"/>
      <c r="B198" s="216"/>
      <c r="C198" s="215"/>
      <c r="D198" s="211"/>
      <c r="E198" s="211"/>
      <c r="F198" s="211"/>
      <c r="G198" s="213"/>
      <c r="H198" s="213"/>
      <c r="I198" s="213"/>
      <c r="J198" s="213"/>
      <c r="K198" s="213"/>
      <c r="L198" s="213"/>
      <c r="M198" s="212" t="str">
        <f t="shared" ref="M198:M205" si="18">IF(OR($A198="",$G198=0),"",$K198/$G198)</f>
        <v/>
      </c>
      <c r="N198" s="213"/>
      <c r="O198" s="213"/>
      <c r="P198" s="213"/>
      <c r="Q198" s="213"/>
      <c r="R198" s="213"/>
      <c r="S198" s="214"/>
      <c r="T198" s="213"/>
      <c r="U198" s="213"/>
      <c r="V198" s="213"/>
      <c r="W198" s="213"/>
      <c r="X198" s="212" t="str">
        <f t="shared" ref="X198:X205" si="19">IF(OR($A198="",$T198=0),"",$U198/$T198)</f>
        <v/>
      </c>
      <c r="Y198" s="213"/>
      <c r="Z198" s="213"/>
      <c r="AA198" s="212" t="str">
        <f t="shared" ref="AA198:AA205" si="20">IF(OR($A198="",$Y198=0),"",$Z198/$Y198)</f>
        <v/>
      </c>
      <c r="AB198" s="211"/>
      <c r="AC198" s="211"/>
      <c r="AD198" s="211"/>
      <c r="AE198" s="210"/>
    </row>
    <row r="199" spans="1:31">
      <c r="A199" s="211"/>
      <c r="B199" s="216"/>
      <c r="C199" s="215"/>
      <c r="D199" s="211"/>
      <c r="E199" s="211"/>
      <c r="F199" s="211"/>
      <c r="G199" s="213"/>
      <c r="H199" s="213"/>
      <c r="I199" s="213"/>
      <c r="J199" s="213"/>
      <c r="K199" s="213"/>
      <c r="L199" s="213"/>
      <c r="M199" s="212" t="str">
        <f t="shared" si="18"/>
        <v/>
      </c>
      <c r="N199" s="213"/>
      <c r="O199" s="213"/>
      <c r="P199" s="213"/>
      <c r="Q199" s="213"/>
      <c r="R199" s="213"/>
      <c r="S199" s="214"/>
      <c r="T199" s="213"/>
      <c r="U199" s="213"/>
      <c r="V199" s="213"/>
      <c r="W199" s="213"/>
      <c r="X199" s="212" t="str">
        <f t="shared" si="19"/>
        <v/>
      </c>
      <c r="Y199" s="213"/>
      <c r="Z199" s="213"/>
      <c r="AA199" s="212" t="str">
        <f t="shared" si="20"/>
        <v/>
      </c>
      <c r="AB199" s="211"/>
      <c r="AC199" s="211"/>
      <c r="AD199" s="211"/>
      <c r="AE199" s="210"/>
    </row>
    <row r="200" spans="1:31">
      <c r="A200" s="211"/>
      <c r="B200" s="216"/>
      <c r="C200" s="215"/>
      <c r="D200" s="211"/>
      <c r="E200" s="211"/>
      <c r="F200" s="211"/>
      <c r="G200" s="213"/>
      <c r="H200" s="213"/>
      <c r="I200" s="213"/>
      <c r="J200" s="213"/>
      <c r="K200" s="213"/>
      <c r="L200" s="213"/>
      <c r="M200" s="212" t="str">
        <f t="shared" si="18"/>
        <v/>
      </c>
      <c r="N200" s="213"/>
      <c r="O200" s="213"/>
      <c r="P200" s="213"/>
      <c r="Q200" s="213"/>
      <c r="R200" s="213"/>
      <c r="S200" s="214"/>
      <c r="T200" s="213"/>
      <c r="U200" s="213"/>
      <c r="V200" s="213"/>
      <c r="W200" s="213"/>
      <c r="X200" s="212" t="str">
        <f t="shared" si="19"/>
        <v/>
      </c>
      <c r="Y200" s="213"/>
      <c r="Z200" s="213"/>
      <c r="AA200" s="212" t="str">
        <f t="shared" si="20"/>
        <v/>
      </c>
      <c r="AB200" s="211"/>
      <c r="AC200" s="211"/>
      <c r="AD200" s="211"/>
      <c r="AE200" s="210"/>
    </row>
    <row r="201" spans="1:31">
      <c r="A201" s="211"/>
      <c r="B201" s="216"/>
      <c r="C201" s="215"/>
      <c r="D201" s="211"/>
      <c r="E201" s="211"/>
      <c r="F201" s="211"/>
      <c r="G201" s="213"/>
      <c r="H201" s="213"/>
      <c r="I201" s="213"/>
      <c r="J201" s="213"/>
      <c r="K201" s="213"/>
      <c r="L201" s="213"/>
      <c r="M201" s="212" t="str">
        <f t="shared" si="18"/>
        <v/>
      </c>
      <c r="N201" s="213"/>
      <c r="O201" s="213"/>
      <c r="P201" s="213"/>
      <c r="Q201" s="213"/>
      <c r="R201" s="213"/>
      <c r="S201" s="214"/>
      <c r="T201" s="213"/>
      <c r="U201" s="213"/>
      <c r="V201" s="213"/>
      <c r="W201" s="213"/>
      <c r="X201" s="212" t="str">
        <f t="shared" si="19"/>
        <v/>
      </c>
      <c r="Y201" s="213"/>
      <c r="Z201" s="213"/>
      <c r="AA201" s="212" t="str">
        <f t="shared" si="20"/>
        <v/>
      </c>
      <c r="AB201" s="211"/>
      <c r="AC201" s="211"/>
      <c r="AD201" s="211"/>
      <c r="AE201" s="210"/>
    </row>
    <row r="202" spans="1:31">
      <c r="A202" s="211"/>
      <c r="B202" s="216"/>
      <c r="C202" s="215"/>
      <c r="D202" s="211"/>
      <c r="E202" s="211"/>
      <c r="F202" s="211"/>
      <c r="G202" s="213"/>
      <c r="H202" s="213"/>
      <c r="I202" s="213"/>
      <c r="J202" s="213"/>
      <c r="K202" s="213"/>
      <c r="L202" s="213"/>
      <c r="M202" s="212" t="str">
        <f t="shared" si="18"/>
        <v/>
      </c>
      <c r="N202" s="213"/>
      <c r="O202" s="213"/>
      <c r="P202" s="213"/>
      <c r="Q202" s="213"/>
      <c r="R202" s="213"/>
      <c r="S202" s="214"/>
      <c r="T202" s="213"/>
      <c r="U202" s="213"/>
      <c r="V202" s="213"/>
      <c r="W202" s="213"/>
      <c r="X202" s="212" t="str">
        <f t="shared" si="19"/>
        <v/>
      </c>
      <c r="Y202" s="213"/>
      <c r="Z202" s="213"/>
      <c r="AA202" s="212" t="str">
        <f t="shared" si="20"/>
        <v/>
      </c>
      <c r="AB202" s="211"/>
      <c r="AC202" s="211"/>
      <c r="AD202" s="211"/>
      <c r="AE202" s="210"/>
    </row>
    <row r="203" spans="1:31">
      <c r="A203" s="211"/>
      <c r="B203" s="216"/>
      <c r="C203" s="215"/>
      <c r="D203" s="211"/>
      <c r="E203" s="211"/>
      <c r="F203" s="211"/>
      <c r="G203" s="213"/>
      <c r="H203" s="213"/>
      <c r="I203" s="213"/>
      <c r="J203" s="213"/>
      <c r="K203" s="213"/>
      <c r="L203" s="213"/>
      <c r="M203" s="212" t="str">
        <f t="shared" si="18"/>
        <v/>
      </c>
      <c r="N203" s="213"/>
      <c r="O203" s="213"/>
      <c r="P203" s="213"/>
      <c r="Q203" s="213"/>
      <c r="R203" s="213"/>
      <c r="S203" s="214"/>
      <c r="T203" s="213"/>
      <c r="U203" s="213"/>
      <c r="V203" s="213"/>
      <c r="W203" s="213"/>
      <c r="X203" s="212" t="str">
        <f t="shared" si="19"/>
        <v/>
      </c>
      <c r="Y203" s="213"/>
      <c r="Z203" s="213"/>
      <c r="AA203" s="212" t="str">
        <f t="shared" si="20"/>
        <v/>
      </c>
      <c r="AB203" s="211"/>
      <c r="AC203" s="211"/>
      <c r="AD203" s="211"/>
      <c r="AE203" s="210"/>
    </row>
    <row r="204" spans="1:31">
      <c r="A204" s="211"/>
      <c r="B204" s="216"/>
      <c r="C204" s="215"/>
      <c r="D204" s="211"/>
      <c r="E204" s="211"/>
      <c r="F204" s="211"/>
      <c r="G204" s="213"/>
      <c r="H204" s="213"/>
      <c r="I204" s="213"/>
      <c r="J204" s="213"/>
      <c r="K204" s="213"/>
      <c r="L204" s="213"/>
      <c r="M204" s="212" t="str">
        <f t="shared" si="18"/>
        <v/>
      </c>
      <c r="N204" s="213"/>
      <c r="O204" s="213"/>
      <c r="P204" s="213"/>
      <c r="Q204" s="213"/>
      <c r="R204" s="213"/>
      <c r="S204" s="214"/>
      <c r="T204" s="213"/>
      <c r="U204" s="213"/>
      <c r="V204" s="213"/>
      <c r="W204" s="213"/>
      <c r="X204" s="212" t="str">
        <f t="shared" si="19"/>
        <v/>
      </c>
      <c r="Y204" s="213"/>
      <c r="Z204" s="213"/>
      <c r="AA204" s="212" t="str">
        <f t="shared" si="20"/>
        <v/>
      </c>
      <c r="AB204" s="211"/>
      <c r="AC204" s="211"/>
      <c r="AD204" s="211"/>
      <c r="AE204" s="210"/>
    </row>
    <row r="205" spans="1:31">
      <c r="A205" s="204"/>
      <c r="B205" s="209"/>
      <c r="C205" s="208"/>
      <c r="D205" s="204"/>
      <c r="E205" s="204"/>
      <c r="F205" s="204"/>
      <c r="G205" s="206"/>
      <c r="H205" s="206"/>
      <c r="I205" s="206"/>
      <c r="J205" s="206"/>
      <c r="K205" s="206"/>
      <c r="L205" s="206"/>
      <c r="M205" s="205" t="str">
        <f t="shared" si="18"/>
        <v/>
      </c>
      <c r="N205" s="206"/>
      <c r="O205" s="206"/>
      <c r="P205" s="206"/>
      <c r="Q205" s="206"/>
      <c r="R205" s="206"/>
      <c r="S205" s="207"/>
      <c r="T205" s="206"/>
      <c r="U205" s="206"/>
      <c r="V205" s="206"/>
      <c r="W205" s="206"/>
      <c r="X205" s="205" t="str">
        <f t="shared" si="19"/>
        <v/>
      </c>
      <c r="Y205" s="206"/>
      <c r="Z205" s="206"/>
      <c r="AA205" s="205" t="str">
        <f t="shared" si="20"/>
        <v/>
      </c>
      <c r="AB205" s="204"/>
      <c r="AC205" s="204"/>
      <c r="AD205" s="204"/>
      <c r="AE205" s="203"/>
    </row>
  </sheetData>
  <mergeCells count="3">
    <mergeCell ref="A1:AE1"/>
    <mergeCell ref="A2:AE2"/>
    <mergeCell ref="A3:AE3"/>
  </mergeCells>
  <conditionalFormatting sqref="F6:F205">
    <cfRule type="expression" dxfId="2" priority="1">
      <formula>F6="FINAL"</formula>
    </cfRule>
    <cfRule type="expression" dxfId="1" priority="2">
      <formula>F6="DRAFT"</formula>
    </cfRule>
  </conditionalFormatting>
  <dataValidations count="2">
    <dataValidation type="list" sqref="F6:F205" xr:uid="{00000000-0002-0000-0A00-000001000000}">
      <formula1>"DRAFT,FINAL"</formula1>
    </dataValidation>
    <dataValidation type="list" sqref="D6:D205" xr:uid="{00000000-0002-0000-0A00-000000000000}">
      <formula1>"KOTA,KECAMATAN"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1BEFD-C966-4BFB-9EAA-A71877871A8D}">
  <dimension ref="A1"/>
  <sheetViews>
    <sheetView workbookViewId="0">
      <selection activeCell="D1" sqref="D1"/>
    </sheetView>
  </sheetViews>
  <sheetFormatPr defaultRowHeight="14"/>
  <sheetData>
    <row r="1" spans="1:1" ht="237.5">
      <c r="A1" s="195" t="s">
        <v>2423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2026-08-14T04:12:00Z</dcterms:modified>
</cp:coreProperties>
</file>