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8224c2c909f40a5" /></Relationships>
</file>

<file path=xl/workbook.xml><?xml version="1.0" encoding="utf-8"?>
<x:workbook xmlns:x="http://schemas.openxmlformats.org/spreadsheetml/2006/main">
  <x:sheets>
    <x:sheet xmlns:r="http://schemas.openxmlformats.org/officeDocument/2006/relationships" name="DOKUMEN_PENDUKUNG" sheetId="14" r:id="Rdfafbb21b1494319"/>
    <x:sheet xmlns:r="http://schemas.openxmlformats.org/officeDocument/2006/relationships" name="PERUMAHAN" sheetId="1" r:id="Rfaffcd3167fe4c4e"/>
    <x:sheet xmlns:r="http://schemas.openxmlformats.org/officeDocument/2006/relationships" name="BACKLOG_KECAMATAN" sheetId="8" r:id="Re8baab4c3e0e4572"/>
    <x:sheet xmlns:r="http://schemas.openxmlformats.org/officeDocument/2006/relationships" name="RTLH_RLH_KECAMATAN" sheetId="3" r:id="Rcf81ca02f2f14cc0"/>
    <x:sheet xmlns:r="http://schemas.openxmlformats.org/officeDocument/2006/relationships" name="RTLH_INDIVIDU" sheetId="7" r:id="Rc1a737793a7d4273"/>
    <x:sheet xmlns:r="http://schemas.openxmlformats.org/officeDocument/2006/relationships" name="RUSUNAWA_UNIT" sheetId="4" r:id="Ra0f26613ee51420a"/>
    <x:sheet xmlns:r="http://schemas.openxmlformats.org/officeDocument/2006/relationships" name="RUSUNAWA_RETRIBUSI" sheetId="5" r:id="R05881ef738de4314"/>
    <x:sheet xmlns:r="http://schemas.openxmlformats.org/officeDocument/2006/relationships" name="RUSUNAWA_SARPRAS" sheetId="6" r:id="R5edc65628a0145e5"/>
    <x:sheet xmlns:r="http://schemas.openxmlformats.org/officeDocument/2006/relationships" name="KOLABORASI_RTLH" sheetId="9" r:id="R444ec7beeaa94354"/>
    <x:sheet xmlns:r="http://schemas.openxmlformats.org/officeDocument/2006/relationships" name="KAWASAN_KUMUH_REKAP" sheetId="10" r:id="Rc20900d3832e492e"/>
    <x:sheet xmlns:r="http://schemas.openxmlformats.org/officeDocument/2006/relationships" name="KAWASAN_KUMUH_LOKASI" sheetId="11" r:id="Rf438b228d97d4297"/>
    <x:sheet xmlns:r="http://schemas.openxmlformats.org/officeDocument/2006/relationships" name="SNAPSHOT_TAHUNAN" sheetId="13" r:id="R11e018f309834c7f"/>
  </x:sheets>
</x:workbook>
</file>

<file path=xl/comments1.xml><?xml version="1.0" encoding="utf-8"?>
<x:comments xmlns:x="http://schemas.openxmlformats.org/spreadsheetml/2006/main">
  <x:authors>
    <x:author>LEGION</x:author>
  </x:authors>
  <x:commentList>
    <x:comment ref="R5" authorId="0">
      <x:text>
        <x:r>
          <x:t>Pilih Ya apabila:
Terdapat penghuni berusia 60 tahun atau lebih</x:t>
        </x:r>
      </x:text>
    </x:comment>
    <x:comment ref="S5" authorId="0">
      <x:text>
        <x:r>
          <x:t>Pilih Ya apabila:
Terdapat penghuni yang mengalami kesulitan berjalan, melihat, mendengar, berkomunikasi, memahami kondisi sekitar, atau melakukan aktivitas sehari-hari secara mandiri.</x:t>
        </x:r>
      </x:text>
    </x:comment>
    <x:comment ref="T5" authorId="0">
      <x:text>
        <x:r>
          <x:t>Pilih Ya apabila:
Perempuan tercatat sebagai kepala keluarga pada KK</x:t>
        </x:r>
      </x:text>
    </x:comment>
    <x:comment ref="U5" authorId="0">
      <x:text>
        <x:r>
          <x:t>Pilih Ya apabila:
Terdapat penghuni berusia 0 sampai sebelum 5 tahun</x:t>
        </x:r>
      </x:text>
    </x:comment>
    <x:comment ref="V5" authorId="0">
      <x:text>
        <x:r>
          <x:t>Pilih Ya apabila:
Terdapat penghuni yang tidak dapat makan, mandi, berpakaian, berpindah tempat, menggunakan toilet, atau menyelamatkan diri tanpa bantuan. Termasuk penghuni yang terbaring, mengalami sakit berat berkepanjangan, atau membutuhkan pendampingan hampir sepanjang waktu.</x:t>
        </x:r>
      </x:text>
    </x:comment>
    <x:comment ref="AC5" authorId="0">
      <x:text>
        <x:r>
          <x:t>Pilih Ya apabila:
Rumah terlihat miring berat, fondasi turun, beberapa bagian struktur utama rusak, kolom atau balok patah, atau bangunan dapat runtuh sewaktu-waktu.</x:t>
        </x:r>
      </x:text>
    </x:comment>
    <x:comment ref="AD5" authorId="0">
      <x:text>
        <x:r>
          <x:t>Pilih Ya apabila:
Rangka atap, dinding, kolom, plafon, atau instalasi listrik rusak akibat api; terdapat bagian hangus, retak karena panas, atau masih berisiko runtuh dan korsleting.</x:t>
        </x:r>
      </x:text>
    </x:comment>
    <x:comment ref="AE5" authorId="0">
      <x:text>
        <x:r>
          <x:t>Pilih Ya apabila:
Rangka atap melendut, penutup atap hampir jatuh, dinding miring, terlepas, retak besar, menggembung, atau sebagian sudah runtuh.</x:t>
        </x:r>
      </x:text>
    </x:comment>
    <x:comment ref="AF5" authorId="0">
      <x:text>
        <x:r>
          <x:t>Pilih Ya apabila:
Genangan cukup tinggi, terjadi berulang, mengenai instalasi listrik, menghambat keluar rumah, mengancam balita/lansia/disabilitas, atau menyebabkan lantai dan struktur menjadi tidak aman.</x:t>
        </x:r>
      </x:text>
    </x:comment>
    <x:comment ref="AG5" authorId="0">
      <x:text>
        <x:r>
          <x:t>Pilih Ya apabila:
Fondasi turun, lantai amblas, kolom atau balok retak, rangka atap bergeser, dinding miring, sambungan kayu lepas, atau bangunan bergetar/bergerak tidak wajar.</x:t>
        </x:r>
      </x:text>
    </x:comment>
    <x:comment ref="AH5" authorId="0">
      <x:text>
        <x:r>
          <x:t>Pilih Ya apabila:
Kabel terbuka atau terkelupas, sambungan tanpa pelindung, stopkontak terbakar, kabel semrawut, instalasi terkena air, meter/panel terlalu rendah di area banjir, atau sering terjadi korsleting.</x:t>
        </x:r>
      </x:text>
    </x:comment>
    <x:comment ref="AI5" authorId="0">
      <x:text>
        <x:r>
          <x:t>Pilih Ya apabila:
Plafon hampir jatuh, papan lantai lapuk, genteng longgar, kusen rapuh, railing lepas, tangga rusak, atau bagian bangunan lain mudah patah dan membahayakan.</x:t>
        </x:r>
      </x:text>
    </x:comment>
    <x:comment ref="AJ5" authorId="0">
      <x:text>
        <x:r>
          <x:t>Pilih Ya apabila:
Hanya ada satu jalan keluar yang sempit, pintu terhalang, tangga curam atau rusak, jalur keluar terkunci, gang sangat sempit, atau penghuni rentan sulit dievakuasi.</x:t>
        </x:r>
      </x:text>
    </x:comment>
    <x:comment ref="AK5" authorId="0">
      <x:text>
        <x:r>
          <x:t>Pilih Ya apabila:
Rumah berada di titik banjir berulang, tepi sungai, lereng rawan longsor, dekat bangunan/tanah yang tidak stabil, kawasan kebakaran padat.</x:t>
        </x:r>
      </x:text>
    </x:comment>
  </x:commentList>
</x:comments>
</file>

<file path=xl/sharedStrings.xml><?xml version="1.0" encoding="utf-8"?>
<x:sst xmlns:x="http://schemas.openxmlformats.org/spreadsheetml/2006/main">
  <x:si>
    <x:t xml:space="preserve">TEMPLATE RESMI DATABASE SIRUMAH — DOKUMEN PENDUKUNG / DATA EVIDENCE</x:t>
  </x:si>
  <x:si>
    <x:t xml:space="preserve">Satu baris mewakili satu dokumen atau bukti pendukung yang dikaitkan dengan satu objek SIRUMAH melalui JENIS_OBJEK dan ID_OBJEK. File fisik tetap disimpan pada Google Drive/OneDrive/penyimpanan resmi; sheet ini hanya menyimpan metadata dan URL.</x:t>
  </x:si>
  <x:si>
    <x:t xml:space="preserve">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x:t>
  </x:si>
  <x:si>
    <x:t xml:space="preserve">ID_DOKUMEN*</x:t>
  </x:si>
  <x:si>
    <x:t xml:space="preserve">JENIS_OBJEK*</x:t>
  </x:si>
  <x:si>
    <x:t xml:space="preserve">ID_OBJEK*</x:t>
  </x:si>
  <x:si>
    <x:t xml:space="preserve">JENIS_DOKUMEN*</x:t>
  </x:si>
  <x:si>
    <x:t xml:space="preserve">JUDUL_DOKUMEN*</x:t>
  </x:si>
  <x:si>
    <x:t xml:space="preserve">NOMOR_DOKUMEN</x:t>
  </x:si>
  <x:si>
    <x:t xml:space="preserve">TANGGAL_DOKUMEN</x:t>
  </x:si>
  <x:si>
    <x:t xml:space="preserve">URL_DOKUMEN*</x:t>
  </x:si>
  <x:si>
    <x:t xml:space="preserve">AKSES*</x:t>
  </x:si>
  <x:si>
    <x:t xml:space="preserve">STATUS_VERIFIKASI*</x:t>
  </x:si>
  <x:si>
    <x:t xml:space="preserve">KETERANGAN</x:t>
  </x:si>
  <x:si>
    <x:t xml:space="preserve">SUMBER_DATA</x:t>
  </x:si>
  <x:si>
    <x:t xml:space="preserve">TANGGAL_UPDATE*</x:t>
  </x:si>
  <x:si>
    <x:t xml:space="preserve">OPERATOR*</x:t>
  </x:si>
  <x:si>
    <x:t xml:space="preserve">DOC-0001</x:t>
  </x:si>
  <x:si>
    <x:t xml:space="preserve">PERUMAHAN</x:t>
  </x:si>
  <x:si>
    <x:t xml:space="preserve">PRM-0001</x:t>
  </x:si>
  <x:si>
    <x:t xml:space="preserve">SITE_PLAN</x:t>
  </x:si>
  <x:si>
    <x:t xml:space="preserve">Site Plan Perumahan Alam Kampak</x:t>
  </x:si>
  <x:si>
    <x:t xml:space="preserve">https://drive.google.com/file/d/11zlO9h6tI3kXsZ-QtmcP0gTjV8jlHGlz/view?usp=sharing</x:t>
  </x:si>
  <x:si>
    <x:t xml:space="preserve">PUBLIK</x:t>
  </x:si>
  <x:si>
    <x:t xml:space="preserve">BELUM DIVERIFIKASI</x:t>
  </x:si>
  <x:si>
    <x:t xml:space="preserve">DOC-0002</x:t>
  </x:si>
  <x:si>
    <x:t xml:space="preserve">PSU</x:t>
  </x:si>
  <x:si>
    <x:t xml:space="preserve">BAST_PSU</x:t>
  </x:si>
  <x:si>
    <x:t xml:space="preserve">BAST PSU</x:t>
  </x:si>
  <x:si>
    <x:t xml:space="preserve">INTERNAL</x:t>
  </x:si>
  <x:si>
    <x:t xml:space="preserve">TERVERIFIKASI</x:t>
  </x:si>
  <x:si>
    <x:t xml:space="preserve">TEMPLATE RESMI DATABASE SIRUMAH — DATA PERUMAHAN</x:t>
  </x:si>
  <x:si>
    <x:t xml:space="preserve">Sumber utama modul Data Perumahan, Peta Perumahan, PSU &amp; RTH, serta ringkasan unit.</x:t>
  </x:si>
  <x:si>
    <x:t xml:space="preserve">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x:t>
  </x:si>
  <x:si>
    <x:t xml:space="preserve">ID_PERUMAHAN*</x:t>
  </x:si>
  <x:si>
    <x:t xml:space="preserve">NAMA_PERUMAHAN*</x:t>
  </x:si>
  <x:si>
    <x:t xml:space="preserve">KATEGORI</x:t>
  </x:si>
  <x:si>
    <x:t xml:space="preserve">KECAMATAN*</x:t>
  </x:si>
  <x:si>
    <x:t xml:space="preserve">KELURAHAN*</x:t>
  </x:si>
  <x:si>
    <x:t xml:space="preserve">ALAMAT</x:t>
  </x:si>
  <x:si>
    <x:t xml:space="preserve">PENGEMBANG</x:t>
  </x:si>
  <x:si>
    <x:t xml:space="preserve">DIREKTUR/PELAKSANA</x:t>
  </x:si>
  <x:si>
    <x:t xml:space="preserve">ASOSIASI</x:t>
  </x:si>
  <x:si>
    <x:t xml:space="preserve">TAHUN_SITEPLAN</x:t>
  </x:si>
  <x:si>
    <x:t xml:space="preserve">JUMLAH_SITEPLAN</x:t>
  </x:si>
  <x:si>
    <x:t xml:space="preserve">JUMLAH_TERBANGUN</x:t>
  </x:si>
  <x:si>
    <x:t xml:space="preserve">JUMLAH_TERHUNI</x:t>
  </x:si>
  <x:si>
    <x:t xml:space="preserve">STATUS_PSU*</x:t>
  </x:si>
  <x:si>
    <x:t xml:space="preserve">TAHUN_SERAH_TERIMA_PSU</x:t>
  </x:si>
  <x:si>
    <x:t xml:space="preserve">LUAS_RTH_M2</x:t>
  </x:si>
  <x:si>
    <x:t xml:space="preserve">STATUS_RTH</x:t>
  </x:si>
  <x:si>
    <x:t xml:space="preserve">STATUS_JALAN</x:t>
  </x:si>
  <x:si>
    <x:t xml:space="preserve">STATUS_PENGEMBANG</x:t>
  </x:si>
  <x:si>
    <x:t xml:space="preserve">STATUS_RAWAN_BANJIR</x:t>
  </x:si>
  <x:si>
    <x:t xml:space="preserve">CATATAN</x:t>
  </x:si>
  <x:si>
    <x:t xml:space="preserve">LATITUDE</x:t>
  </x:si>
  <x:si>
    <x:t xml:space="preserve">LONGITUDE</x:t>
  </x:si>
  <x:si>
    <x:t xml:space="preserve">GEOJSON</x:t>
  </x:si>
  <x:si>
    <x:t xml:space="preserve">TAHUN_DATA*</x:t>
  </x:si>
  <x:si>
    <x:t xml:space="preserve">SUMBER_DATA*</x:t>
  </x:si>
  <x:si>
    <x:t xml:space="preserve">PERSEN_TERBANGUN</x:t>
  </x:si>
  <x:si>
    <x:t xml:space="preserve">PERSEN_TERHUNI</x:t>
  </x:si>
  <x:si>
    <x:t xml:space="preserve">ALAM KAMPAK</x:t>
  </x:si>
  <x:si>
    <x:t xml:space="preserve">Subsidi</x:t>
  </x:si>
  <x:si>
    <x:t xml:space="preserve">Gerunggang</x:t>
  </x:si>
  <x:si>
    <x:t xml:space="preserve">Tua Tunu Indah</x:t>
  </x:si>
  <x:si>
    <x:t xml:space="preserve">SUDAH DISERAHKAN</x:t>
  </x:si>
  <x:si>
    <x:t xml:space="preserve">RTH belum terbangun</x:t>
  </x:si>
  <x:si>
    <x:t xml:space="preserve">Titik rawan genangan dan banjir</x:t>
  </x:si>
  <x:si>
    <x:t xml:space="preserve">Disperkim</x:t>
  </x:si>
  <x:si>
    <x:t xml:space="preserve">Terverifikasi</x:t>
  </x:si>
  <x:si>
    <x:t xml:space="preserve">PRM-0002</x:t>
  </x:si>
  <x:si>
    <x:t xml:space="preserve">ALAM KEMANG PERMATA</x:t>
  </x:si>
  <x:si>
    <x:t xml:space="preserve">Air Kepala Tujuh</x:t>
  </x:si>
  <x:si>
    <x:t xml:space="preserve">PRM-0003</x:t>
  </x:si>
  <x:si>
    <x:t xml:space="preserve">ALAM Pengembang Indonesia (PI)NANG PURA</x:t>
  </x:si>
  <x:si>
    <x:t xml:space="preserve">PRM-0004</x:t>
  </x:si>
  <x:si>
    <x:t xml:space="preserve">ALIA HILL RESIDENCE</x:t>
  </x:si>
  <x:si>
    <x:t xml:space="preserve">BELUM DISERAHKAN</x:t>
  </x:si>
  <x:si>
    <x:t xml:space="preserve">PRM-0005</x:t>
  </x:si>
  <x:si>
    <x:t xml:space="preserve">AMIRAH RESIDENCE</x:t>
  </x:si>
  <x:si>
    <x:t xml:space="preserve">Jalan rusak ringan</x:t>
  </x:si>
  <x:si>
    <x:t xml:space="preserve">PRM-0006</x:t>
  </x:si>
  <x:si>
    <x:t xml:space="preserve">ANJAYA RESIDENCE</x:t>
  </x:si>
  <x:si>
    <x:t xml:space="preserve">PRM-0007</x:t>
  </x:si>
  <x:si>
    <x:t xml:space="preserve">ANJAYO RESIDENCE 2</x:t>
  </x:si>
  <x:si>
    <x:t xml:space="preserve">Gabek</x:t>
  </x:si>
  <x:si>
    <x:t xml:space="preserve">Air Salemba</x:t>
  </x:si>
  <x:si>
    <x:t xml:space="preserve">PRM-0008</x:t>
  </x:si>
  <x:si>
    <x:t xml:space="preserve">ANJAYO RESIDENCE 4</x:t>
  </x:si>
  <x:si>
    <x:t xml:space="preserve">Gabek Satu</x:t>
  </x:si>
  <x:si>
    <x:t xml:space="preserve">PRM-0009</x:t>
  </x:si>
  <x:si>
    <x:t xml:space="preserve">ANJAYO RESIDENCE 10</x:t>
  </x:si>
  <x:si>
    <x:t xml:space="preserve">Jerambah Gantung</x:t>
  </x:si>
  <x:si>
    <x:t xml:space="preserve">RTH terbangun</x:t>
  </x:si>
  <x:si>
    <x:t xml:space="preserve">PRM-0010</x:t>
  </x:si>
  <x:si>
    <x:t xml:space="preserve">ANJAYO RESIDENCE 12</x:t>
  </x:si>
  <x:si>
    <x:t xml:space="preserve">RTH beralih fungsi</x:t>
  </x:si>
  <x:si>
    <x:t xml:space="preserve">PRM-0011</x:t>
  </x:si>
  <x:si>
    <x:t xml:space="preserve">ANJAYO RESIDENCE 15</x:t>
  </x:si>
  <x:si>
    <x:t xml:space="preserve">PRM-0012</x:t>
  </x:si>
  <x:si>
    <x:t xml:space="preserve">ANJAYO RESIDENCE 16</x:t>
  </x:si>
  <x:si>
    <x:t xml:space="preserve">PRM-0013</x:t>
  </x:si>
  <x:si>
    <x:t xml:space="preserve">APPLE RESIDENCE 1</x:t>
  </x:si>
  <x:si>
    <x:t xml:space="preserve">Bukit Intan</x:t>
  </x:si>
  <x:si>
    <x:t xml:space="preserve">Bacang</x:t>
  </x:si>
  <x:si>
    <x:t xml:space="preserve">PRM-0014</x:t>
  </x:si>
  <x:si>
    <x:t xml:space="preserve">APPLE RESIDENCE 1 TAMBAHAN</x:t>
  </x:si>
  <x:si>
    <x:t xml:space="preserve">Jalan belum perkerasan</x:t>
  </x:si>
  <x:si>
    <x:t xml:space="preserve">PRM-0015</x:t>
  </x:si>
  <x:si>
    <x:t xml:space="preserve">APPLE RESIDENCE 2</x:t>
  </x:si>
  <x:si>
    <x:t xml:space="preserve">Subsidi dan Komersil</x:t>
  </x:si>
  <x:si>
    <x:t xml:space="preserve">Selindung</x:t>
  </x:si>
  <x:si>
    <x:t xml:space="preserve">PRM-0016</x:t>
  </x:si>
  <x:si>
    <x:t xml:space="preserve">APPLE RESIDENCE 2 TAMBAHAN</x:t>
  </x:si>
  <x:si>
    <x:t xml:space="preserve">PRM-0017</x:t>
  </x:si>
  <x:si>
    <x:t xml:space="preserve">APPLE RESIDENCE 3 TAHAP 1</x:t>
  </x:si>
  <x:si>
    <x:t xml:space="preserve">Sinar Bulan</x:t>
  </x:si>
  <x:si>
    <x:t xml:space="preserve">PRM-0018</x:t>
  </x:si>
  <x:si>
    <x:t xml:space="preserve">APPLE RESIDENCE 3 TAHAP 2</x:t>
  </x:si>
  <x:si>
    <x:t xml:space="preserve">PRM-0019</x:t>
  </x:si>
  <x:si>
    <x:t xml:space="preserve">AROMA RESIDENCE</x:t>
  </x:si>
  <x:si>
    <x:t xml:space="preserve">Pangkal Balam</x:t>
  </x:si>
  <x:si>
    <x:t xml:space="preserve">Ketapang</x:t>
  </x:si>
  <x:si>
    <x:t xml:space="preserve">PRM-0020</x:t>
  </x:si>
  <x:si>
    <x:t xml:space="preserve">ARTHA USAHA MANDIRI</x:t>
  </x:si>
  <x:si>
    <x:t xml:space="preserve">PRM-0021</x:t>
  </x:si>
  <x:si>
    <x:t xml:space="preserve">ARTHA USAHA MANDIRI 2</x:t>
  </x:si>
  <x:si>
    <x:t xml:space="preserve">PRM-0022</x:t>
  </x:si>
  <x:si>
    <x:t xml:space="preserve">ARTISTIK RESIDENCE</x:t>
  </x:si>
  <x:si>
    <x:t xml:space="preserve">Jalan rusak berat</x:t>
  </x:si>
  <x:si>
    <x:t xml:space="preserve">PRM-0023</x:t>
  </x:si>
  <x:si>
    <x:t xml:space="preserve">ARTISTIK RESIDENCE 2</x:t>
  </x:si>
  <x:si>
    <x:t xml:space="preserve">PRM-0024</x:t>
  </x:si>
  <x:si>
    <x:t xml:space="preserve">ARTISTIK RESIDENCE 3</x:t>
  </x:si>
  <x:si>
    <x:t xml:space="preserve">PRM-0025</x:t>
  </x:si>
  <x:si>
    <x:t xml:space="preserve">ARTISTIK RESIDENCE 5</x:t>
  </x:si>
  <x:si>
    <x:t xml:space="preserve">PRM-0026</x:t>
  </x:si>
  <x:si>
    <x:t xml:space="preserve">ARTISTIK RESIDENCE 6</x:t>
  </x:si>
  <x:si>
    <x:t xml:space="preserve">PRM-0027</x:t>
  </x:si>
  <x:si>
    <x:t xml:space="preserve">AYRA SRIWIJAYA RESIDENCE</x:t>
  </x:si>
  <x:si>
    <x:t xml:space="preserve">Temberan</x:t>
  </x:si>
  <x:si>
    <x:t xml:space="preserve">PRM-0028</x:t>
  </x:si>
  <x:si>
    <x:t xml:space="preserve">AYRA SRIWIJAYA RESIDENCE 2</x:t>
  </x:si>
  <x:si>
    <x:t xml:space="preserve">PRM-0029</x:t>
  </x:si>
  <x:si>
    <x:t xml:space="preserve">AYRA SRIWIJAYA RESIDENCE 3</x:t>
  </x:si>
  <x:si>
    <x:t xml:space="preserve">PRM-0030</x:t>
  </x:si>
  <x:si>
    <x:t xml:space="preserve">AYRA SRIWIJAYA RESIDENCE 4</x:t>
  </x:si>
  <x:si>
    <x:t xml:space="preserve">PRM-0031</x:t>
  </x:si>
  <x:si>
    <x:t xml:space="preserve">AZKA SQUARE</x:t>
  </x:si>
  <x:si>
    <x:t xml:space="preserve">PRM-0032</x:t>
  </x:si>
  <x:si>
    <x:t xml:space="preserve">AZURA</x:t>
  </x:si>
  <x:si>
    <x:t xml:space="preserve">Taman Bunga</x:t>
  </x:si>
  <x:si>
    <x:t xml:space="preserve">PRM-0033</x:t>
  </x:si>
  <x:si>
    <x:t xml:space="preserve">AZZAHRAH RESIDENCE</x:t>
  </x:si>
  <x:si>
    <x:t xml:space="preserve">PRM-0034</x:t>
  </x:si>
  <x:si>
    <x:t xml:space="preserve">AZZAHRAH RESIDENCE II</x:t>
  </x:si>
  <x:si>
    <x:t xml:space="preserve">PRM-0035</x:t>
  </x:si>
  <x:si>
    <x:t xml:space="preserve">AZZAHRAH RESIDENCE IV</x:t>
  </x:si>
  <x:si>
    <x:t xml:space="preserve">PRM-0036</x:t>
  </x:si>
  <x:si>
    <x:t xml:space="preserve">BABEL RESIDENCE</x:t>
  </x:si>
  <x:si>
    <x:t xml:space="preserve">PRM-0037</x:t>
  </x:si>
  <x:si>
    <x:t xml:space="preserve">BABEL RESIDENCE II</x:t>
  </x:si>
  <x:si>
    <x:t xml:space="preserve">PRM-0038</x:t>
  </x:si>
  <x:si>
    <x:t xml:space="preserve">BABEL RESIDENCE III</x:t>
  </x:si>
  <x:si>
    <x:t xml:space="preserve">PRM-0039</x:t>
  </x:si>
  <x:si>
    <x:t xml:space="preserve">BABEL RESIDENCE IV</x:t>
  </x:si>
  <x:si>
    <x:t xml:space="preserve">PRM-0040</x:t>
  </x:si>
  <x:si>
    <x:t xml:space="preserve">BERKAH MANDIRI</x:t>
  </x:si>
  <x:si>
    <x:t xml:space="preserve">PRM-0041</x:t>
  </x:si>
  <x:si>
    <x:t xml:space="preserve">BERKAH SYARIAH MANDIRI</x:t>
  </x:si>
  <x:si>
    <x:t xml:space="preserve">PRM-0042</x:t>
  </x:si>
  <x:si>
    <x:t xml:space="preserve">BHAYANGKARA RESIDENCE</x:t>
  </x:si>
  <x:si>
    <x:t xml:space="preserve">PRM-0043</x:t>
  </x:si>
  <x:si>
    <x:t xml:space="preserve">BINTANG SAMRATULANGI 3</x:t>
  </x:si>
  <x:si>
    <x:t xml:space="preserve">PRM-0044</x:t>
  </x:si>
  <x:si>
    <x:t xml:space="preserve">BINTANG SAMRATULANGI 6</x:t>
  </x:si>
  <x:si>
    <x:t xml:space="preserve">PRM-0045</x:t>
  </x:si>
  <x:si>
    <x:t xml:space="preserve">BONA MUTIARA RESIDENCE</x:t>
  </x:si>
  <x:si>
    <x:t xml:space="preserve">Komersil</x:t>
  </x:si>
  <x:si>
    <x:t xml:space="preserve">PRM-0046</x:t>
  </x:si>
  <x:si>
    <x:t xml:space="preserve">BRALING INDAH</x:t>
  </x:si>
  <x:si>
    <x:t xml:space="preserve">PRM-0047</x:t>
  </x:si>
  <x:si>
    <x:t xml:space="preserve">BUKIT BARU REGENCY</x:t>
  </x:si>
  <x:si>
    <x:t xml:space="preserve">PRM-0048</x:t>
  </x:si>
  <x:si>
    <x:t xml:space="preserve">BUKIT BARU RESIDENCE 1</x:t>
  </x:si>
  <x:si>
    <x:t xml:space="preserve">Pengembang tidak aktif</x:t>
  </x:si>
  <x:si>
    <x:t xml:space="preserve">PRM-0049</x:t>
  </x:si>
  <x:si>
    <x:t xml:space="preserve">BUKIT BARU RESIDENCE 2</x:t>
  </x:si>
  <x:si>
    <x:t xml:space="preserve">PRM-0050</x:t>
  </x:si>
  <x:si>
    <x:t xml:space="preserve">BUKIT BARU RESIDENCE 3</x:t>
  </x:si>
  <x:si>
    <x:t xml:space="preserve">Jalan rusak sedang</x:t>
  </x:si>
  <x:si>
    <x:t xml:space="preserve">PRM-0051</x:t>
  </x:si>
  <x:si>
    <x:t xml:space="preserve">BUKIT BARU RESIDENCE 4</x:t>
  </x:si>
  <x:si>
    <x:t xml:space="preserve">Bukit MeraPengembang Indonesia (PI)n</x:t>
  </x:si>
  <x:si>
    <x:t xml:space="preserve">PRM-0052</x:t>
  </x:si>
  <x:si>
    <x:t xml:space="preserve">BUKIT INTAN ASRI</x:t>
  </x:si>
  <x:si>
    <x:t xml:space="preserve">PRM-0053</x:t>
  </x:si>
  <x:si>
    <x:t xml:space="preserve">BUKIT MANGGIS</x:t>
  </x:si>
  <x:si>
    <x:t xml:space="preserve">PRM-0054</x:t>
  </x:si>
  <x:si>
    <x:t xml:space="preserve">BUKIT MAS</x:t>
  </x:si>
  <x:si>
    <x:t xml:space="preserve">PRM-0055</x:t>
  </x:si>
  <x:si>
    <x:t xml:space="preserve">BUKIT PRIMER</x:t>
  </x:si>
  <x:si>
    <x:t xml:space="preserve">PRM-0056</x:t>
  </x:si>
  <x:si>
    <x:t xml:space="preserve">BUMI ASRI PERMAI</x:t>
  </x:si>
  <x:si>
    <x:t xml:space="preserve">PRM-0057</x:t>
  </x:si>
  <x:si>
    <x:t xml:space="preserve">BUMI ASRI PERMAI 2</x:t>
  </x:si>
  <x:si>
    <x:t xml:space="preserve">PRM-0058</x:t>
  </x:si>
  <x:si>
    <x:t xml:space="preserve">BUMI GANADHYA</x:t>
  </x:si>
  <x:si>
    <x:t xml:space="preserve">Air Itam</x:t>
  </x:si>
  <x:si>
    <x:t xml:space="preserve">PRM-0059</x:t>
  </x:si>
  <x:si>
    <x:t xml:space="preserve">BUMI KAMPAK PERMAI</x:t>
  </x:si>
  <x:si>
    <x:t xml:space="preserve">PRM-0060</x:t>
  </x:si>
  <x:si>
    <x:t xml:space="preserve">BUMI SELINDUNG DAMAI</x:t>
  </x:si>
  <x:si>
    <x:t xml:space="preserve">PRM-0061</x:t>
  </x:si>
  <x:si>
    <x:t xml:space="preserve">CAHAYA PROPERTI</x:t>
  </x:si>
  <x:si>
    <x:t xml:space="preserve">Lontong Pancur</x:t>
  </x:si>
  <x:si>
    <x:t xml:space="preserve">PRM-0062</x:t>
  </x:si>
  <x:si>
    <x:t xml:space="preserve">CAHAYA RESIDENCE</x:t>
  </x:si>
  <x:si>
    <x:t xml:space="preserve">PRM-0063</x:t>
  </x:si>
  <x:si>
    <x:t xml:space="preserve">CAHAYA RESIDENCE 1</x:t>
  </x:si>
  <x:si>
    <x:t xml:space="preserve">PRM-0064</x:t>
  </x:si>
  <x:si>
    <x:t xml:space="preserve">CAHAYA RESIDENCE 2</x:t>
  </x:si>
  <x:si>
    <x:t xml:space="preserve">PRM-0065</x:t>
  </x:si>
  <x:si>
    <x:t xml:space="preserve">CAHAYA RESIDENCE 3</x:t>
  </x:si>
  <x:si>
    <x:t xml:space="preserve">PRM-0066</x:t>
  </x:si>
  <x:si>
    <x:t xml:space="preserve">CAHAYA RESIDENCE 4</x:t>
  </x:si>
  <x:si>
    <x:t xml:space="preserve">PRM-0067</x:t>
  </x:si>
  <x:si>
    <x:t xml:space="preserve">CAHAYA RESIDENCE 5</x:t>
  </x:si>
  <x:si>
    <x:t xml:space="preserve">PRM-0068</x:t>
  </x:si>
  <x:si>
    <x:t xml:space="preserve">CAHAYA RESIDENCE 6</x:t>
  </x:si>
  <x:si>
    <x:t xml:space="preserve">PRM-0069</x:t>
  </x:si>
  <x:si>
    <x:t xml:space="preserve">CAHAYA RESIDENCE 7</x:t>
  </x:si>
  <x:si>
    <x:t xml:space="preserve">PRM-0070</x:t>
  </x:si>
  <x:si>
    <x:t xml:space="preserve">CAHAYA RESIDENCE 8</x:t>
  </x:si>
  <x:si>
    <x:t xml:space="preserve">PRM-0071</x:t>
  </x:si>
  <x:si>
    <x:t xml:space="preserve">CAHAYA RESIDENCE 9</x:t>
  </x:si>
  <x:si>
    <x:t xml:space="preserve">PRM-0072</x:t>
  </x:si>
  <x:si>
    <x:t xml:space="preserve">CAHAYA RESIDENCE 10</x:t>
  </x:si>
  <x:si>
    <x:t xml:space="preserve">PRM-0073</x:t>
  </x:si>
  <x:si>
    <x:t xml:space="preserve">CAHAYA RESIDENCE 11</x:t>
  </x:si>
  <x:si>
    <x:t xml:space="preserve">PRM-0074</x:t>
  </x:si>
  <x:si>
    <x:t xml:space="preserve">CAHAYA RESIDENCE 12</x:t>
  </x:si>
  <x:si>
    <x:t xml:space="preserve">PRM-0075</x:t>
  </x:si>
  <x:si>
    <x:t xml:space="preserve">CAHAYA RESIDENCE 13</x:t>
  </x:si>
  <x:si>
    <x:t xml:space="preserve">PRM-0076</x:t>
  </x:si>
  <x:si>
    <x:t xml:space="preserve">CAHAYA RESIDENCE 15</x:t>
  </x:si>
  <x:si>
    <x:t xml:space="preserve">PRM-0077</x:t>
  </x:si>
  <x:si>
    <x:t xml:space="preserve">CAHAYA RESIDENCE 17</x:t>
  </x:si>
  <x:si>
    <x:t xml:space="preserve">PRM-0078</x:t>
  </x:si>
  <x:si>
    <x:t xml:space="preserve">CAHAYA RESIDENCE 18</x:t>
  </x:si>
  <x:si>
    <x:t xml:space="preserve">PRM-0079</x:t>
  </x:si>
  <x:si>
    <x:t xml:space="preserve">CEMPAKA MAS RESIDENCE</x:t>
  </x:si>
  <x:si>
    <x:t xml:space="preserve">PRM-0080</x:t>
  </x:si>
  <x:si>
    <x:t xml:space="preserve">CEMPAKA MAS RESIDENCE 3</x:t>
  </x:si>
  <x:si>
    <x:t xml:space="preserve">PRM-0081</x:t>
  </x:si>
  <x:si>
    <x:t xml:space="preserve">CEMPAKA MAS RESIDENCE 4</x:t>
  </x:si>
  <x:si>
    <x:t xml:space="preserve">PRM-0082</x:t>
  </x:si>
  <x:si>
    <x:t xml:space="preserve">CEMPAKA MAS RESIDENCE 5</x:t>
  </x:si>
  <x:si>
    <x:t xml:space="preserve">PRM-0083</x:t>
  </x:si>
  <x:si>
    <x:t xml:space="preserve">CERIA VILLAGE</x:t>
  </x:si>
  <x:si>
    <x:t xml:space="preserve">PRM-0084</x:t>
  </x:si>
  <x:si>
    <x:t xml:space="preserve">CIPTA KARYA</x:t>
  </x:si>
  <x:si>
    <x:t xml:space="preserve">PRM-0085</x:t>
  </x:si>
  <x:si>
    <x:t xml:space="preserve">CITRALAND</x:t>
  </x:si>
  <x:si>
    <x:t xml:space="preserve">PRM-0086</x:t>
  </x:si>
  <x:si>
    <x:t xml:space="preserve">CITY HILL</x:t>
  </x:si>
  <x:si>
    <x:t xml:space="preserve">PRM-0087</x:t>
  </x:si>
  <x:si>
    <x:t xml:space="preserve">DAMAI LESTARI RESIDENCE</x:t>
  </x:si>
  <x:si>
    <x:t xml:space="preserve">PRM-0088</x:t>
  </x:si>
  <x:si>
    <x:t xml:space="preserve">DAMAI LESTARI RESIDENCE 1 TAHAP 1</x:t>
  </x:si>
  <x:si>
    <x:t xml:space="preserve">PRM-0089</x:t>
  </x:si>
  <x:si>
    <x:t xml:space="preserve">DAMAI LESTARI RESIDENCE 1 TAHAP 2</x:t>
  </x:si>
  <x:si>
    <x:t xml:space="preserve">PRM-0090</x:t>
  </x:si>
  <x:si>
    <x:t xml:space="preserve">DAMAI LESTARI RESIDENCE 2</x:t>
  </x:si>
  <x:si>
    <x:t xml:space="preserve">Selindung Baru</x:t>
  </x:si>
  <x:si>
    <x:t xml:space="preserve">PRM-0091</x:t>
  </x:si>
  <x:si>
    <x:t xml:space="preserve">DAMAI LESTARI RESIDENCE 2 B</x:t>
  </x:si>
  <x:si>
    <x:t xml:space="preserve">PRM-0092</x:t>
  </x:si>
  <x:si>
    <x:t xml:space="preserve">DAMAI LESTARI RESIDENCE 6 TAHAP 1</x:t>
  </x:si>
  <x:si>
    <x:t xml:space="preserve">PRM-0093</x:t>
  </x:si>
  <x:si>
    <x:t xml:space="preserve">DAMAI LESTARI RESIDENCE 6 TAHAP 2</x:t>
  </x:si>
  <x:si>
    <x:t xml:space="preserve">PRM-0094</x:t>
  </x:si>
  <x:si>
    <x:t xml:space="preserve">DAMAI LESTARI RESIDENCE 10</x:t>
  </x:si>
  <x:si>
    <x:t xml:space="preserve">PRM-0095</x:t>
  </x:si>
  <x:si>
    <x:t xml:space="preserve">DAMAI LESTARI RESIDENCE 10 TAHAP 2</x:t>
  </x:si>
  <x:si>
    <x:t xml:space="preserve">PRM-0096</x:t>
  </x:si>
  <x:si>
    <x:t xml:space="preserve">DAMAI LESTARI RESIDENCE 15 TAHAP 1</x:t>
  </x:si>
  <x:si>
    <x:t xml:space="preserve">PRM-0097</x:t>
  </x:si>
  <x:si>
    <x:t xml:space="preserve">DAMAI LESTARI RESIDENCE 15 TAHAP 2</x:t>
  </x:si>
  <x:si>
    <x:t xml:space="preserve">PRM-0098</x:t>
  </x:si>
  <x:si>
    <x:t xml:space="preserve">DE PURNAMA</x:t>
  </x:si>
  <x:si>
    <x:t xml:space="preserve">PRM-0099</x:t>
  </x:si>
  <x:si>
    <x:t xml:space="preserve">DEALOVA BAHAGIA</x:t>
  </x:si>
  <x:si>
    <x:t xml:space="preserve">PRM-0100</x:t>
  </x:si>
  <x:si>
    <x:t xml:space="preserve">DEALOVA BAHAGIA TAHAP 2</x:t>
  </x:si>
  <x:si>
    <x:t xml:space="preserve">PRM-0101</x:t>
  </x:si>
  <x:si>
    <x:t xml:space="preserve">DELANO RESIDENCE</x:t>
  </x:si>
  <x:si>
    <x:t xml:space="preserve">PRM-0102</x:t>
  </x:si>
  <x:si>
    <x:t xml:space="preserve">DELANO RESIDENCE 4</x:t>
  </x:si>
  <x:si>
    <x:t xml:space="preserve">Air Mawar</x:t>
  </x:si>
  <x:si>
    <x:t xml:space="preserve">PRM-0103</x:t>
  </x:si>
  <x:si>
    <x:t xml:space="preserve">DELANO RESIDENCE 8</x:t>
  </x:si>
  <x:si>
    <x:t xml:space="preserve">PRM-0104</x:t>
  </x:si>
  <x:si>
    <x:t xml:space="preserve">DELIMA BAHAGIA</x:t>
  </x:si>
  <x:si>
    <x:t xml:space="preserve">PRM-0105</x:t>
  </x:si>
  <x:si>
    <x:t xml:space="preserve">DERIYASA</x:t>
  </x:si>
  <x:si>
    <x:t xml:space="preserve">PRM-0106</x:t>
  </x:si>
  <x:si>
    <x:t xml:space="preserve">DIVA RESIDENCE</x:t>
  </x:si>
  <x:si>
    <x:t xml:space="preserve">PRM-0107</x:t>
  </x:si>
  <x:si>
    <x:t xml:space="preserve">DIVA RESIDENCE 2</x:t>
  </x:si>
  <x:si>
    <x:t xml:space="preserve">Bukit Sari</x:t>
  </x:si>
  <x:si>
    <x:t xml:space="preserve">PRM-0108</x:t>
  </x:si>
  <x:si>
    <x:t xml:space="preserve">DIZA RESIDENCE</x:t>
  </x:si>
  <x:si>
    <x:t xml:space="preserve">Girimaya</x:t>
  </x:si>
  <x:si>
    <x:t xml:space="preserve">Sriwijaya</x:t>
  </x:si>
  <x:si>
    <x:t xml:space="preserve">PRM-0109</x:t>
  </x:si>
  <x:si>
    <x:t xml:space="preserve">DREAMLAND 1</x:t>
  </x:si>
  <x:si>
    <x:t xml:space="preserve">PRM-0110</x:t>
  </x:si>
  <x:si>
    <x:t xml:space="preserve">DREAMLAND 2</x:t>
  </x:si>
  <x:si>
    <x:t xml:space="preserve">PRM-0111</x:t>
  </x:si>
  <x:si>
    <x:t xml:space="preserve">D'RICH ADYKA RESIDENCE</x:t>
  </x:si>
  <x:si>
    <x:t xml:space="preserve">PRM-0112</x:t>
  </x:si>
  <x:si>
    <x:t xml:space="preserve">PRM-0113</x:t>
  </x:si>
  <x:si>
    <x:t xml:space="preserve">ELGHANI REGENCY</x:t>
  </x:si>
  <x:si>
    <x:t xml:space="preserve">PRM-0114</x:t>
  </x:si>
  <x:si>
    <x:t xml:space="preserve">FARRAS RESIDENCE</x:t>
  </x:si>
  <x:si>
    <x:t xml:space="preserve">PRM-0115</x:t>
  </x:si>
  <x:si>
    <x:t xml:space="preserve">FEIYAZ RESIDENCE</x:t>
  </x:si>
  <x:si>
    <x:t xml:space="preserve">PRM-0116</x:t>
  </x:si>
  <x:si>
    <x:t xml:space="preserve">FEIYAZ RESIDENCE 2</x:t>
  </x:si>
  <x:si>
    <x:t xml:space="preserve">PRM-0117</x:t>
  </x:si>
  <x:si>
    <x:t xml:space="preserve">FERZA BERLIAN RESIDENCE</x:t>
  </x:si>
  <x:si>
    <x:t xml:space="preserve">PRM-0118</x:t>
  </x:si>
  <x:si>
    <x:t xml:space="preserve">FERZA MUTIARA RESIDENCE</x:t>
  </x:si>
  <x:si>
    <x:t xml:space="preserve">PRM-0119</x:t>
  </x:si>
  <x:si>
    <x:t xml:space="preserve">FERZA RESIDENCE</x:t>
  </x:si>
  <x:si>
    <x:t xml:space="preserve">PRM-0120</x:t>
  </x:si>
  <x:si>
    <x:t xml:space="preserve">FLAMENGO RESIDENCE</x:t>
  </x:si>
  <x:si>
    <x:t xml:space="preserve">PRM-0121</x:t>
  </x:si>
  <x:si>
    <x:t xml:space="preserve">FLAMENGO RESIDENCE 2</x:t>
  </x:si>
  <x:si>
    <x:t xml:space="preserve">PRM-0122</x:t>
  </x:si>
  <x:si>
    <x:t xml:space="preserve">FLAMENGO RESIDENCE 3</x:t>
  </x:si>
  <x:si>
    <x:t xml:space="preserve">PRM-0123</x:t>
  </x:si>
  <x:si>
    <x:t xml:space="preserve">GADING HIJAU</x:t>
  </x:si>
  <x:si>
    <x:t xml:space="preserve">Bukit Besar</x:t>
  </x:si>
  <x:si>
    <x:t xml:space="preserve">PRM-0124</x:t>
  </x:si>
  <x:si>
    <x:t xml:space="preserve">GADING PERMAI</x:t>
  </x:si>
  <x:si>
    <x:t xml:space="preserve">PRM-0125</x:t>
  </x:si>
  <x:si>
    <x:t xml:space="preserve">GANDARIA GREEN RESIDENCE</x:t>
  </x:si>
  <x:si>
    <x:t xml:space="preserve">PRM-0126</x:t>
  </x:si>
  <x:si>
    <x:t xml:space="preserve">GANDARIA MAS 2</x:t>
  </x:si>
  <x:si>
    <x:t xml:space="preserve">PRM-0127</x:t>
  </x:si>
  <x:si>
    <x:t xml:space="preserve">GANTUNG BRIDGE RESIDENCE</x:t>
  </x:si>
  <x:si>
    <x:t xml:space="preserve">PRM-0128</x:t>
  </x:si>
  <x:si>
    <x:t xml:space="preserve">GARDEN INDAH RESIDENCE 1</x:t>
  </x:si>
  <x:si>
    <x:t xml:space="preserve">PRM-0129</x:t>
  </x:si>
  <x:si>
    <x:t xml:space="preserve">GARDEN INDAH RESIDENCE 2</x:t>
  </x:si>
  <x:si>
    <x:t xml:space="preserve">PRM-0130</x:t>
  </x:si>
  <x:si>
    <x:t xml:space="preserve">GARDEN INDAH RESIDENCE 3</x:t>
  </x:si>
  <x:si>
    <x:t xml:space="preserve">PRM-0131</x:t>
  </x:si>
  <x:si>
    <x:t xml:space="preserve">GENIO CITY RESIDENCE 1</x:t>
  </x:si>
  <x:si>
    <x:t xml:space="preserve">PRM-0132</x:t>
  </x:si>
  <x:si>
    <x:t xml:space="preserve">GENIO CITY RESIDENCE 2</x:t>
  </x:si>
  <x:si>
    <x:t xml:space="preserve">Gabek Dua</x:t>
  </x:si>
  <x:si>
    <x:t xml:space="preserve">PRM-0133</x:t>
  </x:si>
  <x:si>
    <x:t xml:space="preserve">GOLDEN RESIDENCE 1 TAHAP 1</x:t>
  </x:si>
  <x:si>
    <x:t xml:space="preserve">PRM-0134</x:t>
  </x:si>
  <x:si>
    <x:t xml:space="preserve">GOLDEN RESIDENCE 1 TAHAP 2</x:t>
  </x:si>
  <x:si>
    <x:t xml:space="preserve">PRM-0135</x:t>
  </x:si>
  <x:si>
    <x:t xml:space="preserve">GRAHA ARTA</x:t>
  </x:si>
  <x:si>
    <x:t xml:space="preserve">PRM-0136</x:t>
  </x:si>
  <x:si>
    <x:t xml:space="preserve">GRAHA FAMILY</x:t>
  </x:si>
  <x:si>
    <x:t xml:space="preserve">PRM-0137</x:t>
  </x:si>
  <x:si>
    <x:t xml:space="preserve">GRAHA FAMILY TAHAP 2</x:t>
  </x:si>
  <x:si>
    <x:t xml:space="preserve">PRM-0138</x:t>
  </x:si>
  <x:si>
    <x:t xml:space="preserve">GRAHA GADING MAS</x:t>
  </x:si>
  <x:si>
    <x:t xml:space="preserve">PRM-0139</x:t>
  </x:si>
  <x:si>
    <x:t xml:space="preserve">GRAHA KENCANA</x:t>
  </x:si>
  <x:si>
    <x:t xml:space="preserve">PRM-0140</x:t>
  </x:si>
  <x:si>
    <x:t xml:space="preserve">GRAHA KORPRI / SINAR MAS</x:t>
  </x:si>
  <x:si>
    <x:t xml:space="preserve">PRM-0141</x:t>
  </x:si>
  <x:si>
    <x:t xml:space="preserve">GRAHA LOKA ESTATE</x:t>
  </x:si>
  <x:si>
    <x:t xml:space="preserve">PRM-0142</x:t>
  </x:si>
  <x:si>
    <x:t xml:space="preserve">GRAHA PESONA</x:t>
  </x:si>
  <x:si>
    <x:t xml:space="preserve">PRM-0143</x:t>
  </x:si>
  <x:si>
    <x:t xml:space="preserve">GRAHA Pengembang Indonesia (PI)NANG MAS 2</x:t>
  </x:si>
  <x:si>
    <x:t xml:space="preserve">PRM-0144</x:t>
  </x:si>
  <x:si>
    <x:t xml:space="preserve">GRAHA PURI</x:t>
  </x:si>
  <x:si>
    <x:t xml:space="preserve">PRM-0145</x:t>
  </x:si>
  <x:si>
    <x:t xml:space="preserve">GRAHA ROSMANIA</x:t>
  </x:si>
  <x:si>
    <x:t xml:space="preserve">PRM-0146</x:t>
  </x:si>
  <x:si>
    <x:t xml:space="preserve">GRAND BANGKA CITY</x:t>
  </x:si>
  <x:si>
    <x:t xml:space="preserve">Semabung Lama</x:t>
  </x:si>
  <x:si>
    <x:t xml:space="preserve">PRM-0147</x:t>
  </x:si>
  <x:si>
    <x:t xml:space="preserve">GRAND ERANES</x:t>
  </x:si>
  <x:si>
    <x:t xml:space="preserve">PRM-0148</x:t>
  </x:si>
  <x:si>
    <x:t xml:space="preserve">GRAND GANDARIA TAHAP 1</x:t>
  </x:si>
  <x:si>
    <x:t xml:space="preserve">PRM-0149</x:t>
  </x:si>
  <x:si>
    <x:t xml:space="preserve">GRAND GANDARIA TAHAP 2</x:t>
  </x:si>
  <x:si>
    <x:t xml:space="preserve">PRM-0150</x:t>
  </x:si>
  <x:si>
    <x:t xml:space="preserve">GRAND GANDARIA TAHAP 3</x:t>
  </x:si>
  <x:si>
    <x:t xml:space="preserve">PRM-0151</x:t>
  </x:si>
  <x:si>
    <x:t xml:space="preserve">GRAND PAPengembang Indonesia (PI)N'K ESTATE</x:t>
  </x:si>
  <x:si>
    <x:t xml:space="preserve">PRM-0152</x:t>
  </x:si>
  <x:si>
    <x:t xml:space="preserve">GRAND PAPengembang Indonesia (PI)NK II</x:t>
  </x:si>
  <x:si>
    <x:t xml:space="preserve">PRM-0153</x:t>
  </x:si>
  <x:si>
    <x:t xml:space="preserve">GRAND PAPengembang Indonesia (PI)N'K III</x:t>
  </x:si>
  <x:si>
    <x:t xml:space="preserve">PRM-0154</x:t>
  </x:si>
  <x:si>
    <x:t xml:space="preserve">GRAND PAPengembang Indonesia (PI)N'K IV</x:t>
  </x:si>
  <x:si>
    <x:t xml:space="preserve">PRM-0155</x:t>
  </x:si>
  <x:si>
    <x:t xml:space="preserve">GREEN HILL</x:t>
  </x:si>
  <x:si>
    <x:t xml:space="preserve">PRM-0156</x:t>
  </x:si>
  <x:si>
    <x:t xml:space="preserve">GREEN HILL 3</x:t>
  </x:si>
  <x:si>
    <x:t xml:space="preserve">PRM-0157</x:t>
  </x:si>
  <x:si>
    <x:t xml:space="preserve">GREEN HILL TAHAP 2</x:t>
  </x:si>
  <x:si>
    <x:t xml:space="preserve">PRM-0158</x:t>
  </x:si>
  <x:si>
    <x:t xml:space="preserve">GREEN PESONA SELINDUNG</x:t>
  </x:si>
  <x:si>
    <x:t xml:space="preserve">PRM-0159</x:t>
  </x:si>
  <x:si>
    <x:t xml:space="preserve">GREEN VALLEY RESIDENCE</x:t>
  </x:si>
  <x:si>
    <x:t xml:space="preserve">PRM-0160</x:t>
  </x:si>
  <x:si>
    <x:t xml:space="preserve">GREEN VILLA</x:t>
  </x:si>
  <x:si>
    <x:t xml:space="preserve">PRM-0161</x:t>
  </x:si>
  <x:si>
    <x:t xml:space="preserve">GRIYA BANGKA POS</x:t>
  </x:si>
  <x:si>
    <x:t xml:space="preserve">PRM-0162</x:t>
  </x:si>
  <x:si>
    <x:t xml:space="preserve">GRIYA BERKAH</x:t>
  </x:si>
  <x:si>
    <x:t xml:space="preserve">PRM-0163</x:t>
  </x:si>
  <x:si>
    <x:t xml:space="preserve">GRIYA BUKIT INTAN</x:t>
  </x:si>
  <x:si>
    <x:t xml:space="preserve">PRM-0164</x:t>
  </x:si>
  <x:si>
    <x:t xml:space="preserve">GRIYA ELANG</x:t>
  </x:si>
  <x:si>
    <x:t xml:space="preserve">PRM-0165</x:t>
  </x:si>
  <x:si>
    <x:t xml:space="preserve">GRIYA ELANG 2</x:t>
  </x:si>
  <x:si>
    <x:t xml:space="preserve">PRM-0166</x:t>
  </x:si>
  <x:si>
    <x:t xml:space="preserve">GRIYA ELANG 3</x:t>
  </x:si>
  <x:si>
    <x:t xml:space="preserve">PRM-0167</x:t>
  </x:si>
  <x:si>
    <x:t xml:space="preserve">GRIYA ELANG 4</x:t>
  </x:si>
  <x:si>
    <x:t xml:space="preserve">PRM-0168</x:t>
  </x:si>
  <x:si>
    <x:t xml:space="preserve">GRIYA GANDARIA INDAH</x:t>
  </x:si>
  <x:si>
    <x:t xml:space="preserve">PRM-0169</x:t>
  </x:si>
  <x:si>
    <x:t xml:space="preserve">GRIYA INTAN ASRI</x:t>
  </x:si>
  <x:si>
    <x:t xml:space="preserve">PRM-0170</x:t>
  </x:si>
  <x:si>
    <x:t xml:space="preserve">GRIYA KHARISMA</x:t>
  </x:si>
  <x:si>
    <x:t xml:space="preserve">PRM-0171</x:t>
  </x:si>
  <x:si>
    <x:t xml:space="preserve">GRIYA MUSTIKA 1</x:t>
  </x:si>
  <x:si>
    <x:t xml:space="preserve">PRM-0172</x:t>
  </x:si>
  <x:si>
    <x:t xml:space="preserve">GRIYA PANGKALPengembang Indonesia (PI)NANG</x:t>
  </x:si>
  <x:si>
    <x:t xml:space="preserve">PRM-0173</x:t>
  </x:si>
  <x:si>
    <x:t xml:space="preserve">GRIYA PAPengembang Indonesia (PI)NKA 1</x:t>
  </x:si>
  <x:si>
    <x:t xml:space="preserve">PRM-0174</x:t>
  </x:si>
  <x:si>
    <x:t xml:space="preserve">GRIYA PAPengembang Indonesia (PI)NKA 2</x:t>
  </x:si>
  <x:si>
    <x:t xml:space="preserve">PRM-0175</x:t>
  </x:si>
  <x:si>
    <x:t xml:space="preserve">GRIYA PAPengembang Indonesia (PI)NKA 3</x:t>
  </x:si>
  <x:si>
    <x:t xml:space="preserve">PRM-0176</x:t>
  </x:si>
  <x:si>
    <x:t xml:space="preserve">GRIYA PESONA</x:t>
  </x:si>
  <x:si>
    <x:t xml:space="preserve">PRM-0177</x:t>
  </x:si>
  <x:si>
    <x:t xml:space="preserve">GRIYA PESONA SELINDUNG</x:t>
  </x:si>
  <x:si>
    <x:t xml:space="preserve">PRM-0178</x:t>
  </x:si>
  <x:si>
    <x:t xml:space="preserve">GRIYA ROSMANIA RESIDENCE</x:t>
  </x:si>
  <x:si>
    <x:t xml:space="preserve">PRM-0179</x:t>
  </x:si>
  <x:si>
    <x:t xml:space="preserve">GRIYA SAFARIAH</x:t>
  </x:si>
  <x:si>
    <x:t xml:space="preserve">PRM-0180</x:t>
  </x:si>
  <x:si>
    <x:t xml:space="preserve">GRIYA SHENA PERMAI</x:t>
  </x:si>
  <x:si>
    <x:t xml:space="preserve">PRM-0181</x:t>
  </x:si>
  <x:si>
    <x:t xml:space="preserve">GRIYA SYARIAH</x:t>
  </x:si>
  <x:si>
    <x:t xml:space="preserve">PRM-0182</x:t>
  </x:si>
  <x:si>
    <x:t xml:space="preserve">HARMONI RESIDENCE</x:t>
  </x:si>
  <x:si>
    <x:t xml:space="preserve">PRM-0183</x:t>
  </x:si>
  <x:si>
    <x:t xml:space="preserve">HARVEST RESIDENCE 1</x:t>
  </x:si>
  <x:si>
    <x:t xml:space="preserve">PRM-0184</x:t>
  </x:si>
  <x:si>
    <x:t xml:space="preserve">HARVEST RESIDENCE 2</x:t>
  </x:si>
  <x:si>
    <x:t xml:space="preserve">PRM-0185</x:t>
  </x:si>
  <x:si>
    <x:t xml:space="preserve">HARVEST RESIDENCE 3</x:t>
  </x:si>
  <x:si>
    <x:t xml:space="preserve">PRM-0186</x:t>
  </x:si>
  <x:si>
    <x:t xml:space="preserve">HARVEST RESIDENCE 5</x:t>
  </x:si>
  <x:si>
    <x:t xml:space="preserve">PRM-0187</x:t>
  </x:si>
  <x:si>
    <x:t xml:space="preserve">HARVEST RESIDENCE 6</x:t>
  </x:si>
  <x:si>
    <x:t xml:space="preserve">PRM-0188</x:t>
  </x:si>
  <x:si>
    <x:t xml:space="preserve">HARVEST RESIDENCE 7</x:t>
  </x:si>
  <x:si>
    <x:t xml:space="preserve">PRM-0189</x:t>
  </x:si>
  <x:si>
    <x:t xml:space="preserve">HARVEST RESIDENCE 8</x:t>
  </x:si>
  <x:si>
    <x:t xml:space="preserve">PRM-0190</x:t>
  </x:si>
  <x:si>
    <x:t xml:space="preserve">HARVEST RESIDENCE 9</x:t>
  </x:si>
  <x:si>
    <x:t xml:space="preserve">PRM-0191</x:t>
  </x:si>
  <x:si>
    <x:t xml:space="preserve">INDAH RESIDENCE</x:t>
  </x:si>
  <x:si>
    <x:t xml:space="preserve">PRM-0192</x:t>
  </x:si>
  <x:si>
    <x:t xml:space="preserve">INDO GRAHA</x:t>
  </x:si>
  <x:si>
    <x:t xml:space="preserve">PRM-0193</x:t>
  </x:si>
  <x:si>
    <x:t xml:space="preserve">INDO GRIYA</x:t>
  </x:si>
  <x:si>
    <x:t xml:space="preserve">PRM-0194</x:t>
  </x:si>
  <x:si>
    <x:t xml:space="preserve">INDO RESIDENCE</x:t>
  </x:si>
  <x:si>
    <x:t xml:space="preserve">PRM-0195</x:t>
  </x:si>
  <x:si>
    <x:t xml:space="preserve">INDO WANEKA RESIDENCE 1</x:t>
  </x:si>
  <x:si>
    <x:t xml:space="preserve">PRM-0196</x:t>
  </x:si>
  <x:si>
    <x:t xml:space="preserve">INDO WANEKA RESIDENCE 2</x:t>
  </x:si>
  <x:si>
    <x:t xml:space="preserve">PRM-0197</x:t>
  </x:si>
  <x:si>
    <x:t xml:space="preserve">INDO WANEKA RESIDENCE 3</x:t>
  </x:si>
  <x:si>
    <x:t xml:space="preserve">PRM-0198</x:t>
  </x:si>
  <x:si>
    <x:t xml:space="preserve">INDO WANEKA RESIDENCE 4</x:t>
  </x:si>
  <x:si>
    <x:t xml:space="preserve">PRM-0199</x:t>
  </x:si>
  <x:si>
    <x:t xml:space="preserve">INDO WANEKA RESIDENCE 5</x:t>
  </x:si>
  <x:si>
    <x:t xml:space="preserve">PRM-0200</x:t>
  </x:si>
  <x:si>
    <x:t xml:space="preserve">KALENDRA RESIDENCE</x:t>
  </x:si>
  <x:si>
    <x:t xml:space="preserve">PRM-0201</x:t>
  </x:si>
  <x:si>
    <x:t xml:space="preserve">KALENDRA RESIDENCE 2</x:t>
  </x:si>
  <x:si>
    <x:t xml:space="preserve">PRM-0202</x:t>
  </x:si>
  <x:si>
    <x:t xml:space="preserve">KAMPUNG ASRI 3</x:t>
  </x:si>
  <x:si>
    <x:t xml:space="preserve">PRM-0203</x:t>
  </x:si>
  <x:si>
    <x:t xml:space="preserve">KAMPUNG MELAYU ASRI 2</x:t>
  </x:si>
  <x:si>
    <x:t xml:space="preserve">PRM-0204</x:t>
  </x:si>
  <x:si>
    <x:t xml:space="preserve">KORPRI PERMAI</x:t>
  </x:si>
  <x:si>
    <x:t xml:space="preserve">PRM-0205</x:t>
  </x:si>
  <x:si>
    <x:t xml:space="preserve">KOTA BARU RESIDENCE</x:t>
  </x:si>
  <x:si>
    <x:t xml:space="preserve">PRM-0206</x:t>
  </x:si>
  <x:si>
    <x:t xml:space="preserve">LAVANDE RESIDENCE 1</x:t>
  </x:si>
  <x:si>
    <x:t xml:space="preserve">PRM-0207</x:t>
  </x:si>
  <x:si>
    <x:t xml:space="preserve">LAVANDE RESIDENCE 2</x:t>
  </x:si>
  <x:si>
    <x:t xml:space="preserve">PRM-0208</x:t>
  </x:si>
  <x:si>
    <x:t xml:space="preserve">LEGAVISTA 4</x:t>
  </x:si>
  <x:si>
    <x:t xml:space="preserve">PRM-0209</x:t>
  </x:si>
  <x:si>
    <x:t xml:space="preserve">LEGAVISTA 4 TAHAP 2</x:t>
  </x:si>
  <x:si>
    <x:t xml:space="preserve">PRM-0210</x:t>
  </x:si>
  <x:si>
    <x:t xml:space="preserve">LENTERA BAHAGIA</x:t>
  </x:si>
  <x:si>
    <x:t xml:space="preserve">PRM-0211</x:t>
  </x:si>
  <x:si>
    <x:t xml:space="preserve">MADANI RESIDENCE</x:t>
  </x:si>
  <x:si>
    <x:t xml:space="preserve">PRM-0212</x:t>
  </x:si>
  <x:si>
    <x:t xml:space="preserve">MAHARANI RESIDENCE</x:t>
  </x:si>
  <x:si>
    <x:t xml:space="preserve">PRM-0213</x:t>
  </x:si>
  <x:si>
    <x:t xml:space="preserve">MATAHARI RESIDENCE</x:t>
  </x:si>
  <x:si>
    <x:t xml:space="preserve">PRM-0214</x:t>
  </x:si>
  <x:si>
    <x:t xml:space="preserve">MATAHARI RESIDENCE 2</x:t>
  </x:si>
  <x:si>
    <x:t xml:space="preserve">PRM-0215</x:t>
  </x:si>
  <x:si>
    <x:t xml:space="preserve">MEGA HARMONI</x:t>
  </x:si>
  <x:si>
    <x:t xml:space="preserve">PRM-0216</x:t>
  </x:si>
  <x:si>
    <x:t xml:space="preserve">MENARA KAMPAK RESIDENCE</x:t>
  </x:si>
  <x:si>
    <x:t xml:space="preserve">PRM-0217</x:t>
  </x:si>
  <x:si>
    <x:t xml:space="preserve">MENTARI RESIDENCE</x:t>
  </x:si>
  <x:si>
    <x:t xml:space="preserve">Kacang Pedang</x:t>
  </x:si>
  <x:si>
    <x:t xml:space="preserve">PRM-0218</x:t>
  </x:si>
  <x:si>
    <x:t xml:space="preserve">PRM-0219</x:t>
  </x:si>
  <x:si>
    <x:t xml:space="preserve">MIRACLE LAND</x:t>
  </x:si>
  <x:si>
    <x:t xml:space="preserve">PRM-0220</x:t>
  </x:si>
  <x:si>
    <x:t xml:space="preserve">MONACO RESIDENCE</x:t>
  </x:si>
  <x:si>
    <x:t xml:space="preserve">PRM-0221</x:t>
  </x:si>
  <x:si>
    <x:t xml:space="preserve">MUTIARA RUBY</x:t>
  </x:si>
  <x:si>
    <x:t xml:space="preserve">PRM-0222</x:t>
  </x:si>
  <x:si>
    <x:t xml:space="preserve">MUTIARA SELINDUNG</x:t>
  </x:si>
  <x:si>
    <x:t xml:space="preserve">PRM-0223</x:t>
  </x:si>
  <x:si>
    <x:t xml:space="preserve">MUTIARA SELINDUNG TAHAP 2</x:t>
  </x:si>
  <x:si>
    <x:t xml:space="preserve">PRM-0224</x:t>
  </x:si>
  <x:si>
    <x:t xml:space="preserve">NILAM PERMATA RESIDENCE</x:t>
  </x:si>
  <x:si>
    <x:t xml:space="preserve">PRM-0225</x:t>
  </x:si>
  <x:si>
    <x:t xml:space="preserve">NILAM PERMATA RESIDENCE 2 TAHAP 1</x:t>
  </x:si>
  <x:si>
    <x:t xml:space="preserve">PRM-0226</x:t>
  </x:si>
  <x:si>
    <x:t xml:space="preserve">NILAM PERMATA RESIDENCE 2 TAHAP 2</x:t>
  </x:si>
  <x:si>
    <x:t xml:space="preserve">PRM-0227</x:t>
  </x:si>
  <x:si>
    <x:t xml:space="preserve">NILAM PERMATA RESIDENCE 2 TAHAP 3</x:t>
  </x:si>
  <x:si>
    <x:t xml:space="preserve">PRM-0228</x:t>
  </x:si>
  <x:si>
    <x:t xml:space="preserve">NILAM PERMATA RESIDENCE 2 TAHAP 4</x:t>
  </x:si>
  <x:si>
    <x:t xml:space="preserve">PRM-0229</x:t>
  </x:si>
  <x:si>
    <x:t xml:space="preserve">NIRWANA ASRI</x:t>
  </x:si>
  <x:si>
    <x:t xml:space="preserve">PRM-0230</x:t>
  </x:si>
  <x:si>
    <x:t xml:space="preserve">ORIZA PERMAI</x:t>
  </x:si>
  <x:si>
    <x:t xml:space="preserve">PRM-0231</x:t>
  </x:si>
  <x:si>
    <x:t xml:space="preserve">PANORAMA ZAMRUD RESIDENCE</x:t>
  </x:si>
  <x:si>
    <x:t xml:space="preserve">PRM-0232</x:t>
  </x:si>
  <x:si>
    <x:t xml:space="preserve">PAPengembang Indonesia (PI)NKA VALLEY (JASMINE)</x:t>
  </x:si>
  <x:si>
    <x:t xml:space="preserve">PRM-0233</x:t>
  </x:si>
  <x:si>
    <x:t xml:space="preserve">PAPengembang Indonesia (PI)NKA VALLEY (ORCHID)</x:t>
  </x:si>
  <x:si>
    <x:t xml:space="preserve">PRM-0234</x:t>
  </x:si>
  <x:si>
    <x:t xml:space="preserve">PARADISE RESIDENCE 1</x:t>
  </x:si>
  <x:si>
    <x:t xml:space="preserve">PRM-0235</x:t>
  </x:si>
  <x:si>
    <x:t xml:space="preserve">PARADISE RESIDENCE 2</x:t>
  </x:si>
  <x:si>
    <x:t xml:space="preserve">PRM-0236</x:t>
  </x:si>
  <x:si>
    <x:t xml:space="preserve">PARADISE RESIDENCE 3</x:t>
  </x:si>
  <x:si>
    <x:t xml:space="preserve">PRM-0237</x:t>
  </x:si>
  <x:si>
    <x:t xml:space="preserve">PARADISE RESIDENCE 4</x:t>
  </x:si>
  <x:si>
    <x:t xml:space="preserve">PRM-0238</x:t>
  </x:si>
  <x:si>
    <x:t xml:space="preserve">PARADISE RESIDENCE 5</x:t>
  </x:si>
  <x:si>
    <x:t xml:space="preserve">PRM-0239</x:t>
  </x:si>
  <x:si>
    <x:t xml:space="preserve">PARADISE RESIDENCE 6</x:t>
  </x:si>
  <x:si>
    <x:t xml:space="preserve">PRM-0240</x:t>
  </x:si>
  <x:si>
    <x:t xml:space="preserve">PARADISE RESIDENCE 7</x:t>
  </x:si>
  <x:si>
    <x:t xml:space="preserve">PRM-0241</x:t>
  </x:si>
  <x:si>
    <x:t xml:space="preserve">PARADISE RESIDENCE 8</x:t>
  </x:si>
  <x:si>
    <x:t xml:space="preserve">PRM-0242</x:t>
  </x:si>
  <x:si>
    <x:t xml:space="preserve">PARADISE RESIDENCE 9 GANDARIA</x:t>
  </x:si>
  <x:si>
    <x:t xml:space="preserve">PRM-0243</x:t>
  </x:si>
  <x:si>
    <x:t xml:space="preserve">PARIS RESIDENCE</x:t>
  </x:si>
  <x:si>
    <x:t xml:space="preserve">PRM-0244</x:t>
  </x:si>
  <x:si>
    <x:t xml:space="preserve">PASIR MUTIARA RESIDENCE</x:t>
  </x:si>
  <x:si>
    <x:t xml:space="preserve">PRM-0245</x:t>
  </x:si>
  <x:si>
    <x:t xml:space="preserve">PASIR PADI RESIDENCE</x:t>
  </x:si>
  <x:si>
    <x:t xml:space="preserve">PRM-0246</x:t>
  </x:si>
  <x:si>
    <x:t xml:space="preserve">PEARL RESIDENCE 1</x:t>
  </x:si>
  <x:si>
    <x:t xml:space="preserve">PRM-0247</x:t>
  </x:si>
  <x:si>
    <x:t xml:space="preserve">PEARL RESIDENCE 2</x:t>
  </x:si>
  <x:si>
    <x:t xml:space="preserve">PRM-0248</x:t>
  </x:si>
  <x:si>
    <x:t xml:space="preserve">PEARL RESIDENCE 3</x:t>
  </x:si>
  <x:si>
    <x:t xml:space="preserve">PRM-0249</x:t>
  </x:si>
  <x:si>
    <x:t xml:space="preserve">PEARL RESIDENCE 5</x:t>
  </x:si>
  <x:si>
    <x:t xml:space="preserve">PRM-0250</x:t>
  </x:si>
  <x:si>
    <x:t xml:space="preserve">PELANGI RESIDENCE</x:t>
  </x:si>
  <x:si>
    <x:t xml:space="preserve">PRM-0251</x:t>
  </x:si>
  <x:si>
    <x:t xml:space="preserve">PERMATA GANDARIA</x:t>
  </x:si>
  <x:si>
    <x:t xml:space="preserve">PRM-0252</x:t>
  </x:si>
  <x:si>
    <x:t xml:space="preserve">PERMATA INTI KAMPAK</x:t>
  </x:si>
  <x:si>
    <x:t xml:space="preserve">PRM-0253</x:t>
  </x:si>
  <x:si>
    <x:t xml:space="preserve">PERMATA KULAN</x:t>
  </x:si>
  <x:si>
    <x:t xml:space="preserve">PRM-0254</x:t>
  </x:si>
  <x:si>
    <x:t xml:space="preserve">PERMATA MANDIRI RESIDENCE 2</x:t>
  </x:si>
  <x:si>
    <x:t xml:space="preserve">PRM-0255</x:t>
  </x:si>
  <x:si>
    <x:t xml:space="preserve">PERMATA SELINDUNG RESIDENCE</x:t>
  </x:si>
  <x:si>
    <x:t xml:space="preserve">PRM-0256</x:t>
  </x:si>
  <x:si>
    <x:t xml:space="preserve">PERMATA SRIWIJAYA</x:t>
  </x:si>
  <x:si>
    <x:t xml:space="preserve">PRM-0257</x:t>
  </x:si>
  <x:si>
    <x:t xml:space="preserve">PESONA ASROBAN INDAH</x:t>
  </x:si>
  <x:si>
    <x:t xml:space="preserve">PRM-0258</x:t>
  </x:si>
  <x:si>
    <x:t xml:space="preserve">PESONA KAMPAK PERMAI</x:t>
  </x:si>
  <x:si>
    <x:t xml:space="preserve">PRM-0259</x:t>
  </x:si>
  <x:si>
    <x:t xml:space="preserve">PESONA SELINDUNG</x:t>
  </x:si>
  <x:si>
    <x:t xml:space="preserve">PRM-0260</x:t>
  </x:si>
  <x:si>
    <x:t xml:space="preserve">Pengembang Indonesia (PI)NANG MAS</x:t>
  </x:si>
  <x:si>
    <x:t xml:space="preserve">PRM-0261</x:t>
  </x:si>
  <x:si>
    <x:t xml:space="preserve">PONDOK GRIYA KEDATON</x:t>
  </x:si>
  <x:si>
    <x:t xml:space="preserve">PRM-0262</x:t>
  </x:si>
  <x:si>
    <x:t xml:space="preserve">PONDOK INDAH</x:t>
  </x:si>
  <x:si>
    <x:t xml:space="preserve">PRM-0263</x:t>
  </x:si>
  <x:si>
    <x:t xml:space="preserve">PONDOK INDAH 2</x:t>
  </x:si>
  <x:si>
    <x:t xml:space="preserve">PRM-0264</x:t>
  </x:si>
  <x:si>
    <x:t xml:space="preserve">PONDOK INDAH 3</x:t>
  </x:si>
  <x:si>
    <x:t xml:space="preserve">PRM-0265</x:t>
  </x:si>
  <x:si>
    <x:t xml:space="preserve">PONDOK INDAH 5</x:t>
  </x:si>
  <x:si>
    <x:t xml:space="preserve">PRM-0266</x:t>
  </x:si>
  <x:si>
    <x:t xml:space="preserve">PONDOK INDAH 6</x:t>
  </x:si>
  <x:si>
    <x:t xml:space="preserve">PRM-0267</x:t>
  </x:si>
  <x:si>
    <x:t xml:space="preserve">PONDOK INDAH 7</x:t>
  </x:si>
  <x:si>
    <x:t xml:space="preserve">PRM-0268</x:t>
  </x:si>
  <x:si>
    <x:t xml:space="preserve">PONDOK INDAH 8</x:t>
  </x:si>
  <x:si>
    <x:t xml:space="preserve">PRM-0269</x:t>
  </x:si>
  <x:si>
    <x:t xml:space="preserve">PONDOK INDAH 9</x:t>
  </x:si>
  <x:si>
    <x:t xml:space="preserve">PRM-0270</x:t>
  </x:si>
  <x:si>
    <x:t xml:space="preserve">PONDOK INDAH 10</x:t>
  </x:si>
  <x:si>
    <x:t xml:space="preserve">PRM-0271</x:t>
  </x:si>
  <x:si>
    <x:t xml:space="preserve">PONDOK INDAH 11</x:t>
  </x:si>
  <x:si>
    <x:t xml:space="preserve">PRM-0272</x:t>
  </x:si>
  <x:si>
    <x:t xml:space="preserve">PRIMA GARDEN 1</x:t>
  </x:si>
  <x:si>
    <x:t xml:space="preserve">PRM-0273</x:t>
  </x:si>
  <x:si>
    <x:t xml:space="preserve">PRIMA GARDEN 1 TAHAP 2</x:t>
  </x:si>
  <x:si>
    <x:t xml:space="preserve">PRM-0274</x:t>
  </x:si>
  <x:si>
    <x:t xml:space="preserve">PURI ARWANA</x:t>
  </x:si>
  <x:si>
    <x:t xml:space="preserve">PRM-0275</x:t>
  </x:si>
  <x:si>
    <x:t xml:space="preserve">PURI KENCANA</x:t>
  </x:si>
  <x:si>
    <x:t xml:space="preserve">PRM-0276</x:t>
  </x:si>
  <x:si>
    <x:t xml:space="preserve">PURI MANSION</x:t>
  </x:si>
  <x:si>
    <x:t xml:space="preserve">PRM-0277</x:t>
  </x:si>
  <x:si>
    <x:t xml:space="preserve">PURI RESIDENCE</x:t>
  </x:si>
  <x:si>
    <x:t xml:space="preserve">PRM-0278</x:t>
  </x:si>
  <x:si>
    <x:t xml:space="preserve">PURI SEMABUNG INDAH</x:t>
  </x:si>
  <x:si>
    <x:t xml:space="preserve">PRM-0279</x:t>
  </x:si>
  <x:si>
    <x:t xml:space="preserve">PURI SEMABUNG INDAH 1</x:t>
  </x:si>
  <x:si>
    <x:t xml:space="preserve">PRM-0280</x:t>
  </x:si>
  <x:si>
    <x:t xml:space="preserve">RED WOOD</x:t>
  </x:si>
  <x:si>
    <x:t xml:space="preserve">PRM-0281</x:t>
  </x:si>
  <x:si>
    <x:t xml:space="preserve">RIVERA RESIDENCE</x:t>
  </x:si>
  <x:si>
    <x:t xml:space="preserve">PRM-0282</x:t>
  </x:si>
  <x:si>
    <x:t xml:space="preserve">RIZKI RESIDENCE</x:t>
  </x:si>
  <x:si>
    <x:t xml:space="preserve">PRM-0283</x:t>
  </x:si>
  <x:si>
    <x:t xml:space="preserve">RIZKY RESIDENCE 2</x:t>
  </x:si>
  <x:si>
    <x:t xml:space="preserve">PRM-0284</x:t>
  </x:si>
  <x:si>
    <x:t xml:space="preserve">ROSE WATER ESTATE</x:t>
  </x:si>
  <x:si>
    <x:t xml:space="preserve">PRM-0285</x:t>
  </x:si>
  <x:si>
    <x:t xml:space="preserve">ROYAL PERMATA INDAH</x:t>
  </x:si>
  <x:si>
    <x:t xml:space="preserve">PRM-0286</x:t>
  </x:si>
  <x:si>
    <x:t xml:space="preserve">SILAM PARI</x:t>
  </x:si>
  <x:si>
    <x:t xml:space="preserve">PRM-0287</x:t>
  </x:si>
  <x:si>
    <x:t xml:space="preserve">SINAR BANGKA INDAH</x:t>
  </x:si>
  <x:si>
    <x:t xml:space="preserve">PRM-0288</x:t>
  </x:si>
  <x:si>
    <x:t xml:space="preserve">TAMAN ANGGREK RESIDENCE 1</x:t>
  </x:si>
  <x:si>
    <x:t xml:space="preserve">PRM-0289</x:t>
  </x:si>
  <x:si>
    <x:t xml:space="preserve">TAMAN ANGGREK RESIDENCE 2</x:t>
  </x:si>
  <x:si>
    <x:t xml:space="preserve">PRM-0290</x:t>
  </x:si>
  <x:si>
    <x:t xml:space="preserve">TAMAN GANDARIA MAS</x:t>
  </x:si>
  <x:si>
    <x:t xml:space="preserve">PRM-0291</x:t>
  </x:si>
  <x:si>
    <x:t xml:space="preserve">TAMAN GANDARIA MAS 3</x:t>
  </x:si>
  <x:si>
    <x:t xml:space="preserve">PRM-0292</x:t>
  </x:si>
  <x:si>
    <x:t xml:space="preserve">TAMAN JAGUNG RESIDENCE 1</x:t>
  </x:si>
  <x:si>
    <x:t xml:space="preserve">PRM-0293</x:t>
  </x:si>
  <x:si>
    <x:t xml:space="preserve">TAMAN JAGUNG RESIDENCE 2</x:t>
  </x:si>
  <x:si>
    <x:t xml:space="preserve">PRM-0294</x:t>
  </x:si>
  <x:si>
    <x:t xml:space="preserve">TAMAN JAGUNG RESIDENCE 3</x:t>
  </x:si>
  <x:si>
    <x:t xml:space="preserve">PRM-0295</x:t>
  </x:si>
  <x:si>
    <x:t xml:space="preserve">TAMAN JAGUNG RESIDENCE 4</x:t>
  </x:si>
  <x:si>
    <x:t xml:space="preserve">PRM-0296</x:t>
  </x:si>
  <x:si>
    <x:t xml:space="preserve">TAMAN JAGUNG RESIDENCE 5</x:t>
  </x:si>
  <x:si>
    <x:t xml:space="preserve">PRM-0297</x:t>
  </x:si>
  <x:si>
    <x:t xml:space="preserve">TAMAN JAGUNG RESIDENCE 6</x:t>
  </x:si>
  <x:si>
    <x:t xml:space="preserve">PRM-0298</x:t>
  </x:si>
  <x:si>
    <x:t xml:space="preserve">TAMAN JAGUNG RESIDENCE 7</x:t>
  </x:si>
  <x:si>
    <x:t xml:space="preserve">PRM-0299</x:t>
  </x:si>
  <x:si>
    <x:t xml:space="preserve">TAMAN JAGUNG RESIDENCE 8</x:t>
  </x:si>
  <x:si>
    <x:t xml:space="preserve">PRM-0300</x:t>
  </x:si>
  <x:si>
    <x:t xml:space="preserve">TAMAN JAGUNG RESIDENCE 9</x:t>
  </x:si>
  <x:si>
    <x:t xml:space="preserve">PRM-0301</x:t>
  </x:si>
  <x:si>
    <x:t xml:space="preserve">TAMAN JAGUNG RESIDENCE 10</x:t>
  </x:si>
  <x:si>
    <x:t xml:space="preserve">PRM-0302</x:t>
  </x:si>
  <x:si>
    <x:t xml:space="preserve">TAMAN JAGUNG RESIDENCE 11</x:t>
  </x:si>
  <x:si>
    <x:t xml:space="preserve">PRM-0303</x:t>
  </x:si>
  <x:si>
    <x:t xml:space="preserve">TAMAN JAGUNG RESIDENCE 12</x:t>
  </x:si>
  <x:si>
    <x:t xml:space="preserve">PRM-0304</x:t>
  </x:si>
  <x:si>
    <x:t xml:space="preserve">TAMAN JAGUNG RESIDENCE 14</x:t>
  </x:si>
  <x:si>
    <x:t xml:space="preserve">PRM-0305</x:t>
  </x:si>
  <x:si>
    <x:t xml:space="preserve">TAMAN JAGUNG RESIDENCE 15</x:t>
  </x:si>
  <x:si>
    <x:t xml:space="preserve">PRM-0306</x:t>
  </x:si>
  <x:si>
    <x:t xml:space="preserve">TAMAN JAGUNG RESIDENCE 16</x:t>
  </x:si>
  <x:si>
    <x:t xml:space="preserve">PRM-0307</x:t>
  </x:si>
  <x:si>
    <x:t xml:space="preserve">TAMAN JAGUNG RESIDENCE 17</x:t>
  </x:si>
  <x:si>
    <x:t xml:space="preserve">PRM-0308</x:t>
  </x:si>
  <x:si>
    <x:t xml:space="preserve">TAMAN JAGUNG RESIDENCE 18</x:t>
  </x:si>
  <x:si>
    <x:t xml:space="preserve">PRM-0309</x:t>
  </x:si>
  <x:si>
    <x:t xml:space="preserve">TAMAN JAGUNG RESIDENCE ICON 1</x:t>
  </x:si>
  <x:si>
    <x:t xml:space="preserve">PRM-0310</x:t>
  </x:si>
  <x:si>
    <x:t xml:space="preserve">TAMAN JAGUNG RESIDENCE ICON 2</x:t>
  </x:si>
  <x:si>
    <x:t xml:space="preserve">PRM-0311</x:t>
  </x:si>
  <x:si>
    <x:t xml:space="preserve">TAMAN KOTA</x:t>
  </x:si>
  <x:si>
    <x:t xml:space="preserve">PRM-0312</x:t>
  </x:si>
  <x:si>
    <x:t xml:space="preserve">TAMAN MANGGIS 1</x:t>
  </x:si>
  <x:si>
    <x:t xml:space="preserve">PRM-0313</x:t>
  </x:si>
  <x:si>
    <x:t xml:space="preserve">TAMAN MANGGIS 2</x:t>
  </x:si>
  <x:si>
    <x:t xml:space="preserve">PRM-0314</x:t>
  </x:si>
  <x:si>
    <x:t xml:space="preserve">TAMAN MANGGIS 2 TAHAP 2</x:t>
  </x:si>
  <x:si>
    <x:t xml:space="preserve">PRM-0315</x:t>
  </x:si>
  <x:si>
    <x:t xml:space="preserve">TAMAN NAZHALEA</x:t>
  </x:si>
  <x:si>
    <x:t xml:space="preserve">PRM-0316</x:t>
  </x:si>
  <x:si>
    <x:t xml:space="preserve">TAMAN PAPengembang Indonesia (PI)NKA</x:t>
  </x:si>
  <x:si>
    <x:t xml:space="preserve">PRM-0317</x:t>
  </x:si>
  <x:si>
    <x:t xml:space="preserve">TAMAN SEMESTA MAS</x:t>
  </x:si>
  <x:si>
    <x:t xml:space="preserve">PRM-0318</x:t>
  </x:si>
  <x:si>
    <x:t xml:space="preserve">TAMAN SRIWIJAYA</x:t>
  </x:si>
  <x:si>
    <x:t xml:space="preserve">PRM-0319</x:t>
  </x:si>
  <x:si>
    <x:t xml:space="preserve">TAMAN SRIWIJAYA II</x:t>
  </x:si>
  <x:si>
    <x:t xml:space="preserve">PRM-0320</x:t>
  </x:si>
  <x:si>
    <x:t xml:space="preserve">TAMAN SURYA</x:t>
  </x:si>
  <x:si>
    <x:t xml:space="preserve">PRM-0321</x:t>
  </x:si>
  <x:si>
    <x:t xml:space="preserve">TAMAN SURYA MAS</x:t>
  </x:si>
  <x:si>
    <x:t xml:space="preserve">PRM-0322</x:t>
  </x:si>
  <x:si>
    <x:t xml:space="preserve">TAMAN SURYA MAS INDAH</x:t>
  </x:si>
  <x:si>
    <x:t xml:space="preserve">PRM-0323</x:t>
  </x:si>
  <x:si>
    <x:t xml:space="preserve">TAMAN TANJUNG BUNGA CLUSTER ANGGREK</x:t>
  </x:si>
  <x:si>
    <x:t xml:space="preserve">PRM-0324</x:t>
  </x:si>
  <x:si>
    <x:t xml:space="preserve">TAMAN TANJUNG BUNGA CLUSTER DAHLIA</x:t>
  </x:si>
  <x:si>
    <x:t xml:space="preserve">PRM-0325</x:t>
  </x:si>
  <x:si>
    <x:t xml:space="preserve">TAMAN TANJUNG BUNGA CLUSTER LILI</x:t>
  </x:si>
  <x:si>
    <x:t xml:space="preserve">PRM-0326</x:t>
  </x:si>
  <x:si>
    <x:t xml:space="preserve">TAMAN TANJUNG BUNGA CLUSTER MAWAR 1</x:t>
  </x:si>
  <x:si>
    <x:t xml:space="preserve">PRM-0327</x:t>
  </x:si>
  <x:si>
    <x:t xml:space="preserve">TAMAN TANJUNG BUNGA CLUSTER MAWAR 2</x:t>
  </x:si>
  <x:si>
    <x:t xml:space="preserve">PRM-0328</x:t>
  </x:si>
  <x:si>
    <x:t xml:space="preserve">TAMAN TANJUNG BUNGA CLUSTER SERUNI</x:t>
  </x:si>
  <x:si>
    <x:t xml:space="preserve">PRM-0329</x:t>
  </x:si>
  <x:si>
    <x:t xml:space="preserve">TAMARA DREAM LAND 2</x:t>
  </x:si>
  <x:si>
    <x:t xml:space="preserve">PRM-0330</x:t>
  </x:si>
  <x:si>
    <x:t xml:space="preserve">TAMARA DREAM LAND 2 TAHAP 2</x:t>
  </x:si>
  <x:si>
    <x:t xml:space="preserve">PRM-0331</x:t>
  </x:si>
  <x:si>
    <x:t xml:space="preserve">TANJUNG MANDIRI</x:t>
  </x:si>
  <x:si>
    <x:t xml:space="preserve">PRM-0332</x:t>
  </x:si>
  <x:si>
    <x:t xml:space="preserve">TELAGA TIMUR 1</x:t>
  </x:si>
  <x:si>
    <x:t xml:space="preserve">PRM-0333</x:t>
  </x:si>
  <x:si>
    <x:t xml:space="preserve">TELAGA TIMUR 2</x:t>
  </x:si>
  <x:si>
    <x:t xml:space="preserve">PRM-0334</x:t>
  </x:si>
  <x:si>
    <x:t xml:space="preserve">TELAGA TIMUR 3</x:t>
  </x:si>
  <x:si>
    <x:t xml:space="preserve">PRM-0335</x:t>
  </x:si>
  <x:si>
    <x:t xml:space="preserve">THE GREENLAND CITY</x:t>
  </x:si>
  <x:si>
    <x:t xml:space="preserve">PRM-0336</x:t>
  </x:si>
  <x:si>
    <x:t xml:space="preserve">THE ZAMRUD LAND</x:t>
  </x:si>
  <x:si>
    <x:t xml:space="preserve">PRM-0337</x:t>
  </x:si>
  <x:si>
    <x:t xml:space="preserve">TIRTA KENCANA PERMAI</x:t>
  </x:si>
  <x:si>
    <x:t xml:space="preserve">PRM-0338</x:t>
  </x:si>
  <x:si>
    <x:t xml:space="preserve">TUNAS ILALANG</x:t>
  </x:si>
  <x:si>
    <x:t xml:space="preserve">PRM-0339</x:t>
  </x:si>
  <x:si>
    <x:t xml:space="preserve">TUNAS JERAMBAH GANTUNG</x:t>
  </x:si>
  <x:si>
    <x:t xml:space="preserve">PRM-0340</x:t>
  </x:si>
  <x:si>
    <x:t xml:space="preserve">TUNAS KAMPAK REGAR</x:t>
  </x:si>
  <x:si>
    <x:t xml:space="preserve">PRM-0341</x:t>
  </x:si>
  <x:si>
    <x:t xml:space="preserve">TUNAS TANJUNG BUNGA</x:t>
  </x:si>
  <x:si>
    <x:t xml:space="preserve">PRM-0342</x:t>
  </x:si>
  <x:si>
    <x:t xml:space="preserve">VALERI RESIDENCE</x:t>
  </x:si>
  <x:si>
    <x:t xml:space="preserve">Rangkui</x:t>
  </x:si>
  <x:si>
    <x:t xml:space="preserve">Asam</x:t>
  </x:si>
  <x:si>
    <x:t xml:space="preserve">PRM-0343</x:t>
  </x:si>
  <x:si>
    <x:t xml:space="preserve">VALERI RESIDENCE 2</x:t>
  </x:si>
  <x:si>
    <x:t xml:space="preserve">PRM-0344</x:t>
  </x:si>
  <x:si>
    <x:t xml:space="preserve">VALERI RESIDENCE 3</x:t>
  </x:si>
  <x:si>
    <x:t xml:space="preserve">PRM-0345</x:t>
  </x:si>
  <x:si>
    <x:t xml:space="preserve">VILLA BUKIT ASRI</x:t>
  </x:si>
  <x:si>
    <x:t xml:space="preserve">PRM-0346</x:t>
  </x:si>
  <x:si>
    <x:t xml:space="preserve">VILLA HARMONI</x:t>
  </x:si>
  <x:si>
    <x:t xml:space="preserve">Ampui</x:t>
  </x:si>
  <x:si>
    <x:t xml:space="preserve">PRM-0347</x:t>
  </x:si>
  <x:si>
    <x:t xml:space="preserve">VILLA JAM'S RESIDENCE</x:t>
  </x:si>
  <x:si>
    <x:t xml:space="preserve">PRM-0348</x:t>
  </x:si>
  <x:si>
    <x:t xml:space="preserve">VILLA KAYU MAS</x:t>
  </x:si>
  <x:si>
    <x:t xml:space="preserve">PRM-0349</x:t>
  </x:si>
  <x:si>
    <x:t xml:space="preserve">VILLA SAKINAH INDAH</x:t>
  </x:si>
  <x:si>
    <x:t xml:space="preserve">PRM-0350</x:t>
  </x:si>
  <x:si>
    <x:t xml:space="preserve">VIONA VILLAGE</x:t>
  </x:si>
  <x:si>
    <x:t xml:space="preserve">PRM-0351</x:t>
  </x:si>
  <x:si>
    <x:t xml:space="preserve">WAN RESIDENCE 1</x:t>
  </x:si>
  <x:si>
    <x:t xml:space="preserve">PRM-0352</x:t>
  </x:si>
  <x:si>
    <x:t xml:space="preserve">WATERGATE PARK RESIDENCE</x:t>
  </x:si>
  <x:si>
    <x:t xml:space="preserve">Pengembang Indonesia (PI)ntu Air</x:t>
  </x:si>
  <x:si>
    <x:t xml:space="preserve">PRM-0353</x:t>
  </x:si>
  <x:si>
    <x:t xml:space="preserve">ZIKRI RESIDENCE TAHAP 1</x:t>
  </x:si>
  <x:si>
    <x:t xml:space="preserve">PRM-0354</x:t>
  </x:si>
  <x:si>
    <x:t xml:space="preserve">ZIKRI RESIDENCE TAHAP 2</x:t>
  </x:si>
  <x:si>
    <x:t xml:space="preserve">PRM-0355</x:t>
  </x:si>
  <x:si>
    <x:t xml:space="preserve">ZIKRY RESIDENCE TAHAP 3</x:t>
  </x:si>
  <x:si>
    <x:t xml:space="preserve">PRM-0356</x:t>
  </x:si>
  <x:si>
    <x:t xml:space="preserve">ZIKRY RESIDENCE TAHAP 4</x:t>
  </x:si>
  <x:si>
    <x:t xml:space="preserve">TEMPLATE RESMI DATABASE SIRUMAH — STATUS KEPEMILIKAN TEMPAT TINGGAL DAN BACKLOG</x:t>
  </x:si>
  <x:si>
    <x:t xml:space="preserve">RUMUS: Unit Hunian Terdata = seluruh status tempat tinggal; Backlog Kepemilikan = selain Milik Sendiri; Backlog Penghunian = Jumlah KK − (Milik Sendiri + Sewa/Kontrak + Rumah Dinas).</x:t>
  </x:si>
  <x:si>
    <x:t xml:space="preserve">ID_BACKLOG*</x:t>
  </x:si>
  <x:si>
    <x:t xml:space="preserve">TINGKAT_WILAYAH*</x:t>
  </x:si>
  <x:si>
    <x:t xml:space="preserve">KECAMATAN/WILAYAH*</x:t>
  </x:si>
  <x:si>
    <x:t xml:space="preserve">JUMLAH_KK*</x:t>
  </x:si>
  <x:si>
    <x:t xml:space="preserve">MILIK_SENDIRI*</x:t>
  </x:si>
  <x:si>
    <x:t xml:space="preserve">SEWA_KONTRAK*</x:t>
  </x:si>
  <x:si>
    <x:t xml:space="preserve">MENUMPANG_BEBAS_SEWA*</x:t>
  </x:si>
  <x:si>
    <x:t xml:space="preserve">RUMAH_DINAS*</x:t>
  </x:si>
  <x:si>
    <x:t xml:space="preserve">LAINNYA*</x:t>
  </x:si>
  <x:si>
    <x:t xml:space="preserve">UNIT_HUNIAN_TERDATA</x:t>
  </x:si>
  <x:si>
    <x:t xml:space="preserve">BACKLOG_KEPEMILIKAN</x:t>
  </x:si>
  <x:si>
    <x:t xml:space="preserve">BACKLOG_HUNIAN</x:t>
  </x:si>
  <x:si>
    <x:t xml:space="preserve">BLG-001</x:t>
  </x:si>
  <x:si>
    <x:t xml:space="preserve">Kecamatan</x:t>
  </x:si>
  <x:si>
    <x:t xml:space="preserve">BLG-002</x:t>
  </x:si>
  <x:si>
    <x:t xml:space="preserve">Taman Sari</x:t>
  </x:si>
  <x:si>
    <x:t xml:space="preserve">BLG-003</x:t>
  </x:si>
  <x:si>
    <x:t xml:space="preserve">BLG-004</x:t>
  </x:si>
  <x:si>
    <x:t xml:space="preserve">BLG-005</x:t>
  </x:si>
  <x:si>
    <x:t xml:space="preserve">BLG-006</x:t>
  </x:si>
  <x:si>
    <x:t xml:space="preserve">BLG-007</x:t>
  </x:si>
  <x:si>
    <x:t xml:space="preserve">BLG-KOTA</x:t>
  </x:si>
  <x:si>
    <x:t xml:space="preserve">Kota</x:t>
  </x:si>
  <x:si>
    <x:t xml:space="preserve">TEMPLATE RESMI DATABASE SIRUMAH — RTLH &amp; RLH PER KECAMATAN</x:t>
  </x:si>
  <x:si>
    <x:t xml:space="preserve">Kolom RLH dan Persentase RTLH dihitung otomatis. Pastikan Jumlah Rumah dan RTLH telah diverifikasi.</x:t>
  </x:si>
  <x:si>
    <x:t xml:space="preserve">PETUNJUK: Jangan mengubah nama header. Kolom bertanda * wajib diisi. Isi data mulai baris 6. Kolom berwarna biru muda dihitung otomatis oleh Excel.</x:t>
  </x:si>
  <x:si>
    <x:t xml:space="preserve">ID_REKAP*</x:t>
  </x:si>
  <x:si>
    <x:t xml:space="preserve">JUMLAH_RUMAH*</x:t>
  </x:si>
  <x:si>
    <x:t xml:space="preserve">RTLH*</x:t>
  </x:si>
  <x:si>
    <x:t xml:space="preserve">RLH</x:t>
  </x:si>
  <x:si>
    <x:t xml:space="preserve">PERSENTASE_RTLH</x:t>
  </x:si>
  <x:si>
    <x:t xml:space="preserve">1</x:t>
  </x:si>
  <x:si>
    <x:t xml:space="preserve">BKKBN</x:t>
  </x:si>
  <x:si>
    <x:t xml:space="preserve">2</x:t>
  </x:si>
  <x:si>
    <x:t xml:space="preserve">3</x:t>
  </x:si>
  <x:si>
    <x:t xml:space="preserve">4</x:t>
  </x:si>
  <x:si>
    <x:t xml:space="preserve">5</x:t>
  </x:si>
  <x:si>
    <x:t xml:space="preserve">6</x:t>
  </x:si>
  <x:si>
    <x:t xml:space="preserve">7</x:t>
  </x:si>
  <x:si>
    <x:t xml:space="preserve">TEMPLATE RESMI DATABASE SIRUMAH — DATA INDIVIDU RTLH</x:t>
  </x:si>
  <x:si>
    <x:t xml:space="preserve">KECAMATAN</x:t>
  </x:si>
  <x:si>
    <x:t xml:space="preserve">JENIS_USULAN</x:t>
  </x:si>
  <x:si>
    <x:t xml:space="preserve">TIPE_KONSTRUKSI</x:t>
  </x:si>
  <x:si>
    <x:t xml:space="preserve">MATERIAL_ATAP</x:t>
  </x:si>
  <x:si>
    <x:t xml:space="preserve">KONDISI_ATAP</x:t>
  </x:si>
  <x:si>
    <x:t xml:space="preserve">MATERIAL_DINDING</x:t>
  </x:si>
  <x:si>
    <x:t xml:space="preserve">KONDISI_DINDING</x:t>
  </x:si>
  <x:si>
    <x:t xml:space="preserve">MATERIAL_LANTAI</x:t>
  </x:si>
  <x:si>
    <x:t xml:space="preserve">KONDISI_LANTAI</x:t>
  </x:si>
  <x:si>
    <x:t xml:space="preserve">STATUS_MBR</x:t>
  </x:si>
  <x:si>
    <x:t xml:space="preserve">CHECKLIST_YA_TIDAK</x:t>
  </x:si>
  <x:si>
    <x:t xml:space="preserve">TINGKAT_RISIKO_LAINNYA</x:t>
  </x:si>
  <x:si>
    <x:t xml:space="preserve">STATUS_ADMINISTRASI</x:t>
  </x:si>
  <x:si>
    <x:t xml:space="preserve">STATUS_VERIFIKASI</x:t>
  </x:si>
  <x:si>
    <x:t xml:space="preserve">STATUS_PENANGANAN</x:t>
  </x:si>
  <x:si>
    <x:t xml:space="preserve">SUMBER_DANA</x:t>
  </x:si>
  <x:si>
    <x:t xml:space="preserve">STATUS_KEPEMILIKAN_TANAH</x:t>
  </x:si>
  <x:si>
    <x:t xml:space="preserve">DATA INTERNAL. Berisi usulan Musrenbang dan Pokir DPRD. Lindungi NIK, No. KK, alamat lengkap, dan nomor telepon; dashboard publik hanya menampilkan data agregat.</x:t>
  </x:si>
  <x:si>
    <x:t xml:space="preserve">Pembangunan Baru</x:t>
  </x:si>
  <x:si>
    <x:t xml:space="preserve">Permanen</x:t>
  </x:si>
  <x:si>
    <x:t xml:space="preserve">Genteng</x:t>
  </x:si>
  <x:si>
    <x:t xml:space="preserve">Baik</x:t>
  </x:si>
  <x:si>
    <x:t xml:space="preserve">Bata/Batako Diplester</x:t>
  </x:si>
  <x:si>
    <x:t xml:space="preserve">Keramik</x:t>
  </x:si>
  <x:si>
    <x:t xml:space="preserve">Terverifikasi DTKS/P3KE/MBR</x:t>
  </x:si>
  <x:si>
    <x:t xml:space="preserve">Ya</x:t>
  </x:si>
  <x:si>
    <x:t xml:space="preserve">Risiko Sedang</x:t>
  </x:si>
  <x:si>
    <x:t xml:space="preserve">Lengkap</x:t>
  </x:si>
  <x:si>
    <x:t xml:space="preserve">Belum Diverifikasi</x:t>
  </x:si>
  <x:si>
    <x:t xml:space="preserve">Belum Ditangani</x:t>
  </x:si>
  <x:si>
    <x:t xml:space="preserve">Belum Ada</x:t>
  </x:si>
  <x:si>
    <x:t xml:space="preserve">Milik Sendiri</x:t>
  </x:si>
  <x:si>
    <x:t xml:space="preserve">Usulan Musrenbang/Pokir DPRD</x:t>
  </x:si>
  <x:si>
    <x:t xml:space="preserve">PETUNJUK: Kolom faktor rentan dan risiko berfungsi seperti checklist. Pilih Ya, Tidak, atau Belum Dinilai. Ringkasan faktor dan poin dihitung otomatis.</x:t>
  </x:si>
  <x:si>
    <x:t xml:space="preserve">Peningkatan Kualitas</x:t>
  </x:si>
  <x:si>
    <x:t xml:space="preserve">Semipermanen</x:t>
  </x:si>
  <x:si>
    <x:t xml:space="preserve">Seng</x:t>
  </x:si>
  <x:si>
    <x:t xml:space="preserve">Rusak Ringan</x:t>
  </x:si>
  <x:si>
    <x:t xml:space="preserve">Bata/Batako Belum Diplester</x:t>
  </x:si>
  <x:si>
    <x:t xml:space="preserve">Tegel/Ubin</x:t>
  </x:si>
  <x:si>
    <x:t xml:space="preserve">Diusulkan, Belum Terverifikasi</x:t>
  </x:si>
  <x:si>
    <x:t xml:space="preserve">Tidak</x:t>
  </x:si>
  <x:si>
    <x:t xml:space="preserve">Risiko Tinggi/Darurat</x:t>
  </x:si>
  <x:si>
    <x:t xml:space="preserve">Belum Lengkap</x:t>
  </x:si>
  <x:si>
    <x:t xml:space="preserve">Sudah Diverifikasi</x:t>
  </x:si>
  <x:si>
    <x:t xml:space="preserve">Masuk Prioritas</x:t>
  </x:si>
  <x:si>
    <x:t xml:space="preserve">APBD Kota</x:t>
  </x:si>
  <x:si>
    <x:t xml:space="preserve">Kepemilikan Keluarga</x:t>
  </x:si>
  <x:si>
    <x:t xml:space="preserve">Musrenbang</x:t>
  </x:si>
  <x:si>
    <x:t xml:space="preserve">Belum Prioritas</x:t>
  </x:si>
  <x:si>
    <x:t xml:space="preserve">Nonpermanen</x:t>
  </x:si>
  <x:si>
    <x:t xml:space="preserve">Asbes/Fiber Semen</x:t>
  </x:si>
  <x:si>
    <x:t xml:space="preserve">Rusak Sedang</x:t>
  </x:si>
  <x:si>
    <x:t xml:space="preserve">Beton</x:t>
  </x:si>
  <x:si>
    <x:t xml:space="preserve">Semen/Plester</x:t>
  </x:si>
  <x:si>
    <x:t xml:space="preserve">Tidak Terdata</x:t>
  </x:si>
  <x:si>
    <x:t xml:space="preserve">Belum Dinilai</x:t>
  </x:si>
  <x:si>
    <x:t xml:space="preserve">Dalam Pelaksanaan</x:t>
  </x:si>
  <x:si>
    <x:t xml:space="preserve">APBD Provinsi</x:t>
  </x:si>
  <x:si>
    <x:t xml:space="preserve">Sewa/Kontrak</x:t>
  </x:si>
  <x:si>
    <x:t xml:space="preserve">Pokir DPRD</x:t>
  </x:si>
  <x:si>
    <x:t xml:space="preserve">ID_RTLH*</x:t>
  </x:si>
  <x:si>
    <x:t xml:space="preserve">NAMA_KEPALA_KELUARGA*</x:t>
  </x:si>
  <x:si>
    <x:t xml:space="preserve">NIK</x:t>
  </x:si>
  <x:si>
    <x:t xml:space="preserve">NO_KK</x:t>
  </x:si>
  <x:si>
    <x:t xml:space="preserve">ALAMAT*</x:t>
  </x:si>
  <x:si>
    <x:t xml:space="preserve">JENIS_USULAN*</x:t>
  </x:si>
  <x:si>
    <x:t xml:space="preserve">CATATAN_VERIFIKASI*</x:t>
  </x:si>
  <x:si>
    <x:t xml:space="preserve">TIPE_KONSTRUKSI_RUMAH*</x:t>
  </x:si>
  <x:si>
    <x:t xml:space="preserve">STATUS_MBR*</x:t>
  </x:si>
  <x:si>
    <x:t xml:space="preserve">RENTAN_LANSIA*</x:t>
  </x:si>
  <x:si>
    <x:t xml:space="preserve">RENTAN_DISABILITAS*</x:t>
  </x:si>
  <x:si>
    <x:t xml:space="preserve">RENTAN_KEPALA_KELUARGA_PEREMPUAN*</x:t>
  </x:si>
  <x:si>
    <x:t xml:space="preserve">RENTAN_BALITA*</x:t>
  </x:si>
  <x:si>
    <x:t xml:space="preserve">RENTAN_KETERGANTUNGAN_TINGGI*</x:t>
  </x:si>
  <x:si>
    <x:t xml:space="preserve">CATATAN_KERENTANAN_PENGHUNI</x:t>
  </x:si>
  <x:si>
    <x:t xml:space="preserve">FAKTOR_KERENTANAN_TERPILIH</x:t>
  </x:si>
  <x:si>
    <x:t xml:space="preserve">TINGKAT_KERENTANAN_PENGHUNI</x:t>
  </x:si>
  <x:si>
    <x:t xml:space="preserve">SKOR_MBR</x:t>
  </x:si>
  <x:si>
    <x:t xml:space="preserve">SKOR_FAKTOR_RENTAN</x:t>
  </x:si>
  <x:si>
    <x:t xml:space="preserve">SKOR_KERENTANAN</x:t>
  </x:si>
  <x:si>
    <x:t xml:space="preserve">RISIKO_BANGUNAN_BERPOTENSI_ROBOH*</x:t>
  </x:si>
  <x:si>
    <x:t xml:space="preserve">RISIKO_BEKAS_KEBAKARAN_TIDAK_AMAN*</x:t>
  </x:si>
  <x:si>
    <x:t xml:space="preserve">RISIKO_ATAP_DINDING_HAMPIR_RUNTUH*</x:t>
  </x:si>
  <x:si>
    <x:t xml:space="preserve">RISIKO_GENANGAN_MEMBAHAYAKAN*</x:t>
  </x:si>
  <x:si>
    <x:t xml:space="preserve">RISIKO_STRUKTUR_TIDAK_STABIL*</x:t>
  </x:si>
  <x:si>
    <x:t xml:space="preserve">RISIKO_INSTALASI_LISTRIK_BERBAHAYA*</x:t>
  </x:si>
  <x:si>
    <x:t xml:space="preserve">RISIKO_KOMPONEN_LEPAS_LAPUK*</x:t>
  </x:si>
  <x:si>
    <x:t xml:space="preserve">RISIKO_AKSES_EVAKUASI_TERBATAS*</x:t>
  </x:si>
  <x:si>
    <x:t xml:space="preserve">RISIKO_LOKASI_RAWAN_BENCANA*</x:t>
  </x:si>
  <x:si>
    <x:t xml:space="preserve">RISIKO_LAINNYA</x:t>
  </x:si>
  <x:si>
    <x:t xml:space="preserve">FAKTOR_RISIKO_TERPILIH</x:t>
  </x:si>
  <x:si>
    <x:t xml:space="preserve">TINGKAT_RISIKO_KESELAMATAN</x:t>
  </x:si>
  <x:si>
    <x:t xml:space="preserve">CATATAN_RISIKO_KESELAMATAN</x:t>
  </x:si>
  <x:si>
    <x:t xml:space="preserve">SKOR_TEKNIS</x:t>
  </x:si>
  <x:si>
    <x:t xml:space="preserve">SKOR_RISIKO</x:t>
  </x:si>
  <x:si>
    <x:t xml:space="preserve">SKOR_PRIORITAS</x:t>
  </x:si>
  <x:si>
    <x:t xml:space="preserve">TINGKAT_PRIORITAS</x:t>
  </x:si>
  <x:si>
    <x:t xml:space="preserve">STATUS_ADMINISTRASI*</x:t>
  </x:si>
  <x:si>
    <x:t xml:space="preserve">STATUS_PENANGANAN*</x:t>
  </x:si>
  <x:si>
    <x:t xml:space="preserve">TAHUN_PENANGANAN</x:t>
  </x:si>
  <x:si>
    <x:t xml:space="preserve">NOMOR_HP</x:t>
  </x:si>
  <x:si>
    <x:t xml:space="preserve">TANGGAL_SURVEI</x:t>
  </x:si>
  <x:si>
    <x:t xml:space="preserve">Belum Ditentukan</x:t>
  </x:si>
  <x:si>
    <x:t xml:space="preserve">Belum Dapat Ditentukan</x:t>
  </x:si>
  <x:si>
    <x:t xml:space="preserve">Spandek</x:t>
  </x:si>
  <x:si>
    <x:t xml:space="preserve">Rusak Berat</x:t>
  </x:si>
  <x:si>
    <x:t xml:space="preserve">Dinding Permanen (Material tidak dirinci)</x:t>
  </x:si>
  <x:si>
    <x:t xml:space="preserve">Papan/Kayu</x:t>
  </x:si>
  <x:si>
    <x:t xml:space="preserve">Selesai</x:t>
  </x:si>
  <x:si>
    <x:t xml:space="preserve">BSPS</x:t>
  </x:si>
  <x:si>
    <x:t xml:space="preserve">Menumpang</x:t>
  </x:si>
  <x:si>
    <x:t xml:space="preserve">Pendataan Dinas</x:t>
  </x:si>
  <x:si>
    <x:t xml:space="preserve">RTLH-0001</x:t>
  </x:si>
  <x:si>
    <x:t xml:space="preserve">WAHYU KURNIADI</x:t>
  </x:si>
  <x:si>
    <x:t xml:space="preserve">JL. BATU RUBI XI RT.003 RW.001</x:t>
  </x:si>
  <x:si>
    <x:t xml:space="preserve">BUKIT BESAR</x:t>
  </x:si>
  <x:si>
    <x:t xml:space="preserve">GIRIMAYA</x:t>
  </x:si>
  <x:si>
    <x:t xml:space="preserve">RUMAH BAGIAN UTAMA FULL PAPAN, BAGIAN DAPUR BARU DI RENOVASI (PERMANEN), ATAP ASBES,</x:t>
  </x:si>
  <x:si>
    <x:t xml:space="preserve">Campuran Permanen dan Papan</x:t>
  </x:si>
  <x:si>
    <x:t xml:space="preserve">Beton/Dak</x:t>
  </x:si>
  <x:si>
    <x:t xml:space="preserve">Tidak Ada/Terbuka</x:t>
  </x:si>
  <x:si>
    <x:t xml:space="preserve">Tanah</x:t>
  </x:si>
  <x:si>
    <x:t xml:space="preserve">Tidak Layak</x:t>
  </x:si>
  <x:si>
    <x:t xml:space="preserve">CSR</x:t>
  </x:si>
  <x:si>
    <x:t xml:space="preserve">Lainnya</x:t>
  </x:si>
  <x:si>
    <x:t xml:space="preserve">RTLH-0002</x:t>
  </x:si>
  <x:si>
    <x:t xml:space="preserve">SUSANTO</x:t>
  </x:si>
  <x:si>
    <x:t xml:space="preserve">JL. AIR MAWAR DALAM RT.003 RW.002</x:t>
  </x:si>
  <x:si>
    <x:t xml:space="preserve">AIR MAWAR</x:t>
  </x:si>
  <x:si>
    <x:t xml:space="preserve">BUKIT INTAN</x:t>
  </x:si>
  <x:si>
    <x:t xml:space="preserve">RUMAH FULL PAPAN</x:t>
  </x:si>
  <x:si>
    <x:t xml:space="preserve">Sirap</x:t>
  </x:si>
  <x:si>
    <x:t xml:space="preserve">Bambu</x:t>
  </x:si>
  <x:si>
    <x:t xml:space="preserve">Campuran</x:t>
  </x:si>
  <x:si>
    <x:t xml:space="preserve">BAZNAS</x:t>
  </x:si>
  <x:si>
    <x:t xml:space="preserve">RTLH-0003</x:t>
  </x:si>
  <x:si>
    <x:t xml:space="preserve">MOIFA</x:t>
  </x:si>
  <x:si>
    <x:t xml:space="preserve">JL. ARUS DALAM RT.003 RW.002</x:t>
  </x:si>
  <x:si>
    <x:t xml:space="preserve">RUMAH FULL PAPAN,DINDING PAPAN RUSAK SEDANG,ATAP SENG,</x:t>
  </x:si>
  <x:si>
    <x:t xml:space="preserve">Belum Diidentifikasi</x:t>
  </x:si>
  <x:si>
    <x:t xml:space="preserve">Selesai Ditangani</x:t>
  </x:si>
  <x:si>
    <x:t xml:space="preserve">Belum tersedia</x:t>
  </x:si>
  <x:si>
    <x:t xml:space="preserve">RTLH-0004</x:t>
  </x:si>
  <x:si>
    <x:t xml:space="preserve">ERLY TAHAR</x:t>
  </x:si>
  <x:si>
    <x:t xml:space="preserve">JL RATNA RAYA RT.002 RW.001</x:t>
  </x:si>
  <x:si>
    <x:t xml:space="preserve">SEMABUNG BARU</x:t>
  </x:si>
  <x:si>
    <x:t xml:space="preserve">RUMAH SEMI PERMANEN,DINGDING PAPAN, RUSAK RINGAN,ATAP SENG</x:t>
  </x:si>
  <x:si>
    <x:t xml:space="preserve">RTLH-0005</x:t>
  </x:si>
  <x:si>
    <x:t xml:space="preserve">SULAEHA SUNDARI</x:t>
  </x:si>
  <x:si>
    <x:t xml:space="preserve">JL. DEPATI HAMZAH RT.001 RW.001</x:t>
  </x:si>
  <x:si>
    <x:t xml:space="preserve">GAJAH MADA</x:t>
  </x:si>
  <x:si>
    <x:t xml:space="preserve">RANGKUI</x:t>
  </x:si>
  <x:si>
    <x:t xml:space="preserve">RUMAH PERMANEN,KENDALA ( BANJIR SAAT HUJAN) BANGUNAN RUMAH DI ATAS SALURAN AIR (BANDAR)</x:t>
  </x:si>
  <x:si>
    <x:t xml:space="preserve">RTLH-0006</x:t>
  </x:si>
  <x:si>
    <x:t xml:space="preserve">MUTROFIN</x:t>
  </x:si>
  <x:si>
    <x:t xml:space="preserve">JL. MUSTIKA 4 RT.008 RW.002</x:t>
  </x:si>
  <x:si>
    <x:t xml:space="preserve">SEMABUNG LAMA</x:t>
  </x:si>
  <x:si>
    <x:t xml:space="preserve">RTLH-0007</x:t>
  </x:si>
  <x:si>
    <x:t xml:space="preserve">LAIJ TJHUN MOIJ</x:t>
  </x:si>
  <x:si>
    <x:t xml:space="preserve">JL. NIPAH III RT.006 RW.002</x:t>
  </x:si>
  <x:si>
    <x:t xml:space="preserve">PASIR PUTIH</x:t>
  </x:si>
  <x:si>
    <x:t xml:space="preserve">RUMAH RUSAK PARAH, RUMAH DAERAH RAWA-RAWA,</x:t>
  </x:si>
  <x:si>
    <x:t xml:space="preserve">RTLH-0008</x:t>
  </x:si>
  <x:si>
    <x:t xml:space="preserve">FIKA RAMADHANI</x:t>
  </x:si>
  <x:si>
    <x:t xml:space="preserve">JL. NILA DAAM NO.74</x:t>
  </x:si>
  <x:si>
    <x:t xml:space="preserve">REJOSARI</x:t>
  </x:si>
  <x:si>
    <x:t xml:space="preserve">PANGKAL BALAM</x:t>
  </x:si>
  <x:si>
    <x:t xml:space="preserve">RUMAH RUSAK SEDANG ,BAGIAN DINDING DAN ATAP RUSAK BERAT SEBAGIAN</x:t>
  </x:si>
  <x:si>
    <x:t xml:space="preserve">RTLH-0009</x:t>
  </x:si>
  <x:si>
    <x:t xml:space="preserve">MARIYATI</x:t>
  </x:si>
  <x:si>
    <x:t xml:space="preserve">GG. LOHAN II NO.47</x:t>
  </x:si>
  <x:si>
    <x:t xml:space="preserve">GABEK I</x:t>
  </x:si>
  <x:si>
    <x:t xml:space="preserve">GABEK</x:t>
  </x:si>
  <x:si>
    <x:t xml:space="preserve">RUMAH KONDISI MASIH BAGUS</x:t>
  </x:si>
  <x:si>
    <x:t xml:space="preserve">RTLH-0010</x:t>
  </x:si>
  <x:si>
    <x:t xml:space="preserve">SADUANTO</x:t>
  </x:si>
  <x:si>
    <x:t xml:space="preserve">GG YOS SUDARSO III</x:t>
  </x:si>
  <x:si>
    <x:t xml:space="preserve">GABEK II</x:t>
  </x:si>
  <x:si>
    <x:t xml:space="preserve">KONDISI KESELURUHAN RUMAH RUSAK SEDANG ,CUMA ATAP RUSAK BERAT</x:t>
  </x:si>
  <x:si>
    <x:t xml:space="preserve">RTLH-0011</x:t>
  </x:si>
  <x:si>
    <x:t xml:space="preserve">JANUAR FIKRI</x:t>
  </x:si>
  <x:si>
    <x:t xml:space="preserve">JL. FATMAWATI DALAM</x:t>
  </x:si>
  <x:si>
    <x:t xml:space="preserve">JERAMBAH GANTUNG</x:t>
  </x:si>
  <x:si>
    <x:t xml:space="preserve">KESELURUHAN RUMAH RUSAK SEDANG</x:t>
  </x:si>
  <x:si>
    <x:t xml:space="preserve">RTLH-0012</x:t>
  </x:si>
  <x:si>
    <x:t xml:space="preserve">MARTOYAH</x:t>
  </x:si>
  <x:si>
    <x:t xml:space="preserve">JL. EKOR KUNING VI</x:t>
  </x:si>
  <x:si>
    <x:t xml:space="preserve">KONDISI RUMAH RUSAK PARAH TERMASUK DINDING ,ATAP</x:t>
  </x:si>
  <x:si>
    <x:t xml:space="preserve">RTLH-0013</x:t>
  </x:si>
  <x:si>
    <x:t xml:space="preserve">M.YAMIN</x:t>
  </x:si>
  <x:si>
    <x:t xml:space="preserve">JL. A YANI GG.17</x:t>
  </x:si>
  <x:si>
    <x:t xml:space="preserve">KEJAKSAAN</x:t>
  </x:si>
  <x:si>
    <x:t xml:space="preserve">TAMAN SARI</x:t>
  </x:si>
  <x:si>
    <x:t xml:space="preserve">KESELURUHAN RUMAH RUSAK PARAH , ATAP DAN DNDING BOCOR</x:t>
  </x:si>
  <x:si>
    <x:t xml:space="preserve">RTLH-0014</x:t>
  </x:si>
  <x:si>
    <x:t xml:space="preserve">KASMAH</x:t>
  </x:si>
  <x:si>
    <x:t xml:space="preserve">GG. BANDES RT.007 RW.003</x:t>
  </x:si>
  <x:si>
    <x:t xml:space="preserve">AIR ITAM</x:t>
  </x:si>
  <x:si>
    <x:t xml:space="preserve">RTLH-0015</x:t>
  </x:si>
  <x:si>
    <x:t xml:space="preserve">USMAN</x:t>
  </x:si>
  <x:si>
    <x:t xml:space="preserve">JL. MENGKUDU RT.008 RW.003</x:t>
  </x:si>
  <x:si>
    <x:t xml:space="preserve">TUATUNU</x:t>
  </x:si>
  <x:si>
    <x:t xml:space="preserve">GERUNGGANG</x:t>
  </x:si>
  <x:si>
    <x:t xml:space="preserve">SURAT TANAH ATAS NAMA SENDIRI.RUMAH FULL PAPAN.ATAP ASBES.LANTAI SEMEN.</x:t>
  </x:si>
  <x:si>
    <x:t xml:space="preserve">RTLH-0016</x:t>
  </x:si>
  <x:si>
    <x:t xml:space="preserve">ROHANA</x:t>
  </x:si>
  <x:si>
    <x:t xml:space="preserve">JL.KURMA RT.003 RW.001</x:t>
  </x:si>
  <x:si>
    <x:t xml:space="preserve">AIR KEPALA TUJUH</x:t>
  </x:si>
  <x:si>
    <x:t xml:space="preserve">SURAT TANAH Lengkap. RUMAH FULL PAPAN. ATAP ASBES.</x:t>
  </x:si>
  <x:si>
    <x:t xml:space="preserve">RTLH-0017</x:t>
  </x:si>
  <x:si>
    <x:t xml:space="preserve">BONG A THIN</x:t>
  </x:si>
  <x:si>
    <x:t xml:space="preserve">JL. TELUK BAYUR RT.009 RW.003</x:t>
  </x:si>
  <x:si>
    <x:t xml:space="preserve">RUMAH FULL PAPAN,ATAP GENTENG,SEBAGIAN ASBES, DINDING RUSAK RINGAN, KEADAAN DAPUR RUSAK PARAH, LANTAI FULL FLOOR,</x:t>
  </x:si>
  <x:si>
    <x:t xml:space="preserve">RTLH-0018</x:t>
  </x:si>
  <x:si>
    <x:t xml:space="preserve">NASIR</x:t>
  </x:si>
  <x:si>
    <x:t xml:space="preserve">JL. PADANG LAMA RT.009 RW.003</x:t>
  </x:si>
  <x:si>
    <x:t xml:space="preserve">RUMAH FULL PAPAN, ATAP SENG ,DINDING PAPAN RUSAK SEDANG, LANTAI FLOOR</x:t>
  </x:si>
  <x:si>
    <x:t xml:space="preserve">RTLH-0019</x:t>
  </x:si>
  <x:si>
    <x:t xml:space="preserve">JONI</x:t>
  </x:si>
  <x:si>
    <x:t xml:space="preserve">GG. MERAH DELIMA RT.004 RW.002</x:t>
  </x:si>
  <x:si>
    <x:t xml:space="preserve">TEMBERAN</x:t>
  </x:si>
  <x:si>
    <x:t xml:space="preserve">RUMAH SEMI PERMANEN, SEBAGIAN DINDING PAPAN, ATAP SENG, BAGIAN DAPUR PERMANEN</x:t>
  </x:si>
  <x:si>
    <x:t xml:space="preserve">RTLH-0020</x:t>
  </x:si>
  <x:si>
    <x:t xml:space="preserve">WIDYA</x:t>
  </x:si>
  <x:si>
    <x:t xml:space="preserve">GG. INTAN III RT.006</x:t>
  </x:si>
  <x:si>
    <x:t xml:space="preserve">BATU INTAN</x:t>
  </x:si>
  <x:si>
    <x:t xml:space="preserve">RUMAH PERMANEN, MINTA REHAB ATAP BAGIAN DAPUR</x:t>
  </x:si>
  <x:si>
    <x:t xml:space="preserve">RTLH-0021</x:t>
  </x:si>
  <x:si>
    <x:t xml:space="preserve">MUNG SULLAH / ATET</x:t>
  </x:si>
  <x:si>
    <x:t xml:space="preserve">GG. NILAM VI RT.004 RW.001</x:t>
  </x:si>
  <x:si>
    <x:t xml:space="preserve">BACANG</x:t>
  </x:si>
  <x:si>
    <x:t xml:space="preserve">RUMAH SEBAGIAN BETON</x:t>
  </x:si>
  <x:si>
    <x:t xml:space="preserve">RTLH-0022</x:t>
  </x:si>
  <x:si>
    <x:t xml:space="preserve">YUHANA HANSI</x:t>
  </x:si>
  <x:si>
    <x:t xml:space="preserve">JL. AKASIA DALAM RT.009 RW.003</x:t>
  </x:si>
  <x:si>
    <x:t xml:space="preserve">BUKIT MERAPIN</x:t>
  </x:si>
  <x:si>
    <x:t xml:space="preserve">RUMAH FULL PAPAN, ATAP SENG ,DINDING PAPAN RUSAK SEDANG,LANTAI PLASTERAN. RUMAH BOCOR RINGAN.</x:t>
  </x:si>
  <x:si>
    <x:t xml:space="preserve">RTLH-0023</x:t>
  </x:si>
  <x:si>
    <x:t xml:space="preserve">RUSTAM EFENDI</x:t>
  </x:si>
  <x:si>
    <x:t xml:space="preserve">JL. SUMEDANG GG.PIPIT RT.006 RW.002</x:t>
  </x:si>
  <x:si>
    <x:t xml:space="preserve">KACANG PEDANG</x:t>
  </x:si>
  <x:si>
    <x:t xml:space="preserve">RUMAH PERMANEN, DAPUR RUSAK RINGAN. ATAP RUSAK RINGAN</x:t>
  </x:si>
  <x:si>
    <x:t xml:space="preserve">RTLH-0024</x:t>
  </x:si>
  <x:si>
    <x:t xml:space="preserve">LIM JIT SEN</x:t>
  </x:si>
  <x:si>
    <x:t xml:space="preserve">JL. MATRI URIP DALAM 1 NO.06 RT.001 RW.001</x:t>
  </x:si>
  <x:si>
    <x:t xml:space="preserve">TAMAN BUNGA</x:t>
  </x:si>
  <x:si>
    <x:t xml:space="preserve">RTLH-0025</x:t>
  </x:si>
  <x:si>
    <x:t xml:space="preserve">RASIDI</x:t>
  </x:si>
  <x:si>
    <x:t xml:space="preserve">JL. DELIMA DALAM RT.004</x:t>
  </x:si>
  <x:si>
    <x:t xml:space="preserve">RUMAH SEMI PERMANEN,DINGDING PAPAN, RUSAK RINGAN,ATAP ASBES. LANTAI PLASTERAN.</x:t>
  </x:si>
  <x:si>
    <x:t xml:space="preserve">RTLH-0026</x:t>
  </x:si>
  <x:si>
    <x:t xml:space="preserve">BAHARUDIN</x:t>
  </x:si>
  <x:si>
    <x:t xml:space="preserve">JL. NYATOH RT.006 RW.002</x:t>
  </x:si>
  <x:si>
    <x:t xml:space="preserve">BUKIT SARI</x:t>
  </x:si>
  <x:si>
    <x:t xml:space="preserve">RUMAH PERMANEN</x:t>
  </x:si>
  <x:si>
    <x:t xml:space="preserve">RTLH-0027</x:t>
  </x:si>
  <x:si>
    <x:t xml:space="preserve">MARSIDA</x:t>
  </x:si>
  <x:si>
    <x:t xml:space="preserve">JL. H JUMAT YAHYA DALAM RT.006 RW.002</x:t>
  </x:si>
  <x:si>
    <x:t xml:space="preserve">RTLH-0028</x:t>
  </x:si>
  <x:si>
    <x:t xml:space="preserve">NURSINAH</x:t>
  </x:si>
  <x:si>
    <x:t xml:space="preserve">JL KAMPUNG MELAYU RT.008 RW.003</x:t>
  </x:si>
  <x:si>
    <x:t xml:space="preserve">RTLH-0029</x:t>
  </x:si>
  <x:si>
    <x:t xml:space="preserve">LIM MUK SUAN</x:t>
  </x:si>
  <x:si>
    <x:t xml:space="preserve">RTLH-0030</x:t>
  </x:si>
  <x:si>
    <x:t xml:space="preserve">SOLMI</x:t>
  </x:si>
  <x:si>
    <x:t xml:space="preserve">1971044407600003</x:t>
  </x:si>
  <x:si>
    <x:t xml:space="preserve">1971040411080011</x:t>
  </x:si>
  <x:si>
    <x:t xml:space="preserve">GG. SEMPAYO 1 RT.003 RW.001</x:t>
  </x:si>
  <x:si>
    <x:t xml:space="preserve">ASAM</x:t>
  </x:si>
  <x:si>
    <x:t xml:space="preserve">RTLH-0031</x:t>
  </x:si>
  <x:si>
    <x:t xml:space="preserve">SENAH</x:t>
  </x:si>
  <x:si>
    <x:t xml:space="preserve">JL. BATIN ISO RT.005 RW.002</x:t>
  </x:si>
  <x:si>
    <x:t xml:space="preserve">PINTU AIR</x:t>
  </x:si>
  <x:si>
    <x:t xml:space="preserve">RUMAH FULL PAPAN RUSAK BERAT, ATAP SENG RUSAK RINGAN, LANTAI PAPAN RUSAK BERAT ( MINTA REHAB KESELURUHAN)</x:t>
  </x:si>
  <x:si>
    <x:t xml:space="preserve">RTLH-0032</x:t>
  </x:si>
  <x:si>
    <x:t xml:space="preserve">MUSLIM</x:t>
  </x:si>
  <x:si>
    <x:t xml:space="preserve">RUMAH FULL PAPAN, ATAP ASBES, DINDING PAPAN RUSAK RINGAN, LANTAI FLOOR</x:t>
  </x:si>
  <x:si>
    <x:t xml:space="preserve">RTLH-0033</x:t>
  </x:si>
  <x:si>
    <x:t xml:space="preserve">UJANG ANDI WIJAYA</x:t>
  </x:si>
  <x:si>
    <x:t xml:space="preserve">JL. MARICA RT.008 RW.003</x:t>
  </x:si>
  <x:si>
    <x:t xml:space="preserve">RUMAH BAGI DUA DENGAN SAUDARA ( SATU ATAP), DINDING PAPAN,LANTAI FLOOR, ATAP SENG RUSAK RINGAN ( SAUDARA DARI RESKY RANGKUTI)</x:t>
  </x:si>
  <x:si>
    <x:t xml:space="preserve">RTLH-0034</x:t>
  </x:si>
  <x:si>
    <x:t xml:space="preserve">RESKY RANGKUTI</x:t>
  </x:si>
  <x:si>
    <x:t xml:space="preserve">RTLH-0035</x:t>
  </x:si>
  <x:si>
    <x:t xml:space="preserve">BUIKA M.AA</x:t>
  </x:si>
  <x:si>
    <x:t xml:space="preserve">JL. ABDURRACHMAN NO.58 RT.003 RW.001</x:t>
  </x:si>
  <x:si>
    <x:t xml:space="preserve">RUMAH,SEMI PERMANEN, LANTAI KERAMIK, ATAP SENG RUSAK SEDANG, DINDING RUSAK RINGAN</x:t>
  </x:si>
  <x:si>
    <x:t xml:space="preserve">RTLH-0036</x:t>
  </x:si>
  <x:si>
    <x:t xml:space="preserve">IRWAN RIZALI</x:t>
  </x:si>
  <x:si>
    <x:t xml:space="preserve">JL. KH MOESLIMIN MANAB NO.04 RT.006 RW.002</x:t>
  </x:si>
  <x:si>
    <x:t xml:space="preserve">RUMAH SEMI PERMANEN, ATAP GENTENG RUSAK BERAT, LANTAI FLOOR RUSAK RINGAN, DINDING PAPAN RUSAK SEDANG,</x:t>
  </x:si>
  <x:si>
    <x:t xml:space="preserve">RTLH-0037</x:t>
  </x:si>
  <x:si>
    <x:t xml:space="preserve">AGUS CIK</x:t>
  </x:si>
  <x:si>
    <x:t xml:space="preserve">GG. RUKAM IV NO.166 RT.005 RW.002</x:t>
  </x:si>
  <x:si>
    <x:t xml:space="preserve">RUMAH PERMANEN, LANTAI FLOOR, ATAP SENG, KELAYAKAN 80% MINTA REHAB BAGIAN ATAP</x:t>
  </x:si>
  <x:si>
    <x:t xml:space="preserve">RTLH-0038</x:t>
  </x:si>
  <x:si>
    <x:t xml:space="preserve">RIMA</x:t>
  </x:si>
  <x:si>
    <x:t xml:space="preserve">JL. BANGKALAN NO.25 RT.009 RW.003</x:t>
  </x:si>
  <x:si>
    <x:t xml:space="preserve">MELINTANG</x:t>
  </x:si>
  <x:si>
    <x:t xml:space="preserve">RUMAH FULL PAPAN, ATAP GENTENG,DINDING PAPAN, ATAP RUSAK SEDANG,DINDING RUSAK RINGAN,</x:t>
  </x:si>
  <x:si>
    <x:t xml:space="preserve">RTLH-0039</x:t>
  </x:si>
  <x:si>
    <x:t xml:space="preserve">SANKA</x:t>
  </x:si>
  <x:si>
    <x:t xml:space="preserve">JL. SRIWIJAYA RT.005 RW.002</x:t>
  </x:si>
  <x:si>
    <x:t xml:space="preserve">BELUM PRIORITAS</x:t>
  </x:si>
  <x:si>
    <x:t xml:space="preserve">RUMAH SEMI PERMANEN, ATAP SENG RUSAK RINGAN,DIDING PAPAN RUSAK RINGAN, LANTAI KERAMIK</x:t>
  </x:si>
  <x:si>
    <x:t xml:space="preserve">RTLH-0040</x:t>
  </x:si>
  <x:si>
    <x:t xml:space="preserve">SITANIA</x:t>
  </x:si>
  <x:si>
    <x:t xml:space="preserve">DINDING PERMANEN, LANTAI FLOOR,ATAP SENG, ( MINTA REHAB BAGIAN ATAP)</x:t>
  </x:si>
  <x:si>
    <x:t xml:space="preserve">RTLH-0041</x:t>
  </x:si>
  <x:si>
    <x:t xml:space="preserve">SRIWATI</x:t>
  </x:si>
  <x:si>
    <x:t xml:space="preserve">RTLH-0042</x:t>
  </x:si>
  <x:si>
    <x:t xml:space="preserve">BASTIAR</x:t>
  </x:si>
  <x:si>
    <x:t xml:space="preserve">PARITLALANG</x:t>
  </x:si>
  <x:si>
    <x:t xml:space="preserve">RUMAH FULL PAPAN,LANTAI FLOOR, ATAP SENG, DINDING RUSAK BERAT, LANTAI RUSAK SEDANG, ATAP RUSAK SEDANG.</x:t>
  </x:si>
  <x:si>
    <x:t xml:space="preserve">RTLH-0043</x:t>
  </x:si>
  <x:si>
    <x:t xml:space="preserve">HATIMAH</x:t>
  </x:si>
  <x:si>
    <x:t xml:space="preserve">JL. PAMEKASAN RT.002 RW.002</x:t>
  </x:si>
  <x:si>
    <x:t xml:space="preserve">RUMAH SEMI PERMANEN, BAGIAN BELAKANG PERMANEN, ATAP GENTENG,LANTAI FLOOR ( PERNAH MENDAPATKAN BANTUAN SWADAYA )</x:t>
  </x:si>
  <x:si>
    <x:t xml:space="preserve">RTLH-0044</x:t>
  </x:si>
  <x:si>
    <x:t xml:space="preserve">YULIA ANJANI</x:t>
  </x:si>
  <x:si>
    <x:t xml:space="preserve">JL. VETERAN NO.8 RT.002 RW.001</x:t>
  </x:si>
  <x:si>
    <x:t xml:space="preserve">RUMAH SEMI PERMANEN, BAGIAN DAPUR PERMANEN, BAGIAN UTAMA FULL PAPAN, ATAP ASBES, DINDING PAPAN RUSAK RINGAN, LANTAI FLOOR</x:t>
  </x:si>
  <x:si>
    <x:t xml:space="preserve">RTLH-0045</x:t>
  </x:si>
  <x:si>
    <x:t xml:space="preserve">LIONG NGIAT FUN</x:t>
  </x:si>
  <x:si>
    <x:t xml:space="preserve">JL.BATU KADERA RT.011 RW.003</x:t>
  </x:si>
  <x:si>
    <x:t xml:space="preserve">RUMAH FULL PAPAN, DINDING RUSAK BERAT,ATAP GENTENG RUSAK BERAT,LANTAI FLOOR RUSAK RINGAN</x:t>
  </x:si>
  <x:si>
    <x:t xml:space="preserve">RTLH-0046</x:t>
  </x:si>
  <x:si>
    <x:t xml:space="preserve">RIRIN</x:t>
  </x:si>
  <x:si>
    <x:t xml:space="preserve">JL. AIR MAWAR DALAM RT.002 RW.001</x:t>
  </x:si>
  <x:si>
    <x:t xml:space="preserve">RTLH-0047</x:t>
  </x:si>
  <x:si>
    <x:t xml:space="preserve">UYAN SOPIANDI</x:t>
  </x:si>
  <x:si>
    <x:t xml:space="preserve">GG. HAJI LAUT RT.006 RW.002</x:t>
  </x:si>
  <x:si>
    <x:t xml:space="preserve">RUMAH SEMI PERMANEN TANPA PONDASI, DINDING PAPAN, ATAP ASBES, LANTAI FLOOR</x:t>
  </x:si>
  <x:si>
    <x:t xml:space="preserve">RTLH-0048</x:t>
  </x:si>
  <x:si>
    <x:t xml:space="preserve">KUSLINA</x:t>
  </x:si>
  <x:si>
    <x:t xml:space="preserve">GG. H.SALEH RT.003 RW.001</x:t>
  </x:si>
  <x:si>
    <x:t xml:space="preserve">RUMAH KEBAKARAN</x:t>
  </x:si>
  <x:si>
    <x:t xml:space="preserve">RTLH-0049</x:t>
  </x:si>
  <x:si>
    <x:t xml:space="preserve">AHMAD YANTO</x:t>
  </x:si>
  <x:si>
    <x:t xml:space="preserve">JL. TANJUNG GUNUNG II RT.001 RW.001</x:t>
  </x:si>
  <x:si>
    <x:t xml:space="preserve">DINDING ASBES, LANTAI FLOOR, ATAP SENG, WC TIDAK ADA</x:t>
  </x:si>
  <x:si>
    <x:t xml:space="preserve">RTLH-0050</x:t>
  </x:si>
  <x:si>
    <x:t xml:space="preserve">ROYADI</x:t>
  </x:si>
  <x:si>
    <x:t xml:space="preserve">JL. KASIR RT.009 RW.003</x:t>
  </x:si>
  <x:si>
    <x:t xml:space="preserve">SINAR BULAN</x:t>
  </x:si>
  <x:si>
    <x:t xml:space="preserve">RUMAH PERMANEN, (MINTA REHAB BAGIAN DEPAN )</x:t>
  </x:si>
  <x:si>
    <x:t xml:space="preserve">RTLH-0051</x:t>
  </x:si>
  <x:si>
    <x:t xml:space="preserve">ASNI</x:t>
  </x:si>
  <x:si>
    <x:t xml:space="preserve">JL. SINAR BULAN RT.005 RW.003</x:t>
  </x:si>
  <x:si>
    <x:t xml:space="preserve">RUMAH SEMI PERMANEN , LANTAI FLOOR, DINDING PAPAN RUSAK RINGAN, ATAP GENTENG RUSAK SEDANG )</x:t>
  </x:si>
  <x:si>
    <x:t xml:space="preserve">RTLH-0052</x:t>
  </x:si>
  <x:si>
    <x:t xml:space="preserve">RIZKA</x:t>
  </x:si>
  <x:si>
    <x:t xml:space="preserve">RUMAH SEMI PERMANEN, LANTAI FLOOR, BAGIAN DAPUR PERMANEN LANTAI KERAMIK, DINDING PAPAN, ATAP SENG RUSAK SEDANG )\</x:t>
  </x:si>
  <x:si>
    <x:t xml:space="preserve">RTLH-0053</x:t>
  </x:si>
  <x:si>
    <x:t xml:space="preserve">NOVITA SARI</x:t>
  </x:si>
  <x:si>
    <x:t xml:space="preserve">RUMAH SEMI PERMANEN, TANPA PONDASI, DINDING PAPAN RUSAK SEDANG, ATAP ASBES</x:t>
  </x:si>
  <x:si>
    <x:t xml:space="preserve">RTLH-0054</x:t>
  </x:si>
  <x:si>
    <x:t xml:space="preserve">EKO</x:t>
  </x:si>
  <x:si>
    <x:t xml:space="preserve">GG.MAJID AL IHSAN RT/RW 003/001</x:t>
  </x:si>
  <x:si>
    <x:t xml:space="preserve">LONTONG PANCUR</x:t>
  </x:si>
  <x:si>
    <x:t xml:space="preserve">RUMAH FULL DINDING, ATAS ASBES DAN TIDAK AD KAMAR MANDI</x:t>
  </x:si>
  <x:si>
    <x:t xml:space="preserve">RTLH-0055</x:t>
  </x:si>
  <x:si>
    <x:t xml:space="preserve">YUNI RETNO WATI</x:t>
  </x:si>
  <x:si>
    <x:t xml:space="preserve">JL.KAYU PUTIH.RT/RW. 002/001</x:t>
  </x:si>
  <x:si>
    <x:t xml:space="preserve">RUMAH FULL DINDING , ATAP ASBES RUSAK BERAT (BOCOR)</x:t>
  </x:si>
  <x:si>
    <x:t xml:space="preserve">RTLH-0056</x:t>
  </x:si>
  <x:si>
    <x:t xml:space="preserve">BEENISHYA UKHRA NAJWA NURLAILA</x:t>
  </x:si>
  <x:si>
    <x:t xml:space="preserve">JL.VETERAN RT/RW 002/003</x:t>
  </x:si>
  <x:si>
    <x:t xml:space="preserve">RUMAH TIADK LAYAK HUNI, DINDING ASBES/SENG, ATAP SENG,</x:t>
  </x:si>
  <x:si>
    <x:t xml:space="preserve">RTLH-0057</x:t>
  </x:si>
  <x:si>
    <x:t xml:space="preserve">DAVINDRA</x:t>
  </x:si>
  <x:si>
    <x:t xml:space="preserve">JL. TREM SEBRANG</x:t>
  </x:si>
  <x:si>
    <x:t xml:space="preserve">GEDUNG NASIONAL</x:t>
  </x:si>
  <x:si>
    <x:t xml:space="preserve">RUMAH DAN TANAH MILIK KELURGA DAN HNYA REHAB WC</x:t>
  </x:si>
  <x:si>
    <x:t xml:space="preserve">RTLH-0058</x:t>
  </x:si>
  <x:si>
    <x:t xml:space="preserve">NAYARA/FITRA LATIFA</x:t>
  </x:si>
  <x:si>
    <x:t xml:space="preserve">JL. AHMAD YANI</x:t>
  </x:si>
  <x:si>
    <x:t xml:space="preserve">BATIN TIKAL</x:t>
  </x:si>
  <x:si>
    <x:t xml:space="preserve">RTLH-0059</x:t>
  </x:si>
  <x:si>
    <x:t xml:space="preserve">RAHMA SHOLEHA</x:t>
  </x:si>
  <x:si>
    <x:t xml:space="preserve">RTLH-0060</x:t>
  </x:si>
  <x:si>
    <x:t xml:space="preserve">AGUSTOMO</x:t>
  </x:si>
  <x:si>
    <x:t xml:space="preserve">JL. NILA RAYA NO 30, RT/RW 008/003</x:t>
  </x:si>
  <x:si>
    <x:t xml:space="preserve">RUMAH ADA 2. TERLETAK DIBELAKANG RUMAH, DINDING SETENGAH BATA, ATAP GENTENG</x:t>
  </x:si>
  <x:si>
    <x:t xml:space="preserve">RTLH-0061</x:t>
  </x:si>
  <x:si>
    <x:t xml:space="preserve">NAMIWATI</x:t>
  </x:si>
  <x:si>
    <x:t xml:space="preserve">JL. NILA RAYA NO 153, RT/RW 005/003</x:t>
  </x:si>
  <x:si>
    <x:t xml:space="preserve">DINDING SETENGAH BATA, ATAP GENTENG</x:t>
  </x:si>
  <x:si>
    <x:t xml:space="preserve">RTLH-0062</x:t>
  </x:si>
  <x:si>
    <x:t xml:space="preserve">BUDI</x:t>
  </x:si>
  <x:si>
    <x:t xml:space="preserve">JL. BEDUKANG DALAM , RT/RW 002/001</x:t>
  </x:si>
  <x:si>
    <x:t xml:space="preserve">PASIR GARAM</x:t>
  </x:si>
  <x:si>
    <x:t xml:space="preserve">RUMAH RUSAK SEDANG.DINDING PAPAN, LANTAIO PLASTER,ATAP SENG,</x:t>
  </x:si>
  <x:si>
    <x:t xml:space="preserve">RTLH-0063</x:t>
  </x:si>
  <x:si>
    <x:t xml:space="preserve">ROZALI</x:t>
  </x:si>
  <x:si>
    <x:t xml:space="preserve">JL. SUMEDANG , RT/RW 002/001</x:t>
  </x:si>
  <x:si>
    <x:t xml:space="preserve">RUMAH RUSAK SEDANG,ATAP SENG.DINDING BETON.LANTAI EKRAMIK.</x:t>
  </x:si>
  <x:si>
    <x:t xml:space="preserve">RTLH-0064</x:t>
  </x:si>
  <x:si>
    <x:t xml:space="preserve">ACHMAD HASIBIN</x:t>
  </x:si>
  <x:si>
    <x:t xml:space="preserve">JL.DELIMA SIAM IV RT/RW . 005/002</x:t>
  </x:si>
  <x:si>
    <x:t xml:space="preserve">SRIWIJAYA</x:t>
  </x:si>
  <x:si>
    <x:t xml:space="preserve">RUMAH BANTUAN DARI DINSOS (10 THN LALU), ATAP BOCOR, DINDING RETAK,LANTAI FLOOR, YBS SEKARANG TINGGAL DI RUMAH SAUDARA</x:t>
  </x:si>
  <x:si>
    <x:t xml:space="preserve">RTLH-0065</x:t>
  </x:si>
  <x:si>
    <x:t xml:space="preserve">ROSIAH</x:t>
  </x:si>
  <x:si>
    <x:t xml:space="preserve">GG, MUTIARA II</x:t>
  </x:si>
  <x:si>
    <x:t xml:space="preserve">RUMAH FULL PAPAN, DINDING RUSAK BERAT, ATAP SENG RUSAK RINGAN, RUMAH BAGI DUA DENGAN SAUDARA</x:t>
  </x:si>
  <x:si>
    <x:t xml:space="preserve">RTLH-0066</x:t>
  </x:si>
  <x:si>
    <x:t xml:space="preserve">NINA</x:t>
  </x:si>
  <x:si>
    <x:t xml:space="preserve">JL. BASUKI RACHMAN, RT/RW 003/001</x:t>
  </x:si>
  <x:si>
    <x:t xml:space="preserve">RUMAH SEMI PERMANEN, LANTAI FLOOR RUSAK RINGAN, ATAP GENTENG RUSAK SEDANG, RUMAH BAGI DUA DENGAN SAUDARA</x:t>
  </x:si>
  <x:si>
    <x:t xml:space="preserve">RTLH-0067</x:t>
  </x:si>
  <x:si>
    <x:t xml:space="preserve">KANDAR SUNARWAN</x:t>
  </x:si>
  <x:si>
    <x:t xml:space="preserve">JL. BASUKI RACHMAN RT/RW OO2/001</x:t>
  </x:si>
  <x:si>
    <x:t xml:space="preserve">RTLH-0068</x:t>
  </x:si>
  <x:si>
    <x:t xml:space="preserve">RITA</x:t>
  </x:si>
  <x:si>
    <x:t xml:space="preserve">GG,BATU AKIK V, RT/RW 006/002</x:t>
  </x:si>
  <x:si>
    <x:t xml:space="preserve">RUMAH PERMANEN, LANTAI RUSAK SEDANG BAGIAN DAPUR, ATAP SENG BOCOR, MINTA REHAB BAGIAN ATAP</x:t>
  </x:si>
  <x:si>
    <x:t xml:space="preserve">RTLH-0069</x:t>
  </x:si>
  <x:si>
    <x:t xml:space="preserve">ZULIANA</x:t>
  </x:si>
  <x:si>
    <x:t xml:space="preserve">JL. RAYA PASIR PADI RT/RW 006/002</x:t>
  </x:si>
  <x:si>
    <x:t xml:space="preserve">RUMAH PERMANEN, TANPA, STRUKTUR PEMBESIAN</x:t>
  </x:si>
  <x:si>
    <x:t xml:space="preserve">RTLH-0070</x:t>
  </x:si>
  <x:si>
    <x:t xml:space="preserve">GUSTI MARIN</x:t>
  </x:si>
  <x:si>
    <x:t xml:space="preserve">JL. PASIR PADI RT/RW 006/002</x:t>
  </x:si>
  <x:si>
    <x:t xml:space="preserve">RUMAH FULL PAPAN, DINDING RUSAK BERAT, ATAP ASBES RUSAK RINGAN</x:t>
  </x:si>
  <x:si>
    <x:t xml:space="preserve">RTLH-0071</x:t>
  </x:si>
  <x:si>
    <x:t xml:space="preserve">BURHANUDIN</x:t>
  </x:si>
  <x:si>
    <x:t xml:space="preserve">1901040808800010</x:t>
  </x:si>
  <x:si>
    <x:t xml:space="preserve">1971011006170003</x:t>
  </x:si>
  <x:si>
    <x:t xml:space="preserve">JL. PASAR PADI, GG. BAROKAH RT/RW 006/002</x:t>
  </x:si>
  <x:si>
    <x:t xml:space="preserve">RTLH-0072</x:t>
  </x:si>
  <x:si>
    <x:t xml:space="preserve">KUANNIE HASAN</x:t>
  </x:si>
  <x:si>
    <x:t xml:space="preserve">JL. RE.MARTADINATA NO.75.RT/RW.005/003</x:t>
  </x:si>
  <x:si>
    <x:t xml:space="preserve">DINDING FULL PAPAN,ATAP GENTENG,LANTAI PLASTERAN, RUMAH RUSAK SEDANG</x:t>
  </x:si>
  <x:si>
    <x:t xml:space="preserve">RTLH-0073</x:t>
  </x:si>
  <x:si>
    <x:t xml:space="preserve">MAMAN RACHMANSYAH</x:t>
  </x:si>
  <x:si>
    <x:t xml:space="preserve">1971031002570005</x:t>
  </x:si>
  <x:si>
    <x:t xml:space="preserve">1971032403090013</x:t>
  </x:si>
  <x:si>
    <x:t xml:space="preserve">JL. RE .MARTADINATA. RT.002 RW.001</x:t>
  </x:si>
  <x:si>
    <x:t xml:space="preserve">AMPUI</x:t>
  </x:si>
  <x:si>
    <x:t xml:space="preserve">DINDING FULL PAPAN,ATAP SENG,LANTAI PLASTERAN, RUMAH RUSAK SEDANG</x:t>
  </x:si>
  <x:si>
    <x:t xml:space="preserve">RTLH-0074</x:t>
  </x:si>
  <x:si>
    <x:t xml:space="preserve">TAMSIR</x:t>
  </x:si>
  <x:si>
    <x:t xml:space="preserve">JL. RE .MARTADINATA. RT/RW.002/001</x:t>
  </x:si>
  <x:si>
    <x:t xml:space="preserve">RUMAH ADA 2,</x:t>
  </x:si>
  <x:si>
    <x:t xml:space="preserve">RTLH-0075</x:t>
  </x:si>
  <x:si>
    <x:t xml:space="preserve">MUS MULYADI NURDIN</x:t>
  </x:si>
  <x:si>
    <x:t xml:space="preserve">JL. TENGGIRI 1. RT/RT.007/003</x:t>
  </x:si>
  <x:si>
    <x:t xml:space="preserve">KETAPANG</x:t>
  </x:si>
  <x:si>
    <x:t xml:space="preserve">RUMAH FULL.TRIPLEK,SENG,ASBES BEKAS.</x:t>
  </x:si>
  <x:si>
    <x:t xml:space="preserve">RTLH-0076</x:t>
  </x:si>
  <x:si>
    <x:t xml:space="preserve">ZUNIAR</x:t>
  </x:si>
  <x:si>
    <x:t xml:space="preserve">RUMAH SEBAGIAN PAPAN, DAN LANTAI KERAMIK</x:t>
  </x:si>
  <x:si>
    <x:t xml:space="preserve">RTLH-0077</x:t>
  </x:si>
  <x:si>
    <x:t xml:space="preserve">PUNADI</x:t>
  </x:si>
  <x:si>
    <x:t xml:space="preserve">JL. AIR PAMD RT002/RW003</x:t>
  </x:si>
  <x:si>
    <x:t xml:space="preserve">RUMAH SETENGAH BETON , LANTAI FULL FLOOR. POSIS RUMAH AREA DAS</x:t>
  </x:si>
  <x:si>
    <x:t xml:space="preserve">RTLH-0078</x:t>
  </x:si>
  <x:si>
    <x:t xml:space="preserve">RUMAH FULL PAPAN , LANTAI FLOOR, ATAP RUSAK PARAH</x:t>
  </x:si>
  <x:si>
    <x:t xml:space="preserve">RTLH-0079</x:t>
  </x:si>
  <x:si>
    <x:t xml:space="preserve">BUDIMAN</x:t>
  </x:si>
  <x:si>
    <x:t xml:space="preserve">JL. VETERAN RT/002 RW/003</x:t>
  </x:si>
  <x:si>
    <x:t xml:space="preserve">RUMAH FULL PAPAN, RUSAK PARAH, LANTAI FLOOR</x:t>
  </x:si>
  <x:si>
    <x:t xml:space="preserve">RTLH-0080</x:t>
  </x:si>
  <x:si>
    <x:t xml:space="preserve">ROZIYANTI</x:t>
  </x:si>
  <x:si>
    <x:t xml:space="preserve">JL,KH,AHMAD DAHLAN RT/RW:008/002</x:t>
  </x:si>
  <x:si>
    <x:t xml:space="preserve">KERAMAT</x:t>
  </x:si>
  <x:si>
    <x:t xml:space="preserve">RTLH-0081</x:t>
  </x:si>
  <x:si>
    <x:t xml:space="preserve">YUNIAR</x:t>
  </x:si>
  <x:si>
    <x:t xml:space="preserve">JL,KH.AHMAD DAHLAN</x:t>
  </x:si>
  <x:si>
    <x:t xml:space="preserve">RTLH-0082</x:t>
  </x:si>
  <x:si>
    <x:t xml:space="preserve">HARY A.R.SUHAILI</x:t>
  </x:si>
  <x:si>
    <x:t xml:space="preserve">JL,MENARA RT/RW 009/003</x:t>
  </x:si>
  <x:si>
    <x:t xml:space="preserve">FULL PAPAN ,LANTAI TANAH, WC DI LUAR</x:t>
  </x:si>
  <x:si>
    <x:t xml:space="preserve">RTLH-0083</x:t>
  </x:si>
  <x:si>
    <x:t xml:space="preserve">SUNARTI</x:t>
  </x:si>
  <x:si>
    <x:t xml:space="preserve">JL.TREM RT/RW 007/003</x:t>
  </x:si>
  <x:si>
    <x:t xml:space="preserve">RTLH-0084</x:t>
  </x:si>
  <x:si>
    <x:t xml:space="preserve">ROSMAH</x:t>
  </x:si>
  <x:si>
    <x:t xml:space="preserve">GG.RUKEM RT/RW 005/002</x:t>
  </x:si>
  <x:si>
    <x:t xml:space="preserve">RUMAH FULL BETON ATAP RUASK SEDANG</x:t>
  </x:si>
  <x:si>
    <x:t xml:space="preserve">RTLH-0085</x:t>
  </x:si>
  <x:si>
    <x:t xml:space="preserve">SYAMSUL BAHRI</x:t>
  </x:si>
  <x:si>
    <x:t xml:space="preserve">JL.KELAPA RT/RW 002/001</x:t>
  </x:si>
  <x:si>
    <x:t xml:space="preserve">PASAR PADI</x:t>
  </x:si>
  <x:si>
    <x:t xml:space="preserve">RUMAH BENCANA KEBAKARAN, TERSISA PONDASI. DAN SEKARANG TINGGAL DIKONTRAKAN</x:t>
  </x:si>
  <x:si>
    <x:t xml:space="preserve">RTLH-0086</x:t>
  </x:si>
  <x:si>
    <x:t xml:space="preserve">ASLAMIAH</x:t>
  </x:si>
  <x:si>
    <x:t xml:space="preserve">RUMAH BENCANA KEBAKARAN, TERSISA PONDASI. DAN SEKARANG TINGGAL DIKAMPUNG</x:t>
  </x:si>
  <x:si>
    <x:t xml:space="preserve">RTLH-0087</x:t>
  </x:si>
  <x:si>
    <x:t xml:space="preserve">LAIN CUN MOY</x:t>
  </x:si>
  <x:si>
    <x:t xml:space="preserve">BELUM PRIORITAS, LOKASI RUMAH DI PINGGIR DAS</x:t>
  </x:si>
  <x:si>
    <x:t xml:space="preserve">RTLH-0088</x:t>
  </x:si>
  <x:si>
    <x:t xml:space="preserve">SILAWATI</x:t>
  </x:si>
  <x:si>
    <x:t xml:space="preserve">JL.VETERAN RT/RW 003/001</x:t>
  </x:si>
  <x:si>
    <x:t xml:space="preserve">RUMAH ROBOH KURANG LEBIH 1TAHUN, SEKARANG TINGGAL DI KONTRAKAN</x:t>
  </x:si>
  <x:si>
    <x:t xml:space="preserve">RTLH-0089</x:t>
  </x:si>
  <x:si>
    <x:t xml:space="preserve">MARZUKI</x:t>
  </x:si>
  <x:si>
    <x:t xml:space="preserve">RUMAH FULL PAPAN, LANTAI FLOOR, ATAP RUSAK PARAH, TANAH BERMASALAH DENGAN SAUDARA</x:t>
  </x:si>
  <x:si>
    <x:t xml:space="preserve">RTLH-0090</x:t>
  </x:si>
  <x:si>
    <x:t xml:space="preserve">SOLEHA</x:t>
  </x:si>
  <x:si>
    <x:t xml:space="preserve">JL.VETERAN RT/RW 001/003</x:t>
  </x:si>
  <x:si>
    <x:t xml:space="preserve">RUMAH FULL PAPAN, LANTAI FLOOR</x:t>
  </x:si>
  <x:si>
    <x:t xml:space="preserve">RTLH-0091</x:t>
  </x:si>
  <x:si>
    <x:t xml:space="preserve">HERMAN</x:t>
  </x:si>
  <x:si>
    <x:t xml:space="preserve">RUMAH FULL PAPAN, LANTAI FLOOR, ATAP RUSAK PARAH, DAN ADA ASET LAIN</x:t>
  </x:si>
  <x:si>
    <x:t xml:space="preserve">RTLH-0092</x:t>
  </x:si>
  <x:si>
    <x:t xml:space="preserve">JL.PASIR PADI RT/RW 006/002</x:t>
  </x:si>
  <x:si>
    <x:t xml:space="preserve">RUMAH SETENGAH BETON , LANTAI FULL FLOOR</x:t>
  </x:si>
  <x:si>
    <x:t xml:space="preserve">RTLH-0093</x:t>
  </x:si>
  <x:si>
    <x:t xml:space="preserve">NUR TIA</x:t>
  </x:si>
  <x:si>
    <x:t xml:space="preserve">JL.HIDAYATUSSALIKIN DALAM RT/RW 004/002</x:t>
  </x:si>
  <x:si>
    <x:t xml:space="preserve">FULL PAPAN</x:t>
  </x:si>
  <x:si>
    <x:t xml:space="preserve">RTLH-0094</x:t>
  </x:si>
  <x:si>
    <x:t xml:space="preserve">AGUS SUTANTO</x:t>
  </x:si>
  <x:si>
    <x:t xml:space="preserve">RUMAH SETENGAH BETON.</x:t>
  </x:si>
  <x:si>
    <x:t xml:space="preserve">RTLH-0095</x:t>
  </x:si>
  <x:si>
    <x:t xml:space="preserve">AGUSTIAR FERNANDI</x:t>
  </x:si>
  <x:si>
    <x:t xml:space="preserve">RT/02 SAMPING RUMAH PAK RT</x:t>
  </x:si>
  <x:si>
    <x:t xml:space="preserve">RTLH-0096</x:t>
  </x:si>
  <x:si>
    <x:t xml:space="preserve">ACUNG</x:t>
  </x:si>
  <x:si>
    <x:t xml:space="preserve">JL.ALEXANDER RT/RW 002/003</x:t>
  </x:si>
  <x:si>
    <x:t xml:space="preserve">RTLH-0097</x:t>
  </x:si>
  <x:si>
    <x:t xml:space="preserve">LEO SANDI</x:t>
  </x:si>
  <x:si>
    <x:t xml:space="preserve">GG.ALEKSANDER II RT/RW 007/003</x:t>
  </x:si>
  <x:si>
    <x:t xml:space="preserve">RUMAH KORBAN KEBAKARAN, ATAP RUSAK BERAT</x:t>
  </x:si>
  <x:si>
    <x:t xml:space="preserve">RTLH-0098</x:t>
  </x:si>
  <x:si>
    <x:t xml:space="preserve">APO</x:t>
  </x:si>
  <x:si>
    <x:t xml:space="preserve">RTLH-0099</x:t>
  </x:si>
  <x:si>
    <x:t xml:space="preserve">BELUM DIISI</x:t>
  </x:si>
  <x:si>
    <x:t xml:space="preserve">RUMAH FULL PAPAN, DAN LANTAI TANAH</x:t>
  </x:si>
  <x:si>
    <x:t xml:space="preserve">RTLH-0100</x:t>
  </x:si>
  <x:si>
    <x:t xml:space="preserve">Belum ada catatan verifikasi</x:t>
  </x:si>
  <x:si>
    <x:t xml:space="preserve">RTLH-0101</x:t>
  </x:si>
  <x:si>
    <x:t xml:space="preserve">FARIZAL</x:t>
  </x:si>
  <x:si>
    <x:t xml:space="preserve">GG.KEMILI I RT/RW 002/001</x:t>
  </x:si>
  <x:si>
    <x:t xml:space="preserve">SEBAGIAN BETON, LANTAI FLOOR</x:t>
  </x:si>
  <x:si>
    <x:t xml:space="preserve">RTLH-0102</x:t>
  </x:si>
  <x:si>
    <x:t xml:space="preserve">TERYANTO</x:t>
  </x:si>
  <x:si>
    <x:t xml:space="preserve">RUMAH SETENGAH BETON</x:t>
  </x:si>
  <x:si>
    <x:t xml:space="preserve">RTLH-0103</x:t>
  </x:si>
  <x:si>
    <x:t xml:space="preserve">ROMLI</x:t>
  </x:si>
  <x:si>
    <x:t xml:space="preserve">JL. VETERAN RT/003 RW/003 KEL:PARIT LALANG</x:t>
  </x:si>
  <x:si>
    <x:t xml:space="preserve">RTLH-0104</x:t>
  </x:si>
  <x:si>
    <x:t xml:space="preserve">FIRDIANSYAH</x:t>
  </x:si>
  <x:si>
    <x:t xml:space="preserve">JL.KELAPA RT/RW :002/001</x:t>
  </x:si>
  <x:si>
    <x:t xml:space="preserve">RTLH-0105</x:t>
  </x:si>
  <x:si>
    <x:t xml:space="preserve">HOLID</x:t>
  </x:si>
  <x:si>
    <x:t xml:space="preserve">RUMAH FULL PAPAN , LANTAI CONBLOK</x:t>
  </x:si>
  <x:si>
    <x:t xml:space="preserve">RTLH-0106</x:t>
  </x:si>
  <x:si>
    <x:t xml:space="preserve">RISNA HERTIAYU</x:t>
  </x:si>
  <x:si>
    <x:t xml:space="preserve">RUMAH FULL PAPAN. LANTAI FLOOR</x:t>
  </x:si>
  <x:si>
    <x:t xml:space="preserve">RTLH-0107</x:t>
  </x:si>
  <x:si>
    <x:t xml:space="preserve">MUHAMMAD UNTUNG</x:t>
  </x:si>
  <x:si>
    <x:t xml:space="preserve">RTLH-0108</x:t>
  </x:si>
  <x:si>
    <x:t xml:space="preserve">SOBRI SUGARI PUTRA</x:t>
  </x:si>
  <x:si>
    <x:t xml:space="preserve">RUMAH FULL PAPAN, LANTAI PAPAN</x:t>
  </x:si>
  <x:si>
    <x:t xml:space="preserve">RTLH-0109</x:t>
  </x:si>
  <x:si>
    <x:t xml:space="preserve">SOLEH</x:t>
  </x:si>
  <x:si>
    <x:t xml:space="preserve">JL.GIRIMAYA NO 66 RT/RW 05/02</x:t>
  </x:si>
  <x:si>
    <x:t xml:space="preserve">RUMAH FULLPAPAN, LANTAI FLOOR</x:t>
  </x:si>
  <x:si>
    <x:t xml:space="preserve">RTLH-0110</x:t>
  </x:si>
  <x:si>
    <x:t xml:space="preserve">THAM KIM SIAN</x:t>
  </x:si>
  <x:si>
    <x:t xml:space="preserve">JL.RASAKUNDA RT/RW: 003/001 KEL: BUKIT BESAR</x:t>
  </x:si>
  <x:si>
    <x:t xml:space="preserve">DEPAN BETON, DAN BAGIAN DALAM KAYU, LANTAI FLOOR .</x:t>
  </x:si>
  <x:si>
    <x:t xml:space="preserve">RTLH-0111</x:t>
  </x:si>
  <x:si>
    <x:t xml:space="preserve">ASNAWI</x:t>
  </x:si>
  <x:si>
    <x:t xml:space="preserve">JL.BATU RUBI 11 RT/RW 003/001</x:t>
  </x:si>
  <x:si>
    <x:t xml:space="preserve">FULL PAPAN , LANTAI FLOOR DAN BAGIAN BELAKANG BETON.</x:t>
  </x:si>
  <x:si>
    <x:t xml:space="preserve">RTLH-0112</x:t>
  </x:si>
  <x:si>
    <x:t xml:space="preserve">ABDUR RAWI</x:t>
  </x:si>
  <x:si>
    <x:t xml:space="preserve">RTLH-0113</x:t>
  </x:si>
  <x:si>
    <x:t xml:space="preserve">MARTAWAN</x:t>
  </x:si>
  <x:si>
    <x:t xml:space="preserve">JL,PERBAKIN RT/RW 007/003</x:t>
  </x:si>
  <x:si>
    <x:t xml:space="preserve">FULL PAPAN , LANTAI FLOOR</x:t>
  </x:si>
  <x:si>
    <x:t xml:space="preserve">RTLH-0114</x:t>
  </x:si>
  <x:si>
    <x:t xml:space="preserve">ZULKIFLI HASYIM</x:t>
  </x:si>
  <x:si>
    <x:t xml:space="preserve">JL,BERLIAN IV RT/RW 004/001</x:t>
  </x:si>
  <x:si>
    <x:t xml:space="preserve">RUMAH FULL PAPAN, ATAP SENG, LANTIA FLOOR / RUMAH BAGI DUA DENGAN SAUDARA</x:t>
  </x:si>
  <x:si>
    <x:t xml:space="preserve">RTLH-0115</x:t>
  </x:si>
  <x:si>
    <x:t xml:space="preserve">MASKUR</x:t>
  </x:si>
  <x:si>
    <x:t xml:space="preserve">RUMAH FULL BETON,LANTAI FULL FLOOR, ATAP SENG</x:t>
  </x:si>
  <x:si>
    <x:t xml:space="preserve">RTLH-0116</x:t>
  </x:si>
  <x:si>
    <x:t xml:space="preserve">ASMAD</x:t>
  </x:si>
  <x:si>
    <x:t xml:space="preserve">GG,ARUS DALAM RT/RW 03/02</x:t>
  </x:si>
  <x:si>
    <x:t xml:space="preserve">RUMAH FULL PAPAN. DINDING RUSAK RINGAN LANTAI FLOOR, ATAP SENGRUSAK RINGAN</x:t>
  </x:si>
  <x:si>
    <x:t xml:space="preserve">RTLH-0117</x:t>
  </x:si>
  <x:si>
    <x:t xml:space="preserve">MAINAH</x:t>
  </x:si>
  <x:si>
    <x:t xml:space="preserve">JL.AIR MAWAR RT/RW 03/02 KEL.AIR MAWAR</x:t>
  </x:si>
  <x:si>
    <x:t xml:space="preserve">RUMAH SEMI,PERMANEN,DIDING PAPAN RUSAK RINGAN, ATAP SENG RUSAK RINGAN,</x:t>
  </x:si>
  <x:si>
    <x:t xml:space="preserve">RTLH-0118</x:t>
  </x:si>
  <x:si>
    <x:t xml:space="preserve">TJHIN MUK NA</x:t>
  </x:si>
  <x:si>
    <x:t xml:space="preserve">JL,TELUK BAYUR</x:t>
  </x:si>
  <x:si>
    <x:t xml:space="preserve">RUMAH FULL PAPAN, LANTAI KERAMIK,ATAP SENG, DINDING RUSAK RINGAN,ATAP RUSAK RINGAN,</x:t>
  </x:si>
  <x:si>
    <x:t xml:space="preserve">RTLH-0119</x:t>
  </x:si>
  <x:si>
    <x:t xml:space="preserve">ASHAB</x:t>
  </x:si>
  <x:si>
    <x:t xml:space="preserve">JL,KUBIS NO 217 RT/RW 003/001</x:t>
  </x:si>
  <x:si>
    <x:t xml:space="preserve">RUMAH SEMI PERMANEN,LANTAI FULL FLOOR,ATAP SEBAGIAN GENTENG/SENG LANTAI RUSAK RINGAN,DINDING RUSAK RINGAN,ATAP RUSAK RINGAN</x:t>
  </x:si>
  <x:si>
    <x:t xml:space="preserve">RTLH-0120</x:t>
  </x:si>
  <x:si>
    <x:t xml:space="preserve">MARTALI</x:t>
  </x:si>
  <x:si>
    <x:t xml:space="preserve">JL,VETERAN NO 125 RT/RW 003/001</x:t>
  </x:si>
  <x:si>
    <x:t xml:space="preserve">RUMAH ,SEMI PERMANEN, RUSAK HANYA BAGIAN DAPUR</x:t>
  </x:si>
  <x:si>
    <x:t xml:space="preserve">RTLH-0121</x:t>
  </x:si>
  <x:si>
    <x:t xml:space="preserve">HAMDANI</x:t>
  </x:si>
  <x:si>
    <x:t xml:space="preserve">JL.KUBIS RT/RW 003/001</x:t>
  </x:si>
  <x:si>
    <x:t xml:space="preserve">RUMAH SEMI PERMANEN,LANTAI SEBAGIAN KERAMIK,DINDING PAPAN,RUSAK RINGAN, ATAP SENG RUSAK RINGAN.</x:t>
  </x:si>
  <x:si>
    <x:t xml:space="preserve">RTLH-0122</x:t>
  </x:si>
  <x:si>
    <x:t xml:space="preserve">SUJONO</x:t>
  </x:si>
  <x:si>
    <x:t xml:space="preserve">JL,PEMEKASAN RT/RW 002/002</x:t>
  </x:si>
  <x:si>
    <x:t xml:space="preserve">RUMAH BERDAMPINGAN DENGAN ORANG TUA, LANTAI FUL FLOOR.</x:t>
  </x:si>
  <x:si>
    <x:t xml:space="preserve">RTLH-0123</x:t>
  </x:si>
  <x:si>
    <x:t xml:space="preserve">SUPANDI</x:t>
  </x:si>
  <x:si>
    <x:t xml:space="preserve">JL,PEMEKASAN II RT 002 RW 002</x:t>
  </x:si>
  <x:si>
    <x:t xml:space="preserve">RUMAH SEMI PERMANEN, LANTAI FULL FLOOR DINDING RUSAK RINGAN, ATAP ASBES RUSAK RINGAN</x:t>
  </x:si>
  <x:si>
    <x:t xml:space="preserve">RTLH-0124</x:t>
  </x:si>
  <x:si>
    <x:t xml:space="preserve">PUSI</x:t>
  </x:si>
  <x:si>
    <x:t xml:space="preserve">JL,VETERAN RT/RW 002/003</x:t>
  </x:si>
  <x:si>
    <x:t xml:space="preserve">RUMAH SEMI PERMANEN,BAGIAN DAPUR PERMANEN, LANTAI FULL FLOOR,DINDING PAPAN RUSAK RINGAN,ATAP RUSAK RINGAN.</x:t>
  </x:si>
  <x:si>
    <x:t xml:space="preserve">RTLH-0125</x:t>
  </x:si>
  <x:si>
    <x:t xml:space="preserve">YULITAR</x:t>
  </x:si>
  <x:si>
    <x:t xml:space="preserve">JL,LAP BOLA RT/RW 002/003</x:t>
  </x:si>
  <x:si>
    <x:t xml:space="preserve">RUMAH FULL PAPAN.LANTAI FULL FLOR,DINDING RUSAK RINGAN ATAP SENG RUSAK RINGAN</x:t>
  </x:si>
  <x:si>
    <x:t xml:space="preserve">RTLH-0126</x:t>
  </x:si>
  <x:si>
    <x:t xml:space="preserve">KUWATNO</x:t>
  </x:si>
  <x:si>
    <x:t xml:space="preserve">JL.LAP BOLA RT/RW 002/003</x:t>
  </x:si>
  <x:si>
    <x:t xml:space="preserve">RUMAH FULL PAPAN, DINDING RUSAK RINGAN, LANTAI FULL KERAMIK, ATAP ASBES</x:t>
  </x:si>
  <x:si>
    <x:t xml:space="preserve">RTLH-0127</x:t>
  </x:si>
  <x:si>
    <x:t xml:space="preserve">SUHAIKAH</x:t>
  </x:si>
  <x:si>
    <x:t xml:space="preserve">JL,DELIMA SIAM VIII RT/RW 003/001</x:t>
  </x:si>
  <x:si>
    <x:t xml:space="preserve">RUMAH PERMANEN ( MINTA REHAB BAGIAN DAPIUR)</x:t>
  </x:si>
  <x:si>
    <x:t xml:space="preserve">RTLH-0128</x:t>
  </x:si>
  <x:si>
    <x:t xml:space="preserve">MISLIYEH</x:t>
  </x:si>
  <x:si>
    <x:t xml:space="preserve">JL,BASUKI RACHMAD UJUNG II RT/RW 008/003</x:t>
  </x:si>
  <x:si>
    <x:t xml:space="preserve">RUMAH FULL PAPAN, SEBAGIAN BETON WC,PERMANEN, LANTAI FULL FLOOR,ATAP ASBES RUSAK RINGAN</x:t>
  </x:si>
  <x:si>
    <x:t xml:space="preserve">RTLH-0129</x:t>
  </x:si>
  <x:si>
    <x:t xml:space="preserve">NIRAH</x:t>
  </x:si>
  <x:si>
    <x:t xml:space="preserve">RUMAH FULL PAPAN, DINDING RUSAK RINGAN, LANTAI FULL FLOOR ATAP SENG, DINDING RUSAK RINGAN, ATAP RUSAK RINGAN LANTAI RUSAK RINGAN</x:t>
  </x:si>
  <x:si>
    <x:t xml:space="preserve">RTLH-0130</x:t>
  </x:si>
  <x:si>
    <x:t xml:space="preserve">MARYEMAH</x:t>
  </x:si>
  <x:si>
    <x:t xml:space="preserve">RUMAH FULL PAPAN,LANTAI FULL FLOOR, ATAP SENG RUSAK RINGAN, DINDING PAPAN RUSAK RINGAN, LANTAI RUSAK RINGAN</x:t>
  </x:si>
  <x:si>
    <x:t xml:space="preserve">RTLH-0131</x:t>
  </x:si>
  <x:si>
    <x:t xml:space="preserve">LIN HON JON</x:t>
  </x:si>
  <x:si>
    <x:t xml:space="preserve">JL,BUKIT TUNGGAL RT/RW 008/003</x:t>
  </x:si>
  <x:si>
    <x:t xml:space="preserve">RUMAH SEMI PERMANEN, SEBAGIAN DINDING PAPAN RUSAK RINGAN, LANTAI FULL FLOOR, LANTAI RUSAK RINGAN,BAGIAN DAPUR PERMANEN, ATAP RUSAK RINGAN</x:t>
  </x:si>
  <x:si>
    <x:t xml:space="preserve">RTLH-0132</x:t>
  </x:si>
  <x:si>
    <x:t xml:space="preserve">SUHAILI</x:t>
  </x:si>
  <x:si>
    <x:t xml:space="preserve">JL.SOLIHIN GP, GG BUAH BATU 1 RT/RW 001/002</x:t>
  </x:si>
  <x:si>
    <x:t xml:space="preserve">RUMAH PERMANEN,ATAP SENG RUSAK RINGAN, DINDING RUSAK RINGAN,LANTAI FLOOR,</x:t>
  </x:si>
  <x:si>
    <x:t xml:space="preserve">RTLH-0133</x:t>
  </x:si>
  <x:si>
    <x:t xml:space="preserve">DAHLIA</x:t>
  </x:si>
  <x:si>
    <x:t xml:space="preserve">RT,01 RW,01</x:t>
  </x:si>
  <x:si>
    <x:t xml:space="preserve">RUMAH FULL PAPAN, DINDING RUSAK RINGAN, LANTAI FLOOR, ATAP ASBES</x:t>
  </x:si>
  <x:si>
    <x:t xml:space="preserve">RTLH-0134</x:t>
  </x:si>
  <x:si>
    <x:t xml:space="preserve">ALING</x:t>
  </x:si>
  <x:si>
    <x:t xml:space="preserve">Keadaan Rumah Semi Permanen, Hanya bagian ruang tamu, (Full Papan)</x:t>
  </x:si>
  <x:si>
    <x:t xml:space="preserve">RTLH-0135</x:t>
  </x:si>
  <x:si>
    <x:t xml:space="preserve">ZAHRO</x:t>
  </x:si>
  <x:si>
    <x:t xml:space="preserve">RT,03 RW,01</x:t>
  </x:si>
  <x:si>
    <x:t xml:space="preserve">Rumah Bagi DUA Dengan Anak, ( Saudara Zahro, menepati bagian Belakang, Keadaan Rumah Semi Permanen, Hanya bagian ruang tamu, (Full Papan)</x:t>
  </x:si>
  <x:si>
    <x:t xml:space="preserve">RTLH-0136</x:t>
  </x:si>
  <x:si>
    <x:t xml:space="preserve">MAHMUDAH</x:t>
  </x:si>
  <x:si>
    <x:t xml:space="preserve">RT,05 RW,02</x:t>
  </x:si>
  <x:si>
    <x:t xml:space="preserve">RUMAH BENTUK L, SEBAGIAN DINDING PERMANEN DAN PAPAN, LANTAI FLOOR, ATAP SENG</x:t>
  </x:si>
  <x:si>
    <x:t xml:space="preserve">RTLH-0137</x:t>
  </x:si>
  <x:si>
    <x:t xml:space="preserve">SUBANA</x:t>
  </x:si>
  <x:si>
    <x:t xml:space="preserve">RT:001 / RW : 001</x:t>
  </x:si>
  <x:si>
    <x:t xml:space="preserve">RUMAH FULL PAPAN, LANTAI FLOOR ATAP SENG, WC DI LUAR</x:t>
  </x:si>
  <x:si>
    <x:t xml:space="preserve">RTLH-0138</x:t>
  </x:si>
  <x:si>
    <x:t xml:space="preserve">AI WE</x:t>
  </x:si>
  <x:si>
    <x:t xml:space="preserve">RUMAH FULL PAPAN, LANTAI FLOOR, ATAP SENG</x:t>
  </x:si>
  <x:si>
    <x:t xml:space="preserve">RTLH-0139</x:t>
  </x:si>
  <x:si>
    <x:t xml:space="preserve">KOSGORO</x:t>
  </x:si>
  <x:si>
    <x:t xml:space="preserve">1704020707820004</x:t>
  </x:si>
  <x:si>
    <x:t xml:space="preserve">1971012507170008</x:t>
  </x:si>
  <x:si>
    <x:t xml:space="preserve">JL. DEPATI HAMZAH RT.003 RW.001</x:t>
  </x:si>
  <x:si>
    <x:t xml:space="preserve">RUMAH INDUK FULL PAPAN, BAGIAN DAPUR PERMANEN, ATAP GENTENG BOOCR</x:t>
  </x:si>
  <x:si>
    <x:t xml:space="preserve">RTLH-0140</x:t>
  </x:si>
  <x:si>
    <x:t xml:space="preserve">ZURYANA</x:t>
  </x:si>
  <x:si>
    <x:t xml:space="preserve">RT,02/RW,001</x:t>
  </x:si>
  <x:si>
    <x:t xml:space="preserve">RUMAH PERMANEN, KERUSAKAN HANYA BAGIAN ATAP</x:t>
  </x:si>
  <x:si>
    <x:t xml:space="preserve">RTLH-0141</x:t>
  </x:si>
  <x:si>
    <x:t xml:space="preserve">APHI</x:t>
  </x:si>
  <x:si>
    <x:t xml:space="preserve">JL,Batu Kadera RT,04/RW,02</x:t>
  </x:si>
  <x:si>
    <x:t xml:space="preserve">RTLH-0142</x:t>
  </x:si>
  <x:si>
    <x:t xml:space="preserve">RUDY</x:t>
  </x:si>
  <x:si>
    <x:t xml:space="preserve">JL.HORMEN MADDATI NO 24</x:t>
  </x:si>
  <x:si>
    <x:t xml:space="preserve">RTLH-0143</x:t>
  </x:si>
  <x:si>
    <x:t xml:space="preserve">RIVA GUSTI</x:t>
  </x:si>
  <x:si>
    <x:t xml:space="preserve">RUMAH SEMI PERMANEN, BAGIAN UTAM FULL PAPAN, BAGIAN DAPUR PERMANEN</x:t>
  </x:si>
  <x:si>
    <x:t xml:space="preserve">RTLH-0144</x:t>
  </x:si>
  <x:si>
    <x:t xml:space="preserve">MARDIYAN</x:t>
  </x:si>
  <x:si>
    <x:t xml:space="preserve">JL. AIR MAWAR</x:t>
  </x:si>
  <x:si>
    <x:t xml:space="preserve">RTLH-0145</x:t>
  </x:si>
  <x:si>
    <x:t xml:space="preserve">JOHAN</x:t>
  </x:si>
  <x:si>
    <x:t xml:space="preserve">RUMAH FULL PAPAN , DINDING RUSAK RINGAN, ATAP RUSAK RINGAN, LANTAI FLOOR</x:t>
  </x:si>
  <x:si>
    <x:t xml:space="preserve">RTLH-0146</x:t>
  </x:si>
  <x:si>
    <x:t xml:space="preserve">ATTAYATUL</x:t>
  </x:si>
  <x:si>
    <x:t xml:space="preserve">JL.NANAS II</x:t>
  </x:si>
  <x:si>
    <x:t xml:space="preserve">RUMAH PERMANEN, HANYA MINTA REHAB BAGIAN DAPUR</x:t>
  </x:si>
  <x:si>
    <x:t xml:space="preserve">RTLH-0147</x:t>
  </x:si>
  <x:si>
    <x:t xml:space="preserve">ZAIMAH</x:t>
  </x:si>
  <x:si>
    <x:t xml:space="preserve">JL.IRIAN NO 90</x:t>
  </x:si>
  <x:si>
    <x:t xml:space="preserve">RUMAH SEMI PERMANEN, BAGIAN DEPAN PERMANEN, BAGIAN BELAKANG PAPAN</x:t>
  </x:si>
  <x:si>
    <x:t xml:space="preserve">RTLH-0148</x:t>
  </x:si>
  <x:si>
    <x:t xml:space="preserve">A.HANAN / ZAENAB</x:t>
  </x:si>
  <x:si>
    <x:t xml:space="preserve">RUMAH SEMI PERMANEN, LANTAI FLOOR ( SELALU BANJIR SAAT HUJAN)]</x:t>
  </x:si>
  <x:si>
    <x:t xml:space="preserve">RTLH-0149</x:t>
  </x:si>
  <x:si>
    <x:t xml:space="preserve">AZIZAH</x:t>
  </x:si>
  <x:si>
    <x:t xml:space="preserve">JL,KERABUT GG.SD 44</x:t>
  </x:si>
  <x:si>
    <x:t xml:space="preserve">RUMAH PERMANEN,LANTAI FLOOR,KEADAAN DINDING TANPA PLESTERAN,ATAP SENG</x:t>
  </x:si>
  <x:si>
    <x:t xml:space="preserve">RTLH-0150</x:t>
  </x:si>
  <x:si>
    <x:t xml:space="preserve">SUYANTO</x:t>
  </x:si>
  <x:si>
    <x:t xml:space="preserve">JL,KELOMPOK</x:t>
  </x:si>
  <x:si>
    <x:t xml:space="preserve">RUMAH FULL PAPAN,LANTAI FLOOR,ATAP SENG, KEADAAN DINDING RUSAK ,ATAP BAIK, LANTAI RUSAK RINGAN (Lengkap)</x:t>
  </x:si>
  <x:si>
    <x:t xml:space="preserve">RTLH-0151</x:t>
  </x:si>
  <x:si>
    <x:t xml:space="preserve">ASNAH . D</x:t>
  </x:si>
  <x:si>
    <x:t xml:space="preserve">RT/RW 002 / 001 , JALAN HORMEN MADDATI NO 65</x:t>
  </x:si>
  <x:si>
    <x:t xml:space="preserve">RTLH-0152</x:t>
  </x:si>
  <x:si>
    <x:t xml:space="preserve">RT/RW 005/002, JL. MASJID ALHUDA NO.95</x:t>
  </x:si>
  <x:si>
    <x:t xml:space="preserve">SURAT-Lengkap, RUMAH SEMI PERMANEN, BAGIAN DAPUR PERMANEN, DINDING RUSAK RINGAN, ATAP RUSAK RINGAN, LANTAI FULL FLOR,</x:t>
  </x:si>
  <x:si>
    <x:t xml:space="preserve">RTLH-0153</x:t>
  </x:si>
  <x:si>
    <x:t xml:space="preserve">SYARIFUDIN</x:t>
  </x:si>
  <x:si>
    <x:t xml:space="preserve">GG.TOMAT I NO.6</x:t>
  </x:si>
  <x:si>
    <x:t xml:space="preserve">RUMAH SEMI PERMANEN,</x:t>
  </x:si>
  <x:si>
    <x:t xml:space="preserve">RTLH-0154</x:t>
  </x:si>
  <x:si>
    <x:t xml:space="preserve">SITI MASITOH</x:t>
  </x:si>
  <x:si>
    <x:t xml:space="preserve">RUMAH SEMI PERMANEN , BAGIAN DAPUR PERMANEN, BAGIAN DEPAN PAPAN</x:t>
  </x:si>
  <x:si>
    <x:t xml:space="preserve">RTLH-0155</x:t>
  </x:si>
  <x:si>
    <x:t xml:space="preserve">ANAWATI</x:t>
  </x:si>
  <x:si>
    <x:t xml:space="preserve">JL: HORMEN MADDATI NO.55</x:t>
  </x:si>
  <x:si>
    <x:t xml:space="preserve">RUMAH SEMI PERMANEN, BAGIAN DEPAN PAPAN, LANTAI FLOOR , ATAP SENG</x:t>
  </x:si>
  <x:si>
    <x:t xml:space="preserve">RTLH-0156</x:t>
  </x:si>
  <x:si>
    <x:t xml:space="preserve">ADRI</x:t>
  </x:si>
  <x:si>
    <x:t xml:space="preserve">JL.LETKOL H.SULAIMAN SALAM GG.BINJAI 3</x:t>
  </x:si>
  <x:si>
    <x:t xml:space="preserve">RTLH-0157</x:t>
  </x:si>
  <x:si>
    <x:t xml:space="preserve">BUCE DE QUALYU</x:t>
  </x:si>
  <x:si>
    <x:t xml:space="preserve">JL,LIONG BIEN NO.13 RT/RW 006/002</x:t>
  </x:si>
  <x:si>
    <x:t xml:space="preserve">RUMAH FULL PAPAN, ATAP SENG, LANTAI FLOOR ( PERNAH MENGUNDURKAN DIRI TAHUN 2018)</x:t>
  </x:si>
  <x:si>
    <x:t xml:space="preserve">RTLH-0158</x:t>
  </x:si>
  <x:si>
    <x:t xml:space="preserve">NURSIAH</x:t>
  </x:si>
  <x:si>
    <x:t xml:space="preserve">JL.SOLIHIN GP NO,67</x:t>
  </x:si>
  <x:si>
    <x:t xml:space="preserve">RUMAH BAGI DUA DENGAN SAUDARA, LANTAI FLOOR, DINDING PAPAN, ATAP SENG</x:t>
  </x:si>
  <x:si>
    <x:t xml:space="preserve">RTLH-0159</x:t>
  </x:si>
  <x:si>
    <x:t xml:space="preserve">ISKANDAR</x:t>
  </x:si>
  <x:si>
    <x:t xml:space="preserve">JL,GIRIMAYA DALAM NO.31 RT/RW 005/001</x:t>
  </x:si>
  <x:si>
    <x:t xml:space="preserve">RUMAH SEMI PERMANEN, BAGIAN BELAKANG FULL PAPAN ( RUMAH BAGI DUA DENGAN SAUDARA)</x:t>
  </x:si>
  <x:si>
    <x:t xml:space="preserve">RTLH-0160</x:t>
  </x:si>
  <x:si>
    <x:t xml:space="preserve">EFFENDI</x:t>
  </x:si>
  <x:si>
    <x:t xml:space="preserve">1971022211650001</x:t>
  </x:si>
  <x:si>
    <x:t xml:space="preserve">1971021403081170</x:t>
  </x:si>
  <x:si>
    <x:t xml:space="preserve">GG. SAKURA II RT.001 RW.001</x:t>
  </x:si>
  <x:si>
    <x:t xml:space="preserve">RTLH-0161</x:t>
  </x:si>
  <x:si>
    <x:t xml:space="preserve">BUSTAMI</x:t>
  </x:si>
  <x:si>
    <x:t xml:space="preserve">1971021802840005</x:t>
  </x:si>
  <x:si>
    <x:t xml:space="preserve">1971020506090001</x:t>
  </x:si>
  <x:si>
    <x:t xml:space="preserve">JL. RE MARTADINATA RT.007 RW.002</x:t>
  </x:si>
  <x:si>
    <x:t xml:space="preserve">RTLH-0162</x:t>
  </x:si>
  <x:si>
    <x:t xml:space="preserve">ABAS</x:t>
  </x:si>
  <x:si>
    <x:t xml:space="preserve">1971010107700018</x:t>
  </x:si>
  <x:si>
    <x:t xml:space="preserve">1971011801170002</x:t>
  </x:si>
  <x:si>
    <x:t xml:space="preserve">JL. DEPATI HAMZAH RT.004 RW.002</x:t>
  </x:si>
  <x:si>
    <x:t xml:space="preserve">RTLH-0163</x:t>
  </x:si>
  <x:si>
    <x:t xml:space="preserve">NURSAYDAH</x:t>
  </x:si>
  <x:si>
    <x:t xml:space="preserve">1901045404040000</x:t>
  </x:si>
  <x:si>
    <x:t xml:space="preserve">1971071907240002</x:t>
  </x:si>
  <x:si>
    <x:t xml:space="preserve">JL. KELAPA II RT.002 RW.001</x:t>
  </x:si>
  <x:si>
    <x:t xml:space="preserve">RTLH-0164</x:t>
  </x:si>
  <x:si>
    <x:t xml:space="preserve">SUMIYATI</x:t>
  </x:si>
  <x:si>
    <x:t xml:space="preserve">1971024505570001</x:t>
  </x:si>
  <x:si>
    <x:t xml:space="preserve">1971021403082636</x:t>
  </x:si>
  <x:si>
    <x:t xml:space="preserve">JL. KH ABDULLAH ADDARI NO.45 RT.001 RW.001</x:t>
  </x:si>
  <x:si>
    <x:t xml:space="preserve">RAWA BANGUN</x:t>
  </x:si>
  <x:si>
    <x:t xml:space="preserve">RTLH-0165</x:t>
  </x:si>
  <x:si>
    <x:t xml:space="preserve">ABU BAKAR</x:t>
  </x:si>
  <x:si>
    <x:t xml:space="preserve">1971022506500001</x:t>
  </x:si>
  <x:si>
    <x:t xml:space="preserve">1971020509110002</x:t>
  </x:si>
  <x:si>
    <x:t xml:space="preserve">JL. TERATAI NO.219 RT.007 RW.002</x:t>
  </x:si>
  <x:si>
    <x:t xml:space="preserve">RTLH-0166</x:t>
  </x:si>
  <x:si>
    <x:t xml:space="preserve">MELLY</x:t>
  </x:si>
  <x:si>
    <x:t xml:space="preserve">1904044205900004</x:t>
  </x:si>
  <x:si>
    <x:t xml:space="preserve">1904041106150002</x:t>
  </x:si>
  <x:si>
    <x:t xml:space="preserve">JL. TERATAI RT.007 RW.002</x:t>
  </x:si>
  <x:si>
    <x:t xml:space="preserve">RTLH-0167</x:t>
  </x:si>
  <x:si>
    <x:t xml:space="preserve">SLAMET / ROMADHON</x:t>
  </x:si>
  <x:si>
    <x:t xml:space="preserve">1971020212100014</x:t>
  </x:si>
  <x:si>
    <x:t xml:space="preserve">JL. TERATAI RT.007 RW.003</x:t>
  </x:si>
  <x:si>
    <x:t xml:space="preserve">RTLH-0168</x:t>
  </x:si>
  <x:si>
    <x:t xml:space="preserve">DARMAWAN/ SRI SEPTRIANTI    </x:t>
  </x:si>
  <x:si>
    <x:t xml:space="preserve">1971020711680001</x:t>
  </x:si>
  <x:si>
    <x:t xml:space="preserve">1971021403081714</x:t>
  </x:si>
  <x:si>
    <x:t xml:space="preserve">JL. TERATAI RT.007 RW.004</x:t>
  </x:si>
  <x:si>
    <x:t xml:space="preserve">RTLH-0169</x:t>
  </x:si>
  <x:si>
    <x:t xml:space="preserve">Alm. AMPERAWATI / AKBAL SAPUTRA</x:t>
  </x:si>
  <x:si>
    <x:t xml:space="preserve">1971021510990002</x:t>
  </x:si>
  <x:si>
    <x:t xml:space="preserve">1971023009110001</x:t>
  </x:si>
  <x:si>
    <x:t xml:space="preserve">JL. TERATAI RT.007 RW.005</x:t>
  </x:si>
  <x:si>
    <x:t xml:space="preserve">RTLH-0170</x:t>
  </x:si>
  <x:si>
    <x:t xml:space="preserve">ILHAMSYAH / LUSIANI</x:t>
  </x:si>
  <x:si>
    <x:t xml:space="preserve">1971021403081713</x:t>
  </x:si>
  <x:si>
    <x:t xml:space="preserve">JL. TERATAI RT.007 RW.006</x:t>
  </x:si>
  <x:si>
    <x:t xml:space="preserve">RTLH-0171</x:t>
  </x:si>
  <x:si>
    <x:t xml:space="preserve">BONARANG</x:t>
  </x:si>
  <x:si>
    <x:t xml:space="preserve">1971020310760003</x:t>
  </x:si>
  <x:si>
    <x:t xml:space="preserve">1971022403090005</x:t>
  </x:si>
  <x:si>
    <x:t xml:space="preserve">JL. TERATAI RT.007 RW.007</x:t>
  </x:si>
  <x:si>
    <x:t xml:space="preserve">RTLH-0172</x:t>
  </x:si>
  <x:si>
    <x:t xml:space="preserve">EMAN KOTO / INDA SASTRA</x:t>
  </x:si>
  <x:si>
    <x:t xml:space="preserve">1971040509710001</x:t>
  </x:si>
  <x:si>
    <x:t xml:space="preserve">1971041403086448</x:t>
  </x:si>
  <x:si>
    <x:t xml:space="preserve">JL. MASJID ALHUDA NO.77 RT.007 RW.002</x:t>
  </x:si>
  <x:si>
    <x:t xml:space="preserve">RTLH-0173</x:t>
  </x:si>
  <x:si>
    <x:t xml:space="preserve">SUGIANA</x:t>
  </x:si>
  <x:si>
    <x:t xml:space="preserve">1971054410790003</x:t>
  </x:si>
  <x:si>
    <x:t xml:space="preserve">1971020501240003</x:t>
  </x:si>
  <x:si>
    <x:t xml:space="preserve">JL. A YANI, GG. PELITA DALAM RT.003 RW.004</x:t>
  </x:si>
  <x:si>
    <x:t xml:space="preserve">RTLH-0174</x:t>
  </x:si>
  <x:si>
    <x:t xml:space="preserve">RUSYATI</x:t>
  </x:si>
  <x:si>
    <x:t xml:space="preserve">1971035604520001</x:t>
  </x:si>
  <x:si>
    <x:t xml:space="preserve">1971060312180004</x:t>
  </x:si>
  <x:si>
    <x:t xml:space="preserve">JL. KERABUT RT.004 RW.002</x:t>
  </x:si>
  <x:si>
    <x:t xml:space="preserve">RTLH-0175</x:t>
  </x:si>
  <x:si>
    <x:t xml:space="preserve">SURYA MARGARETHA</x:t>
  </x:si>
  <x:si>
    <x:t xml:space="preserve">1901014709770003</x:t>
  </x:si>
  <x:si>
    <x:t xml:space="preserve">1901012807220008</x:t>
  </x:si>
  <x:si>
    <x:t xml:space="preserve">JL. ISTIQRAB DALAM</x:t>
  </x:si>
  <x:si>
    <x:t xml:space="preserve">RTLH-0176</x:t>
  </x:si>
  <x:si>
    <x:t xml:space="preserve">ZAINI</x:t>
  </x:si>
  <x:si>
    <x:t xml:space="preserve">1971041008510002</x:t>
  </x:si>
  <x:si>
    <x:t xml:space="preserve">1971041002100001</x:t>
  </x:si>
  <x:si>
    <x:t xml:space="preserve">RTLH-0177</x:t>
  </x:si>
  <x:si>
    <x:t xml:space="preserve">AJIJAH</x:t>
  </x:si>
  <x:si>
    <x:t xml:space="preserve">1971046908540002</x:t>
  </x:si>
  <x:si>
    <x:t xml:space="preserve">1971042302220003</x:t>
  </x:si>
  <x:si>
    <x:t xml:space="preserve">JL. JAKFAR YUSUF RT.008 RW.003</x:t>
  </x:si>
  <x:si>
    <x:t xml:space="preserve">RTLH-0178</x:t>
  </x:si>
  <x:si>
    <x:t xml:space="preserve">TERY WAHYUDI</x:t>
  </x:si>
  <x:si>
    <x:t xml:space="preserve">1971042006970002</x:t>
  </x:si>
  <x:si>
    <x:t xml:space="preserve">1971042707200002</x:t>
  </x:si>
  <x:si>
    <x:t xml:space="preserve">RTLH-0179</x:t>
  </x:si>
  <x:si>
    <x:t xml:space="preserve">M. TAUPIK HIDAYAT</x:t>
  </x:si>
  <x:si>
    <x:t xml:space="preserve">1971031206600004</x:t>
  </x:si>
  <x:si>
    <x:t xml:space="preserve">1971030503090006</x:t>
  </x:si>
  <x:si>
    <x:t xml:space="preserve">JL. PIKAS 9 NO.50B RT.002 RW.001</x:t>
  </x:si>
  <x:si>
    <x:t xml:space="preserve">AIR SALEMBA</x:t>
  </x:si>
  <x:si>
    <x:t xml:space="preserve">RTLH-0180</x:t>
  </x:si>
  <x:si>
    <x:t xml:space="preserve">ARSITA SAMPURNA / DARLENA</x:t>
  </x:si>
  <x:si>
    <x:t xml:space="preserve">1971021511110007</x:t>
  </x:si>
  <x:si>
    <x:t xml:space="preserve">RTLH-0181</x:t>
  </x:si>
  <x:si>
    <x:t xml:space="preserve">ALM. DARMAWAN/ JARIAH</x:t>
  </x:si>
  <x:si>
    <x:t xml:space="preserve">1971022411510001</x:t>
  </x:si>
  <x:si>
    <x:t xml:space="preserve">1971023009090003</x:t>
  </x:si>
  <x:si>
    <x:t xml:space="preserve">RTLH-0182</x:t>
  </x:si>
  <x:si>
    <x:t xml:space="preserve">M. ZALDI</x:t>
  </x:si>
  <x:si>
    <x:t xml:space="preserve">1971020705720001</x:t>
  </x:si>
  <x:si>
    <x:t xml:space="preserve">1971021512080005</x:t>
  </x:si>
  <x:si>
    <x:t xml:space="preserve">RTLH-0183</x:t>
  </x:si>
  <x:si>
    <x:t xml:space="preserve">RUSDIN/ATIE</x:t>
  </x:si>
  <x:si>
    <x:t xml:space="preserve">JL.PABRIK LIMUS RT/RW 009/003</x:t>
  </x:si>
  <x:si>
    <x:t xml:space="preserve">RTLH-0184</x:t>
  </x:si>
  <x:si>
    <x:t xml:space="preserve">RUAIDAH</x:t>
  </x:si>
  <x:si>
    <x:t xml:space="preserve">GG.TOMAT IV RT/RW 006/002</x:t>
  </x:si>
  <x:si>
    <x:t xml:space="preserve">RTLH-0185</x:t>
  </x:si>
  <x:si>
    <x:t xml:space="preserve">SYARIFUDDIN</x:t>
  </x:si>
  <x:si>
    <x:t xml:space="preserve">1971042505730002</x:t>
  </x:si>
  <x:si>
    <x:t xml:space="preserve">1971041403086219</x:t>
  </x:si>
  <x:si>
    <x:t xml:space="preserve">GG.TOMAT IV RT/RW 005/002</x:t>
  </x:si>
  <x:si>
    <x:t xml:space="preserve">RTLH-0186</x:t>
  </x:si>
  <x:si>
    <x:t xml:space="preserve">RAHMI ANDARI</x:t>
  </x:si>
  <x:si>
    <x:t xml:space="preserve">1971055603950002</x:t>
  </x:si>
  <x:si>
    <x:t xml:space="preserve">1971022210140002</x:t>
  </x:si>
  <x:si>
    <x:t xml:space="preserve">JL.M TOYIB RT/RW 003/004</x:t>
  </x:si>
  <x:si>
    <x:t xml:space="preserve">RTLH-0187</x:t>
  </x:si>
  <x:si>
    <x:t xml:space="preserve">JOHAN/JUNIATI</x:t>
  </x:si>
  <x:si>
    <x:t xml:space="preserve">JL. M TOYIB RT/RW 003/004</x:t>
  </x:si>
  <x:si>
    <x:t xml:space="preserve">RTLH-0188</x:t>
  </x:si>
  <x:si>
    <x:t xml:space="preserve">ROSIDI</x:t>
  </x:si>
  <x:si>
    <x:t xml:space="preserve">JL.AYANI GG AIDA RT/RW 002/004</x:t>
  </x:si>
  <x:si>
    <x:t xml:space="preserve">RTLH-0189</x:t>
  </x:si>
  <x:si>
    <x:t xml:space="preserve">ZANIMAR</x:t>
  </x:si>
  <x:si>
    <x:t xml:space="preserve">1971054304480000</x:t>
  </x:si>
  <x:si>
    <x:t xml:space="preserve">1971051403084412</x:t>
  </x:si>
  <x:si>
    <x:t xml:space="preserve">JL.SUMEDANG GG SALAM RT/RW 002/001</x:t>
  </x:si>
  <x:si>
    <x:t xml:space="preserve">RTLH-0190</x:t>
  </x:si>
  <x:si>
    <x:t xml:space="preserve">N ENDANG</x:t>
  </x:si>
  <x:si>
    <x:t xml:space="preserve">JL.SAHABAT RT/RW 001/004</x:t>
  </x:si>
  <x:si>
    <x:t xml:space="preserve">RTLH-0191</x:t>
  </x:si>
  <x:si>
    <x:t xml:space="preserve">TJHANG MUK LOI</x:t>
  </x:si>
  <x:si>
    <x:t xml:space="preserve">PARIT LALANG</x:t>
  </x:si>
  <x:si>
    <x:t xml:space="preserve">RTLH-0192</x:t>
  </x:si>
  <x:si>
    <x:t xml:space="preserve">NUZUL ANDANI</x:t>
  </x:si>
  <x:si>
    <x:t xml:space="preserve">RTLH-0193</x:t>
  </x:si>
  <x:si>
    <x:t xml:space="preserve">SANIAH</x:t>
  </x:si>
  <x:si>
    <x:t xml:space="preserve">JL.PAMEKASAN RT/RW 002/002</x:t>
  </x:si>
  <x:si>
    <x:t xml:space="preserve">RTLH-0194</x:t>
  </x:si>
  <x:si>
    <x:t xml:space="preserve">AMINAH</x:t>
  </x:si>
  <x:si>
    <x:t xml:space="preserve">JL.VETERAN UJUNG RT/RW 001/003</x:t>
  </x:si>
  <x:si>
    <x:t xml:space="preserve">RTLH-0195</x:t>
  </x:si>
  <x:si>
    <x:t xml:space="preserve">KAMALUDDIN</x:t>
  </x:si>
  <x:si>
    <x:t xml:space="preserve">JL.VETERAN GG.KEMANGI I RT/RW 003/002</x:t>
  </x:si>
  <x:si>
    <x:t xml:space="preserve">RTLH-0196</x:t>
  </x:si>
  <x:si>
    <x:t xml:space="preserve">MUNZIR</x:t>
  </x:si>
  <x:si>
    <x:t xml:space="preserve">JL.MASJID JAMIK ALHUSNA RT/RW 004/002</x:t>
  </x:si>
  <x:si>
    <x:t xml:space="preserve">RTLH-0197</x:t>
  </x:si>
  <x:si>
    <x:t xml:space="preserve">PILOMON POLUS</x:t>
  </x:si>
  <x:si>
    <x:t xml:space="preserve">JL.SMP N 10 RT/RW 007/002</x:t>
  </x:si>
  <x:si>
    <x:t xml:space="preserve">RTLH-0198</x:t>
  </x:si>
  <x:si>
    <x:t xml:space="preserve">SAHARI ( ORG TUA) / ERIC JAYAPRAJA (ANAK)</x:t>
  </x:si>
  <x:si>
    <x:t xml:space="preserve">JL.DEMANG SINGA YUDA, GG MUTIARA IV DEPAN MASJID AL MUTAQQIN RT/RW 007/003</x:t>
  </x:si>
  <x:si>
    <x:t xml:space="preserve">RTLH-0199</x:t>
  </x:si>
  <x:si>
    <x:t xml:space="preserve">ARIATI</x:t>
  </x:si>
  <x:si>
    <x:t xml:space="preserve">1904026503740001</x:t>
  </x:si>
  <x:si>
    <x:t xml:space="preserve">1904022812080004</x:t>
  </x:si>
  <x:si>
    <x:t xml:space="preserve">RTLH-0200</x:t>
  </x:si>
  <x:si>
    <x:t xml:space="preserve">RENNY OKTAVIANI</x:t>
  </x:si>
  <x:si>
    <x:t xml:space="preserve">JL.AIR MAWAR RT/RW 002/001</x:t>
  </x:si>
  <x:si>
    <x:t xml:space="preserve">AIR MAWAR </x:t>
  </x:si>
  <x:si>
    <x:t xml:space="preserve">RTLH-0201</x:t>
  </x:si>
  <x:si>
    <x:t xml:space="preserve">ROSIAH </x:t>
  </x:si>
  <x:si>
    <x:t xml:space="preserve">1971015509620003</x:t>
  </x:si>
  <x:si>
    <x:t xml:space="preserve">1971070607150002</x:t>
  </x:si>
  <x:si>
    <x:t xml:space="preserve">RTLH-0202</x:t>
  </x:si>
  <x:si>
    <x:t xml:space="preserve">MAUN RASIMA</x:t>
  </x:si>
  <x:si>
    <x:t xml:space="preserve">1971010907750003</x:t>
  </x:si>
  <x:si>
    <x:t xml:space="preserve">1971011403082801</x:t>
  </x:si>
  <x:si>
    <x:t xml:space="preserve">JL.ARUS DALAM RT/RW 003/002</x:t>
  </x:si>
  <x:si>
    <x:t xml:space="preserve">RTLH-0203</x:t>
  </x:si>
  <x:si>
    <x:t xml:space="preserve">IMRON</x:t>
  </x:si>
  <x:si>
    <x:t xml:space="preserve">1971010707730003</x:t>
  </x:si>
  <x:si>
    <x:t xml:space="preserve">1971011403082730</x:t>
  </x:si>
  <x:si>
    <x:t xml:space="preserve">RTLH-0204</x:t>
  </x:si>
  <x:si>
    <x:t xml:space="preserve">ZAINUDDIN </x:t>
  </x:si>
  <x:si>
    <x:t xml:space="preserve">RTLH-0205</x:t>
  </x:si>
  <x:si>
    <x:t xml:space="preserve">TOHAR MARTONO SUDIRO</x:t>
  </x:si>
  <x:si>
    <x:t xml:space="preserve">1971031404570001</x:t>
  </x:si>
  <x:si>
    <x:t xml:space="preserve">1971031403086512</x:t>
  </x:si>
  <x:si>
    <x:t xml:space="preserve">JL.MUJAIR RT/RW 006/002</x:t>
  </x:si>
  <x:si>
    <x:t xml:space="preserve">PANGKALBALAM</x:t>
  </x:si>
  <x:si>
    <x:t xml:space="preserve">RTLH-0206</x:t>
  </x:si>
  <x:si>
    <x:t xml:space="preserve">DEDI SISWANTO</x:t>
  </x:si>
  <x:si>
    <x:t xml:space="preserve">1971030606750002</x:t>
  </x:si>
  <x:si>
    <x:t xml:space="preserve">'1971031403086727</x:t>
  </x:si>
  <x:si>
    <x:t xml:space="preserve">JL. NILA DALAM RT/RW 008/003</x:t>
  </x:si>
  <x:si>
    <x:t xml:space="preserve">RTLH-0207</x:t>
  </x:si>
  <x:si>
    <x:t xml:space="preserve">USMAN/ DIAN LARASATI</x:t>
  </x:si>
  <x:si>
    <x:t xml:space="preserve">1971051409880006</x:t>
  </x:si>
  <x:si>
    <x:t xml:space="preserve">1971050602240002</x:t>
  </x:si>
  <x:si>
    <x:t xml:space="preserve">JL. KAMPUNG MELAYU RT.007 RW.003</x:t>
  </x:si>
  <x:si>
    <x:t xml:space="preserve">RTLH-0208</x:t>
  </x:si>
  <x:si>
    <x:t xml:space="preserve">USMAN/ NOVA</x:t>
  </x:si>
  <x:si>
    <x:t xml:space="preserve">1971051005910001</x:t>
  </x:si>
  <x:si>
    <x:t xml:space="preserve">1971053107130002</x:t>
  </x:si>
  <x:si>
    <x:t xml:space="preserve">JL. GERUNGGANG DALAM</x:t>
  </x:si>
  <x:si>
    <x:t xml:space="preserve">selesai</x:t>
  </x:si>
  <x:si>
    <x:t xml:space="preserve">TEMPLATE RESMI DATABASE SIRUMAH — DATA UNIT RUSUNAWA</x:t>
  </x:si>
  <x:si>
    <x:t xml:space="preserve">Sumber Ringkasan Utama RUSUNAWA, status unit, tingkat hunian, unit siap huni, dan kondisi unit.</x:t>
  </x:si>
  <x:si>
    <x:t xml:space="preserve">ID_UNIT*</x:t>
  </x:si>
  <x:si>
    <x:t xml:space="preserve">NAMA_RUSUNAWA*</x:t>
  </x:si>
  <x:si>
    <x:t xml:space="preserve">BLOK*</x:t>
  </x:si>
  <x:si>
    <x:t xml:space="preserve">LANTAI*</x:t>
  </x:si>
  <x:si>
    <x:t xml:space="preserve">NOMOR_UNIT*</x:t>
  </x:si>
  <x:si>
    <x:t xml:space="preserve">TIPE_UNIT</x:t>
  </x:si>
  <x:si>
    <x:t xml:space="preserve">STATUS_UNIT*</x:t>
  </x:si>
  <x:si>
    <x:t xml:space="preserve">KONDISI_UNIT*</x:t>
  </x:si>
  <x:si>
    <x:t xml:space="preserve">UNIT-0001</x:t>
  </x:si>
  <x:si>
    <x:t xml:space="preserve">BLOK C</x:t>
  </x:si>
  <x:si>
    <x:t xml:space="preserve">I</x:t>
  </x:si>
  <x:si>
    <x:t xml:space="preserve">Terisi</x:t>
  </x:si>
  <x:si>
    <x:t xml:space="preserve">UNIT-0002</x:t>
  </x:si>
  <x:si>
    <x:t xml:space="preserve">UNIT-0003</x:t>
  </x:si>
  <x:si>
    <x:t xml:space="preserve">UNIT-0004</x:t>
  </x:si>
  <x:si>
    <x:t xml:space="preserve">UNIT-0005</x:t>
  </x:si>
  <x:si>
    <x:t xml:space="preserve">Kosong</x:t>
  </x:si>
  <x:si>
    <x:t xml:space="preserve">UNIT-0006</x:t>
  </x:si>
  <x:si>
    <x:t xml:space="preserve">UNIT-0007</x:t>
  </x:si>
  <x:si>
    <x:t xml:space="preserve">UNIT-0008</x:t>
  </x:si>
  <x:si>
    <x:t xml:space="preserve">8</x:t>
  </x:si>
  <x:si>
    <x:t xml:space="preserve">UNIT-0009</x:t>
  </x:si>
  <x:si>
    <x:t xml:space="preserve">9</x:t>
  </x:si>
  <x:si>
    <x:t xml:space="preserve">UNIT-0010</x:t>
  </x:si>
  <x:si>
    <x:t xml:space="preserve">10</x:t>
  </x:si>
  <x:si>
    <x:t xml:space="preserve">Tidak Dapat Digunakan</x:t>
  </x:si>
  <x:si>
    <x:t xml:space="preserve">UNIT-0011</x:t>
  </x:si>
  <x:si>
    <x:t xml:space="preserve">11</x:t>
  </x:si>
  <x:si>
    <x:t xml:space="preserve">UNIT-0012</x:t>
  </x:si>
  <x:si>
    <x:t xml:space="preserve">12</x:t>
  </x:si>
  <x:si>
    <x:t xml:space="preserve">UNIT-0013</x:t>
  </x:si>
  <x:si>
    <x:t xml:space="preserve">13</x:t>
  </x:si>
  <x:si>
    <x:t xml:space="preserve">UNIT-0014</x:t>
  </x:si>
  <x:si>
    <x:t xml:space="preserve">14</x:t>
  </x:si>
  <x:si>
    <x:t xml:space="preserve">UNIT-0015</x:t>
  </x:si>
  <x:si>
    <x:t xml:space="preserve">15</x:t>
  </x:si>
  <x:si>
    <x:t xml:space="preserve">UNIT-0016</x:t>
  </x:si>
  <x:si>
    <x:t xml:space="preserve">16</x:t>
  </x:si>
  <x:si>
    <x:t xml:space="preserve">UNIT-0017</x:t>
  </x:si>
  <x:si>
    <x:t xml:space="preserve">17</x:t>
  </x:si>
  <x:si>
    <x:t xml:space="preserve">UNIT-0018</x:t>
  </x:si>
  <x:si>
    <x:t xml:space="preserve">18</x:t>
  </x:si>
  <x:si>
    <x:t xml:space="preserve">UNIT-0019</x:t>
  </x:si>
  <x:si>
    <x:t xml:space="preserve">19</x:t>
  </x:si>
  <x:si>
    <x:t xml:space="preserve">UNIT-0020</x:t>
  </x:si>
  <x:si>
    <x:t xml:space="preserve">20</x:t>
  </x:si>
  <x:si>
    <x:t xml:space="preserve">UNIT-0021</x:t>
  </x:si>
  <x:si>
    <x:t xml:space="preserve">21</x:t>
  </x:si>
  <x:si>
    <x:t xml:space="preserve">UNIT-0022</x:t>
  </x:si>
  <x:si>
    <x:t xml:space="preserve">22</x:t>
  </x:si>
  <x:si>
    <x:t xml:space="preserve">UNIT-0023</x:t>
  </x:si>
  <x:si>
    <x:t xml:space="preserve">23</x:t>
  </x:si>
  <x:si>
    <x:t xml:space="preserve">UNIT-0024</x:t>
  </x:si>
  <x:si>
    <x:t xml:space="preserve">24</x:t>
  </x:si>
  <x:si>
    <x:t xml:space="preserve">UNIT-0025</x:t>
  </x:si>
  <x:si>
    <x:t xml:space="preserve">II</x:t>
  </x:si>
  <x:si>
    <x:t xml:space="preserve">UNIT-0026</x:t>
  </x:si>
  <x:si>
    <x:t xml:space="preserve">UNIT-0027</x:t>
  </x:si>
  <x:si>
    <x:t xml:space="preserve">UNIT-0028</x:t>
  </x:si>
  <x:si>
    <x:t xml:space="preserve">UNIT-0029</x:t>
  </x:si>
  <x:si>
    <x:t xml:space="preserve">UNIT-0030</x:t>
  </x:si>
  <x:si>
    <x:t xml:space="preserve">UNIT-0031</x:t>
  </x:si>
  <x:si>
    <x:t xml:space="preserve">UNIT-0032</x:t>
  </x:si>
  <x:si>
    <x:t xml:space="preserve">UNIT-0033</x:t>
  </x:si>
  <x:si>
    <x:t xml:space="preserve">UNIT-0034</x:t>
  </x:si>
  <x:si>
    <x:t xml:space="preserve">UNIT-0035</x:t>
  </x:si>
  <x:si>
    <x:t xml:space="preserve">UNIT-0036</x:t>
  </x:si>
  <x:si>
    <x:t xml:space="preserve">UNIT-0037</x:t>
  </x:si>
  <x:si>
    <x:t xml:space="preserve">UNIT-0038</x:t>
  </x:si>
  <x:si>
    <x:t xml:space="preserve">UNIT-0039</x:t>
  </x:si>
  <x:si>
    <x:t xml:space="preserve">UNIT-0040</x:t>
  </x:si>
  <x:si>
    <x:t xml:space="preserve">UNIT-0041</x:t>
  </x:si>
  <x:si>
    <x:t xml:space="preserve">UNIT-0042</x:t>
  </x:si>
  <x:si>
    <x:t xml:space="preserve">UNIT-0043</x:t>
  </x:si>
  <x:si>
    <x:t xml:space="preserve">UNIT-0044</x:t>
  </x:si>
  <x:si>
    <x:t xml:space="preserve">UNIT-0045</x:t>
  </x:si>
  <x:si>
    <x:t xml:space="preserve">UNIT-0046</x:t>
  </x:si>
  <x:si>
    <x:t xml:space="preserve">UNIT-0047</x:t>
  </x:si>
  <x:si>
    <x:t xml:space="preserve">UNIT-0048</x:t>
  </x:si>
  <x:si>
    <x:t xml:space="preserve">UNIT-0049</x:t>
  </x:si>
  <x:si>
    <x:t xml:space="preserve">III</x:t>
  </x:si>
  <x:si>
    <x:t xml:space="preserve">UNIT-0050</x:t>
  </x:si>
  <x:si>
    <x:t xml:space="preserve">UNIT-0051</x:t>
  </x:si>
  <x:si>
    <x:t xml:space="preserve">UNIT-0052</x:t>
  </x:si>
  <x:si>
    <x:t xml:space="preserve">UNIT-0053</x:t>
  </x:si>
  <x:si>
    <x:t xml:space="preserve">UNIT-0054</x:t>
  </x:si>
  <x:si>
    <x:t xml:space="preserve">UNIT-0055</x:t>
  </x:si>
  <x:si>
    <x:t xml:space="preserve">UNIT-0056</x:t>
  </x:si>
  <x:si>
    <x:t xml:space="preserve">UNIT-0057</x:t>
  </x:si>
  <x:si>
    <x:t xml:space="preserve">UNIT-0058</x:t>
  </x:si>
  <x:si>
    <x:t xml:space="preserve">UNIT-0059</x:t>
  </x:si>
  <x:si>
    <x:t xml:space="preserve">UNIT-0060</x:t>
  </x:si>
  <x:si>
    <x:t xml:space="preserve">UNIT-0061</x:t>
  </x:si>
  <x:si>
    <x:t xml:space="preserve">UNIT-0062</x:t>
  </x:si>
  <x:si>
    <x:t xml:space="preserve">UNIT-0063</x:t>
  </x:si>
  <x:si>
    <x:t xml:space="preserve">UNIT-0064</x:t>
  </x:si>
  <x:si>
    <x:t xml:space="preserve">UNIT-0065</x:t>
  </x:si>
  <x:si>
    <x:t xml:space="preserve">UNIT-0066</x:t>
  </x:si>
  <x:si>
    <x:t xml:space="preserve">UNIT-0067</x:t>
  </x:si>
  <x:si>
    <x:t xml:space="preserve">UNIT-0068</x:t>
  </x:si>
  <x:si>
    <x:t xml:space="preserve">UNIT-0069</x:t>
  </x:si>
  <x:si>
    <x:t xml:space="preserve">UNIT-0070</x:t>
  </x:si>
  <x:si>
    <x:t xml:space="preserve">UNIT-0071</x:t>
  </x:si>
  <x:si>
    <x:t xml:space="preserve">UNIT-0072</x:t>
  </x:si>
  <x:si>
    <x:t xml:space="preserve">UNIT-0073</x:t>
  </x:si>
  <x:si>
    <x:t xml:space="preserve">IV</x:t>
  </x:si>
  <x:si>
    <x:t xml:space="preserve">UNIT-0074</x:t>
  </x:si>
  <x:si>
    <x:t xml:space="preserve">UNIT-0075</x:t>
  </x:si>
  <x:si>
    <x:t xml:space="preserve">UNIT-0076</x:t>
  </x:si>
  <x:si>
    <x:t xml:space="preserve">UNIT-0077</x:t>
  </x:si>
  <x:si>
    <x:t xml:space="preserve">UNIT-0078</x:t>
  </x:si>
  <x:si>
    <x:t xml:space="preserve">UNIT-0079</x:t>
  </x:si>
  <x:si>
    <x:t xml:space="preserve">UNIT-0080</x:t>
  </x:si>
  <x:si>
    <x:t xml:space="preserve">UNIT-0081</x:t>
  </x:si>
  <x:si>
    <x:t xml:space="preserve">UNIT-0082</x:t>
  </x:si>
  <x:si>
    <x:t xml:space="preserve">UNIT-0083</x:t>
  </x:si>
  <x:si>
    <x:t xml:space="preserve">UNIT-0084</x:t>
  </x:si>
  <x:si>
    <x:t xml:space="preserve">UNIT-0085</x:t>
  </x:si>
  <x:si>
    <x:t xml:space="preserve">UNIT-0086</x:t>
  </x:si>
  <x:si>
    <x:t xml:space="preserve">UNIT-0087</x:t>
  </x:si>
  <x:si>
    <x:t xml:space="preserve">UNIT-0088</x:t>
  </x:si>
  <x:si>
    <x:t xml:space="preserve">UNIT-0089</x:t>
  </x:si>
  <x:si>
    <x:t xml:space="preserve">UNIT-0090</x:t>
  </x:si>
  <x:si>
    <x:t xml:space="preserve">UNIT-0091</x:t>
  </x:si>
  <x:si>
    <x:t xml:space="preserve">UNIT-0092</x:t>
  </x:si>
  <x:si>
    <x:t xml:space="preserve">UNIT-0093</x:t>
  </x:si>
  <x:si>
    <x:t xml:space="preserve">UNIT-0094</x:t>
  </x:si>
  <x:si>
    <x:t xml:space="preserve">UNIT-0095</x:t>
  </x:si>
  <x:si>
    <x:t xml:space="preserve">UNIT-0096</x:t>
  </x:si>
  <x:si>
    <x:t xml:space="preserve">UNIT-0097</x:t>
  </x:si>
  <x:si>
    <x:t xml:space="preserve">BLOK D</x:t>
  </x:si>
  <x:si>
    <x:t xml:space="preserve">DASAR</x:t>
  </x:si>
  <x:si>
    <x:t xml:space="preserve">UNIT-0098</x:t>
  </x:si>
  <x:si>
    <x:t xml:space="preserve">UNIT-0099</x:t>
  </x:si>
  <x:si>
    <x:t xml:space="preserve">UNIT-0100</x:t>
  </x:si>
  <x:si>
    <x:t xml:space="preserve">UNIT-0101</x:t>
  </x:si>
  <x:si>
    <x:t xml:space="preserve">UNIT-0102</x:t>
  </x:si>
  <x:si>
    <x:t xml:space="preserve">UNIT-0103</x:t>
  </x:si>
  <x:si>
    <x:t xml:space="preserve">UNIT-0104</x:t>
  </x:si>
  <x:si>
    <x:t xml:space="preserve">UNIT-0105</x:t>
  </x:si>
  <x:si>
    <x:t xml:space="preserve">UNIT-0106</x:t>
  </x:si>
  <x:si>
    <x:t xml:space="preserve">UNIT-0107</x:t>
  </x:si>
  <x:si>
    <x:t xml:space="preserve">UNIT-0108</x:t>
  </x:si>
  <x:si>
    <x:t xml:space="preserve">UNIT-0109</x:t>
  </x:si>
  <x:si>
    <x:t xml:space="preserve">UNIT-0110</x:t>
  </x:si>
  <x:si>
    <x:t xml:space="preserve">UNIT-0111</x:t>
  </x:si>
  <x:si>
    <x:t xml:space="preserve">UNIT-0112</x:t>
  </x:si>
  <x:si>
    <x:t xml:space="preserve">UNIT-0113</x:t>
  </x:si>
  <x:si>
    <x:t xml:space="preserve">UNIT-0114</x:t>
  </x:si>
  <x:si>
    <x:t xml:space="preserve">UNIT-0115</x:t>
  </x:si>
  <x:si>
    <x:t xml:space="preserve">UNIT-0116</x:t>
  </x:si>
  <x:si>
    <x:t xml:space="preserve">UNIT-0117</x:t>
  </x:si>
  <x:si>
    <x:t xml:space="preserve">UNIT-0118</x:t>
  </x:si>
  <x:si>
    <x:t xml:space="preserve">UNIT-0119</x:t>
  </x:si>
  <x:si>
    <x:t xml:space="preserve">UNIT-0120</x:t>
  </x:si>
  <x:si>
    <x:t xml:space="preserve">UNIT-0121</x:t>
  </x:si>
  <x:si>
    <x:t xml:space="preserve">UNIT-0122</x:t>
  </x:si>
  <x:si>
    <x:t xml:space="preserve">UNIT-0123</x:t>
  </x:si>
  <x:si>
    <x:t xml:space="preserve">UNIT-0124</x:t>
  </x:si>
  <x:si>
    <x:t xml:space="preserve">UNIT-0125</x:t>
  </x:si>
  <x:si>
    <x:t xml:space="preserve">UNIT-0126</x:t>
  </x:si>
  <x:si>
    <x:t xml:space="preserve">UNIT-0127</x:t>
  </x:si>
  <x:si>
    <x:t xml:space="preserve">UNIT-0128</x:t>
  </x:si>
  <x:si>
    <x:t xml:space="preserve">UNIT-0129</x:t>
  </x:si>
  <x:si>
    <x:t xml:space="preserve">UNIT-0130</x:t>
  </x:si>
  <x:si>
    <x:t xml:space="preserve">UNIT-0131</x:t>
  </x:si>
  <x:si>
    <x:t xml:space="preserve">UNIT-0132</x:t>
  </x:si>
  <x:si>
    <x:t xml:space="preserve">UNIT-0133</x:t>
  </x:si>
  <x:si>
    <x:t xml:space="preserve">UNIT-0134</x:t>
  </x:si>
  <x:si>
    <x:t xml:space="preserve">UNIT-0135</x:t>
  </x:si>
  <x:si>
    <x:t xml:space="preserve">UNIT-0136</x:t>
  </x:si>
  <x:si>
    <x:t xml:space="preserve">UNIT-0137</x:t>
  </x:si>
  <x:si>
    <x:t xml:space="preserve">UNIT-0138</x:t>
  </x:si>
  <x:si>
    <x:t xml:space="preserve">UNIT-0139</x:t>
  </x:si>
  <x:si>
    <x:t xml:space="preserve">UNIT-0140</x:t>
  </x:si>
  <x:si>
    <x:t xml:space="preserve">UNIT-0141</x:t>
  </x:si>
  <x:si>
    <x:t xml:space="preserve">UNIT-0142</x:t>
  </x:si>
  <x:si>
    <x:t xml:space="preserve">UNIT-0143</x:t>
  </x:si>
  <x:si>
    <x:t xml:space="preserve">UNIT-0144</x:t>
  </x:si>
  <x:si>
    <x:t xml:space="preserve">UNIT-0145</x:t>
  </x:si>
  <x:si>
    <x:t xml:space="preserve">UNIT-0146</x:t>
  </x:si>
  <x:si>
    <x:t xml:space="preserve">UNIT-0147</x:t>
  </x:si>
  <x:si>
    <x:t xml:space="preserve">UNIT-0148</x:t>
  </x:si>
  <x:si>
    <x:t xml:space="preserve">UNIT-0149</x:t>
  </x:si>
  <x:si>
    <x:t xml:space="preserve">UNIT-0150</x:t>
  </x:si>
  <x:si>
    <x:t xml:space="preserve">UNIT-0151</x:t>
  </x:si>
  <x:si>
    <x:t xml:space="preserve">UNIT-0152</x:t>
  </x:si>
  <x:si>
    <x:t xml:space="preserve">UNIT-0153</x:t>
  </x:si>
  <x:si>
    <x:t xml:space="preserve">UNIT-0154</x:t>
  </x:si>
  <x:si>
    <x:t xml:space="preserve">UNIT-0155</x:t>
  </x:si>
  <x:si>
    <x:t xml:space="preserve">UNIT-0156</x:t>
  </x:si>
  <x:si>
    <x:t xml:space="preserve">UNIT-0157</x:t>
  </x:si>
  <x:si>
    <x:t xml:space="preserve">UNIT-0158</x:t>
  </x:si>
  <x:si>
    <x:t xml:space="preserve">UNIT-0159</x:t>
  </x:si>
  <x:si>
    <x:t xml:space="preserve">UNIT-0160</x:t>
  </x:si>
  <x:si>
    <x:t xml:space="preserve">UNIT-0161</x:t>
  </x:si>
  <x:si>
    <x:t xml:space="preserve">UNIT-0162</x:t>
  </x:si>
  <x:si>
    <x:t xml:space="preserve">UNIT-0163</x:t>
  </x:si>
  <x:si>
    <x:t xml:space="preserve">UNIT-0164</x:t>
  </x:si>
  <x:si>
    <x:t xml:space="preserve">UNIT-0165</x:t>
  </x:si>
  <x:si>
    <x:t xml:space="preserve">UNIT-0166</x:t>
  </x:si>
  <x:si>
    <x:t xml:space="preserve">UNIT-0167</x:t>
  </x:si>
  <x:si>
    <x:t xml:space="preserve">UNIT-0168</x:t>
  </x:si>
  <x:si>
    <x:t xml:space="preserve">UNIT-0169</x:t>
  </x:si>
  <x:si>
    <x:t xml:space="preserve">UNIT-0170</x:t>
  </x:si>
  <x:si>
    <x:t xml:space="preserve">UNIT-0171</x:t>
  </x:si>
  <x:si>
    <x:t xml:space="preserve">UNIT-0172</x:t>
  </x:si>
  <x:si>
    <x:t xml:space="preserve">UNIT-0173</x:t>
  </x:si>
  <x:si>
    <x:t xml:space="preserve">UNIT-0174</x:t>
  </x:si>
  <x:si>
    <x:t xml:space="preserve">UNIT-0175</x:t>
  </x:si>
  <x:si>
    <x:t xml:space="preserve">UNIT-0176</x:t>
  </x:si>
  <x:si>
    <x:t xml:space="preserve">UNIT-0177</x:t>
  </x:si>
  <x:si>
    <x:t xml:space="preserve">UNIT-0178</x:t>
  </x:si>
  <x:si>
    <x:t xml:space="preserve">UNIT-0179</x:t>
  </x:si>
  <x:si>
    <x:t xml:space="preserve">UNIT-0180</x:t>
  </x:si>
  <x:si>
    <x:t xml:space="preserve">UNIT-0181</x:t>
  </x:si>
  <x:si>
    <x:t xml:space="preserve">UNIT-0182</x:t>
  </x:si>
  <x:si>
    <x:t xml:space="preserve">UNIT-0183</x:t>
  </x:si>
  <x:si>
    <x:t xml:space="preserve">UNIT-0184</x:t>
  </x:si>
  <x:si>
    <x:t xml:space="preserve">UNIT-0185</x:t>
  </x:si>
  <x:si>
    <x:t xml:space="preserve">UNIT-0186</x:t>
  </x:si>
  <x:si>
    <x:t xml:space="preserve">UNIT-0187</x:t>
  </x:si>
  <x:si>
    <x:t xml:space="preserve">UNIT-0188</x:t>
  </x:si>
  <x:si>
    <x:t xml:space="preserve">UNIT-0189</x:t>
  </x:si>
  <x:si>
    <x:t xml:space="preserve">UNIT-0190</x:t>
  </x:si>
  <x:si>
    <x:t xml:space="preserve">UNIT-0191</x:t>
  </x:si>
  <x:si>
    <x:t xml:space="preserve">UNIT-0192</x:t>
  </x:si>
  <x:si>
    <x:t xml:space="preserve">UNIT-0193</x:t>
  </x:si>
  <x:si>
    <x:t xml:space="preserve">UNIT-0194</x:t>
  </x:si>
  <x:si>
    <x:t xml:space="preserve">UNIT-0195</x:t>
  </x:si>
  <x:si>
    <x:t xml:space="preserve">TEMPLATE RESMI DATABASE SIRUMAH — RETRIBUSI SEWA RUSUNAWA BULANAN DENGAN TARGET TAHUNAN</x:t>
  </x:si>
  <x:si>
    <x:t xml:space="preserve">Satu baris mewakili realisasi satu bulan. TARGET_TAHUNAN adalah target satu tahun anggaran, bukan target bulanan, dan harus bernilai sama pada seluruh baris bulan untuk RUSUNAWA dan tahun yang sama.</x:t>
  </x:si>
  <x:si>
    <x:t xml:space="preserve">PETUNJUK: Jangan mengubah nama header. Kolom bertanda * wajib diisi. Dashboard hanya menampilkan data tahun berjalan. REALISASI diisi per bulan; REALISASI_KUMULATIF dan CAPAIAN_PERSEN dihitung otomatis oleh Excel.</x:t>
  </x:si>
  <x:si>
    <x:t xml:space="preserve">ID_RETRIBUSI*</x:t>
  </x:si>
  <x:si>
    <x:t xml:space="preserve">TAHUN*</x:t>
  </x:si>
  <x:si>
    <x:t xml:space="preserve">BULAN*</x:t>
  </x:si>
  <x:si>
    <x:t xml:space="preserve">TARGET_TAHUNAN*</x:t>
  </x:si>
  <x:si>
    <x:t xml:space="preserve">REALISASI*</x:t>
  </x:si>
  <x:si>
    <x:t xml:space="preserve">REALISASI_KUMULATIF</x:t>
  </x:si>
  <x:si>
    <x:t xml:space="preserve">CAPAIAN_PERSEN</x:t>
  </x:si>
  <x:si>
    <x:t xml:space="preserve">RET-2026-001</x:t>
  </x:si>
  <x:si>
    <x:t xml:space="preserve">Januari</x:t>
  </x:si>
  <x:si>
    <x:t xml:space="preserve">RET-2026-002</x:t>
  </x:si>
  <x:si>
    <x:t xml:space="preserve">Februari</x:t>
  </x:si>
  <x:si>
    <x:t xml:space="preserve">RET-2026-003</x:t>
  </x:si>
  <x:si>
    <x:t xml:space="preserve">Maret</x:t>
  </x:si>
  <x:si>
    <x:t xml:space="preserve">RET-2026-004</x:t>
  </x:si>
  <x:si>
    <x:t xml:space="preserve">April</x:t>
  </x:si>
  <x:si>
    <x:t xml:space="preserve">RET-2026-005</x:t>
  </x:si>
  <x:si>
    <x:t xml:space="preserve">Mei</x:t>
  </x:si>
  <x:si>
    <x:t xml:space="preserve">RET-2026-006</x:t>
  </x:si>
  <x:si>
    <x:t xml:space="preserve">Juni</x:t>
  </x:si>
  <x:si>
    <x:t xml:space="preserve">TEMPLATE RESMI DATABASE SIRUMAH — SARANA PRASARANA RUSUNAWA</x:t>
  </x:si>
  <x:si>
    <x:t xml:space="preserve">Gunakan untuk monitoring kondisi bangunan, utilitas, fasilitas bersama, prioritas, dan tindak lanjut.</x:t>
  </x:si>
  <x:si>
    <x:t xml:space="preserve">ID_SARPRAS*</x:t>
  </x:si>
  <x:si>
    <x:t xml:space="preserve">KOMPONEN*</x:t>
  </x:si>
  <x:si>
    <x:t xml:space="preserve">LOKASI</x:t>
  </x:si>
  <x:si>
    <x:t xml:space="preserve">KONDISI*</x:t>
  </x:si>
  <x:si>
    <x:t xml:space="preserve">PRIORITAS*</x:t>
  </x:si>
  <x:si>
    <x:t xml:space="preserve">TINDAK_LANJUT*</x:t>
  </x:si>
  <x:si>
    <x:t xml:space="preserve">STATUS_TINDAK_LANJUT*</x:t>
  </x:si>
  <x:si>
    <x:t xml:space="preserve">TANGGAL_PEMERIKSAAN*</x:t>
  </x:si>
  <x:si>
    <x:t xml:space="preserve">SARPRAS-001</x:t>
  </x:si>
  <x:si>
    <x:t xml:space="preserve">Atap dan talang</x:t>
  </x:si>
  <x:si>
    <x:t xml:space="preserve">Gangguan Ringan</x:t>
  </x:si>
  <x:si>
    <x:t xml:space="preserve">Rendah</x:t>
  </x:si>
  <x:si>
    <x:t xml:space="preserve">SARPRAS-002</x:t>
  </x:si>
  <x:si>
    <x:t xml:space="preserve">Air bersih</x:t>
  </x:si>
  <x:si>
    <x:t xml:space="preserve">SARPRAS-003</x:t>
  </x:si>
  <x:si>
    <x:t xml:space="preserve">Listrik koridor</x:t>
  </x:si>
  <x:si>
    <x:t xml:space="preserve">Sedang</x:t>
  </x:si>
  <x:si>
    <x:t xml:space="preserve">SARPRAS-004</x:t>
  </x:si>
  <x:si>
    <x:t xml:space="preserve">Drainase lingkungan</x:t>
  </x:si>
  <x:si>
    <x:t xml:space="preserve">SARPRAS-005</x:t>
  </x:si>
  <x:si>
    <x:t xml:space="preserve">IPAL / septic tank</x:t>
  </x:si>
  <x:si>
    <x:t xml:space="preserve">SARPRAS-006</x:t>
  </x:si>
  <x:si>
    <x:t xml:space="preserve">Tangga dan railing</x:t>
  </x:si>
  <x:si>
    <x:t xml:space="preserve">SARPRAS-007</x:t>
  </x:si>
  <x:si>
    <x:t xml:space="preserve">Area parkir</x:t>
  </x:si>
  <x:si>
    <x:t xml:space="preserve">Satu baris mewakili penanganan RTLH pada satu tahun dan satu status kawasan. Satuan seluruh kolom pendanaan dan TOTAL adalah unit rumah.</x:t>
  </x:si>
  <x:si>
    <x:t xml:space="preserve">PETUNJUK: Jangan mengubah nama header. Kolom bertanda * wajib diisi. TOTAL dihitung otomatis dari APBD Kota, APBD Provinsi, DAK, BSPS, dan CSR. Gunakan STATUS_DATA = Proses untuk kegiatan yang belum selesai.</x:t>
  </x:si>
  <x:si>
    <x:t xml:space="preserve">ID_KOLABORASI*</x:t>
  </x:si>
  <x:si>
    <x:t xml:space="preserve">STATUS_DATA*</x:t>
  </x:si>
  <x:si>
    <x:t xml:space="preserve">STATUS_KAWASAN*</x:t>
  </x:si>
  <x:si>
    <x:t xml:space="preserve">APBD_KOTA*</x:t>
  </x:si>
  <x:si>
    <x:t xml:space="preserve">APBD_PROVINSI*</x:t>
  </x:si>
  <x:si>
    <x:t xml:space="preserve">DAK*</x:t>
  </x:si>
  <x:si>
    <x:t xml:space="preserve">BSPS*</x:t>
  </x:si>
  <x:si>
    <x:t xml:space="preserve">CSR*</x:t>
  </x:si>
  <x:si>
    <x:t xml:space="preserve">TOTAL</x:t>
  </x:si>
  <x:si>
    <x:t xml:space="preserve">KOL-2018-01</x:t>
  </x:si>
  <x:si>
    <x:t xml:space="preserve">Realisasi</x:t>
  </x:si>
  <x:si>
    <x:t xml:space="preserve">Kumuh</x:t>
  </x:si>
  <x:si>
    <x:t xml:space="preserve">KOL-2018-02</x:t>
  </x:si>
  <x:si>
    <x:t xml:space="preserve">Luar Kumuh</x:t>
  </x:si>
  <x:si>
    <x:t xml:space="preserve">KOL-2019-01</x:t>
  </x:si>
  <x:si>
    <x:t xml:space="preserve">KOL-2019-02</x:t>
  </x:si>
  <x:si>
    <x:t xml:space="preserve">KOL-2020-01</x:t>
  </x:si>
  <x:si>
    <x:t xml:space="preserve">KOL-2020-02</x:t>
  </x:si>
  <x:si>
    <x:t xml:space="preserve">KOL-2021-01</x:t>
  </x:si>
  <x:si>
    <x:t xml:space="preserve">KOL-2021-02</x:t>
  </x:si>
  <x:si>
    <x:t xml:space="preserve">KOL-2022-01</x:t>
  </x:si>
  <x:si>
    <x:t xml:space="preserve">KOL-2022-02</x:t>
  </x:si>
  <x:si>
    <x:t xml:space="preserve">KOL-2023-01</x:t>
  </x:si>
  <x:si>
    <x:t xml:space="preserve">KOL-2023-02</x:t>
  </x:si>
  <x:si>
    <x:t xml:space="preserve">KOL-2024-01</x:t>
  </x:si>
  <x:si>
    <x:t xml:space="preserve">KOL-2024-02</x:t>
  </x:si>
  <x:si>
    <x:t xml:space="preserve">KOL-2025-01</x:t>
  </x:si>
  <x:si>
    <x:t xml:space="preserve">KOL-2025-02</x:t>
  </x:si>
  <x:si>
    <x:t xml:space="preserve">KOL-2026-01</x:t>
  </x:si>
  <x:si>
    <x:t xml:space="preserve">Proses</x:t>
  </x:si>
  <x:si>
    <x:t xml:space="preserve">Data tahun 2026 masih dalam proses.</x:t>
  </x:si>
  <x:si>
    <x:t xml:space="preserve">KOL-2026-02</x:t>
  </x:si>
  <x:si>
    <x:t xml:space="preserve">TOTAL REALISASI DAN PROSES</x:t>
  </x:si>
  <x:si>
    <x:t xml:space="preserve">REALISASI SELESAI 2018–2025</x:t>
  </x:si>
  <x:si>
    <x:t xml:space="preserve">PROSES TAHUN 2026</x:t>
  </x:si>
  <x:si>
    <x:t xml:space="preserve">Data tahun 2026 belum diperlakukan sebagai realisasi selesai.</x:t>
  </x:si>
  <x:si>
    <x:t xml:space="preserve">Satu baris mewakili satu tahun penetapan, evaluasi, atau pemutakhiran luas kawasan kumuh. Satuan luas adalah hektare (Ha).</x:t>
  </x:si>
  <x:si>
    <x:t xml:space="preserve">PETUNJUK: Jangan mengubah nama header. Kolom bertanda * wajib diisi. Nilai PERUBAHAN negatif menunjukkan penurunan luas; nilai positif menunjukkan peningkatan. Baris tanpa ID tidak dibaca dashboard.</x:t>
  </x:si>
  <x:si>
    <x:t xml:space="preserve">ID_REKAP_KUMUH*</x:t>
  </x:si>
  <x:si>
    <x:t xml:space="preserve">JENIS_TAHUN*</x:t>
  </x:si>
  <x:si>
    <x:t xml:space="preserve">DASAR_HUKUM*</x:t>
  </x:si>
  <x:si>
    <x:t xml:space="preserve">NOMOR_SK</x:t>
  </x:si>
  <x:si>
    <x:t xml:space="preserve">JUMLAH_KELURAHAN*</x:t>
  </x:si>
  <x:si>
    <x:t xml:space="preserve">LUAS_KUMUH_HA*</x:t>
  </x:si>
  <x:si>
    <x:t xml:space="preserve">PERUBAHAN_LUAS_HA</x:t>
  </x:si>
  <x:si>
    <x:t xml:space="preserve">PERSENTASE_PERUBAHAN</x:t>
  </x:si>
  <x:si>
    <x:t xml:space="preserve">PENGURANGAN_DARI_BASELINE_HA</x:t>
  </x:si>
  <x:si>
    <x:t xml:space="preserve">PERSENTASE_PENGURANGAN_DARI_BASELINE</x:t>
  </x:si>
  <x:si>
    <x:t xml:space="preserve">DAFTAR_KELURAHAN</x:t>
  </x:si>
  <x:si>
    <x:t xml:space="preserve">FASE_PERKEMBANGAN*</x:t>
  </x:si>
  <x:si>
    <x:t xml:space="preserve">KUMUH-REKAP-2014</x:t>
  </x:si>
  <x:si>
    <x:t xml:space="preserve">Baseline/SK</x:t>
  </x:si>
  <x:si>
    <x:t xml:space="preserve">Peraturan Menteri Pekerjaan Umum Nomor 02/PRT/M/2016</x:t>
  </x:si>
  <x:si>
    <x:t xml:space="preserve">Pasir Putih; Semabung Lama; Batu Intan; Pasar Padi; Semabung Baru; Ketapang; Lontong Pancur; Bintang; Parit Lalang; Batin Tikal; Gedung Nasional; Kejaksaan; Opas Indah; Rawa Bangun</x:t>
  </x:si>
  <x:si>
    <x:t xml:space="preserve">Fase 1 — Penurunan awal</x:t>
  </x:si>
  <x:si>
    <x:t xml:space="preserve">Historis</x:t>
  </x:si>
  <x:si>
    <x:t xml:space="preserve">Titik awal pencatatan terdiri atas 14 kelurahan. Tahun data 2014 berada sebelum regulasi 2016 dan dicatat sebagai baseline pada kelompok metode tersebut.</x:t>
  </x:si>
  <x:si>
    <x:t xml:space="preserve">Perlu Konfirmasi Dokumen</x:t>
  </x:si>
  <x:si>
    <x:t xml:space="preserve">KUMUH-REKAP-2018</x:t>
  </x:si>
  <x:si>
    <x:t xml:space="preserve">Evaluasi</x:t>
  </x:si>
  <x:si>
    <x:t xml:space="preserve">Sama dengan 14 kelurahan pada baseline 2014</x:t>
  </x:si>
  <x:si>
    <x:t xml:space="preserve">Luas menurun setelah intervensi awal, sedangkan jumlah kelurahan tetap sama.</x:t>
  </x:si>
  <x:si>
    <x:t xml:space="preserve">KUMUH-REKAP-2019</x:t>
  </x:si>
  <x:si>
    <x:t xml:space="preserve">Berita Acara</x:t>
  </x:si>
  <x:si>
    <x:t xml:space="preserve">Parit Lalang</x:t>
  </x:si>
  <x:si>
    <x:t xml:space="preserve">Sesuai berita acara akhir tahun 2018, kawasan kumuh tersisa 21,90 Ha di Kelurahan Parit Lalang.</x:t>
  </x:si>
  <x:si>
    <x:t xml:space="preserve">KUMUH-REKAP-2020</x:t>
  </x:si>
  <x:si>
    <x:t xml:space="preserve">Penetapan/Pemutakhiran</x:t>
  </x:si>
  <x:si>
    <x:t xml:space="preserve">Permen PUPR Nomor 14/PRT/M/2018</x:t>
  </x:si>
  <x:si>
    <x:t xml:space="preserve">Kelurahan Asam; Keramat; Rejosari; Temberan; serta 4 kelurahan lama</x:t>
  </x:si>
  <x:si>
    <x:t xml:space="preserve">Fase 2 — Perubahan metode</x:t>
  </x:si>
  <x:si>
    <x:t xml:space="preserve">Luas meningkat karena perubahan metode penilaian dan masuknya empat kelurahan baru yang belum tercakup pada SK sebelumnya.</x:t>
  </x:si>
  <x:si>
    <x:t xml:space="preserve">KUMUH-REKAP-2021</x:t>
  </x:si>
  <x:si>
    <x:t xml:space="preserve">Termasuk Pintu Air dan 1 kelurahan baru lainnya; dua kelurahan keluar setelah intervensi 2020</x:t>
  </x:si>
  <x:si>
    <x:t xml:space="preserve">Jumlah kelurahan tetap delapan. Penambahan luasan pada dua kelurahan baru menyebabkan luas sedikit meningkat.</x:t>
  </x:si>
  <x:si>
    <x:t xml:space="preserve">KUMUH-REKAP-2022</x:t>
  </x:si>
  <x:si>
    <x:t xml:space="preserve">Termasuk Kelurahan Selindung sebagai satu lokasi baru</x:t>
  </x:si>
  <x:si>
    <x:t xml:space="preserve">Fase 3 — Penurunan konsisten</x:t>
  </x:si>
  <x:si>
    <x:t xml:space="preserve">Intervensi tahun 2021 menurunkan luas secara signifikan. Angka mengikuti tabel sumber 85,30 Ha; narasi 83,20 Ha perlu diselaraskan.</x:t>
  </x:si>
  <x:si>
    <x:t xml:space="preserve">KUMUH-REKAP-2023</x:t>
  </x:si>
  <x:si>
    <x:t xml:space="preserve">Dua kelurahan tersisa</x:t>
  </x:si>
  <x:si>
    <x:t xml:space="preserve">Penurunan berlanjut dan menyisakan dua kelurahan.</x:t>
  </x:si>
  <x:si>
    <x:t xml:space="preserve">KUMUH-REKAP-2024</x:t>
  </x:si>
  <x:si>
    <x:t xml:space="preserve">Verifikasi/Pemutakhiran</x:t>
  </x:si>
  <x:si>
    <x:t xml:space="preserve">Parit Lalang; Kejaksaan</x:t>
  </x:si>
  <x:si>
    <x:t xml:space="preserve">Terkini</x:t>
  </x:si>
  <x:si>
    <x:t xml:space="preserve">Hasil verifikasi BPBPK Bangka Belitung: Parit Lalang 8,80 Ha pada 1 RT dan Kejaksaan 15,28 Ha pada 6 RT.</x:t>
  </x:si>
  <x:si>
    <x:t xml:space="preserve">RINGKASAN KONDISI TERKINI</x:t>
  </x:si>
  <x:si>
    <x:t xml:space="preserve">Nilai</x:t>
  </x:si>
  <x:si>
    <x:t xml:space="preserve">Baseline 2014 (Ha)</x:t>
  </x:si>
  <x:si>
    <x:t xml:space="preserve">Luas terkini 2024 (Ha)</x:t>
  </x:si>
  <x:si>
    <x:t xml:space="preserve">Pengurangan dari baseline (Ha)</x:t>
  </x:si>
  <x:si>
    <x:t xml:space="preserve">Persentase pengurangan</x:t>
  </x:si>
  <x:si>
    <x:t xml:space="preserve">Satu baris mewakili satu lokasi/delineasi kawasan kumuh. Isi LATITUDE dan LONGITUDE untuk titik pusat, atau GEOJSON untuk menampilkan batas polygon pada peta.</x:t>
  </x:si>
  <x:si>
    <x:t xml:space="preserve">PETUNJUK: Jangan mengubah nama header. Koordinat dan GeoJSON belum diisi karena tidak tersedia pada data sumber yang dilampirkan. Dashboard tidak akan mengarang posisi lokasi.</x:t>
  </x:si>
  <x:si>
    <x:t xml:space="preserve">ID_LOKASI_KUMUH*</x:t>
  </x:si>
  <x:si>
    <x:t xml:space="preserve">NAMA_LOKASI*</x:t>
  </x:si>
  <x:si>
    <x:t xml:space="preserve">JUMLAH_RT*</x:t>
  </x:si>
  <x:si>
    <x:t xml:space="preserve">TAHUN_PENETAPAN*</x:t>
  </x:si>
  <x:si>
    <x:t xml:space="preserve">KUMUH-LOC-2014-01</x:t>
  </x:si>
  <x:si>
    <x:t xml:space="preserve">Delineasi Kawasan Kumuh Pasir Putih</x:t>
  </x:si>
  <x:si>
    <x:t xml:space="preserve">Pasir Putih</x:t>
  </x:si>
  <x:si>
    <x:t xml:space="preserve">Permen PUPR Nomor 02/PRT/M/2016</x:t>
  </x:si>
  <x:si>
    <x:t xml:space="preserve">388/KEP/BAPPEDA/XII/2014</x:t>
  </x:si>
  <x:si>
    <x:t xml:space="preserve">-2.12956</x:t>
  </x:si>
  <x:si>
    <x:t xml:space="preserve">106.12142</x:t>
  </x:si>
  <x:si>
    <x:t xml:space="preserve">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x:t>
  </x:si>
  <x:si>
    <x:t xml:space="preserve">Bapperida Kota Pangkal Pinang</x:t>
  </x:si>
  <x:si>
    <x:t xml:space="preserve">KUMUH-LOC-2014-02</x:t>
  </x:si>
  <x:si>
    <x:t xml:space="preserve">Delineasi Kawasan Kumuh Semabung Lama</x:t>
  </x:si>
  <x:si>
    <x:t xml:space="preserve">-2.13760</x:t>
  </x:si>
  <x:si>
    <x:t xml:space="preserve">106.12749</x:t>
  </x:si>
  <x:si>
    <x:t xml:space="preserve">KUMUH-LOC-2014-03</x:t>
  </x:si>
  <x:si>
    <x:t xml:space="preserve">Delineasi Kawasan Kumuh Batu Intan</x:t>
  </x:si>
  <x:si>
    <x:t xml:space="preserve">Batu Intan</x:t>
  </x:si>
  <x:si>
    <x:t xml:space="preserve">-2.13511</x:t>
  </x:si>
  <x:si>
    <x:t xml:space="preserve">106.11641</x:t>
  </x:si>
  <x:si>
    <x:t xml:space="preserve">KUMUH-LOC-2014-04</x:t>
  </x:si>
  <x:si>
    <x:t xml:space="preserve">Delineasi Kawasan Kumuh Pasar Padi</x:t>
  </x:si>
  <x:si>
    <x:t xml:space="preserve">Pasar Padi</x:t>
  </x:si>
  <x:si>
    <x:t xml:space="preserve">-2.12653</x:t>
  </x:si>
  <x:si>
    <x:t xml:space="preserve">106.11832</x:t>
  </x:si>
  <x:si>
    <x:t xml:space="preserve">KUMUH-LOC-2014-05</x:t>
  </x:si>
  <x:si>
    <x:t xml:space="preserve">Delineasi Kawasan Kumuh Semabung Baru</x:t>
  </x:si>
  <x:si>
    <x:t xml:space="preserve">Semabung Baru</x:t>
  </x:si>
  <x:si>
    <x:t xml:space="preserve">-2.13353</x:t>
  </x:si>
  <x:si>
    <x:t xml:space="preserve">106.12177</x:t>
  </x:si>
  <x:si>
    <x:t xml:space="preserve">KUMUH-LOC-2014-06</x:t>
  </x:si>
  <x:si>
    <x:t xml:space="preserve">Delineasi Kawasan Kumuh Ketapang</x:t>
  </x:si>
  <x:si>
    <x:t xml:space="preserve">-2.10357</x:t>
  </x:si>
  <x:si>
    <x:t xml:space="preserve">106.131171</x:t>
  </x:si>
  <x:si>
    <x:t xml:space="preserve">KUMUH-LOC-2014-07</x:t>
  </x:si>
  <x:si>
    <x:t xml:space="preserve">Delineasi Kawasan Kumuh Lontong Pancur</x:t>
  </x:si>
  <x:si>
    <x:t xml:space="preserve">-2.09231</x:t>
  </x:si>
  <x:si>
    <x:t xml:space="preserve">106.12019</x:t>
  </x:si>
  <x:si>
    <x:t xml:space="preserve">KUMUH-LOC-2014-08</x:t>
  </x:si>
  <x:si>
    <x:t xml:space="preserve">Delineasi Kawasan Kumuh Bintang</x:t>
  </x:si>
  <x:si>
    <x:t xml:space="preserve">Bintang</x:t>
  </x:si>
  <x:si>
    <x:t xml:space="preserve">-2.13671</x:t>
  </x:si>
  <x:si>
    <x:t xml:space="preserve">106.11008</x:t>
  </x:si>
  <x:si>
    <x:t xml:space="preserve">KUMUH-LOC-2014-09</x:t>
  </x:si>
  <x:si>
    <x:t xml:space="preserve">Delineasi Kawasan Kumuh Parit Lalang</x:t>
  </x:si>
  <x:si>
    <x:t xml:space="preserve">-2.14030</x:t>
  </x:si>
  <x:si>
    <x:t xml:space="preserve">106.11197\</x:t>
  </x:si>
  <x:si>
    <x:t xml:space="preserve">KUMUH-LOC-2014-10</x:t>
  </x:si>
  <x:si>
    <x:t xml:space="preserve">Delineasi Kawasan Kumuh Batin Tikal</x:t>
  </x:si>
  <x:si>
    <x:t xml:space="preserve">Batin Tikal</x:t>
  </x:si>
  <x:si>
    <x:t xml:space="preserve">-2.12338</x:t>
  </x:si>
  <x:si>
    <x:t xml:space="preserve">106.11147</x:t>
  </x:si>
  <x:si>
    <x:t xml:space="preserve">KUMUH-LOC-2014-11</x:t>
  </x:si>
  <x:si>
    <x:t xml:space="preserve">Delineasi Kawasan Kumuh Gedung Nasional</x:t>
  </x:si>
  <x:si>
    <x:t xml:space="preserve">Gedung Nasional</x:t>
  </x:si>
  <x:si>
    <x:t xml:space="preserve">-2.121099</x:t>
  </x:si>
  <x:si>
    <x:t xml:space="preserve">106.117040</x:t>
  </x:si>
  <x:si>
    <x:t xml:space="preserve">KUMUH-LOC-2014-12</x:t>
  </x:si>
  <x:si>
    <x:t xml:space="preserve">Delineasi Kawasan Kumuh Kejaksaan</x:t>
  </x:si>
  <x:si>
    <x:t xml:space="preserve">Kejaksaan</x:t>
  </x:si>
  <x:si>
    <x:t xml:space="preserve">-2.12804</x:t>
  </x:si>
  <x:si>
    <x:t xml:space="preserve">106.10393</x:t>
  </x:si>
  <x:si>
    <x:t xml:space="preserve">KUMUH-LOC-2014-13</x:t>
  </x:si>
  <x:si>
    <x:t xml:space="preserve">Delineasi Kawasan Kumuh Opas Indah</x:t>
  </x:si>
  <x:si>
    <x:t xml:space="preserve">Opas Indah</x:t>
  </x:si>
  <x:si>
    <x:t xml:space="preserve">-2.120490</x:t>
  </x:si>
  <x:si>
    <x:t xml:space="preserve">106.116940</x:t>
  </x:si>
  <x:si>
    <x:t xml:space="preserve">KUMUH-LOC-2014-14</x:t>
  </x:si>
  <x:si>
    <x:t xml:space="preserve">Delineasi Kawasan Kumuh Rawa Bangun</x:t>
  </x:si>
  <x:si>
    <x:t xml:space="preserve">Rawa Bangun</x:t>
  </x:si>
  <x:si>
    <x:t xml:space="preserve">106.11025</x:t>
  </x:si>
  <x:si>
    <x:t xml:space="preserve">KUMUH-LOC-2018-01</x:t>
  </x:si>
  <x:si>
    <x:t xml:space="preserve">282/KEP/BAPPEDA&amp;LITBANG/IV/2018</x:t>
  </x:si>
  <x:si>
    <x:t xml:space="preserve">Luasan kumuh berkurang setelah di intervensi menjadi 0 Ha (Tuntas) </x:t>
  </x:si>
  <x:si>
    <x:t xml:space="preserve">KUMUH-LOC-2018-02</x:t>
  </x:si>
  <x:si>
    <x:t xml:space="preserve">KUMUH-LOC-2018-03</x:t>
  </x:si>
  <x:si>
    <x:t xml:space="preserve">KUMUH-LOC-2018-04</x:t>
  </x:si>
  <x:si>
    <x:t xml:space="preserve">KUMUH-LOC-2018-05</x:t>
  </x:si>
  <x:si>
    <x:t xml:space="preserve">KUMUH-LOC-2018-06</x:t>
  </x:si>
  <x:si>
    <x:t xml:space="preserve">KUMUH-LOC-2018-07</x:t>
  </x:si>
  <x:si>
    <x:t xml:space="preserve">KUMUH-LOC-2018-08</x:t>
  </x:si>
  <x:si>
    <x:t xml:space="preserve">KUMUH-LOC-2018-09</x:t>
  </x:si>
  <x:si>
    <x:t xml:space="preserve">KUMUH-LOC-2018-10</x:t>
  </x:si>
  <x:si>
    <x:t xml:space="preserve">KUMUH-LOC-2018-11</x:t>
  </x:si>
  <x:si>
    <x:t xml:space="preserve">KUMUH-LOC-2018-12</x:t>
  </x:si>
  <x:si>
    <x:t xml:space="preserve">KUMUH-LOC-2018-13</x:t>
  </x:si>
  <x:si>
    <x:t xml:space="preserve">KUMUH-LOC-2018-14</x:t>
  </x:si>
  <x:si>
    <x:t xml:space="preserve">KUMUH-LOC-2020-01</x:t>
  </x:si>
  <x:si>
    <x:t xml:space="preserve">465/KEP/BAPPEDA&amp;LITBANG/IX/2020</x:t>
  </x:si>
  <x:si>
    <x:t xml:space="preserve">Melanjutkan intervensi sebelumnya untuk Skala Kawasan Opas Genas sehingga hanya 2 kelurahan ini yang berkurang luasan kumuhnya</x:t>
  </x:si>
  <x:si>
    <x:t xml:space="preserve">KUMUH-LOC-2020-02</x:t>
  </x:si>
  <x:si>
    <x:t xml:space="preserve">KUMUH-LOC-2020-03</x:t>
  </x:si>
  <x:si>
    <x:t xml:space="preserve">Deliniase Kawasan Kumuh Asam</x:t>
  </x:si>
  <x:si>
    <x:t xml:space="preserve">-2.143522</x:t>
  </x:si>
  <x:si>
    <x:t xml:space="preserve">106.102554</x:t>
  </x:si>
  <x:si>
    <x:t xml:space="preserve">Wilayah Kumuh baru yang belum di tangani pada tahun berjalan karena perubahan kebijakan yang menjadi dasar perhitungan nilai kumuh</x:t>
  </x:si>
  <x:si>
    <x:t xml:space="preserve">KUMUH-LOC-2020-04</x:t>
  </x:si>
  <x:si>
    <x:t xml:space="preserve">Delineasi Kawasan Kumuh Keramat</x:t>
  </x:si>
  <x:si>
    <x:t xml:space="preserve">Keramat</x:t>
  </x:si>
  <x:si>
    <x:t xml:space="preserve">-2138574</x:t>
  </x:si>
  <x:si>
    <x:t xml:space="preserve">106.090707</x:t>
  </x:si>
  <x:si>
    <x:t xml:space="preserve">KUMUH-LOC-2020-05</x:t>
  </x:si>
  <x:si>
    <x:t xml:space="preserve">Delineasi Kawasan Kumuh Rejosari</x:t>
  </x:si>
  <x:si>
    <x:t xml:space="preserve">Rejosari</x:t>
  </x:si>
  <x:si>
    <x:t xml:space="preserve">-2.109298</x:t>
  </x:si>
  <x:si>
    <x:t xml:space="preserve">106.119221</x:t>
  </x:si>
  <x:si>
    <x:t xml:space="preserve">KUMUH-LOC-2020-06</x:t>
  </x:si>
  <x:si>
    <x:t xml:space="preserve">Delineasi Kawasan Kumuh Temberan</x:t>
  </x:si>
  <x:si>
    <x:t xml:space="preserve">-2.140322</x:t>
  </x:si>
  <x:si>
    <x:t xml:space="preserve">106.159168</x:t>
  </x:si>
  <x:si>
    <x:t xml:space="preserve">KUMUH-LOC-2020-07</x:t>
  </x:si>
  <x:si>
    <x:t xml:space="preserve">-2.139584</x:t>
  </x:si>
  <x:si>
    <x:t xml:space="preserve">106.111468</x:t>
  </x:si>
  <x:si>
    <x:t xml:space="preserve">KUMUH-LOC-2020-08</x:t>
  </x:si>
  <x:si>
    <x:t xml:space="preserve">-2.136562</x:t>
  </x:si>
  <x:si>
    <x:t xml:space="preserve">106.112882</x:t>
  </x:si>
  <x:si>
    <x:t xml:space="preserve">KUMUH-LOC-2021-01</x:t>
  </x:si>
  <x:si>
    <x:t xml:space="preserve">Delineasi Kawasan Kumuh Asam</x:t>
  </x:si>
  <x:si>
    <x:t xml:space="preserve">426/KEP/BAPPEDA&amp;LITBANG/X/2021</x:t>
  </x:si>
  <x:si>
    <x:t xml:space="preserve">KUMUH-LOC-2021-02</x:t>
  </x:si>
  <x:si>
    <x:t xml:space="preserve">Luasan kumuh berkurang setelah di intervensi di 2 RT menyisakan 12,50 Ha Kumuh yang tertuang dalam BA Perhitungan dan Penetapan Penguranagn Luasan Kumuh Kota Pangkal Pinang, NO. 050/332/Bappeda-Litbang/XI/2021</x:t>
  </x:si>
  <x:si>
    <x:t xml:space="preserve">KUMUH-LOC-2021-03</x:t>
  </x:si>
  <x:si>
    <x:t xml:space="preserve">KUMUH-LOC-2021-04</x:t>
  </x:si>
  <x:si>
    <x:t xml:space="preserve">KUMUH-LOC-2021-05</x:t>
  </x:si>
  <x:si>
    <x:t xml:space="preserve">Luasan kumuh berkurang setelah di intervensi di 2 RT menyisakan 32,09 Ha Kumuh yang tertuang dalam BA Perhitungan dan Penetapan Penguranagn Luasan Kumuh Kota Pangkal Pinang, NO. 050/332/Bappeda-Litbang/XI/2021</x:t>
  </x:si>
  <x:si>
    <x:t xml:space="preserve">KUMUH-LOC-2021-06</x:t>
  </x:si>
  <x:si>
    <x:t xml:space="preserve">Dalam Penanganan</x:t>
  </x:si>
  <x:si>
    <x:t xml:space="preserve">Intervensi yang dilakukan pada wilayah ini tidak membuat luasan wilayah kumuh berkurang, hanya saja nilai kekumuhan berkurang</x:t>
  </x:si>
  <x:si>
    <x:t xml:space="preserve">KUMUH-LOC-2021-07</x:t>
  </x:si>
  <x:si>
    <x:t xml:space="preserve">-2.127368</x:t>
  </x:si>
  <x:si>
    <x:t xml:space="preserve">106.104078</x:t>
  </x:si>
  <x:si>
    <x:t xml:space="preserve">Wilayah Kumuh baru yang belum di tangani pada tahun berjalan</x:t>
  </x:si>
  <x:si>
    <x:t xml:space="preserve">KUMUH-LOC-2021-08</x:t>
  </x:si>
  <x:si>
    <x:t xml:space="preserve">Delineasi Kawasan Kumuh Pintu Air</x:t>
  </x:si>
  <x:si>
    <x:t xml:space="preserve">Pintu Air</x:t>
  </x:si>
  <x:si>
    <x:t xml:space="preserve">-2.131628</x:t>
  </x:si>
  <x:si>
    <x:t xml:space="preserve">106.103006</x:t>
  </x:si>
  <x:si>
    <x:t xml:space="preserve">KUMUH-LOC-2022-01</x:t>
  </x:si>
  <x:si>
    <x:t xml:space="preserve">237/KEP/PERKIM/VII/2022</x:t>
  </x:si>
  <x:si>
    <x:t xml:space="preserve">KUMUH-LOC-2022-02</x:t>
  </x:si>
  <x:si>
    <x:t xml:space="preserve">Luasan kumuh berkurang setelah di intervensi di 2 RT menyisakan 10,30 Ha Kumuh yang tertuang dalam BA Perhitungan dan Penetapan Penguranagn Luasan Kumuh Kota Pangkal Pinang, NO. 650.4/10/PERKIM/IX/2023</x:t>
  </x:si>
  <x:si>
    <x:t xml:space="preserve">KUMUH-LOC-2022-03</x:t>
  </x:si>
  <x:si>
    <x:t xml:space="preserve">KUMUH-LOC-2022-04</x:t>
  </x:si>
  <x:si>
    <x:t xml:space="preserve">KUMUH-LOC-2022-05</x:t>
  </x:si>
  <x:si>
    <x:t xml:space="preserve">KUMUH-LOC-2022-06</x:t>
  </x:si>
  <x:si>
    <x:t xml:space="preserve">Delineasi Kawasan Kumuh Selindung</x:t>
  </x:si>
  <x:si>
    <x:t xml:space="preserve">-2.082876</x:t>
  </x:si>
  <x:si>
    <x:t xml:space="preserve">106.124794</x:t>
  </x:si>
  <x:si>
    <x:t xml:space="preserve">KUMUH-LOC-2024-01</x:t>
  </x:si>
  <x:si>
    <x:t xml:space="preserve">Kawasan Kumuh Tersisa</x:t>
  </x:si>
  <x:si>
    <x:t xml:space="preserve">Pengurangan Luasan hasil verifikasi BPBPK Babel menjadi 8,80 Ha pada 1 RT yang semula 10,30 Ha</x:t>
  </x:si>
  <x:si>
    <x:t xml:space="preserve">KUMUH-LOC-2024-02</x:t>
  </x:si>
  <x:si>
    <x:t xml:space="preserve">Pengurangan Luasan hasil verifikasi BPBPK Babel menjadi 15,28 Ha pada 6 RT yang semula 18,13 Ha</x:t>
  </x:si>
  <x:si>
    <x:t xml:space="preserve">RINGKASAN LOKASI TERKINI</x:t>
  </x:si>
  <x:si>
    <x:t xml:space="preserve">Jumlah lokasi</x:t>
  </x:si>
  <x:si>
    <x:t xml:space="preserve">Jumlah RT</x:t>
  </x:si>
  <x:si>
    <x:t xml:space="preserve">Total luas (Ha)</x:t>
  </x:si>
  <x:si>
    <x:t xml:space="preserve">Lokasi dengan koordinat</x:t>
  </x:si>
  <x:si>
    <x:t xml:space="preserve">TEMPLATE RESMI DATABASE SIRUMAH — SNAPSHOT TAHUNAN INDIKATOR</x:t>
  </x:si>
  <x:si>
    <x:t xml:space="preserve">Satu baris mewakili satu snapshot resmi untuk satu tahun dan satu wilayah. Snapshot menyimpan kondisi indikator pada periode tersebut agar tidak berubah ketika database operasional diperbarui.</x:t>
  </x:si>
  <x:si>
    <x:t xml:space="preserve">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x:t>
  </x:si>
  <x:si>
    <x:t xml:space="preserve">ID_SNAPSHOT*</x:t>
  </x:si>
  <x:si>
    <x:t xml:space="preserve">TANGGAL_SNAPSHOT*</x:t>
  </x:si>
  <x:si>
    <x:t xml:space="preserve">WILAYAH*</x:t>
  </x:si>
  <x:si>
    <x:t xml:space="preserve">STATUS_SNAPSHOT*</x:t>
  </x:si>
  <x:si>
    <x:t xml:space="preserve">TOTAL_PERUMAHAN</x:t>
  </x:si>
  <x:si>
    <x:t xml:space="preserve">RENCANA_UNIT</x:t>
  </x:si>
  <x:si>
    <x:t xml:space="preserve">UNIT_TERBANGUN</x:t>
  </x:si>
  <x:si>
    <x:t xml:space="preserve">UNIT_TERHUNI</x:t>
  </x:si>
  <x:si>
    <x:t xml:space="preserve">PSU_SUDAH</x:t>
  </x:si>
  <x:si>
    <x:t xml:space="preserve">PSU_BELUM</x:t>
  </x:si>
  <x:si>
    <x:t xml:space="preserve">CAPAIAN_PSU_PERSEN</x:t>
  </x:si>
  <x:si>
    <x:t xml:space="preserve">BACKLOG_PENGHUNIAN</x:t>
  </x:si>
  <x:si>
    <x:t xml:space="preserve">JUMLAH_RUMAH_AGREGAT</x:t>
  </x:si>
  <x:si>
    <x:t xml:space="preserve">RTLH</x:t>
  </x:si>
  <x:si>
    <x:t xml:space="preserve">LUAS_KUMUH_HA</x:t>
  </x:si>
  <x:si>
    <x:t xml:space="preserve">RUSUNAWA_JUMLAH_UNIT</x:t>
  </x:si>
  <x:si>
    <x:t xml:space="preserve">RUSUNAWA_UNIT_TERISI</x:t>
  </x:si>
  <x:si>
    <x:t xml:space="preserve">RUSUNAWA_UNIT_KOSONG</x:t>
  </x:si>
  <x:si>
    <x:t xml:space="preserve">RUSUNAWA_UNIT_TIDAK_DAPAT_DIGUNAKAN</x:t>
  </x:si>
  <x:si>
    <x:t xml:space="preserve">RUSUNAWA_TINGKAT_HUNIAN_PERSEN</x:t>
  </x:si>
  <x:si>
    <x:t xml:space="preserve">RUSUNAWA_TARGET_RETRIBUSI</x:t>
  </x:si>
  <x:si>
    <x:t xml:space="preserve">RUSUNAWA_REALISASI_RETRIBUSI</x:t>
  </x:si>
  <x:si>
    <x:t xml:space="preserve">RUSUNAWA_CAPAIAN_RETRIBUSI_PERSEN</x:t>
  </x:si>
</x:sst>
</file>

<file path=xl/styles.xml><?xml version="1.0" encoding="utf-8"?>
<x:styleSheet xmlns:x="http://schemas.openxmlformats.org/spreadsheetml/2006/main">
  <x:numFmts count="5">
    <x:numFmt numFmtId="164" formatCode="dd/mm/yyyy"/>
    <x:numFmt numFmtId="165" formatCode="0.000000"/>
    <x:numFmt numFmtId="166" formatCode="[$Rp-421]\ #,##0"/>
    <x:numFmt numFmtId="167" formatCode="[$-421]dd\ mmmm\ yyyy;@"/>
    <x:numFmt numFmtId="168" formatCode="0.0"/>
  </x:numFmts>
  <x:fonts count="39">
    <x:font>
      <x:sz val="11"/>
      <x:name val="Carlito"/>
    </x:font>
    <x:font>
      <x:b/>
      <x:sz val="18"/>
      <x:color rgb="FFFFFFFF"/>
      <x:name val="Carlito"/>
    </x:font>
    <x:font>
      <x:i/>
      <x:sz val="10"/>
      <x:color rgb="FF0F3F50"/>
      <x:name val="Carlito"/>
    </x:font>
    <x:font>
      <x:b/>
      <x:sz val="9"/>
      <x:color rgb="FF0F3F50"/>
      <x:name val="Carlito"/>
    </x:font>
    <x:font>
      <x:b/>
      <x:sz val="10"/>
      <x:color rgb="FFD3C584"/>
      <x:name val="Carlito"/>
    </x:font>
    <x:font>
      <x:sz val="10"/>
      <x:color rgb="FF1F2937"/>
      <x:name val="Carlito"/>
    </x:font>
    <x:font>
      <x:b/>
      <x:sz val="11"/>
      <x:color rgb="FFD3C584"/>
      <x:name val="Carlito"/>
    </x:font>
    <x:font>
      <x:sz val="11"/>
      <x:color rgb="FF1F2937"/>
      <x:name val="Carlito"/>
    </x:font>
    <x:font>
      <x:sz val="10"/>
      <x:name val="Carlito"/>
    </x:font>
    <x:font>
      <x:b/>
      <x:sz val="16"/>
      <x:color rgb="FFFFFFFF"/>
      <x:name val="Carlito"/>
    </x:font>
    <x:font>
      <x:i/>
      <x:sz val="11"/>
      <x:color rgb="FF334155"/>
      <x:name val="Carlito"/>
    </x:font>
    <x:font>
      <x:b/>
      <x:sz val="10"/>
      <x:color rgb="FF334155"/>
      <x:name val="Carlito"/>
    </x:font>
    <x:font>
      <x:b/>
      <x:sz val="10"/>
      <x:color rgb="FFDCCF79"/>
      <x:name val="Carlito"/>
    </x:font>
    <x:font>
      <x:b/>
      <x:sz val="11"/>
      <x:color rgb="FFFFFFFF"/>
      <x:name val="Carlito"/>
    </x:font>
    <x:font>
      <x:i/>
      <x:sz val="11"/>
      <x:color rgb="FF0F3F50"/>
      <x:name val="Carlito"/>
    </x:font>
    <x:font>
      <x:b/>
      <x:sz val="11"/>
      <x:color rgb="FF0F3F50"/>
      <x:name val="Carlito"/>
    </x:font>
    <x:font>
      <x:b/>
      <x:sz val="11"/>
      <x:color rgb="FF334155"/>
      <x:name val="Carlito"/>
    </x:font>
    <x:font>
      <x:sz val="8"/>
      <x:name val="Carlito"/>
    </x:font>
    <x:font>
      <x:sz val="9"/>
      <x:color indexed="81"/>
      <x:name val="Tahoma"/>
    </x:font>
    <x:font>
      <x:b/>
      <x:sz val="9"/>
      <x:color indexed="81"/>
      <x:name val="Tahoma"/>
    </x:font>
    <x:font>
      <x:b/>
      <x:sz val="9"/>
      <x:color rgb="FF92400E"/>
      <x:name val="Carlito"/>
    </x:font>
    <x:font>
      <x:b/>
      <x:sz val="11"/>
      <x:color rgb="FF92400E"/>
      <x:name val="Carlito"/>
    </x:font>
    <x:font>
      <x:b/>
      <x:sz val="10"/>
      <x:color rgb="FFFFFFFF"/>
      <x:name val="Carlito"/>
    </x:font>
    <x:font>
      <x:b/>
      <x:sz val="10"/>
      <x:color rgb="FF0F172A"/>
      <x:name val="Carlito"/>
    </x:font>
    <x:font>
      <x:b/>
      <x:sz val="11"/>
      <x:color rgb="FF0F172A"/>
      <x:name val="Carlito"/>
    </x:font>
    <x:font>
      <x:i/>
      <x:sz val="11"/>
      <x:color rgb="FF9A3412"/>
      <x:name val="Carlito"/>
    </x:font>
    <x:font>
      <x:b/>
      <x:sz val="11"/>
      <x:color rgb="FF1E3A8A"/>
      <x:name val="Carlito"/>
    </x:font>
    <x:font>
      <x:sz val="10"/>
      <x:color rgb="FF334155"/>
      <x:name val="Carlito"/>
    </x:font>
    <x:font>
      <x:b/>
      <x:sz val="10"/>
      <x:color rgb="FFFDE68A"/>
      <x:name val="Carlito"/>
    </x:font>
    <x:font>
      <x:b/>
      <x:sz val="10"/>
      <x:color rgb="FF7C4A03"/>
      <x:name val="Carlito"/>
    </x:font>
    <x:font>
      <x:i/>
      <x:sz val="11"/>
      <x:color rgb="FF475569"/>
      <x:name val="Carlito"/>
    </x:font>
    <x:font>
      <x:sz val="9"/>
      <x:color rgb="FF334155"/>
      <x:name val="Carlito"/>
    </x:font>
    <x:font>
      <x:b/>
      <x:sz val="9"/>
      <x:color rgb="FFF2D36B"/>
      <x:name val="Carlito"/>
    </x:font>
    <x:font>
      <x:sz val="9"/>
      <x:color rgb="FF7C4A03"/>
      <x:name val="Carlito"/>
    </x:font>
    <x:font>
      <x:i/>
      <x:sz val="10"/>
      <x:color rgb="FF64748B"/>
      <x:name val="Carlito"/>
    </x:font>
    <x:font>
      <x:b/>
      <x:sz val="14"/>
      <x:color rgb="FFFFFFFF"/>
      <x:name val="Carlito"/>
    </x:font>
    <x:font>
      <x:sz val="9"/>
      <x:color rgb="FF1E293B"/>
      <x:name val="Carlito"/>
    </x:font>
    <x:font>
      <x:b/>
      <x:sz val="9"/>
      <x:color rgb="FFD3C584"/>
      <x:name val="Carlito"/>
    </x:font>
    <x:font>
      <x:sz val="11"/>
      <x:color theme="10"/>
      <x:name val="Carlito"/>
    </x:font>
  </x:fonts>
  <x:fills count="45">
    <x:fill>
      <x:patternFill patternType="none"/>
    </x:fill>
    <x:fill>
      <x:patternFill patternType="gray125"/>
    </x:fill>
    <x:fill>
      <x:patternFill patternType="solid">
        <x:fgColor rgb="FF175B72"/>
      </x:patternFill>
    </x:fill>
    <x:fill>
      <x:patternFill patternType="solid">
        <x:fgColor rgb="FFE8F4F4"/>
      </x:patternFill>
    </x:fill>
    <x:fill>
      <x:patternFill patternType="solid">
        <x:fgColor rgb="FFF6F1DA"/>
      </x:patternFill>
    </x:fill>
    <x:fill>
      <x:patternFill patternType="solid">
        <x:fgColor rgb="FF0F3F50"/>
      </x:patternFill>
    </x:fill>
    <x:fill>
      <x:patternFill patternType="solid">
        <x:fgColor rgb="FFFFFFFF"/>
      </x:patternFill>
    </x:fill>
    <x:fill>
      <x:patternFill patternType="solid">
        <x:fgColor rgb="FFFFF8DD"/>
      </x:patternFill>
    </x:fill>
    <x:fill>
      <x:patternFill patternType="solid">
        <x:fgColor rgb="FFEAF2F8"/>
      </x:patternFill>
    </x:fill>
    <x:fill>
      <x:patternFill patternType="solid">
        <x:fgColor rgb="FF0F3F50"/>
      </x:patternFill>
    </x:fill>
    <x:fill>
      <x:patternFill patternType="solid">
        <x:fgColor rgb="FFFFF9E6"/>
      </x:patternFill>
    </x:fill>
    <x:fill>
      <x:patternFill patternType="solid">
        <x:fgColor rgb="FFEAF2F8"/>
      </x:patternFill>
    </x:fill>
    <x:fill>
      <x:patternFill patternType="solid">
        <x:fgColor theme="0"/>
      </x:patternFill>
    </x:fill>
    <x:fill>
      <x:patternFill patternType="solid">
        <x:fgColor rgb="FFFFF8DD"/>
      </x:patternFill>
    </x:fill>
    <x:fill>
      <x:patternFill patternType="solid">
        <x:fgColor rgb="FFEAF2F8"/>
      </x:patternFill>
    </x:fill>
    <x:fill>
      <x:patternFill patternType="solid">
        <x:fgColor rgb="FF1C6A80"/>
      </x:patternFill>
    </x:fill>
    <x:fill>
      <x:patternFill patternType="solid">
        <x:fgColor rgb="FFE6F3F7"/>
      </x:patternFill>
    </x:fill>
    <x:fill>
      <x:patternFill patternType="solid">
        <x:fgColor rgb="FFFFF7D6"/>
      </x:patternFill>
    </x:fill>
    <x:fill>
      <x:patternFill patternType="solid">
        <x:fgColor rgb="FF0F5366"/>
      </x:patternFill>
    </x:fill>
    <x:fill>
      <x:patternFill patternType="solid">
        <x:fgColor rgb="FFFFFBEA"/>
      </x:patternFill>
    </x:fill>
    <x:fill>
      <x:patternFill patternType="solid">
        <x:fgColor rgb="FFDDF0FF"/>
      </x:patternFill>
    </x:fill>
    <x:fill>
      <x:patternFill patternType="solid">
        <x:fgColor rgb="FF175B72"/>
      </x:patternFill>
    </x:fill>
    <x:fill>
      <x:patternFill patternType="solid">
        <x:fgColor rgb="FFE8F4F4"/>
      </x:patternFill>
    </x:fill>
    <x:fill>
      <x:patternFill patternType="solid">
        <x:fgColor rgb="FFF6F1DA"/>
      </x:patternFill>
    </x:fill>
    <x:fill>
      <x:patternFill patternType="solid">
        <x:fgColor rgb="FF0F3F50"/>
      </x:patternFill>
    </x:fill>
    <x:fill>
      <x:patternFill patternType="solid">
        <x:fgColor rgb="FFFFFDF0"/>
      </x:patternFill>
    </x:fill>
    <x:fill>
      <x:patternFill patternType="solid">
        <x:fgColor rgb="FFF5F3FF"/>
      </x:patternFill>
    </x:fill>
    <x:fill>
      <x:patternFill patternType="solid">
        <x:fgColor rgb="FFFFF7ED"/>
      </x:patternFill>
    </x:fill>
    <x:fill>
      <x:patternFill patternType="solid">
        <x:fgColor rgb="FFE2E8F0"/>
      </x:patternFill>
    </x:fill>
    <x:fill>
      <x:patternFill patternType="solid">
        <x:fgColor rgb="FFE8F4F4"/>
      </x:patternFill>
    </x:fill>
    <x:fill>
      <x:patternFill patternType="solid">
        <x:fgColor rgb="FFFFFDF0"/>
      </x:patternFill>
    </x:fill>
    <x:fill>
      <x:patternFill patternType="solid">
        <x:fgColor rgb="FFF8FAFC"/>
      </x:patternFill>
    </x:fill>
    <x:fill>
      <x:patternFill patternType="solid">
        <x:fgColor rgb="FFEFF6FF"/>
      </x:patternFill>
    </x:fill>
    <x:fill>
      <x:patternFill patternType="solid">
        <x:fgColor rgb="FFDBEAFE"/>
      </x:patternFill>
    </x:fill>
    <x:fill>
      <x:patternFill patternType="solid">
        <x:fgColor rgb="FFFEF2F2"/>
      </x:patternFill>
    </x:fill>
    <x:fill>
      <x:patternFill patternType="solid">
        <x:fgColor rgb="FFF1F5F9"/>
      </x:patternFill>
    </x:fill>
    <x:fill>
      <x:patternFill patternType="solid">
        <x:fgColor rgb="FFFFFCED"/>
      </x:patternFill>
    </x:fill>
    <x:fill>
      <x:patternFill patternType="solid">
        <x:fgColor rgb="FF155E75"/>
      </x:patternFill>
    </x:fill>
    <x:fill>
      <x:patternFill patternType="solid">
        <x:fgColor theme="4" tint="0.59999"/>
      </x:patternFill>
    </x:fill>
    <x:fill>
      <x:patternFill patternType="solid">
        <x:fgColor theme="3" tint="0.89999"/>
      </x:patternFill>
    </x:fill>
    <x:fill>
      <x:patternFill patternType="solid">
        <x:fgColor rgb="FFFFF9E7"/>
      </x:patternFill>
    </x:fill>
    <x:fill>
      <x:patternFill patternType="solid">
        <x:fgColor rgb="FFEEF7FA"/>
      </x:patternFill>
    </x:fill>
    <x:fill>
      <x:patternFill patternType="solid">
        <x:fgColor rgb="FF0B6177"/>
      </x:patternFill>
    </x:fill>
    <x:fill>
      <x:patternFill patternType="solid">
        <x:fgColor rgb="FFFFF4C7"/>
      </x:patternFill>
    </x:fill>
    <x:fill>
      <x:patternFill patternType="solid">
        <x:fgColor rgb="FF0F566B"/>
      </x:patternFill>
    </x:fill>
  </x:fills>
  <x:borders count="44">
    <x:border/>
    <x:border>
      <x:bottom style="thin">
        <x:color rgb="FFD3C584"/>
      </x:bottom>
    </x:border>
    <x:border>
      <x:left style="thin">
        <x:color rgb="FFD9E2E7"/>
      </x:left>
      <x:top style="thin">
        <x:color rgb="FFD9E2E7"/>
      </x:top>
      <x:bottom style="thin">
        <x:color rgb="FFD9E2E7"/>
      </x:bottom>
    </x:border>
    <x:border>
      <x:top style="thin">
        <x:color rgb="FFD9E2E7"/>
      </x:top>
      <x:bottom style="thin">
        <x:color rgb="FFD9E2E7"/>
      </x:bottom>
    </x:border>
    <x:border>
      <x:right style="thin">
        <x:color rgb="FFD9E2E7"/>
      </x:right>
      <x:top style="thin">
        <x:color rgb="FFD9E2E7"/>
      </x:top>
      <x:bottom style="thin">
        <x:color rgb="FFD9E2E7"/>
      </x:bottom>
    </x:border>
    <x:border>
      <x:left style="thin">
        <x:color rgb="FFD9E2E7"/>
      </x:left>
      <x:top style="thin">
        <x:color rgb="FFD9E2E7"/>
      </x:top>
    </x:border>
    <x:border>
      <x:top style="thin">
        <x:color rgb="FFD9E2E7"/>
      </x:top>
    </x:border>
    <x:border>
      <x:right style="thin">
        <x:color rgb="FFD9E2E7"/>
      </x:right>
      <x:top style="thin">
        <x:color rgb="FFD9E2E7"/>
      </x:top>
    </x:border>
    <x:border>
      <x:left style="thin">
        <x:color rgb="FFD9E2E7"/>
      </x:left>
    </x:border>
    <x:border>
      <x:right style="thin">
        <x:color rgb="FFD9E2E7"/>
      </x:right>
    </x:border>
    <x:border>
      <x:left style="thin">
        <x:color rgb="FFD9E2E7"/>
      </x:left>
      <x:bottom style="thin">
        <x:color rgb="FFD9E2E7"/>
      </x:bottom>
    </x:border>
    <x:border>
      <x:bottom style="thin">
        <x:color rgb="FFD9E2E7"/>
      </x:bottom>
    </x:border>
    <x:border>
      <x:right style="thin">
        <x:color rgb="FFD9E2E7"/>
      </x:right>
      <x:bottom style="thin">
        <x:color rgb="FFD9E2E7"/>
      </x:bottom>
    </x:border>
    <x:border>
      <x:right style="thin">
        <x:color rgb="FFD9E2E7"/>
      </x:right>
    </x:border>
    <x:border>
      <x:left style="thin">
        <x:color theme="0"/>
      </x:left>
      <x:right style="thin">
        <x:color theme="0"/>
      </x:right>
      <x:top style="thin">
        <x:color theme="0"/>
      </x:top>
      <x:bottom style="thin">
        <x:color theme="0"/>
      </x:bottom>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D9E2E7"/>
      </x:right>
      <x:top style="thin">
        <x:color rgb="FFCBD5E1"/>
      </x:top>
      <x:bottom style="thin">
        <x:color rgb="FFCBD5E1"/>
      </x:bottom>
    </x:border>
    <x:border>
      <x:right style="thin">
        <x:color rgb="FFCBD5E1"/>
      </x:right>
      <x:top style="thin">
        <x:color rgb="FFCBD5E1"/>
      </x:top>
      <x:bottom style="thin">
        <x:color rgb="FFCBD5E1"/>
      </x:bottom>
    </x:border>
    <x:border>
      <x:left style="thin">
        <x:color rgb="FFD9E2E7"/>
      </x:left>
      <x:top style="medium">
        <x:color rgb="FF475569"/>
      </x:top>
      <x:bottom style="thin">
        <x:color rgb="FF94A3B8"/>
      </x:bottom>
    </x:border>
    <x:border>
      <x:top style="medium">
        <x:color rgb="FF475569"/>
      </x:top>
      <x:bottom style="thin">
        <x:color rgb="FF94A3B8"/>
      </x:bottom>
    </x:border>
    <x:border>
      <x:right style="thin">
        <x:color rgb="FFD9E2E7"/>
      </x:right>
      <x:top style="medium">
        <x:color rgb="FF475569"/>
      </x:top>
      <x:bottom style="thin">
        <x:color rgb="FF94A3B8"/>
      </x:bottom>
    </x:border>
    <x:border>
      <x:top style="medium">
        <x:color rgb="FF475569"/>
      </x:top>
      <x:bottom style="thin">
        <x:color rgb="FF93C5FD"/>
      </x:bottom>
    </x:border>
    <x:border>
      <x:right style="thin">
        <x:color rgb="FFBAE6FD"/>
      </x:right>
      <x:bottom style="thin">
        <x:color rgb="FFBAE6FD"/>
      </x:bottom>
    </x:border>
    <x:border>
      <x:bottom style="thin">
        <x:color rgb="FFBAE6FD"/>
      </x:bottom>
    </x:border>
    <x:border>
      <x:left style="thin">
        <x:color rgb="FFBAE6FD"/>
      </x:left>
      <x:bottom style="thin">
        <x:color rgb="FFBAE6FD"/>
      </x:bottom>
    </x:border>
    <x:border>
      <x:right style="thin">
        <x:color rgb="FFBAE6FD"/>
      </x:right>
    </x:border>
    <x:border>
      <x:left style="thin">
        <x:color rgb="FFBAE6FD"/>
      </x:left>
    </x:border>
    <x:border>
      <x:right style="thin">
        <x:color rgb="FFBAE6FD"/>
      </x:right>
      <x:top style="thin">
        <x:color rgb="FFBAE6FD"/>
      </x:top>
    </x:border>
    <x:border>
      <x:top style="thin">
        <x:color rgb="FFBAE6FD"/>
      </x:top>
    </x:border>
    <x:border>
      <x:left style="thin">
        <x:color rgb="FFBAE6FD"/>
      </x:left>
      <x:top style="thin">
        <x:color rgb="FFBAE6FD"/>
      </x:top>
    </x:border>
    <x:border>
      <x:right style="thin">
        <x:color rgb="FFFFFFFF"/>
      </x:right>
      <x:top style="thin">
        <x:color rgb="FFFFFFFF"/>
      </x:top>
      <x:bottom style="thin">
        <x:color rgb="FFFFFFFF"/>
      </x:bottom>
    </x:border>
    <x:border>
      <x:top style="thin">
        <x:color rgb="FFFFFFFF"/>
      </x:top>
      <x:bottom style="thin">
        <x:color rgb="FFFFFFFF"/>
      </x:bottom>
    </x:border>
    <x:border>
      <x:left style="thin">
        <x:color rgb="FFFFFFFF"/>
      </x:left>
      <x:top style="thin">
        <x:color rgb="FFFFFFFF"/>
      </x:top>
      <x:bottom style="thin">
        <x:color rgb="FFFFFFFF"/>
      </x:bottom>
    </x:border>
    <x:border>
      <x:bottom style="thin">
        <x:color rgb="FFCBD5E1"/>
      </x:bottom>
    </x:border>
    <x:border>
      <x:top style="thin">
        <x:color rgb="FFCBD5E1"/>
      </x:top>
    </x:border>
    <x:border>
      <x:left style="thin">
        <x:color indexed="64"/>
      </x:left>
      <x:right style="thin">
        <x:color indexed="64"/>
      </x:right>
      <x:top style="thin">
        <x:color indexed="64"/>
      </x:top>
      <x:bottom style="thin">
        <x:color indexed="64"/>
      </x:bottom>
    </x:border>
    <x:border>
      <x:right style="thin">
        <x:color indexed="64"/>
      </x:right>
      <x:top style="thin">
        <x:color indexed="64"/>
      </x:top>
      <x:bottom style="thin">
        <x:color indexed="64"/>
      </x:bottom>
    </x:border>
    <x:border>
      <x:right style="thin">
        <x:color rgb="FFE8EEF1"/>
      </x:right>
      <x:bottom style="thin">
        <x:color rgb="FFD7E1E5"/>
      </x:bottom>
    </x:border>
    <x:border>
      <x:bottom style="thin">
        <x:color rgb="FFD7E1E5"/>
      </x:bottom>
    </x:border>
    <x:border>
      <x:right style="thin">
        <x:color rgb="FFE8EEF1"/>
      </x:right>
    </x:border>
    <x:border>
      <x:right style="thin">
        <x:color rgb="FF2B7485"/>
      </x:right>
      <x:bottom style="thin">
        <x:color rgb="FF0A4858"/>
      </x:bottom>
    </x:border>
    <x:border>
      <x:bottom style="thin">
        <x:color rgb="FF0A4858"/>
      </x:bottom>
    </x:border>
    <x:border>
      <x:bottom style="hair">
        <x:color rgb="FFE2E8F0"/>
      </x:bottom>
    </x:border>
  </x:borders>
  <x:cellStyleXfs count="2">
    <x:xf numFmtId="0" fontId="0" fillId="0" borderId="0"/>
    <x:xf numFmtId="0" fontId="38" fillId="0" borderId="0" applyNumberFormat="0" applyFill="0" applyBorder="0" applyAlignment="0" applyProtection="0"/>
  </x:cellStyleXfs>
  <x:cellXfs count="264">
    <x:xf numFmtId="0" fontId="0" fillId="0" borderId="0" xfId="0"/>
    <x:xf numFmtId="0" fontId="4" fillId="5" borderId="2" xfId="0" applyFont="1" applyFill="1" applyBorder="1" applyAlignment="1">
      <x:alignment horizontal="center" vertical="center" wrapText="1"/>
    </x:xf>
    <x:xf numFmtId="0" fontId="4" fillId="5" borderId="3" xfId="0" applyFont="1" applyFill="1" applyBorder="1" applyAlignment="1">
      <x:alignment horizontal="center" vertical="center" wrapText="1"/>
    </x:xf>
    <x:xf numFmtId="0" fontId="4" fillId="5" borderId="4" xfId="0" applyFont="1" applyFill="1" applyBorder="1" applyAlignment="1">
      <x:alignment horizontal="center" vertical="center" wrapText="1"/>
    </x:xf>
    <x:xf numFmtId="0" fontId="5" fillId="6" borderId="6" xfId="0" applyFont="1" applyFill="1" applyBorder="1" applyAlignment="1">
      <x:alignment vertical="center" wrapText="1"/>
    </x:xf>
    <x:xf numFmtId="0" fontId="5" fillId="6" borderId="0" xfId="0" applyFont="1" applyFill="1" applyAlignment="1">
      <x:alignment vertical="center" wrapText="1"/>
    </x:xf>
    <x:xf numFmtId="0" fontId="5" fillId="6" borderId="11" xfId="0" applyFont="1" applyFill="1" applyBorder="1" applyAlignment="1">
      <x:alignment vertical="center" wrapText="1"/>
    </x:xf>
    <x:xf numFmtId="0" fontId="5" fillId="6" borderId="12" xfId="0" applyFont="1" applyFill="1" applyBorder="1" applyAlignment="1">
      <x:alignment vertical="center" wrapText="1"/>
    </x:xf>
    <x:xf numFmtId="0" fontId="5" fillId="7" borderId="6" xfId="0" applyFont="1" applyFill="1" applyBorder="1" applyAlignment="1">
      <x:alignment vertical="center" wrapText="1"/>
    </x:xf>
    <x:xf numFmtId="0" fontId="5" fillId="7" borderId="0" xfId="0" applyFont="1" applyFill="1" applyAlignment="1">
      <x:alignment vertical="center" wrapText="1"/>
    </x:xf>
    <x:xf numFmtId="0" fontId="5" fillId="7" borderId="11" xfId="0" applyFont="1" applyFill="1" applyBorder="1" applyAlignment="1">
      <x:alignment vertical="center" wrapText="1"/>
    </x:xf>
    <x:xf numFmtId="164" fontId="5" fillId="7" borderId="6" xfId="0" applyNumberFormat="1" applyFont="1" applyFill="1" applyBorder="1" applyAlignment="1">
      <x:alignment vertical="center" wrapText="1"/>
    </x:xf>
    <x:xf numFmtId="164" fontId="5" fillId="7" borderId="0" xfId="0" applyNumberFormat="1" applyFont="1" applyFill="1" applyAlignment="1">
      <x:alignment vertical="center" wrapText="1"/>
    </x:xf>
    <x:xf numFmtId="164" fontId="5" fillId="7" borderId="11" xfId="0" applyNumberFormat="1" applyFont="1" applyFill="1" applyBorder="1" applyAlignment="1">
      <x:alignment vertical="center" wrapText="1"/>
    </x:xf>
    <x:xf numFmtId="3" fontId="5" fillId="6" borderId="6" xfId="0" applyNumberFormat="1" applyFont="1" applyFill="1" applyBorder="1" applyAlignment="1">
      <x:alignment vertical="center" wrapText="1"/>
    </x:xf>
    <x:xf numFmtId="3" fontId="5" fillId="6" borderId="0" xfId="0" applyNumberFormat="1" applyFont="1" applyFill="1" applyAlignment="1">
      <x:alignment vertical="center" wrapText="1"/>
    </x:xf>
    <x:xf numFmtId="3" fontId="5" fillId="6" borderId="11" xfId="0" applyNumberFormat="1" applyFont="1" applyFill="1" applyBorder="1" applyAlignment="1">
      <x:alignment vertical="center" wrapText="1"/>
    </x:xf>
    <x:xf numFmtId="3" fontId="5" fillId="7" borderId="6" xfId="0" applyNumberFormat="1" applyFont="1" applyFill="1" applyBorder="1" applyAlignment="1">
      <x:alignment vertical="center" wrapText="1"/>
    </x:xf>
    <x:xf numFmtId="3" fontId="5" fillId="7" borderId="0" xfId="0" applyNumberFormat="1" applyFont="1" applyFill="1" applyAlignment="1">
      <x:alignment vertical="center" wrapText="1"/>
    </x:xf>
    <x:xf numFmtId="3" fontId="5" fillId="7" borderId="11" xfId="0" applyNumberFormat="1" applyFont="1" applyFill="1" applyBorder="1" applyAlignment="1">
      <x:alignment vertical="center" wrapText="1"/>
    </x:xf>
    <x:xf numFmtId="165" fontId="5" fillId="6" borderId="6" xfId="0" applyNumberFormat="1" applyFont="1" applyFill="1" applyBorder="1" applyAlignment="1">
      <x:alignment vertical="center" wrapText="1"/>
    </x:xf>
    <x:xf numFmtId="165" fontId="5" fillId="6" borderId="0" xfId="0" applyNumberFormat="1" applyFont="1" applyFill="1" applyAlignment="1">
      <x:alignment vertical="center" wrapText="1"/>
    </x:xf>
    <x:xf numFmtId="165" fontId="5" fillId="6" borderId="11" xfId="0" applyNumberFormat="1" applyFont="1" applyFill="1" applyBorder="1" applyAlignment="1">
      <x:alignment vertical="center" wrapText="1"/>
    </x:xf>
    <x:xf numFmtId="9" fontId="5" fillId="8" borderId="6" xfId="0" applyNumberFormat="1" applyFont="1" applyFill="1" applyBorder="1" applyAlignment="1">
      <x:alignment vertical="center" wrapText="1"/>
    </x:xf>
    <x:xf numFmtId="9" fontId="5" fillId="8" borderId="0" xfId="0" applyNumberFormat="1" applyFont="1" applyFill="1" applyAlignment="1">
      <x:alignment vertical="center" wrapText="1"/>
    </x:xf>
    <x:xf numFmtId="9" fontId="5" fillId="8" borderId="11" xfId="0" applyNumberFormat="1" applyFont="1" applyFill="1" applyBorder="1" applyAlignment="1">
      <x:alignment vertical="center" wrapText="1"/>
    </x:xf>
    <x:xf numFmtId="9" fontId="5" fillId="8" borderId="7" xfId="0" applyNumberFormat="1" applyFont="1" applyFill="1" applyBorder="1" applyAlignment="1">
      <x:alignment vertical="center" wrapText="1"/>
    </x:xf>
    <x:xf numFmtId="9" fontId="5" fillId="8" borderId="9" xfId="0" applyNumberFormat="1" applyFont="1" applyFill="1" applyBorder="1" applyAlignment="1">
      <x:alignment vertical="center" wrapText="1"/>
    </x:xf>
    <x:xf numFmtId="9" fontId="5" fillId="8" borderId="12" xfId="0" applyNumberFormat="1" applyFont="1" applyFill="1" applyBorder="1" applyAlignment="1">
      <x:alignment vertical="center" wrapText="1"/>
    </x:xf>
    <x:xf numFmtId="49" fontId="5" fillId="7" borderId="5" xfId="0" applyNumberFormat="1" applyFont="1" applyFill="1" applyBorder="1" applyAlignment="1">
      <x:alignment vertical="center" wrapText="1"/>
    </x:xf>
    <x:xf numFmtId="49" fontId="5" fillId="7" borderId="8" xfId="0" applyNumberFormat="1" applyFont="1" applyFill="1" applyBorder="1" applyAlignment="1">
      <x:alignment vertical="center" wrapText="1"/>
    </x:xf>
    <x:xf numFmtId="49" fontId="5" fillId="7" borderId="10" xfId="0" applyNumberFormat="1" applyFont="1" applyFill="1" applyBorder="1" applyAlignment="1">
      <x:alignment vertical="center" wrapText="1"/>
    </x:xf>
    <x:xf numFmtId="0" fontId="5" fillId="7" borderId="7" xfId="0" applyFont="1" applyFill="1" applyBorder="1" applyAlignment="1">
      <x:alignment vertical="center" wrapText="1"/>
    </x:xf>
    <x:xf numFmtId="0" fontId="5" fillId="7" borderId="9" xfId="0" applyFont="1" applyFill="1" applyBorder="1" applyAlignment="1">
      <x:alignment vertical="center" wrapText="1"/>
    </x:xf>
    <x:xf numFmtId="0" fontId="5" fillId="7" borderId="12" xfId="0" applyFont="1" applyFill="1" applyBorder="1" applyAlignment="1">
      <x:alignment vertical="center" wrapText="1"/>
    </x:xf>
    <x:xf numFmtId="3" fontId="5" fillId="8" borderId="6" xfId="0" applyNumberFormat="1" applyFont="1" applyFill="1" applyBorder="1" applyAlignment="1">
      <x:alignment vertical="center" wrapText="1"/>
    </x:xf>
    <x:xf numFmtId="3" fontId="5" fillId="8" borderId="0" xfId="0" applyNumberFormat="1" applyFont="1" applyFill="1" applyAlignment="1">
      <x:alignment vertical="center" wrapText="1"/>
    </x:xf>
    <x:xf numFmtId="3" fontId="5" fillId="8" borderId="11" xfId="0" applyNumberFormat="1" applyFont="1" applyFill="1" applyBorder="1" applyAlignment="1">
      <x:alignment vertical="center" wrapText="1"/>
    </x:xf>
    <x:xf numFmtId="49" fontId="5" fillId="7" borderId="0" xfId="0" applyNumberFormat="1" applyFont="1" applyFill="1" applyAlignment="1">
      <x:alignment vertical="center" wrapText="1"/>
    </x:xf>
    <x:xf numFmtId="49" fontId="5" fillId="7" borderId="11" xfId="0" applyNumberFormat="1" applyFont="1" applyFill="1" applyBorder="1" applyAlignment="1">
      <x:alignment vertical="center" wrapText="1"/>
    </x:xf>
    <x:xf numFmtId="0" fontId="6" fillId="9" borderId="3" xfId="0" applyFont="1" applyFill="1" applyBorder="1" applyAlignment="1">
      <x:alignment horizontal="center" vertical="center" wrapText="1"/>
    </x:xf>
    <x:xf numFmtId="0" fontId="7" fillId="10" borderId="6" xfId="0" applyFont="1" applyFill="1" applyBorder="1" applyAlignment="1">
      <x:alignment wrapText="1"/>
    </x:xf>
    <x:xf numFmtId="0" fontId="7" fillId="10" borderId="0" xfId="0" applyFont="1" applyFill="1" applyAlignment="1">
      <x:alignment wrapText="1"/>
    </x:xf>
    <x:xf numFmtId="0" fontId="6" fillId="9" borderId="4" xfId="0" applyFont="1" applyFill="1" applyBorder="1" applyAlignment="1">
      <x:alignment horizontal="center" vertical="center" wrapText="1"/>
    </x:xf>
    <x:xf numFmtId="9" fontId="7" fillId="11" borderId="7" xfId="0" applyNumberFormat="1" applyFont="1" applyFill="1" applyBorder="1" applyAlignment="1">
      <x:alignment wrapText="1"/>
    </x:xf>
    <x:xf numFmtId="9" fontId="7" fillId="11" borderId="9" xfId="0" applyNumberFormat="1" applyFont="1" applyFill="1" applyBorder="1" applyAlignment="1">
      <x:alignment wrapText="1"/>
    </x:xf>
    <x:xf numFmtId="9" fontId="7" fillId="11" borderId="12" xfId="0" applyNumberFormat="1" applyFont="1" applyFill="1" applyBorder="1" applyAlignment="1">
      <x:alignment wrapText="1"/>
    </x:xf>
    <x:xf numFmtId="0" fontId="8" fillId="13" borderId="0" xfId="0" applyFont="1" applyFill="1"/>
    <x:xf numFmtId="0" fontId="8" fillId="12" borderId="0" xfId="0" applyFont="1" applyFill="1"/>
    <x:xf numFmtId="0" fontId="8" fillId="14" borderId="0" xfId="0" applyFont="1" applyFill="1"/>
    <x:xf numFmtId="0" fontId="8" fillId="0" borderId="0" xfId="0" applyFont="1"/>
    <x:xf numFmtId="0" fontId="5" fillId="8" borderId="6" xfId="0" applyFont="1" applyFill="1" applyBorder="1" applyAlignment="1">
      <x:alignment vertical="center" wrapText="1"/>
    </x:xf>
    <x:xf numFmtId="0" fontId="5" fillId="8" borderId="0" xfId="0" applyFont="1" applyFill="1" applyAlignment="1">
      <x:alignment vertical="center" wrapText="1"/>
    </x:xf>
    <x:xf numFmtId="0" fontId="5" fillId="8" borderId="11" xfId="0" applyFont="1" applyFill="1" applyBorder="1" applyAlignment="1">
      <x:alignment vertical="center" wrapText="1"/>
    </x:xf>
    <x:xf numFmtId="0" fontId="12" fillId="18" borderId="0" xfId="0" applyFont="1" applyFill="1" applyAlignment="1">
      <x:alignment horizontal="center" vertical="center" wrapText="1"/>
    </x:xf>
    <x:xf numFmtId="0" fontId="5" fillId="19" borderId="0" xfId="0" applyFont="1" applyFill="1" applyAlignment="1">
      <x:alignment horizontal="center" vertical="center" wrapText="1"/>
    </x:xf>
    <x:xf numFmtId="0" fontId="5" fillId="19" borderId="0" xfId="0" applyFont="1" applyFill="1" applyAlignment="1">
      <x:alignment vertical="center" wrapText="1"/>
    </x:xf>
    <x:xf numFmtId="1" fontId="5" fillId="19" borderId="0" xfId="0" applyNumberFormat="1" applyFont="1" applyFill="1" applyAlignment="1">
      <x:alignment horizontal="center" vertical="center" wrapText="1"/>
    </x:xf>
    <x:xf numFmtId="166" fontId="5" fillId="19" borderId="0" xfId="0" applyNumberFormat="1" applyFont="1" applyFill="1" applyAlignment="1">
      <x:alignment vertical="center" wrapText="1"/>
    </x:xf>
    <x:xf numFmtId="166" fontId="5" fillId="20" borderId="0" xfId="0" applyNumberFormat="1" applyFont="1" applyFill="1" applyAlignment="1">
      <x:alignment horizontal="center" vertical="center" wrapText="1"/>
    </x:xf>
    <x:xf numFmtId="10" fontId="5" fillId="20" borderId="0" xfId="0" applyNumberFormat="1" applyFont="1" applyFill="1" applyAlignment="1">
      <x:alignment horizontal="center" vertical="center" wrapText="1"/>
    </x:xf>
    <x:xf numFmtId="164" fontId="5" fillId="19" borderId="0" xfId="0" applyNumberFormat="1" applyFont="1" applyFill="1" applyAlignment="1">
      <x:alignment horizontal="center" vertical="center" wrapText="1"/>
    </x:xf>
    <x:xf numFmtId="0" fontId="0" fillId="0" borderId="0" xfId="0" applyAlignment="1">
      <x:alignment vertical="center"/>
    </x:xf>
    <x:xf numFmtId="0" fontId="4" fillId="5" borderId="3" xfId="0" applyFont="1" applyFill="1" applyBorder="1" applyAlignment="1">
      <x:alignment vertical="center" wrapText="1"/>
    </x:xf>
    <x:xf numFmtId="9" fontId="5" fillId="8" borderId="13" xfId="0" applyNumberFormat="1" applyFont="1" applyFill="1" applyBorder="1" applyAlignment="1">
      <x:alignment vertical="center" wrapText="1"/>
    </x:xf>
    <x:xf numFmtId="0" fontId="0" fillId="25" borderId="0" xfId="0" applyFill="1" applyAlignment="1">
      <x:alignment vertical="top" wrapText="1"/>
    </x:xf>
    <x:xf numFmtId="0" fontId="0" fillId="26" borderId="0" xfId="0" applyFill="1" applyAlignment="1">
      <x:alignment vertical="top" wrapText="1"/>
    </x:xf>
    <x:xf numFmtId="0" fontId="0" fillId="27" borderId="0" xfId="0" applyFill="1" applyAlignment="1">
      <x:alignment vertical="top" wrapText="1"/>
    </x:xf>
    <x:xf numFmtId="0" fontId="0" fillId="22" borderId="0" xfId="0" applyFill="1" applyAlignment="1">
      <x:alignment vertical="top" wrapText="1"/>
    </x:xf>
    <x:xf numFmtId="0" fontId="16" fillId="28" borderId="0" xfId="0" applyFont="1" applyFill="1"/>
    <x:xf numFmtId="1" fontId="0" fillId="22" borderId="0" xfId="0" applyNumberFormat="1" applyFill="1" applyAlignment="1">
      <x:alignment vertical="top" wrapText="1"/>
    </x:xf>
    <x:xf numFmtId="1" fontId="0" fillId="25" borderId="0" xfId="0" applyNumberFormat="1" applyFill="1" applyAlignment="1">
      <x:alignment vertical="top" wrapText="1"/>
    </x:xf>
    <x:xf numFmtId="9" fontId="7" fillId="11" borderId="13" xfId="0" applyNumberFormat="1" applyFont="1" applyFill="1" applyBorder="1" applyAlignment="1">
      <x:alignment wrapText="1"/>
    </x:xf>
    <x:xf numFmtId="165" fontId="5" fillId="7" borderId="6" xfId="0" applyNumberFormat="1" applyFont="1" applyFill="1" applyBorder="1" applyAlignment="1">
      <x:alignment vertical="center" wrapText="1"/>
    </x:xf>
    <x:xf numFmtId="165" fontId="5" fillId="7" borderId="0" xfId="0" applyNumberFormat="1" applyFont="1" applyFill="1" applyAlignment="1">
      <x:alignment vertical="center" wrapText="1"/>
    </x:xf>
    <x:xf numFmtId="165" fontId="5" fillId="7" borderId="11" xfId="0" applyNumberFormat="1" applyFont="1" applyFill="1" applyBorder="1" applyAlignment="1">
      <x:alignment vertical="center" wrapText="1"/>
    </x:xf>
    <x:xf numFmtId="165" fontId="8" fillId="13" borderId="0" xfId="0" applyNumberFormat="1" applyFont="1" applyFill="1"/>
    <x:xf numFmtId="167" fontId="6" fillId="9" borderId="3" xfId="0" applyNumberFormat="1" applyFont="1" applyFill="1" applyBorder="1" applyAlignment="1">
      <x:alignment horizontal="center" vertical="center" wrapText="1"/>
    </x:xf>
    <x:xf numFmtId="167" fontId="7" fillId="11" borderId="6" xfId="0" applyNumberFormat="1" applyFont="1" applyFill="1" applyBorder="1" applyAlignment="1">
      <x:alignment wrapText="1"/>
    </x:xf>
    <x:xf numFmtId="167" fontId="7" fillId="11" borderId="0" xfId="0" applyNumberFormat="1" applyFont="1" applyFill="1" applyAlignment="1">
      <x:alignment wrapText="1"/>
    </x:xf>
    <x:xf numFmtId="167" fontId="8" fillId="14" borderId="0" xfId="0" applyNumberFormat="1" applyFont="1" applyFill="1"/>
    <x:xf numFmtId="167" fontId="0" fillId="0" borderId="0" xfId="0" applyNumberFormat="1"/>
    <x:xf numFmtId="0" fontId="0" fillId="25" borderId="0" xfId="0" applyFill="1" applyAlignment="1">
      <x:alignment vertical="top" wrapText="1"/>
    </x:xf>
    <x:xf numFmtId="0" fontId="0" fillId="29" borderId="0" xfId="0" applyFill="1" applyAlignment="1">
      <x:alignment vertical="top" wrapText="1"/>
    </x:xf>
    <x:xf numFmtId="1" fontId="0" fillId="29" borderId="0" xfId="0" applyNumberFormat="1" applyFill="1" applyAlignment="1">
      <x:alignment vertical="top" wrapText="1"/>
    </x:xf>
    <x:xf numFmtId="0" fontId="0" fillId="30" borderId="0" xfId="0" applyFill="1" applyAlignment="1">
      <x:alignment vertical="top" wrapText="1"/>
    </x:xf>
    <x:xf numFmtId="0" fontId="6" fillId="24" borderId="14" xfId="0" applyFont="1" applyFill="1" applyBorder="1" applyAlignment="1">
      <x:alignment horizontal="center" vertical="center" wrapText="1"/>
    </x:xf>
    <x:xf numFmtId="0" fontId="0" fillId="0" borderId="14" xfId="0" applyBorder="1"/>
    <x:xf numFmtId="0" fontId="13" fillId="21" borderId="0" xfId="0" applyFont="1" applyFill="1" applyAlignment="1">
      <x:alignment vertical="center"/>
    </x:xf>
    <x:xf numFmtId="0" fontId="22" fillId="24" borderId="15" xfId="0" applyFont="1" applyFill="1" applyBorder="1" applyAlignment="1">
      <x:alignment horizontal="center" vertical="center" wrapText="1"/>
    </x:xf>
    <x:xf numFmtId="0" fontId="22" fillId="24" borderId="16" xfId="0" applyFont="1" applyFill="1" applyBorder="1" applyAlignment="1">
      <x:alignment horizontal="center" vertical="center" wrapText="1"/>
    </x:xf>
    <x:xf numFmtId="0" fontId="22" fillId="24" borderId="17" xfId="0" applyFont="1" applyFill="1" applyBorder="1" applyAlignment="1">
      <x:alignment horizontal="center" vertical="center" wrapText="1"/>
    </x:xf>
    <x:xf numFmtId="0" fontId="13" fillId="24" borderId="16" xfId="0" applyFont="1" applyFill="1" applyBorder="1" applyAlignment="1">
      <x:alignment horizontal="center" vertical="center" wrapText="1"/>
    </x:xf>
    <x:xf numFmtId="0" fontId="13" fillId="24" borderId="18" xfId="0" applyFont="1" applyFill="1" applyBorder="1" applyAlignment="1">
      <x:alignment horizontal="center" vertical="center" wrapText="1"/>
    </x:xf>
    <x:xf numFmtId="49" fontId="5" fillId="31" borderId="5" xfId="0" applyNumberFormat="1" applyFont="1" applyFill="1" applyBorder="1" applyAlignment="1">
      <x:alignment vertical="center" wrapText="1"/>
    </x:xf>
    <x:xf numFmtId="0" fontId="5" fillId="31" borderId="6" xfId="0" applyFont="1" applyFill="1" applyBorder="1" applyAlignment="1">
      <x:alignment vertical="center" wrapText="1"/>
    </x:xf>
    <x:xf numFmtId="3" fontId="5" fillId="32" borderId="6" xfId="0" applyNumberFormat="1" applyFont="1" applyFill="1" applyBorder="1" applyAlignment="1">
      <x:alignment vertical="center" wrapText="1"/>
    </x:xf>
    <x:xf numFmtId="3" fontId="5" fillId="33" borderId="6" xfId="0" applyNumberFormat="1" applyFont="1" applyFill="1" applyBorder="1" applyAlignment="1">
      <x:alignment vertical="center" wrapText="1"/>
    </x:xf>
    <x:xf numFmtId="3" fontId="5" fillId="27" borderId="7" xfId="0" applyNumberFormat="1" applyFont="1" applyFill="1" applyBorder="1" applyAlignment="1">
      <x:alignment vertical="center" wrapText="1"/>
    </x:xf>
    <x:xf numFmtId="3" fontId="0" fillId="34" borderId="0" xfId="0" applyNumberFormat="1" applyFill="1" applyAlignment="1">
      <x:alignment vertical="center" wrapText="1"/>
    </x:xf>
    <x:xf numFmtId="1" fontId="0" fillId="31" borderId="0" xfId="0" applyNumberFormat="1" applyFill="1" applyAlignment="1">
      <x:alignment vertical="center" wrapText="1"/>
    </x:xf>
    <x:xf numFmtId="0" fontId="0" fillId="31" borderId="0" xfId="0" applyFill="1" applyAlignment="1">
      <x:alignment vertical="center" wrapText="1"/>
    </x:xf>
    <x:xf numFmtId="164" fontId="0" fillId="31" borderId="0" xfId="0" applyNumberFormat="1" applyFill="1" applyAlignment="1">
      <x:alignment vertical="center" wrapText="1"/>
    </x:xf>
    <x:xf numFmtId="49" fontId="5" fillId="31" borderId="8" xfId="0" applyNumberFormat="1" applyFont="1" applyFill="1" applyBorder="1" applyAlignment="1">
      <x:alignment vertical="center" wrapText="1"/>
    </x:xf>
    <x:xf numFmtId="0" fontId="5" fillId="31" borderId="0" xfId="0" applyFont="1" applyFill="1" applyAlignment="1">
      <x:alignment vertical="center" wrapText="1"/>
    </x:xf>
    <x:xf numFmtId="3" fontId="5" fillId="32" borderId="0" xfId="0" applyNumberFormat="1" applyFont="1" applyFill="1" applyAlignment="1">
      <x:alignment vertical="center" wrapText="1"/>
    </x:xf>
    <x:xf numFmtId="3" fontId="5" fillId="33" borderId="0" xfId="0" applyNumberFormat="1" applyFont="1" applyFill="1" applyAlignment="1">
      <x:alignment vertical="center" wrapText="1"/>
    </x:xf>
    <x:xf numFmtId="3" fontId="5" fillId="27" borderId="13" xfId="0" applyNumberFormat="1" applyFont="1" applyFill="1" applyBorder="1" applyAlignment="1">
      <x:alignment vertical="center" wrapText="1"/>
    </x:xf>
    <x:xf numFmtId="49" fontId="23" fillId="28" borderId="19" xfId="0" applyNumberFormat="1" applyFont="1" applyFill="1" applyBorder="1" applyAlignment="1">
      <x:alignment vertical="center" wrapText="1"/>
    </x:xf>
    <x:xf numFmtId="0" fontId="23" fillId="28" borderId="20" xfId="0" applyFont="1" applyFill="1" applyBorder="1" applyAlignment="1">
      <x:alignment vertical="center" wrapText="1"/>
    </x:xf>
    <x:xf numFmtId="3" fontId="23" fillId="28" borderId="20" xfId="0" applyNumberFormat="1" applyFont="1" applyFill="1" applyBorder="1" applyAlignment="1">
      <x:alignment vertical="center" wrapText="1"/>
    </x:xf>
    <x:xf numFmtId="3" fontId="23" fillId="28" borderId="21" xfId="0" applyNumberFormat="1" applyFont="1" applyFill="1" applyBorder="1" applyAlignment="1">
      <x:alignment vertical="center" wrapText="1"/>
    </x:xf>
    <x:xf numFmtId="3" fontId="24" fillId="28" borderId="20" xfId="0" applyNumberFormat="1" applyFont="1" applyFill="1" applyBorder="1" applyAlignment="1">
      <x:alignment vertical="center" wrapText="1"/>
    </x:xf>
    <x:xf numFmtId="1" fontId="24" fillId="28" borderId="20" xfId="0" applyNumberFormat="1" applyFont="1" applyFill="1" applyBorder="1" applyAlignment="1">
      <x:alignment vertical="center" wrapText="1"/>
    </x:xf>
    <x:xf numFmtId="0" fontId="24" fillId="28" borderId="20" xfId="0" applyFont="1" applyFill="1" applyBorder="1" applyAlignment="1">
      <x:alignment vertical="center" wrapText="1"/>
    </x:xf>
    <x:xf numFmtId="164" fontId="24" fillId="28" borderId="20" xfId="0" applyNumberFormat="1" applyFont="1" applyFill="1" applyBorder="1" applyAlignment="1">
      <x:alignment vertical="center" wrapText="1"/>
    </x:xf>
    <x:xf numFmtId="49" fontId="5" fillId="13" borderId="8" xfId="0" applyNumberFormat="1" applyFont="1" applyFill="1" applyBorder="1" applyAlignment="1">
      <x:alignment vertical="center" wrapText="1"/>
    </x:xf>
    <x:xf numFmtId="0" fontId="5" fillId="13" borderId="0" xfId="0" applyFont="1" applyFill="1" applyAlignment="1">
      <x:alignment vertical="center" wrapText="1"/>
    </x:xf>
    <x:xf numFmtId="3" fontId="5" fillId="13" borderId="0" xfId="0" applyNumberFormat="1" applyFont="1" applyFill="1" applyAlignment="1">
      <x:alignment vertical="center" wrapText="1"/>
    </x:xf>
    <x:xf numFmtId="164" fontId="5" fillId="13" borderId="0" xfId="0" applyNumberFormat="1" applyFont="1" applyFill="1" applyAlignment="1">
      <x:alignment vertical="center" wrapText="1"/>
    </x:xf>
    <x:xf numFmtId="0" fontId="5" fillId="6" borderId="13" xfId="0" applyFont="1" applyFill="1" applyBorder="1" applyAlignment="1">
      <x:alignment vertical="center" wrapText="1"/>
    </x:xf>
    <x:xf numFmtId="49" fontId="5" fillId="13" borderId="10" xfId="0" applyNumberFormat="1" applyFont="1" applyFill="1" applyBorder="1" applyAlignment="1">
      <x:alignment vertical="center" wrapText="1"/>
    </x:xf>
    <x:xf numFmtId="0" fontId="5" fillId="13" borderId="11" xfId="0" applyFont="1" applyFill="1" applyBorder="1" applyAlignment="1">
      <x:alignment vertical="center" wrapText="1"/>
    </x:xf>
    <x:xf numFmtId="3" fontId="5" fillId="13" borderId="11" xfId="0" applyNumberFormat="1" applyFont="1" applyFill="1" applyBorder="1" applyAlignment="1">
      <x:alignment vertical="center" wrapText="1"/>
    </x:xf>
    <x:xf numFmtId="164" fontId="5" fillId="13" borderId="11" xfId="0" applyNumberFormat="1" applyFont="1" applyFill="1" applyBorder="1" applyAlignment="1">
      <x:alignment vertical="center" wrapText="1"/>
    </x:xf>
    <x:xf numFmtId="49" fontId="22" fillId="21" borderId="8" xfId="0" applyNumberFormat="1" applyFont="1" applyFill="1" applyBorder="1" applyAlignment="1">
      <x:alignment vertical="center" wrapText="1"/>
    </x:xf>
    <x:xf numFmtId="0" fontId="22" fillId="21" borderId="0" xfId="0" applyFont="1" applyFill="1" applyAlignment="1">
      <x:alignment vertical="center" wrapText="1"/>
    </x:xf>
    <x:xf numFmtId="3" fontId="22" fillId="21" borderId="0" xfId="0" applyNumberFormat="1" applyFont="1" applyFill="1" applyAlignment="1">
      <x:alignment vertical="center" wrapText="1"/>
    </x:xf>
    <x:xf numFmtId="164" fontId="22" fillId="21" borderId="0" xfId="0" applyNumberFormat="1" applyFont="1" applyFill="1" applyAlignment="1">
      <x:alignment vertical="center" wrapText="1"/>
    </x:xf>
    <x:xf numFmtId="0" fontId="22" fillId="21" borderId="13" xfId="0" applyFont="1" applyFill="1" applyBorder="1" applyAlignment="1">
      <x:alignment vertical="center" wrapText="1"/>
    </x:xf>
    <x:xf numFmtId="49" fontId="22" fillId="24" borderId="15" xfId="0" applyNumberFormat="1" applyFont="1" applyFill="1" applyBorder="1" applyAlignment="1">
      <x:alignment horizontal="center" vertical="center" wrapText="1"/>
    </x:xf>
    <x:xf numFmtId="0" fontId="22" fillId="24" borderId="18" xfId="0" applyFont="1" applyFill="1" applyBorder="1" applyAlignment="1">
      <x:alignment horizontal="center" vertical="center" wrapText="1"/>
    </x:xf>
    <x:xf numFmtId="3" fontId="22" fillId="24" borderId="16" xfId="0" applyNumberFormat="1" applyFont="1" applyFill="1" applyBorder="1" applyAlignment="1">
      <x:alignment horizontal="center" vertical="center" wrapText="1"/>
    </x:xf>
    <x:xf numFmtId="164" fontId="22" fillId="24" borderId="16" xfId="0" applyNumberFormat="1" applyFont="1" applyFill="1" applyBorder="1" applyAlignment="1">
      <x:alignment horizontal="center" vertical="center" wrapText="1"/>
    </x:xf>
    <x:xf numFmtId="49" fontId="5" fillId="31" borderId="8" xfId="0" applyNumberFormat="1" applyFont="1" applyFill="1" applyBorder="1" applyAlignment="1">
      <x:alignment vertical="top" wrapText="1"/>
    </x:xf>
    <x:xf numFmtId="0" fontId="5" fillId="31" borderId="0" xfId="0" applyFont="1" applyFill="1" applyAlignment="1">
      <x:alignment vertical="top" wrapText="1"/>
    </x:xf>
    <x:xf numFmtId="3" fontId="5" fillId="31" borderId="0" xfId="0" applyNumberFormat="1" applyFont="1" applyFill="1" applyAlignment="1">
      <x:alignment vertical="top" wrapText="1"/>
    </x:xf>
    <x:xf numFmtId="164" fontId="5" fillId="31" borderId="0" xfId="0" applyNumberFormat="1" applyFont="1" applyFill="1" applyAlignment="1">
      <x:alignment vertical="top" wrapText="1"/>
    </x:xf>
    <x:xf numFmtId="0" fontId="5" fillId="31" borderId="13" xfId="0" applyFont="1" applyFill="1" applyBorder="1" applyAlignment="1">
      <x:alignment vertical="top" wrapText="1"/>
    </x:xf>
    <x:xf numFmtId="0" fontId="0" fillId="31" borderId="0" xfId="0" applyFill="1" applyAlignment="1">
      <x:alignment vertical="top" wrapText="1"/>
    </x:xf>
    <x:xf numFmtId="3" fontId="16" fillId="35" borderId="0" xfId="0" applyNumberFormat="1" applyFont="1" applyFill="1" applyAlignment="1">
      <x:alignment horizontal="right" vertical="center"/>
    </x:xf>
    <x:xf numFmtId="0" fontId="16" fillId="35" borderId="0" xfId="0" applyFont="1" applyFill="1" applyAlignment="1">
      <x:alignment vertical="center"/>
    </x:xf>
    <x:xf numFmtId="0" fontId="26" fillId="33" borderId="22" xfId="0" applyFont="1" applyFill="1" applyBorder="1" applyAlignment="1">
      <x:alignment vertical="center"/>
    </x:xf>
    <x:xf numFmtId="3" fontId="26" fillId="33" borderId="22" xfId="0" applyNumberFormat="1" applyFont="1" applyFill="1" applyBorder="1" applyAlignment="1">
      <x:alignment horizontal="right" vertical="center"/>
    </x:xf>
    <x:xf numFmtId="3" fontId="0" fillId="0" borderId="0" xfId="0" applyNumberFormat="1" applyAlignment="1">
      <x:alignment horizontal="right"/>
    </x:xf>
    <x:xf numFmtId="0" fontId="27" fillId="36" borderId="23" xfId="0" applyFont="1" applyFill="1" applyBorder="1" applyAlignment="1">
      <x:alignment vertical="center" wrapText="1"/>
    </x:xf>
    <x:xf numFmtId="0" fontId="27" fillId="36" borderId="24" xfId="0" applyFont="1" applyFill="1" applyBorder="1" applyAlignment="1">
      <x:alignment vertical="center" wrapText="1"/>
    </x:xf>
    <x:xf numFmtId="3" fontId="27" fillId="36" borderId="24" xfId="0" applyNumberFormat="1" applyFont="1" applyFill="1" applyBorder="1" applyAlignment="1">
      <x:alignment horizontal="right" vertical="center"/>
    </x:xf>
    <x:xf numFmtId="0" fontId="27" fillId="36" borderId="24" xfId="0" applyFont="1" applyFill="1" applyBorder="1" applyAlignment="1">
      <x:alignment horizontal="center" vertical="center"/>
    </x:xf>
    <x:xf numFmtId="0" fontId="27" fillId="36" borderId="25" xfId="0" applyFont="1" applyFill="1" applyBorder="1" applyAlignment="1">
      <x:alignment horizontal="center" vertical="center"/>
    </x:xf>
    <x:xf numFmtId="0" fontId="27" fillId="36" borderId="26" xfId="0" applyFont="1" applyFill="1" applyBorder="1" applyAlignment="1">
      <x:alignment vertical="center" wrapText="1"/>
    </x:xf>
    <x:xf numFmtId="0" fontId="27" fillId="36" borderId="0" xfId="0" applyFont="1" applyFill="1" applyAlignment="1">
      <x:alignment vertical="center" wrapText="1"/>
    </x:xf>
    <x:xf numFmtId="3" fontId="27" fillId="36" borderId="0" xfId="0" applyNumberFormat="1" applyFont="1" applyFill="1" applyAlignment="1">
      <x:alignment horizontal="right" vertical="center"/>
    </x:xf>
    <x:xf numFmtId="0" fontId="27" fillId="36" borderId="0" xfId="0" applyFont="1" applyFill="1" applyAlignment="1">
      <x:alignment horizontal="center" vertical="center"/>
    </x:xf>
    <x:xf numFmtId="0" fontId="27" fillId="36" borderId="27" xfId="0" applyFont="1" applyFill="1" applyBorder="1" applyAlignment="1">
      <x:alignment horizontal="center" vertical="center"/>
    </x:xf>
    <x:xf numFmtId="0" fontId="27" fillId="36" borderId="28" xfId="0" applyFont="1" applyFill="1" applyBorder="1" applyAlignment="1">
      <x:alignment vertical="center" wrapText="1"/>
    </x:xf>
    <x:xf numFmtId="0" fontId="27" fillId="36" borderId="29" xfId="0" applyFont="1" applyFill="1" applyBorder="1" applyAlignment="1">
      <x:alignment vertical="center" wrapText="1"/>
    </x:xf>
    <x:xf numFmtId="3" fontId="27" fillId="36" borderId="29" xfId="0" applyNumberFormat="1" applyFont="1" applyFill="1" applyBorder="1" applyAlignment="1">
      <x:alignment horizontal="right" vertical="center"/>
    </x:xf>
    <x:xf numFmtId="0" fontId="27" fillId="36" borderId="29" xfId="0" applyFont="1" applyFill="1" applyBorder="1" applyAlignment="1">
      <x:alignment horizontal="center" vertical="center"/>
    </x:xf>
    <x:xf numFmtId="0" fontId="27" fillId="36" borderId="30" xfId="0" applyFont="1" applyFill="1" applyBorder="1" applyAlignment="1">
      <x:alignment horizontal="center" vertical="center"/>
    </x:xf>
    <x:xf numFmtId="0" fontId="28" fillId="37" borderId="31" xfId="0" applyFont="1" applyFill="1" applyBorder="1" applyAlignment="1">
      <x:alignment horizontal="center" vertical="center" wrapText="1"/>
    </x:xf>
    <x:xf numFmtId="0" fontId="28" fillId="37" borderId="32" xfId="0" applyFont="1" applyFill="1" applyBorder="1" applyAlignment="1">
      <x:alignment horizontal="center" vertical="center" wrapText="1"/>
    </x:xf>
    <x:xf numFmtId="0" fontId="28" fillId="37" borderId="33" xfId="0" applyFont="1" applyFill="1" applyBorder="1" applyAlignment="1">
      <x:alignment horizontal="center" vertical="center" wrapText="1"/>
    </x:xf>
    <x:xf numFmtId="10" fontId="16" fillId="35" borderId="34" xfId="0" applyNumberFormat="1" applyFont="1" applyFill="1" applyBorder="1" applyAlignment="1">
      <x:alignment vertical="center"/>
    </x:xf>
    <x:xf numFmtId="0" fontId="16" fillId="35" borderId="34" xfId="0" applyFont="1" applyFill="1" applyBorder="1" applyAlignment="1">
      <x:alignment vertical="center"/>
    </x:xf>
    <x:xf numFmtId="2" fontId="16" fillId="35" borderId="0" xfId="0" applyNumberFormat="1" applyFont="1" applyFill="1" applyAlignment="1">
      <x:alignment vertical="center"/>
    </x:xf>
    <x:xf numFmtId="2" fontId="16" fillId="35" borderId="35" xfId="0" applyNumberFormat="1" applyFont="1" applyFill="1" applyBorder="1" applyAlignment="1">
      <x:alignment vertical="center"/>
    </x:xf>
    <x:xf numFmtId="0" fontId="16" fillId="35" borderId="35" xfId="0" applyFont="1" applyFill="1" applyBorder="1" applyAlignment="1">
      <x:alignment vertical="center"/>
    </x:xf>
    <x:xf numFmtId="0" fontId="26" fillId="33" borderId="0" xfId="0" applyFont="1" applyFill="1" applyAlignment="1">
      <x:alignment vertical="center"/>
    </x:xf>
    <x:xf numFmtId="10" fontId="27" fillId="36" borderId="24" xfId="0" applyNumberFormat="1" applyFont="1" applyFill="1" applyBorder="1" applyAlignment="1">
      <x:alignment horizontal="center" vertical="center"/>
    </x:xf>
    <x:xf numFmtId="2" fontId="27" fillId="36" borderId="24" xfId="0" applyNumberFormat="1" applyFont="1" applyFill="1" applyBorder="1" applyAlignment="1">
      <x:alignment horizontal="center" vertical="center"/>
    </x:xf>
    <x:xf numFmtId="10" fontId="27" fillId="36" borderId="0" xfId="0" applyNumberFormat="1" applyFont="1" applyFill="1" applyAlignment="1">
      <x:alignment horizontal="center" vertical="center"/>
    </x:xf>
    <x:xf numFmtId="2" fontId="27" fillId="36" borderId="0" xfId="0" applyNumberFormat="1" applyFont="1" applyFill="1" applyAlignment="1">
      <x:alignment horizontal="center" vertical="center"/>
    </x:xf>
    <x:xf numFmtId="10" fontId="27" fillId="36" borderId="29" xfId="0" applyNumberFormat="1" applyFont="1" applyFill="1" applyBorder="1" applyAlignment="1">
      <x:alignment horizontal="center" vertical="center"/>
    </x:xf>
    <x:xf numFmtId="2" fontId="27" fillId="36" borderId="29" xfId="0" applyNumberFormat="1" applyFont="1" applyFill="1" applyBorder="1" applyAlignment="1">
      <x:alignment horizontal="center" vertical="center"/>
    </x:xf>
    <x:xf numFmtId="165" fontId="0" fillId="0" borderId="0" xfId="0" applyNumberFormat="1"/>
    <x:xf numFmtId="165" fontId="27" fillId="36" borderId="24" xfId="0" applyNumberFormat="1" applyFont="1" applyFill="1" applyBorder="1" applyAlignment="1">
      <x:alignment horizontal="center" vertical="center"/>
    </x:xf>
    <x:xf numFmtId="14" fontId="0" fillId="25" borderId="0" xfId="0" applyNumberFormat="1" applyFill="1" applyAlignment="1">
      <x:alignment vertical="top" wrapText="1"/>
    </x:xf>
    <x:xf numFmtId="0" fontId="0" fillId="38" borderId="0" xfId="0" applyFill="1"/>
    <x:xf numFmtId="0" fontId="0" fillId="0" borderId="0" xfId="0" applyAlignment="1">
      <x:alignment vertical="top" wrapText="1"/>
    </x:xf>
    <x:xf numFmtId="1" fontId="0" fillId="0" borderId="0" xfId="0" applyNumberFormat="1" applyAlignment="1">
      <x:alignment vertical="top" wrapText="1"/>
    </x:xf>
    <x:xf numFmtId="14" fontId="0" fillId="0" borderId="0" xfId="0" applyNumberFormat="1" applyAlignment="1">
      <x:alignment vertical="top" wrapText="1"/>
    </x:xf>
    <x:xf numFmtId="0" fontId="0" fillId="0" borderId="0" xfId="0" applyAlignment="1">
      <x:alignment vertical="top" wrapText="1"/>
    </x:xf>
    <x:xf numFmtId="3" fontId="5" fillId="13" borderId="6" xfId="0" applyNumberFormat="1" applyFont="1" applyFill="1" applyBorder="1" applyAlignment="1">
      <x:alignment vertical="center" wrapText="1"/>
    </x:xf>
    <x:xf numFmtId="0" fontId="27" fillId="36" borderId="36" xfId="0" applyFont="1" applyFill="1" applyBorder="1" applyAlignment="1">
      <x:alignment horizontal="center" vertical="center"/>
    </x:xf>
    <x:xf numFmtId="2" fontId="27" fillId="36" borderId="36" xfId="0" applyNumberFormat="1" applyFont="1" applyFill="1" applyBorder="1" applyAlignment="1">
      <x:alignment horizontal="center" vertical="center"/>
    </x:xf>
    <x:xf numFmtId="1" fontId="27" fillId="36" borderId="36" xfId="0" applyNumberFormat="1" applyFont="1" applyFill="1" applyBorder="1" applyAlignment="1">
      <x:alignment horizontal="center" vertical="center"/>
    </x:xf>
    <x:xf numFmtId="0" fontId="27" fillId="36" borderId="36" xfId="0" applyFont="1" applyFill="1" applyBorder="1" applyAlignment="1">
      <x:alignment vertical="center" wrapText="1"/>
    </x:xf>
    <x:xf numFmtId="0" fontId="27" fillId="39" borderId="36" xfId="0" applyFont="1" applyFill="1" applyBorder="1" applyAlignment="1">
      <x:alignment horizontal="center" vertical="center"/>
    </x:xf>
    <x:xf numFmtId="2" fontId="27" fillId="39" borderId="36" xfId="0" applyNumberFormat="1" applyFont="1" applyFill="1" applyBorder="1" applyAlignment="1">
      <x:alignment horizontal="center" vertical="center"/>
    </x:xf>
    <x:xf numFmtId="1" fontId="27" fillId="39" borderId="36" xfId="0" applyNumberFormat="1" applyFont="1" applyFill="1" applyBorder="1" applyAlignment="1">
      <x:alignment horizontal="center" vertical="center"/>
    </x:xf>
    <x:xf numFmtId="0" fontId="27" fillId="39" borderId="36" xfId="0" applyFont="1" applyFill="1" applyBorder="1" applyAlignment="1">
      <x:alignment vertical="center" wrapText="1"/>
    </x:xf>
    <x:xf numFmtId="0" fontId="0" fillId="39" borderId="37" xfId="0" applyFill="1" applyBorder="1"/>
    <x:xf numFmtId="0" fontId="0" fillId="39" borderId="36" xfId="0" applyFill="1" applyBorder="1"/>
    <x:xf numFmtId="0" fontId="27" fillId="36" borderId="36" xfId="0" applyFont="1" applyFill="1" applyBorder="1" applyAlignment="1">
      <x:alignment horizontal="center" vertical="center" wrapText="1"/>
    </x:xf>
    <x:xf numFmtId="1" fontId="27" fillId="36" borderId="36" xfId="0" applyNumberFormat="1" applyFont="1" applyFill="1" applyBorder="1" applyAlignment="1">
      <x:alignment horizontal="center" vertical="center"/>
    </x:xf>
    <x:xf numFmtId="0" fontId="0" fillId="0" borderId="37" xfId="0" applyBorder="1"/>
    <x:xf numFmtId="0" fontId="0" fillId="0" borderId="36" xfId="0" applyBorder="1"/>
    <x:xf numFmtId="0" fontId="27" fillId="39" borderId="36" xfId="0" applyFont="1" applyFill="1" applyBorder="1" applyAlignment="1">
      <x:alignment horizontal="center" vertical="center" wrapText="1"/>
    </x:xf>
    <x:xf numFmtId="1" fontId="27" fillId="39" borderId="36" xfId="0" applyNumberFormat="1" applyFont="1" applyFill="1" applyBorder="1" applyAlignment="1">
      <x:alignment horizontal="center" vertical="center"/>
    </x:xf>
    <x:xf numFmtId="168" fontId="27" fillId="39" borderId="36" xfId="0" applyNumberFormat="1" applyFont="1" applyFill="1" applyBorder="1" applyAlignment="1">
      <x:alignment horizontal="center" vertical="center"/>
    </x:xf>
    <x:xf numFmtId="0" fontId="0" fillId="39" borderId="0" xfId="0" applyFill="1"/>
    <x:xf numFmtId="164" fontId="31" fillId="40" borderId="38" xfId="0" applyNumberFormat="1" applyFont="1" applyFill="1" applyBorder="1" applyAlignment="1">
      <x:alignment vertical="center" wrapText="1"/>
    </x:xf>
    <x:xf numFmtId="0" fontId="31" fillId="40" borderId="39" xfId="0" applyFont="1" applyFill="1" applyBorder="1" applyAlignment="1">
      <x:alignment vertical="center" wrapText="1"/>
    </x:xf>
    <x:xf numFmtId="10" fontId="31" fillId="41" borderId="39" xfId="0" applyNumberFormat="1" applyFont="1" applyFill="1" applyBorder="1" applyAlignment="1">
      <x:alignment vertical="center" wrapText="1"/>
    </x:xf>
    <x:xf numFmtId="3" fontId="31" fillId="40" borderId="39" xfId="0" applyNumberFormat="1" applyFont="1" applyFill="1" applyBorder="1" applyAlignment="1">
      <x:alignment vertical="center" wrapText="1"/>
    </x:xf>
    <x:xf numFmtId="2" fontId="31" fillId="40" borderId="39" xfId="0" applyNumberFormat="1" applyFont="1" applyFill="1" applyBorder="1" applyAlignment="1">
      <x:alignment vertical="center" wrapText="1"/>
    </x:xf>
    <x:xf numFmtId="164" fontId="31" fillId="40" borderId="39" xfId="0" applyNumberFormat="1" applyFont="1" applyFill="1" applyBorder="1" applyAlignment="1">
      <x:alignment vertical="center" wrapText="1"/>
    </x:xf>
    <x:xf numFmtId="1" fontId="31" fillId="40" borderId="39" xfId="0" applyNumberFormat="1" applyFont="1" applyFill="1" applyBorder="1" applyAlignment="1">
      <x:alignment vertical="center" wrapText="1"/>
    </x:xf>
    <x:xf numFmtId="164" fontId="31" fillId="40" borderId="40" xfId="0" applyNumberFormat="1" applyFont="1" applyFill="1" applyBorder="1" applyAlignment="1">
      <x:alignment vertical="center" wrapText="1"/>
    </x:xf>
    <x:xf numFmtId="0" fontId="31" fillId="40" borderId="0" xfId="0" applyFont="1" applyFill="1" applyAlignment="1">
      <x:alignment vertical="center" wrapText="1"/>
    </x:xf>
    <x:xf numFmtId="10" fontId="31" fillId="41" borderId="0" xfId="0" applyNumberFormat="1" applyFont="1" applyFill="1" applyAlignment="1">
      <x:alignment vertical="center" wrapText="1"/>
    </x:xf>
    <x:xf numFmtId="3" fontId="31" fillId="40" borderId="0" xfId="0" applyNumberFormat="1" applyFont="1" applyFill="1" applyAlignment="1">
      <x:alignment vertical="center" wrapText="1"/>
    </x:xf>
    <x:xf numFmtId="2" fontId="31" fillId="40" borderId="0" xfId="0" applyNumberFormat="1" applyFont="1" applyFill="1" applyAlignment="1">
      <x:alignment vertical="center" wrapText="1"/>
    </x:xf>
    <x:xf numFmtId="164" fontId="31" fillId="40" borderId="0" xfId="0" applyNumberFormat="1" applyFont="1" applyFill="1" applyAlignment="1">
      <x:alignment vertical="center" wrapText="1"/>
    </x:xf>
    <x:xf numFmtId="1" fontId="31" fillId="40" borderId="0" xfId="0" applyNumberFormat="1" applyFont="1" applyFill="1" applyAlignment="1">
      <x:alignment vertical="center" wrapText="1"/>
    </x:xf>
    <x:xf numFmtId="0" fontId="32" fillId="42" borderId="41" xfId="0" applyFont="1" applyFill="1" applyBorder="1" applyAlignment="1">
      <x:alignment horizontal="center" vertical="center" wrapText="1"/>
    </x:xf>
    <x:xf numFmtId="0" fontId="32" fillId="42" borderId="42" xfId="0" applyFont="1" applyFill="1" applyBorder="1" applyAlignment="1">
      <x:alignment horizontal="center" vertical="center" wrapText="1"/>
    </x:xf>
    <x:xf numFmtId="164" fontId="0" fillId="0" borderId="0" xfId="0" applyNumberFormat="1"/>
    <x:xf numFmtId="0" fontId="36" fillId="6" borderId="43" xfId="0" applyFont="1" applyFill="1" applyBorder="1" applyAlignment="1">
      <x:alignment vertical="top" wrapText="1"/>
    </x:xf>
    <x:xf numFmtId="164" fontId="36" fillId="6" borderId="43" xfId="0" applyNumberFormat="1" applyFont="1" applyFill="1" applyBorder="1" applyAlignment="1">
      <x:alignment vertical="top" wrapText="1"/>
    </x:xf>
    <x:xf numFmtId="0" fontId="36" fillId="6" borderId="0" xfId="0" applyFont="1" applyFill="1" applyAlignment="1">
      <x:alignment vertical="top" wrapText="1"/>
    </x:xf>
    <x:xf numFmtId="164" fontId="36" fillId="6" borderId="0" xfId="0" applyNumberFormat="1" applyFont="1" applyFill="1" applyAlignment="1">
      <x:alignment vertical="top" wrapText="1"/>
    </x:xf>
    <x:xf numFmtId="0" fontId="37" fillId="24" borderId="3" xfId="0" applyFont="1" applyFill="1" applyBorder="1" applyAlignment="1">
      <x:alignment horizontal="center" vertical="center" wrapText="1"/>
    </x:xf>
    <x:xf numFmtId="167" fontId="37" fillId="24" borderId="3" xfId="0" applyNumberFormat="1" applyFont="1" applyFill="1" applyBorder="1" applyAlignment="1">
      <x:alignment horizontal="center" vertical="center" wrapText="1"/>
    </x:xf>
    <x:xf numFmtId="167" fontId="36" fillId="6" borderId="0" xfId="0" applyNumberFormat="1" applyFont="1" applyFill="1" applyAlignment="1">
      <x:alignment vertical="top" wrapText="1"/>
    </x:xf>
    <x:xf numFmtId="167" fontId="36" fillId="6" borderId="43" xfId="0" applyNumberFormat="1" applyFont="1" applyFill="1" applyBorder="1" applyAlignment="1">
      <x:alignment vertical="top" wrapText="1"/>
    </x:xf>
    <x:xf numFmtId="0" fontId="38" fillId="6" borderId="0" xfId="1" applyFill="1" applyAlignment="1">
      <x:alignment vertical="top" wrapText="1"/>
    </x:xf>
    <x:xf numFmtId="0" fontId="1" fillId="2" borderId="0" xfId="0" applyFont="1" applyFill="1" applyAlignment="1">
      <x:alignment horizontal="left" vertical="center"/>
    </x:xf>
    <x:xf numFmtId="0" fontId="2" fillId="3" borderId="0" xfId="0" applyFont="1" applyFill="1" applyAlignment="1">
      <x:alignment horizontal="left" vertical="center" wrapText="1"/>
    </x:xf>
    <x:xf numFmtId="0" fontId="3" fillId="4" borderId="1" xfId="0" applyFont="1" applyFill="1" applyBorder="1" applyAlignment="1">
      <x:alignment horizontal="left" vertical="center" wrapText="1"/>
    </x:xf>
    <x:xf numFmtId="0" fontId="35" fillId="21" borderId="0" xfId="0" applyFont="1" applyFill="1" applyAlignment="1">
      <x:alignment vertical="center"/>
    </x:xf>
    <x:xf numFmtId="0" fontId="2" fillId="22" borderId="0" xfId="0" applyFont="1" applyFill="1" applyAlignment="1">
      <x:alignment vertical="center" wrapText="1"/>
    </x:xf>
    <x:xf numFmtId="0" fontId="3" fillId="23" borderId="1" xfId="0" applyFont="1" applyFill="1" applyBorder="1" applyAlignment="1">
      <x:alignment vertical="center" wrapText="1"/>
    </x:xf>
    <x:xf numFmtId="0" fontId="0" fillId="0" borderId="0" xfId="0"/>
    <x:xf numFmtId="0" fontId="0" fillId="0" borderId="0" xfId="0" applyAlignment="1">
      <x:alignment wrapText="1"/>
    </x:xf>
    <x:xf numFmtId="0" fontId="1" fillId="21" borderId="0" xfId="0" applyFont="1" applyFill="1" applyAlignment="1">
      <x:alignment horizontal="left" vertical="center"/>
    </x:xf>
    <x:xf numFmtId="0" fontId="13" fillId="21" borderId="0" xfId="0" applyFont="1" applyFill="1" applyAlignment="1">
      <x:alignment vertical="center"/>
    </x:xf>
    <x:xf numFmtId="0" fontId="2" fillId="22" borderId="0" xfId="0" applyFont="1" applyFill="1" applyAlignment="1">
      <x:alignment horizontal="left" vertical="center" wrapText="1"/>
    </x:xf>
    <x:xf numFmtId="0" fontId="14" fillId="22" borderId="0" xfId="0" applyFont="1" applyFill="1" applyAlignment="1">
      <x:alignment vertical="center" wrapText="1"/>
    </x:xf>
    <x:xf numFmtId="0" fontId="20" fillId="27" borderId="1" xfId="0" applyFont="1" applyFill="1" applyBorder="1" applyAlignment="1">
      <x:alignment horizontal="left" vertical="center" wrapText="1"/>
    </x:xf>
    <x:xf numFmtId="0" fontId="21" fillId="27" borderId="0" xfId="0" applyFont="1" applyFill="1" applyAlignment="1">
      <x:alignment vertical="center" wrapText="1"/>
    </x:xf>
    <x:xf numFmtId="0" fontId="14" fillId="22" borderId="0" xfId="0" applyFont="1" applyFill="1" applyAlignment="1">
      <x:alignment wrapText="1"/>
    </x:xf>
    <x:xf numFmtId="0" fontId="15" fillId="23" borderId="0" xfId="0" applyFont="1" applyFill="1" applyAlignment="1">
      <x:alignment wrapText="1"/>
    </x:xf>
    <x:xf numFmtId="0" fontId="9" fillId="15" borderId="0" xfId="0" applyFont="1" applyFill="1" applyAlignment="1">
      <x:alignment horizontal="left" vertical="center" wrapText="1"/>
    </x:xf>
    <x:xf numFmtId="0" fontId="9" fillId="15" borderId="0" xfId="0" applyFont="1" applyFill="1" applyAlignment="1">
      <x:alignment vertical="center"/>
    </x:xf>
    <x:xf numFmtId="0" fontId="10" fillId="16" borderId="0" xfId="0" applyFont="1" applyFill="1" applyAlignment="1">
      <x:alignment horizontal="left" vertical="center" wrapText="1"/>
    </x:xf>
    <x:xf numFmtId="0" fontId="10" fillId="16" borderId="0" xfId="0" applyFont="1" applyFill="1" applyAlignment="1">
      <x:alignment vertical="center" wrapText="1"/>
    </x:xf>
    <x:xf numFmtId="0" fontId="11" fillId="17" borderId="1" xfId="0" applyFont="1" applyFill="1" applyBorder="1" applyAlignment="1">
      <x:alignment horizontal="left" vertical="center" wrapText="1"/>
    </x:xf>
    <x:xf numFmtId="0" fontId="11" fillId="17" borderId="0" xfId="0" applyFont="1" applyFill="1" applyAlignment="1">
      <x:alignment vertical="center" wrapText="1"/>
    </x:xf>
    <x:xf numFmtId="0" fontId="16" fillId="35" borderId="0" xfId="0" applyFont="1" applyFill="1" applyAlignment="1">
      <x:alignment vertical="center"/>
    </x:xf>
    <x:xf numFmtId="3" fontId="16" fillId="35" borderId="0" xfId="0" applyNumberFormat="1" applyFont="1" applyFill="1" applyAlignment="1">
      <x:alignment horizontal="right" vertical="center"/>
    </x:xf>
    <x:xf numFmtId="0" fontId="25" fillId="27" borderId="0" xfId="0" applyFont="1" applyFill="1" applyAlignment="1">
      <x:alignment vertical="center" wrapText="1"/>
    </x:xf>
    <x:xf numFmtId="0" fontId="9" fillId="21" borderId="0" xfId="0" applyFont="1" applyFill="1" applyAlignment="1">
      <x:alignment horizontal="left" vertical="center"/>
    </x:xf>
    <x:xf numFmtId="0" fontId="30" fillId="31" borderId="0" xfId="0" applyFont="1" applyFill="1" applyAlignment="1">
      <x:alignment vertical="center" wrapText="1"/>
    </x:xf>
    <x:xf numFmtId="0" fontId="29" fillId="17" borderId="0" xfId="0" applyFont="1" applyFill="1" applyAlignment="1">
      <x:alignment vertical="center" wrapText="1"/>
    </x:xf>
    <x:xf numFmtId="0" fontId="26" fillId="33" borderId="22" xfId="0" applyFont="1" applyFill="1" applyBorder="1" applyAlignment="1">
      <x:alignment vertical="center"/>
    </x:xf>
    <x:xf numFmtId="0" fontId="16" fillId="35" borderId="34" xfId="0" applyFont="1" applyFill="1" applyBorder="1" applyAlignment="1">
      <x:alignment vertical="center"/>
    </x:xf>
    <x:xf numFmtId="0" fontId="26" fillId="33" borderId="0" xfId="0" applyFont="1" applyFill="1" applyAlignment="1">
      <x:alignment vertical="center"/>
    </x:xf>
    <x:xf numFmtId="0" fontId="16" fillId="35" borderId="35" xfId="0" applyFont="1" applyFill="1" applyBorder="1" applyAlignment="1">
      <x:alignment vertical="center"/>
    </x:xf>
    <x:xf numFmtId="0" fontId="26" fillId="33" borderId="34" xfId="0" applyFont="1" applyFill="1" applyBorder="1" applyAlignment="1">
      <x:alignment vertical="center"/>
    </x:xf>
    <x:xf numFmtId="0" fontId="35" fillId="44" borderId="0" xfId="0" applyFont="1" applyFill="1" applyAlignment="1">
      <x:alignment vertical="center"/>
    </x:xf>
    <x:xf numFmtId="0" fontId="34" fillId="6" borderId="0" xfId="0" applyFont="1" applyFill="1" applyAlignment="1">
      <x:alignment vertical="center" wrapText="1"/>
    </x:xf>
    <x:xf numFmtId="0" fontId="33" fillId="43" borderId="0" xfId="0" applyFont="1" applyFill="1" applyAlignment="1">
      <x:alignment vertical="center" wrapText="1"/>
    </x:xf>
  </x:cellXfs>
  <x:cellStyles count="2">
    <x:cellStyle name="Hyperlink" xfId="1"/>
    <x:cellStyle name="Normal" xfId="0"/>
  </x:cellStyles>
  <x:dxfs count="31">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1E40AF"/>
      </x:font>
      <x:fill>
        <x:patternFill>
          <x:bgColor rgb="FFDBEAFE"/>
        </x:patternFill>
      </x:fill>
    </x:dxf>
    <x:dxf>
      <x:font>
        <x:b/>
        <x:color rgb="FF9A3412"/>
      </x:font>
      <x:fill>
        <x:patternFill>
          <x:bgColor rgb="FFFFEDD5"/>
        </x:patternFill>
      </x:fill>
    </x:dxf>
    <x:dxf>
      <x:font>
        <x:b/>
        <x:color rgb="FF166534"/>
      </x:font>
      <x:fill>
        <x:patternFill>
          <x:bgColor rgb="FFDCFCE7"/>
        </x:patternFill>
      </x:fill>
    </x:dxf>
    <x:dxf>
      <x:font>
        <x:b/>
        <x:color rgb="FF92400E"/>
      </x:font>
      <x:fill>
        <x:patternFill>
          <x:bgColor rgb="FFFEF3C7"/>
        </x:patternFill>
      </x:fill>
    </x:dxf>
    <x:dxf>
      <x:font>
        <x:b/>
        <x:color rgb="FF92400E"/>
      </x:font>
      <x:fill>
        <x:patternFill>
          <x:bgColor rgb="FFFEF3C7"/>
        </x:patternFill>
      </x:fill>
    </x:dxf>
    <x:dxf>
      <x:font>
        <x:b/>
        <x:color rgb="FF166534"/>
      </x:font>
      <x:fill>
        <x:patternFill>
          <x:bgColor rgb="FFDCFCE7"/>
        </x:patternFill>
      </x:fill>
    </x:dxf>
    <x:dxf>
      <x:font>
        <x:b/>
        <x:color rgb="FF075985"/>
      </x:font>
      <x:fill>
        <x:patternFill>
          <x:bgColor rgb="FFE0F2FE"/>
        </x:patternFill>
      </x:fill>
    </x:dxf>
    <x:dxf>
      <x:font>
        <x:b/>
        <x:color rgb="FF166534"/>
      </x:font>
      <x:fill>
        <x:patternFill>
          <x:bgColor rgb="FFDCFCE7"/>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border>
        <x:bottom style="thin">
          <x:color theme="0"/>
        </x:bottom>
      </x:border>
    </x:dxf>
    <x:dxf>
      <x:border>
        <x:left style="thin">
          <x:color theme="0"/>
        </x:left>
        <x:right style="thin">
          <x:color theme="0"/>
        </x:right>
        <x:top/>
        <x:bottom/>
      </x:border>
    </x:dxf>
    <x:dxf>
      <x:numFmt numFmtId="167" formatCode="[$-421]dd\ mmmm\ yyyy;@"/>
    </x:dxf>
    <x:dxf>
      <x:font>
        <x:u val="none"/>
        <x:sz val="10"/>
        <x:color auto="1"/>
        <x:name val="Carlito"/>
        <x:scheme val="none"/>
      </x:font>
      <x:fill>
        <x:patternFill>
          <x:bgColor indexed="64"/>
        </x:patternFill>
      </x:fill>
    </x:dxf>
    <x:dxf>
      <x:numFmt numFmtId="165" formatCode="0.000000"/>
    </x:dxf>
  </x:dxfs>
</x:styleSheet>
</file>

<file path=xl/_rels/workbook.xml.rels>&#65279;<?xml version="1.0" encoding="utf-8"?><Relationships xmlns="http://schemas.openxmlformats.org/package/2006/relationships"><Relationship Type="http://schemas.openxmlformats.org/officeDocument/2006/relationships/styles" Target="/xl/styles.xml" Id="R6ada26dfe1504787" /><Relationship Type="http://schemas.openxmlformats.org/officeDocument/2006/relationships/theme" Target="/xl/theme/theme1.xml" Id="R643f68464f7c44ae" /><Relationship Type="http://schemas.openxmlformats.org/officeDocument/2006/relationships/sharedStrings" Target="/xl/sharedStrings.xml" Id="R4d9ed385801b4ed4" /><Relationship Type="http://schemas.openxmlformats.org/officeDocument/2006/relationships/worksheet" Target="/xl/worksheets/sheet1.xml" Id="Rdfafbb21b1494319" /><Relationship Type="http://schemas.openxmlformats.org/officeDocument/2006/relationships/worksheet" Target="/xl/worksheets/sheet2.xml" Id="Rfaffcd3167fe4c4e" /><Relationship Type="http://schemas.openxmlformats.org/officeDocument/2006/relationships/worksheet" Target="/xl/worksheets/sheet3.xml" Id="Re8baab4c3e0e4572" /><Relationship Type="http://schemas.openxmlformats.org/officeDocument/2006/relationships/worksheet" Target="/xl/worksheets/sheet4.xml" Id="Rcf81ca02f2f14cc0" /><Relationship Type="http://schemas.openxmlformats.org/officeDocument/2006/relationships/worksheet" Target="/xl/worksheets/sheet5.xml" Id="Rc1a737793a7d4273" /><Relationship Type="http://schemas.openxmlformats.org/officeDocument/2006/relationships/worksheet" Target="/xl/worksheets/sheet6.xml" Id="Ra0f26613ee51420a" /><Relationship Type="http://schemas.openxmlformats.org/officeDocument/2006/relationships/worksheet" Target="/xl/worksheets/sheet7.xml" Id="R05881ef738de4314" /><Relationship Type="http://schemas.openxmlformats.org/officeDocument/2006/relationships/worksheet" Target="/xl/worksheets/sheet8.xml" Id="R5edc65628a0145e5" /><Relationship Type="http://schemas.openxmlformats.org/officeDocument/2006/relationships/worksheet" Target="/xl/worksheets/sheet9.xml" Id="R444ec7beeaa94354" /><Relationship Type="http://schemas.openxmlformats.org/officeDocument/2006/relationships/worksheet" Target="/xl/worksheets/sheet10.xml" Id="Rc20900d3832e492e" /><Relationship Type="http://schemas.openxmlformats.org/officeDocument/2006/relationships/worksheet" Target="/xl/worksheets/sheet11.xml" Id="Rf438b228d97d4297" /><Relationship Type="http://schemas.openxmlformats.org/officeDocument/2006/relationships/worksheet" Target="/xl/worksheets/sheet12.xml" Id="R11e018f309834c7f" /><Relationship Type="http://schemas.microsoft.com/office/2017/10/relationships/person" Target="/xl/persons/person.xml" Id="R56b3df311d404bdb" /></Relationships>
</file>

<file path=xl/persons/person.xml><?xml version="1.0" encoding="utf-8"?>
<xltc:personList xmlns:xltc="http://schemas.microsoft.com/office/spreadsheetml/2018/threadedcomments">
  <xltc:person displayName="LEGION" id="{C9EDECE1-6C84-331C-8B7B-2A2057625F76}"/>
</xltc:personList>
</file>

<file path=xl/tables/table1.xml><?xml version="1.0" encoding="utf-8"?>
<x:table xmlns:x="http://schemas.openxmlformats.org/spreadsheetml/2006/main" id="8" name="TblPerumahan" displayName="TblPerumahan" ref="A5:AE361">
  <x:autoFilter ref="A5:AE361"/>
  <x:tableColumns count="31">
    <x:tableColumn id="1" name="ID_PERUMAHAN*"/>
    <x:tableColumn id="2" name="NAMA_PERUMAHAN*"/>
    <x:tableColumn id="3" name="KATEGORI"/>
    <x:tableColumn id="4" name="KECAMATAN*"/>
    <x:tableColumn id="5" name="KELURAHAN*"/>
    <x:tableColumn id="6" name="ALAMAT"/>
    <x:tableColumn id="7" name="PENGEMBANG"/>
    <x:tableColumn id="8" name="DIREKTUR/PELAKSANA"/>
    <x:tableColumn id="9" name="ASOSIASI"/>
    <x:tableColumn id="10" name="TAHUN_SITEPLAN"/>
    <x:tableColumn id="11" name="JUMLAH_SITEPLAN"/>
    <x:tableColumn id="12" name="JUMLAH_TERBANGUN"/>
    <x:tableColumn id="13" name="JUMLAH_TERHUNI"/>
    <x:tableColumn id="14" name="STATUS_PSU*"/>
    <x:tableColumn id="15" name="TAHUN_SERAH_TERIMA_PSU"/>
    <x:tableColumn id="16" name="LUAS_RTH_M2"/>
    <x:tableColumn id="17" name="STATUS_RTH"/>
    <x:tableColumn id="18" name="STATUS_JALAN"/>
    <x:tableColumn id="19" name="STATUS_PENGEMBANG"/>
    <x:tableColumn id="20" name="STATUS_RAWAN_BANJIR"/>
    <x:tableColumn id="21" name="CATATAN"/>
    <x:tableColumn id="22" name="LATITUDE" dataDxfId="30"/>
    <x:tableColumn id="23" name="LONGITUDE"/>
    <x:tableColumn id="31" name="GEOJSON" dataDxfId="29"/>
    <x:tableColumn id="24" name="TAHUN_DATA*"/>
    <x:tableColumn id="25" name="SUMBER_DATA*"/>
    <x:tableColumn id="26" name="STATUS_VERIFIKASI*"/>
    <x:tableColumn id="27" name="TANGGAL_UPDATE*" dataDxfId="28"/>
    <x:tableColumn id="28" name="OPERATOR*"/>
    <x:tableColumn id="29" name="PERSEN_TERBANGUN"/>
    <x:tableColumn id="30" name="PERSEN_TERHUNI"/>
  </x:tableColumns>
  <x:tableStyleInfo name="TableStyleMedium2" showFirstColumn="0" showLastColumn="0" showRowStripes="1" showColumnStripes="0"/>
</x:table>
</file>

<file path=xl/tables/table2.xml><?xml version="1.0" encoding="utf-8"?>
<x:table xmlns:x="http://schemas.openxmlformats.org/spreadsheetml/2006/main" id="2" name="TblBacklogKecamatan3" displayName="TblBacklogKecamatan3" ref="A5:R13">
  <x:tableColumns count="18">
    <x:tableColumn id="1" name="ID_BACKLOG*"/>
    <x:tableColumn id="2" name="TINGKAT_WILAYAH*"/>
    <x:tableColumn id="3" name="KECAMATAN/WILAYAH*"/>
    <x:tableColumn id="4" name="JUMLAH_KK*"/>
    <x:tableColumn id="5" name="MILIK_SENDIRI*"/>
    <x:tableColumn id="6" name="SEWA_KONTRAK*"/>
    <x:tableColumn id="7" name="MENUMPANG_BEBAS_SEWA*"/>
    <x:tableColumn id="8" name="RUMAH_DINAS*"/>
    <x:tableColumn id="9" name="LAINNYA*"/>
    <x:tableColumn id="10" name="UNIT_HUNIAN_TERDATA"/>
    <x:tableColumn id="11" name="BACKLOG_KEPEMILIKAN"/>
    <x:tableColumn id="12" name="BACKLOG_HUNIAN"/>
    <x:tableColumn id="13" name="TAHUN_DATA*"/>
    <x:tableColumn id="14" name="SUMBER_DATA*"/>
    <x:tableColumn id="15" name="STATUS_VERIFIKASI*"/>
    <x:tableColumn id="16" name="TANGGAL_UPDATE*"/>
    <x:tableColumn id="17" name="OPERATOR*"/>
    <x:tableColumn id="18" name="KETERANGAN"/>
  </x:tableColumns>
  <x:tableStyleInfo name="TableStyleMedium2" showFirstColumn="0" showLastColumn="0" showRowStripes="1" showColumnStripes="0"/>
</x:table>
</file>

<file path=xl/tables/table3.xml><?xml version="1.0" encoding="utf-8"?>
<x:table xmlns:x="http://schemas.openxmlformats.org/spreadsheetml/2006/main" id="3" name="TblRTLHRLH" displayName="TblRTLHRLH" ref="A5:K55">
  <x:tableColumns count="11">
    <x:tableColumn id="1" name="ID_REKAP*"/>
    <x:tableColumn id="2" name="KECAMATAN*"/>
    <x:tableColumn id="3" name="JUMLAH_RUMAH*"/>
    <x:tableColumn id="4" name="RTLH*"/>
    <x:tableColumn id="5" name="RLH"/>
    <x:tableColumn id="6" name="PERSENTASE_RTLH"/>
    <x:tableColumn id="7" name="TAHUN_DATA*"/>
    <x:tableColumn id="8" name="SUMBER_DATA*"/>
    <x:tableColumn id="9" name="STATUS_VERIFIKASI*"/>
    <x:tableColumn id="10" name="TANGGAL_UPDATE*"/>
    <x:tableColumn id="11" name="OPERATOR*"/>
  </x:tableColumns>
  <x:tableStyleInfo name="TableStyleMedium2" showFirstColumn="0" showLastColumn="0" showRowStripes="1" showColumnStripes="0"/>
</x:table>
</file>

<file path=xl/tables/table4.xml><?xml version="1.0" encoding="utf-8"?>
<x:table xmlns:x="http://schemas.openxmlformats.org/spreadsheetml/2006/main" id="1" name="TblRTLHIndividu2" displayName="TblRTLHIndividu2" ref="A5:BF289" headerRowBorderDxfId="26">
  <x:sortState ref="A6:BF289">
    <x:sortCondition ref="A6"/>
  </x:sortState>
  <x:tableColumns count="58">
    <x:tableColumn id="1" name="ID_RTLH*"/>
    <x:tableColumn id="2" name="NAMA_KEPALA_KELUARGA*"/>
    <x:tableColumn id="3" name="NIK"/>
    <x:tableColumn id="4" name="NO_KK"/>
    <x:tableColumn id="5" name="ALAMAT*"/>
    <x:tableColumn id="6" name="KELURAHAN*"/>
    <x:tableColumn id="7" name="KECAMATAN*"/>
    <x:tableColumn id="8" name="JENIS_USULAN*"/>
    <x:tableColumn id="9" name="CATATAN_VERIFIKASI*"/>
    <x:tableColumn id="10" name="TIPE_KONSTRUKSI_RUMAH*"/>
    <x:tableColumn id="11" name="MATERIAL_ATAP"/>
    <x:tableColumn id="12" name="KONDISI_ATAP"/>
    <x:tableColumn id="13" name="MATERIAL_DINDING"/>
    <x:tableColumn id="14" name="KONDISI_DINDING"/>
    <x:tableColumn id="15" name="MATERIAL_LANTAI"/>
    <x:tableColumn id="16" name="KONDISI_LANTAI"/>
    <x:tableColumn id="17" name="STATUS_MBR*" dataDxfId="25"/>
    <x:tableColumn id="18" name="RENTAN_LANSIA*" dataDxfId="24"/>
    <x:tableColumn id="19" name="RENTAN_DISABILITAS*" dataDxfId="23"/>
    <x:tableColumn id="20" name="RENTAN_KEPALA_KELUARGA_PEREMPUAN*" dataDxfId="22"/>
    <x:tableColumn id="21" name="RENTAN_BALITA*" dataDxfId="21"/>
    <x:tableColumn id="22" name="RENTAN_KETERGANTUNGAN_TINGGI*" dataDxfId="20"/>
    <x:tableColumn id="23" name="CATATAN_KERENTANAN_PENGHUNI"/>
    <x:tableColumn id="24" name="FAKTOR_KERENTANAN_TERPILIH" dataDxfId="19">
      <x:calculatedColumnFormula>IF(COUNTIF(R6:V6,"Belum Dinilai")&gt;0,"Belum Dinilai",IF(COUNTIF(R6:V6,"Ya")=0,"Tidak ada faktor rentan",IF(R6="Ya","Lansia; ","")&amp;IF(S6="Ya","Penyandang disabilitas; ","")&amp;IF(T6="Ya","Kepala keluarga perempuan; ","")&amp;IF(U6="Ya","Balita; ","")&amp;IF(V6="Ya","Anggota keluarga dengan ketergantungan tinggi; ","")))</x:calculatedColumnFormula>
    </x:tableColumn>
    <x:tableColumn id="25" name="TINGKAT_KERENTANAN_PENGHUNI" dataDxfId="18">
      <x:calculatedColumnFormula>IF(COUNTIF(R6:V6,"Belum Dinilai")&gt;0,"Belum Dinilai",IF(COUNTIF(R6:V6,"Ya")=0,"Tidak Ada Faktor Rentan",IF(COUNTIF(R6:V6,"Ya")=1,"1 Faktor Rentan","2 atau Lebih Faktor Rentan")))</x:calculatedColumnFormula>
    </x:tableColumn>
    <x:tableColumn id="26" name="SKOR_MBR" dataDxfId="17">
      <x:calculatedColumnFormula>IF(OR(Q6="",Q6="Belum Dinilai"),"",IF(Q6="Terverifikasi DTKS/P3KE/MBR",10,IF(Q6="Diusulkan, Belum Terverifikasi",5,0)))</x:calculatedColumnFormula>
    </x:tableColumn>
    <x:tableColumn id="27" name="SKOR_FAKTOR_RENTAN" dataDxfId="16">
      <x:calculatedColumnFormula>IF(COUNTIF(R6:V6,"Belum Dinilai")&gt;0,"",IF(COUNTIF(R6:V6,"Ya")=0,0,IF(COUNTIF(R6:V6,"Ya")=1,5,10)))</x:calculatedColumnFormula>
    </x:tableColumn>
    <x:tableColumn id="28" name="SKOR_KERENTANAN" dataDxfId="15">
      <x:calculatedColumnFormula>IF(OR(Z6="",AA6=""),"",Z6+AA6)</x:calculatedColumnFormula>
    </x:tableColumn>
    <x:tableColumn id="29" name="RISIKO_BANGUNAN_BERPOTENSI_ROBOH*"/>
    <x:tableColumn id="30" name="RISIKO_BEKAS_KEBAKARAN_TIDAK_AMAN*"/>
    <x:tableColumn id="31" name="RISIKO_ATAP_DINDING_HAMPIR_RUNTUH*"/>
    <x:tableColumn id="32" name="RISIKO_GENANGAN_MEMBAHAYAKAN*"/>
    <x:tableColumn id="33" name="RISIKO_STRUKTUR_TIDAK_STABIL*"/>
    <x:tableColumn id="34" name="RISIKO_INSTALASI_LISTRIK_BERBAHAYA*"/>
    <x:tableColumn id="35" name="RISIKO_KOMPONEN_LEPAS_LAPUK*"/>
    <x:tableColumn id="36" name="RISIKO_AKSES_EVAKUASI_TERBATAS*"/>
    <x:tableColumn id="37" name="RISIKO_LOKASI_RAWAN_BENCANA*"/>
    <x:tableColumn id="38" name="RISIKO_LAINNYA"/>
    <x:tableColumn id="39" name="TINGKAT_RISIKO_LAINNYA"/>
    <x:tableColumn id="40" name="FAKTOR_RISIKO_TERPILIH" dataDxfId="14">
      <x: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x:calculatedColumnFormula>
    </x:tableColumn>
    <x:tableColumn id="41" name="TINGKAT_RISIKO_KESELAMATAN" dataDxfId="13">
      <x:calculatedColumnFormula>IF(AR6="","Belum Dinilai",IF(AR6=10,"Risiko Tinggi/Darurat",IF(AR6=5,"Risiko Sedang","Tidak Ada Risiko Khusus")))</x:calculatedColumnFormula>
    </x:tableColumn>
    <x:tableColumn id="42" name="CATATAN_RISIKO_KESELAMATAN"/>
    <x:tableColumn id="43" name="SKOR_TEKNIS">
      <x: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x:calculatedColumnFormula>
    </x:tableColumn>
    <x:tableColumn id="44" name="SKOR_RISIKO">
      <x: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x:calculatedColumnFormula>
    </x:tableColumn>
    <x:tableColumn id="45" name="SKOR_PRIORITAS">
      <x:calculatedColumnFormula>IF(OR(AQ6="",AB6="",AR6=""),"",AQ6+AB6+AR6)</x:calculatedColumnFormula>
    </x:tableColumn>
    <x:tableColumn id="46" name="TINGKAT_PRIORITAS">
      <x:calculatedColumnFormula>IF(AS6="","Belum Dapat Ditentukan",IF(AS6&gt;=80,"Sangat Tinggi",IF(OR(AO6="Risiko Tinggi/Darurat",(IF(L6="Rusak Berat",1,0)+IF(L6="Tidak Ada/Terbuka",1,0)+IF(N6="Rusak Berat",1,0)+IF(N6="Tidak Ada/Terbuka",1,0)+IF(P6="Rusak Berat",1,0)+IF(P6="Tidak Layak",1,0))&gt;=2),"Tinggi",IF(AS6&gt;=65,"Tinggi",IF(AS6&gt;=50,"Sedang","Rendah")))))</x:calculatedColumnFormula>
    </x:tableColumn>
    <x:tableColumn id="47" name="STATUS_ADMINISTRASI*"/>
    <x:tableColumn id="48" name="STATUS_VERIFIKASI*"/>
    <x:tableColumn id="49" name="STATUS_PENANGANAN*"/>
    <x:tableColumn id="50" name="SUMBER_DANA"/>
    <x:tableColumn id="51" name="TAHUN_PENANGANAN"/>
    <x:tableColumn id="52" name="STATUS_KEPEMILIKAN_TANAH"/>
    <x:tableColumn id="53" name="NOMOR_HP"/>
    <x:tableColumn id="54" name="TANGGAL_SURVEI"/>
    <x:tableColumn id="55" name="TAHUN_DATA*"/>
    <x:tableColumn id="56" name="SUMBER_DATA*"/>
    <x:tableColumn id="57" name="TANGGAL_UPDATE*"/>
    <x:tableColumn id="58" name="OPERATOR*"/>
  </x:tableColumns>
  <x:tableStyleInfo name="TableStyleMedium2" showFirstColumn="0" showLastColumn="0" showRowStripes="1" showColumnStripes="0"/>
</x:table>
</file>

<file path=xl/tables/table5.xml><?xml version="1.0" encoding="utf-8"?>
<x:table xmlns:x="http://schemas.openxmlformats.org/spreadsheetml/2006/main" id="5" name="TblRusunawaUnit" displayName="TblRusunawaUnit" ref="A5:N202">
  <x:tableColumns count="14">
    <x:tableColumn id="1" name="ID_UNIT*"/>
    <x:tableColumn id="2" name="NAMA_RUSUNAWA*"/>
    <x:tableColumn id="3" name="BLOK*"/>
    <x:tableColumn id="4" name="LANTAI*"/>
    <x:tableColumn id="5" name="NOMOR_UNIT*"/>
    <x:tableColumn id="6" name="TIPE_UNIT"/>
    <x:tableColumn id="7" name="STATUS_UNIT*"/>
    <x:tableColumn id="8" name="KONDISI_UNIT*"/>
    <x:tableColumn id="9" name="KETERANGAN"/>
    <x:tableColumn id="10" name="TAHUN_DATA*"/>
    <x:tableColumn id="11" name="SUMBER_DATA*"/>
    <x:tableColumn id="12" name="STATUS_VERIFIKASI*"/>
    <x:tableColumn id="13" name="TANGGAL_UPDATE*"/>
    <x:tableColumn id="14" name="OPERATOR*"/>
  </x:tableColumns>
  <x:tableStyleInfo name="TableStyleMedium2" showFirstColumn="0" showLastColumn="0" showRowStripes="1" showColumnStripes="0"/>
</x:table>
</file>

<file path=xl/tables/table6.xml><?xml version="1.0" encoding="utf-8"?>
<x:table xmlns:x="http://schemas.openxmlformats.org/spreadsheetml/2006/main" id="9" name="TblRusunawaRetribusi2" displayName="TblRusunawaRetribusi2" ref="A5:M105">
  <x:tableColumns count="13">
    <x:tableColumn id="1" name="ID_RETRIBUSI*"/>
    <x:tableColumn id="2" name="NAMA_RUSUNAWA*"/>
    <x:tableColumn id="3" name="TAHUN*"/>
    <x:tableColumn id="4" name="BULAN*"/>
    <x:tableColumn id="5" name="TARGET_TAHUNAN*"/>
    <x:tableColumn id="6" name="REALISASI*"/>
    <x:tableColumn id="7" name="REALISASI_KUMULATIF"/>
    <x:tableColumn id="8" name="CAPAIAN_PERSEN"/>
    <x:tableColumn id="9" name="STATUS_VERIFIKASI*"/>
    <x:tableColumn id="10" name="SUMBER_DATA*"/>
    <x:tableColumn id="11" name="TANGGAL_UPDATE*"/>
    <x:tableColumn id="12" name="OPERATOR*"/>
    <x:tableColumn id="13" name="CATATAN"/>
  </x:tableColumns>
  <x:tableStyleInfo name="TableStyleMedium2" showFirstColumn="0" showLastColumn="0" showRowStripes="1" showColumnStripes="0"/>
</x:table>
</file>

<file path=xl/tables/table7.xml><?xml version="1.0" encoding="utf-8"?>
<x:table xmlns:x="http://schemas.openxmlformats.org/spreadsheetml/2006/main" id="7" name="TblRusunawaSarpras" displayName="TblRusunawaSarpras" ref="A5:N155">
  <x:tableColumns count="14">
    <x:tableColumn id="1" name="ID_SARPRAS*"/>
    <x:tableColumn id="2" name="NAMA_RUSUNAWA*"/>
    <x:tableColumn id="3" name="KOMPONEN*"/>
    <x:tableColumn id="4" name="LOKASI"/>
    <x:tableColumn id="5" name="KONDISI*"/>
    <x:tableColumn id="6" name="PRIORITAS*"/>
    <x:tableColumn id="7" name="TINDAK_LANJUT*"/>
    <x:tableColumn id="8" name="STATUS_TINDAK_LANJUT*"/>
    <x:tableColumn id="9" name="TANGGAL_PEMERIKSAAN*"/>
    <x:tableColumn id="10" name="TAHUN_DATA*"/>
    <x:tableColumn id="11" name="SUMBER_DATA*"/>
    <x:tableColumn id="12" name="STATUS_VERIFIKASI*"/>
    <x:tableColumn id="13" name="TANGGAL_UPDATE*"/>
    <x:tableColumn id="14" name="OPERATO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drive.google.com/file/d/11zlO9h6tI3kXsZ-QtmcP0gTjV8jlHGlz/view?usp=sharing" TargetMode="External" Id="R7e24ea05c95941c5" /><Relationship Type="http://schemas.openxmlformats.org/officeDocument/2006/relationships/hyperlink" Target="https://drive.google.com/file/d/11zlO9h6tI3kXsZ-QtmcP0gTjV8jlHGlz/view?usp=sharing" TargetMode="External" Id="R20c81b0f3a484286" /></Relationships>
</file>

<file path=xl/worksheets/_rels/sheet2.xml.rels>&#65279;<?xml version="1.0" encoding="utf-8"?><Relationships xmlns="http://schemas.openxmlformats.org/package/2006/relationships"><Relationship Type="http://schemas.openxmlformats.org/officeDocument/2006/relationships/table" Target="/xl/tables/table1.xml" Id="Raa1a0586bfff4c6c" /></Relationships>
</file>

<file path=xl/worksheets/_rels/sheet3.xml.rels>&#65279;<?xml version="1.0" encoding="utf-8"?><Relationships xmlns="http://schemas.openxmlformats.org/package/2006/relationships"><Relationship Type="http://schemas.openxmlformats.org/officeDocument/2006/relationships/table" Target="/xl/tables/table2.xml" Id="Rbfa9cab6076348d9" /></Relationships>
</file>

<file path=xl/worksheets/_rels/sheet4.xml.rels>&#65279;<?xml version="1.0" encoding="utf-8"?><Relationships xmlns="http://schemas.openxmlformats.org/package/2006/relationships"><Relationship Type="http://schemas.openxmlformats.org/officeDocument/2006/relationships/table" Target="/xl/tables/table3.xml" Id="R5711ff3ea24c4b57" /></Relationships>
</file>

<file path=xl/worksheets/_rels/sheet5.xml.rels>&#65279;<?xml version="1.0" encoding="utf-8"?><Relationships xmlns="http://schemas.openxmlformats.org/package/2006/relationships"><Relationship Type="http://schemas.openxmlformats.org/officeDocument/2006/relationships/comments" Target="/xl/comments1.xml" Id="Rf9aa9ee215804ed0" /><Relationship Type="http://schemas.openxmlformats.org/officeDocument/2006/relationships/vmlDrawing" Target="/xl/drawings/vmldrawing.vml" Id="R8719e7f066a94cad" /><Relationship Type="http://schemas.openxmlformats.org/officeDocument/2006/relationships/table" Target="/xl/tables/table4.xml" Id="Rf4a4c7c0f5a2475e" /></Relationships>
</file>

<file path=xl/worksheets/_rels/sheet6.xml.rels>&#65279;<?xml version="1.0" encoding="utf-8"?><Relationships xmlns="http://schemas.openxmlformats.org/package/2006/relationships"><Relationship Type="http://schemas.openxmlformats.org/officeDocument/2006/relationships/table" Target="/xl/tables/table5.xml" Id="Rc36868055c2d4522" /></Relationships>
</file>

<file path=xl/worksheets/_rels/sheet7.xml.rels>&#65279;<?xml version="1.0" encoding="utf-8"?><Relationships xmlns="http://schemas.openxmlformats.org/package/2006/relationships"><Relationship Type="http://schemas.openxmlformats.org/officeDocument/2006/relationships/table" Target="/xl/tables/table6.xml" Id="R62c0a60326804331" /></Relationships>
</file>

<file path=xl/worksheets/_rels/sheet8.xml.rels>&#65279;<?xml version="1.0" encoding="utf-8"?><Relationships xmlns="http://schemas.openxmlformats.org/package/2006/relationships"><Relationship Type="http://schemas.openxmlformats.org/officeDocument/2006/relationships/table" Target="/xl/tables/table7.xml" Id="R4be7ee14cd534bb4" /></Relationships>
</file>

<file path=xl/worksheets/sheet1.xml><?xml version="1.0" encoding="utf-8"?>
<x:worksheet xmlns:x="http://schemas.openxmlformats.org/spreadsheetml/2006/main">
  <x:sheetFormatPr defaultRowHeight="14"/>
  <x:cols>
    <x:col min="1" max="2" width="16" customWidth="1"/>
    <x:col min="3" max="3" width="17" customWidth="1"/>
    <x:col min="4" max="4" width="25" customWidth="1"/>
    <x:col min="5" max="5" width="34" customWidth="1"/>
    <x:col min="6" max="6" width="22" customWidth="1"/>
    <x:col min="7" max="7" width="16" style="81" customWidth="1"/>
    <x:col min="8" max="8" width="38" customWidth="1"/>
    <x:col min="9" max="9" width="12" customWidth="1"/>
    <x:col min="10" max="10" width="20" customWidth="1"/>
    <x:col min="11" max="11" width="34" customWidth="1"/>
    <x:col min="12" max="12" width="22" customWidth="1"/>
    <x:col min="13" max="13" width="18" customWidth="1"/>
    <x:col min="14" max="14" width="16" customWidth="1"/>
  </x:cols>
  <x:sheetData>
    <x:row r="1" ht="16" customHeight="1">
      <x:c r="A1" s="231" t="s">
        <x:v>0</x:v>
      </x:c>
      <x:c r="B1" s="231"/>
      <x:c r="C1" s="231"/>
      <x:c r="D1" s="231"/>
      <x:c r="E1" s="231"/>
      <x:c r="F1" s="231"/>
      <x:c r="G1" s="231"/>
      <x:c r="H1" s="231"/>
      <x:c r="I1" s="231"/>
      <x:c r="J1" s="231"/>
      <x:c r="K1" s="231"/>
      <x:c r="L1" s="231"/>
      <x:c r="M1" s="231"/>
      <x:c r="N1" s="231"/>
    </x:row>
    <x:row r="2" ht="24" customHeight="1">
      <x:c r="A2" s="232" t="s">
        <x:v>1</x:v>
      </x:c>
      <x:c r="B2" s="232"/>
      <x:c r="C2" s="232"/>
      <x:c r="D2" s="232"/>
      <x:c r="E2" s="232"/>
      <x:c r="F2" s="232"/>
      <x:c r="G2" s="232"/>
      <x:c r="H2" s="232"/>
      <x:c r="I2" s="232"/>
      <x:c r="J2" s="232"/>
      <x:c r="K2" s="232"/>
      <x:c r="L2" s="232"/>
      <x:c r="M2" s="232"/>
      <x:c r="N2" s="232"/>
    </x:row>
    <x:row r="3" ht="30.649999618530273" customHeight="1">
      <x:c r="A3" s="233" t="s">
        <x:v>2</x:v>
      </x:c>
      <x:c r="B3" s="233"/>
      <x:c r="C3" s="233"/>
      <x:c r="D3" s="233"/>
      <x:c r="E3" s="233"/>
      <x:c r="F3" s="233"/>
      <x:c r="G3" s="233"/>
      <x:c r="H3" s="233"/>
      <x:c r="I3" s="233"/>
      <x:c r="J3" s="233"/>
      <x:c r="K3" s="233"/>
      <x:c r="L3" s="233"/>
      <x:c r="M3" s="233"/>
      <x:c r="N3" s="233"/>
    </x:row>
    <x:row r="5" ht="22.649999618530273" customHeight="1">
      <x:c r="A5" s="223" t="s">
        <x:v>3</x:v>
      </x:c>
      <x:c r="B5" s="223" t="s">
        <x:v>4</x:v>
      </x:c>
      <x:c r="C5" s="223" t="s">
        <x:v>5</x:v>
      </x:c>
      <x:c r="D5" s="223" t="s">
        <x:v>6</x:v>
      </x:c>
      <x:c r="E5" s="223" t="s">
        <x:v>7</x:v>
      </x:c>
      <x:c r="F5" s="223" t="s">
        <x:v>8</x:v>
      </x:c>
      <x:c r="G5" s="224" t="s">
        <x:v>9</x:v>
      </x:c>
      <x:c r="H5" s="223" t="s">
        <x:v>10</x:v>
      </x:c>
      <x:c r="I5" s="223" t="s">
        <x:v>11</x:v>
      </x:c>
      <x:c r="J5" s="223" t="s">
        <x:v>12</x:v>
      </x:c>
      <x:c r="K5" s="223" t="s">
        <x:v>13</x:v>
      </x:c>
      <x:c r="L5" s="223" t="s">
        <x:v>14</x:v>
      </x:c>
      <x:c r="M5" s="223" t="s">
        <x:v>15</x:v>
      </x:c>
      <x:c r="N5" s="223" t="s">
        <x:v>16</x:v>
      </x:c>
    </x:row>
    <x:row r="6" ht="16" customHeight="1">
      <x:c r="A6" t="s">
        <x:v>17</x:v>
      </x:c>
      <x:c r="B6" s="221" t="s">
        <x:v>18</x:v>
      </x:c>
      <x:c r="C6" t="s">
        <x:v>19</x:v>
      </x:c>
      <x:c r="D6" s="221" t="s">
        <x:v>20</x:v>
      </x:c>
      <x:c r="E6" s="221" t="s">
        <x:v>21</x:v>
      </x:c>
      <x:c r="F6" s="221">
        <x:v>1</x:v>
      </x:c>
      <x:c r="G6" s="225"/>
      <x:c r="H6" s="227" t="s">
        <x:v>22</x:v>
      </x:c>
      <x:c r="I6" s="221" t="s">
        <x:v>23</x:v>
      </x:c>
      <x:c r="J6" s="221" t="s">
        <x:v>24</x:v>
      </x:c>
      <x:c r="K6" s="221"/>
      <x:c r="L6" s="221"/>
      <x:c r="M6" s="222"/>
      <x:c r="N6" s="221"/>
    </x:row>
    <x:row r="7" ht="16" customHeight="1">
      <x:c r="A7" t="s">
        <x:v>25</x:v>
      </x:c>
      <x:c r="B7" s="221" t="s">
        <x:v>26</x:v>
      </x:c>
      <x:c r="C7" t="s">
        <x:v>19</x:v>
      </x:c>
      <x:c r="D7" s="221" t="s">
        <x:v>27</x:v>
      </x:c>
      <x:c r="E7" s="221" t="s">
        <x:v>28</x:v>
      </x:c>
      <x:c r="F7" s="221">
        <x:v>2</x:v>
      </x:c>
      <x:c r="G7" s="225"/>
      <x:c r="H7" s="227" t="s">
        <x:v>22</x:v>
      </x:c>
      <x:c r="I7" s="221" t="s">
        <x:v>29</x:v>
      </x:c>
      <x:c r="J7" s="221" t="s">
        <x:v>30</x:v>
      </x:c>
      <x:c r="K7" s="221"/>
      <x:c r="L7" s="221"/>
      <x:c r="M7" s="222"/>
      <x:c r="N7" s="221"/>
    </x:row>
    <x:row r="8" ht="16" customHeight="1">
      <x:c r="A8" s="221"/>
      <x:c r="B8" s="221"/>
      <x:c r="C8" s="221"/>
      <x:c r="D8" s="221"/>
      <x:c r="E8" s="221"/>
      <x:c r="F8" s="221"/>
      <x:c r="G8" s="225"/>
      <x:c r="H8" s="221"/>
      <x:c r="I8" s="221"/>
      <x:c r="J8" s="221"/>
      <x:c r="K8" s="221"/>
      <x:c r="L8" s="221"/>
      <x:c r="M8" s="222"/>
      <x:c r="N8" s="221"/>
    </x:row>
    <x:row r="9" ht="16" customHeight="1">
      <x:c r="A9" s="221"/>
      <x:c r="B9" s="221"/>
      <x:c r="C9" s="221"/>
      <x:c r="D9" s="221"/>
      <x:c r="E9" s="221"/>
      <x:c r="F9" s="221"/>
      <x:c r="G9" s="225"/>
      <x:c r="H9" s="221"/>
      <x:c r="I9" s="221"/>
      <x:c r="J9" s="221"/>
      <x:c r="K9" s="221"/>
      <x:c r="L9" s="221"/>
      <x:c r="M9" s="222"/>
      <x:c r="N9" s="221"/>
    </x:row>
    <x:row r="10" ht="16" customHeight="1">
      <x:c r="A10" s="221"/>
      <x:c r="B10" s="221"/>
      <x:c r="C10" s="221"/>
      <x:c r="D10" s="221"/>
      <x:c r="E10" s="221"/>
      <x:c r="F10" s="221"/>
      <x:c r="G10" s="225"/>
      <x:c r="H10" s="221"/>
      <x:c r="I10" s="221"/>
      <x:c r="J10" s="221"/>
      <x:c r="K10" s="221"/>
      <x:c r="L10" s="221"/>
      <x:c r="M10" s="222"/>
      <x:c r="N10" s="221"/>
    </x:row>
    <x:row r="11" ht="16" customHeight="1">
      <x:c r="A11" s="221"/>
      <x:c r="B11" s="221"/>
      <x:c r="C11" s="221"/>
      <x:c r="D11" s="221"/>
      <x:c r="E11" s="221"/>
      <x:c r="F11" s="221"/>
      <x:c r="G11" s="225"/>
      <x:c r="H11" s="221"/>
      <x:c r="I11" s="221"/>
      <x:c r="J11" s="221"/>
      <x:c r="K11" s="221"/>
      <x:c r="L11" s="221"/>
      <x:c r="M11" s="222"/>
      <x:c r="N11" s="221"/>
    </x:row>
    <x:row r="12" ht="16" customHeight="1">
      <x:c r="A12" s="221"/>
      <x:c r="B12" s="221"/>
      <x:c r="C12" s="221"/>
      <x:c r="D12" s="221"/>
      <x:c r="E12" s="221"/>
      <x:c r="F12" s="221"/>
      <x:c r="G12" s="225"/>
      <x:c r="H12" s="221"/>
      <x:c r="I12" s="221"/>
      <x:c r="J12" s="221"/>
      <x:c r="K12" s="221"/>
      <x:c r="L12" s="221"/>
      <x:c r="M12" s="222"/>
      <x:c r="N12" s="221"/>
    </x:row>
    <x:row r="13" ht="16" customHeight="1">
      <x:c r="A13" s="221"/>
      <x:c r="B13" s="221"/>
      <x:c r="C13" s="221"/>
      <x:c r="D13" s="221"/>
      <x:c r="E13" s="221"/>
      <x:c r="F13" s="221"/>
      <x:c r="G13" s="225"/>
      <x:c r="H13" s="221"/>
      <x:c r="I13" s="221"/>
      <x:c r="J13" s="221"/>
      <x:c r="K13" s="221"/>
      <x:c r="L13" s="221"/>
      <x:c r="M13" s="222"/>
      <x:c r="N13" s="221"/>
    </x:row>
    <x:row r="14" ht="16" customHeight="1">
      <x:c r="A14" s="221"/>
      <x:c r="B14" s="221"/>
      <x:c r="C14" s="221"/>
      <x:c r="D14" s="221"/>
      <x:c r="E14" s="221"/>
      <x:c r="F14" s="221"/>
      <x:c r="G14" s="225"/>
      <x:c r="H14" s="221"/>
      <x:c r="I14" s="221"/>
      <x:c r="J14" s="221"/>
      <x:c r="K14" s="221"/>
      <x:c r="L14" s="221"/>
      <x:c r="M14" s="222"/>
      <x:c r="N14" s="221"/>
    </x:row>
    <x:row r="15" ht="16" customHeight="1">
      <x:c r="A15" s="221"/>
      <x:c r="B15" s="221"/>
      <x:c r="C15" s="221"/>
      <x:c r="D15" s="221"/>
      <x:c r="E15" s="221"/>
      <x:c r="F15" s="221"/>
      <x:c r="G15" s="225"/>
      <x:c r="H15" s="221"/>
      <x:c r="I15" s="221"/>
      <x:c r="J15" s="221"/>
      <x:c r="K15" s="221"/>
      <x:c r="L15" s="221"/>
      <x:c r="M15" s="222"/>
      <x:c r="N15" s="221"/>
    </x:row>
    <x:row r="16" ht="16" customHeight="1">
      <x:c r="A16" s="221"/>
      <x:c r="B16" s="221"/>
      <x:c r="C16" s="221"/>
      <x:c r="D16" s="221"/>
      <x:c r="E16" s="221"/>
      <x:c r="F16" s="221"/>
      <x:c r="G16" s="225"/>
      <x:c r="H16" s="221"/>
      <x:c r="I16" s="221"/>
      <x:c r="J16" s="221"/>
      <x:c r="K16" s="221"/>
      <x:c r="L16" s="221"/>
      <x:c r="M16" s="222"/>
      <x:c r="N16" s="221"/>
    </x:row>
    <x:row r="17" ht="16" customHeight="1">
      <x:c r="A17" s="221"/>
      <x:c r="B17" s="221"/>
      <x:c r="C17" s="221"/>
      <x:c r="D17" s="221"/>
      <x:c r="E17" s="221"/>
      <x:c r="F17" s="221"/>
      <x:c r="G17" s="225"/>
      <x:c r="H17" s="221"/>
      <x:c r="I17" s="221"/>
      <x:c r="J17" s="221"/>
      <x:c r="K17" s="221"/>
      <x:c r="L17" s="221"/>
      <x:c r="M17" s="222"/>
      <x:c r="N17" s="221"/>
    </x:row>
    <x:row r="18" ht="16" customHeight="1">
      <x:c r="A18" s="221"/>
      <x:c r="B18" s="221"/>
      <x:c r="C18" s="221"/>
      <x:c r="D18" s="221"/>
      <x:c r="E18" s="221"/>
      <x:c r="F18" s="221"/>
      <x:c r="G18" s="225"/>
      <x:c r="H18" s="221"/>
      <x:c r="I18" s="221"/>
      <x:c r="J18" s="221"/>
      <x:c r="K18" s="221"/>
      <x:c r="L18" s="221"/>
      <x:c r="M18" s="222"/>
      <x:c r="N18" s="221"/>
    </x:row>
    <x:row r="19" ht="16" customHeight="1">
      <x:c r="A19" s="221"/>
      <x:c r="B19" s="221"/>
      <x:c r="C19" s="221"/>
      <x:c r="D19" s="221"/>
      <x:c r="E19" s="221"/>
      <x:c r="F19" s="221"/>
      <x:c r="G19" s="225"/>
      <x:c r="H19" s="221"/>
      <x:c r="I19" s="221"/>
      <x:c r="J19" s="221"/>
      <x:c r="K19" s="221"/>
      <x:c r="L19" s="221"/>
      <x:c r="M19" s="222"/>
      <x:c r="N19" s="221"/>
    </x:row>
    <x:row r="20" ht="16" customHeight="1">
      <x:c r="A20" s="221"/>
      <x:c r="B20" s="221"/>
      <x:c r="C20" s="221"/>
      <x:c r="D20" s="221"/>
      <x:c r="E20" s="221"/>
      <x:c r="F20" s="221"/>
      <x:c r="G20" s="225"/>
      <x:c r="H20" s="221"/>
      <x:c r="I20" s="221"/>
      <x:c r="J20" s="221"/>
      <x:c r="K20" s="221"/>
      <x:c r="L20" s="221"/>
      <x:c r="M20" s="222"/>
      <x:c r="N20" s="221"/>
    </x:row>
    <x:row r="21" ht="16" customHeight="1">
      <x:c r="A21" s="221"/>
      <x:c r="B21" s="221"/>
      <x:c r="C21" s="221"/>
      <x:c r="D21" s="221"/>
      <x:c r="E21" s="221"/>
      <x:c r="F21" s="221"/>
      <x:c r="G21" s="225"/>
      <x:c r="H21" s="221"/>
      <x:c r="I21" s="221"/>
      <x:c r="J21" s="221"/>
      <x:c r="K21" s="221"/>
      <x:c r="L21" s="221"/>
      <x:c r="M21" s="222"/>
      <x:c r="N21" s="221"/>
    </x:row>
    <x:row r="22" ht="16" customHeight="1">
      <x:c r="A22" s="221"/>
      <x:c r="B22" s="221"/>
      <x:c r="C22" s="221"/>
      <x:c r="D22" s="221"/>
      <x:c r="E22" s="221"/>
      <x:c r="F22" s="221"/>
      <x:c r="G22" s="225"/>
      <x:c r="H22" s="221"/>
      <x:c r="I22" s="221"/>
      <x:c r="J22" s="221"/>
      <x:c r="K22" s="221"/>
      <x:c r="L22" s="221"/>
      <x:c r="M22" s="222"/>
      <x:c r="N22" s="221"/>
    </x:row>
    <x:row r="23" ht="16" customHeight="1">
      <x:c r="A23" s="221"/>
      <x:c r="B23" s="221"/>
      <x:c r="C23" s="221"/>
      <x:c r="D23" s="221"/>
      <x:c r="E23" s="221"/>
      <x:c r="F23" s="221"/>
      <x:c r="G23" s="225"/>
      <x:c r="H23" s="221"/>
      <x:c r="I23" s="221"/>
      <x:c r="J23" s="221"/>
      <x:c r="K23" s="221"/>
      <x:c r="L23" s="221"/>
      <x:c r="M23" s="222"/>
      <x:c r="N23" s="221"/>
    </x:row>
    <x:row r="24" ht="16" customHeight="1">
      <x:c r="A24" s="221"/>
      <x:c r="B24" s="221"/>
      <x:c r="C24" s="221"/>
      <x:c r="D24" s="221"/>
      <x:c r="E24" s="221"/>
      <x:c r="F24" s="221"/>
      <x:c r="G24" s="225"/>
      <x:c r="H24" s="221"/>
      <x:c r="I24" s="221"/>
      <x:c r="J24" s="221"/>
      <x:c r="K24" s="221"/>
      <x:c r="L24" s="221"/>
      <x:c r="M24" s="222"/>
      <x:c r="N24" s="221"/>
    </x:row>
    <x:row r="25" ht="16" customHeight="1">
      <x:c r="A25" s="219"/>
      <x:c r="B25" s="219"/>
      <x:c r="C25" s="219"/>
      <x:c r="D25" s="219"/>
      <x:c r="E25" s="219"/>
      <x:c r="F25" s="219"/>
      <x:c r="G25" s="226"/>
      <x:c r="H25" s="219"/>
      <x:c r="I25" s="219"/>
      <x:c r="J25" s="219"/>
      <x:c r="K25" s="219"/>
      <x:c r="L25" s="219"/>
      <x:c r="M25" s="220"/>
      <x:c r="N25" s="219"/>
    </x:row>
    <x:row r="26">
      <x:c r="M26" s="218"/>
    </x:row>
    <x:row r="27">
      <x:c r="M27" s="218"/>
    </x:row>
    <x:row r="28">
      <x:c r="M28" s="218"/>
    </x:row>
    <x:row r="29">
      <x:c r="M29" s="218"/>
    </x:row>
    <x:row r="30">
      <x:c r="M30" s="218"/>
    </x:row>
    <x:row r="31">
      <x:c r="M31" s="218"/>
    </x:row>
    <x:row r="32">
      <x:c r="M32" s="218"/>
    </x:row>
    <x:row r="33">
      <x:c r="M33" s="218"/>
    </x:row>
    <x:row r="34">
      <x:c r="M34" s="218"/>
    </x:row>
    <x:row r="35">
      <x:c r="M35" s="218"/>
    </x:row>
    <x:row r="36">
      <x:c r="M36" s="218"/>
    </x:row>
    <x:row r="37">
      <x:c r="M37" s="218"/>
    </x:row>
    <x:row r="38">
      <x:c r="M38" s="218"/>
    </x:row>
    <x:row r="39">
      <x:c r="M39" s="218"/>
    </x:row>
    <x:row r="40">
      <x:c r="M40" s="218"/>
    </x:row>
    <x:row r="41">
      <x:c r="M41" s="218"/>
    </x:row>
    <x:row r="42">
      <x:c r="M42" s="218"/>
    </x:row>
    <x:row r="43">
      <x:c r="M43" s="218"/>
    </x:row>
    <x:row r="44">
      <x:c r="M44" s="218"/>
    </x:row>
    <x:row r="45">
      <x:c r="M45" s="218"/>
    </x:row>
    <x:row r="46">
      <x:c r="M46" s="218"/>
    </x:row>
    <x:row r="47">
      <x:c r="M47" s="218"/>
    </x:row>
    <x:row r="48">
      <x:c r="M48" s="218"/>
    </x:row>
    <x:row r="49">
      <x:c r="M49" s="218"/>
    </x:row>
    <x:row r="50">
      <x:c r="M50" s="218"/>
    </x:row>
    <x:row r="51">
      <x:c r="M51" s="218"/>
    </x:row>
    <x:row r="52">
      <x:c r="M52" s="218"/>
    </x:row>
    <x:row r="53">
      <x:c r="M53" s="218"/>
    </x:row>
    <x:row r="54">
      <x:c r="M54" s="218"/>
    </x:row>
    <x:row r="55">
      <x:c r="M55" s="218"/>
    </x:row>
    <x:row r="56">
      <x:c r="M56" s="218"/>
    </x:row>
    <x:row r="57">
      <x:c r="M57" s="218"/>
    </x:row>
    <x:row r="58">
      <x:c r="M58" s="218"/>
    </x:row>
    <x:row r="59">
      <x:c r="M59" s="218"/>
    </x:row>
    <x:row r="60">
      <x:c r="M60" s="218"/>
    </x:row>
    <x:row r="61">
      <x:c r="M61" s="218"/>
    </x:row>
    <x:row r="62">
      <x:c r="M62" s="218"/>
    </x:row>
    <x:row r="63">
      <x:c r="M63" s="218"/>
    </x:row>
    <x:row r="64">
      <x:c r="M64" s="218"/>
    </x:row>
    <x:row r="65">
      <x:c r="M65" s="218"/>
    </x:row>
    <x:row r="66">
      <x:c r="M66" s="218"/>
    </x:row>
    <x:row r="67">
      <x:c r="M67" s="218"/>
    </x:row>
    <x:row r="68">
      <x:c r="M68" s="218"/>
    </x:row>
    <x:row r="69">
      <x:c r="M69" s="218"/>
    </x:row>
    <x:row r="70">
      <x:c r="M70" s="218"/>
    </x:row>
    <x:row r="71">
      <x:c r="M71" s="218"/>
    </x:row>
    <x:row r="72">
      <x:c r="M72" s="218"/>
    </x:row>
    <x:row r="73">
      <x:c r="M73" s="218"/>
    </x:row>
    <x:row r="74">
      <x:c r="M74" s="218"/>
    </x:row>
    <x:row r="75">
      <x:c r="M75" s="218"/>
    </x:row>
    <x:row r="76">
      <x:c r="M76" s="218"/>
    </x:row>
    <x:row r="77">
      <x:c r="M77" s="218"/>
    </x:row>
    <x:row r="78">
      <x:c r="M78" s="218"/>
    </x:row>
    <x:row r="79">
      <x:c r="M79" s="218"/>
    </x:row>
    <x:row r="80">
      <x:c r="M80" s="218"/>
    </x:row>
    <x:row r="81">
      <x:c r="M81" s="218"/>
    </x:row>
    <x:row r="82">
      <x:c r="M82" s="218"/>
    </x:row>
    <x:row r="83">
      <x:c r="M83" s="218"/>
    </x:row>
    <x:row r="84">
      <x:c r="M84" s="218"/>
    </x:row>
    <x:row r="85">
      <x:c r="M85" s="218"/>
    </x:row>
    <x:row r="86">
      <x:c r="M86" s="218"/>
    </x:row>
    <x:row r="87">
      <x:c r="M87" s="218"/>
    </x:row>
    <x:row r="88">
      <x:c r="M88" s="218"/>
    </x:row>
    <x:row r="89">
      <x:c r="M89" s="218"/>
    </x:row>
    <x:row r="90">
      <x:c r="M90" s="218"/>
    </x:row>
    <x:row r="91">
      <x:c r="M91" s="218"/>
    </x:row>
    <x:row r="92">
      <x:c r="M92" s="218"/>
    </x:row>
    <x:row r="93">
      <x:c r="M93" s="218"/>
    </x:row>
    <x:row r="94">
      <x:c r="M94" s="218"/>
    </x:row>
    <x:row r="95">
      <x:c r="M95" s="218"/>
    </x:row>
    <x:row r="96">
      <x:c r="M96" s="218"/>
    </x:row>
    <x:row r="97">
      <x:c r="M97" s="218"/>
    </x:row>
    <x:row r="98">
      <x:c r="M98" s="218"/>
    </x:row>
    <x:row r="99">
      <x:c r="M99" s="218"/>
    </x:row>
    <x:row r="100">
      <x:c r="M100" s="218"/>
    </x:row>
    <x:row r="101">
      <x:c r="M101" s="218"/>
    </x:row>
    <x:row r="102">
      <x:c r="M102" s="218"/>
    </x:row>
    <x:row r="103">
      <x:c r="M103" s="218"/>
    </x:row>
    <x:row r="104">
      <x:c r="M104" s="218"/>
    </x:row>
    <x:row r="105">
      <x:c r="M105" s="218"/>
    </x:row>
    <x:row r="106">
      <x:c r="M106" s="218"/>
    </x:row>
    <x:row r="107">
      <x:c r="M107" s="218"/>
    </x:row>
    <x:row r="108">
      <x:c r="M108" s="218"/>
    </x:row>
    <x:row r="109">
      <x:c r="M109" s="218"/>
    </x:row>
    <x:row r="110">
      <x:c r="M110" s="218"/>
    </x:row>
    <x:row r="111">
      <x:c r="M111" s="218"/>
    </x:row>
    <x:row r="112">
      <x:c r="M112" s="218"/>
    </x:row>
    <x:row r="113">
      <x:c r="M113" s="218"/>
    </x:row>
    <x:row r="114">
      <x:c r="M114" s="218"/>
    </x:row>
    <x:row r="115">
      <x:c r="M115" s="218"/>
    </x:row>
    <x:row r="116">
      <x:c r="M116" s="218"/>
    </x:row>
    <x:row r="117">
      <x:c r="M117" s="218"/>
    </x:row>
    <x:row r="118">
      <x:c r="M118" s="218"/>
    </x:row>
    <x:row r="119">
      <x:c r="M119" s="218"/>
    </x:row>
    <x:row r="120">
      <x:c r="M120" s="218"/>
    </x:row>
    <x:row r="121">
      <x:c r="M121" s="218"/>
    </x:row>
    <x:row r="122">
      <x:c r="M122" s="218"/>
    </x:row>
    <x:row r="123">
      <x:c r="M123" s="218"/>
    </x:row>
    <x:row r="124">
      <x:c r="M124" s="218"/>
    </x:row>
    <x:row r="125">
      <x:c r="M125" s="218"/>
    </x:row>
    <x:row r="126">
      <x:c r="M126" s="218"/>
    </x:row>
    <x:row r="127">
      <x:c r="M127" s="218"/>
    </x:row>
    <x:row r="128">
      <x:c r="M128" s="218"/>
    </x:row>
    <x:row r="129">
      <x:c r="M129" s="218"/>
    </x:row>
    <x:row r="130">
      <x:c r="M130" s="218"/>
    </x:row>
    <x:row r="131">
      <x:c r="M131" s="218"/>
    </x:row>
    <x:row r="132">
      <x:c r="M132" s="218"/>
    </x:row>
    <x:row r="133">
      <x:c r="M133" s="218"/>
    </x:row>
    <x:row r="134">
      <x:c r="M134" s="218"/>
    </x:row>
    <x:row r="135">
      <x:c r="M135" s="218"/>
    </x:row>
    <x:row r="136">
      <x:c r="M136" s="218"/>
    </x:row>
    <x:row r="137">
      <x:c r="M137" s="218"/>
    </x:row>
    <x:row r="138">
      <x:c r="M138" s="218"/>
    </x:row>
    <x:row r="139">
      <x:c r="M139" s="218"/>
    </x:row>
    <x:row r="140">
      <x:c r="M140" s="218"/>
    </x:row>
    <x:row r="141">
      <x:c r="M141" s="218"/>
    </x:row>
    <x:row r="142">
      <x:c r="M142" s="218"/>
    </x:row>
    <x:row r="143">
      <x:c r="M143" s="218"/>
    </x:row>
    <x:row r="144">
      <x:c r="M144" s="218"/>
    </x:row>
    <x:row r="145">
      <x:c r="M145" s="218"/>
    </x:row>
    <x:row r="146">
      <x:c r="M146" s="218"/>
    </x:row>
    <x:row r="147">
      <x:c r="M147" s="218"/>
    </x:row>
    <x:row r="148">
      <x:c r="M148" s="218"/>
    </x:row>
    <x:row r="149">
      <x:c r="M149" s="218"/>
    </x:row>
    <x:row r="150">
      <x:c r="M150" s="218"/>
    </x:row>
    <x:row r="151">
      <x:c r="M151" s="218"/>
    </x:row>
    <x:row r="152">
      <x:c r="M152" s="218"/>
    </x:row>
    <x:row r="153">
      <x:c r="M153" s="218"/>
    </x:row>
    <x:row r="154">
      <x:c r="M154" s="218"/>
    </x:row>
    <x:row r="155">
      <x:c r="M155" s="218"/>
    </x:row>
    <x:row r="156">
      <x:c r="M156" s="218"/>
    </x:row>
    <x:row r="157">
      <x:c r="M157" s="218"/>
    </x:row>
    <x:row r="158">
      <x:c r="M158" s="218"/>
    </x:row>
    <x:row r="159">
      <x:c r="M159" s="218"/>
    </x:row>
    <x:row r="160">
      <x:c r="M160" s="218"/>
    </x:row>
    <x:row r="161">
      <x:c r="M161" s="218"/>
    </x:row>
    <x:row r="162">
      <x:c r="M162" s="218"/>
    </x:row>
    <x:row r="163">
      <x:c r="M163" s="218"/>
    </x:row>
    <x:row r="164">
      <x:c r="M164" s="218"/>
    </x:row>
    <x:row r="165">
      <x:c r="M165" s="218"/>
    </x:row>
    <x:row r="166">
      <x:c r="M166" s="218"/>
    </x:row>
    <x:row r="167">
      <x:c r="M167" s="218"/>
    </x:row>
    <x:row r="168">
      <x:c r="M168" s="218"/>
    </x:row>
    <x:row r="169">
      <x:c r="M169" s="218"/>
    </x:row>
    <x:row r="170">
      <x:c r="M170" s="218"/>
    </x:row>
    <x:row r="171">
      <x:c r="M171" s="218"/>
    </x:row>
    <x:row r="172">
      <x:c r="M172" s="218"/>
    </x:row>
    <x:row r="173">
      <x:c r="M173" s="218"/>
    </x:row>
    <x:row r="174">
      <x:c r="M174" s="218"/>
    </x:row>
    <x:row r="175">
      <x:c r="M175" s="218"/>
    </x:row>
    <x:row r="176">
      <x:c r="M176" s="218"/>
    </x:row>
    <x:row r="177">
      <x:c r="M177" s="218"/>
    </x:row>
    <x:row r="178">
      <x:c r="M178" s="218"/>
    </x:row>
    <x:row r="179">
      <x:c r="M179" s="218"/>
    </x:row>
    <x:row r="180">
      <x:c r="M180" s="218"/>
    </x:row>
    <x:row r="181">
      <x:c r="M181" s="218"/>
    </x:row>
    <x:row r="182">
      <x:c r="M182" s="218"/>
    </x:row>
    <x:row r="183">
      <x:c r="M183" s="218"/>
    </x:row>
    <x:row r="184">
      <x:c r="M184" s="218"/>
    </x:row>
    <x:row r="185">
      <x:c r="M185" s="218"/>
    </x:row>
    <x:row r="186">
      <x:c r="M186" s="218"/>
    </x:row>
    <x:row r="187">
      <x:c r="M187" s="218"/>
    </x:row>
    <x:row r="188">
      <x:c r="M188" s="218"/>
    </x:row>
    <x:row r="189">
      <x:c r="M189" s="218"/>
    </x:row>
    <x:row r="190">
      <x:c r="M190" s="218"/>
    </x:row>
    <x:row r="191">
      <x:c r="M191" s="218"/>
    </x:row>
    <x:row r="192">
      <x:c r="M192" s="218"/>
    </x:row>
    <x:row r="193">
      <x:c r="M193" s="218"/>
    </x:row>
    <x:row r="194">
      <x:c r="M194" s="218"/>
    </x:row>
    <x:row r="195">
      <x:c r="M195" s="218"/>
    </x:row>
    <x:row r="196">
      <x:c r="M196" s="218"/>
    </x:row>
    <x:row r="197">
      <x:c r="M197" s="218"/>
    </x:row>
    <x:row r="198">
      <x:c r="M198" s="218"/>
    </x:row>
    <x:row r="199">
      <x:c r="M199" s="218"/>
    </x:row>
    <x:row r="200">
      <x:c r="M200" s="218"/>
    </x:row>
    <x:row r="201">
      <x:c r="M201" s="218"/>
    </x:row>
    <x:row r="202">
      <x:c r="M202" s="218"/>
    </x:row>
    <x:row r="203">
      <x:c r="M203" s="218"/>
    </x:row>
    <x:row r="204">
      <x:c r="M204" s="218"/>
    </x:row>
    <x:row r="205">
      <x:c r="M205" s="218"/>
    </x:row>
    <x:row r="206">
      <x:c r="M206" s="218"/>
    </x:row>
    <x:row r="207">
      <x:c r="M207" s="218"/>
    </x:row>
    <x:row r="208">
      <x:c r="M208" s="218"/>
    </x:row>
    <x:row r="209">
      <x:c r="M209" s="218"/>
    </x:row>
    <x:row r="210">
      <x:c r="M210" s="218"/>
    </x:row>
    <x:row r="211">
      <x:c r="M211" s="218"/>
    </x:row>
    <x:row r="212">
      <x:c r="M212" s="218"/>
    </x:row>
    <x:row r="213">
      <x:c r="M213" s="218"/>
    </x:row>
    <x:row r="214">
      <x:c r="M214" s="218"/>
    </x:row>
    <x:row r="215">
      <x:c r="M215" s="218"/>
    </x:row>
    <x:row r="216">
      <x:c r="M216" s="218"/>
    </x:row>
    <x:row r="217">
      <x:c r="M217" s="218"/>
    </x:row>
    <x:row r="218">
      <x:c r="M218" s="218"/>
    </x:row>
    <x:row r="219">
      <x:c r="M219" s="218"/>
    </x:row>
    <x:row r="220">
      <x:c r="M220" s="218"/>
    </x:row>
    <x:row r="221">
      <x:c r="M221" s="218"/>
    </x:row>
    <x:row r="222">
      <x:c r="M222" s="218"/>
    </x:row>
    <x:row r="223">
      <x:c r="M223" s="218"/>
    </x:row>
    <x:row r="224">
      <x:c r="M224" s="218"/>
    </x:row>
    <x:row r="225">
      <x:c r="M225" s="218"/>
    </x:row>
    <x:row r="226">
      <x:c r="M226" s="218"/>
    </x:row>
    <x:row r="227">
      <x:c r="M227" s="218"/>
    </x:row>
    <x:row r="228">
      <x:c r="M228" s="218"/>
    </x:row>
    <x:row r="229">
      <x:c r="M229" s="218"/>
    </x:row>
    <x:row r="230">
      <x:c r="M230" s="218"/>
    </x:row>
    <x:row r="231">
      <x:c r="M231" s="218"/>
    </x:row>
    <x:row r="232">
      <x:c r="M232" s="218"/>
    </x:row>
    <x:row r="233">
      <x:c r="M233" s="218"/>
    </x:row>
    <x:row r="234">
      <x:c r="M234" s="218"/>
    </x:row>
    <x:row r="235">
      <x:c r="M235" s="218"/>
    </x:row>
    <x:row r="236">
      <x:c r="M236" s="218"/>
    </x:row>
    <x:row r="237">
      <x:c r="M237" s="218"/>
    </x:row>
    <x:row r="238">
      <x:c r="M238" s="218"/>
    </x:row>
    <x:row r="239">
      <x:c r="M239" s="218"/>
    </x:row>
    <x:row r="240">
      <x:c r="M240" s="218"/>
    </x:row>
    <x:row r="241">
      <x:c r="M241" s="218"/>
    </x:row>
    <x:row r="242">
      <x:c r="M242" s="218"/>
    </x:row>
    <x:row r="243">
      <x:c r="M243" s="218"/>
    </x:row>
    <x:row r="244">
      <x:c r="M244" s="218"/>
    </x:row>
    <x:row r="245">
      <x:c r="M245" s="218"/>
    </x:row>
    <x:row r="246">
      <x:c r="M246" s="218"/>
    </x:row>
    <x:row r="247">
      <x:c r="M247" s="218"/>
    </x:row>
    <x:row r="248">
      <x:c r="M248" s="218"/>
    </x:row>
    <x:row r="249">
      <x:c r="M249" s="218"/>
    </x:row>
    <x:row r="250">
      <x:c r="M250" s="218"/>
    </x:row>
    <x:row r="251">
      <x:c r="M251" s="218"/>
    </x:row>
    <x:row r="252">
      <x:c r="M252" s="218"/>
    </x:row>
    <x:row r="253">
      <x:c r="M253" s="218"/>
    </x:row>
    <x:row r="254">
      <x:c r="M254" s="218"/>
    </x:row>
    <x:row r="255">
      <x:c r="M255" s="218"/>
    </x:row>
    <x:row r="256">
      <x:c r="M256" s="218"/>
    </x:row>
    <x:row r="257">
      <x:c r="M257" s="218"/>
    </x:row>
    <x:row r="258">
      <x:c r="M258" s="218"/>
    </x:row>
    <x:row r="259">
      <x:c r="M259" s="218"/>
    </x:row>
    <x:row r="260">
      <x:c r="M260" s="218"/>
    </x:row>
    <x:row r="261">
      <x:c r="M261" s="218"/>
    </x:row>
    <x:row r="262">
      <x:c r="M262" s="218"/>
    </x:row>
    <x:row r="263">
      <x:c r="M263" s="218"/>
    </x:row>
    <x:row r="264">
      <x:c r="M264" s="218"/>
    </x:row>
    <x:row r="265">
      <x:c r="M265" s="218"/>
    </x:row>
    <x:row r="266">
      <x:c r="M266" s="218"/>
    </x:row>
    <x:row r="267">
      <x:c r="M267" s="218"/>
    </x:row>
    <x:row r="268">
      <x:c r="M268" s="218"/>
    </x:row>
    <x:row r="269">
      <x:c r="M269" s="218"/>
    </x:row>
    <x:row r="270">
      <x:c r="M270" s="218"/>
    </x:row>
    <x:row r="271">
      <x:c r="M271" s="218"/>
    </x:row>
    <x:row r="272">
      <x:c r="M272" s="218"/>
    </x:row>
    <x:row r="273">
      <x:c r="M273" s="218"/>
    </x:row>
    <x:row r="274">
      <x:c r="M274" s="218"/>
    </x:row>
    <x:row r="275">
      <x:c r="M275" s="218"/>
    </x:row>
    <x:row r="276">
      <x:c r="M276" s="218"/>
    </x:row>
    <x:row r="277">
      <x:c r="M277" s="218"/>
    </x:row>
    <x:row r="278">
      <x:c r="M278" s="218"/>
    </x:row>
    <x:row r="279">
      <x:c r="M279" s="218"/>
    </x:row>
    <x:row r="280">
      <x:c r="M280" s="218"/>
    </x:row>
    <x:row r="281">
      <x:c r="M281" s="218"/>
    </x:row>
    <x:row r="282">
      <x:c r="M282" s="218"/>
    </x:row>
    <x:row r="283">
      <x:c r="M283" s="218"/>
    </x:row>
    <x:row r="284">
      <x:c r="M284" s="218"/>
    </x:row>
    <x:row r="285">
      <x:c r="M285" s="218"/>
    </x:row>
    <x:row r="286">
      <x:c r="M286" s="218"/>
    </x:row>
    <x:row r="287">
      <x:c r="M287" s="218"/>
    </x:row>
    <x:row r="288">
      <x:c r="M288" s="218"/>
    </x:row>
    <x:row r="289">
      <x:c r="M289" s="218"/>
    </x:row>
    <x:row r="290">
      <x:c r="M290" s="218"/>
    </x:row>
    <x:row r="291">
      <x:c r="M291" s="218"/>
    </x:row>
    <x:row r="292">
      <x:c r="M292" s="218"/>
    </x:row>
    <x:row r="293">
      <x:c r="M293" s="218"/>
    </x:row>
    <x:row r="294">
      <x:c r="M294" s="218"/>
    </x:row>
    <x:row r="295">
      <x:c r="M295" s="218"/>
    </x:row>
    <x:row r="296">
      <x:c r="M296" s="218"/>
    </x:row>
    <x:row r="297">
      <x:c r="M297" s="218"/>
    </x:row>
    <x:row r="298">
      <x:c r="M298" s="218"/>
    </x:row>
    <x:row r="299">
      <x:c r="M299" s="218"/>
    </x:row>
    <x:row r="300">
      <x:c r="M300" s="218"/>
    </x:row>
    <x:row r="301">
      <x:c r="M301" s="218"/>
    </x:row>
    <x:row r="302">
      <x:c r="M302" s="218"/>
    </x:row>
    <x:row r="303">
      <x:c r="M303" s="218"/>
    </x:row>
    <x:row r="304">
      <x:c r="M304" s="218"/>
    </x:row>
    <x:row r="305">
      <x:c r="M305" s="218"/>
    </x:row>
    <x:row r="306">
      <x:c r="M306" s="218"/>
    </x:row>
    <x:row r="307">
      <x:c r="M307" s="218"/>
    </x:row>
    <x:row r="308">
      <x:c r="M308" s="218"/>
    </x:row>
    <x:row r="309">
      <x:c r="M309" s="218"/>
    </x:row>
    <x:row r="310">
      <x:c r="M310" s="218"/>
    </x:row>
    <x:row r="311">
      <x:c r="M311" s="218"/>
    </x:row>
    <x:row r="312">
      <x:c r="M312" s="218"/>
    </x:row>
    <x:row r="313">
      <x:c r="M313" s="218"/>
    </x:row>
    <x:row r="314">
      <x:c r="M314" s="218"/>
    </x:row>
    <x:row r="315">
      <x:c r="M315" s="218"/>
    </x:row>
    <x:row r="316">
      <x:c r="M316" s="218"/>
    </x:row>
    <x:row r="317">
      <x:c r="M317" s="218"/>
    </x:row>
    <x:row r="318">
      <x:c r="M318" s="218"/>
    </x:row>
    <x:row r="319">
      <x:c r="M319" s="218"/>
    </x:row>
    <x:row r="320">
      <x:c r="M320" s="218"/>
    </x:row>
    <x:row r="321">
      <x:c r="M321" s="218"/>
    </x:row>
    <x:row r="322">
      <x:c r="M322" s="218"/>
    </x:row>
    <x:row r="323">
      <x:c r="M323" s="218"/>
    </x:row>
    <x:row r="324">
      <x:c r="M324" s="218"/>
    </x:row>
    <x:row r="325">
      <x:c r="M325" s="218"/>
    </x:row>
    <x:row r="326">
      <x:c r="M326" s="218"/>
    </x:row>
    <x:row r="327">
      <x:c r="M327" s="218"/>
    </x:row>
    <x:row r="328">
      <x:c r="M328" s="218"/>
    </x:row>
    <x:row r="329">
      <x:c r="M329" s="218"/>
    </x:row>
    <x:row r="330">
      <x:c r="M330" s="218"/>
    </x:row>
    <x:row r="331">
      <x:c r="M331" s="218"/>
    </x:row>
    <x:row r="332">
      <x:c r="M332" s="218"/>
    </x:row>
    <x:row r="333">
      <x:c r="M333" s="218"/>
    </x:row>
    <x:row r="334">
      <x:c r="M334" s="218"/>
    </x:row>
    <x:row r="335">
      <x:c r="M335" s="218"/>
    </x:row>
    <x:row r="336">
      <x:c r="M336" s="218"/>
    </x:row>
    <x:row r="337">
      <x:c r="M337" s="218"/>
    </x:row>
    <x:row r="338">
      <x:c r="M338" s="218"/>
    </x:row>
    <x:row r="339">
      <x:c r="M339" s="218"/>
    </x:row>
    <x:row r="340">
      <x:c r="M340" s="218"/>
    </x:row>
    <x:row r="341">
      <x:c r="M341" s="218"/>
    </x:row>
    <x:row r="342">
      <x:c r="M342" s="218"/>
    </x:row>
    <x:row r="343">
      <x:c r="M343" s="218"/>
    </x:row>
    <x:row r="344">
      <x:c r="M344" s="218"/>
    </x:row>
    <x:row r="345">
      <x:c r="M345" s="218"/>
    </x:row>
    <x:row r="346">
      <x:c r="M346" s="218"/>
    </x:row>
    <x:row r="347">
      <x:c r="M347" s="218"/>
    </x:row>
    <x:row r="348">
      <x:c r="M348" s="218"/>
    </x:row>
    <x:row r="349">
      <x:c r="M349" s="218"/>
    </x:row>
    <x:row r="350">
      <x:c r="M350" s="218"/>
    </x:row>
    <x:row r="351">
      <x:c r="M351" s="218"/>
    </x:row>
    <x:row r="352">
      <x:c r="M352" s="218"/>
    </x:row>
    <x:row r="353">
      <x:c r="M353" s="218"/>
    </x:row>
    <x:row r="354">
      <x:c r="M354" s="218"/>
    </x:row>
    <x:row r="355">
      <x:c r="M355" s="218"/>
    </x:row>
    <x:row r="356">
      <x:c r="M356" s="218"/>
    </x:row>
    <x:row r="357">
      <x:c r="M357" s="218"/>
    </x:row>
    <x:row r="358">
      <x:c r="M358" s="218"/>
    </x:row>
    <x:row r="359">
      <x:c r="M359" s="218"/>
    </x:row>
    <x:row r="360">
      <x:c r="M360" s="218"/>
    </x:row>
    <x:row r="361">
      <x:c r="M361" s="218"/>
    </x:row>
    <x:row r="362">
      <x:c r="M362" s="218"/>
    </x:row>
    <x:row r="363">
      <x:c r="M363" s="218"/>
    </x:row>
    <x:row r="364">
      <x:c r="M364" s="218"/>
    </x:row>
    <x:row r="365">
      <x:c r="M365" s="218"/>
    </x:row>
    <x:row r="366">
      <x:c r="M366" s="218"/>
    </x:row>
    <x:row r="367">
      <x:c r="M367" s="218"/>
    </x:row>
    <x:row r="368">
      <x:c r="M368" s="218"/>
    </x:row>
    <x:row r="369">
      <x:c r="M369" s="218"/>
    </x:row>
    <x:row r="370">
      <x:c r="M370" s="218"/>
    </x:row>
    <x:row r="371">
      <x:c r="M371" s="218"/>
    </x:row>
    <x:row r="372">
      <x:c r="M372" s="218"/>
    </x:row>
    <x:row r="373">
      <x:c r="M373" s="218"/>
    </x:row>
    <x:row r="374">
      <x:c r="M374" s="218"/>
    </x:row>
    <x:row r="375">
      <x:c r="M375" s="218"/>
    </x:row>
    <x:row r="376">
      <x:c r="M376" s="218"/>
    </x:row>
    <x:row r="377">
      <x:c r="M377" s="218"/>
    </x:row>
    <x:row r="378">
      <x:c r="M378" s="218"/>
    </x:row>
    <x:row r="379">
      <x:c r="M379" s="218"/>
    </x:row>
    <x:row r="380">
      <x:c r="M380" s="218"/>
    </x:row>
    <x:row r="381">
      <x:c r="M381" s="218"/>
    </x:row>
    <x:row r="382">
      <x:c r="M382" s="218"/>
    </x:row>
    <x:row r="383">
      <x:c r="M383" s="218"/>
    </x:row>
    <x:row r="384">
      <x:c r="M384" s="218"/>
    </x:row>
    <x:row r="385">
      <x:c r="M385" s="218"/>
    </x:row>
    <x:row r="386">
      <x:c r="M386" s="218"/>
    </x:row>
    <x:row r="387">
      <x:c r="M387" s="218"/>
    </x:row>
    <x:row r="388">
      <x:c r="M388" s="218"/>
    </x:row>
    <x:row r="389">
      <x:c r="M389" s="218"/>
    </x:row>
    <x:row r="390">
      <x:c r="M390" s="218"/>
    </x:row>
    <x:row r="391">
      <x:c r="M391" s="218"/>
    </x:row>
    <x:row r="392">
      <x:c r="M392" s="218"/>
    </x:row>
    <x:row r="393">
      <x:c r="M393" s="218"/>
    </x:row>
    <x:row r="394">
      <x:c r="M394" s="218"/>
    </x:row>
    <x:row r="395">
      <x:c r="M395" s="218"/>
    </x:row>
    <x:row r="396">
      <x:c r="M396" s="218"/>
    </x:row>
    <x:row r="397">
      <x:c r="M397" s="218"/>
    </x:row>
    <x:row r="398">
      <x:c r="M398" s="218"/>
    </x:row>
    <x:row r="399">
      <x:c r="M399" s="218"/>
    </x:row>
    <x:row r="400">
      <x:c r="M400" s="218"/>
    </x:row>
    <x:row r="401">
      <x:c r="M401" s="218"/>
    </x:row>
    <x:row r="402">
      <x:c r="M402" s="218"/>
    </x:row>
    <x:row r="403">
      <x:c r="M403" s="218"/>
    </x:row>
    <x:row r="404">
      <x:c r="M404" s="218"/>
    </x:row>
    <x:row r="405">
      <x:c r="M405" s="218"/>
    </x:row>
    <x:row r="406">
      <x:c r="M406" s="218"/>
    </x:row>
    <x:row r="407">
      <x:c r="M407" s="218"/>
    </x:row>
    <x:row r="408">
      <x:c r="M408" s="218"/>
    </x:row>
    <x:row r="409">
      <x:c r="M409" s="218"/>
    </x:row>
    <x:row r="410">
      <x:c r="M410" s="218"/>
    </x:row>
    <x:row r="411">
      <x:c r="M411" s="218"/>
    </x:row>
    <x:row r="412">
      <x:c r="M412" s="218"/>
    </x:row>
    <x:row r="413">
      <x:c r="M413" s="218"/>
    </x:row>
    <x:row r="414">
      <x:c r="M414" s="218"/>
    </x:row>
    <x:row r="415">
      <x:c r="M415" s="218"/>
    </x:row>
    <x:row r="416">
      <x:c r="M416" s="218"/>
    </x:row>
    <x:row r="417">
      <x:c r="M417" s="218"/>
    </x:row>
    <x:row r="418">
      <x:c r="M418" s="218"/>
    </x:row>
    <x:row r="419">
      <x:c r="M419" s="218"/>
    </x:row>
    <x:row r="420">
      <x:c r="M420" s="218"/>
    </x:row>
    <x:row r="421">
      <x:c r="M421" s="218"/>
    </x:row>
    <x:row r="422">
      <x:c r="M422" s="218"/>
    </x:row>
    <x:row r="423">
      <x:c r="M423" s="218"/>
    </x:row>
    <x:row r="424">
      <x:c r="M424" s="218"/>
    </x:row>
    <x:row r="425">
      <x:c r="M425" s="218"/>
    </x:row>
    <x:row r="426">
      <x:c r="M426" s="218"/>
    </x:row>
    <x:row r="427">
      <x:c r="M427" s="218"/>
    </x:row>
    <x:row r="428">
      <x:c r="M428" s="218"/>
    </x:row>
    <x:row r="429">
      <x:c r="M429" s="218"/>
    </x:row>
    <x:row r="430">
      <x:c r="M430" s="218"/>
    </x:row>
    <x:row r="431">
      <x:c r="M431" s="218"/>
    </x:row>
    <x:row r="432">
      <x:c r="M432" s="218"/>
    </x:row>
    <x:row r="433">
      <x:c r="M433" s="218"/>
    </x:row>
    <x:row r="434">
      <x:c r="M434" s="218"/>
    </x:row>
    <x:row r="435">
      <x:c r="M435" s="218"/>
    </x:row>
    <x:row r="436">
      <x:c r="M436" s="218"/>
    </x:row>
    <x:row r="437">
      <x:c r="M437" s="218"/>
    </x:row>
    <x:row r="438">
      <x:c r="M438" s="218"/>
    </x:row>
    <x:row r="439">
      <x:c r="M439" s="218"/>
    </x:row>
    <x:row r="440">
      <x:c r="M440" s="218"/>
    </x:row>
    <x:row r="441">
      <x:c r="M441" s="218"/>
    </x:row>
    <x:row r="442">
      <x:c r="M442" s="218"/>
    </x:row>
    <x:row r="443">
      <x:c r="M443" s="218"/>
    </x:row>
    <x:row r="444">
      <x:c r="M444" s="218"/>
    </x:row>
    <x:row r="445">
      <x:c r="M445" s="218"/>
    </x:row>
    <x:row r="446">
      <x:c r="M446" s="218"/>
    </x:row>
    <x:row r="447">
      <x:c r="M447" s="218"/>
    </x:row>
    <x:row r="448">
      <x:c r="M448" s="218"/>
    </x:row>
    <x:row r="449">
      <x:c r="M449" s="218"/>
    </x:row>
    <x:row r="450">
      <x:c r="M450" s="218"/>
    </x:row>
    <x:row r="451">
      <x:c r="M451" s="218"/>
    </x:row>
    <x:row r="452">
      <x:c r="M452" s="218"/>
    </x:row>
    <x:row r="453">
      <x:c r="M453" s="218"/>
    </x:row>
    <x:row r="454">
      <x:c r="M454" s="218"/>
    </x:row>
    <x:row r="455">
      <x:c r="M455" s="218"/>
    </x:row>
    <x:row r="456">
      <x:c r="M456" s="218"/>
    </x:row>
    <x:row r="457">
      <x:c r="M457" s="218"/>
    </x:row>
    <x:row r="458">
      <x:c r="M458" s="218"/>
    </x:row>
    <x:row r="459">
      <x:c r="M459" s="218"/>
    </x:row>
    <x:row r="460">
      <x:c r="M460" s="218"/>
    </x:row>
    <x:row r="461">
      <x:c r="M461" s="218"/>
    </x:row>
    <x:row r="462">
      <x:c r="M462" s="218"/>
    </x:row>
    <x:row r="463">
      <x:c r="M463" s="218"/>
    </x:row>
    <x:row r="464">
      <x:c r="M464" s="218"/>
    </x:row>
    <x:row r="465">
      <x:c r="M465" s="218"/>
    </x:row>
    <x:row r="466">
      <x:c r="M466" s="218"/>
    </x:row>
    <x:row r="467">
      <x:c r="M467" s="218"/>
    </x:row>
    <x:row r="468">
      <x:c r="M468" s="218"/>
    </x:row>
    <x:row r="469">
      <x:c r="M469" s="218"/>
    </x:row>
    <x:row r="470">
      <x:c r="M470" s="218"/>
    </x:row>
    <x:row r="471">
      <x:c r="M471" s="218"/>
    </x:row>
    <x:row r="472">
      <x:c r="M472" s="218"/>
    </x:row>
    <x:row r="473">
      <x:c r="M473" s="218"/>
    </x:row>
    <x:row r="474">
      <x:c r="M474" s="218"/>
    </x:row>
    <x:row r="475">
      <x:c r="M475" s="218"/>
    </x:row>
    <x:row r="476">
      <x:c r="M476" s="218"/>
    </x:row>
    <x:row r="477">
      <x:c r="M477" s="218"/>
    </x:row>
    <x:row r="478">
      <x:c r="M478" s="218"/>
    </x:row>
    <x:row r="479">
      <x:c r="M479" s="218"/>
    </x:row>
    <x:row r="480">
      <x:c r="M480" s="218"/>
    </x:row>
    <x:row r="481">
      <x:c r="M481" s="218"/>
    </x:row>
    <x:row r="482">
      <x:c r="M482" s="218"/>
    </x:row>
    <x:row r="483">
      <x:c r="M483" s="218"/>
    </x:row>
    <x:row r="484">
      <x:c r="M484" s="218"/>
    </x:row>
    <x:row r="485">
      <x:c r="M485" s="218"/>
    </x:row>
    <x:row r="486">
      <x:c r="M486" s="218"/>
    </x:row>
    <x:row r="487">
      <x:c r="M487" s="218"/>
    </x:row>
    <x:row r="488">
      <x:c r="M488" s="218"/>
    </x:row>
    <x:row r="489">
      <x:c r="M489" s="218"/>
    </x:row>
    <x:row r="490">
      <x:c r="M490" s="218"/>
    </x:row>
    <x:row r="491">
      <x:c r="M491" s="218"/>
    </x:row>
    <x:row r="492">
      <x:c r="M492" s="218"/>
    </x:row>
    <x:row r="493">
      <x:c r="M493" s="218"/>
    </x:row>
    <x:row r="494">
      <x:c r="M494" s="218"/>
    </x:row>
    <x:row r="495">
      <x:c r="M495" s="218"/>
    </x:row>
    <x:row r="496">
      <x:c r="M496" s="218"/>
    </x:row>
    <x:row r="497">
      <x:c r="M497" s="218"/>
    </x:row>
    <x:row r="498">
      <x:c r="M498" s="218"/>
    </x:row>
    <x:row r="499">
      <x:c r="M499" s="218"/>
    </x:row>
    <x:row r="500">
      <x:c r="M500" s="218"/>
    </x:row>
  </x:sheetData>
  <x:mergeCells>
    <x:mergeCell ref="A1:N1"/>
    <x:mergeCell ref="A2:N2"/>
    <x:mergeCell ref="A3:N3"/>
  </x:mergeCells>
  <x:conditionalFormatting sqref="I6:I500">
    <x:cfRule type="expression" dxfId="12" priority="1">
      <x:formula>I6="PUBLIK"</x:formula>
    </x:cfRule>
    <x:cfRule type="expression" dxfId="11" priority="2">
      <x:formula>I6="INTERNAL"</x:formula>
    </x:cfRule>
  </x:conditionalFormatting>
  <x:conditionalFormatting sqref="J6:J500">
    <x:cfRule type="expression" dxfId="10" priority="3">
      <x:formula>J6="TERVERIFIKASI"</x:formula>
    </x:cfRule>
    <x:cfRule type="expression" dxfId="9" priority="4">
      <x:formula>J6="BELUM DIVERIFIKASI"</x:formula>
    </x:cfRule>
  </x:conditionalFormatting>
  <x:dataValidations count="4">
    <x:dataValidation type="list" sqref="J6:J500">
      <x:formula1>"TERVERIFIKASI,BELUM DIVERIFIKASI"</x:formula1>
    </x:dataValidation>
    <x:dataValidation type="list" sqref="I6:I500">
      <x:formula1>"PUBLIK,INTERNAL"</x:formula1>
    </x:dataValidation>
    <x:dataValidation type="list" sqref="D6:D500">
      <x:formula1>"SITE_PLAN,BAST_PSU,BERITA_ACARA_VERIFIKASI,SK,PETA,FOTO_DOKUMENTASI,LAPORAN,SURAT,DOKUMEN_LAINNYA"</x:formula1>
    </x:dataValidation>
    <x:dataValidation type="list" sqref="B6:B500">
      <x:formula1>"PERUMAHAN,PSU,RTLH,RUSUNAWA,KAWASAN_KUMUH,SNAPSHOT"</x:formula1>
    </x:dataValidation>
  </x:dataValidations>
  <x:hyperlinks>
    <x:hyperlink xmlns:r="http://schemas.openxmlformats.org/officeDocument/2006/relationships" ref="H6" r:id="R7e24ea05c95941c5"/>
    <x:hyperlink xmlns:r="http://schemas.openxmlformats.org/officeDocument/2006/relationships" ref="H7" r:id="R20c81b0f3a484286"/>
  </x:hyperlinks>
  <x:pageMargins left="0.7" right="0.7" top="0.75" bottom="0.75" header="0.3" footer="0.3"/>
</x:worksheet>
</file>

<file path=xl/worksheets/sheet2.xml><?xml version="1.0" encoding="utf-8"?>
<x:worksheet xmlns:x="http://schemas.openxmlformats.org/spreadsheetml/2006/main">
  <x:sheetFormatPr defaultRowHeight="14"/>
  <x:cols>
    <x:col min="1" max="1" width="18.58203125" customWidth="1"/>
    <x:col min="2" max="2" width="42.6640625" customWidth="1"/>
    <x:col min="3" max="3" width="16.08203125" customWidth="1"/>
    <x:col min="4" max="4" width="15.9140625" customWidth="1"/>
    <x:col min="5" max="5" width="30.25" customWidth="1"/>
    <x:col min="6" max="6" width="40.5" customWidth="1"/>
    <x:col min="7" max="7" width="43.6640625" customWidth="1"/>
    <x:col min="8" max="8" width="26.08203125" customWidth="1"/>
    <x:col min="9" max="9" width="33.58203125" customWidth="1"/>
    <x:col min="10" max="10" width="19.58203125" customWidth="1"/>
    <x:col min="11" max="11" width="20.6640625" customWidth="1"/>
    <x:col min="12" max="12" width="23.1640625" customWidth="1"/>
    <x:col min="13" max="13" width="19.9140625" customWidth="1"/>
    <x:col min="14" max="14" width="17.4140625" customWidth="1"/>
    <x:col min="15" max="15" width="28.75" customWidth="1"/>
    <x:col min="16" max="16" width="16.83203125" customWidth="1"/>
    <x:col min="17" max="17" width="16.6640625" customWidth="1"/>
    <x:col min="18" max="18" width="18.33203125" customWidth="1"/>
    <x:col min="19" max="19" width="24.5" customWidth="1"/>
    <x:col min="20" max="20" width="25.58203125" customWidth="1"/>
    <x:col min="21" max="21" width="12.6640625" customWidth="1"/>
    <x:col min="22" max="22" width="13" customWidth="1"/>
    <x:col min="23" max="23" width="14.6640625" customWidth="1"/>
    <x:col min="24" max="24" width="13.1640625" customWidth="1"/>
    <x:col min="25" max="25" width="16.58203125" customWidth="1"/>
    <x:col min="26" max="26" width="18.08203125" customWidth="1"/>
    <x:col min="27" max="27" width="24.4140625" customWidth="1"/>
    <x:col min="28" max="28" width="23.5" style="81" customWidth="1"/>
    <x:col min="29" max="29" width="16.1640625" customWidth="1"/>
    <x:col min="30" max="30" width="23.58203125" customWidth="1"/>
    <x:col min="31" max="31" width="19.9140625" customWidth="1"/>
  </x:cols>
  <x:sheetData>
    <x:row r="1" ht="23">
      <x:c r="A1" s="228" t="s">
        <x:v>31</x:v>
      </x:c>
      <x:c r="B1" s="228"/>
      <x:c r="C1" s="228"/>
      <x:c r="D1" s="228"/>
      <x:c r="E1" s="228"/>
      <x:c r="F1" s="228"/>
      <x:c r="G1" s="228"/>
      <x:c r="H1" s="228"/>
      <x:c r="I1" s="228"/>
      <x:c r="J1" s="228"/>
      <x:c r="K1" s="228"/>
      <x:c r="L1" s="228"/>
      <x:c r="M1" s="228"/>
      <x:c r="N1" s="228"/>
      <x:c r="O1" s="228"/>
      <x:c r="P1" s="228"/>
      <x:c r="Q1" s="228"/>
      <x:c r="R1" s="228"/>
      <x:c r="S1" s="228"/>
      <x:c r="T1" s="228"/>
      <x:c r="U1" s="228"/>
      <x:c r="V1" s="228"/>
      <x:c r="W1" s="228"/>
      <x:c r="X1" s="228"/>
      <x:c r="Y1" s="228"/>
      <x:c r="Z1" s="228"/>
      <x:c r="AA1" s="234"/>
      <x:c r="AB1" s="234"/>
      <x:c r="AC1" s="234"/>
      <x:c r="AD1" s="234"/>
      <x:c r="AE1" s="234"/>
    </x:row>
    <x:row r="2">
      <x:c r="A2" s="229" t="s">
        <x:v>32</x:v>
      </x:c>
      <x:c r="B2" s="229"/>
      <x:c r="C2" s="229"/>
      <x:c r="D2" s="229"/>
      <x:c r="E2" s="229"/>
      <x:c r="F2" s="229"/>
      <x:c r="G2" s="229"/>
      <x:c r="H2" s="229"/>
      <x:c r="I2" s="229"/>
      <x:c r="J2" s="229"/>
      <x:c r="K2" s="229"/>
      <x:c r="L2" s="229"/>
      <x:c r="M2" s="229"/>
      <x:c r="N2" s="229"/>
      <x:c r="O2" s="229"/>
      <x:c r="P2" s="229"/>
      <x:c r="Q2" s="229"/>
      <x:c r="R2" s="229"/>
      <x:c r="S2" s="229"/>
      <x:c r="T2" s="229"/>
      <x:c r="U2" s="229"/>
      <x:c r="V2" s="229"/>
      <x:c r="W2" s="229"/>
      <x:c r="X2" s="229"/>
      <x:c r="Y2" s="229"/>
      <x:c r="Z2" s="229"/>
      <x:c r="AA2" s="234"/>
      <x:c r="AB2" s="234"/>
      <x:c r="AC2" s="234"/>
      <x:c r="AD2" s="234"/>
      <x:c r="AE2" s="234"/>
    </x:row>
    <x:row r="3">
      <x:c r="A3" s="230" t="s">
        <x:v>33</x:v>
      </x:c>
      <x:c r="B3" s="230"/>
      <x:c r="C3" s="230"/>
      <x:c r="D3" s="230"/>
      <x:c r="E3" s="230"/>
      <x:c r="F3" s="230"/>
      <x:c r="G3" s="230"/>
      <x:c r="H3" s="230"/>
      <x:c r="I3" s="230"/>
      <x:c r="J3" s="230"/>
      <x:c r="K3" s="230"/>
      <x:c r="L3" s="230"/>
      <x:c r="M3" s="230"/>
      <x:c r="N3" s="230"/>
      <x:c r="O3" s="230"/>
      <x:c r="P3" s="230"/>
      <x:c r="Q3" s="230"/>
      <x:c r="R3" s="230"/>
      <x:c r="S3" s="230"/>
      <x:c r="T3" s="230"/>
      <x:c r="U3" s="230"/>
      <x:c r="V3" s="230"/>
      <x:c r="W3" s="230"/>
      <x:c r="X3" s="230"/>
      <x:c r="Y3" s="230"/>
      <x:c r="Z3" s="230"/>
      <x:c r="AA3" s="235"/>
      <x:c r="AB3" s="235"/>
      <x:c r="AC3" s="235"/>
      <x:c r="AD3" s="235"/>
      <x:c r="AE3" s="235"/>
    </x:row>
    <x:row r="5" ht="30.5" customHeight="1">
      <x:c r="A5" s="1" t="s">
        <x:v>34</x:v>
      </x:c>
      <x:c r="B5" s="2" t="s">
        <x:v>35</x:v>
      </x:c>
      <x:c r="C5" s="2" t="s">
        <x:v>36</x:v>
      </x:c>
      <x:c r="D5" s="2" t="s">
        <x:v>37</x:v>
      </x:c>
      <x:c r="E5" s="2" t="s">
        <x:v>38</x:v>
      </x:c>
      <x:c r="F5" s="2" t="s">
        <x:v>39</x:v>
      </x:c>
      <x:c r="G5" s="2" t="s">
        <x:v>40</x:v>
      </x:c>
      <x:c r="H5" s="2" t="s">
        <x:v>41</x:v>
      </x:c>
      <x:c r="I5" s="2" t="s">
        <x:v>42</x:v>
      </x:c>
      <x:c r="J5" s="2" t="s">
        <x:v>43</x:v>
      </x:c>
      <x:c r="K5" s="2" t="s">
        <x:v>44</x:v>
      </x:c>
      <x:c r="L5" s="2" t="s">
        <x:v>45</x:v>
      </x:c>
      <x:c r="M5" s="2" t="s">
        <x:v>46</x:v>
      </x:c>
      <x:c r="N5" s="2" t="s">
        <x:v>47</x:v>
      </x:c>
      <x:c r="O5" s="2" t="s">
        <x:v>48</x:v>
      </x:c>
      <x:c r="P5" s="2" t="s">
        <x:v>49</x:v>
      </x:c>
      <x:c r="Q5" s="2" t="s">
        <x:v>50</x:v>
      </x:c>
      <x:c r="R5" s="2" t="s">
        <x:v>51</x:v>
      </x:c>
      <x:c r="S5" s="2" t="s">
        <x:v>52</x:v>
      </x:c>
      <x:c r="T5" s="2" t="s">
        <x:v>53</x:v>
      </x:c>
      <x:c r="U5" s="2" t="s">
        <x:v>54</x:v>
      </x:c>
      <x:c r="V5" s="2" t="s">
        <x:v>55</x:v>
      </x:c>
      <x:c r="W5" s="2" t="s">
        <x:v>56</x:v>
      </x:c>
      <x:c r="X5" s="2" t="s">
        <x:v>57</x:v>
      </x:c>
      <x:c r="Y5" s="2" t="s">
        <x:v>58</x:v>
      </x:c>
      <x:c r="Z5" s="3" t="s">
        <x:v>59</x:v>
      </x:c>
      <x:c r="AA5" s="40" t="s">
        <x:v>12</x:v>
      </x:c>
      <x:c r="AB5" s="77" t="s">
        <x:v>15</x:v>
      </x:c>
      <x:c r="AC5" s="43" t="s">
        <x:v>16</x:v>
      </x:c>
      <x:c r="AD5" t="s">
        <x:v>60</x:v>
      </x:c>
      <x:c r="AE5" t="s">
        <x:v>61</x:v>
      </x:c>
    </x:row>
    <x:row r="6" ht="50">
      <x:c r="A6" s="29" t="s">
        <x:v>19</x:v>
      </x:c>
      <x:c r="B6" s="8" t="s">
        <x:v>62</x:v>
      </x:c>
      <x:c r="C6" s="4" t="s">
        <x:v>63</x:v>
      </x:c>
      <x:c r="D6" s="8" t="s">
        <x:v>64</x:v>
      </x:c>
      <x:c r="E6" s="8" t="s">
        <x:v>65</x:v>
      </x:c>
      <x:c r="F6" s="4" t="str">
        <x:v>Jl. Seniman</x:v>
      </x:c>
      <x:c r="G6" s="4" t="str">
        <x:v>PT. ELNOV LANGGENG INDAH</x:v>
      </x:c>
      <x:c r="H6" s="14" t="str">
        <x:v>Novian Kasmofit</x:v>
      </x:c>
      <x:c r="I6" s="14" t="str">
        <x:v>Asosiasi Pengembang Perumahan dan Permukiman Seluruh Indonesia (Asosiasi Pengembang Perumahan dan Permukiman Seluruh Indonesia (APERSI))</x:v>
      </x:c>
      <x:c r="J6" s="4" t="n">
        <x:v>2019</x:v>
      </x:c>
      <x:c r="K6" s="14">
        <x:v>54</x:v>
      </x:c>
      <x:c r="L6" s="8">
        <x:v>54</x:v>
      </x:c>
      <x:c r="M6" s="14">
        <x:v>54</x:v>
      </x:c>
      <x:c r="N6" s="14" t="s">
        <x:v>66</x:v>
      </x:c>
      <x:c r="O6" s="4" t="n">
        <x:v>2026</x:v>
      </x:c>
      <x:c r="P6" s="4"/>
      <x:c r="Q6" s="20" t="s">
        <x:v>67</x:v>
      </x:c>
      <x:c r="R6" s="20"/>
      <x:c r="S6" s="17"/>
      <x:c r="T6" s="8" t="s">
        <x:v>68</x:v>
      </x:c>
      <x:c r="U6" s="8"/>
      <x:c r="V6" s="73">
        <x:v>-2.0965340000000001</x:v>
      </x:c>
      <x:c r="W6" s="8">
        <x:v>106.07686699999999</x:v>
      </x:c>
      <x:c r="X6" s="8"/>
      <x:c r="Y6" s="51">
        <x:v>2025</x:v>
      </x:c>
      <x:c r="Z6" s="26" t="s">
        <x:v>69</x:v>
      </x:c>
      <x:c r="AA6" s="41" t="s">
        <x:v>70</x:v>
      </x:c>
      <x:c r="AB6" s="78">
        <x:v>46220</x:v>
      </x:c>
      <x:c r="AC6" s="44"/>
      <x:c r="AD6" t="n">
        <x:f t="shared" ref="AD6:AD51" si="0">IF(A6="","",IFERROR(L6/K6,0))</x:f>
        <x:v>1</x:v>
      </x:c>
      <x:c r="AE6" t="n">
        <x:f t="shared" ref="AE6:AE51" si="1">IF(A6="","",IFERROR(M6/L6,0))</x:f>
        <x:v>1</x:v>
      </x:c>
    </x:row>
    <x:row r="7" ht="25">
      <x:c r="A7" s="29" t="s">
        <x:v>71</x:v>
      </x:c>
      <x:c r="B7" s="9" t="s">
        <x:v>72</x:v>
      </x:c>
      <x:c r="C7" s="5" t="s">
        <x:v>63</x:v>
      </x:c>
      <x:c r="D7" s="9" t="s">
        <x:v>64</x:v>
      </x:c>
      <x:c r="E7" s="9" t="s">
        <x:v>73</x:v>
      </x:c>
      <x:c r="F7" s="5" t="str">
        <x:v>Jl. Kemang Permata</x:v>
      </x:c>
      <x:c r="G7" s="5" t="str">
        <x:v>PT. ELNOV LANGGENG INDAH</x:v>
      </x:c>
      <x:c r="H7" s="15" t="str">
        <x:v>Novian Kasmofit</x:v>
      </x:c>
      <x:c r="I7" s="15" t="str">
        <x:v>Asosiasi Pengembang Perumahan dan Permukiman Seluruh Indonesia (APERSI)</x:v>
      </x:c>
      <x:c r="J7" s="5" t="n">
        <x:v>2023</x:v>
      </x:c>
      <x:c r="K7" s="15">
        <x:v>46</x:v>
      </x:c>
      <x:c r="L7" s="9">
        <x:v>40</x:v>
      </x:c>
      <x:c r="M7" s="15">
        <x:v>40</x:v>
      </x:c>
      <x:c r="N7" s="15" t="s">
        <x:v>66</x:v>
      </x:c>
      <x:c r="O7" s="5" t="n">
        <x:v>2025</x:v>
      </x:c>
      <x:c r="P7" s="5"/>
      <x:c r="Q7" s="21" t="s">
        <x:v>67</x:v>
      </x:c>
      <x:c r="R7" s="21"/>
      <x:c r="S7" s="18"/>
      <x:c r="T7" s="9"/>
      <x:c r="U7" s="9"/>
      <x:c r="V7" s="74">
        <x:v>-2.1163816999999998</x:v>
      </x:c>
      <x:c r="W7" s="9">
        <x:v>106.06782029999999</x:v>
      </x:c>
      <x:c r="X7" s="9"/>
      <x:c r="Y7" s="51">
        <x:v>2025</x:v>
      </x:c>
      <x:c r="Z7" s="26"/>
      <x:c r="AA7" s="41" t="s">
        <x:v>70</x:v>
      </x:c>
      <x:c r="AB7" s="78">
        <x:v>46220</x:v>
      </x:c>
      <x:c r="AC7" s="45"/>
      <x:c r="AD7">
        <x:f t="shared" si="0"/>
        <x:v>0.86956521739130432</x:v>
      </x:c>
      <x:c r="AE7">
        <x:f t="shared" si="1"/>
        <x:v>1</x:v>
      </x:c>
    </x:row>
    <x:row r="8" ht="25">
      <x:c r="A8" s="29" t="s">
        <x:v>74</x:v>
      </x:c>
      <x:c r="B8" s="9" t="s">
        <x:v>75</x:v>
      </x:c>
      <x:c r="C8" s="5" t="s">
        <x:v>63</x:v>
      </x:c>
      <x:c r="D8" s="9" t="s">
        <x:v>64</x:v>
      </x:c>
      <x:c r="E8" s="9" t="s">
        <x:v>73</x:v>
      </x:c>
      <x:c r="F8" s="5" t="str">
        <x:v>Jl. Kemang Permata</x:v>
      </x:c>
      <x:c r="G8" s="5" t="str">
        <x:v>PT. ELNOV LANGGENG INDAH</x:v>
      </x:c>
      <x:c r="H8" s="15" t="str">
        <x:v>Novian Kasmofit</x:v>
      </x:c>
      <x:c r="I8" s="15" t="str">
        <x:v>Asosiasi Pengembang Perumahan dan Permukiman Seluruh Indonesia (APERSI)</x:v>
      </x:c>
      <x:c r="J8" s="5" t="n">
        <x:v>2020</x:v>
      </x:c>
      <x:c r="K8" s="15">
        <x:v>52</x:v>
      </x:c>
      <x:c r="L8" s="9">
        <x:v>52</x:v>
      </x:c>
      <x:c r="M8" s="15">
        <x:v>52</x:v>
      </x:c>
      <x:c r="N8" s="15" t="s">
        <x:v>66</x:v>
      </x:c>
      <x:c r="O8" s="5" t="n">
        <x:v>2025</x:v>
      </x:c>
      <x:c r="P8" s="5"/>
      <x:c r="Q8" s="21" t="s">
        <x:v>67</x:v>
      </x:c>
      <x:c r="R8" s="21"/>
      <x:c r="S8" s="18"/>
      <x:c r="T8" s="9"/>
      <x:c r="U8" s="9"/>
      <x:c r="V8" s="74">
        <x:v>-2.1144223000000002</x:v>
      </x:c>
      <x:c r="W8" s="9">
        <x:v>106.06633170000001</x:v>
      </x:c>
      <x:c r="X8" s="9"/>
      <x:c r="Y8" s="51">
        <x:v>2025</x:v>
      </x:c>
      <x:c r="Z8" s="26"/>
      <x:c r="AA8" s="41" t="s">
        <x:v>70</x:v>
      </x:c>
      <x:c r="AB8" s="78">
        <x:v>46220</x:v>
      </x:c>
      <x:c r="AC8" s="45"/>
      <x:c r="AD8">
        <x:f t="shared" si="0"/>
        <x:v>1</x:v>
      </x:c>
      <x:c r="AE8">
        <x:f t="shared" si="1"/>
        <x:v>1</x:v>
      </x:c>
    </x:row>
    <x:row r="9">
      <x:c r="A9" s="29" t="s">
        <x:v>76</x:v>
      </x:c>
      <x:c r="B9" s="9" t="s">
        <x:v>77</x:v>
      </x:c>
      <x:c r="C9" s="5" t="s">
        <x:v>63</x:v>
      </x:c>
      <x:c r="D9" s="9" t="s">
        <x:v>64</x:v>
      </x:c>
      <x:c r="E9" s="9" t="s">
        <x:v>65</x:v>
      </x:c>
      <x:c r="F9" s="5" t="str">
        <x:v>Jl. Tampuk Pengembang Indonesia (PI)nang Pura</x:v>
      </x:c>
      <x:c r="G9" s="5" t="str">
        <x:v>Belum Teridentifikasi</x:v>
      </x:c>
      <x:c r="H9" s="15" t="str">
        <x:v>Rusdianto</x:v>
      </x:c>
      <x:c r="I9" s="15" t="str">
        <x:v>Belum Teridentifikasi</x:v>
      </x:c>
      <x:c r="J9" s="5" t="n">
        <x:v>2016</x:v>
      </x:c>
      <x:c r="K9" s="15">
        <x:v>41</x:v>
      </x:c>
      <x:c r="L9" s="9">
        <x:v>41</x:v>
      </x:c>
      <x:c r="M9" s="15">
        <x:v>41</x:v>
      </x:c>
      <x:c r="N9" s="15" t="s">
        <x:v>78</x:v>
      </x:c>
      <x:c r="O9" s="5"/>
      <x:c r="P9" s="5"/>
      <x:c r="Q9" s="21" t="s">
        <x:v>67</x:v>
      </x:c>
      <x:c r="R9" s="21"/>
      <x:c r="S9" s="18"/>
      <x:c r="T9" s="9"/>
      <x:c r="U9" s="9"/>
      <x:c r="V9" s="74">
        <x:v>-2.1202549999999998</x:v>
      </x:c>
      <x:c r="W9" s="9">
        <x:v>106.07257199999999</x:v>
      </x:c>
      <x:c r="X9" s="9"/>
      <x:c r="Y9" s="52"/>
      <x:c r="Z9" s="27"/>
      <x:c r="AA9" s="42"/>
      <x:c r="AB9" s="79"/>
      <x:c r="AC9" s="45"/>
      <x:c r="AD9">
        <x:f t="shared" si="0"/>
        <x:v>1</x:v>
      </x:c>
      <x:c r="AE9">
        <x:f t="shared" si="1"/>
        <x:v>1</x:v>
      </x:c>
    </x:row>
    <x:row r="10">
      <x:c r="A10" s="29" t="s">
        <x:v>79</x:v>
      </x:c>
      <x:c r="B10" s="9" t="s">
        <x:v>80</x:v>
      </x:c>
      <x:c r="C10" s="5" t="s">
        <x:v>63</x:v>
      </x:c>
      <x:c r="D10" s="9" t="s">
        <x:v>64</x:v>
      </x:c>
      <x:c r="E10" s="9" t="s">
        <x:v>65</x:v>
      </x:c>
      <x:c r="F10" s="5" t="str">
        <x:v>Jl. Kulan Kampak</x:v>
      </x:c>
      <x:c r="G10" s="5" t="str">
        <x:v>Belum Teridentifikasi</x:v>
      </x:c>
      <x:c r="H10" s="15" t="str">
        <x:v>Belum Teridentifikasi</x:v>
      </x:c>
      <x:c r="I10" s="15" t="str">
        <x:v>Belum Teridentifikasi</x:v>
      </x:c>
      <x:c r="J10" s="5" t="n">
        <x:v>2015</x:v>
      </x:c>
      <x:c r="K10" s="15">
        <x:v>37</x:v>
      </x:c>
      <x:c r="L10" s="9">
        <x:v>37</x:v>
      </x:c>
      <x:c r="M10" s="15">
        <x:v>37</x:v>
      </x:c>
      <x:c r="N10" s="15" t="s">
        <x:v>78</x:v>
      </x:c>
      <x:c r="O10" s="5"/>
      <x:c r="P10" s="5"/>
      <x:c r="Q10" s="21" t="s">
        <x:v>67</x:v>
      </x:c>
      <x:c r="R10" s="21" t="s">
        <x:v>81</x:v>
      </x:c>
      <x:c r="S10" s="18"/>
      <x:c r="T10" s="9"/>
      <x:c r="U10" s="9"/>
      <x:c r="V10" s="74">
        <x:v>-2.094214</x:v>
      </x:c>
      <x:c r="W10" s="9">
        <x:v>106.0800655</x:v>
      </x:c>
      <x:c r="X10" s="9"/>
      <x:c r="Y10" s="52"/>
      <x:c r="Z10" s="27"/>
      <x:c r="AA10" s="42"/>
      <x:c r="AB10" s="79"/>
      <x:c r="AC10" s="45"/>
      <x:c r="AD10">
        <x:f t="shared" si="0"/>
        <x:v>1</x:v>
      </x:c>
      <x:c r="AE10">
        <x:f t="shared" si="1"/>
        <x:v>1</x:v>
      </x:c>
    </x:row>
    <x:row r="11" ht="25">
      <x:c r="A11" s="29" t="s">
        <x:v>82</x:v>
      </x:c>
      <x:c r="B11" s="9" t="s">
        <x:v>83</x:v>
      </x:c>
      <x:c r="C11" s="5" t="s">
        <x:v>63</x:v>
      </x:c>
      <x:c r="D11" s="9" t="s">
        <x:v>64</x:v>
      </x:c>
      <x:c r="E11" s="9" t="s">
        <x:v>73</x:v>
      </x:c>
      <x:c r="F11" s="5" t="str">
        <x:v>Jl. Kemang Permata</x:v>
      </x:c>
      <x:c r="G11" s="5" t="str">
        <x:v>PT. BABEL JAYA KONSTRUKSI</x:v>
      </x:c>
      <x:c r="H11" s="15" t="str">
        <x:v>Ivan Skyler Anjaya S.T</x:v>
      </x:c>
      <x:c r="I11" s="15" t="str">
        <x:v>Asosiasi Pengembang Perumahan dan Permukiman Seluruh Indonesia (APERSI)</x:v>
      </x:c>
      <x:c r="J11" s="5" t="n">
        <x:v>2023</x:v>
      </x:c>
      <x:c r="K11" s="15">
        <x:v>80</x:v>
      </x:c>
      <x:c r="L11" s="9">
        <x:v>25</x:v>
      </x:c>
      <x:c r="M11" s="15">
        <x:v>0</x:v>
      </x:c>
      <x:c r="N11" s="15" t="s">
        <x:v>78</x:v>
      </x:c>
      <x:c r="O11" s="5"/>
      <x:c r="P11" s="5"/>
      <x:c r="Q11" s="21" t="s">
        <x:v>67</x:v>
      </x:c>
      <x:c r="R11" s="21"/>
      <x:c r="S11" s="18"/>
      <x:c r="T11" s="9"/>
      <x:c r="U11" s="9"/>
      <x:c r="V11" s="74">
        <x:v>-2.1142946999999999</x:v>
      </x:c>
      <x:c r="W11" s="9">
        <x:v>106.0637443</x:v>
      </x:c>
      <x:c r="X11" s="9"/>
      <x:c r="Y11" s="52"/>
      <x:c r="Z11" s="27"/>
      <x:c r="AA11" s="42"/>
      <x:c r="AB11" s="79"/>
      <x:c r="AC11" s="45"/>
      <x:c r="AD11">
        <x:f t="shared" si="0"/>
        <x:v>0.3125</x:v>
      </x:c>
      <x:c r="AE11">
        <x:f t="shared" si="1"/>
        <x:v>0</x:v>
      </x:c>
    </x:row>
    <x:row r="12" ht="37.5">
      <x:c r="A12" s="29" t="s">
        <x:v>84</x:v>
      </x:c>
      <x:c r="B12" s="9" t="s">
        <x:v>85</x:v>
      </x:c>
      <x:c r="C12" s="5" t="s">
        <x:v>63</x:v>
      </x:c>
      <x:c r="D12" s="9" t="s">
        <x:v>86</x:v>
      </x:c>
      <x:c r="E12" s="9" t="s">
        <x:v>87</x:v>
      </x:c>
      <x:c r="F12" s="5" t="str">
        <x:v>Jl. Fatmawati</x:v>
      </x:c>
      <x:c r="G12" s="5" t="str">
        <x:v>PT. MARLINDO BANGUN PERSADA</x:v>
      </x:c>
      <x:c r="H12" s="15" t="str">
        <x:v>Andrian Bong</x:v>
      </x:c>
      <x:c r="I12" s="15" t="str">
        <x:v>Aliansi Pengembang Perumahan Nasional Jaya (Aliansi Pengembang Perumahan Nasional Jaya (APPERNAS JAYA))</x:v>
      </x:c>
      <x:c r="J12" s="5" t="n">
        <x:v>2015</x:v>
      </x:c>
      <x:c r="K12" s="15">
        <x:v>36</x:v>
      </x:c>
      <x:c r="L12" s="9">
        <x:v>36</x:v>
      </x:c>
      <x:c r="M12" s="15">
        <x:v>36</x:v>
      </x:c>
      <x:c r="N12" s="15" t="s">
        <x:v>78</x:v>
      </x:c>
      <x:c r="O12" s="5"/>
      <x:c r="P12" s="5"/>
      <x:c r="Q12" s="21" t="s">
        <x:v>67</x:v>
      </x:c>
      <x:c r="R12" s="21" t="s">
        <x:v>81</x:v>
      </x:c>
      <x:c r="S12" s="18"/>
      <x:c r="T12" s="9"/>
      <x:c r="U12" s="9"/>
      <x:c r="V12" s="74">
        <x:v>-2.1036899</x:v>
      </x:c>
      <x:c r="W12" s="9">
        <x:v>106.0958978</x:v>
      </x:c>
      <x:c r="X12" s="9"/>
      <x:c r="Y12" s="52"/>
      <x:c r="Z12" s="27"/>
      <x:c r="AA12" s="42"/>
      <x:c r="AB12" s="79"/>
      <x:c r="AC12" s="45"/>
      <x:c r="AD12">
        <x:f t="shared" si="0"/>
        <x:v>1</x:v>
      </x:c>
      <x:c r="AE12">
        <x:f t="shared" si="1"/>
        <x:v>1</x:v>
      </x:c>
    </x:row>
    <x:row r="13" ht="25">
      <x:c r="A13" s="29" t="s">
        <x:v>88</x:v>
      </x:c>
      <x:c r="B13" s="9" t="s">
        <x:v>89</x:v>
      </x:c>
      <x:c r="C13" s="5" t="s">
        <x:v>63</x:v>
      </x:c>
      <x:c r="D13" s="9" t="s">
        <x:v>86</x:v>
      </x:c>
      <x:c r="E13" s="9" t="s">
        <x:v>90</x:v>
      </x:c>
      <x:c r="F13" s="5" t="str">
        <x:v>Jl. Stadion</x:v>
      </x:c>
      <x:c r="G13" s="5" t="str">
        <x:v>PT. MARLINDO BANGUN PERSADA</x:v>
      </x:c>
      <x:c r="H13" s="15" t="str">
        <x:v>Andrian Bong</x:v>
      </x:c>
      <x:c r="I13" s="15" t="str">
        <x:v>Aliansi Pengembang Perumahan Nasional Jaya (APPERNAS JAYA)</x:v>
      </x:c>
      <x:c r="J13" s="5" t="n">
        <x:v>2018</x:v>
      </x:c>
      <x:c r="K13" s="15">
        <x:v>22</x:v>
      </x:c>
      <x:c r="L13" s="9">
        <x:v>22</x:v>
      </x:c>
      <x:c r="M13" s="15">
        <x:v>22</x:v>
      </x:c>
      <x:c r="N13" s="15" t="s">
        <x:v>78</x:v>
      </x:c>
      <x:c r="O13" s="5"/>
      <x:c r="P13" s="5"/>
      <x:c r="Q13" s="21" t="s">
        <x:v>67</x:v>
      </x:c>
      <x:c r="R13" s="21"/>
      <x:c r="S13" s="18"/>
      <x:c r="T13" s="9"/>
      <x:c r="U13" s="9"/>
      <x:c r="V13" s="74">
        <x:v>-2.1060007000000001</x:v>
      </x:c>
      <x:c r="W13" s="9">
        <x:v>106.10589899999999</x:v>
      </x:c>
      <x:c r="X13" s="9"/>
      <x:c r="Y13" s="52"/>
      <x:c r="Z13" s="27"/>
      <x:c r="AA13" s="42"/>
      <x:c r="AB13" s="79"/>
      <x:c r="AC13" s="45"/>
      <x:c r="AD13">
        <x:f t="shared" si="0"/>
        <x:v>1</x:v>
      </x:c>
      <x:c r="AE13">
        <x:f t="shared" si="1"/>
        <x:v>1</x:v>
      </x:c>
    </x:row>
    <x:row r="14" ht="25">
      <x:c r="A14" s="29" t="s">
        <x:v>91</x:v>
      </x:c>
      <x:c r="B14" s="9" t="s">
        <x:v>92</x:v>
      </x:c>
      <x:c r="C14" s="5" t="s">
        <x:v>63</x:v>
      </x:c>
      <x:c r="D14" s="9" t="s">
        <x:v>86</x:v>
      </x:c>
      <x:c r="E14" s="9" t="s">
        <x:v>93</x:v>
      </x:c>
      <x:c r="F14" s="5" t="str">
        <x:v>Jl. Pustu</x:v>
      </x:c>
      <x:c r="G14" s="5" t="str">
        <x:v>PT. MARLINDO BANGUN PERSADA</x:v>
      </x:c>
      <x:c r="H14" s="15" t="str">
        <x:v>Andrian Bong</x:v>
      </x:c>
      <x:c r="I14" s="15" t="str">
        <x:v>Aliansi Pengembang Perumahan Nasional Jaya (APPERNAS JAYA)</x:v>
      </x:c>
      <x:c r="J14" s="5" t="n">
        <x:v>2019</x:v>
      </x:c>
      <x:c r="K14" s="15">
        <x:v>45</x:v>
      </x:c>
      <x:c r="L14" s="9">
        <x:v>45</x:v>
      </x:c>
      <x:c r="M14" s="15">
        <x:v>45</x:v>
      </x:c>
      <x:c r="N14" s="15" t="s">
        <x:v>66</x:v>
      </x:c>
      <x:c r="O14" s="5" t="n">
        <x:v>2020</x:v>
      </x:c>
      <x:c r="P14" s="5"/>
      <x:c r="Q14" s="21" t="s">
        <x:v>94</x:v>
      </x:c>
      <x:c r="R14" s="21"/>
      <x:c r="S14" s="18"/>
      <x:c r="T14" s="9"/>
      <x:c r="U14" s="9"/>
      <x:c r="V14" s="74">
        <x:v>-2.0904376</x:v>
      </x:c>
      <x:c r="W14" s="9">
        <x:v>106.09290710000001</x:v>
      </x:c>
      <x:c r="X14" s="9"/>
      <x:c r="Y14" s="52"/>
      <x:c r="Z14" s="27"/>
      <x:c r="AA14" s="42"/>
      <x:c r="AB14" s="79"/>
      <x:c r="AC14" s="45"/>
      <x:c r="AD14">
        <x:f t="shared" si="0"/>
        <x:v>1</x:v>
      </x:c>
      <x:c r="AE14">
        <x:f t="shared" si="1"/>
        <x:v>1</x:v>
      </x:c>
    </x:row>
    <x:row r="15" ht="25">
      <x:c r="A15" s="29" t="s">
        <x:v>95</x:v>
      </x:c>
      <x:c r="B15" s="9" t="s">
        <x:v>96</x:v>
      </x:c>
      <x:c r="C15" s="5" t="s">
        <x:v>63</x:v>
      </x:c>
      <x:c r="D15" s="9" t="s">
        <x:v>64</x:v>
      </x:c>
      <x:c r="E15" s="9" t="s">
        <x:v>65</x:v>
      </x:c>
      <x:c r="F15" s="5" t="str">
        <x:v>Jl. Kampak Dalam</x:v>
      </x:c>
      <x:c r="G15" s="5" t="str">
        <x:v>PT. MARLINDO BANGUN PERSADA</x:v>
      </x:c>
      <x:c r="H15" s="15" t="str">
        <x:v>Andrian Bong</x:v>
      </x:c>
      <x:c r="I15" s="15" t="str">
        <x:v>Aliansi Pengembang Perumahan Nasional Jaya (APPERNAS JAYA)</x:v>
      </x:c>
      <x:c r="J15" s="5" t="n">
        <x:v>2020</x:v>
      </x:c>
      <x:c r="K15" s="15">
        <x:v>75</x:v>
      </x:c>
      <x:c r="L15" s="9">
        <x:v>75</x:v>
      </x:c>
      <x:c r="M15" s="15">
        <x:v>75</x:v>
      </x:c>
      <x:c r="N15" s="15" t="s">
        <x:v>78</x:v>
      </x:c>
      <x:c r="O15" s="5"/>
      <x:c r="P15" s="5"/>
      <x:c r="Q15" s="21" t="s">
        <x:v>97</x:v>
      </x:c>
      <x:c r="R15" s="21" t="s">
        <x:v>81</x:v>
      </x:c>
      <x:c r="S15" s="18"/>
      <x:c r="T15" s="9" t="s">
        <x:v>68</x:v>
      </x:c>
      <x:c r="U15" s="9"/>
      <x:c r="V15" s="74">
        <x:v>-2.100133</x:v>
      </x:c>
      <x:c r="W15" s="9">
        <x:v>106.07501499999999</x:v>
      </x:c>
      <x:c r="X15" s="9"/>
      <x:c r="Y15" s="52"/>
      <x:c r="Z15" s="27"/>
      <x:c r="AA15" s="42"/>
      <x:c r="AB15" s="79"/>
      <x:c r="AC15" s="45"/>
      <x:c r="AD15">
        <x:f t="shared" si="0"/>
        <x:v>1</x:v>
      </x:c>
      <x:c r="AE15">
        <x:f t="shared" si="1"/>
        <x:v>1</x:v>
      </x:c>
    </x:row>
    <x:row r="16" ht="25">
      <x:c r="A16" s="29" t="s">
        <x:v>98</x:v>
      </x:c>
      <x:c r="B16" s="9" t="s">
        <x:v>99</x:v>
      </x:c>
      <x:c r="C16" s="5" t="s">
        <x:v>63</x:v>
      </x:c>
      <x:c r="D16" s="9" t="s">
        <x:v>64</x:v>
      </x:c>
      <x:c r="E16" s="9" t="s">
        <x:v>65</x:v>
      </x:c>
      <x:c r="F16" s="5" t="str">
        <x:v>Jl. Mentangor</x:v>
      </x:c>
      <x:c r="G16" s="5" t="str">
        <x:v>PT. MARLINDO BANGUN PERSADA</x:v>
      </x:c>
      <x:c r="H16" s="15" t="str">
        <x:v>Andrian Bong</x:v>
      </x:c>
      <x:c r="I16" s="15" t="str">
        <x:v>Aliansi Pengembang Perumahan Nasional Jaya (APPERNAS JAYA)</x:v>
      </x:c>
      <x:c r="J16" s="5" t="n">
        <x:v>2022</x:v>
      </x:c>
      <x:c r="K16" s="15">
        <x:v>51</x:v>
      </x:c>
      <x:c r="L16" s="9">
        <x:v>51</x:v>
      </x:c>
      <x:c r="M16" s="15">
        <x:v>51</x:v>
      </x:c>
      <x:c r="N16" s="15" t="s">
        <x:v>78</x:v>
      </x:c>
      <x:c r="O16" s="5"/>
      <x:c r="P16" s="5"/>
      <x:c r="Q16" s="21" t="s">
        <x:v>67</x:v>
      </x:c>
      <x:c r="R16" s="21"/>
      <x:c r="S16" s="18"/>
      <x:c r="T16" s="9"/>
      <x:c r="U16" s="9"/>
      <x:c r="V16" s="74">
        <x:v>-2.1091386999999999</x:v>
      </x:c>
      <x:c r="W16" s="9">
        <x:v>106.0656738</x:v>
      </x:c>
      <x:c r="X16" s="9"/>
      <x:c r="Y16" s="52"/>
      <x:c r="Z16" s="27"/>
      <x:c r="AA16" s="42"/>
      <x:c r="AB16" s="79"/>
      <x:c r="AC16" s="45"/>
      <x:c r="AD16">
        <x:f t="shared" si="0"/>
        <x:v>1</x:v>
      </x:c>
      <x:c r="AE16">
        <x:f t="shared" si="1"/>
        <x:v>1</x:v>
      </x:c>
    </x:row>
    <x:row r="17" ht="25">
      <x:c r="A17" s="29" t="s">
        <x:v>100</x:v>
      </x:c>
      <x:c r="B17" s="9" t="s">
        <x:v>101</x:v>
      </x:c>
      <x:c r="C17" s="5" t="s">
        <x:v>63</x:v>
      </x:c>
      <x:c r="D17" s="9" t="s">
        <x:v>86</x:v>
      </x:c>
      <x:c r="E17" s="9" t="s">
        <x:v>93</x:v>
      </x:c>
      <x:c r="F17" s="5" t="str">
        <x:v>Jl. Kelompok</x:v>
      </x:c>
      <x:c r="G17" s="5" t="str">
        <x:v>PT. MARLINDO BANGUN PERSADA</x:v>
      </x:c>
      <x:c r="H17" s="15" t="str">
        <x:v>Andrian Bong</x:v>
      </x:c>
      <x:c r="I17" s="15" t="str">
        <x:v>Aliansi Pengembang Perumahan Nasional Jaya (APPERNAS JAYA)</x:v>
      </x:c>
      <x:c r="J17" s="5" t="n">
        <x:v>2023</x:v>
      </x:c>
      <x:c r="K17" s="15">
        <x:v>84</x:v>
      </x:c>
      <x:c r="L17" s="9">
        <x:v>51</x:v>
      </x:c>
      <x:c r="M17" s="15">
        <x:v>38</x:v>
      </x:c>
      <x:c r="N17" s="15" t="s">
        <x:v>78</x:v>
      </x:c>
      <x:c r="O17" s="5"/>
      <x:c r="P17" s="5"/>
      <x:c r="Q17" s="21" t="s">
        <x:v>67</x:v>
      </x:c>
      <x:c r="R17" s="21"/>
      <x:c r="S17" s="18"/>
      <x:c r="T17" s="9" t="s">
        <x:v>68</x:v>
      </x:c>
      <x:c r="U17" s="9"/>
      <x:c r="V17" s="74">
        <x:v>-2.0843104000000001</x:v>
      </x:c>
      <x:c r="W17" s="9">
        <x:v>106.09608110000001</x:v>
      </x:c>
      <x:c r="X17" s="9"/>
      <x:c r="Y17" s="52"/>
      <x:c r="Z17" s="27"/>
      <x:c r="AA17" s="42"/>
      <x:c r="AB17" s="79"/>
      <x:c r="AC17" s="45"/>
      <x:c r="AD17">
        <x:f t="shared" si="0"/>
        <x:v>0.6071428571428571</x:v>
      </x:c>
      <x:c r="AE17">
        <x:f t="shared" si="1"/>
        <x:v>0.74509803921568629</x:v>
      </x:c>
    </x:row>
    <x:row r="18" ht="25">
      <x:c r="A18" s="29" t="s">
        <x:v>102</x:v>
      </x:c>
      <x:c r="B18" s="9" t="s">
        <x:v>103</x:v>
      </x:c>
      <x:c r="C18" s="5" t="s">
        <x:v>63</x:v>
      </x:c>
      <x:c r="D18" s="9" t="s">
        <x:v>104</x:v>
      </x:c>
      <x:c r="E18" s="9" t="s">
        <x:v>105</x:v>
      </x:c>
      <x:c r="F18" s="5" t="str">
        <x:v>Jl. Air Mangkok</x:v>
      </x:c>
      <x:c r="G18" s="5" t="str">
        <x:v>PT. BANGKA JESSTINDO LESTARI</x:v>
      </x:c>
      <x:c r="H18" s="15" t="str">
        <x:v>Rince</x:v>
      </x:c>
      <x:c r="I18" s="15" t="str">
        <x:v>Real Estate Indonesia (Real Estate Indonesia (REI))</x:v>
      </x:c>
      <x:c r="J18" s="5" t="n">
        <x:v>2022</x:v>
      </x:c>
      <x:c r="K18" s="15">
        <x:v>112</x:v>
      </x:c>
      <x:c r="L18" s="9">
        <x:v>109</x:v>
      </x:c>
      <x:c r="M18" s="15">
        <x:v>109</x:v>
      </x:c>
      <x:c r="N18" s="15" t="s">
        <x:v>78</x:v>
      </x:c>
      <x:c r="O18" s="5"/>
      <x:c r="P18" s="5"/>
      <x:c r="Q18" s="21" t="s">
        <x:v>67</x:v>
      </x:c>
      <x:c r="R18" s="21"/>
      <x:c r="S18" s="18"/>
      <x:c r="T18" s="9" t="s">
        <x:v>68</x:v>
      </x:c>
      <x:c r="U18" s="9"/>
      <x:c r="V18" s="74">
        <x:v>-2.1291820000000001</x:v>
      </x:c>
      <x:c r="W18" s="9">
        <x:v>106.14707799999999</x:v>
      </x:c>
      <x:c r="X18" s="9"/>
      <x:c r="Y18" s="52"/>
      <x:c r="Z18" s="27"/>
      <x:c r="AA18" s="42"/>
      <x:c r="AB18" s="79"/>
      <x:c r="AC18" s="45"/>
      <x:c r="AD18">
        <x:f t="shared" si="0"/>
        <x:v>0.9732142857142857</x:v>
      </x:c>
      <x:c r="AE18">
        <x:f t="shared" si="1"/>
        <x:v>1</x:v>
      </x:c>
    </x:row>
    <x:row r="19">
      <x:c r="A19" s="29" t="s">
        <x:v>106</x:v>
      </x:c>
      <x:c r="B19" s="9" t="s">
        <x:v>107</x:v>
      </x:c>
      <x:c r="C19" s="5" t="s">
        <x:v>63</x:v>
      </x:c>
      <x:c r="D19" s="9" t="s">
        <x:v>104</x:v>
      </x:c>
      <x:c r="E19" s="9" t="s">
        <x:v>105</x:v>
      </x:c>
      <x:c r="F19" s="5" t="str">
        <x:v>Jl. Air Mangkok</x:v>
      </x:c>
      <x:c r="G19" s="5" t="str">
        <x:v>PT. BANGKA JESSTINDO LESTARI</x:v>
      </x:c>
      <x:c r="H19" s="15" t="str">
        <x:v>Rince</x:v>
      </x:c>
      <x:c r="I19" s="15" t="str">
        <x:v>Real Estate Indonesia (REI)</x:v>
      </x:c>
      <x:c r="J19" s="5" t="n">
        <x:v>2023</x:v>
      </x:c>
      <x:c r="K19" s="15">
        <x:v>41</x:v>
      </x:c>
      <x:c r="L19" s="9">
        <x:v>37</x:v>
      </x:c>
      <x:c r="M19" s="15">
        <x:v>37</x:v>
      </x:c>
      <x:c r="N19" s="15" t="s">
        <x:v>78</x:v>
      </x:c>
      <x:c r="O19" s="5"/>
      <x:c r="P19" s="5"/>
      <x:c r="Q19" s="21" t="s">
        <x:v>67</x:v>
      </x:c>
      <x:c r="R19" s="21" t="s">
        <x:v>108</x:v>
      </x:c>
      <x:c r="S19" s="18"/>
      <x:c r="T19" s="9" t="s">
        <x:v>68</x:v>
      </x:c>
      <x:c r="U19" s="9"/>
      <x:c r="V19" s="74">
        <x:v>-2.1291820000000001</x:v>
      </x:c>
      <x:c r="W19" s="9">
        <x:v>106.14707900000001</x:v>
      </x:c>
      <x:c r="X19" s="9"/>
      <x:c r="Y19" s="52"/>
      <x:c r="Z19" s="27"/>
      <x:c r="AA19" s="42"/>
      <x:c r="AB19" s="79"/>
      <x:c r="AC19" s="45"/>
      <x:c r="AD19">
        <x:f t="shared" si="0"/>
        <x:v>0.90243902439024393</x:v>
      </x:c>
      <x:c r="AE19">
        <x:f t="shared" si="1"/>
        <x:v>1</x:v>
      </x:c>
    </x:row>
    <x:row r="20">
      <x:c r="A20" s="29" t="s">
        <x:v>109</x:v>
      </x:c>
      <x:c r="B20" s="9" t="s">
        <x:v>110</x:v>
      </x:c>
      <x:c r="C20" s="5" t="s">
        <x:v>111</x:v>
      </x:c>
      <x:c r="D20" s="9" t="s">
        <x:v>86</x:v>
      </x:c>
      <x:c r="E20" s="9" t="s">
        <x:v>112</x:v>
      </x:c>
      <x:c r="F20" s="5" t="str">
        <x:v>Jl. Sekolah</x:v>
      </x:c>
      <x:c r="G20" s="5" t="str">
        <x:v>PT. BANGKA JESSTINDO LESTARI</x:v>
      </x:c>
      <x:c r="H20" s="15" t="str">
        <x:v>Rince</x:v>
      </x:c>
      <x:c r="I20" s="15" t="str">
        <x:v>Real Estate Indonesia (REI)</x:v>
      </x:c>
      <x:c r="J20" s="5" t="n">
        <x:v>2022</x:v>
      </x:c>
      <x:c r="K20" s="15">
        <x:v>107</x:v>
      </x:c>
      <x:c r="L20" s="9">
        <x:v>90</x:v>
      </x:c>
      <x:c r="M20" s="15">
        <x:v>0</x:v>
      </x:c>
      <x:c r="N20" s="15" t="s">
        <x:v>78</x:v>
      </x:c>
      <x:c r="O20" s="5"/>
      <x:c r="P20" s="5"/>
      <x:c r="Q20" s="21" t="s">
        <x:v>67</x:v>
      </x:c>
      <x:c r="R20" s="21" t="s">
        <x:v>108</x:v>
      </x:c>
      <x:c r="S20" s="18"/>
      <x:c r="T20" s="9" t="s">
        <x:v>68</x:v>
      </x:c>
      <x:c r="U20" s="9"/>
      <x:c r="V20" s="74">
        <x:v>-2.0851687000000001</x:v>
      </x:c>
      <x:c r="W20" s="9">
        <x:v>106.1168948</x:v>
      </x:c>
      <x:c r="X20" s="9"/>
      <x:c r="Y20" s="52"/>
      <x:c r="Z20" s="27"/>
      <x:c r="AA20" s="42"/>
      <x:c r="AB20" s="79"/>
      <x:c r="AC20" s="45"/>
      <x:c r="AD20">
        <x:f t="shared" si="0"/>
        <x:v>0.84112149532710279</x:v>
      </x:c>
      <x:c r="AE20">
        <x:f t="shared" si="1"/>
        <x:v>0</x:v>
      </x:c>
    </x:row>
    <x:row r="21">
      <x:c r="A21" s="29" t="s">
        <x:v>113</x:v>
      </x:c>
      <x:c r="B21" s="9" t="s">
        <x:v>114</x:v>
      </x:c>
      <x:c r="C21" s="5" t="s">
        <x:v>63</x:v>
      </x:c>
      <x:c r="D21" s="9" t="s">
        <x:v>86</x:v>
      </x:c>
      <x:c r="E21" s="9" t="s">
        <x:v>112</x:v>
      </x:c>
      <x:c r="F21" s="5" t="str">
        <x:v>Jl. Sekolah</x:v>
      </x:c>
      <x:c r="G21" s="5" t="str">
        <x:v>PT. BANGKA JESSTINDO LESTARI</x:v>
      </x:c>
      <x:c r="H21" s="15" t="str">
        <x:v>Rince</x:v>
      </x:c>
      <x:c r="I21" s="15" t="str">
        <x:v>Real Estate Indonesia (REI)</x:v>
      </x:c>
      <x:c r="J21" s="5" t="n">
        <x:v>2023</x:v>
      </x:c>
      <x:c r="K21" s="15">
        <x:v>24</x:v>
      </x:c>
      <x:c r="L21" s="9">
        <x:v>0</x:v>
      </x:c>
      <x:c r="M21" s="15">
        <x:v>0</x:v>
      </x:c>
      <x:c r="N21" s="15" t="s">
        <x:v>78</x:v>
      </x:c>
      <x:c r="O21" s="5"/>
      <x:c r="P21" s="5"/>
      <x:c r="Q21" s="21" t="s">
        <x:v>67</x:v>
      </x:c>
      <x:c r="R21" s="21" t="s">
        <x:v>108</x:v>
      </x:c>
      <x:c r="S21" s="18"/>
      <x:c r="T21" s="9" t="s">
        <x:v>68</x:v>
      </x:c>
      <x:c r="U21" s="9"/>
      <x:c r="V21" s="74">
        <x:v>-2.0851687000000001</x:v>
      </x:c>
      <x:c r="W21" s="9">
        <x:v>106.11689490000001</x:v>
      </x:c>
      <x:c r="X21" s="9"/>
      <x:c r="Y21" s="52"/>
      <x:c r="Z21" s="27"/>
      <x:c r="AA21" s="42"/>
      <x:c r="AB21" s="79"/>
      <x:c r="AC21" s="45"/>
      <x:c r="AD21">
        <x:f t="shared" si="0"/>
        <x:v>0</x:v>
      </x:c>
      <x:c r="AE21">
        <x:f t="shared" si="1"/>
        <x:v>0</x:v>
      </x:c>
    </x:row>
    <x:row r="22">
      <x:c r="A22" s="29" t="s">
        <x:v>115</x:v>
      </x:c>
      <x:c r="B22" s="9" t="s">
        <x:v>116</x:v>
      </x:c>
      <x:c r="C22" s="5" t="s">
        <x:v>63</x:v>
      </x:c>
      <x:c r="D22" s="9" t="s">
        <x:v>104</x:v>
      </x:c>
      <x:c r="E22" s="9" t="s">
        <x:v>117</x:v>
      </x:c>
      <x:c r="F22" s="5" t="str">
        <x:v>Jl. Sampur</x:v>
      </x:c>
      <x:c r="G22" s="5" t="str">
        <x:v>PT. BANGKA JESSTINDO LESTARI</x:v>
      </x:c>
      <x:c r="H22" s="15" t="str">
        <x:v>Rince</x:v>
      </x:c>
      <x:c r="I22" s="15" t="str">
        <x:v>Real Estate Indonesia (REI)</x:v>
      </x:c>
      <x:c r="J22" s="5" t="n">
        <x:v>2023</x:v>
      </x:c>
      <x:c r="K22" s="15">
        <x:v>144</x:v>
      </x:c>
      <x:c r="L22" s="9">
        <x:v>8</x:v>
      </x:c>
      <x:c r="M22" s="15">
        <x:v>6</x:v>
      </x:c>
      <x:c r="N22" s="15" t="s">
        <x:v>78</x:v>
      </x:c>
      <x:c r="O22" s="5"/>
      <x:c r="P22" s="5"/>
      <x:c r="Q22" s="21" t="s">
        <x:v>67</x:v>
      </x:c>
      <x:c r="R22" s="21" t="s">
        <x:v>108</x:v>
      </x:c>
      <x:c r="S22" s="18"/>
      <x:c r="T22" s="9"/>
      <x:c r="U22" s="9"/>
      <x:c r="V22" s="74">
        <x:v>-2.1510370000000001</x:v>
      </x:c>
      <x:c r="W22" s="9">
        <x:v>106.1741657</x:v>
      </x:c>
      <x:c r="X22" s="9"/>
      <x:c r="Y22" s="52"/>
      <x:c r="Z22" s="27"/>
      <x:c r="AA22" s="42"/>
      <x:c r="AB22" s="79"/>
      <x:c r="AC22" s="45"/>
      <x:c r="AD22">
        <x:f t="shared" si="0"/>
        <x:v>5.5555555555555552E-2</x:v>
      </x:c>
      <x:c r="AE22">
        <x:f t="shared" si="1"/>
        <x:v>0.75</x:v>
      </x:c>
    </x:row>
    <x:row r="23">
      <x:c r="A23" s="29" t="s">
        <x:v>118</x:v>
      </x:c>
      <x:c r="B23" s="9" t="s">
        <x:v>119</x:v>
      </x:c>
      <x:c r="C23" s="5" t="s">
        <x:v>63</x:v>
      </x:c>
      <x:c r="D23" s="9" t="s">
        <x:v>104</x:v>
      </x:c>
      <x:c r="E23" s="9" t="s">
        <x:v>117</x:v>
      </x:c>
      <x:c r="F23" s="5" t="str">
        <x:v>Jl. Sampur</x:v>
      </x:c>
      <x:c r="G23" s="5" t="str">
        <x:v>PT. BANGKA JESSTINDO LESTARI</x:v>
      </x:c>
      <x:c r="H23" s="15" t="str">
        <x:v>Rince</x:v>
      </x:c>
      <x:c r="I23" s="15" t="str">
        <x:v>Real Estate Indonesia (REI)</x:v>
      </x:c>
      <x:c r="J23" s="5" t="n">
        <x:v>2023</x:v>
      </x:c>
      <x:c r="K23" s="15">
        <x:v>82</x:v>
      </x:c>
      <x:c r="L23" s="9">
        <x:v>0</x:v>
      </x:c>
      <x:c r="M23" s="15">
        <x:v>0</x:v>
      </x:c>
      <x:c r="N23" s="15" t="s">
        <x:v>78</x:v>
      </x:c>
      <x:c r="O23" s="5"/>
      <x:c r="P23" s="5"/>
      <x:c r="Q23" s="21" t="s">
        <x:v>67</x:v>
      </x:c>
      <x:c r="R23" s="21" t="s">
        <x:v>108</x:v>
      </x:c>
      <x:c r="S23" s="18"/>
      <x:c r="T23" s="9"/>
      <x:c r="U23" s="9"/>
      <x:c r="V23" s="74">
        <x:v>-2.1510370000000001</x:v>
      </x:c>
      <x:c r="W23" s="9">
        <x:v>106.1741657</x:v>
      </x:c>
      <x:c r="X23" s="9"/>
      <x:c r="Y23" s="52"/>
      <x:c r="Z23" s="27"/>
      <x:c r="AA23" s="42"/>
      <x:c r="AB23" s="79"/>
      <x:c r="AC23" s="45"/>
      <x:c r="AD23">
        <x:f t="shared" si="0"/>
        <x:v>0</x:v>
      </x:c>
      <x:c r="AE23">
        <x:f t="shared" si="1"/>
        <x:v>0</x:v>
      </x:c>
    </x:row>
    <x:row r="24">
      <x:c r="A24" s="29" t="s">
        <x:v>120</x:v>
      </x:c>
      <x:c r="B24" s="9" t="s">
        <x:v>121</x:v>
      </x:c>
      <x:c r="C24" s="5" t="s">
        <x:v>63</x:v>
      </x:c>
      <x:c r="D24" s="9" t="s">
        <x:v>122</x:v>
      </x:c>
      <x:c r="E24" s="9" t="s">
        <x:v>123</x:v>
      </x:c>
      <x:c r="F24" s="5" t="str">
        <x:v>Jl. Selar</x:v>
      </x:c>
      <x:c r="G24" s="5" t="str">
        <x:v>PT. CAHAYA KEMULIAAN BERSAMA</x:v>
      </x:c>
      <x:c r="H24" s="15" t="str">
        <x:v>Belum Teridentifikasi</x:v>
      </x:c>
      <x:c r="I24" s="15" t="str">
        <x:v>Belum Teridentifikasi</x:v>
      </x:c>
      <x:c r="J24" s="5" t="n">
        <x:v>2023</x:v>
      </x:c>
      <x:c r="K24" s="15">
        <x:v>34</x:v>
      </x:c>
      <x:c r="L24" s="9">
        <x:v>11</x:v>
      </x:c>
      <x:c r="M24" s="15">
        <x:v>0</x:v>
      </x:c>
      <x:c r="N24" s="15" t="s">
        <x:v>78</x:v>
      </x:c>
      <x:c r="O24" s="5"/>
      <x:c r="P24" s="5"/>
      <x:c r="Q24" s="21" t="s">
        <x:v>67</x:v>
      </x:c>
      <x:c r="R24" s="21"/>
      <x:c r="S24" s="18"/>
      <x:c r="T24" s="9"/>
      <x:c r="U24" s="9"/>
      <x:c r="V24" s="74">
        <x:v>-2.1040527</x:v>
      </x:c>
      <x:c r="W24" s="9">
        <x:v>106.13135629999999</x:v>
      </x:c>
      <x:c r="X24" s="9"/>
      <x:c r="Y24" s="52"/>
      <x:c r="Z24" s="27"/>
      <x:c r="AA24" s="42"/>
      <x:c r="AB24" s="79"/>
      <x:c r="AC24" s="45"/>
      <x:c r="AD24">
        <x:f t="shared" si="0"/>
        <x:v>0.3235294117647059</x:v>
      </x:c>
      <x:c r="AE24">
        <x:f t="shared" si="1"/>
        <x:v>0</x:v>
      </x:c>
    </x:row>
    <x:row r="25">
      <x:c r="A25" s="29" t="s">
        <x:v>124</x:v>
      </x:c>
      <x:c r="B25" s="9" t="s">
        <x:v>125</x:v>
      </x:c>
      <x:c r="C25" s="5" t="s">
        <x:v>63</x:v>
      </x:c>
      <x:c r="D25" s="9" t="s">
        <x:v>64</x:v>
      </x:c>
      <x:c r="E25" s="9" t="s">
        <x:v>65</x:v>
      </x:c>
      <x:c r="F25" s="5" t="str">
        <x:v>Jl. Kampung Melayu</x:v>
      </x:c>
      <x:c r="G25" s="5" t="str">
        <x:v>PT. ARTHA USAHA MANDIRI INDAH</x:v>
      </x:c>
      <x:c r="H25" s="15" t="str">
        <x:v>Dahri</x:v>
      </x:c>
      <x:c r="I25" s="15" t="str">
        <x:v>Real Estate Indonesia (REI)</x:v>
      </x:c>
      <x:c r="J25" s="5" t="n">
        <x:v>2017</x:v>
      </x:c>
      <x:c r="K25" s="15">
        <x:v>75</x:v>
      </x:c>
      <x:c r="L25" s="9">
        <x:v>75</x:v>
      </x:c>
      <x:c r="M25" s="15">
        <x:v>75</x:v>
      </x:c>
      <x:c r="N25" s="15" t="s">
        <x:v>78</x:v>
      </x:c>
      <x:c r="O25" s="5"/>
      <x:c r="P25" s="5"/>
      <x:c r="Q25" s="21" t="s">
        <x:v>67</x:v>
      </x:c>
      <x:c r="R25" s="21"/>
      <x:c r="S25" s="18"/>
      <x:c r="T25" s="9"/>
      <x:c r="U25" s="9"/>
      <x:c r="V25" s="74">
        <x:v>-2.1027433000000002</x:v>
      </x:c>
      <x:c r="W25" s="9">
        <x:v>106.0581504</x:v>
      </x:c>
      <x:c r="X25" s="9"/>
      <x:c r="Y25" s="52"/>
      <x:c r="Z25" s="27"/>
      <x:c r="AA25" s="42"/>
      <x:c r="AB25" s="79"/>
      <x:c r="AC25" s="45"/>
      <x:c r="AD25">
        <x:f t="shared" si="0"/>
        <x:v>1</x:v>
      </x:c>
      <x:c r="AE25">
        <x:f t="shared" si="1"/>
        <x:v>1</x:v>
      </x:c>
    </x:row>
    <x:row r="26">
      <x:c r="A26" s="29" t="s">
        <x:v>126</x:v>
      </x:c>
      <x:c r="B26" s="9" t="s">
        <x:v>127</x:v>
      </x:c>
      <x:c r="C26" s="5" t="s">
        <x:v>63</x:v>
      </x:c>
      <x:c r="D26" s="9" t="s">
        <x:v>64</x:v>
      </x:c>
      <x:c r="E26" s="9" t="s">
        <x:v>65</x:v>
      </x:c>
      <x:c r="F26" s="5" t="str">
        <x:v>Jl. Kampung Melayu</x:v>
      </x:c>
      <x:c r="G26" s="5" t="str">
        <x:v>PT. ARTHA USAHA MANDIRI INDAH</x:v>
      </x:c>
      <x:c r="H26" s="15" t="str">
        <x:v>Dahri</x:v>
      </x:c>
      <x:c r="I26" s="15" t="str">
        <x:v>Real Estate Indonesia (REI)</x:v>
      </x:c>
      <x:c r="J26" s="5" t="n">
        <x:v>2018</x:v>
      </x:c>
      <x:c r="K26" s="15">
        <x:v>42</x:v>
      </x:c>
      <x:c r="L26" s="9">
        <x:v>28</x:v>
      </x:c>
      <x:c r="M26" s="15">
        <x:v>28</x:v>
      </x:c>
      <x:c r="N26" s="15" t="s">
        <x:v>78</x:v>
      </x:c>
      <x:c r="O26" s="5"/>
      <x:c r="P26" s="5"/>
      <x:c r="Q26" s="21" t="s">
        <x:v>67</x:v>
      </x:c>
      <x:c r="R26" s="21"/>
      <x:c r="S26" s="18"/>
      <x:c r="T26" s="9"/>
      <x:c r="U26" s="9"/>
      <x:c r="V26" s="74">
        <x:v>-2.1027433000000002</x:v>
      </x:c>
      <x:c r="W26" s="9">
        <x:v>106.0581504</x:v>
      </x:c>
      <x:c r="X26" s="9"/>
      <x:c r="Y26" s="52"/>
      <x:c r="Z26" s="27"/>
      <x:c r="AA26" s="42"/>
      <x:c r="AB26" s="79"/>
      <x:c r="AC26" s="45"/>
      <x:c r="AD26">
        <x:f t="shared" si="0"/>
        <x:v>0.66666666666666663</x:v>
      </x:c>
      <x:c r="AE26">
        <x:f t="shared" si="1"/>
        <x:v>1</x:v>
      </x:c>
    </x:row>
    <x:row r="27">
      <x:c r="A27" s="29" t="s">
        <x:v>128</x:v>
      </x:c>
      <x:c r="B27" s="9" t="s">
        <x:v>129</x:v>
      </x:c>
      <x:c r="C27" s="5" t="s">
        <x:v>63</x:v>
      </x:c>
      <x:c r="D27" s="9" t="s">
        <x:v>64</x:v>
      </x:c>
      <x:c r="E27" s="9" t="s">
        <x:v>65</x:v>
      </x:c>
      <x:c r="F27" s="5" t="str">
        <x:v>Gg. Warisan Budaya Kampak</x:v>
      </x:c>
      <x:c r="G27" s="5" t="str">
        <x:v>PT. ARTISTIK JAYA CONT</x:v>
      </x:c>
      <x:c r="H27" s="15" t="str">
        <x:v>Eko Yulianto</x:v>
      </x:c>
      <x:c r="I27" s="15" t="str">
        <x:v>Pengembang Indonesia (PI)</x:v>
      </x:c>
      <x:c r="J27" s="5" t="n">
        <x:v>2020</x:v>
      </x:c>
      <x:c r="K27" s="15">
        <x:v>33</x:v>
      </x:c>
      <x:c r="L27" s="9">
        <x:v>33</x:v>
      </x:c>
      <x:c r="M27" s="15">
        <x:v>31</x:v>
      </x:c>
      <x:c r="N27" s="15" t="s">
        <x:v>66</x:v>
      </x:c>
      <x:c r="O27" s="5" t="n">
        <x:v>2023</x:v>
      </x:c>
      <x:c r="P27" s="5"/>
      <x:c r="Q27" s="21" t="s">
        <x:v>67</x:v>
      </x:c>
      <x:c r="R27" s="21" t="s">
        <x:v>130</x:v>
      </x:c>
      <x:c r="S27" s="18"/>
      <x:c r="T27" s="9"/>
      <x:c r="U27" s="9"/>
      <x:c r="V27" s="74">
        <x:v>-2.1046360000000002</x:v>
      </x:c>
      <x:c r="W27" s="9">
        <x:v>106.08262999999999</x:v>
      </x:c>
      <x:c r="X27" s="9"/>
      <x:c r="Y27" s="52"/>
      <x:c r="Z27" s="27"/>
      <x:c r="AA27" s="42"/>
      <x:c r="AB27" s="79"/>
      <x:c r="AC27" s="45"/>
      <x:c r="AD27">
        <x:f t="shared" si="0"/>
        <x:v>1</x:v>
      </x:c>
      <x:c r="AE27">
        <x:f t="shared" si="1"/>
        <x:v>0.93939393939393945</x:v>
      </x:c>
    </x:row>
    <x:row r="28">
      <x:c r="A28" s="29" t="s">
        <x:v>131</x:v>
      </x:c>
      <x:c r="B28" s="9" t="s">
        <x:v>132</x:v>
      </x:c>
      <x:c r="C28" s="5" t="s">
        <x:v>63</x:v>
      </x:c>
      <x:c r="D28" s="9" t="s">
        <x:v>64</x:v>
      </x:c>
      <x:c r="E28" s="9" t="s">
        <x:v>73</x:v>
      </x:c>
      <x:c r="F28" s="5" t="str">
        <x:v>Belum Diketahui</x:v>
      </x:c>
      <x:c r="G28" s="5" t="str">
        <x:v>PT. ARTISTIK JAYA CONT</x:v>
      </x:c>
      <x:c r="H28" s="15" t="str">
        <x:v>Eko Yulianto</x:v>
      </x:c>
      <x:c r="I28" s="15" t="str">
        <x:v>Pengembang Indonesia (PI)</x:v>
      </x:c>
      <x:c r="J28" s="5" t="n">
        <x:v>2023</x:v>
      </x:c>
      <x:c r="K28" s="15">
        <x:v>46</x:v>
      </x:c>
      <x:c r="L28" s="9">
        <x:v>46</x:v>
      </x:c>
      <x:c r="M28" s="15">
        <x:v>39</x:v>
      </x:c>
      <x:c r="N28" s="15" t="s">
        <x:v>66</x:v>
      </x:c>
      <x:c r="O28" s="5" t="n">
        <x:v>2024</x:v>
      </x:c>
      <x:c r="P28" s="5"/>
      <x:c r="Q28" s="21" t="s">
        <x:v>67</x:v>
      </x:c>
      <x:c r="R28" s="21"/>
      <x:c r="S28" s="18"/>
      <x:c r="T28" s="9"/>
      <x:c r="U28" s="9"/>
      <x:c r="V28" s="74">
        <x:v>-2.1201479999999999</x:v>
      </x:c>
      <x:c r="W28" s="9">
        <x:v>106.068039</x:v>
      </x:c>
      <x:c r="X28" s="9"/>
      <x:c r="Y28" s="52"/>
      <x:c r="Z28" s="27"/>
      <x:c r="AA28" s="42"/>
      <x:c r="AB28" s="79"/>
      <x:c r="AC28" s="45"/>
      <x:c r="AD28">
        <x:f t="shared" si="0"/>
        <x:v>1</x:v>
      </x:c>
      <x:c r="AE28">
        <x:f t="shared" si="1"/>
        <x:v>0.84782608695652173</x:v>
      </x:c>
    </x:row>
    <x:row r="29">
      <x:c r="A29" s="29" t="s">
        <x:v>133</x:v>
      </x:c>
      <x:c r="B29" s="9" t="s">
        <x:v>134</x:v>
      </x:c>
      <x:c r="C29" s="5" t="s">
        <x:v>63</x:v>
      </x:c>
      <x:c r="D29" s="9" t="s">
        <x:v>86</x:v>
      </x:c>
      <x:c r="E29" s="9" t="s">
        <x:v>93</x:v>
      </x:c>
      <x:c r="F29" s="5" t="str">
        <x:v>Jl. Haji Bakir</x:v>
      </x:c>
      <x:c r="G29" s="5" t="str">
        <x:v>PT. ARTISTIK JAYA CONT</x:v>
      </x:c>
      <x:c r="H29" s="15" t="str">
        <x:v>Eko Yulianto</x:v>
      </x:c>
      <x:c r="I29" s="15" t="str">
        <x:v>Pengembang Indonesia (PI)</x:v>
      </x:c>
      <x:c r="J29" s="5" t="n">
        <x:v>2023</x:v>
      </x:c>
      <x:c r="K29" s="15">
        <x:v>57</x:v>
      </x:c>
      <x:c r="L29" s="9">
        <x:v>57</x:v>
      </x:c>
      <x:c r="M29" s="15">
        <x:v>57</x:v>
      </x:c>
      <x:c r="N29" s="15" t="s">
        <x:v>66</x:v>
      </x:c>
      <x:c r="O29" s="5" t="n">
        <x:v>2026</x:v>
      </x:c>
      <x:c r="P29" s="5"/>
      <x:c r="Q29" s="21" t="s">
        <x:v>67</x:v>
      </x:c>
      <x:c r="R29" s="21"/>
      <x:c r="S29" s="18"/>
      <x:c r="T29" s="9"/>
      <x:c r="U29" s="9"/>
      <x:c r="V29" s="74">
        <x:v>-2.0965927</x:v>
      </x:c>
      <x:c r="W29" s="9">
        <x:v>106.0855923</x:v>
      </x:c>
      <x:c r="X29" s="9"/>
      <x:c r="Y29" s="52"/>
      <x:c r="Z29" s="27"/>
      <x:c r="AA29" s="42"/>
      <x:c r="AB29" s="79"/>
      <x:c r="AC29" s="45"/>
      <x:c r="AD29">
        <x:f t="shared" si="0"/>
        <x:v>1</x:v>
      </x:c>
      <x:c r="AE29">
        <x:f t="shared" si="1"/>
        <x:v>1</x:v>
      </x:c>
    </x:row>
    <x:row r="30">
      <x:c r="A30" s="29" t="s">
        <x:v>135</x:v>
      </x:c>
      <x:c r="B30" s="9" t="s">
        <x:v>136</x:v>
      </x:c>
      <x:c r="C30" s="5" t="s">
        <x:v>63</x:v>
      </x:c>
      <x:c r="D30" s="9" t="s">
        <x:v>86</x:v>
      </x:c>
      <x:c r="E30" s="9" t="s">
        <x:v>87</x:v>
      </x:c>
      <x:c r="F30" s="5" t="str">
        <x:v>Jl. Pengembang Indonesia (PI)kas</x:v>
      </x:c>
      <x:c r="G30" s="5" t="str">
        <x:v>PT. ARTISTIK JAYA CONT</x:v>
      </x:c>
      <x:c r="H30" s="15" t="str">
        <x:v>Eko Yulianto</x:v>
      </x:c>
      <x:c r="I30" s="15" t="str">
        <x:v>Pengembang Indonesia (PI)</x:v>
      </x:c>
      <x:c r="J30" s="5" t="n">
        <x:v>2024</x:v>
      </x:c>
      <x:c r="K30" s="15">
        <x:v>37</x:v>
      </x:c>
      <x:c r="L30" s="9">
        <x:v>37</x:v>
      </x:c>
      <x:c r="M30" s="15">
        <x:v>37</x:v>
      </x:c>
      <x:c r="N30" s="15" t="s">
        <x:v>66</x:v>
      </x:c>
      <x:c r="O30" s="5" t="n">
        <x:v>2026</x:v>
      </x:c>
      <x:c r="P30" s="5"/>
      <x:c r="Q30" s="21" t="s">
        <x:v>67</x:v>
      </x:c>
      <x:c r="R30" s="21"/>
      <x:c r="S30" s="18"/>
      <x:c r="T30" s="9"/>
      <x:c r="U30" s="9"/>
      <x:c r="V30" s="74">
        <x:v>-2.0999433999999999</x:v>
      </x:c>
      <x:c r="W30" s="9">
        <x:v>106.09478319999999</x:v>
      </x:c>
      <x:c r="X30" s="9"/>
      <x:c r="Y30" s="52"/>
      <x:c r="Z30" s="27"/>
      <x:c r="AA30" s="42"/>
      <x:c r="AB30" s="79"/>
      <x:c r="AC30" s="45"/>
      <x:c r="AD30">
        <x:f t="shared" si="0"/>
        <x:v>1</x:v>
      </x:c>
      <x:c r="AE30">
        <x:f t="shared" si="1"/>
        <x:v>1</x:v>
      </x:c>
    </x:row>
    <x:row r="31">
      <x:c r="A31" s="29" t="s">
        <x:v>137</x:v>
      </x:c>
      <x:c r="B31" s="9" t="s">
        <x:v>138</x:v>
      </x:c>
      <x:c r="C31" s="5" t="s">
        <x:v>63</x:v>
      </x:c>
      <x:c r="D31" s="9" t="s">
        <x:v>64</x:v>
      </x:c>
      <x:c r="E31" s="9" t="s">
        <x:v>65</x:v>
      </x:c>
      <x:c r="F31" s="5" t="str">
        <x:v>Jl. Kurma</x:v>
      </x:c>
      <x:c r="G31" s="5" t="str">
        <x:v>PT. ARTISTIK JAYA CONT</x:v>
      </x:c>
      <x:c r="H31" s="15" t="str">
        <x:v>Eko Yulianto</x:v>
      </x:c>
      <x:c r="I31" s="15" t="str">
        <x:v>Pengembang Indonesia (PI)</x:v>
      </x:c>
      <x:c r="J31" s="5" t="n">
        <x:v>2025</x:v>
      </x:c>
      <x:c r="K31" s="15">
        <x:v>51</x:v>
      </x:c>
      <x:c r="L31" s="9">
        <x:v>33</x:v>
      </x:c>
      <x:c r="M31" s="15">
        <x:v>25</x:v>
      </x:c>
      <x:c r="N31" s="15" t="s">
        <x:v>78</x:v>
      </x:c>
      <x:c r="O31" s="5"/>
      <x:c r="P31" s="5"/>
      <x:c r="Q31" s="21" t="s">
        <x:v>67</x:v>
      </x:c>
      <x:c r="R31" s="21" t="s">
        <x:v>108</x:v>
      </x:c>
      <x:c r="S31" s="18"/>
      <x:c r="T31" s="9"/>
      <x:c r="U31" s="9"/>
      <x:c r="V31" s="74"/>
      <x:c r="W31" s="9"/>
      <x:c r="X31" s="9"/>
      <x:c r="Y31" s="52"/>
      <x:c r="Z31" s="27"/>
      <x:c r="AA31" s="42"/>
      <x:c r="AB31" s="79"/>
      <x:c r="AC31" s="45"/>
      <x:c r="AD31">
        <x:f t="shared" si="0"/>
        <x:v>0.6470588235294118</x:v>
      </x:c>
      <x:c r="AE31">
        <x:f t="shared" si="1"/>
        <x:v>0.75757575757575757</x:v>
      </x:c>
    </x:row>
    <x:row r="32" ht="25">
      <x:c r="A32" s="29" t="s">
        <x:v>139</x:v>
      </x:c>
      <x:c r="B32" s="9" t="s">
        <x:v>140</x:v>
      </x:c>
      <x:c r="C32" s="5" t="s">
        <x:v>63</x:v>
      </x:c>
      <x:c r="D32" s="9" t="s">
        <x:v>104</x:v>
      </x:c>
      <x:c r="E32" s="9" t="s">
        <x:v>141</x:v>
      </x:c>
      <x:c r="F32" s="5" t="str">
        <x:v>Jl. Pantai Pasir Padi</x:v>
      </x:c>
      <x:c r="G32" s="5" t="str">
        <x:v>PT. AYRA SRIWIJAYA MANDIRI</x:v>
      </x:c>
      <x:c r="H32" s="15" t="str">
        <x:v>Yuyun Mutriani</x:v>
      </x:c>
      <x:c r="I32" s="15" t="str">
        <x:v>Asosiasi Pengembang Perumahan dan Permukiman Seluruh Indonesia (APERSI)</x:v>
      </x:c>
      <x:c r="J32" s="5" t="n">
        <x:v>2020</x:v>
      </x:c>
      <x:c r="K32" s="15">
        <x:v>71</x:v>
      </x:c>
      <x:c r="L32" s="9">
        <x:v>71</x:v>
      </x:c>
      <x:c r="M32" s="15">
        <x:v>71</x:v>
      </x:c>
      <x:c r="N32" s="15" t="s">
        <x:v>66</x:v>
      </x:c>
      <x:c r="O32" s="5" t="n">
        <x:v>2024</x:v>
      </x:c>
      <x:c r="P32" s="5"/>
      <x:c r="Q32" s="21" t="s">
        <x:v>67</x:v>
      </x:c>
      <x:c r="R32" s="21"/>
      <x:c r="S32" s="18"/>
      <x:c r="T32" s="9"/>
      <x:c r="U32" s="9"/>
      <x:c r="V32" s="74">
        <x:v>-2.1265749999999999</x:v>
      </x:c>
      <x:c r="W32" s="9">
        <x:v>106.16171900000001</x:v>
      </x:c>
      <x:c r="X32" s="9"/>
      <x:c r="Y32" s="52"/>
      <x:c r="Z32" s="27"/>
      <x:c r="AA32" s="42"/>
      <x:c r="AB32" s="79"/>
      <x:c r="AC32" s="45"/>
      <x:c r="AD32">
        <x:f t="shared" si="0"/>
        <x:v>1</x:v>
      </x:c>
      <x:c r="AE32">
        <x:f t="shared" si="1"/>
        <x:v>1</x:v>
      </x:c>
    </x:row>
    <x:row r="33" ht="25">
      <x:c r="A33" s="29" t="s">
        <x:v>142</x:v>
      </x:c>
      <x:c r="B33" s="9" t="s">
        <x:v>143</x:v>
      </x:c>
      <x:c r="C33" s="5" t="s">
        <x:v>63</x:v>
      </x:c>
      <x:c r="D33" s="9" t="s">
        <x:v>104</x:v>
      </x:c>
      <x:c r="E33" s="9" t="s">
        <x:v>141</x:v>
      </x:c>
      <x:c r="F33" s="5" t="str">
        <x:v>Jl. Cempaka Putih</x:v>
      </x:c>
      <x:c r="G33" s="5" t="str">
        <x:v>PT. AYRA SRIWIJAYA MANDIRI</x:v>
      </x:c>
      <x:c r="H33" s="15" t="str">
        <x:v>Yuyun Mutriani</x:v>
      </x:c>
      <x:c r="I33" s="15" t="str">
        <x:v>Asosiasi Pengembang Perumahan dan Permukiman Seluruh Indonesia (APERSI)</x:v>
      </x:c>
      <x:c r="J33" s="5" t="n">
        <x:v>2022</x:v>
      </x:c>
      <x:c r="K33" s="15">
        <x:v>48</x:v>
      </x:c>
      <x:c r="L33" s="9">
        <x:v>48</x:v>
      </x:c>
      <x:c r="M33" s="15">
        <x:v>44</x:v>
      </x:c>
      <x:c r="N33" s="15" t="s">
        <x:v>66</x:v>
      </x:c>
      <x:c r="O33" s="5" t="n">
        <x:v>2024</x:v>
      </x:c>
      <x:c r="P33" s="5"/>
      <x:c r="Q33" s="21" t="s">
        <x:v>67</x:v>
      </x:c>
      <x:c r="R33" s="21"/>
      <x:c r="S33" s="18"/>
      <x:c r="T33" s="9"/>
      <x:c r="U33" s="9"/>
      <x:c r="V33" s="74">
        <x:v>-2.1265160000000001</x:v>
      </x:c>
      <x:c r="W33" s="9">
        <x:v>106.162347</x:v>
      </x:c>
      <x:c r="X33" s="9"/>
      <x:c r="Y33" s="52"/>
      <x:c r="Z33" s="27"/>
      <x:c r="AA33" s="42"/>
      <x:c r="AB33" s="79"/>
      <x:c r="AC33" s="45"/>
      <x:c r="AD33">
        <x:f t="shared" si="0"/>
        <x:v>1</x:v>
      </x:c>
      <x:c r="AE33">
        <x:f t="shared" si="1"/>
        <x:v>0.91666666666666663</x:v>
      </x:c>
    </x:row>
    <x:row r="34" ht="25">
      <x:c r="A34" s="29" t="s">
        <x:v>144</x:v>
      </x:c>
      <x:c r="B34" s="9" t="s">
        <x:v>145</x:v>
      </x:c>
      <x:c r="C34" s="5" t="s">
        <x:v>63</x:v>
      </x:c>
      <x:c r="D34" s="9" t="s">
        <x:v>104</x:v>
      </x:c>
      <x:c r="E34" s="9" t="s">
        <x:v>141</x:v>
      </x:c>
      <x:c r="F34" s="5" t="str">
        <x:v>Jl. Raya Pasir Padi</x:v>
      </x:c>
      <x:c r="G34" s="5" t="str">
        <x:v>PT. AYRA SRIWIJAYA MANDIRI</x:v>
      </x:c>
      <x:c r="H34" s="15" t="str">
        <x:v>Yuyun Mutriani</x:v>
      </x:c>
      <x:c r="I34" s="15" t="str">
        <x:v>Asosiasi Pengembang Perumahan dan Permukiman Seluruh Indonesia (APERSI)</x:v>
      </x:c>
      <x:c r="J34" s="5" t="n">
        <x:v>2022</x:v>
      </x:c>
      <x:c r="K34" s="15">
        <x:v>42</x:v>
      </x:c>
      <x:c r="L34" s="9">
        <x:v>42</x:v>
      </x:c>
      <x:c r="M34" s="15">
        <x:v>37</x:v>
      </x:c>
      <x:c r="N34" s="15" t="s">
        <x:v>66</x:v>
      </x:c>
      <x:c r="O34" s="5" t="n">
        <x:v>2024</x:v>
      </x:c>
      <x:c r="P34" s="5"/>
      <x:c r="Q34" s="21" t="s">
        <x:v>67</x:v>
      </x:c>
      <x:c r="R34" s="21"/>
      <x:c r="S34" s="18"/>
      <x:c r="T34" s="9"/>
      <x:c r="U34" s="9"/>
      <x:c r="V34" s="74">
        <x:v>-2.1265869999999998</x:v>
      </x:c>
      <x:c r="W34" s="9">
        <x:v>106.163877</x:v>
      </x:c>
      <x:c r="X34" s="9"/>
      <x:c r="Y34" s="52"/>
      <x:c r="Z34" s="27"/>
      <x:c r="AA34" s="42"/>
      <x:c r="AB34" s="79"/>
      <x:c r="AC34" s="45"/>
      <x:c r="AD34">
        <x:f t="shared" si="0"/>
        <x:v>1</x:v>
      </x:c>
      <x:c r="AE34">
        <x:f t="shared" si="1"/>
        <x:v>0.88095238095238093</x:v>
      </x:c>
    </x:row>
    <x:row r="35" ht="25">
      <x:c r="A35" s="29" t="s">
        <x:v>146</x:v>
      </x:c>
      <x:c r="B35" s="9" t="s">
        <x:v>147</x:v>
      </x:c>
      <x:c r="C35" s="5" t="s">
        <x:v>63</x:v>
      </x:c>
      <x:c r="D35" s="9" t="s">
        <x:v>104</x:v>
      </x:c>
      <x:c r="E35" s="9" t="s">
        <x:v>141</x:v>
      </x:c>
      <x:c r="F35" s="5" t="str">
        <x:v>Jl. Raya Pasir Padi</x:v>
      </x:c>
      <x:c r="G35" s="5" t="str">
        <x:v>PT. AYRA SRIWIJAYA MANDIRI</x:v>
      </x:c>
      <x:c r="H35" s="15" t="str">
        <x:v>Yuyun Mutriani</x:v>
      </x:c>
      <x:c r="I35" s="15" t="str">
        <x:v>Asosiasi Pengembang Perumahan dan Permukiman Seluruh Indonesia (APERSI)</x:v>
      </x:c>
      <x:c r="J35" s="5" t="n">
        <x:v>2023</x:v>
      </x:c>
      <x:c r="K35" s="15">
        <x:v>118</x:v>
      </x:c>
      <x:c r="L35" s="9">
        <x:v>114</x:v>
      </x:c>
      <x:c r="M35" s="15">
        <x:v>114</x:v>
      </x:c>
      <x:c r="N35" s="15" t="s">
        <x:v>78</x:v>
      </x:c>
      <x:c r="O35" s="5"/>
      <x:c r="P35" s="5"/>
      <x:c r="Q35" s="21" t="s">
        <x:v>67</x:v>
      </x:c>
      <x:c r="R35" s="21" t="s">
        <x:v>108</x:v>
      </x:c>
      <x:c r="S35" s="18"/>
      <x:c r="T35" s="9"/>
      <x:c r="U35" s="9"/>
      <x:c r="V35" s="74">
        <x:v>-2.1284293000000001</x:v>
      </x:c>
      <x:c r="W35" s="9">
        <x:v>106.1647957</x:v>
      </x:c>
      <x:c r="X35" s="9"/>
      <x:c r="Y35" s="52"/>
      <x:c r="Z35" s="27"/>
      <x:c r="AA35" s="42"/>
      <x:c r="AB35" s="79"/>
      <x:c r="AC35" s="45"/>
      <x:c r="AD35">
        <x:f t="shared" si="0"/>
        <x:v>0.96610169491525422</x:v>
      </x:c>
      <x:c r="AE35">
        <x:f t="shared" si="1"/>
        <x:v>1</x:v>
      </x:c>
    </x:row>
    <x:row r="36">
      <x:c r="A36" s="29" t="s">
        <x:v>148</x:v>
      </x:c>
      <x:c r="B36" s="9" t="s">
        <x:v>149</x:v>
      </x:c>
      <x:c r="C36" s="5" t="s">
        <x:v>63</x:v>
      </x:c>
      <x:c r="D36" s="9" t="s">
        <x:v>64</x:v>
      </x:c>
      <x:c r="E36" s="9" t="s">
        <x:v>65</x:v>
      </x:c>
      <x:c r="F36" s="5" t="str">
        <x:v>Jl. Al-Mizan</x:v>
      </x:c>
      <x:c r="G36" s="5" t="str">
        <x:v>PT. AZKA CAHAYA GEMILANG</x:v>
      </x:c>
      <x:c r="H36" s="15" t="str">
        <x:v>Anggun</x:v>
      </x:c>
      <x:c r="I36" s="15" t="str">
        <x:v>Real Estate Indonesia (REI)</x:v>
      </x:c>
      <x:c r="J36" s="5" t="n">
        <x:v>2021</x:v>
      </x:c>
      <x:c r="K36" s="15">
        <x:v>37</x:v>
      </x:c>
      <x:c r="L36" s="9">
        <x:v>37</x:v>
      </x:c>
      <x:c r="M36" s="15">
        <x:v>37</x:v>
      </x:c>
      <x:c r="N36" s="15" t="s">
        <x:v>78</x:v>
      </x:c>
      <x:c r="O36" s="5"/>
      <x:c r="P36" s="5"/>
      <x:c r="Q36" s="21" t="s">
        <x:v>67</x:v>
      </x:c>
      <x:c r="R36" s="21"/>
      <x:c r="S36" s="18"/>
      <x:c r="T36" s="9" t="s">
        <x:v>68</x:v>
      </x:c>
      <x:c r="U36" s="9"/>
      <x:c r="V36" s="74">
        <x:v>-2.0998827000000002</x:v>
      </x:c>
      <x:c r="W36" s="9">
        <x:v>106.07701280000001</x:v>
      </x:c>
      <x:c r="X36" s="9"/>
      <x:c r="Y36" s="52"/>
      <x:c r="Z36" s="27"/>
      <x:c r="AA36" s="42"/>
      <x:c r="AB36" s="79"/>
      <x:c r="AC36" s="45"/>
      <x:c r="AD36">
        <x:f t="shared" si="0"/>
        <x:v>1</x:v>
      </x:c>
      <x:c r="AE36">
        <x:f t="shared" si="1"/>
        <x:v>1</x:v>
      </x:c>
    </x:row>
    <x:row r="37">
      <x:c r="A37" s="29" t="s">
        <x:v>150</x:v>
      </x:c>
      <x:c r="B37" s="9" t="s">
        <x:v>151</x:v>
      </x:c>
      <x:c r="C37" s="5" t="s">
        <x:v>63</x:v>
      </x:c>
      <x:c r="D37" s="9" t="s">
        <x:v>64</x:v>
      </x:c>
      <x:c r="E37" s="9" t="s">
        <x:v>152</x:v>
      </x:c>
      <x:c r="F37" s="5" t="str">
        <x:v>Gg. Vanila</x:v>
      </x:c>
      <x:c r="G37" s="5" t="str">
        <x:v>Belum Teridentifikasi</x:v>
      </x:c>
      <x:c r="H37" s="15" t="str">
        <x:v>Belum Teridentifikasi</x:v>
      </x:c>
      <x:c r="I37" s="15" t="str">
        <x:v>Belum Teridentifikasi</x:v>
      </x:c>
      <x:c r="J37" s="5" t="n">
        <x:v>2019</x:v>
      </x:c>
      <x:c r="K37" s="15">
        <x:v>7</x:v>
      </x:c>
      <x:c r="L37" s="9">
        <x:v>7</x:v>
      </x:c>
      <x:c r="M37" s="15">
        <x:v>7</x:v>
      </x:c>
      <x:c r="N37" s="15" t="s">
        <x:v>78</x:v>
      </x:c>
      <x:c r="O37" s="5"/>
      <x:c r="P37" s="5"/>
      <x:c r="Q37" s="21" t="s">
        <x:v>67</x:v>
      </x:c>
      <x:c r="R37" s="21"/>
      <x:c r="S37" s="18"/>
      <x:c r="T37" s="9"/>
      <x:c r="U37" s="9"/>
      <x:c r="V37" s="74">
        <x:v>-2.1064750000000001</x:v>
      </x:c>
      <x:c r="W37" s="9">
        <x:v>106.09184</x:v>
      </x:c>
      <x:c r="X37" s="9"/>
      <x:c r="Y37" s="52"/>
      <x:c r="Z37" s="27"/>
      <x:c r="AA37" s="42"/>
      <x:c r="AB37" s="79"/>
      <x:c r="AC37" s="45"/>
      <x:c r="AD37">
        <x:f t="shared" si="0"/>
        <x:v>1</x:v>
      </x:c>
      <x:c r="AE37">
        <x:f t="shared" si="1"/>
        <x:v>1</x:v>
      </x:c>
    </x:row>
    <x:row r="38">
      <x:c r="A38" s="29" t="s">
        <x:v>153</x:v>
      </x:c>
      <x:c r="B38" s="9" t="s">
        <x:v>154</x:v>
      </x:c>
      <x:c r="C38" s="5" t="s">
        <x:v>63</x:v>
      </x:c>
      <x:c r="D38" s="9" t="s">
        <x:v>64</x:v>
      </x:c>
      <x:c r="E38" s="9" t="s">
        <x:v>65</x:v>
      </x:c>
      <x:c r="F38" s="5" t="str">
        <x:v>Gg. Palapa</x:v>
      </x:c>
      <x:c r="G38" s="5" t="str">
        <x:v>PT. ALEXINDO CIPTA PROPERTI</x:v>
      </x:c>
      <x:c r="H38" s="15" t="str">
        <x:v>Yongki Alexander</x:v>
      </x:c>
      <x:c r="I38" s="15" t="str">
        <x:v>Real Estate Indonesia (REI)</x:v>
      </x:c>
      <x:c r="J38" s="5" t="n">
        <x:v>2021</x:v>
      </x:c>
      <x:c r="K38" s="15">
        <x:v>81</x:v>
      </x:c>
      <x:c r="L38" s="9">
        <x:v>81</x:v>
      </x:c>
      <x:c r="M38" s="15">
        <x:v>81</x:v>
      </x:c>
      <x:c r="N38" s="15" t="s">
        <x:v>66</x:v>
      </x:c>
      <x:c r="O38" s="5" t="n">
        <x:v>2025</x:v>
      </x:c>
      <x:c r="P38" s="5"/>
      <x:c r="Q38" s="21" t="s">
        <x:v>67</x:v>
      </x:c>
      <x:c r="R38" s="21"/>
      <x:c r="S38" s="18"/>
      <x:c r="T38" s="9"/>
      <x:c r="U38" s="9"/>
      <x:c r="V38" s="74">
        <x:v>-2.1070612</x:v>
      </x:c>
      <x:c r="W38" s="9">
        <x:v>106.0869773</x:v>
      </x:c>
      <x:c r="X38" s="9"/>
      <x:c r="Y38" s="52"/>
      <x:c r="Z38" s="27"/>
      <x:c r="AA38" s="42"/>
      <x:c r="AB38" s="79"/>
      <x:c r="AC38" s="45"/>
      <x:c r="AD38">
        <x:f t="shared" si="0"/>
        <x:v>1</x:v>
      </x:c>
      <x:c r="AE38">
        <x:f t="shared" si="1"/>
        <x:v>1</x:v>
      </x:c>
    </x:row>
    <x:row r="39">
      <x:c r="A39" s="29" t="s">
        <x:v>155</x:v>
      </x:c>
      <x:c r="B39" s="9" t="s">
        <x:v>156</x:v>
      </x:c>
      <x:c r="C39" s="5" t="s">
        <x:v>63</x:v>
      </x:c>
      <x:c r="D39" s="9" t="s">
        <x:v>64</x:v>
      </x:c>
      <x:c r="E39" s="9" t="s">
        <x:v>65</x:v>
      </x:c>
      <x:c r="F39" s="5" t="str">
        <x:v>Jl. Mawar Kampak</x:v>
      </x:c>
      <x:c r="G39" s="5" t="str">
        <x:v>PT. ALEXINDO CIPTA PROPERTI</x:v>
      </x:c>
      <x:c r="H39" s="15" t="str">
        <x:v>Yongki Alexander</x:v>
      </x:c>
      <x:c r="I39" s="15" t="str">
        <x:v>Real Estate Indonesia (REI)</x:v>
      </x:c>
      <x:c r="J39" s="5" t="n">
        <x:v>2022</x:v>
      </x:c>
      <x:c r="K39" s="15">
        <x:v>102</x:v>
      </x:c>
      <x:c r="L39" s="9">
        <x:v>102</x:v>
      </x:c>
      <x:c r="M39" s="15">
        <x:v>102</x:v>
      </x:c>
      <x:c r="N39" s="15" t="s">
        <x:v>66</x:v>
      </x:c>
      <x:c r="O39" s="5" t="n">
        <x:v>2025</x:v>
      </x:c>
      <x:c r="P39" s="5"/>
      <x:c r="Q39" s="21" t="s">
        <x:v>67</x:v>
      </x:c>
      <x:c r="R39" s="21"/>
      <x:c r="S39" s="18"/>
      <x:c r="T39" s="9"/>
      <x:c r="U39" s="9"/>
      <x:c r="V39" s="74">
        <x:v>-2.105553</x:v>
      </x:c>
      <x:c r="W39" s="9">
        <x:v>106.078391</x:v>
      </x:c>
      <x:c r="X39" s="9"/>
      <x:c r="Y39" s="52"/>
      <x:c r="Z39" s="27"/>
      <x:c r="AA39" s="42"/>
      <x:c r="AB39" s="79"/>
      <x:c r="AC39" s="45"/>
      <x:c r="AD39">
        <x:f t="shared" si="0"/>
        <x:v>1</x:v>
      </x:c>
      <x:c r="AE39">
        <x:f t="shared" si="1"/>
        <x:v>1</x:v>
      </x:c>
    </x:row>
    <x:row r="40">
      <x:c r="A40" s="29" t="s">
        <x:v>157</x:v>
      </x:c>
      <x:c r="B40" s="9" t="s">
        <x:v>158</x:v>
      </x:c>
      <x:c r="C40" s="5" t="s">
        <x:v>63</x:v>
      </x:c>
      <x:c r="D40" s="9" t="s">
        <x:v>64</x:v>
      </x:c>
      <x:c r="E40" s="9" t="s">
        <x:v>65</x:v>
      </x:c>
      <x:c r="F40" s="5" t="str">
        <x:v>Jl. Air KetaPengembang Indonesia (PI)k</x:v>
      </x:c>
      <x:c r="G40" s="5" t="str">
        <x:v>PT. ALEXINDO CIPTA PROPERTI</x:v>
      </x:c>
      <x:c r="H40" s="15" t="str">
        <x:v>Yongki Alexander</x:v>
      </x:c>
      <x:c r="I40" s="15" t="str">
        <x:v>Real Estate Indonesia (REI)</x:v>
      </x:c>
      <x:c r="J40" s="5" t="n">
        <x:v>2025</x:v>
      </x:c>
      <x:c r="K40" s="15">
        <x:v>40</x:v>
      </x:c>
      <x:c r="L40" s="9">
        <x:v>30</x:v>
      </x:c>
      <x:c r="M40" s="15">
        <x:v>30</x:v>
      </x:c>
      <x:c r="N40" s="15" t="s">
        <x:v>78</x:v>
      </x:c>
      <x:c r="O40" s="5"/>
      <x:c r="P40" s="5"/>
      <x:c r="Q40" s="21" t="s">
        <x:v>67</x:v>
      </x:c>
      <x:c r="R40" s="21" t="s">
        <x:v>108</x:v>
      </x:c>
      <x:c r="S40" s="18"/>
      <x:c r="T40" s="9"/>
      <x:c r="U40" s="9"/>
      <x:c r="V40" s="74">
        <x:v>-2.1048140000000002</x:v>
      </x:c>
      <x:c r="W40" s="9">
        <x:v>106.07858899999999</x:v>
      </x:c>
      <x:c r="X40" s="9"/>
      <x:c r="Y40" s="52"/>
      <x:c r="Z40" s="27"/>
      <x:c r="AA40" s="42"/>
      <x:c r="AB40" s="79"/>
      <x:c r="AC40" s="45"/>
      <x:c r="AD40">
        <x:f t="shared" si="0"/>
        <x:v>0.75</x:v>
      </x:c>
      <x:c r="AE40">
        <x:f t="shared" si="1"/>
        <x:v>1</x:v>
      </x:c>
    </x:row>
    <x:row r="41">
      <x:c r="A41" s="29" t="s">
        <x:v>159</x:v>
      </x:c>
      <x:c r="B41" s="9" t="s">
        <x:v>160</x:v>
      </x:c>
      <x:c r="C41" s="5" t="s">
        <x:v>63</x:v>
      </x:c>
      <x:c r="D41" s="9" t="s">
        <x:v>64</x:v>
      </x:c>
      <x:c r="E41" s="9" t="s">
        <x:v>65</x:v>
      </x:c>
      <x:c r="F41" s="5" t="str">
        <x:v>Jl. Kurma Dalam</x:v>
      </x:c>
      <x:c r="G41" s="5" t="str">
        <x:v>PT. IFAN AURA LESTARI</x:v>
      </x:c>
      <x:c r="H41" s="15" t="str">
        <x:v>Firmansyah</x:v>
      </x:c>
      <x:c r="I41" s="15" t="str">
        <x:v>Real Estate Indonesia (REI)</x:v>
      </x:c>
      <x:c r="J41" s="5" t="n">
        <x:v>2021</x:v>
      </x:c>
      <x:c r="K41" s="15">
        <x:v>115</x:v>
      </x:c>
      <x:c r="L41" s="9">
        <x:v>115</x:v>
      </x:c>
      <x:c r="M41" s="15">
        <x:v>115</x:v>
      </x:c>
      <x:c r="N41" s="15" t="s">
        <x:v>78</x:v>
      </x:c>
      <x:c r="O41" s="5"/>
      <x:c r="P41" s="5"/>
      <x:c r="Q41" s="21" t="s">
        <x:v>67</x:v>
      </x:c>
      <x:c r="R41" s="21"/>
      <x:c r="S41" s="18"/>
      <x:c r="T41" s="9"/>
      <x:c r="U41" s="9"/>
      <x:c r="V41" s="74">
        <x:v>-2.1149461000000001</x:v>
      </x:c>
      <x:c r="W41" s="9">
        <x:v>106.0729504</x:v>
      </x:c>
      <x:c r="X41" s="9"/>
      <x:c r="Y41" s="52"/>
      <x:c r="Z41" s="27"/>
      <x:c r="AA41" s="42"/>
      <x:c r="AB41" s="79"/>
      <x:c r="AC41" s="45"/>
      <x:c r="AD41">
        <x:f t="shared" si="0"/>
        <x:v>1</x:v>
      </x:c>
      <x:c r="AE41">
        <x:f t="shared" si="1"/>
        <x:v>1</x:v>
      </x:c>
    </x:row>
    <x:row r="42">
      <x:c r="A42" s="29" t="s">
        <x:v>161</x:v>
      </x:c>
      <x:c r="B42" s="9" t="s">
        <x:v>162</x:v>
      </x:c>
      <x:c r="C42" s="5" t="s">
        <x:v>63</x:v>
      </x:c>
      <x:c r="D42" s="9" t="s">
        <x:v>64</x:v>
      </x:c>
      <x:c r="E42" s="9" t="s">
        <x:v>65</x:v>
      </x:c>
      <x:c r="F42" s="5" t="str">
        <x:v>Jl. Kurma Dalam</x:v>
      </x:c>
      <x:c r="G42" s="5" t="str">
        <x:v>PT. IFAN AURA LESTARI</x:v>
      </x:c>
      <x:c r="H42" s="15" t="str">
        <x:v>Firmansyah</x:v>
      </x:c>
      <x:c r="I42" s="15" t="str">
        <x:v>Real Estate Indonesia (REI)</x:v>
      </x:c>
      <x:c r="J42" s="5" t="n">
        <x:v>2023</x:v>
      </x:c>
      <x:c r="K42" s="15">
        <x:v>36</x:v>
      </x:c>
      <x:c r="L42" s="9">
        <x:v>36</x:v>
      </x:c>
      <x:c r="M42" s="15">
        <x:v>36</x:v>
      </x:c>
      <x:c r="N42" s="15" t="s">
        <x:v>78</x:v>
      </x:c>
      <x:c r="O42" s="5"/>
      <x:c r="P42" s="5"/>
      <x:c r="Q42" s="21" t="s">
        <x:v>67</x:v>
      </x:c>
      <x:c r="R42" s="21"/>
      <x:c r="S42" s="18"/>
      <x:c r="T42" s="9"/>
      <x:c r="U42" s="9"/>
      <x:c r="V42" s="74">
        <x:v>-2.1140292999999999</x:v>
      </x:c>
      <x:c r="W42" s="9">
        <x:v>106.0734587</x:v>
      </x:c>
      <x:c r="X42" s="9"/>
      <x:c r="Y42" s="52"/>
      <x:c r="Z42" s="27"/>
      <x:c r="AA42" s="42"/>
      <x:c r="AB42" s="79"/>
      <x:c r="AC42" s="45"/>
      <x:c r="AD42">
        <x:f t="shared" si="0"/>
        <x:v>1</x:v>
      </x:c>
      <x:c r="AE42">
        <x:f t="shared" si="1"/>
        <x:v>1</x:v>
      </x:c>
    </x:row>
    <x:row r="43">
      <x:c r="A43" s="29" t="s">
        <x:v>163</x:v>
      </x:c>
      <x:c r="B43" s="9" t="s">
        <x:v>164</x:v>
      </x:c>
      <x:c r="C43" s="5" t="s">
        <x:v>63</x:v>
      </x:c>
      <x:c r="D43" s="9" t="s">
        <x:v>64</x:v>
      </x:c>
      <x:c r="E43" s="9" t="s">
        <x:v>65</x:v>
      </x:c>
      <x:c r="F43" s="5" t="str">
        <x:v>Jl. Kampung Melayu</x:v>
      </x:c>
      <x:c r="G43" s="5" t="str">
        <x:v>PT. IFAN AURA LESTARI</x:v>
      </x:c>
      <x:c r="H43" s="15" t="str">
        <x:v>Firmansyah</x:v>
      </x:c>
      <x:c r="I43" s="15" t="str">
        <x:v>Real Estate Indonesia (REI)</x:v>
      </x:c>
      <x:c r="J43" s="5" t="n">
        <x:v>2024</x:v>
      </x:c>
      <x:c r="K43" s="15">
        <x:v>92</x:v>
      </x:c>
      <x:c r="L43" s="9">
        <x:v>0</x:v>
      </x:c>
      <x:c r="M43" s="15">
        <x:v>0</x:v>
      </x:c>
      <x:c r="N43" s="15" t="s">
        <x:v>78</x:v>
      </x:c>
      <x:c r="O43" s="5"/>
      <x:c r="P43" s="5"/>
      <x:c r="Q43" s="21" t="s">
        <x:v>67</x:v>
      </x:c>
      <x:c r="R43" s="21"/>
      <x:c r="S43" s="18"/>
      <x:c r="T43" s="9"/>
      <x:c r="U43" s="9"/>
      <x:c r="V43" s="74">
        <x:v>-2.1030522999999999</x:v>
      </x:c>
      <x:c r="W43" s="9">
        <x:v>106.0597731</x:v>
      </x:c>
      <x:c r="X43" s="9"/>
      <x:c r="Y43" s="52"/>
      <x:c r="Z43" s="27"/>
      <x:c r="AA43" s="42"/>
      <x:c r="AB43" s="79"/>
      <x:c r="AC43" s="45"/>
      <x:c r="AD43">
        <x:f t="shared" si="0"/>
        <x:v>0</x:v>
      </x:c>
      <x:c r="AE43">
        <x:f t="shared" si="1"/>
        <x:v>0</x:v>
      </x:c>
    </x:row>
    <x:row r="44">
      <x:c r="A44" s="29" t="s">
        <x:v>165</x:v>
      </x:c>
      <x:c r="B44" s="9" t="s">
        <x:v>166</x:v>
      </x:c>
      <x:c r="C44" s="5" t="s">
        <x:v>63</x:v>
      </x:c>
      <x:c r="D44" s="9" t="s">
        <x:v>64</x:v>
      </x:c>
      <x:c r="E44" s="9" t="s">
        <x:v>65</x:v>
      </x:c>
      <x:c r="F44" s="5" t="str">
        <x:v>Jl. Kampung Melayu</x:v>
      </x:c>
      <x:c r="G44" s="5" t="str">
        <x:v>PT. IFAN AURA LESTARI</x:v>
      </x:c>
      <x:c r="H44" s="15" t="str">
        <x:v>Firmansyah</x:v>
      </x:c>
      <x:c r="I44" s="15" t="str">
        <x:v>Real Estate Indonesia (REI)</x:v>
      </x:c>
      <x:c r="J44" s="5" t="n">
        <x:v>2024</x:v>
      </x:c>
      <x:c r="K44" s="15">
        <x:v>136</x:v>
      </x:c>
      <x:c r="L44" s="9">
        <x:v>34</x:v>
      </x:c>
      <x:c r="M44" s="15">
        <x:v>10</x:v>
      </x:c>
      <x:c r="N44" s="15" t="s">
        <x:v>78</x:v>
      </x:c>
      <x:c r="O44" s="5"/>
      <x:c r="P44" s="5"/>
      <x:c r="Q44" s="21" t="s">
        <x:v>67</x:v>
      </x:c>
      <x:c r="R44" s="21"/>
      <x:c r="S44" s="18"/>
      <x:c r="T44" s="9"/>
      <x:c r="U44" s="9"/>
      <x:c r="V44" s="74">
        <x:v>-2.1030522999999999</x:v>
      </x:c>
      <x:c r="W44" s="9">
        <x:v>106.0597731</x:v>
      </x:c>
      <x:c r="X44" s="9"/>
      <x:c r="Y44" s="52"/>
      <x:c r="Z44" s="27"/>
      <x:c r="AA44" s="42"/>
      <x:c r="AB44" s="79"/>
      <x:c r="AC44" s="45"/>
      <x:c r="AD44">
        <x:f t="shared" si="0"/>
        <x:v>0.25</x:v>
      </x:c>
      <x:c r="AE44">
        <x:f t="shared" si="1"/>
        <x:v>0.29411764705882354</x:v>
      </x:c>
    </x:row>
    <x:row r="45" ht="25">
      <x:c r="A45" s="29" t="s">
        <x:v>167</x:v>
      </x:c>
      <x:c r="B45" s="9" t="s">
        <x:v>168</x:v>
      </x:c>
      <x:c r="C45" s="5" t="s">
        <x:v>63</x:v>
      </x:c>
      <x:c r="D45" s="9" t="s">
        <x:v>86</x:v>
      </x:c>
      <x:c r="E45" s="9" t="s">
        <x:v>112</x:v>
      </x:c>
      <x:c r="F45" s="5" t="str">
        <x:v>Jl. Kerabut 2</x:v>
      </x:c>
      <x:c r="G45" s="5" t="str">
        <x:v>PT. MEGA SAPUTRA PERSADA</x:v>
      </x:c>
      <x:c r="H45" s="15" t="str">
        <x:v>Defri Hertanto</x:v>
      </x:c>
      <x:c r="I45" s="15" t="str">
        <x:v>Aliansi Pengembang Perumahan Nasional Jaya (APPERNAS JAYA)</x:v>
      </x:c>
      <x:c r="J45" s="5" t="n">
        <x:v>2017</x:v>
      </x:c>
      <x:c r="K45" s="15">
        <x:v>138</x:v>
      </x:c>
      <x:c r="L45" s="9">
        <x:v>132</x:v>
      </x:c>
      <x:c r="M45" s="15">
        <x:v>122</x:v>
      </x:c>
      <x:c r="N45" s="15" t="s">
        <x:v>66</x:v>
      </x:c>
      <x:c r="O45" s="5" t="n">
        <x:v>2022</x:v>
      </x:c>
      <x:c r="P45" s="5"/>
      <x:c r="Q45" s="21" t="s">
        <x:v>67</x:v>
      </x:c>
      <x:c r="R45" s="21" t="s">
        <x:v>130</x:v>
      </x:c>
      <x:c r="S45" s="18"/>
      <x:c r="T45" s="9"/>
      <x:c r="U45" s="9"/>
      <x:c r="V45" s="74">
        <x:v>-2.0896949999999999</x:v>
      </x:c>
      <x:c r="W45" s="9">
        <x:v>106.10564100000001</x:v>
      </x:c>
      <x:c r="X45" s="9"/>
      <x:c r="Y45" s="52"/>
      <x:c r="Z45" s="27"/>
      <x:c r="AA45" s="42"/>
      <x:c r="AB45" s="79"/>
      <x:c r="AC45" s="45"/>
      <x:c r="AD45">
        <x:f t="shared" si="0"/>
        <x:v>0.95652173913043481</x:v>
      </x:c>
      <x:c r="AE45">
        <x:f t="shared" si="1"/>
        <x:v>0.9242424242424242</x:v>
      </x:c>
    </x:row>
    <x:row r="46">
      <x:c r="A46" s="29" t="s">
        <x:v>169</x:v>
      </x:c>
      <x:c r="B46" s="9" t="s">
        <x:v>170</x:v>
      </x:c>
      <x:c r="C46" s="5" t="s">
        <x:v>63</x:v>
      </x:c>
      <x:c r="D46" s="9" t="s">
        <x:v>86</x:v>
      </x:c>
      <x:c r="E46" s="9" t="s">
        <x:v>93</x:v>
      </x:c>
      <x:c r="F46" s="5" t="str">
        <x:v>Jl. Kelompok</x:v>
      </x:c>
      <x:c r="G46" s="5" t="str">
        <x:v>Belum Teridentifikasi</x:v>
      </x:c>
      <x:c r="H46" s="15" t="str">
        <x:v>Belum Teridentifikasi</x:v>
      </x:c>
      <x:c r="I46" s="15" t="str">
        <x:v>Belum Teridentifikasi</x:v>
      </x:c>
      <x:c r="J46" s="5" t="n">
        <x:v>2017</x:v>
      </x:c>
      <x:c r="K46" s="15">
        <x:v>50</x:v>
      </x:c>
      <x:c r="L46" s="9">
        <x:v>50</x:v>
      </x:c>
      <x:c r="M46" s="15">
        <x:v>50</x:v>
      </x:c>
      <x:c r="N46" s="15" t="s">
        <x:v>78</x:v>
      </x:c>
      <x:c r="O46" s="5"/>
      <x:c r="P46" s="5"/>
      <x:c r="Q46" s="21" t="s">
        <x:v>67</x:v>
      </x:c>
      <x:c r="R46" s="21"/>
      <x:c r="S46" s="18"/>
      <x:c r="T46" s="9"/>
      <x:c r="U46" s="9"/>
      <x:c r="V46" s="74">
        <x:v>-2.084692</x:v>
      </x:c>
      <x:c r="W46" s="9">
        <x:v>106.09772599999999</x:v>
      </x:c>
      <x:c r="X46" s="9"/>
      <x:c r="Y46" s="52"/>
      <x:c r="Z46" s="27"/>
      <x:c r="AA46" s="42"/>
      <x:c r="AB46" s="79"/>
      <x:c r="AC46" s="45"/>
      <x:c r="AD46">
        <x:f t="shared" si="0"/>
        <x:v>1</x:v>
      </x:c>
      <x:c r="AE46">
        <x:f t="shared" si="1"/>
        <x:v>1</x:v>
      </x:c>
    </x:row>
    <x:row r="47">
      <x:c r="A47" s="29" t="s">
        <x:v>171</x:v>
      </x:c>
      <x:c r="B47" s="9" t="s">
        <x:v>172</x:v>
      </x:c>
      <x:c r="C47" s="5" t="s">
        <x:v>63</x:v>
      </x:c>
      <x:c r="D47" s="9" t="s">
        <x:v>104</x:v>
      </x:c>
      <x:c r="E47" s="9" t="s">
        <x:v>117</x:v>
      </x:c>
      <x:c r="F47" s="5" t="str">
        <x:v>Jl. Komp Sampur</x:v>
      </x:c>
      <x:c r="G47" s="5" t="str">
        <x:v>PT. TJEMARA MENTARI</x:v>
      </x:c>
      <x:c r="H47" s="15" t="str">
        <x:v>Tan Tok Khian</x:v>
      </x:c>
      <x:c r="I47" s="15" t="str">
        <x:v>Real Estate Indonesia (REI)</x:v>
      </x:c>
      <x:c r="J47" s="5" t="n">
        <x:v>2019</x:v>
      </x:c>
      <x:c r="K47" s="15">
        <x:v>228</x:v>
      </x:c>
      <x:c r="L47" s="9">
        <x:v>140</x:v>
      </x:c>
      <x:c r="M47" s="15">
        <x:v>140</x:v>
      </x:c>
      <x:c r="N47" s="15" t="s">
        <x:v>78</x:v>
      </x:c>
      <x:c r="O47" s="5"/>
      <x:c r="P47" s="5"/>
      <x:c r="Q47" s="21" t="s">
        <x:v>67</x:v>
      </x:c>
      <x:c r="R47" s="21"/>
      <x:c r="S47" s="18"/>
      <x:c r="T47" s="9"/>
      <x:c r="U47" s="9"/>
      <x:c r="V47" s="74">
        <x:v>-2.1513855</x:v>
      </x:c>
      <x:c r="W47" s="9">
        <x:v>106.1672731</x:v>
      </x:c>
      <x:c r="X47" s="9"/>
      <x:c r="Y47" s="52"/>
      <x:c r="Z47" s="27"/>
      <x:c r="AA47" s="42"/>
      <x:c r="AB47" s="79"/>
      <x:c r="AC47" s="45"/>
      <x:c r="AD47">
        <x:f t="shared" si="0"/>
        <x:v>0.61403508771929827</x:v>
      </x:c>
      <x:c r="AE47">
        <x:f t="shared" si="1"/>
        <x:v>1</x:v>
      </x:c>
    </x:row>
    <x:row r="48" ht="37.5">
      <x:c r="A48" s="29" t="s">
        <x:v>173</x:v>
      </x:c>
      <x:c r="B48" s="9" t="s">
        <x:v>174</x:v>
      </x:c>
      <x:c r="C48" s="5" t="s">
        <x:v>63</x:v>
      </x:c>
      <x:c r="D48" s="9" t="s">
        <x:v>104</x:v>
      </x:c>
      <x:c r="E48" s="9" t="s">
        <x:v>117</x:v>
      </x:c>
      <x:c r="F48" s="5" t="str">
        <x:v>Jl. Tanjung Bunga</x:v>
      </x:c>
      <x:c r="G48" s="5" t="str">
        <x:v>PT. LIMA BINTANG SEMPURNA</x:v>
      </x:c>
      <x:c r="H48" s="15" t="str">
        <x:v>M. Nomordin</x:v>
      </x:c>
      <x:c r="I48" s="15" t="str">
        <x:v>Asosiasi Pengembang Perumahan Indonesia (Asosiasi Pengembang Perumahan Indonesia (APPERINDO))</x:v>
      </x:c>
      <x:c r="J48" s="5" t="n">
        <x:v>2021</x:v>
      </x:c>
      <x:c r="K48" s="15">
        <x:v>46</x:v>
      </x:c>
      <x:c r="L48" s="9">
        <x:v>46</x:v>
      </x:c>
      <x:c r="M48" s="15">
        <x:v>46</x:v>
      </x:c>
      <x:c r="N48" s="15" t="s">
        <x:v>66</x:v>
      </x:c>
      <x:c r="O48" s="5" t="n">
        <x:v>2025</x:v>
      </x:c>
      <x:c r="P48" s="5"/>
      <x:c r="Q48" s="21" t="s">
        <x:v>67</x:v>
      </x:c>
      <x:c r="R48" s="21"/>
      <x:c r="S48" s="18"/>
      <x:c r="T48" s="9"/>
      <x:c r="U48" s="9"/>
      <x:c r="V48" s="74">
        <x:v>-2.1406580000000002</x:v>
      </x:c>
      <x:c r="W48" s="9">
        <x:v>106.167591</x:v>
      </x:c>
      <x:c r="X48" s="9"/>
      <x:c r="Y48" s="52"/>
      <x:c r="Z48" s="27"/>
      <x:c r="AA48" s="42"/>
      <x:c r="AB48" s="79"/>
      <x:c r="AC48" s="45"/>
      <x:c r="AD48">
        <x:f t="shared" si="0"/>
        <x:v>1</x:v>
      </x:c>
      <x:c r="AE48">
        <x:f t="shared" si="1"/>
        <x:v>1</x:v>
      </x:c>
    </x:row>
    <x:row r="49" ht="25">
      <x:c r="A49" s="29" t="s">
        <x:v>175</x:v>
      </x:c>
      <x:c r="B49" s="9" t="s">
        <x:v>176</x:v>
      </x:c>
      <x:c r="C49" s="5" t="s">
        <x:v>63</x:v>
      </x:c>
      <x:c r="D49" s="9" t="s">
        <x:v>86</x:v>
      </x:c>
      <x:c r="E49" s="9" t="s">
        <x:v>93</x:v>
      </x:c>
      <x:c r="F49" s="5" t="str">
        <x:v>Jl. Pengembang Indonesia (PI)kas 4</x:v>
      </x:c>
      <x:c r="G49" s="5" t="str">
        <x:v>PT. LIMA BINTANG SEMPURNA</x:v>
      </x:c>
      <x:c r="H49" s="15" t="str">
        <x:v>M. Nomordin</x:v>
      </x:c>
      <x:c r="I49" s="15" t="str">
        <x:v>Asosiasi Pengembang Perumahan Indonesia (APPERINDO)</x:v>
      </x:c>
      <x:c r="J49" s="5" t="n">
        <x:v>2025</x:v>
      </x:c>
      <x:c r="K49" s="15">
        <x:v>42</x:v>
      </x:c>
      <x:c r="L49" s="9">
        <x:v>42</x:v>
      </x:c>
      <x:c r="M49" s="15">
        <x:v>42</x:v>
      </x:c>
      <x:c r="N49" s="15" t="s">
        <x:v>78</x:v>
      </x:c>
      <x:c r="O49" s="5"/>
      <x:c r="P49" s="5"/>
      <x:c r="Q49" s="21" t="s">
        <x:v>67</x:v>
      </x:c>
      <x:c r="R49" s="21"/>
      <x:c r="S49" s="18"/>
      <x:c r="T49" s="9"/>
      <x:c r="U49" s="9"/>
      <x:c r="V49" s="74"/>
      <x:c r="W49" s="9"/>
      <x:c r="X49" s="9"/>
      <x:c r="Y49" s="52"/>
      <x:c r="Z49" s="27"/>
      <x:c r="AA49" s="42"/>
      <x:c r="AB49" s="79"/>
      <x:c r="AC49" s="45"/>
      <x:c r="AD49">
        <x:f t="shared" si="0"/>
        <x:v>1</x:v>
      </x:c>
      <x:c r="AE49">
        <x:f t="shared" si="1"/>
        <x:v>1</x:v>
      </x:c>
    </x:row>
    <x:row r="50">
      <x:c r="A50" s="29" t="s">
        <x:v>177</x:v>
      </x:c>
      <x:c r="B50" s="9" t="s">
        <x:v>178</x:v>
      </x:c>
      <x:c r="C50" s="5" t="s">
        <x:v>179</x:v>
      </x:c>
      <x:c r="D50" s="9" t="s">
        <x:v>64</x:v>
      </x:c>
      <x:c r="E50" s="9" t="s">
        <x:v>65</x:v>
      </x:c>
      <x:c r="F50" s="5" t="str">
        <x:v>Jl. Gandaria 1</x:v>
      </x:c>
      <x:c r="G50" s="5" t="str">
        <x:v>Belum Teridentifikasi</x:v>
      </x:c>
      <x:c r="H50" s="15" t="str">
        <x:v>Belum Teridentifikasi</x:v>
      </x:c>
      <x:c r="I50" s="15" t="str">
        <x:v>Belum Teridentifikasi</x:v>
      </x:c>
      <x:c r="J50" s="5" t="n">
        <x:v>2015</x:v>
      </x:c>
      <x:c r="K50" s="15">
        <x:v>34</x:v>
      </x:c>
      <x:c r="L50" s="9">
        <x:v>4</x:v>
      </x:c>
      <x:c r="M50" s="15">
        <x:v>4</x:v>
      </x:c>
      <x:c r="N50" s="15" t="s">
        <x:v>78</x:v>
      </x:c>
      <x:c r="O50" s="5"/>
      <x:c r="P50" s="5"/>
      <x:c r="Q50" s="21" t="s">
        <x:v>94</x:v>
      </x:c>
      <x:c r="R50" s="21"/>
      <x:c r="S50" s="18"/>
      <x:c r="T50" s="9"/>
      <x:c r="U50" s="9"/>
      <x:c r="V50" s="74">
        <x:v>-2.1156009</x:v>
      </x:c>
      <x:c r="W50" s="9">
        <x:v>106.0769555</x:v>
      </x:c>
      <x:c r="X50" s="9"/>
      <x:c r="Y50" s="52"/>
      <x:c r="Z50" s="27"/>
      <x:c r="AA50" s="42"/>
      <x:c r="AB50" s="79"/>
      <x:c r="AC50" s="45"/>
      <x:c r="AD50">
        <x:f t="shared" si="0"/>
        <x:v>0.11764705882352941</x:v>
      </x:c>
      <x:c r="AE50">
        <x:f t="shared" si="1"/>
        <x:v>1</x:v>
      </x:c>
    </x:row>
    <x:row r="51" ht="25">
      <x:c r="A51" s="29" t="s">
        <x:v>180</x:v>
      </x:c>
      <x:c r="B51" s="9" t="s">
        <x:v>181</x:v>
      </x:c>
      <x:c r="C51" s="5" t="s">
        <x:v>63</x:v>
      </x:c>
      <x:c r="D51" s="9" t="s">
        <x:v>86</x:v>
      </x:c>
      <x:c r="E51" s="9" t="s">
        <x:v>112</x:v>
      </x:c>
      <x:c r="F51" s="5" t="str">
        <x:v>Jl. Kerabut 2</x:v>
      </x:c>
      <x:c r="G51" s="5" t="str">
        <x:v>PT.GIE SUKSES MANDIRI</x:v>
      </x:c>
      <x:c r="H51" s="15" t="str">
        <x:v>Supriyanto</x:v>
      </x:c>
      <x:c r="I51" s="15" t="str">
        <x:v>Asosiasi Pengembang Perumahan Indonesia (APPERINDO)</x:v>
      </x:c>
      <x:c r="J51" s="5" t="n">
        <x:v>2019</x:v>
      </x:c>
      <x:c r="K51" s="15">
        <x:v>71</x:v>
      </x:c>
      <x:c r="L51" s="9">
        <x:v>12</x:v>
      </x:c>
      <x:c r="M51" s="15">
        <x:v>7</x:v>
      </x:c>
      <x:c r="N51" s="15" t="s">
        <x:v>78</x:v>
      </x:c>
      <x:c r="O51" s="5"/>
      <x:c r="P51" s="5"/>
      <x:c r="Q51" s="21" t="s">
        <x:v>67</x:v>
      </x:c>
      <x:c r="R51" s="21" t="s">
        <x:v>108</x:v>
      </x:c>
      <x:c r="S51" s="18"/>
      <x:c r="T51" s="9"/>
      <x:c r="U51" s="9"/>
      <x:c r="V51" s="74">
        <x:v>-2.0902853000000001</x:v>
      </x:c>
      <x:c r="W51" s="9">
        <x:v>106.1002032</x:v>
      </x:c>
      <x:c r="X51" s="9"/>
      <x:c r="Y51" s="52"/>
      <x:c r="Z51" s="27"/>
      <x:c r="AA51" s="42"/>
      <x:c r="AB51" s="79"/>
      <x:c r="AC51" s="45"/>
      <x:c r="AD51">
        <x:f t="shared" si="0"/>
        <x:v>0.16901408450704225</x:v>
      </x:c>
      <x:c r="AE51">
        <x:f t="shared" si="1"/>
        <x:v>0.58333333333333337</x:v>
      </x:c>
    </x:row>
    <x:row r="52">
      <x:c r="A52" s="29" t="s">
        <x:v>182</x:v>
      </x:c>
      <x:c r="B52" s="9" t="s">
        <x:v>183</x:v>
      </x:c>
      <x:c r="C52" s="5" t="s">
        <x:v>63</x:v>
      </x:c>
      <x:c r="D52" s="9" t="s">
        <x:v>64</x:v>
      </x:c>
      <x:c r="E52" s="9" t="s">
        <x:v>152</x:v>
      </x:c>
      <x:c r="F52" s="5" t="str">
        <x:v>Jl. Cenderawasih</x:v>
      </x:c>
      <x:c r="G52" s="5" t="str">
        <x:v>PT. KARYA SUKSES KNEELAND</x:v>
      </x:c>
      <x:c r="H52" s="15" t="str">
        <x:v>Muhammad Apriansyah</x:v>
      </x:c>
      <x:c r="I52" s="15"/>
      <x:c r="J52" s="5" t="n">
        <x:v>2026</x:v>
      </x:c>
      <x:c r="K52" s="15">
        <x:v>43</x:v>
      </x:c>
      <x:c r="L52" s="9">
        <x:v>0</x:v>
      </x:c>
      <x:c r="M52" s="15">
        <x:v>0</x:v>
      </x:c>
      <x:c r="N52" s="15" t="s">
        <x:v>78</x:v>
      </x:c>
      <x:c r="O52" s="5"/>
      <x:c r="P52" s="5"/>
      <x:c r="Q52" s="21" t="s">
        <x:v>94</x:v>
      </x:c>
      <x:c r="R52" s="21" t="s">
        <x:v>108</x:v>
      </x:c>
      <x:c r="S52" s="18"/>
      <x:c r="T52" s="9"/>
      <x:c r="U52" s="9"/>
      <x:c r="V52" s="74"/>
      <x:c r="W52" s="9"/>
      <x:c r="X52" s="9"/>
      <x:c r="Y52" s="52"/>
      <x:c r="Z52" s="64"/>
      <x:c r="AA52" s="42"/>
      <x:c r="AB52" s="79"/>
      <x:c r="AC52" s="72"/>
    </x:row>
    <x:row r="53" ht="25">
      <x:c r="A53" s="29" t="s">
        <x:v>184</x:v>
      </x:c>
      <x:c r="B53" s="9" t="s">
        <x:v>185</x:v>
      </x:c>
      <x:c r="C53" s="5" t="s">
        <x:v>179</x:v>
      </x:c>
      <x:c r="D53" s="9" t="s">
        <x:v>64</x:v>
      </x:c>
      <x:c r="E53" s="9" t="s">
        <x:v>152</x:v>
      </x:c>
      <x:c r="F53" s="5" t="str">
        <x:v>Jl. Delima III</x:v>
      </x:c>
      <x:c r="G53" s="5" t="str">
        <x:v>PT. MEGA SAPUTRA PERSADA</x:v>
      </x:c>
      <x:c r="H53" s="15" t="str">
        <x:v>Defri Hartanto</x:v>
      </x:c>
      <x:c r="I53" s="15" t="str">
        <x:v>Aliansi Pengembang Perumahan Nasional Jaya (APPERNAS JAYA)</x:v>
      </x:c>
      <x:c r="J53" s="5" t="n">
        <x:v>2014</x:v>
      </x:c>
      <x:c r="K53" s="15">
        <x:v>43</x:v>
      </x:c>
      <x:c r="L53" s="9">
        <x:v>43</x:v>
      </x:c>
      <x:c r="M53" s="15">
        <x:v>43</x:v>
      </x:c>
      <x:c r="N53" s="15" t="s">
        <x:v>78</x:v>
      </x:c>
      <x:c r="O53" s="5"/>
      <x:c r="P53" s="5"/>
      <x:c r="Q53" s="21" t="s">
        <x:v>67</x:v>
      </x:c>
      <x:c r="R53" s="21"/>
      <x:c r="S53" s="18" t="s">
        <x:v>186</x:v>
      </x:c>
      <x:c r="T53" s="9"/>
      <x:c r="U53" s="9"/>
      <x:c r="V53" s="74">
        <x:v>-2.1100943999999999</x:v>
      </x:c>
      <x:c r="W53" s="9">
        <x:v>106.0959122</x:v>
      </x:c>
      <x:c r="X53" s="9"/>
      <x:c r="Y53" s="52"/>
      <x:c r="Z53" s="27"/>
      <x:c r="AA53" s="42"/>
      <x:c r="AB53" s="79"/>
      <x:c r="AC53" s="45"/>
      <x:c r="AD53" t="n">
        <x:f t="shared" ref="AD53:AD84" si="2">IF(A53="","",IFERROR(L53/K53,0))</x:f>
        <x:v>1</x:v>
      </x:c>
      <x:c r="AE53" t="n">
        <x:f t="shared" ref="AE53:AE84" si="3">IF(A53="","",IFERROR(M53/L53,0))</x:f>
        <x:v>1</x:v>
      </x:c>
    </x:row>
    <x:row r="54" ht="25">
      <x:c r="A54" s="29" t="s">
        <x:v>187</x:v>
      </x:c>
      <x:c r="B54" s="9" t="s">
        <x:v>188</x:v>
      </x:c>
      <x:c r="C54" s="5" t="s">
        <x:v>179</x:v>
      </x:c>
      <x:c r="D54" s="9" t="s">
        <x:v>64</x:v>
      </x:c>
      <x:c r="E54" s="9" t="s">
        <x:v>152</x:v>
      </x:c>
      <x:c r="F54" s="5" t="str">
        <x:v>Jl. Rariang</x:v>
      </x:c>
      <x:c r="G54" s="5" t="str">
        <x:v>PT. MEGA SAPUTRA PERSADA</x:v>
      </x:c>
      <x:c r="H54" s="15" t="str">
        <x:v>Defri Hartanto</x:v>
      </x:c>
      <x:c r="I54" s="15" t="str">
        <x:v>Aliansi Pengembang Perumahan Nasional Jaya (APPERNAS JAYA)</x:v>
      </x:c>
      <x:c r="J54" s="5" t="n">
        <x:v>2015</x:v>
      </x:c>
      <x:c r="K54" s="15">
        <x:v>15</x:v>
      </x:c>
      <x:c r="L54" s="9">
        <x:v>15</x:v>
      </x:c>
      <x:c r="M54" s="15">
        <x:v>9</x:v>
      </x:c>
      <x:c r="N54" s="15" t="s">
        <x:v>78</x:v>
      </x:c>
      <x:c r="O54" s="5"/>
      <x:c r="P54" s="5"/>
      <x:c r="Q54" s="21" t="s">
        <x:v>67</x:v>
      </x:c>
      <x:c r="R54" s="21"/>
      <x:c r="S54" s="18" t="s">
        <x:v>186</x:v>
      </x:c>
      <x:c r="T54" s="9"/>
      <x:c r="U54" s="9"/>
      <x:c r="V54" s="74">
        <x:v>-2.1096020000000002</x:v>
      </x:c>
      <x:c r="W54" s="9">
        <x:v>106.09485599999999</x:v>
      </x:c>
      <x:c r="X54" s="9"/>
      <x:c r="Y54" s="52"/>
      <x:c r="Z54" s="27"/>
      <x:c r="AA54" s="42"/>
      <x:c r="AB54" s="79"/>
      <x:c r="AC54" s="45"/>
      <x:c r="AD54">
        <x:f t="shared" si="2"/>
        <x:v>1</x:v>
      </x:c>
      <x:c r="AE54">
        <x:f t="shared" si="3"/>
        <x:v>0.6</x:v>
      </x:c>
    </x:row>
    <x:row r="55" ht="25">
      <x:c r="A55" s="29" t="s">
        <x:v>189</x:v>
      </x:c>
      <x:c r="B55" s="9" t="s">
        <x:v>190</x:v>
      </x:c>
      <x:c r="C55" s="5" t="s">
        <x:v>63</x:v>
      </x:c>
      <x:c r="D55" s="9" t="s">
        <x:v>64</x:v>
      </x:c>
      <x:c r="E55" s="9" t="s">
        <x:v>152</x:v>
      </x:c>
      <x:c r="F55" s="5" t="str">
        <x:v>Jl. Cendrawasih</x:v>
      </x:c>
      <x:c r="G55" s="5" t="str">
        <x:v>PT. MEGA SAPUTRA PERSADA</x:v>
      </x:c>
      <x:c r="H55" s="15" t="str">
        <x:v>Defri Hartanto</x:v>
      </x:c>
      <x:c r="I55" s="15" t="str">
        <x:v>Aliansi Pengembang Perumahan Nasional Jaya (APPERNAS JAYA)</x:v>
      </x:c>
      <x:c r="J55" s="5" t="n">
        <x:v>2016</x:v>
      </x:c>
      <x:c r="K55" s="15">
        <x:v>86</x:v>
      </x:c>
      <x:c r="L55" s="9">
        <x:v>86</x:v>
      </x:c>
      <x:c r="M55" s="15">
        <x:v>86</x:v>
      </x:c>
      <x:c r="N55" s="15" t="s">
        <x:v>78</x:v>
      </x:c>
      <x:c r="O55" s="5"/>
      <x:c r="P55" s="5"/>
      <x:c r="Q55" s="21" t="s">
        <x:v>67</x:v>
      </x:c>
      <x:c r="R55" s="21" t="s">
        <x:v>191</x:v>
      </x:c>
      <x:c r="S55" s="18" t="s">
        <x:v>186</x:v>
      </x:c>
      <x:c r="T55" s="9"/>
      <x:c r="U55" s="9"/>
      <x:c r="V55" s="74">
        <x:v>-2.107672</x:v>
      </x:c>
      <x:c r="W55" s="9">
        <x:v>106.092901</x:v>
      </x:c>
      <x:c r="X55" s="9"/>
      <x:c r="Y55" s="52"/>
      <x:c r="Z55" s="27"/>
      <x:c r="AA55" s="42"/>
      <x:c r="AB55" s="79"/>
      <x:c r="AC55" s="45"/>
      <x:c r="AD55">
        <x:f t="shared" si="2"/>
        <x:v>1</x:v>
      </x:c>
      <x:c r="AE55">
        <x:f t="shared" si="3"/>
        <x:v>1</x:v>
      </x:c>
    </x:row>
    <x:row r="56" ht="25">
      <x:c r="A56" s="29" t="s">
        <x:v>192</x:v>
      </x:c>
      <x:c r="B56" s="9" t="s">
        <x:v>193</x:v>
      </x:c>
      <x:c r="C56" s="5" t="s">
        <x:v>63</x:v>
      </x:c>
      <x:c r="D56" s="9" t="s">
        <x:v>64</x:v>
      </x:c>
      <x:c r="E56" s="9" t="s">
        <x:v>194</x:v>
      </x:c>
      <x:c r="F56" s="5" t="str">
        <x:v>Jl. Bukit Manggis</x:v>
      </x:c>
      <x:c r="G56" s="5" t="str">
        <x:v>PT. MEGA SAPUTRA PERSADA</x:v>
      </x:c>
      <x:c r="H56" s="15" t="str">
        <x:v>Defri Hartanto</x:v>
      </x:c>
      <x:c r="I56" s="15" t="str">
        <x:v>Aliansi Pengembang Perumahan Nasional Jaya (APPERNAS JAYA)</x:v>
      </x:c>
      <x:c r="J56" s="5" t="n">
        <x:v>2017</x:v>
      </x:c>
      <x:c r="K56" s="15">
        <x:v>95</x:v>
      </x:c>
      <x:c r="L56" s="9">
        <x:v>95</x:v>
      </x:c>
      <x:c r="M56" s="15">
        <x:v>95</x:v>
      </x:c>
      <x:c r="N56" s="15" t="s">
        <x:v>78</x:v>
      </x:c>
      <x:c r="O56" s="5"/>
      <x:c r="P56" s="5"/>
      <x:c r="Q56" s="21" t="s">
        <x:v>97</x:v>
      </x:c>
      <x:c r="R56" s="21" t="s">
        <x:v>191</x:v>
      </x:c>
      <x:c r="S56" s="18" t="s">
        <x:v>186</x:v>
      </x:c>
      <x:c r="T56" s="9"/>
      <x:c r="U56" s="9"/>
      <x:c r="V56" s="74">
        <x:v>-2.1058629999999998</x:v>
      </x:c>
      <x:c r="W56" s="9">
        <x:v>106.089313</x:v>
      </x:c>
      <x:c r="X56" s="9"/>
      <x:c r="Y56" s="52"/>
      <x:c r="Z56" s="27"/>
      <x:c r="AA56" s="42"/>
      <x:c r="AB56" s="79"/>
      <x:c r="AC56" s="45"/>
      <x:c r="AD56">
        <x:f t="shared" si="2"/>
        <x:v>1</x:v>
      </x:c>
      <x:c r="AE56">
        <x:f t="shared" si="3"/>
        <x:v>1</x:v>
      </x:c>
    </x:row>
    <x:row r="57">
      <x:c r="A57" s="29" t="s">
        <x:v>195</x:v>
      </x:c>
      <x:c r="B57" s="9" t="s">
        <x:v>196</x:v>
      </x:c>
      <x:c r="C57" s="5" t="s">
        <x:v>179</x:v>
      </x:c>
      <x:c r="D57" s="9" t="s">
        <x:v>104</x:v>
      </x:c>
      <x:c r="E57" s="9" t="s">
        <x:v>105</x:v>
      </x:c>
      <x:c r="F57" s="5" t="str">
        <x:v>Jl. Nilam Raya No II</x:v>
      </x:c>
      <x:c r="G57" s="5" t="str">
        <x:v>Belum Teridentifikasi</x:v>
      </x:c>
      <x:c r="H57" s="15" t="str">
        <x:v>Belum Teridentifikasi</x:v>
      </x:c>
      <x:c r="I57" s="15" t="str">
        <x:v>Belum Teridentifikasi</x:v>
      </x:c>
      <x:c r="J57" s="5"/>
      <x:c r="K57" s="15">
        <x:v>0</x:v>
      </x:c>
      <x:c r="L57" s="9">
        <x:v>0</x:v>
      </x:c>
      <x:c r="M57" s="15">
        <x:v>0</x:v>
      </x:c>
      <x:c r="N57" s="15" t="s">
        <x:v>78</x:v>
      </x:c>
      <x:c r="O57" s="5"/>
      <x:c r="P57" s="5"/>
      <x:c r="Q57" s="21" t="s">
        <x:v>94</x:v>
      </x:c>
      <x:c r="R57" s="21"/>
      <x:c r="S57" s="18"/>
      <x:c r="T57" s="9"/>
      <x:c r="U57" s="9"/>
      <x:c r="V57" s="74">
        <x:v>-2.1422300000000001</x:v>
      </x:c>
      <x:c r="W57" s="9">
        <x:v>106.135379</x:v>
      </x:c>
      <x:c r="X57" s="9"/>
      <x:c r="Y57" s="52"/>
      <x:c r="Z57" s="27"/>
      <x:c r="AA57" s="42"/>
      <x:c r="AB57" s="79"/>
      <x:c r="AC57" s="45"/>
      <x:c r="AD57">
        <x:f t="shared" si="2"/>
        <x:v>0</x:v>
      </x:c>
      <x:c r="AE57">
        <x:f t="shared" si="3"/>
        <x:v>0</x:v>
      </x:c>
    </x:row>
    <x:row r="58">
      <x:c r="A58" s="29" t="s">
        <x:v>197</x:v>
      </x:c>
      <x:c r="B58" s="9" t="s">
        <x:v>198</x:v>
      </x:c>
      <x:c r="C58" s="5" t="s">
        <x:v>63</x:v>
      </x:c>
      <x:c r="D58" s="9" t="s">
        <x:v>64</x:v>
      </x:c>
      <x:c r="E58" s="9" t="s">
        <x:v>194</x:v>
      </x:c>
      <x:c r="F58" s="5" t="str">
        <x:v>Jl. Fatmawati</x:v>
      </x:c>
      <x:c r="G58" s="5" t="str">
        <x:v>Belum Teridentifikasi</x:v>
      </x:c>
      <x:c r="H58" s="15" t="str">
        <x:v>Irma Yani</x:v>
      </x:c>
      <x:c r="I58" s="15" t="str">
        <x:v>Belum Teridentifikasi</x:v>
      </x:c>
      <x:c r="J58" s="5" t="n">
        <x:v>2017</x:v>
      </x:c>
      <x:c r="K58" s="15">
        <x:v>10</x:v>
      </x:c>
      <x:c r="L58" s="9">
        <x:v>6</x:v>
      </x:c>
      <x:c r="M58" s="15">
        <x:v>6</x:v>
      </x:c>
      <x:c r="N58" s="15" t="s">
        <x:v>78</x:v>
      </x:c>
      <x:c r="O58" s="5"/>
      <x:c r="P58" s="5"/>
      <x:c r="Q58" s="21" t="s">
        <x:v>67</x:v>
      </x:c>
      <x:c r="R58" s="21"/>
      <x:c r="S58" s="18"/>
      <x:c r="T58" s="9"/>
      <x:c r="U58" s="9"/>
      <x:c r="V58" s="74">
        <x:v>-2.1050179999999998</x:v>
      </x:c>
      <x:c r="W58" s="9">
        <x:v>106.089422</x:v>
      </x:c>
      <x:c r="X58" s="9"/>
      <x:c r="Y58" s="52"/>
      <x:c r="Z58" s="27"/>
      <x:c r="AA58" s="42"/>
      <x:c r="AB58" s="79"/>
      <x:c r="AC58" s="45"/>
      <x:c r="AD58">
        <x:f t="shared" si="2"/>
        <x:v>0.6</x:v>
      </x:c>
      <x:c r="AE58">
        <x:f t="shared" si="3"/>
        <x:v>1</x:v>
      </x:c>
    </x:row>
    <x:row r="59">
      <x:c r="A59" s="29" t="s">
        <x:v>199</x:v>
      </x:c>
      <x:c r="B59" s="9" t="s">
        <x:v>200</x:v>
      </x:c>
      <x:c r="C59" s="5" t="s">
        <x:v>179</x:v>
      </x:c>
      <x:c r="D59" s="9" t="s">
        <x:v>64</x:v>
      </x:c>
      <x:c r="E59" s="9" t="s">
        <x:v>194</x:v>
      </x:c>
      <x:c r="F59" s="5" t="str">
        <x:v>Jl. Borneo</x:v>
      </x:c>
      <x:c r="G59" s="5" t="str">
        <x:v>Belum Teridentifikasi</x:v>
      </x:c>
      <x:c r="H59" s="15" t="str">
        <x:v>Belum Teridentifikasi</x:v>
      </x:c>
      <x:c r="I59" s="15" t="str">
        <x:v>Belum Teridentifikasi</x:v>
      </x:c>
      <x:c r="J59" s="5"/>
      <x:c r="K59" s="15">
        <x:v>0</x:v>
      </x:c>
      <x:c r="L59" s="9">
        <x:v>0</x:v>
      </x:c>
      <x:c r="M59" s="15">
        <x:v>0</x:v>
      </x:c>
      <x:c r="N59" s="15" t="s">
        <x:v>78</x:v>
      </x:c>
      <x:c r="O59" s="5"/>
      <x:c r="P59" s="5"/>
      <x:c r="Q59" s="21" t="s">
        <x:v>67</x:v>
      </x:c>
      <x:c r="R59" s="21"/>
      <x:c r="S59" s="18"/>
      <x:c r="T59" s="9"/>
      <x:c r="U59" s="9"/>
      <x:c r="V59" s="74">
        <x:v>-2.1097991</x:v>
      </x:c>
      <x:c r="W59" s="9">
        <x:v>106.0891817</x:v>
      </x:c>
      <x:c r="X59" s="9"/>
      <x:c r="Y59" s="52"/>
      <x:c r="Z59" s="27"/>
      <x:c r="AA59" s="42"/>
      <x:c r="AB59" s="79"/>
      <x:c r="AC59" s="45"/>
      <x:c r="AD59">
        <x:f t="shared" si="2"/>
        <x:v>0</x:v>
      </x:c>
      <x:c r="AE59">
        <x:f t="shared" si="3"/>
        <x:v>0</x:v>
      </x:c>
    </x:row>
    <x:row r="60" ht="25">
      <x:c r="A60" s="29" t="s">
        <x:v>201</x:v>
      </x:c>
      <x:c r="B60" s="9" t="s">
        <x:v>202</x:v>
      </x:c>
      <x:c r="C60" s="5" t="s">
        <x:v>63</x:v>
      </x:c>
      <x:c r="D60" s="9" t="s">
        <x:v>64</x:v>
      </x:c>
      <x:c r="E60" s="9" t="s">
        <x:v>194</x:v>
      </x:c>
      <x:c r="F60" s="5" t="str">
        <x:v>Gg. Karet</x:v>
      </x:c>
      <x:c r="G60" s="5" t="str">
        <x:v>PT. PUNDIMAS</x:v>
      </x:c>
      <x:c r="H60" s="15" t="str">
        <x:v>Efran</x:v>
      </x:c>
      <x:c r="I60" s="15" t="str">
        <x:v>Himpunan Pengembang Permukiman dan Perumahan Rakyat (HIMPERRA)</x:v>
      </x:c>
      <x:c r="J60" s="5" t="n">
        <x:v>2017</x:v>
      </x:c>
      <x:c r="K60" s="15">
        <x:v>77</x:v>
      </x:c>
      <x:c r="L60" s="9">
        <x:v>65</x:v>
      </x:c>
      <x:c r="M60" s="15">
        <x:v>61</x:v>
      </x:c>
      <x:c r="N60" s="15" t="s">
        <x:v>66</x:v>
      </x:c>
      <x:c r="O60" s="5" t="n">
        <x:v>2020</x:v>
      </x:c>
      <x:c r="P60" s="5"/>
      <x:c r="Q60" s="21" t="s">
        <x:v>67</x:v>
      </x:c>
      <x:c r="R60" s="21"/>
      <x:c r="S60" s="18"/>
      <x:c r="T60" s="9"/>
      <x:c r="U60" s="9"/>
      <x:c r="V60" s="74">
        <x:v>-2.11145</x:v>
      </x:c>
      <x:c r="W60" s="9">
        <x:v>106.088959</x:v>
      </x:c>
      <x:c r="X60" s="9"/>
      <x:c r="Y60" s="52"/>
      <x:c r="Z60" s="27"/>
      <x:c r="AA60" s="42"/>
      <x:c r="AB60" s="79"/>
      <x:c r="AC60" s="45"/>
      <x:c r="AD60">
        <x:f t="shared" si="2"/>
        <x:v>0.8441558441558441</x:v>
      </x:c>
      <x:c r="AE60">
        <x:f t="shared" si="3"/>
        <x:v>0.93846153846153846</x:v>
      </x:c>
    </x:row>
    <x:row r="61">
      <x:c r="A61" s="29" t="s">
        <x:v>203</x:v>
      </x:c>
      <x:c r="B61" s="9" t="s">
        <x:v>204</x:v>
      </x:c>
      <x:c r="C61" s="5" t="s">
        <x:v>63</x:v>
      </x:c>
      <x:c r="D61" s="9" t="s">
        <x:v>64</x:v>
      </x:c>
      <x:c r="E61" s="9" t="s">
        <x:v>65</x:v>
      </x:c>
      <x:c r="F61" s="5" t="str">
        <x:v>Jl. Kampung Melayu</x:v>
      </x:c>
      <x:c r="G61" s="5" t="str">
        <x:v>PT. RADHI UTAMA NUSA</x:v>
      </x:c>
      <x:c r="H61" s="15" t="str">
        <x:v>Rudi Kurniawan</x:v>
      </x:c>
      <x:c r="I61" s="15" t="str">
        <x:v>Real Estate Indonesia (REI)</x:v>
      </x:c>
      <x:c r="J61" s="5" t="n">
        <x:v>2018</x:v>
      </x:c>
      <x:c r="K61" s="15">
        <x:v>119</x:v>
      </x:c>
      <x:c r="L61" s="9">
        <x:v>44</x:v>
      </x:c>
      <x:c r="M61" s="15">
        <x:v>44</x:v>
      </x:c>
      <x:c r="N61" s="15" t="s">
        <x:v>78</x:v>
      </x:c>
      <x:c r="O61" s="5"/>
      <x:c r="P61" s="5"/>
      <x:c r="Q61" s="21" t="s">
        <x:v>94</x:v>
      </x:c>
      <x:c r="R61" s="21"/>
      <x:c r="S61" s="18"/>
      <x:c r="T61" s="9"/>
      <x:c r="U61" s="9"/>
      <x:c r="V61" s="74">
        <x:v>-2.1020436</x:v>
      </x:c>
      <x:c r="W61" s="9">
        <x:v>106.04731630000001</x:v>
      </x:c>
      <x:c r="X61" s="9"/>
      <x:c r="Y61" s="52"/>
      <x:c r="Z61" s="27"/>
      <x:c r="AA61" s="42"/>
      <x:c r="AB61" s="79"/>
      <x:c r="AC61" s="45"/>
      <x:c r="AD61">
        <x:f t="shared" si="2"/>
        <x:v>0.36974789915966388</x:v>
      </x:c>
      <x:c r="AE61">
        <x:f t="shared" si="3"/>
        <x:v>1</x:v>
      </x:c>
    </x:row>
    <x:row r="62">
      <x:c r="A62" s="29" t="s">
        <x:v>205</x:v>
      </x:c>
      <x:c r="B62" s="9" t="s">
        <x:v>206</x:v>
      </x:c>
      <x:c r="C62" s="5" t="s">
        <x:v>63</x:v>
      </x:c>
      <x:c r="D62" s="9" t="s">
        <x:v>64</x:v>
      </x:c>
      <x:c r="E62" s="9" t="s">
        <x:v>65</x:v>
      </x:c>
      <x:c r="F62" s="5" t="str">
        <x:v>Jl. Kampung Melayu</x:v>
      </x:c>
      <x:c r="G62" s="5" t="str">
        <x:v>PT. RADHI UTAMA NUSA</x:v>
      </x:c>
      <x:c r="H62" s="15" t="str">
        <x:v>Rudi Kurniawan</x:v>
      </x:c>
      <x:c r="I62" s="15" t="str">
        <x:v>Real Estate Indonesia (REI)</x:v>
      </x:c>
      <x:c r="J62" s="5" t="n">
        <x:v>2018</x:v>
      </x:c>
      <x:c r="K62" s="15">
        <x:v>131</x:v>
      </x:c>
      <x:c r="L62" s="9">
        <x:v>37</x:v>
      </x:c>
      <x:c r="M62" s="15">
        <x:v>37</x:v>
      </x:c>
      <x:c r="N62" s="15" t="s">
        <x:v>78</x:v>
      </x:c>
      <x:c r="O62" s="5"/>
      <x:c r="P62" s="5"/>
      <x:c r="Q62" s="21" t="s">
        <x:v>67</x:v>
      </x:c>
      <x:c r="R62" s="21"/>
      <x:c r="S62" s="18"/>
      <x:c r="T62" s="9"/>
      <x:c r="U62" s="9"/>
      <x:c r="V62" s="74">
        <x:v>-2.1020436</x:v>
      </x:c>
      <x:c r="W62" s="9">
        <x:v>106.0473164</x:v>
      </x:c>
      <x:c r="X62" s="9"/>
      <x:c r="Y62" s="52"/>
      <x:c r="Z62" s="27"/>
      <x:c r="AA62" s="42"/>
      <x:c r="AB62" s="79"/>
      <x:c r="AC62" s="45"/>
      <x:c r="AD62">
        <x:f t="shared" si="2"/>
        <x:v>0.28244274809160308</x:v>
      </x:c>
      <x:c r="AE62">
        <x:f t="shared" si="3"/>
        <x:v>1</x:v>
      </x:c>
    </x:row>
    <x:row r="63">
      <x:c r="A63" s="29" t="s">
        <x:v>207</x:v>
      </x:c>
      <x:c r="B63" s="9" t="s">
        <x:v>208</x:v>
      </x:c>
      <x:c r="C63" s="5" t="s">
        <x:v>63</x:v>
      </x:c>
      <x:c r="D63" s="9" t="s">
        <x:v>104</x:v>
      </x:c>
      <x:c r="E63" s="9" t="s">
        <x:v>209</x:v>
      </x:c>
      <x:c r="F63" s="5" t="str">
        <x:v>Belum Diketahui</x:v>
      </x:c>
      <x:c r="G63" s="5" t="str">
        <x:v>PT. MITRA GUNADHYA MANDIRI</x:v>
      </x:c>
      <x:c r="H63" s="15" t="str">
        <x:v>Novita Lestari</x:v>
      </x:c>
      <x:c r="I63" s="15" t="str">
        <x:v>Belum Teridentifikasi</x:v>
      </x:c>
      <x:c r="J63" s="5" t="n">
        <x:v>2018</x:v>
      </x:c>
      <x:c r="K63" s="15">
        <x:v>70</x:v>
      </x:c>
      <x:c r="L63" s="9">
        <x:v>0</x:v>
      </x:c>
      <x:c r="M63" s="15">
        <x:v>0</x:v>
      </x:c>
      <x:c r="N63" s="15" t="s">
        <x:v>78</x:v>
      </x:c>
      <x:c r="O63" s="5"/>
      <x:c r="P63" s="5"/>
      <x:c r="Q63" s="21" t="s">
        <x:v>67</x:v>
      </x:c>
      <x:c r="R63" s="21"/>
      <x:c r="S63" s="18"/>
      <x:c r="T63" s="9"/>
      <x:c r="U63" s="9"/>
      <x:c r="V63" s="74"/>
      <x:c r="W63" s="9"/>
      <x:c r="X63" s="9"/>
      <x:c r="Y63" s="52"/>
      <x:c r="Z63" s="27"/>
      <x:c r="AA63" s="42"/>
      <x:c r="AB63" s="79"/>
      <x:c r="AC63" s="45"/>
      <x:c r="AD63">
        <x:f t="shared" si="2"/>
        <x:v>0</x:v>
      </x:c>
      <x:c r="AE63">
        <x:f t="shared" si="3"/>
        <x:v>0</x:v>
      </x:c>
    </x:row>
    <x:row r="64">
      <x:c r="A64" s="29" t="s">
        <x:v>210</x:v>
      </x:c>
      <x:c r="B64" s="9" t="s">
        <x:v>211</x:v>
      </x:c>
      <x:c r="C64" s="5" t="s">
        <x:v>63</x:v>
      </x:c>
      <x:c r="D64" s="9" t="s">
        <x:v>64</x:v>
      </x:c>
      <x:c r="E64" s="9" t="s">
        <x:v>65</x:v>
      </x:c>
      <x:c r="F64" s="5" t="str">
        <x:v>Jl. Mawar Kampak</x:v>
      </x:c>
      <x:c r="G64" s="5" t="str">
        <x:v>PT. TIMUR JAYA NUGRAHA</x:v>
      </x:c>
      <x:c r="H64" s="15" t="str">
        <x:v>Beny Ansory</x:v>
      </x:c>
      <x:c r="I64" s="15" t="str">
        <x:v>Real Estate Indonesia (REI)</x:v>
      </x:c>
      <x:c r="J64" s="5" t="n">
        <x:v>2019</x:v>
      </x:c>
      <x:c r="K64" s="15">
        <x:v>199</x:v>
      </x:c>
      <x:c r="L64" s="9">
        <x:v>150</x:v>
      </x:c>
      <x:c r="M64" s="15">
        <x:v>140</x:v>
      </x:c>
      <x:c r="N64" s="15" t="s">
        <x:v>78</x:v>
      </x:c>
      <x:c r="O64" s="5"/>
      <x:c r="P64" s="5"/>
      <x:c r="Q64" s="21" t="s">
        <x:v>67</x:v>
      </x:c>
      <x:c r="R64" s="21"/>
      <x:c r="S64" s="18"/>
      <x:c r="T64" s="9" t="s">
        <x:v>68</x:v>
      </x:c>
      <x:c r="U64" s="9"/>
      <x:c r="V64" s="74">
        <x:v>-2.1043018</x:v>
      </x:c>
      <x:c r="W64" s="9">
        <x:v>106.0806498</x:v>
      </x:c>
      <x:c r="X64" s="9"/>
      <x:c r="Y64" s="52"/>
      <x:c r="Z64" s="27"/>
      <x:c r="AA64" s="42"/>
      <x:c r="AB64" s="79"/>
      <x:c r="AC64" s="45"/>
      <x:c r="AD64">
        <x:f t="shared" si="2"/>
        <x:v>0.75376884422110557</x:v>
      </x:c>
      <x:c r="AE64">
        <x:f t="shared" si="3"/>
        <x:v>0.93333333333333335</x:v>
      </x:c>
    </x:row>
    <x:row r="65">
      <x:c r="A65" s="29" t="s">
        <x:v>212</x:v>
      </x:c>
      <x:c r="B65" s="9" t="s">
        <x:v>213</x:v>
      </x:c>
      <x:c r="C65" s="5" t="s">
        <x:v>63</x:v>
      </x:c>
      <x:c r="D65" s="9" t="s">
        <x:v>86</x:v>
      </x:c>
      <x:c r="E65" s="9" t="s">
        <x:v>112</x:v>
      </x:c>
      <x:c r="F65" s="5" t="str">
        <x:v>Jl. Lintas Timur</x:v>
      </x:c>
      <x:c r="G65" s="5" t="str">
        <x:v>PT. MUZAZI NURFI ABADI</x:v>
      </x:c>
      <x:c r="H65" s="15" t="str">
        <x:v>Nurul Anwar</x:v>
      </x:c>
      <x:c r="I65" s="15" t="str">
        <x:v>Pengembang Indonesia (PI)</x:v>
      </x:c>
      <x:c r="J65" s="5" t="n">
        <x:v>2017</x:v>
      </x:c>
      <x:c r="K65" s="15">
        <x:v>150</x:v>
      </x:c>
      <x:c r="L65" s="9">
        <x:v>42</x:v>
      </x:c>
      <x:c r="M65" s="15">
        <x:v>42</x:v>
      </x:c>
      <x:c r="N65" s="15" t="s">
        <x:v>78</x:v>
      </x:c>
      <x:c r="O65" s="5"/>
      <x:c r="P65" s="5"/>
      <x:c r="Q65" s="21" t="s">
        <x:v>67</x:v>
      </x:c>
      <x:c r="R65" s="21"/>
      <x:c r="S65" s="18"/>
      <x:c r="T65" s="9"/>
      <x:c r="U65" s="9"/>
      <x:c r="V65" s="74">
        <x:v>-2.0780973399999998</x:v>
      </x:c>
      <x:c r="W65" s="9">
        <x:v>106.1239751</x:v>
      </x:c>
      <x:c r="X65" s="9"/>
      <x:c r="Y65" s="52"/>
      <x:c r="Z65" s="27"/>
      <x:c r="AA65" s="42"/>
      <x:c r="AB65" s="79"/>
      <x:c r="AC65" s="45"/>
      <x:c r="AD65">
        <x:f t="shared" si="2"/>
        <x:v>0.28000000000000003</x:v>
      </x:c>
      <x:c r="AE65">
        <x:f t="shared" si="3"/>
        <x:v>1</x:v>
      </x:c>
    </x:row>
    <x:row r="66">
      <x:c r="A66" s="29" t="s">
        <x:v>214</x:v>
      </x:c>
      <x:c r="B66" s="9" t="s">
        <x:v>215</x:v>
      </x:c>
      <x:c r="C66" s="5" t="s">
        <x:v>63</x:v>
      </x:c>
      <x:c r="D66" s="9" t="s">
        <x:v>122</x:v>
      </x:c>
      <x:c r="E66" s="9" t="s">
        <x:v>216</x:v>
      </x:c>
      <x:c r="F66" s="5" t="str">
        <x:v>Jl. Dok Kartini</x:v>
      </x:c>
      <x:c r="G66" s="5" t="str">
        <x:v>PT. CAHAYA JAYA KONSTRUKSI</x:v>
      </x:c>
      <x:c r="H66" s="15" t="str">
        <x:v>Mas'ud</x:v>
      </x:c>
      <x:c r="I66" s="15" t="str">
        <x:v>Pengembang Indonesia (PI)</x:v>
      </x:c>
      <x:c r="J66" s="5" t="n">
        <x:v>2024</x:v>
      </x:c>
      <x:c r="K66" s="15">
        <x:v>39</x:v>
      </x:c>
      <x:c r="L66" s="9">
        <x:v>34</x:v>
      </x:c>
      <x:c r="M66" s="15">
        <x:v>29</x:v>
      </x:c>
      <x:c r="N66" s="15" t="s">
        <x:v>78</x:v>
      </x:c>
      <x:c r="O66" s="5"/>
      <x:c r="P66" s="5"/>
      <x:c r="Q66" s="21" t="s">
        <x:v>67</x:v>
      </x:c>
      <x:c r="R66" s="21"/>
      <x:c r="S66" s="18"/>
      <x:c r="T66" s="9"/>
      <x:c r="U66" s="9"/>
      <x:c r="V66" s="74">
        <x:v>-2.0876017</x:v>
      </x:c>
      <x:c r="W66" s="9">
        <x:v>106.12235029999999</x:v>
      </x:c>
      <x:c r="X66" s="9"/>
      <x:c r="Y66" s="52"/>
      <x:c r="Z66" s="27"/>
      <x:c r="AA66" s="42"/>
      <x:c r="AB66" s="79"/>
      <x:c r="AC66" s="45"/>
      <x:c r="AD66">
        <x:f t="shared" si="2"/>
        <x:v>0.87179487179487181</x:v>
      </x:c>
      <x:c r="AE66">
        <x:f t="shared" si="3"/>
        <x:v>0.8529411764705882</x:v>
      </x:c>
    </x:row>
    <x:row r="67">
      <x:c r="A67" s="29" t="s">
        <x:v>217</x:v>
      </x:c>
      <x:c r="B67" s="9" t="s">
        <x:v>218</x:v>
      </x:c>
      <x:c r="C67" s="5" t="s">
        <x:v>63</x:v>
      </x:c>
      <x:c r="D67" s="9" t="s">
        <x:v>104</x:v>
      </x:c>
      <x:c r="E67" s="9" t="s">
        <x:v>117</x:v>
      </x:c>
      <x:c r="F67" s="5" t="str">
        <x:v>Jl. Sampur</x:v>
      </x:c>
      <x:c r="G67" s="5" t="str">
        <x:v>PT. CAHAYA JAYA KONSTRUKSI</x:v>
      </x:c>
      <x:c r="H67" s="15" t="str">
        <x:v>Mas'ud</x:v>
      </x:c>
      <x:c r="I67" s="15" t="str">
        <x:v>Pengembang Indonesia (PI)</x:v>
      </x:c>
      <x:c r="J67" s="5" t="n">
        <x:v>2020</x:v>
      </x:c>
      <x:c r="K67" s="15">
        <x:v>70</x:v>
      </x:c>
      <x:c r="L67" s="9">
        <x:v>70</x:v>
      </x:c>
      <x:c r="M67" s="15">
        <x:v>70</x:v>
      </x:c>
      <x:c r="N67" s="15" t="s">
        <x:v>78</x:v>
      </x:c>
      <x:c r="O67" s="5"/>
      <x:c r="P67" s="5"/>
      <x:c r="Q67" s="21" t="s">
        <x:v>67</x:v>
      </x:c>
      <x:c r="R67" s="21"/>
      <x:c r="S67" s="18"/>
      <x:c r="T67" s="9"/>
      <x:c r="U67" s="9"/>
      <x:c r="V67" s="74">
        <x:v>-2.1467825</x:v>
      </x:c>
      <x:c r="W67" s="9">
        <x:v>106.16664129999999</x:v>
      </x:c>
      <x:c r="X67" s="9"/>
      <x:c r="Y67" s="52"/>
      <x:c r="Z67" s="27"/>
      <x:c r="AA67" s="42"/>
      <x:c r="AB67" s="79"/>
      <x:c r="AC67" s="45"/>
      <x:c r="AD67">
        <x:f t="shared" si="2"/>
        <x:v>1</x:v>
      </x:c>
      <x:c r="AE67">
        <x:f t="shared" si="3"/>
        <x:v>1</x:v>
      </x:c>
    </x:row>
    <x:row r="68">
      <x:c r="A68" s="29" t="s">
        <x:v>219</x:v>
      </x:c>
      <x:c r="B68" s="9" t="s">
        <x:v>220</x:v>
      </x:c>
      <x:c r="C68" s="5" t="s">
        <x:v>63</x:v>
      </x:c>
      <x:c r="D68" s="9" t="s">
        <x:v>64</x:v>
      </x:c>
      <x:c r="E68" s="9" t="s">
        <x:v>65</x:v>
      </x:c>
      <x:c r="F68" s="5" t="str">
        <x:v>Jl. Mawar Kampak</x:v>
      </x:c>
      <x:c r="G68" s="5" t="str">
        <x:v>PT. CAHAYA JAYA KONSTRUKSI</x:v>
      </x:c>
      <x:c r="H68" s="15" t="str">
        <x:v>Mas'ud</x:v>
      </x:c>
      <x:c r="I68" s="15" t="str">
        <x:v>Pengembang Indonesia (PI)</x:v>
      </x:c>
      <x:c r="J68" s="5" t="n">
        <x:v>2016</x:v>
      </x:c>
      <x:c r="K68" s="15">
        <x:v>22</x:v>
      </x:c>
      <x:c r="L68" s="9">
        <x:v>22</x:v>
      </x:c>
      <x:c r="M68" s="15">
        <x:v>22</x:v>
      </x:c>
      <x:c r="N68" s="15" t="s">
        <x:v>78</x:v>
      </x:c>
      <x:c r="O68" s="5"/>
      <x:c r="P68" s="5"/>
      <x:c r="Q68" s="21" t="s">
        <x:v>67</x:v>
      </x:c>
      <x:c r="R68" s="21" t="s">
        <x:v>108</x:v>
      </x:c>
      <x:c r="S68" s="18"/>
      <x:c r="T68" s="9"/>
      <x:c r="U68" s="9"/>
      <x:c r="V68" s="74">
        <x:v>-2.107863</x:v>
      </x:c>
      <x:c r="W68" s="9">
        <x:v>106.084007</x:v>
      </x:c>
      <x:c r="X68" s="9"/>
      <x:c r="Y68" s="52"/>
      <x:c r="Z68" s="27"/>
      <x:c r="AA68" s="42"/>
      <x:c r="AB68" s="79"/>
      <x:c r="AC68" s="45"/>
      <x:c r="AD68">
        <x:f t="shared" si="2"/>
        <x:v>1</x:v>
      </x:c>
      <x:c r="AE68">
        <x:f t="shared" si="3"/>
        <x:v>1</x:v>
      </x:c>
    </x:row>
    <x:row r="69">
      <x:c r="A69" s="29" t="s">
        <x:v>221</x:v>
      </x:c>
      <x:c r="B69" s="9" t="s">
        <x:v>222</x:v>
      </x:c>
      <x:c r="C69" s="5" t="s">
        <x:v>63</x:v>
      </x:c>
      <x:c r="D69" s="9" t="s">
        <x:v>64</x:v>
      </x:c>
      <x:c r="E69" s="9" t="s">
        <x:v>65</x:v>
      </x:c>
      <x:c r="F69" s="5" t="str">
        <x:v>Jl. Kulan Kampak</x:v>
      </x:c>
      <x:c r="G69" s="5" t="str">
        <x:v>PT. CAHAYA JAYA KONSTRUKSI</x:v>
      </x:c>
      <x:c r="H69" s="15" t="str">
        <x:v>Mas'ud</x:v>
      </x:c>
      <x:c r="I69" s="15" t="str">
        <x:v>Pengembang Indonesia (PI)</x:v>
      </x:c>
      <x:c r="J69" s="5" t="n">
        <x:v>2016</x:v>
      </x:c>
      <x:c r="K69" s="15">
        <x:v>35</x:v>
      </x:c>
      <x:c r="L69" s="9">
        <x:v>35</x:v>
      </x:c>
      <x:c r="M69" s="15">
        <x:v>35</x:v>
      </x:c>
      <x:c r="N69" s="15" t="s">
        <x:v>78</x:v>
      </x:c>
      <x:c r="O69" s="5"/>
      <x:c r="P69" s="5"/>
      <x:c r="Q69" s="21" t="s">
        <x:v>67</x:v>
      </x:c>
      <x:c r="R69" s="21" t="s">
        <x:v>108</x:v>
      </x:c>
      <x:c r="S69" s="18"/>
      <x:c r="T69" s="9"/>
      <x:c r="U69" s="9"/>
      <x:c r="V69" s="74">
        <x:v>-2.0983489999999998</x:v>
      </x:c>
      <x:c r="W69" s="9">
        <x:v>106.080001</x:v>
      </x:c>
      <x:c r="X69" s="9"/>
      <x:c r="Y69" s="52"/>
      <x:c r="Z69" s="27"/>
      <x:c r="AA69" s="42"/>
      <x:c r="AB69" s="79"/>
      <x:c r="AC69" s="45"/>
      <x:c r="AD69">
        <x:f t="shared" si="2"/>
        <x:v>1</x:v>
      </x:c>
      <x:c r="AE69">
        <x:f t="shared" si="3"/>
        <x:v>1</x:v>
      </x:c>
    </x:row>
    <x:row r="70">
      <x:c r="A70" s="29" t="s">
        <x:v>223</x:v>
      </x:c>
      <x:c r="B70" s="9" t="s">
        <x:v>224</x:v>
      </x:c>
      <x:c r="C70" s="5" t="s">
        <x:v>63</x:v>
      </x:c>
      <x:c r="D70" s="9" t="s">
        <x:v>64</x:v>
      </x:c>
      <x:c r="E70" s="9" t="s">
        <x:v>65</x:v>
      </x:c>
      <x:c r="F70" s="5" t="str">
        <x:v>Jl. Kulan Kampak</x:v>
      </x:c>
      <x:c r="G70" s="5" t="str">
        <x:v>PT. CAHAYA JAYA KONSTRUKSI</x:v>
      </x:c>
      <x:c r="H70" s="15" t="str">
        <x:v>Mas'ud</x:v>
      </x:c>
      <x:c r="I70" s="15" t="str">
        <x:v>Pengembang Indonesia (PI)</x:v>
      </x:c>
      <x:c r="J70" s="5" t="n">
        <x:v>2016</x:v>
      </x:c>
      <x:c r="K70" s="15">
        <x:v>32</x:v>
      </x:c>
      <x:c r="L70" s="9">
        <x:v>32</x:v>
      </x:c>
      <x:c r="M70" s="15">
        <x:v>32</x:v>
      </x:c>
      <x:c r="N70" s="15" t="s">
        <x:v>78</x:v>
      </x:c>
      <x:c r="O70" s="5"/>
      <x:c r="P70" s="5"/>
      <x:c r="Q70" s="21" t="s">
        <x:v>67</x:v>
      </x:c>
      <x:c r="R70" s="21" t="s">
        <x:v>108</x:v>
      </x:c>
      <x:c r="S70" s="18"/>
      <x:c r="T70" s="9"/>
      <x:c r="U70" s="9"/>
      <x:c r="V70" s="74">
        <x:v>-2.0990563</x:v>
      </x:c>
      <x:c r="W70" s="9">
        <x:v>106.0800362</x:v>
      </x:c>
      <x:c r="X70" s="9"/>
      <x:c r="Y70" s="52"/>
      <x:c r="Z70" s="27"/>
      <x:c r="AA70" s="42"/>
      <x:c r="AB70" s="79"/>
      <x:c r="AC70" s="45"/>
      <x:c r="AD70">
        <x:f t="shared" si="2"/>
        <x:v>1</x:v>
      </x:c>
      <x:c r="AE70">
        <x:f t="shared" si="3"/>
        <x:v>1</x:v>
      </x:c>
    </x:row>
    <x:row r="71">
      <x:c r="A71" s="29" t="s">
        <x:v>225</x:v>
      </x:c>
      <x:c r="B71" s="9" t="s">
        <x:v>226</x:v>
      </x:c>
      <x:c r="C71" s="5" t="s">
        <x:v>63</x:v>
      </x:c>
      <x:c r="D71" s="9" t="s">
        <x:v>64</x:v>
      </x:c>
      <x:c r="E71" s="9" t="s">
        <x:v>65</x:v>
      </x:c>
      <x:c r="F71" s="5" t="str">
        <x:v>Jl. Kulan Kampak</x:v>
      </x:c>
      <x:c r="G71" s="5" t="str">
        <x:v>PT. CAHAYA JAYA KONSTRUKSI</x:v>
      </x:c>
      <x:c r="H71" s="15" t="str">
        <x:v>Mas'ud</x:v>
      </x:c>
      <x:c r="I71" s="15" t="str">
        <x:v>Pengembang Indonesia (PI)</x:v>
      </x:c>
      <x:c r="J71" s="5" t="n">
        <x:v>2017</x:v>
      </x:c>
      <x:c r="K71" s="15">
        <x:v>21</x:v>
      </x:c>
      <x:c r="L71" s="9">
        <x:v>21</x:v>
      </x:c>
      <x:c r="M71" s="15">
        <x:v>21</x:v>
      </x:c>
      <x:c r="N71" s="15" t="s">
        <x:v>78</x:v>
      </x:c>
      <x:c r="O71" s="5"/>
      <x:c r="P71" s="5"/>
      <x:c r="Q71" s="21" t="s">
        <x:v>67</x:v>
      </x:c>
      <x:c r="R71" s="21" t="s">
        <x:v>108</x:v>
      </x:c>
      <x:c r="S71" s="18"/>
      <x:c r="T71" s="9"/>
      <x:c r="U71" s="9"/>
      <x:c r="V71" s="74">
        <x:v>-2.099672</x:v>
      </x:c>
      <x:c r="W71" s="9">
        <x:v>106.080805</x:v>
      </x:c>
      <x:c r="X71" s="9"/>
      <x:c r="Y71" s="52"/>
      <x:c r="Z71" s="27"/>
      <x:c r="AA71" s="42"/>
      <x:c r="AB71" s="79"/>
      <x:c r="AC71" s="45"/>
      <x:c r="AD71">
        <x:f t="shared" si="2"/>
        <x:v>1</x:v>
      </x:c>
      <x:c r="AE71">
        <x:f t="shared" si="3"/>
        <x:v>1</x:v>
      </x:c>
    </x:row>
    <x:row r="72">
      <x:c r="A72" s="29" t="s">
        <x:v>227</x:v>
      </x:c>
      <x:c r="B72" s="9" t="s">
        <x:v>228</x:v>
      </x:c>
      <x:c r="C72" s="5" t="s">
        <x:v>63</x:v>
      </x:c>
      <x:c r="D72" s="9" t="s">
        <x:v>64</x:v>
      </x:c>
      <x:c r="E72" s="9" t="s">
        <x:v>194</x:v>
      </x:c>
      <x:c r="F72" s="5" t="str">
        <x:v>Jl. Bukit Manggis</x:v>
      </x:c>
      <x:c r="G72" s="5" t="str">
        <x:v>CV. CAHAYA JAYA ABADI</x:v>
      </x:c>
      <x:c r="H72" s="15" t="str">
        <x:v>Hendra Wijaya</x:v>
      </x:c>
      <x:c r="I72" s="15" t="str">
        <x:v>Pengembang Indonesia (PI)</x:v>
      </x:c>
      <x:c r="J72" s="5" t="n">
        <x:v>2018</x:v>
      </x:c>
      <x:c r="K72" s="15">
        <x:v>85</x:v>
      </x:c>
      <x:c r="L72" s="9">
        <x:v>85</x:v>
      </x:c>
      <x:c r="M72" s="15">
        <x:v>85</x:v>
      </x:c>
      <x:c r="N72" s="15" t="s">
        <x:v>78</x:v>
      </x:c>
      <x:c r="O72" s="5"/>
      <x:c r="P72" s="5"/>
      <x:c r="Q72" s="21" t="s">
        <x:v>94</x:v>
      </x:c>
      <x:c r="R72" s="21" t="s">
        <x:v>108</x:v>
      </x:c>
      <x:c r="S72" s="18"/>
      <x:c r="T72" s="9"/>
      <x:c r="U72" s="9"/>
      <x:c r="V72" s="74">
        <x:v>-2.1105010000000002</x:v>
      </x:c>
      <x:c r="W72" s="9">
        <x:v>106.088167</x:v>
      </x:c>
      <x:c r="X72" s="9"/>
      <x:c r="Y72" s="52"/>
      <x:c r="Z72" s="27"/>
      <x:c r="AA72" s="42"/>
      <x:c r="AB72" s="79"/>
      <x:c r="AC72" s="45"/>
      <x:c r="AD72">
        <x:f t="shared" si="2"/>
        <x:v>1</x:v>
      </x:c>
      <x:c r="AE72">
        <x:f t="shared" si="3"/>
        <x:v>1</x:v>
      </x:c>
    </x:row>
    <x:row r="73">
      <x:c r="A73" s="29" t="s">
        <x:v>229</x:v>
      </x:c>
      <x:c r="B73" s="9" t="s">
        <x:v>230</x:v>
      </x:c>
      <x:c r="C73" s="5" t="s">
        <x:v>63</x:v>
      </x:c>
      <x:c r="D73" s="9" t="s">
        <x:v>64</x:v>
      </x:c>
      <x:c r="E73" s="9" t="s">
        <x:v>194</x:v>
      </x:c>
      <x:c r="F73" s="5" t="str">
        <x:v>Jl. Bukit Manggis</x:v>
      </x:c>
      <x:c r="G73" s="5" t="str">
        <x:v>CV. CAHAYA JAYA ABADI</x:v>
      </x:c>
      <x:c r="H73" s="15" t="str">
        <x:v>Hendra Wijaya</x:v>
      </x:c>
      <x:c r="I73" s="15" t="str">
        <x:v>Pengembang Indonesia (PI)</x:v>
      </x:c>
      <x:c r="J73" s="5" t="n">
        <x:v>2018</x:v>
      </x:c>
      <x:c r="K73" s="15">
        <x:v>80</x:v>
      </x:c>
      <x:c r="L73" s="9">
        <x:v>80</x:v>
      </x:c>
      <x:c r="M73" s="15">
        <x:v>80</x:v>
      </x:c>
      <x:c r="N73" s="15" t="s">
        <x:v>78</x:v>
      </x:c>
      <x:c r="O73" s="5"/>
      <x:c r="P73" s="5"/>
      <x:c r="Q73" s="21" t="s">
        <x:v>67</x:v>
      </x:c>
      <x:c r="R73" s="21" t="s">
        <x:v>108</x:v>
      </x:c>
      <x:c r="S73" s="18"/>
      <x:c r="T73" s="9"/>
      <x:c r="U73" s="9"/>
      <x:c r="V73" s="74">
        <x:v>-2.1059435</x:v>
      </x:c>
      <x:c r="W73" s="9">
        <x:v>106.0873139</x:v>
      </x:c>
      <x:c r="X73" s="9"/>
      <x:c r="Y73" s="52"/>
      <x:c r="Z73" s="27"/>
      <x:c r="AA73" s="42"/>
      <x:c r="AB73" s="79"/>
      <x:c r="AC73" s="45"/>
      <x:c r="AD73">
        <x:f t="shared" si="2"/>
        <x:v>1</x:v>
      </x:c>
      <x:c r="AE73">
        <x:f t="shared" si="3"/>
        <x:v>1</x:v>
      </x:c>
    </x:row>
    <x:row r="74">
      <x:c r="A74" s="29" t="s">
        <x:v>231</x:v>
      </x:c>
      <x:c r="B74" s="9" t="s">
        <x:v>232</x:v>
      </x:c>
      <x:c r="C74" s="5" t="s">
        <x:v>63</x:v>
      </x:c>
      <x:c r="D74" s="9" t="s">
        <x:v>64</x:v>
      </x:c>
      <x:c r="E74" s="9" t="s">
        <x:v>152</x:v>
      </x:c>
      <x:c r="F74" s="5" t="str">
        <x:v>Jl. Stania</x:v>
      </x:c>
      <x:c r="G74" s="5" t="str">
        <x:v>PT. CAHAYA JAYA KONSTRUKSI</x:v>
      </x:c>
      <x:c r="H74" s="15" t="str">
        <x:v>Mas'ud</x:v>
      </x:c>
      <x:c r="I74" s="15" t="str">
        <x:v>Pengembang Indonesia (PI)</x:v>
      </x:c>
      <x:c r="J74" s="5" t="n">
        <x:v>2018</x:v>
      </x:c>
      <x:c r="K74" s="15">
        <x:v>18</x:v>
      </x:c>
      <x:c r="L74" s="9">
        <x:v>18</x:v>
      </x:c>
      <x:c r="M74" s="15">
        <x:v>18</x:v>
      </x:c>
      <x:c r="N74" s="15" t="s">
        <x:v>78</x:v>
      </x:c>
      <x:c r="O74" s="5"/>
      <x:c r="P74" s="5"/>
      <x:c r="Q74" s="21" t="s">
        <x:v>67</x:v>
      </x:c>
      <x:c r="R74" s="21" t="s">
        <x:v>108</x:v>
      </x:c>
      <x:c r="S74" s="18"/>
      <x:c r="T74" s="9"/>
      <x:c r="U74" s="9"/>
      <x:c r="V74" s="74">
        <x:v>-2.1110685</x:v>
      </x:c>
      <x:c r="W74" s="9">
        <x:v>106.0932651</x:v>
      </x:c>
      <x:c r="X74" s="9"/>
      <x:c r="Y74" s="52"/>
      <x:c r="Z74" s="27"/>
      <x:c r="AA74" s="42"/>
      <x:c r="AB74" s="79"/>
      <x:c r="AC74" s="45"/>
      <x:c r="AD74">
        <x:f t="shared" si="2"/>
        <x:v>1</x:v>
      </x:c>
      <x:c r="AE74">
        <x:f t="shared" si="3"/>
        <x:v>1</x:v>
      </x:c>
    </x:row>
    <x:row r="75">
      <x:c r="A75" s="29" t="s">
        <x:v>233</x:v>
      </x:c>
      <x:c r="B75" s="9" t="s">
        <x:v>234</x:v>
      </x:c>
      <x:c r="C75" s="5" t="s">
        <x:v>63</x:v>
      </x:c>
      <x:c r="D75" s="9" t="s">
        <x:v>86</x:v>
      </x:c>
      <x:c r="E75" s="9" t="s">
        <x:v>112</x:v>
      </x:c>
      <x:c r="F75" s="5" t="str">
        <x:v>Jl. Kerabut</x:v>
      </x:c>
      <x:c r="G75" s="5" t="str">
        <x:v>PT. CAHAYA JAYA KONSTRUKSI</x:v>
      </x:c>
      <x:c r="H75" s="15" t="str">
        <x:v>Mas'ud</x:v>
      </x:c>
      <x:c r="I75" s="15" t="str">
        <x:v>Pengembang Indonesia (PI)</x:v>
      </x:c>
      <x:c r="J75" s="5" t="n">
        <x:v>2018</x:v>
      </x:c>
      <x:c r="K75" s="15">
        <x:v>32</x:v>
      </x:c>
      <x:c r="L75" s="9">
        <x:v>32</x:v>
      </x:c>
      <x:c r="M75" s="15">
        <x:v>32</x:v>
      </x:c>
      <x:c r="N75" s="15" t="s">
        <x:v>78</x:v>
      </x:c>
      <x:c r="O75" s="5"/>
      <x:c r="P75" s="5"/>
      <x:c r="Q75" s="21" t="s">
        <x:v>67</x:v>
      </x:c>
      <x:c r="R75" s="21"/>
      <x:c r="S75" s="18"/>
      <x:c r="T75" s="9"/>
      <x:c r="U75" s="9"/>
      <x:c r="V75" s="74">
        <x:v>-2.094849</x:v>
      </x:c>
      <x:c r="W75" s="9">
        <x:v>106.098916</x:v>
      </x:c>
      <x:c r="X75" s="9"/>
      <x:c r="Y75" s="52"/>
      <x:c r="Z75" s="27"/>
      <x:c r="AA75" s="42"/>
      <x:c r="AB75" s="79"/>
      <x:c r="AC75" s="45"/>
      <x:c r="AD75">
        <x:f t="shared" si="2"/>
        <x:v>1</x:v>
      </x:c>
      <x:c r="AE75">
        <x:f t="shared" si="3"/>
        <x:v>1</x:v>
      </x:c>
    </x:row>
    <x:row r="76">
      <x:c r="A76" s="29" t="s">
        <x:v>235</x:v>
      </x:c>
      <x:c r="B76" s="9" t="s">
        <x:v>236</x:v>
      </x:c>
      <x:c r="C76" s="5" t="s">
        <x:v>63</x:v>
      </x:c>
      <x:c r="D76" s="9" t="s">
        <x:v>86</x:v>
      </x:c>
      <x:c r="E76" s="9" t="s">
        <x:v>93</x:v>
      </x:c>
      <x:c r="F76" s="5" t="str">
        <x:v>Jl. Pengembang Indonesia (PI)kas 4</x:v>
      </x:c>
      <x:c r="G76" s="5" t="str">
        <x:v>PT. CAHAYA JAYA KONSTRUKSI</x:v>
      </x:c>
      <x:c r="H76" s="15" t="str">
        <x:v>Mas'ud</x:v>
      </x:c>
      <x:c r="I76" s="15" t="str">
        <x:v>Pengembang Indonesia (PI)</x:v>
      </x:c>
      <x:c r="J76" s="5" t="n">
        <x:v>2018</x:v>
      </x:c>
      <x:c r="K76" s="15">
        <x:v>72</x:v>
      </x:c>
      <x:c r="L76" s="9">
        <x:v>72</x:v>
      </x:c>
      <x:c r="M76" s="15">
        <x:v>72</x:v>
      </x:c>
      <x:c r="N76" s="15" t="s">
        <x:v>78</x:v>
      </x:c>
      <x:c r="O76" s="5"/>
      <x:c r="P76" s="5"/>
      <x:c r="Q76" s="21" t="s">
        <x:v>67</x:v>
      </x:c>
      <x:c r="R76" s="21"/>
      <x:c r="S76" s="18"/>
      <x:c r="T76" s="9"/>
      <x:c r="U76" s="9"/>
      <x:c r="V76" s="74">
        <x:v>-2.1015929999999998</x:v>
      </x:c>
      <x:c r="W76" s="9">
        <x:v>106.096616</x:v>
      </x:c>
      <x:c r="X76" s="9"/>
      <x:c r="Y76" s="52"/>
      <x:c r="Z76" s="27"/>
      <x:c r="AA76" s="42"/>
      <x:c r="AB76" s="79"/>
      <x:c r="AC76" s="45"/>
      <x:c r="AD76">
        <x:f t="shared" si="2"/>
        <x:v>1</x:v>
      </x:c>
      <x:c r="AE76">
        <x:f t="shared" si="3"/>
        <x:v>1</x:v>
      </x:c>
    </x:row>
    <x:row r="77">
      <x:c r="A77" s="29" t="s">
        <x:v>237</x:v>
      </x:c>
      <x:c r="B77" s="9" t="s">
        <x:v>238</x:v>
      </x:c>
      <x:c r="C77" s="5" t="s">
        <x:v>63</x:v>
      </x:c>
      <x:c r="D77" s="9" t="s">
        <x:v>64</x:v>
      </x:c>
      <x:c r="E77" s="9" t="s">
        <x:v>65</x:v>
      </x:c>
      <x:c r="F77" s="5" t="str">
        <x:v>Jl. Fatmawati Gang Keluarga 1</x:v>
      </x:c>
      <x:c r="G77" s="5" t="str">
        <x:v>PT. CAHAYA JAYA KONSTRUKSI</x:v>
      </x:c>
      <x:c r="H77" s="15" t="str">
        <x:v>Mas'ud</x:v>
      </x:c>
      <x:c r="I77" s="15" t="str">
        <x:v>Pengembang Indonesia (PI)</x:v>
      </x:c>
      <x:c r="J77" s="5" t="n">
        <x:v>2018</x:v>
      </x:c>
      <x:c r="K77" s="15">
        <x:v>83</x:v>
      </x:c>
      <x:c r="L77" s="9">
        <x:v>83</x:v>
      </x:c>
      <x:c r="M77" s="15">
        <x:v>0</x:v>
      </x:c>
      <x:c r="N77" s="15" t="s">
        <x:v>78</x:v>
      </x:c>
      <x:c r="O77" s="5"/>
      <x:c r="P77" s="5"/>
      <x:c r="Q77" s="21" t="s">
        <x:v>67</x:v>
      </x:c>
      <x:c r="R77" s="21"/>
      <x:c r="S77" s="18"/>
      <x:c r="T77" s="9"/>
      <x:c r="U77" s="9"/>
      <x:c r="V77" s="74">
        <x:v>-2.1018757099999998</x:v>
      </x:c>
      <x:c r="W77" s="9">
        <x:v>106.0948856</x:v>
      </x:c>
      <x:c r="X77" s="9"/>
      <x:c r="Y77" s="52"/>
      <x:c r="Z77" s="27"/>
      <x:c r="AA77" s="42"/>
      <x:c r="AB77" s="79"/>
      <x:c r="AC77" s="45"/>
      <x:c r="AD77">
        <x:f t="shared" si="2"/>
        <x:v>1</x:v>
      </x:c>
      <x:c r="AE77">
        <x:f t="shared" si="3"/>
        <x:v>0</x:v>
      </x:c>
    </x:row>
    <x:row r="78">
      <x:c r="A78" s="29" t="s">
        <x:v>239</x:v>
      </x:c>
      <x:c r="B78" s="9" t="s">
        <x:v>240</x:v>
      </x:c>
      <x:c r="C78" s="5" t="s">
        <x:v>63</x:v>
      </x:c>
      <x:c r="D78" s="9" t="s">
        <x:v>64</x:v>
      </x:c>
      <x:c r="E78" s="9" t="s">
        <x:v>65</x:v>
      </x:c>
      <x:c r="F78" s="5" t="str">
        <x:v>Jl. Air Kampak</x:v>
      </x:c>
      <x:c r="G78" s="5" t="str">
        <x:v>PT. CAHAYA JAYA KONSTRUKSI</x:v>
      </x:c>
      <x:c r="H78" s="15" t="str">
        <x:v>Mas'ud</x:v>
      </x:c>
      <x:c r="I78" s="15" t="str">
        <x:v>Pengembang Indonesia (PI)</x:v>
      </x:c>
      <x:c r="J78" s="5" t="n">
        <x:v>2018</x:v>
      </x:c>
      <x:c r="K78" s="15">
        <x:v>16</x:v>
      </x:c>
      <x:c r="L78" s="9">
        <x:v>16</x:v>
      </x:c>
      <x:c r="M78" s="15">
        <x:v>16</x:v>
      </x:c>
      <x:c r="N78" s="15" t="s">
        <x:v>78</x:v>
      </x:c>
      <x:c r="O78" s="5"/>
      <x:c r="P78" s="5"/>
      <x:c r="Q78" s="21" t="s">
        <x:v>67</x:v>
      </x:c>
      <x:c r="R78" s="21"/>
      <x:c r="S78" s="18"/>
      <x:c r="T78" s="9"/>
      <x:c r="U78" s="9"/>
      <x:c r="V78" s="74">
        <x:v>-2.1027453999999999</x:v>
      </x:c>
      <x:c r="W78" s="9">
        <x:v>106.08195600000001</x:v>
      </x:c>
      <x:c r="X78" s="9"/>
      <x:c r="Y78" s="52"/>
      <x:c r="Z78" s="27"/>
      <x:c r="AA78" s="42"/>
      <x:c r="AB78" s="79"/>
      <x:c r="AC78" s="45"/>
      <x:c r="AD78">
        <x:f t="shared" si="2"/>
        <x:v>1</x:v>
      </x:c>
      <x:c r="AE78">
        <x:f t="shared" si="3"/>
        <x:v>1</x:v>
      </x:c>
    </x:row>
    <x:row r="79">
      <x:c r="A79" s="29" t="s">
        <x:v>241</x:v>
      </x:c>
      <x:c r="B79" s="9" t="s">
        <x:v>242</x:v>
      </x:c>
      <x:c r="C79" s="5" t="s">
        <x:v>63</x:v>
      </x:c>
      <x:c r="D79" s="9" t="s">
        <x:v>86</x:v>
      </x:c>
      <x:c r="E79" s="9" t="s">
        <x:v>93</x:v>
      </x:c>
      <x:c r="F79" s="5" t="str">
        <x:v>Jl. Ali Asik II</x:v>
      </x:c>
      <x:c r="G79" s="5" t="str">
        <x:v>PT.CAHAYA JAYA KONSTRUKSI</x:v>
      </x:c>
      <x:c r="H79" s="15" t="str">
        <x:v>Mas'ud</x:v>
      </x:c>
      <x:c r="I79" s="15" t="str">
        <x:v>Pengembang Indonesia (PI)</x:v>
      </x:c>
      <x:c r="J79" s="5" t="n">
        <x:v>2021</x:v>
      </x:c>
      <x:c r="K79" s="15">
        <x:v>48</x:v>
      </x:c>
      <x:c r="L79" s="9">
        <x:v>48</x:v>
      </x:c>
      <x:c r="M79" s="15">
        <x:v>48</x:v>
      </x:c>
      <x:c r="N79" s="15" t="s">
        <x:v>78</x:v>
      </x:c>
      <x:c r="O79" s="5"/>
      <x:c r="P79" s="5"/>
      <x:c r="Q79" s="21" t="s">
        <x:v>67</x:v>
      </x:c>
      <x:c r="R79" s="21"/>
      <x:c r="S79" s="18"/>
      <x:c r="T79" s="9"/>
      <x:c r="U79" s="9"/>
      <x:c r="V79" s="74">
        <x:v>-2.0908709999999999</x:v>
      </x:c>
      <x:c r="W79" s="9">
        <x:v>106.095277</x:v>
      </x:c>
      <x:c r="X79" s="9"/>
      <x:c r="Y79" s="52"/>
      <x:c r="Z79" s="27"/>
      <x:c r="AA79" s="42"/>
      <x:c r="AB79" s="79"/>
      <x:c r="AC79" s="45"/>
      <x:c r="AD79">
        <x:f t="shared" si="2"/>
        <x:v>1</x:v>
      </x:c>
      <x:c r="AE79">
        <x:f t="shared" si="3"/>
        <x:v>1</x:v>
      </x:c>
    </x:row>
    <x:row r="80">
      <x:c r="A80" s="29" t="s">
        <x:v>243</x:v>
      </x:c>
      <x:c r="B80" s="9" t="s">
        <x:v>244</x:v>
      </x:c>
      <x:c r="C80" s="5" t="s">
        <x:v>63</x:v>
      </x:c>
      <x:c r="D80" s="9" t="s">
        <x:v>86</x:v>
      </x:c>
      <x:c r="E80" s="9" t="s">
        <x:v>93</x:v>
      </x:c>
      <x:c r="F80" s="5" t="str">
        <x:v>Jl. Kerabut</x:v>
      </x:c>
      <x:c r="G80" s="5" t="str">
        <x:v>PT.CAHAYA JAYA KONSTRUKSI</x:v>
      </x:c>
      <x:c r="H80" s="15" t="str">
        <x:v>Mas'ud</x:v>
      </x:c>
      <x:c r="I80" s="15" t="str">
        <x:v>Pengembang Indonesia (PI)</x:v>
      </x:c>
      <x:c r="J80" s="5" t="n">
        <x:v>2019</x:v>
      </x:c>
      <x:c r="K80" s="15">
        <x:v>66</x:v>
      </x:c>
      <x:c r="L80" s="9">
        <x:v>66</x:v>
      </x:c>
      <x:c r="M80" s="15">
        <x:v>66</x:v>
      </x:c>
      <x:c r="N80" s="15" t="s">
        <x:v>78</x:v>
      </x:c>
      <x:c r="O80" s="5"/>
      <x:c r="P80" s="5"/>
      <x:c r="Q80" s="21" t="s">
        <x:v>67</x:v>
      </x:c>
      <x:c r="R80" s="21"/>
      <x:c r="S80" s="18"/>
      <x:c r="T80" s="9"/>
      <x:c r="U80" s="9"/>
      <x:c r="V80" s="74">
        <x:v>-2.091539</x:v>
      </x:c>
      <x:c r="W80" s="9">
        <x:v>106.094336</x:v>
      </x:c>
      <x:c r="X80" s="9"/>
      <x:c r="Y80" s="52"/>
      <x:c r="Z80" s="27"/>
      <x:c r="AA80" s="42"/>
      <x:c r="AB80" s="79"/>
      <x:c r="AC80" s="45"/>
      <x:c r="AD80">
        <x:f t="shared" si="2"/>
        <x:v>1</x:v>
      </x:c>
      <x:c r="AE80">
        <x:f t="shared" si="3"/>
        <x:v>1</x:v>
      </x:c>
    </x:row>
    <x:row r="81">
      <x:c r="A81" s="29" t="s">
        <x:v>245</x:v>
      </x:c>
      <x:c r="B81" s="9" t="s">
        <x:v>246</x:v>
      </x:c>
      <x:c r="C81" s="5" t="s">
        <x:v>63</x:v>
      </x:c>
      <x:c r="D81" s="9" t="s">
        <x:v>64</x:v>
      </x:c>
      <x:c r="E81" s="9" t="s">
        <x:v>65</x:v>
      </x:c>
      <x:c r="F81" s="5" t="str">
        <x:v>Belum Diketahui</x:v>
      </x:c>
      <x:c r="G81" s="5" t="str">
        <x:v>PT. CAHAYA JAYA KONSTRUKSI</x:v>
      </x:c>
      <x:c r="H81" s="15" t="str">
        <x:v>Mas'ud</x:v>
      </x:c>
      <x:c r="I81" s="15" t="str">
        <x:v>Pengembang Indonesia (PI)</x:v>
      </x:c>
      <x:c r="J81" s="5" t="n">
        <x:v>2022</x:v>
      </x:c>
      <x:c r="K81" s="15">
        <x:v>49</x:v>
      </x:c>
      <x:c r="L81" s="9">
        <x:v>49</x:v>
      </x:c>
      <x:c r="M81" s="15">
        <x:v>49</x:v>
      </x:c>
      <x:c r="N81" s="15" t="s">
        <x:v>78</x:v>
      </x:c>
      <x:c r="O81" s="5"/>
      <x:c r="P81" s="5"/>
      <x:c r="Q81" s="21" t="s">
        <x:v>67</x:v>
      </x:c>
      <x:c r="R81" s="21"/>
      <x:c r="S81" s="18"/>
      <x:c r="T81" s="9"/>
      <x:c r="U81" s="9"/>
      <x:c r="V81" s="74">
        <x:v>-2.1189081000000001</x:v>
      </x:c>
      <x:c r="W81" s="9">
        <x:v>106.08377350000001</x:v>
      </x:c>
      <x:c r="X81" s="9"/>
      <x:c r="Y81" s="52"/>
      <x:c r="Z81" s="27"/>
      <x:c r="AA81" s="42"/>
      <x:c r="AB81" s="79"/>
      <x:c r="AC81" s="45"/>
      <x:c r="AD81">
        <x:f t="shared" si="2"/>
        <x:v>1</x:v>
      </x:c>
      <x:c r="AE81">
        <x:f t="shared" si="3"/>
        <x:v>1</x:v>
      </x:c>
    </x:row>
    <x:row r="82">
      <x:c r="A82" s="29" t="s">
        <x:v>247</x:v>
      </x:c>
      <x:c r="B82" s="9" t="s">
        <x:v>248</x:v>
      </x:c>
      <x:c r="C82" s="5" t="s">
        <x:v>63</x:v>
      </x:c>
      <x:c r="D82" s="9" t="s">
        <x:v>64</x:v>
      </x:c>
      <x:c r="E82" s="9" t="s">
        <x:v>65</x:v>
      </x:c>
      <x:c r="F82" s="5" t="str">
        <x:v>Jl. Anggrek</x:v>
      </x:c>
      <x:c r="G82" s="5" t="str">
        <x:v>PT. CAHAYA JAYA KONSTRUKSI</x:v>
      </x:c>
      <x:c r="H82" s="15" t="str">
        <x:v>Mas'ud</x:v>
      </x:c>
      <x:c r="I82" s="15" t="str">
        <x:v>Pengembang Indonesia (PI)</x:v>
      </x:c>
      <x:c r="J82" s="5" t="n">
        <x:v>2022</x:v>
      </x:c>
      <x:c r="K82" s="15">
        <x:v>132</x:v>
      </x:c>
      <x:c r="L82" s="9">
        <x:v>132</x:v>
      </x:c>
      <x:c r="M82" s="15">
        <x:v>132</x:v>
      </x:c>
      <x:c r="N82" s="15" t="s">
        <x:v>78</x:v>
      </x:c>
      <x:c r="O82" s="5"/>
      <x:c r="P82" s="5"/>
      <x:c r="Q82" s="21" t="s">
        <x:v>67</x:v>
      </x:c>
      <x:c r="R82" s="21"/>
      <x:c r="S82" s="18"/>
      <x:c r="T82" s="9"/>
      <x:c r="U82" s="9"/>
      <x:c r="V82" s="74">
        <x:v>-2.1064370000000001</x:v>
      </x:c>
      <x:c r="W82" s="9">
        <x:v>106.083372</x:v>
      </x:c>
      <x:c r="X82" s="9"/>
      <x:c r="Y82" s="52"/>
      <x:c r="Z82" s="27"/>
      <x:c r="AA82" s="42"/>
      <x:c r="AB82" s="79"/>
      <x:c r="AC82" s="45"/>
      <x:c r="AD82">
        <x:f t="shared" si="2"/>
        <x:v>1</x:v>
      </x:c>
      <x:c r="AE82">
        <x:f t="shared" si="3"/>
        <x:v>1</x:v>
      </x:c>
    </x:row>
    <x:row r="83">
      <x:c r="A83" s="29" t="s">
        <x:v>249</x:v>
      </x:c>
      <x:c r="B83" s="9" t="s">
        <x:v>250</x:v>
      </x:c>
      <x:c r="C83" s="5" t="s">
        <x:v>63</x:v>
      </x:c>
      <x:c r="D83" s="9" t="s">
        <x:v>86</x:v>
      </x:c>
      <x:c r="E83" s="9" t="s">
        <x:v>93</x:v>
      </x:c>
      <x:c r="F83" s="5" t="str">
        <x:v>Jl. H. Umar</x:v>
      </x:c>
      <x:c r="G83" s="5" t="str">
        <x:v>PT. CAHAYA JAYA KONSTRUKSI</x:v>
      </x:c>
      <x:c r="H83" s="15" t="str">
        <x:v>Mas'ud</x:v>
      </x:c>
      <x:c r="I83" s="15" t="str">
        <x:v>Pengembang Indonesia (PI)</x:v>
      </x:c>
      <x:c r="J83" s="5" t="n">
        <x:v>2023</x:v>
      </x:c>
      <x:c r="K83" s="15">
        <x:v>38</x:v>
      </x:c>
      <x:c r="L83" s="9">
        <x:v>38</x:v>
      </x:c>
      <x:c r="M83" s="15">
        <x:v>38</x:v>
      </x:c>
      <x:c r="N83" s="15" t="s">
        <x:v>78</x:v>
      </x:c>
      <x:c r="O83" s="5"/>
      <x:c r="P83" s="5"/>
      <x:c r="Q83" s="21" t="s">
        <x:v>67</x:v>
      </x:c>
      <x:c r="R83" s="21"/>
      <x:c r="S83" s="18"/>
      <x:c r="T83" s="9"/>
      <x:c r="U83" s="9"/>
      <x:c r="V83" s="74">
        <x:v>-2.0986220000000002</x:v>
      </x:c>
      <x:c r="W83" s="9">
        <x:v>106.08407010000001</x:v>
      </x:c>
      <x:c r="X83" s="9"/>
      <x:c r="Y83" s="52"/>
      <x:c r="Z83" s="27"/>
      <x:c r="AA83" s="42"/>
      <x:c r="AB83" s="79"/>
      <x:c r="AC83" s="45"/>
      <x:c r="AD83">
        <x:f t="shared" si="2"/>
        <x:v>1</x:v>
      </x:c>
      <x:c r="AE83">
        <x:f t="shared" si="3"/>
        <x:v>1</x:v>
      </x:c>
    </x:row>
    <x:row r="84">
      <x:c r="A84" s="29" t="s">
        <x:v>251</x:v>
      </x:c>
      <x:c r="B84" s="9" t="s">
        <x:v>252</x:v>
      </x:c>
      <x:c r="C84" s="5" t="s">
        <x:v>63</x:v>
      </x:c>
      <x:c r="D84" s="9" t="s">
        <x:v>64</x:v>
      </x:c>
      <x:c r="E84" s="9" t="s">
        <x:v>65</x:v>
      </x:c>
      <x:c r="F84" s="5" t="str">
        <x:v>Jl. Haji Bakir</x:v>
      </x:c>
      <x:c r="G84" s="5" t="str">
        <x:v>PT. WANGKA WIJAYA PROPERTY</x:v>
      </x:c>
      <x:c r="H84" s="15" t="str">
        <x:v>Ery Wahyudi</x:v>
      </x:c>
      <x:c r="I84" s="15" t="str">
        <x:v>Real Estate Indonesia (REI)</x:v>
      </x:c>
      <x:c r="J84" s="5" t="n">
        <x:v>2019</x:v>
      </x:c>
      <x:c r="K84" s="15">
        <x:v>83</x:v>
      </x:c>
      <x:c r="L84" s="9">
        <x:v>83</x:v>
      </x:c>
      <x:c r="M84" s="15">
        <x:v>79</x:v>
      </x:c>
      <x:c r="N84" s="15" t="s">
        <x:v>66</x:v>
      </x:c>
      <x:c r="O84" s="5" t="n">
        <x:v>2022</x:v>
      </x:c>
      <x:c r="P84" s="5"/>
      <x:c r="Q84" s="21" t="s">
        <x:v>67</x:v>
      </x:c>
      <x:c r="R84" s="21" t="s">
        <x:v>191</x:v>
      </x:c>
      <x:c r="S84" s="18"/>
      <x:c r="T84" s="9"/>
      <x:c r="U84" s="9"/>
      <x:c r="V84" s="74">
        <x:v>-2.0963539999999998</x:v>
      </x:c>
      <x:c r="W84" s="9">
        <x:v>106.08517500000001</x:v>
      </x:c>
      <x:c r="X84" s="9"/>
      <x:c r="Y84" s="52"/>
      <x:c r="Z84" s="27"/>
      <x:c r="AA84" s="42"/>
      <x:c r="AB84" s="79"/>
      <x:c r="AC84" s="45"/>
      <x:c r="AD84">
        <x:f t="shared" si="2"/>
        <x:v>1</x:v>
      </x:c>
      <x:c r="AE84">
        <x:f t="shared" si="3"/>
        <x:v>0.95180722891566261</x:v>
      </x:c>
    </x:row>
    <x:row r="85">
      <x:c r="A85" s="29" t="s">
        <x:v>253</x:v>
      </x:c>
      <x:c r="B85" s="9" t="s">
        <x:v>254</x:v>
      </x:c>
      <x:c r="C85" s="5" t="s">
        <x:v>63</x:v>
      </x:c>
      <x:c r="D85" s="9" t="s">
        <x:v>64</x:v>
      </x:c>
      <x:c r="E85" s="9" t="s">
        <x:v>73</x:v>
      </x:c>
      <x:c r="F85" s="5" t="str">
        <x:v>Jl. Jalur Dua</x:v>
      </x:c>
      <x:c r="G85" s="5" t="str">
        <x:v>PT. WANGKA WIJAYA PROPERTY</x:v>
      </x:c>
      <x:c r="H85" s="15" t="str">
        <x:v>Ery Wahyudi</x:v>
      </x:c>
      <x:c r="I85" s="15" t="str">
        <x:v>Real Estate Indonesia (REI)</x:v>
      </x:c>
      <x:c r="J85" s="5" t="n">
        <x:v>2022</x:v>
      </x:c>
      <x:c r="K85" s="15">
        <x:v>97</x:v>
      </x:c>
      <x:c r="L85" s="9">
        <x:v>97</x:v>
      </x:c>
      <x:c r="M85" s="15">
        <x:v>97</x:v>
      </x:c>
      <x:c r="N85" s="15" t="s">
        <x:v>78</x:v>
      </x:c>
      <x:c r="O85" s="5"/>
      <x:c r="P85" s="5"/>
      <x:c r="Q85" s="21" t="s">
        <x:v>97</x:v>
      </x:c>
      <x:c r="R85" s="21"/>
      <x:c r="S85" s="18"/>
      <x:c r="T85" s="9"/>
      <x:c r="U85" s="9"/>
      <x:c r="V85" s="74">
        <x:v>-2.1202122999999999</x:v>
      </x:c>
      <x:c r="W85" s="9">
        <x:v>106.0750427</x:v>
      </x:c>
      <x:c r="X85" s="9"/>
      <x:c r="Y85" s="52"/>
      <x:c r="Z85" s="27"/>
      <x:c r="AA85" s="42"/>
      <x:c r="AB85" s="79"/>
      <x:c r="AC85" s="45"/>
      <x:c r="AD85" t="n">
        <x:f t="shared" ref="AD85:AD107" si="4">IF(A85="","",IFERROR(L85/K85,0))</x:f>
        <x:v>1</x:v>
      </x:c>
      <x:c r="AE85" t="n">
        <x:f t="shared" ref="AE85:AE107" si="5">IF(A85="","",IFERROR(M85/L85,0))</x:f>
        <x:v>1</x:v>
      </x:c>
    </x:row>
    <x:row r="86">
      <x:c r="A86" s="29" t="s">
        <x:v>255</x:v>
      </x:c>
      <x:c r="B86" s="9" t="s">
        <x:v>256</x:v>
      </x:c>
      <x:c r="C86" s="5" t="s">
        <x:v>63</x:v>
      </x:c>
      <x:c r="D86" s="9" t="s">
        <x:v>86</x:v>
      </x:c>
      <x:c r="E86" s="9" t="s">
        <x:v>93</x:v>
      </x:c>
      <x:c r="F86" s="5" t="str">
        <x:v>Jl. Ali Asik II</x:v>
      </x:c>
      <x:c r="G86" s="5" t="str">
        <x:v>PT. WANGKA WIJAYA PROPERTY</x:v>
      </x:c>
      <x:c r="H86" s="15" t="str">
        <x:v>Ery Wahyudi</x:v>
      </x:c>
      <x:c r="I86" s="15" t="str">
        <x:v>Real Estate Indonesia (REI)</x:v>
      </x:c>
      <x:c r="J86" s="5" t="n">
        <x:v>2023</x:v>
      </x:c>
      <x:c r="K86" s="15">
        <x:v>97</x:v>
      </x:c>
      <x:c r="L86" s="9">
        <x:v>97</x:v>
      </x:c>
      <x:c r="M86" s="15">
        <x:v>97</x:v>
      </x:c>
      <x:c r="N86" s="15" t="s">
        <x:v>66</x:v>
      </x:c>
      <x:c r="O86" s="5" t="n">
        <x:v>2025</x:v>
      </x:c>
      <x:c r="P86" s="5"/>
      <x:c r="Q86" s="21" t="s">
        <x:v>67</x:v>
      </x:c>
      <x:c r="R86" s="21"/>
      <x:c r="S86" s="18"/>
      <x:c r="T86" s="9"/>
      <x:c r="U86" s="9"/>
      <x:c r="V86" s="74">
        <x:v>-2.0932569999999999</x:v>
      </x:c>
      <x:c r="W86" s="9">
        <x:v>106.09328499999999</x:v>
      </x:c>
      <x:c r="X86" s="9"/>
      <x:c r="Y86" s="52"/>
      <x:c r="Z86" s="27"/>
      <x:c r="AA86" s="42"/>
      <x:c r="AB86" s="79"/>
      <x:c r="AC86" s="45"/>
      <x:c r="AD86">
        <x:f t="shared" si="4"/>
        <x:v>1</x:v>
      </x:c>
      <x:c r="AE86">
        <x:f t="shared" si="5"/>
        <x:v>1</x:v>
      </x:c>
    </x:row>
    <x:row r="87">
      <x:c r="A87" s="29" t="s">
        <x:v>257</x:v>
      </x:c>
      <x:c r="B87" s="9" t="s">
        <x:v>258</x:v>
      </x:c>
      <x:c r="C87" s="5" t="s">
        <x:v>63</x:v>
      </x:c>
      <x:c r="D87" s="9" t="s">
        <x:v>86</x:v>
      </x:c>
      <x:c r="E87" s="9" t="s">
        <x:v>93</x:v>
      </x:c>
      <x:c r="F87" s="5" t="str">
        <x:v>Jl. Ali Asik II</x:v>
      </x:c>
      <x:c r="G87" s="5" t="str">
        <x:v>PT. WANGKA WIJAYA PROPERTY</x:v>
      </x:c>
      <x:c r="H87" s="15" t="str">
        <x:v>Ery Wahyudi</x:v>
      </x:c>
      <x:c r="I87" s="15" t="str">
        <x:v>Real Estate Indonesia (REI)</x:v>
      </x:c>
      <x:c r="J87" s="5" t="n">
        <x:v>2024</x:v>
      </x:c>
      <x:c r="K87" s="15">
        <x:v>128</x:v>
      </x:c>
      <x:c r="L87" s="9">
        <x:v>128</x:v>
      </x:c>
      <x:c r="M87" s="15">
        <x:v>128</x:v>
      </x:c>
      <x:c r="N87" s="15" t="s">
        <x:v>78</x:v>
      </x:c>
      <x:c r="O87" s="5"/>
      <x:c r="P87" s="5"/>
      <x:c r="Q87" s="21" t="s">
        <x:v>67</x:v>
      </x:c>
      <x:c r="R87" s="21" t="s">
        <x:v>108</x:v>
      </x:c>
      <x:c r="S87" s="18"/>
      <x:c r="T87" s="9"/>
      <x:c r="U87" s="9"/>
      <x:c r="V87" s="74">
        <x:v>-2.0918890000000001</x:v>
      </x:c>
      <x:c r="W87" s="9">
        <x:v>106.09471600000001</x:v>
      </x:c>
      <x:c r="X87" s="9"/>
      <x:c r="Y87" s="52"/>
      <x:c r="Z87" s="27"/>
      <x:c r="AA87" s="42"/>
      <x:c r="AB87" s="79"/>
      <x:c r="AC87" s="45"/>
      <x:c r="AD87">
        <x:f t="shared" si="4"/>
        <x:v>1</x:v>
      </x:c>
      <x:c r="AE87">
        <x:f t="shared" si="5"/>
        <x:v>1</x:v>
      </x:c>
    </x:row>
    <x:row r="88">
      <x:c r="A88" s="29" t="s">
        <x:v>259</x:v>
      </x:c>
      <x:c r="B88" s="9" t="s">
        <x:v>260</x:v>
      </x:c>
      <x:c r="C88" s="5" t="s">
        <x:v>63</x:v>
      </x:c>
      <x:c r="D88" s="9" t="s">
        <x:v>104</x:v>
      </x:c>
      <x:c r="E88" s="9" t="s">
        <x:v>209</x:v>
      </x:c>
      <x:c r="F88" s="5" t="str">
        <x:v>Gg. Mirah Delima</x:v>
      </x:c>
      <x:c r="G88" s="5" t="str">
        <x:v>PT.INDO BANGKA PROPERTY</x:v>
      </x:c>
      <x:c r="H88" s="15" t="str">
        <x:v>Munawir</x:v>
      </x:c>
      <x:c r="I88" s="15" t="str">
        <x:v>Belum Teridentifikasi</x:v>
      </x:c>
      <x:c r="J88" s="5" t="n">
        <x:v>2017</x:v>
      </x:c>
      <x:c r="K88" s="15">
        <x:v>48</x:v>
      </x:c>
      <x:c r="L88" s="9">
        <x:v>48</x:v>
      </x:c>
      <x:c r="M88" s="15">
        <x:v>48</x:v>
      </x:c>
      <x:c r="N88" s="15" t="s">
        <x:v>78</x:v>
      </x:c>
      <x:c r="O88" s="5"/>
      <x:c r="P88" s="5"/>
      <x:c r="Q88" s="21" t="s">
        <x:v>67</x:v>
      </x:c>
      <x:c r="R88" s="21"/>
      <x:c r="S88" s="18"/>
      <x:c r="T88" s="9"/>
      <x:c r="U88" s="9"/>
      <x:c r="V88" s="74"/>
      <x:c r="W88" s="9"/>
      <x:c r="X88" s="9"/>
      <x:c r="Y88" s="52"/>
      <x:c r="Z88" s="27"/>
      <x:c r="AA88" s="42"/>
      <x:c r="AB88" s="79"/>
      <x:c r="AC88" s="45"/>
      <x:c r="AD88">
        <x:f t="shared" si="4"/>
        <x:v>1</x:v>
      </x:c>
      <x:c r="AE88">
        <x:f t="shared" si="5"/>
        <x:v>1</x:v>
      </x:c>
    </x:row>
    <x:row r="89">
      <x:c r="A89" s="29" t="s">
        <x:v>261</x:v>
      </x:c>
      <x:c r="B89" s="9" t="s">
        <x:v>262</x:v>
      </x:c>
      <x:c r="C89" s="5" t="s">
        <x:v>63</x:v>
      </x:c>
      <x:c r="D89" s="9" t="s">
        <x:v>64</x:v>
      </x:c>
      <x:c r="E89" s="9" t="s">
        <x:v>152</x:v>
      </x:c>
      <x:c r="F89" s="5" t="str">
        <x:v>Gg. Vanila</x:v>
      </x:c>
      <x:c r="G89" s="5" t="str">
        <x:v>Belum Teridentifikasi</x:v>
      </x:c>
      <x:c r="H89" s="15" t="str">
        <x:v>Belum Teridentifikasi</x:v>
      </x:c>
      <x:c r="I89" s="15" t="str">
        <x:v>Belum Teridentifikasi</x:v>
      </x:c>
      <x:c r="J89" s="5"/>
      <x:c r="K89" s="15">
        <x:v>12</x:v>
      </x:c>
      <x:c r="L89" s="9">
        <x:v>12</x:v>
      </x:c>
      <x:c r="M89" s="15">
        <x:v>12</x:v>
      </x:c>
      <x:c r="N89" s="15" t="s">
        <x:v>78</x:v>
      </x:c>
      <x:c r="O89" s="5"/>
      <x:c r="P89" s="5"/>
      <x:c r="Q89" s="21" t="s">
        <x:v>67</x:v>
      </x:c>
      <x:c r="R89" s="21"/>
      <x:c r="S89" s="18"/>
      <x:c r="T89" s="9"/>
      <x:c r="U89" s="9"/>
      <x:c r="V89" s="74">
        <x:v>-2.106166</x:v>
      </x:c>
      <x:c r="W89" s="9">
        <x:v>106.092079</x:v>
      </x:c>
      <x:c r="X89" s="9"/>
      <x:c r="Y89" s="52"/>
      <x:c r="Z89" s="27"/>
      <x:c r="AA89" s="42"/>
      <x:c r="AB89" s="79"/>
      <x:c r="AC89" s="45"/>
      <x:c r="AD89">
        <x:f t="shared" si="4"/>
        <x:v>1</x:v>
      </x:c>
      <x:c r="AE89">
        <x:f t="shared" si="5"/>
        <x:v>1</x:v>
      </x:c>
    </x:row>
    <x:row r="90">
      <x:c r="A90" s="29" t="s">
        <x:v>263</x:v>
      </x:c>
      <x:c r="B90" s="9" t="s">
        <x:v>264</x:v>
      </x:c>
      <x:c r="C90" s="5" t="s">
        <x:v>179</x:v>
      </x:c>
      <x:c r="D90" s="9" t="s">
        <x:v>104</x:v>
      </x:c>
      <x:c r="E90" s="9" t="s">
        <x:v>209</x:v>
      </x:c>
      <x:c r="F90" s="5" t="str">
        <x:v>Jl. Alexander</x:v>
      </x:c>
      <x:c r="G90" s="5" t="str">
        <x:v>PT. CIPUTRA SUKSES PROPERTY</x:v>
      </x:c>
      <x:c r="H90" s="15" t="str">
        <x:v>Belum Teridentifikasi</x:v>
      </x:c>
      <x:c r="I90" s="15" t="str">
        <x:v>Belum Teridentifikasi</x:v>
      </x:c>
      <x:c r="J90" s="5" t="n">
        <x:v>2019</x:v>
      </x:c>
      <x:c r="K90" s="15">
        <x:v>339</x:v>
      </x:c>
      <x:c r="L90" s="9">
        <x:v>239</x:v>
      </x:c>
      <x:c r="M90" s="15">
        <x:v>134</x:v>
      </x:c>
      <x:c r="N90" s="15" t="s">
        <x:v>78</x:v>
      </x:c>
      <x:c r="O90" s="5"/>
      <x:c r="P90" s="5"/>
      <x:c r="Q90" s="21" t="s">
        <x:v>94</x:v>
      </x:c>
      <x:c r="R90" s="21"/>
      <x:c r="S90" s="18"/>
      <x:c r="T90" s="9"/>
      <x:c r="U90" s="9"/>
      <x:c r="V90" s="74">
        <x:v>-2.1276793999999999</x:v>
      </x:c>
      <x:c r="W90" s="9">
        <x:v>106.1520824</x:v>
      </x:c>
      <x:c r="X90" s="9"/>
      <x:c r="Y90" s="52"/>
      <x:c r="Z90" s="27"/>
      <x:c r="AA90" s="42"/>
      <x:c r="AB90" s="79"/>
      <x:c r="AC90" s="45"/>
      <x:c r="AD90">
        <x:f t="shared" si="4"/>
        <x:v>0.70501474926253682</x:v>
      </x:c>
      <x:c r="AE90">
        <x:f t="shared" si="5"/>
        <x:v>0.56066945606694563</x:v>
      </x:c>
    </x:row>
    <x:row r="91">
      <x:c r="A91" s="29" t="s">
        <x:v>265</x:v>
      </x:c>
      <x:c r="B91" s="9" t="s">
        <x:v>266</x:v>
      </x:c>
      <x:c r="C91" s="5" t="s">
        <x:v>179</x:v>
      </x:c>
      <x:c r="D91" s="9" t="s">
        <x:v>64</x:v>
      </x:c>
      <x:c r="E91" s="9" t="s">
        <x:v>194</x:v>
      </x:c>
      <x:c r="F91" s="5" t="str">
        <x:v>Jl. Kampung Melayu</x:v>
      </x:c>
      <x:c r="G91" s="5" t="str">
        <x:v>PT. BESTINDO PROPERTY</x:v>
      </x:c>
      <x:c r="H91" s="15" t="str">
        <x:v>Ir. Thomas Jusman, MM</x:v>
      </x:c>
      <x:c r="I91" s="15" t="str">
        <x:v>Real Estate Indonesia (REI)</x:v>
      </x:c>
      <x:c r="J91" s="5" t="n">
        <x:v>2021</x:v>
      </x:c>
      <x:c r="K91" s="15">
        <x:v>20</x:v>
      </x:c>
      <x:c r="L91" s="9">
        <x:v>16</x:v>
      </x:c>
      <x:c r="M91" s="15">
        <x:v>16</x:v>
      </x:c>
      <x:c r="N91" s="15" t="s">
        <x:v>78</x:v>
      </x:c>
      <x:c r="O91" s="5"/>
      <x:c r="P91" s="5"/>
      <x:c r="Q91" s="21" t="s">
        <x:v>67</x:v>
      </x:c>
      <x:c r="R91" s="21"/>
      <x:c r="S91" s="18"/>
      <x:c r="T91" s="9"/>
      <x:c r="U91" s="9"/>
      <x:c r="V91" s="74">
        <x:v>-2.1150597000000002</x:v>
      </x:c>
      <x:c r="W91" s="9">
        <x:v>106.08923830000001</x:v>
      </x:c>
      <x:c r="X91" s="9"/>
      <x:c r="Y91" s="52"/>
      <x:c r="Z91" s="27"/>
      <x:c r="AA91" s="42"/>
      <x:c r="AB91" s="79"/>
      <x:c r="AC91" s="45"/>
      <x:c r="AD91">
        <x:f t="shared" si="4"/>
        <x:v>0.8</x:v>
      </x:c>
      <x:c r="AE91">
        <x:f t="shared" si="5"/>
        <x:v>1</x:v>
      </x:c>
    </x:row>
    <x:row r="92">
      <x:c r="A92" s="29" t="s">
        <x:v>267</x:v>
      </x:c>
      <x:c r="B92" s="9" t="s">
        <x:v>268</x:v>
      </x:c>
      <x:c r="C92" s="5" t="s">
        <x:v>111</x:v>
      </x:c>
      <x:c r="D92" s="9" t="s">
        <x:v>104</x:v>
      </x:c>
      <x:c r="E92" s="9" t="s">
        <x:v>105</x:v>
      </x:c>
      <x:c r="F92" s="5" t="str">
        <x:v>Jl. Nilam II</x:v>
      </x:c>
      <x:c r="G92" s="5" t="str">
        <x:v>PT.BANGKA DAMAI LESTARI</x:v>
      </x:c>
      <x:c r="H92" s="15" t="str">
        <x:v>Rince</x:v>
      </x:c>
      <x:c r="I92" s="15" t="str">
        <x:v>Real Estate Indonesia (REI)</x:v>
      </x:c>
      <x:c r="J92" s="5" t="n">
        <x:v>2018</x:v>
      </x:c>
      <x:c r="K92" s="15">
        <x:v>168</x:v>
      </x:c>
      <x:c r="L92" s="9">
        <x:v>168</x:v>
      </x:c>
      <x:c r="M92" s="15">
        <x:v>157</x:v>
      </x:c>
      <x:c r="N92" s="15" t="s">
        <x:v>66</x:v>
      </x:c>
      <x:c r="O92" s="5" t="n">
        <x:v>2020</x:v>
      </x:c>
      <x:c r="P92" s="5"/>
      <x:c r="Q92" s="21" t="s">
        <x:v>94</x:v>
      </x:c>
      <x:c r="R92" s="21"/>
      <x:c r="S92" s="18"/>
      <x:c r="T92" s="9"/>
      <x:c r="U92" s="9"/>
      <x:c r="V92" s="74">
        <x:v>-2.1409722000000002</x:v>
      </x:c>
      <x:c r="W92" s="9">
        <x:v>106.1375556</x:v>
      </x:c>
      <x:c r="X92" s="9"/>
      <x:c r="Y92" s="52"/>
      <x:c r="Z92" s="27"/>
      <x:c r="AA92" s="42"/>
      <x:c r="AB92" s="79"/>
      <x:c r="AC92" s="45"/>
      <x:c r="AD92">
        <x:f t="shared" si="4"/>
        <x:v>1</x:v>
      </x:c>
      <x:c r="AE92">
        <x:f t="shared" si="5"/>
        <x:v>0.93452380952380953</x:v>
      </x:c>
    </x:row>
    <x:row r="93">
      <x:c r="A93" s="29" t="s">
        <x:v>269</x:v>
      </x:c>
      <x:c r="B93" s="9" t="s">
        <x:v>270</x:v>
      </x:c>
      <x:c r="C93" s="5" t="s">
        <x:v>63</x:v>
      </x:c>
      <x:c r="D93" s="9" t="s">
        <x:v>104</x:v>
      </x:c>
      <x:c r="E93" s="9" t="s">
        <x:v>141</x:v>
      </x:c>
      <x:c r="F93" s="5" t="str">
        <x:v>Jl. Tanjung Bunga</x:v>
      </x:c>
      <x:c r="G93" s="5" t="str">
        <x:v>PT.BANGKA DAMAI LESTARI</x:v>
      </x:c>
      <x:c r="H93" s="15" t="str">
        <x:v>Rince</x:v>
      </x:c>
      <x:c r="I93" s="15" t="str">
        <x:v>Real Estate Indonesia (REI)</x:v>
      </x:c>
      <x:c r="J93" s="5" t="n">
        <x:v>2016</x:v>
      </x:c>
      <x:c r="K93" s="15">
        <x:v>147</x:v>
      </x:c>
      <x:c r="L93" s="9">
        <x:v>147</x:v>
      </x:c>
      <x:c r="M93" s="15">
        <x:v>147</x:v>
      </x:c>
      <x:c r="N93" s="15" t="s">
        <x:v>66</x:v>
      </x:c>
      <x:c r="O93" s="5" t="n">
        <x:v>2020</x:v>
      </x:c>
      <x:c r="P93" s="5"/>
      <x:c r="Q93" s="21" t="s">
        <x:v>94</x:v>
      </x:c>
      <x:c r="R93" s="21" t="s">
        <x:v>81</x:v>
      </x:c>
      <x:c r="S93" s="18"/>
      <x:c r="T93" s="9"/>
      <x:c r="U93" s="9"/>
      <x:c r="V93" s="74">
        <x:v>-2.1399853000000002</x:v>
      </x:c>
      <x:c r="W93" s="9">
        <x:v>106.165569</x:v>
      </x:c>
      <x:c r="X93" s="9"/>
      <x:c r="Y93" s="52"/>
      <x:c r="Z93" s="27"/>
      <x:c r="AA93" s="42"/>
      <x:c r="AB93" s="79"/>
      <x:c r="AC93" s="45"/>
      <x:c r="AD93">
        <x:f t="shared" si="4"/>
        <x:v>1</x:v>
      </x:c>
      <x:c r="AE93">
        <x:f t="shared" si="5"/>
        <x:v>1</x:v>
      </x:c>
    </x:row>
    <x:row r="94">
      <x:c r="A94" s="29" t="s">
        <x:v>271</x:v>
      </x:c>
      <x:c r="B94" s="9" t="s">
        <x:v>272</x:v>
      </x:c>
      <x:c r="C94" s="5" t="s">
        <x:v>63</x:v>
      </x:c>
      <x:c r="D94" s="9" t="s">
        <x:v>104</x:v>
      </x:c>
      <x:c r="E94" s="9" t="s">
        <x:v>141</x:v>
      </x:c>
      <x:c r="F94" s="5" t="str">
        <x:v>Jl. Tanjung Bunga</x:v>
      </x:c>
      <x:c r="G94" s="5" t="str">
        <x:v>PT.BANGKA DAMAI LESTARI</x:v>
      </x:c>
      <x:c r="H94" s="15" t="str">
        <x:v>Rince</x:v>
      </x:c>
      <x:c r="I94" s="15" t="str">
        <x:v>Real Estate Indonesia (REI)</x:v>
      </x:c>
      <x:c r="J94" s="5" t="n">
        <x:v>2020</x:v>
      </x:c>
      <x:c r="K94" s="15">
        <x:v>43</x:v>
      </x:c>
      <x:c r="L94" s="9">
        <x:v>43</x:v>
      </x:c>
      <x:c r="M94" s="15">
        <x:v>36</x:v>
      </x:c>
      <x:c r="N94" s="15" t="s">
        <x:v>66</x:v>
      </x:c>
      <x:c r="O94" s="5" t="n">
        <x:v>2021</x:v>
      </x:c>
      <x:c r="P94" s="5"/>
      <x:c r="Q94" s="21" t="s">
        <x:v>94</x:v>
      </x:c>
      <x:c r="R94" s="21" t="s">
        <x:v>81</x:v>
      </x:c>
      <x:c r="S94" s="18"/>
      <x:c r="T94" s="9" t="s">
        <x:v>68</x:v>
      </x:c>
      <x:c r="U94" s="9"/>
      <x:c r="V94" s="74">
        <x:v>-2.1399853000000002</x:v>
      </x:c>
      <x:c r="W94" s="9">
        <x:v>106.1655691</x:v>
      </x:c>
      <x:c r="X94" s="9"/>
      <x:c r="Y94" s="52"/>
      <x:c r="Z94" s="27"/>
      <x:c r="AA94" s="42"/>
      <x:c r="AB94" s="79"/>
      <x:c r="AC94" s="45"/>
      <x:c r="AD94">
        <x:f t="shared" si="4"/>
        <x:v>1</x:v>
      </x:c>
      <x:c r="AE94">
        <x:f t="shared" si="5"/>
        <x:v>0.83720930232558144</x:v>
      </x:c>
    </x:row>
    <x:row r="95">
      <x:c r="A95" s="29" t="s">
        <x:v>273</x:v>
      </x:c>
      <x:c r="B95" s="9" t="s">
        <x:v>274</x:v>
      </x:c>
      <x:c r="C95" s="5" t="s">
        <x:v>63</x:v>
      </x:c>
      <x:c r="D95" s="9" t="s">
        <x:v>86</x:v>
      </x:c>
      <x:c r="E95" s="9" t="s">
        <x:v>275</x:v>
      </x:c>
      <x:c r="F95" s="5" t="str">
        <x:v>Jl. Kartini</x:v>
      </x:c>
      <x:c r="G95" s="5" t="str">
        <x:v>PT. BANGKA DAMAI LESTARI</x:v>
      </x:c>
      <x:c r="H95" s="15" t="str">
        <x:v>Rince</x:v>
      </x:c>
      <x:c r="I95" s="15" t="str">
        <x:v>Real Estate Indonesia (REI)</x:v>
      </x:c>
      <x:c r="J95" s="5" t="n">
        <x:v>2021</x:v>
      </x:c>
      <x:c r="K95" s="15">
        <x:v>92</x:v>
      </x:c>
      <x:c r="L95" s="9">
        <x:v>92</x:v>
      </x:c>
      <x:c r="M95" s="15">
        <x:v>92</x:v>
      </x:c>
      <x:c r="N95" s="15" t="s">
        <x:v>78</x:v>
      </x:c>
      <x:c r="O95" s="5"/>
      <x:c r="P95" s="5"/>
      <x:c r="Q95" s="21" t="s">
        <x:v>67</x:v>
      </x:c>
      <x:c r="R95" s="21"/>
      <x:c r="S95" s="18"/>
      <x:c r="T95" s="9" t="s">
        <x:v>68</x:v>
      </x:c>
      <x:c r="U95" s="9"/>
      <x:c r="V95" s="74">
        <x:v>-2.0881560000000001</x:v>
      </x:c>
      <x:c r="W95" s="9">
        <x:v>106.11421300000001</x:v>
      </x:c>
      <x:c r="X95" s="9"/>
      <x:c r="Y95" s="52"/>
      <x:c r="Z95" s="27"/>
      <x:c r="AA95" s="42"/>
      <x:c r="AB95" s="79"/>
      <x:c r="AC95" s="45"/>
      <x:c r="AD95">
        <x:f t="shared" si="4"/>
        <x:v>1</x:v>
      </x:c>
      <x:c r="AE95">
        <x:f t="shared" si="5"/>
        <x:v>1</x:v>
      </x:c>
    </x:row>
    <x:row r="96">
      <x:c r="A96" s="29" t="s">
        <x:v>276</x:v>
      </x:c>
      <x:c r="B96" s="9" t="s">
        <x:v>277</x:v>
      </x:c>
      <x:c r="C96" s="5" t="s">
        <x:v>63</x:v>
      </x:c>
      <x:c r="D96" s="9" t="s">
        <x:v>86</x:v>
      </x:c>
      <x:c r="E96" s="9" t="s">
        <x:v>275</x:v>
      </x:c>
      <x:c r="F96" s="5" t="str">
        <x:v>Jl. Kartini</x:v>
      </x:c>
      <x:c r="G96" s="5" t="str">
        <x:v>PT. BANGKA DAMAI LESTARI</x:v>
      </x:c>
      <x:c r="H96" s="15" t="str">
        <x:v>Rince</x:v>
      </x:c>
      <x:c r="I96" s="15" t="str">
        <x:v>Real Estate Indonesia (REI)</x:v>
      </x:c>
      <x:c r="J96" s="5" t="n">
        <x:v>2024</x:v>
      </x:c>
      <x:c r="K96" s="15">
        <x:v>69</x:v>
      </x:c>
      <x:c r="L96" s="9">
        <x:v>0</x:v>
      </x:c>
      <x:c r="M96" s="15">
        <x:v>0</x:v>
      </x:c>
      <x:c r="N96" s="15" t="s">
        <x:v>78</x:v>
      </x:c>
      <x:c r="O96" s="5"/>
      <x:c r="P96" s="5"/>
      <x:c r="Q96" s="21" t="s">
        <x:v>67</x:v>
      </x:c>
      <x:c r="R96" s="21"/>
      <x:c r="S96" s="18"/>
      <x:c r="T96" s="9"/>
      <x:c r="U96" s="9"/>
      <x:c r="V96" s="74">
        <x:v>-2.0873370000000002</x:v>
      </x:c>
      <x:c r="W96" s="9">
        <x:v>106.115123</x:v>
      </x:c>
      <x:c r="X96" s="9"/>
      <x:c r="Y96" s="52"/>
      <x:c r="Z96" s="27"/>
      <x:c r="AA96" s="42"/>
      <x:c r="AB96" s="79"/>
      <x:c r="AC96" s="45"/>
      <x:c r="AD96">
        <x:f t="shared" si="4"/>
        <x:v>0</x:v>
      </x:c>
      <x:c r="AE96">
        <x:f t="shared" si="5"/>
        <x:v>0</x:v>
      </x:c>
    </x:row>
    <x:row r="97">
      <x:c r="A97" s="29" t="s">
        <x:v>278</x:v>
      </x:c>
      <x:c r="B97" s="9" t="s">
        <x:v>279</x:v>
      </x:c>
      <x:c r="C97" s="5" t="s">
        <x:v>63</x:v>
      </x:c>
      <x:c r="D97" s="9" t="s">
        <x:v>104</x:v>
      </x:c>
      <x:c r="E97" s="9" t="s">
        <x:v>141</x:v>
      </x:c>
      <x:c r="F97" s="5" t="str">
        <x:v>Jl. Raya Pasir Padi</x:v>
      </x:c>
      <x:c r="G97" s="5" t="str">
        <x:v>PT.BANGKA DAMAI LESTARI</x:v>
      </x:c>
      <x:c r="H97" s="15" t="str">
        <x:v>Rince</x:v>
      </x:c>
      <x:c r="I97" s="15" t="str">
        <x:v>Real Estate Indonesia (REI)</x:v>
      </x:c>
      <x:c r="J97" s="5" t="n">
        <x:v>2019</x:v>
      </x:c>
      <x:c r="K97" s="15">
        <x:v>98</x:v>
      </x:c>
      <x:c r="L97" s="9">
        <x:v>90</x:v>
      </x:c>
      <x:c r="M97" s="15">
        <x:v>84</x:v>
      </x:c>
      <x:c r="N97" s="15" t="s">
        <x:v>66</x:v>
      </x:c>
      <x:c r="O97" s="5" t="n">
        <x:v>2021</x:v>
      </x:c>
      <x:c r="P97" s="5"/>
      <x:c r="Q97" s="21" t="s">
        <x:v>67</x:v>
      </x:c>
      <x:c r="R97" s="21"/>
      <x:c r="S97" s="18"/>
      <x:c r="T97" s="9"/>
      <x:c r="U97" s="9"/>
      <x:c r="V97" s="74">
        <x:v>-2.1327805999999998</x:v>
      </x:c>
      <x:c r="W97" s="9">
        <x:v>106.16383949999999</x:v>
      </x:c>
      <x:c r="X97" s="9"/>
      <x:c r="Y97" s="52"/>
      <x:c r="Z97" s="27"/>
      <x:c r="AA97" s="42"/>
      <x:c r="AB97" s="79"/>
      <x:c r="AC97" s="45"/>
      <x:c r="AD97">
        <x:f t="shared" si="4"/>
        <x:v>0.91836734693877553</x:v>
      </x:c>
      <x:c r="AE97">
        <x:f t="shared" si="5"/>
        <x:v>0.93333333333333335</x:v>
      </x:c>
    </x:row>
    <x:row r="98">
      <x:c r="A98" s="29" t="s">
        <x:v>280</x:v>
      </x:c>
      <x:c r="B98" s="9" t="s">
        <x:v>281</x:v>
      </x:c>
      <x:c r="C98" s="5" t="s">
        <x:v>63</x:v>
      </x:c>
      <x:c r="D98" s="9" t="s">
        <x:v>104</x:v>
      </x:c>
      <x:c r="E98" s="9" t="s">
        <x:v>141</x:v>
      </x:c>
      <x:c r="F98" s="5" t="str">
        <x:v>Jl. Raya Pasir Padi</x:v>
      </x:c>
      <x:c r="G98" s="5" t="str">
        <x:v>PT.BANGKA DAMAI LESTARI</x:v>
      </x:c>
      <x:c r="H98" s="15" t="str">
        <x:v>Rince</x:v>
      </x:c>
      <x:c r="I98" s="15" t="str">
        <x:v>Real Estate Indonesia (REI)</x:v>
      </x:c>
      <x:c r="J98" s="5" t="n">
        <x:v>2019</x:v>
      </x:c>
      <x:c r="K98" s="15">
        <x:v>139</x:v>
      </x:c>
      <x:c r="L98" s="9">
        <x:v>139</x:v>
      </x:c>
      <x:c r="M98" s="15">
        <x:v>136</x:v>
      </x:c>
      <x:c r="N98" s="15" t="s">
        <x:v>66</x:v>
      </x:c>
      <x:c r="O98" s="5" t="n">
        <x:v>2023</x:v>
      </x:c>
      <x:c r="P98" s="5"/>
      <x:c r="Q98" s="21" t="s">
        <x:v>67</x:v>
      </x:c>
      <x:c r="R98" s="21"/>
      <x:c r="S98" s="18"/>
      <x:c r="T98" s="9"/>
      <x:c r="U98" s="9"/>
      <x:c r="V98" s="74">
        <x:v>-2.1327805999999998</x:v>
      </x:c>
      <x:c r="W98" s="9">
        <x:v>106.1638396</x:v>
      </x:c>
      <x:c r="X98" s="9"/>
      <x:c r="Y98" s="52"/>
      <x:c r="Z98" s="27"/>
      <x:c r="AA98" s="42"/>
      <x:c r="AB98" s="79"/>
      <x:c r="AC98" s="45"/>
      <x:c r="AD98">
        <x:f t="shared" si="4"/>
        <x:v>1</x:v>
      </x:c>
      <x:c r="AE98">
        <x:f t="shared" si="5"/>
        <x:v>0.97841726618705038</x:v>
      </x:c>
    </x:row>
    <x:row r="99">
      <x:c r="A99" s="29" t="s">
        <x:v>282</x:v>
      </x:c>
      <x:c r="B99" s="9" t="s">
        <x:v>283</x:v>
      </x:c>
      <x:c r="C99" s="5" t="s">
        <x:v>63</x:v>
      </x:c>
      <x:c r="D99" s="9" t="s">
        <x:v>64</x:v>
      </x:c>
      <x:c r="E99" s="9" t="s">
        <x:v>65</x:v>
      </x:c>
      <x:c r="F99" s="5" t="str">
        <x:v>Jl. Kulan Kampak</x:v>
      </x:c>
      <x:c r="G99" s="5" t="str">
        <x:v>PT.BANGKA DAMAI LESTARI</x:v>
      </x:c>
      <x:c r="H99" s="15" t="str">
        <x:v>Rince</x:v>
      </x:c>
      <x:c r="I99" s="15" t="str">
        <x:v>Real Estate Indonesia (REI)</x:v>
      </x:c>
      <x:c r="J99" s="5" t="n">
        <x:v>2021</x:v>
      </x:c>
      <x:c r="K99" s="15">
        <x:v>112</x:v>
      </x:c>
      <x:c r="L99" s="9">
        <x:v>90</x:v>
      </x:c>
      <x:c r="M99" s="15">
        <x:v>90</x:v>
      </x:c>
      <x:c r="N99" s="15" t="s">
        <x:v>78</x:v>
      </x:c>
      <x:c r="O99" s="5"/>
      <x:c r="P99" s="5"/>
      <x:c r="Q99" s="21" t="s">
        <x:v>67</x:v>
      </x:c>
      <x:c r="R99" s="21" t="s">
        <x:v>108</x:v>
      </x:c>
      <x:c r="S99" s="18"/>
      <x:c r="T99" s="9" t="s">
        <x:v>68</x:v>
      </x:c>
      <x:c r="U99" s="9"/>
      <x:c r="V99" s="74">
        <x:v>-2.099383</x:v>
      </x:c>
      <x:c r="W99" s="9">
        <x:v>106.0753648</x:v>
      </x:c>
      <x:c r="X99" s="9"/>
      <x:c r="Y99" s="52"/>
      <x:c r="Z99" s="27"/>
      <x:c r="AA99" s="42"/>
      <x:c r="AB99" s="79"/>
      <x:c r="AC99" s="45"/>
      <x:c r="AD99">
        <x:f t="shared" si="4"/>
        <x:v>0.8035714285714286</x:v>
      </x:c>
      <x:c r="AE99">
        <x:f t="shared" si="5"/>
        <x:v>1</x:v>
      </x:c>
    </x:row>
    <x:row r="100">
      <x:c r="A100" s="29" t="s">
        <x:v>284</x:v>
      </x:c>
      <x:c r="B100" s="9" t="s">
        <x:v>285</x:v>
      </x:c>
      <x:c r="C100" s="5" t="s">
        <x:v>63</x:v>
      </x:c>
      <x:c r="D100" s="9" t="s">
        <x:v>64</x:v>
      </x:c>
      <x:c r="E100" s="9" t="s">
        <x:v>65</x:v>
      </x:c>
      <x:c r="F100" s="5" t="str">
        <x:v>Jl. Kampak Serasi</x:v>
      </x:c>
      <x:c r="G100" s="5" t="str">
        <x:v>PT.BANGKA DAMAI LESTARI</x:v>
      </x:c>
      <x:c r="H100" s="15" t="str">
        <x:v>Rince</x:v>
      </x:c>
      <x:c r="I100" s="15" t="str">
        <x:v>Real Estate Indonesia (REI)</x:v>
      </x:c>
      <x:c r="J100" s="5" t="n">
        <x:v>2024</x:v>
      </x:c>
      <x:c r="K100" s="15">
        <x:v>71</x:v>
      </x:c>
      <x:c r="L100" s="9">
        <x:v>12</x:v>
      </x:c>
      <x:c r="M100" s="15">
        <x:v>0</x:v>
      </x:c>
      <x:c r="N100" s="15" t="s">
        <x:v>78</x:v>
      </x:c>
      <x:c r="O100" s="5"/>
      <x:c r="P100" s="5"/>
      <x:c r="Q100" s="21" t="s">
        <x:v>67</x:v>
      </x:c>
      <x:c r="R100" s="21" t="s">
        <x:v>108</x:v>
      </x:c>
      <x:c r="S100" s="18"/>
      <x:c r="T100" s="9" t="s">
        <x:v>68</x:v>
      </x:c>
      <x:c r="U100" s="9"/>
      <x:c r="V100" s="74">
        <x:v>-2.0993406999999999</x:v>
      </x:c>
      <x:c r="W100" s="9">
        <x:v>106.07502890000001</x:v>
      </x:c>
      <x:c r="X100" s="9"/>
      <x:c r="Y100" s="52"/>
      <x:c r="Z100" s="27"/>
      <x:c r="AA100" s="42"/>
      <x:c r="AB100" s="79"/>
      <x:c r="AC100" s="45"/>
      <x:c r="AD100">
        <x:f t="shared" si="4"/>
        <x:v>0.16901408450704225</x:v>
      </x:c>
      <x:c r="AE100">
        <x:f t="shared" si="5"/>
        <x:v>0</x:v>
      </x:c>
    </x:row>
    <x:row r="101">
      <x:c r="A101" s="29" t="s">
        <x:v>286</x:v>
      </x:c>
      <x:c r="B101" s="9" t="s">
        <x:v>287</x:v>
      </x:c>
      <x:c r="C101" s="5" t="s">
        <x:v>63</x:v>
      </x:c>
      <x:c r="D101" s="9" t="s">
        <x:v>104</x:v>
      </x:c>
      <x:c r="E101" s="9" t="s">
        <x:v>141</x:v>
      </x:c>
      <x:c r="F101" s="5" t="str">
        <x:v>Jl. Tanjung Bunga 2</x:v>
      </x:c>
      <x:c r="G101" s="5" t="str">
        <x:v>PT. BANGKA DAMAI LESTARI</x:v>
      </x:c>
      <x:c r="H101" s="15" t="str">
        <x:v>Rince</x:v>
      </x:c>
      <x:c r="I101" s="15" t="str">
        <x:v>Real Estate Indonesia (REI)</x:v>
      </x:c>
      <x:c r="J101" s="5" t="n">
        <x:v>2023</x:v>
      </x:c>
      <x:c r="K101" s="15">
        <x:v>133</x:v>
      </x:c>
      <x:c r="L101" s="9">
        <x:v>78</x:v>
      </x:c>
      <x:c r="M101" s="15">
        <x:v>33</x:v>
      </x:c>
      <x:c r="N101" s="15" t="s">
        <x:v>78</x:v>
      </x:c>
      <x:c r="O101" s="5"/>
      <x:c r="P101" s="5"/>
      <x:c r="Q101" s="21" t="s">
        <x:v>67</x:v>
      </x:c>
      <x:c r="R101" s="21" t="s">
        <x:v>108</x:v>
      </x:c>
      <x:c r="S101" s="18"/>
      <x:c r="T101" s="9"/>
      <x:c r="U101" s="9"/>
      <x:c r="V101" s="74">
        <x:v>-2.1267033</x:v>
      </x:c>
      <x:c r="W101" s="9">
        <x:v>106.1668955</x:v>
      </x:c>
      <x:c r="X101" s="9"/>
      <x:c r="Y101" s="52"/>
      <x:c r="Z101" s="27"/>
      <x:c r="AA101" s="42"/>
      <x:c r="AB101" s="79"/>
      <x:c r="AC101" s="45"/>
      <x:c r="AD101">
        <x:f t="shared" si="4"/>
        <x:v>0.5864661654135338</x:v>
      </x:c>
      <x:c r="AE101">
        <x:f t="shared" si="5"/>
        <x:v>0.42307692307692307</x:v>
      </x:c>
    </x:row>
    <x:row r="102">
      <x:c r="A102" s="29" t="s">
        <x:v>288</x:v>
      </x:c>
      <x:c r="B102" s="9" t="s">
        <x:v>289</x:v>
      </x:c>
      <x:c r="C102" s="5" t="s">
        <x:v>63</x:v>
      </x:c>
      <x:c r="D102" s="9" t="s">
        <x:v>104</x:v>
      </x:c>
      <x:c r="E102" s="9" t="s">
        <x:v>141</x:v>
      </x:c>
      <x:c r="F102" s="5" t="str">
        <x:v>Jl. Tanjung Bunga 2</x:v>
      </x:c>
      <x:c r="G102" s="5" t="str">
        <x:v>PT. BANGKA DAMAI LESTARI</x:v>
      </x:c>
      <x:c r="H102" s="15" t="str">
        <x:v>Rince</x:v>
      </x:c>
      <x:c r="I102" s="15" t="str">
        <x:v>Real Estate Indonesia (REI)</x:v>
      </x:c>
      <x:c r="J102" s="5" t="n">
        <x:v>2023</x:v>
      </x:c>
      <x:c r="K102" s="15">
        <x:v>130</x:v>
      </x:c>
      <x:c r="L102" s="9">
        <x:v>46</x:v>
      </x:c>
      <x:c r="M102" s="15">
        <x:v>18</x:v>
      </x:c>
      <x:c r="N102" s="15" t="s">
        <x:v>78</x:v>
      </x:c>
      <x:c r="O102" s="5"/>
      <x:c r="P102" s="5"/>
      <x:c r="Q102" s="21" t="s">
        <x:v>67</x:v>
      </x:c>
      <x:c r="R102" s="21" t="s">
        <x:v>108</x:v>
      </x:c>
      <x:c r="S102" s="18"/>
      <x:c r="T102" s="9"/>
      <x:c r="U102" s="9"/>
      <x:c r="V102" s="74">
        <x:v>-2.1267033</x:v>
      </x:c>
      <x:c r="W102" s="9">
        <x:v>106.1668955</x:v>
      </x:c>
      <x:c r="X102" s="9"/>
      <x:c r="Y102" s="52"/>
      <x:c r="Z102" s="27"/>
      <x:c r="AA102" s="42"/>
      <x:c r="AB102" s="79"/>
      <x:c r="AC102" s="45"/>
      <x:c r="AD102">
        <x:f t="shared" si="4"/>
        <x:v>0.35384615384615387</x:v>
      </x:c>
      <x:c r="AE102">
        <x:f t="shared" si="5"/>
        <x:v>0.39130434782608697</x:v>
      </x:c>
    </x:row>
    <x:row r="103" ht="25">
      <x:c r="A103" s="29" t="s">
        <x:v>290</x:v>
      </x:c>
      <x:c r="B103" s="9" t="s">
        <x:v>291</x:v>
      </x:c>
      <x:c r="C103" s="5" t="s">
        <x:v>63</x:v>
      </x:c>
      <x:c r="D103" s="9" t="s">
        <x:v>64</x:v>
      </x:c>
      <x:c r="E103" s="9" t="s">
        <x:v>73</x:v>
      </x:c>
      <x:c r="F103" s="5" t="str">
        <x:v>Jl. Tampuk Pengembang Indonesia (PI)nang Pura</x:v>
      </x:c>
      <x:c r="G103" s="5" t="str">
        <x:v>PT. ELNOV LANGGENG INDAH</x:v>
      </x:c>
      <x:c r="H103" s="15" t="str">
        <x:v>Novian Kasmofit</x:v>
      </x:c>
      <x:c r="I103" s="15" t="str">
        <x:v>Asosiasi Pengembang Perumahan dan Permukiman Seluruh Indonesia (APERSI)</x:v>
      </x:c>
      <x:c r="J103" s="5" t="n">
        <x:v>2016</x:v>
      </x:c>
      <x:c r="K103" s="15">
        <x:v>31</x:v>
      </x:c>
      <x:c r="L103" s="9">
        <x:v>31</x:v>
      </x:c>
      <x:c r="M103" s="15">
        <x:v>31</x:v>
      </x:c>
      <x:c r="N103" s="15" t="s">
        <x:v>78</x:v>
      </x:c>
      <x:c r="O103" s="5"/>
      <x:c r="P103" s="5"/>
      <x:c r="Q103" s="21" t="s">
        <x:v>67</x:v>
      </x:c>
      <x:c r="R103" s="21"/>
      <x:c r="S103" s="18"/>
      <x:c r="T103" s="9"/>
      <x:c r="U103" s="9"/>
      <x:c r="V103" s="74">
        <x:v>-2.1219239000000001</x:v>
      </x:c>
      <x:c r="W103" s="9">
        <x:v>106.07392950000001</x:v>
      </x:c>
      <x:c r="X103" s="9"/>
      <x:c r="Y103" s="52"/>
      <x:c r="Z103" s="27"/>
      <x:c r="AA103" s="42"/>
      <x:c r="AB103" s="79"/>
      <x:c r="AC103" s="45"/>
      <x:c r="AD103">
        <x:f t="shared" si="4"/>
        <x:v>1</x:v>
      </x:c>
      <x:c r="AE103">
        <x:f t="shared" si="5"/>
        <x:v>1</x:v>
      </x:c>
    </x:row>
    <x:row r="104" ht="25">
      <x:c r="A104" s="29" t="s">
        <x:v>292</x:v>
      </x:c>
      <x:c r="B104" s="9" t="s">
        <x:v>293</x:v>
      </x:c>
      <x:c r="C104" s="5" t="s">
        <x:v>63</x:v>
      </x:c>
      <x:c r="D104" s="9" t="s">
        <x:v>64</x:v>
      </x:c>
      <x:c r="E104" s="9" t="s">
        <x:v>73</x:v>
      </x:c>
      <x:c r="F104" s="5" t="str">
        <x:v>Jl. Jalur 2, Tampuk Pengembang Indonesia (PI)nang Pura</x:v>
      </x:c>
      <x:c r="G104" s="5" t="str">
        <x:v>PT. STANLEY PROPERTY MANDIRI</x:v>
      </x:c>
      <x:c r="H104" s="15" t="str">
        <x:v>Mulyadi Lie</x:v>
      </x:c>
      <x:c r="I104" s="15" t="str">
        <x:v>Real Estate Indonesia (REI)</x:v>
      </x:c>
      <x:c r="J104" s="5" t="n">
        <x:v>2017</x:v>
      </x:c>
      <x:c r="K104" s="15">
        <x:v>316</x:v>
      </x:c>
      <x:c r="L104" s="9">
        <x:v>316</x:v>
      </x:c>
      <x:c r="M104" s="15">
        <x:v>306</x:v>
      </x:c>
      <x:c r="N104" s="15" t="s">
        <x:v>66</x:v>
      </x:c>
      <x:c r="O104" s="5" t="n">
        <x:v>2020</x:v>
      </x:c>
      <x:c r="P104" s="5"/>
      <x:c r="Q104" s="21" t="s">
        <x:v>94</x:v>
      </x:c>
      <x:c r="R104" s="21"/>
      <x:c r="S104" s="18"/>
      <x:c r="T104" s="9"/>
      <x:c r="U104" s="9"/>
      <x:c r="V104" s="74">
        <x:v>-2.1249530000000001</x:v>
      </x:c>
      <x:c r="W104" s="9">
        <x:v>106.07577000000001</x:v>
      </x:c>
      <x:c r="X104" s="9"/>
      <x:c r="Y104" s="52"/>
      <x:c r="Z104" s="27"/>
      <x:c r="AA104" s="42"/>
      <x:c r="AB104" s="79"/>
      <x:c r="AC104" s="45"/>
      <x:c r="AD104">
        <x:f t="shared" si="4"/>
        <x:v>1</x:v>
      </x:c>
      <x:c r="AE104">
        <x:f t="shared" si="5"/>
        <x:v>0.96835443037974689</x:v>
      </x:c>
    </x:row>
    <x:row r="105">
      <x:c r="A105" s="29" t="s">
        <x:v>294</x:v>
      </x:c>
      <x:c r="B105" s="9" t="s">
        <x:v>295</x:v>
      </x:c>
      <x:c r="C105" s="5" t="s">
        <x:v>63</x:v>
      </x:c>
      <x:c r="D105" s="9" t="s">
        <x:v>64</x:v>
      </x:c>
      <x:c r="E105" s="9" t="s">
        <x:v>73</x:v>
      </x:c>
      <x:c r="F105" s="5" t="str">
        <x:v>Jl. Jalur 2</x:v>
      </x:c>
      <x:c r="G105" s="5" t="str">
        <x:v>PT. STANLEY PROPERTY MANDIRI</x:v>
      </x:c>
      <x:c r="H105" s="15" t="str">
        <x:v>Mulyadi Lie</x:v>
      </x:c>
      <x:c r="I105" s="15" t="str">
        <x:v>Real Estate Indonesia (REI)</x:v>
      </x:c>
      <x:c r="J105" s="5" t="n">
        <x:v>2020</x:v>
      </x:c>
      <x:c r="K105" s="15">
        <x:v>271</x:v>
      </x:c>
      <x:c r="L105" s="9">
        <x:v>271</x:v>
      </x:c>
      <x:c r="M105" s="15">
        <x:v>271</x:v>
      </x:c>
      <x:c r="N105" s="15" t="s">
        <x:v>78</x:v>
      </x:c>
      <x:c r="O105" s="5"/>
      <x:c r="P105" s="5"/>
      <x:c r="Q105" s="21" t="s">
        <x:v>67</x:v>
      </x:c>
      <x:c r="R105" s="21"/>
      <x:c r="S105" s="18"/>
      <x:c r="T105" s="9"/>
      <x:c r="U105" s="9"/>
      <x:c r="V105" s="74">
        <x:v>-2.1245880000000001</x:v>
      </x:c>
      <x:c r="W105" s="9">
        <x:v>106.07570800000001</x:v>
      </x:c>
      <x:c r="X105" s="9"/>
      <x:c r="Y105" s="52"/>
      <x:c r="Z105" s="27"/>
      <x:c r="AA105" s="42"/>
      <x:c r="AB105" s="79"/>
      <x:c r="AC105" s="45"/>
      <x:c r="AD105">
        <x:f t="shared" si="4"/>
        <x:v>1</x:v>
      </x:c>
      <x:c r="AE105">
        <x:f t="shared" si="5"/>
        <x:v>1</x:v>
      </x:c>
    </x:row>
    <x:row r="106">
      <x:c r="A106" s="29" t="s">
        <x:v>296</x:v>
      </x:c>
      <x:c r="B106" s="9" t="s">
        <x:v>297</x:v>
      </x:c>
      <x:c r="C106" s="5" t="s">
        <x:v>63</x:v>
      </x:c>
      <x:c r="D106" s="9" t="s">
        <x:v>86</x:v>
      </x:c>
      <x:c r="E106" s="9" t="s">
        <x:v>93</x:v>
      </x:c>
      <x:c r="F106" s="5" t="str">
        <x:v>Jl. Fatmawati Gg. Keluarga</x:v>
      </x:c>
      <x:c r="G106" s="5" t="str">
        <x:v>PT . DELANO JAYA PROPERTI</x:v>
      </x:c>
      <x:c r="H106" s="15" t="str">
        <x:v>Djong Khian Khie</x:v>
      </x:c>
      <x:c r="I106" s="15" t="str">
        <x:v>Real Estate Indonesia (REI)</x:v>
      </x:c>
      <x:c r="J106" s="5" t="n">
        <x:v>2019</x:v>
      </x:c>
      <x:c r="K106" s="15">
        <x:v>50</x:v>
      </x:c>
      <x:c r="L106" s="9">
        <x:v>50</x:v>
      </x:c>
      <x:c r="M106" s="15">
        <x:v>47</x:v>
      </x:c>
      <x:c r="N106" s="15" t="s">
        <x:v>66</x:v>
      </x:c>
      <x:c r="O106" s="5" t="n">
        <x:v>2022</x:v>
      </x:c>
      <x:c r="P106" s="5"/>
      <x:c r="Q106" s="21" t="s">
        <x:v>67</x:v>
      </x:c>
      <x:c r="R106" s="21" t="s">
        <x:v>130</x:v>
      </x:c>
      <x:c r="S106" s="18"/>
      <x:c r="T106" s="9"/>
      <x:c r="U106" s="9"/>
      <x:c r="V106" s="74">
        <x:v>-2.101267</x:v>
      </x:c>
      <x:c r="W106" s="9">
        <x:v>106.093493</x:v>
      </x:c>
      <x:c r="X106" s="9"/>
      <x:c r="Y106" s="52"/>
      <x:c r="Z106" s="27"/>
      <x:c r="AA106" s="42"/>
      <x:c r="AB106" s="79"/>
      <x:c r="AC106" s="45"/>
      <x:c r="AD106">
        <x:f t="shared" si="4"/>
        <x:v>1</x:v>
      </x:c>
      <x:c r="AE106">
        <x:f t="shared" si="5"/>
        <x:v>0.94</x:v>
      </x:c>
    </x:row>
    <x:row r="107">
      <x:c r="A107" s="29" t="s">
        <x:v>298</x:v>
      </x:c>
      <x:c r="B107" s="9" t="s">
        <x:v>299</x:v>
      </x:c>
      <x:c r="C107" s="5" t="s">
        <x:v>63</x:v>
      </x:c>
      <x:c r="D107" s="9" t="s">
        <x:v>104</x:v>
      </x:c>
      <x:c r="E107" s="9" t="s">
        <x:v>300</x:v>
      </x:c>
      <x:c r="F107" s="5" t="str">
        <x:v>Jl. Swadaya</x:v>
      </x:c>
      <x:c r="G107" s="5" t="str">
        <x:v>PT . DELANO JAYA PROPERTI</x:v>
      </x:c>
      <x:c r="H107" s="15" t="str">
        <x:v>Djong Khian Khie</x:v>
      </x:c>
      <x:c r="I107" s="15" t="str">
        <x:v>Real Estate Indonesia (REI)</x:v>
      </x:c>
      <x:c r="J107" s="5" t="n">
        <x:v>2022</x:v>
      </x:c>
      <x:c r="K107" s="15">
        <x:v>34</x:v>
      </x:c>
      <x:c r="L107" s="9">
        <x:v>7</x:v>
      </x:c>
      <x:c r="M107" s="15">
        <x:v>7</x:v>
      </x:c>
      <x:c r="N107" s="15" t="s">
        <x:v>78</x:v>
      </x:c>
      <x:c r="O107" s="5"/>
      <x:c r="P107" s="5"/>
      <x:c r="Q107" s="21" t="s">
        <x:v>67</x:v>
      </x:c>
      <x:c r="R107" s="21" t="s">
        <x:v>108</x:v>
      </x:c>
      <x:c r="S107" s="18"/>
      <x:c r="T107" s="9"/>
      <x:c r="U107" s="9"/>
      <x:c r="V107" s="74">
        <x:v>-2.1226183000000001</x:v>
      </x:c>
      <x:c r="W107" s="9">
        <x:v>106.1419678</x:v>
      </x:c>
      <x:c r="X107" s="9"/>
      <x:c r="Y107" s="52"/>
      <x:c r="Z107" s="27"/>
      <x:c r="AA107" s="42"/>
      <x:c r="AB107" s="79"/>
      <x:c r="AC107" s="45"/>
      <x:c r="AD107">
        <x:f t="shared" si="4"/>
        <x:v>0.20588235294117646</x:v>
      </x:c>
      <x:c r="AE107">
        <x:f t="shared" si="5"/>
        <x:v>1</x:v>
      </x:c>
    </x:row>
    <x:row r="108">
      <x:c r="A108" s="29" t="s">
        <x:v>301</x:v>
      </x:c>
      <x:c r="B108" s="9" t="s">
        <x:v>302</x:v>
      </x:c>
      <x:c r="C108" s="5" t="s">
        <x:v>63</x:v>
      </x:c>
      <x:c r="D108" s="9" t="s">
        <x:v>64</x:v>
      </x:c>
      <x:c r="E108" s="9" t="s">
        <x:v>65</x:v>
      </x:c>
      <x:c r="F108" s="5" t="str">
        <x:v>Jl. Kampak Serasi</x:v>
      </x:c>
      <x:c r="G108" s="5" t="str">
        <x:v>PT . DELANO JAYA PROPERTI</x:v>
      </x:c>
      <x:c r="H108" s="15" t="str">
        <x:v>Djong Khian Khie</x:v>
      </x:c>
      <x:c r="I108" s="15" t="str">
        <x:v>Real Estate Indonesia (REI)</x:v>
      </x:c>
      <x:c r="J108" s="5" t="n">
        <x:v>2025</x:v>
      </x:c>
      <x:c r="K108" s="15">
        <x:v>92</x:v>
      </x:c>
      <x:c r="L108" s="9">
        <x:v>2</x:v>
      </x:c>
      <x:c r="M108" s="15">
        <x:v>0</x:v>
      </x:c>
      <x:c r="N108" s="15" t="s">
        <x:v>78</x:v>
      </x:c>
      <x:c r="O108" s="5"/>
      <x:c r="P108" s="5"/>
      <x:c r="Q108" s="21" t="s">
        <x:v>67</x:v>
      </x:c>
      <x:c r="R108" s="21" t="s">
        <x:v>108</x:v>
      </x:c>
      <x:c r="S108" s="18"/>
      <x:c r="T108" s="9"/>
      <x:c r="U108" s="9"/>
      <x:c r="V108" s="74">
        <x:v>-2.1023329999999998</x:v>
      </x:c>
      <x:c r="W108" s="9">
        <x:v>106.073194</x:v>
      </x:c>
      <x:c r="X108" s="9"/>
      <x:c r="Y108" s="52"/>
      <x:c r="Z108" s="64"/>
      <x:c r="AA108" s="42"/>
      <x:c r="AB108" s="79"/>
      <x:c r="AC108" s="72"/>
    </x:row>
    <x:row r="109">
      <x:c r="A109" s="29" t="s">
        <x:v>303</x:v>
      </x:c>
      <x:c r="B109" s="9" t="s">
        <x:v>304</x:v>
      </x:c>
      <x:c r="C109" s="5" t="s">
        <x:v>63</x:v>
      </x:c>
      <x:c r="D109" s="9" t="s">
        <x:v>104</x:v>
      </x:c>
      <x:c r="E109" s="9" t="s">
        <x:v>209</x:v>
      </x:c>
      <x:c r="F109" s="5" t="str">
        <x:v>Jl. Mirah Delima</x:v>
      </x:c>
      <x:c r="G109" s="5" t="str">
        <x:v>PT. STANLEY PROPERTY MANDIRI</x:v>
      </x:c>
      <x:c r="H109" s="15" t="str">
        <x:v>Mulyadi Lie</x:v>
      </x:c>
      <x:c r="I109" s="15" t="str">
        <x:v>Real Estate Indonesia (REI)</x:v>
      </x:c>
      <x:c r="J109" s="5" t="n">
        <x:v>2018</x:v>
      </x:c>
      <x:c r="K109" s="15">
        <x:v>46</x:v>
      </x:c>
      <x:c r="L109" s="9">
        <x:v>46</x:v>
      </x:c>
      <x:c r="M109" s="15">
        <x:v>46</x:v>
      </x:c>
      <x:c r="N109" s="15" t="s">
        <x:v>78</x:v>
      </x:c>
      <x:c r="O109" s="5"/>
      <x:c r="P109" s="5"/>
      <x:c r="Q109" s="21" t="s">
        <x:v>67</x:v>
      </x:c>
      <x:c r="R109" s="21"/>
      <x:c r="S109" s="18"/>
      <x:c r="T109" s="9"/>
      <x:c r="U109" s="9"/>
      <x:c r="V109" s="74">
        <x:v>-2.1398174999999999</x:v>
      </x:c>
      <x:c r="W109" s="9">
        <x:v>106.1503439</x:v>
      </x:c>
      <x:c r="X109" s="9"/>
      <x:c r="Y109" s="52"/>
      <x:c r="Z109" s="27"/>
      <x:c r="AA109" s="42"/>
      <x:c r="AB109" s="79"/>
      <x:c r="AC109" s="45"/>
      <x:c r="AD109" t="n">
        <x:f t="shared" ref="AD109:AD114" si="6">IF(A109="","",IFERROR(L109/K109,0))</x:f>
        <x:v>1</x:v>
      </x:c>
      <x:c r="AE109" t="n">
        <x:f t="shared" ref="AE109:AE114" si="7">IF(A109="","",IFERROR(M109/L109,0))</x:f>
        <x:v>1</x:v>
      </x:c>
    </x:row>
    <x:row r="110">
      <x:c r="A110" s="29" t="s">
        <x:v>305</x:v>
      </x:c>
      <x:c r="B110" s="9" t="s">
        <x:v>306</x:v>
      </x:c>
      <x:c r="C110" s="5" t="s">
        <x:v>63</x:v>
      </x:c>
      <x:c r="D110" s="9" t="s">
        <x:v>86</x:v>
      </x:c>
      <x:c r="E110" s="9" t="s">
        <x:v>112</x:v>
      </x:c>
      <x:c r="F110" s="5" t="str">
        <x:v>Jl. Kerabut 2</x:v>
      </x:c>
      <x:c r="G110" s="5" t="str">
        <x:v>CV. RIMA JAYA</x:v>
      </x:c>
      <x:c r="H110" s="15" t="str">
        <x:v>Asep Hidayat</x:v>
      </x:c>
      <x:c r="I110" s="15" t="str">
        <x:v>Belum Teridentifikasi</x:v>
      </x:c>
      <x:c r="J110" s="5" t="n">
        <x:v>2017</x:v>
      </x:c>
      <x:c r="K110" s="15">
        <x:v>72</x:v>
      </x:c>
      <x:c r="L110" s="9">
        <x:v>12</x:v>
      </x:c>
      <x:c r="M110" s="15">
        <x:v>12</x:v>
      </x:c>
      <x:c r="N110" s="15" t="s">
        <x:v>78</x:v>
      </x:c>
      <x:c r="O110" s="5"/>
      <x:c r="P110" s="5"/>
      <x:c r="Q110" s="21" t="s">
        <x:v>67</x:v>
      </x:c>
      <x:c r="R110" s="21"/>
      <x:c r="S110" s="18"/>
      <x:c r="T110" s="9"/>
      <x:c r="U110" s="9"/>
      <x:c r="V110" s="74">
        <x:v>-2.0840390000000002</x:v>
      </x:c>
      <x:c r="W110" s="9">
        <x:v>106.09747900000001</x:v>
      </x:c>
      <x:c r="X110" s="9"/>
      <x:c r="Y110" s="52"/>
      <x:c r="Z110" s="27"/>
      <x:c r="AA110" s="42"/>
      <x:c r="AB110" s="79"/>
      <x:c r="AC110" s="45"/>
      <x:c r="AD110">
        <x:f t="shared" si="6"/>
        <x:v>0.16666666666666666</x:v>
      </x:c>
      <x:c r="AE110">
        <x:f t="shared" si="7"/>
        <x:v>1</x:v>
      </x:c>
    </x:row>
    <x:row r="111">
      <x:c r="A111" s="29" t="s">
        <x:v>307</x:v>
      </x:c>
      <x:c r="B111" s="9" t="s">
        <x:v>308</x:v>
      </x:c>
      <x:c r="C111" s="5" t="s">
        <x:v>63</x:v>
      </x:c>
      <x:c r="D111" s="9" t="s">
        <x:v>64</x:v>
      </x:c>
      <x:c r="E111" s="9" t="s">
        <x:v>73</x:v>
      </x:c>
      <x:c r="F111" s="5" t="str">
        <x:v>Jl. Gandaria 1</x:v>
      </x:c>
      <x:c r="G111" s="5" t="str">
        <x:v>CV. ANUGRAH ABADI</x:v>
      </x:c>
      <x:c r="H111" s="15" t="str">
        <x:v>Boy Akbar Anugrah</x:v>
      </x:c>
      <x:c r="I111" s="15" t="str">
        <x:v>Pengembang Indonesia (PI)</x:v>
      </x:c>
      <x:c r="J111" s="5" t="n">
        <x:v>2017</x:v>
      </x:c>
      <x:c r="K111" s="15">
        <x:v>48</x:v>
      </x:c>
      <x:c r="L111" s="9">
        <x:v>46</x:v>
      </x:c>
      <x:c r="M111" s="15">
        <x:v>46</x:v>
      </x:c>
      <x:c r="N111" s="15" t="s">
        <x:v>78</x:v>
      </x:c>
      <x:c r="O111" s="5"/>
      <x:c r="P111" s="5"/>
      <x:c r="Q111" s="21" t="s">
        <x:v>67</x:v>
      </x:c>
      <x:c r="R111" s="21"/>
      <x:c r="S111" s="18"/>
      <x:c r="T111" s="9"/>
      <x:c r="U111" s="9"/>
      <x:c r="V111" s="74">
        <x:v>-2.113772</x:v>
      </x:c>
      <x:c r="W111" s="9">
        <x:v>106.083653</x:v>
      </x:c>
      <x:c r="X111" s="9"/>
      <x:c r="Y111" s="52"/>
      <x:c r="Z111" s="27"/>
      <x:c r="AA111" s="42"/>
      <x:c r="AB111" s="79"/>
      <x:c r="AC111" s="45"/>
      <x:c r="AD111">
        <x:f t="shared" si="6"/>
        <x:v>0.95833333333333337</x:v>
      </x:c>
      <x:c r="AE111">
        <x:f t="shared" si="7"/>
        <x:v>1</x:v>
      </x:c>
    </x:row>
    <x:row r="112">
      <x:c r="A112" s="29" t="s">
        <x:v>309</x:v>
      </x:c>
      <x:c r="B112" s="9" t="s">
        <x:v>310</x:v>
      </x:c>
      <x:c r="C112" s="5" t="s">
        <x:v>63</x:v>
      </x:c>
      <x:c r="D112" s="9" t="s">
        <x:v>64</x:v>
      </x:c>
      <x:c r="E112" s="9" t="s">
        <x:v>311</x:v>
      </x:c>
      <x:c r="F112" s="5" t="str">
        <x:v>Jl. Melangir</x:v>
      </x:c>
      <x:c r="G112" s="5" t="str">
        <x:v>PT. ANUGRAH DIVA ABADI</x:v>
      </x:c>
      <x:c r="H112" s="15" t="str">
        <x:v>Boy Akbar Anugrah</x:v>
      </x:c>
      <x:c r="I112" s="15" t="str">
        <x:v>Pengembang Indonesia (PI)</x:v>
      </x:c>
      <x:c r="J112" s="5" t="n">
        <x:v>2019</x:v>
      </x:c>
      <x:c r="K112" s="15">
        <x:v>46</x:v>
      </x:c>
      <x:c r="L112" s="9">
        <x:v>40</x:v>
      </x:c>
      <x:c r="M112" s="15">
        <x:v>40</x:v>
      </x:c>
      <x:c r="N112" s="15" t="s">
        <x:v>78</x:v>
      </x:c>
      <x:c r="O112" s="5"/>
      <x:c r="P112" s="5"/>
      <x:c r="Q112" s="21" t="s">
        <x:v>67</x:v>
      </x:c>
      <x:c r="R112" s="21"/>
      <x:c r="S112" s="18"/>
      <x:c r="T112" s="9"/>
      <x:c r="U112" s="9"/>
      <x:c r="V112" s="74">
        <x:v>-2.1185415999999999</x:v>
      </x:c>
      <x:c r="W112" s="9">
        <x:v>106.0965628</x:v>
      </x:c>
      <x:c r="X112" s="9"/>
      <x:c r="Y112" s="52"/>
      <x:c r="Z112" s="27"/>
      <x:c r="AA112" s="42"/>
      <x:c r="AB112" s="79"/>
      <x:c r="AC112" s="45"/>
      <x:c r="AD112">
        <x:f t="shared" si="6"/>
        <x:v>0.86956521739130432</x:v>
      </x:c>
      <x:c r="AE112">
        <x:f t="shared" si="7"/>
        <x:v>1</x:v>
      </x:c>
    </x:row>
    <x:row r="113">
      <x:c r="A113" s="29" t="s">
        <x:v>312</x:v>
      </x:c>
      <x:c r="B113" s="9" t="s">
        <x:v>313</x:v>
      </x:c>
      <x:c r="C113" s="5" t="s">
        <x:v>63</x:v>
      </x:c>
      <x:c r="D113" s="9" t="s">
        <x:v>314</x:v>
      </x:c>
      <x:c r="E113" s="9" t="s">
        <x:v>315</x:v>
      </x:c>
      <x:c r="F113" s="5" t="str">
        <x:v>Jl. Basuki Rahmat Ujung 1</x:v>
      </x:c>
      <x:c r="G113" s="5" t="str">
        <x:v>Belum Teridentifikasi</x:v>
      </x:c>
      <x:c r="H113" s="15" t="str">
        <x:v>Belum Teridentifikasi</x:v>
      </x:c>
      <x:c r="I113" s="15" t="str">
        <x:v>Belum Teridentifikasi</x:v>
      </x:c>
      <x:c r="J113" s="5" t="n">
        <x:v>2019</x:v>
      </x:c>
      <x:c r="K113" s="15">
        <x:v>5</x:v>
      </x:c>
      <x:c r="L113" s="9">
        <x:v>5</x:v>
      </x:c>
      <x:c r="M113" s="15">
        <x:v>5</x:v>
      </x:c>
      <x:c r="N113" s="15" t="s">
        <x:v>78</x:v>
      </x:c>
      <x:c r="O113" s="5"/>
      <x:c r="P113" s="5"/>
      <x:c r="Q113" s="21" t="s">
        <x:v>67</x:v>
      </x:c>
      <x:c r="R113" s="21" t="s">
        <x:v>108</x:v>
      </x:c>
      <x:c r="S113" s="18"/>
      <x:c r="T113" s="9"/>
      <x:c r="U113" s="9"/>
      <x:c r="V113" s="74">
        <x:v>-2.151332</x:v>
      </x:c>
      <x:c r="W113" s="9">
        <x:v>106.10645599999999</x:v>
      </x:c>
      <x:c r="X113" s="9"/>
      <x:c r="Y113" s="52"/>
      <x:c r="Z113" s="27"/>
      <x:c r="AA113" s="42"/>
      <x:c r="AB113" s="79"/>
      <x:c r="AC113" s="45"/>
      <x:c r="AD113">
        <x:f t="shared" si="6"/>
        <x:v>1</x:v>
      </x:c>
      <x:c r="AE113">
        <x:f t="shared" si="7"/>
        <x:v>1</x:v>
      </x:c>
    </x:row>
    <x:row r="114">
      <x:c r="A114" s="29" t="s">
        <x:v>316</x:v>
      </x:c>
      <x:c r="B114" s="9" t="s">
        <x:v>317</x:v>
      </x:c>
      <x:c r="C114" s="5" t="s">
        <x:v>63</x:v>
      </x:c>
      <x:c r="D114" s="9" t="s">
        <x:v>86</x:v>
      </x:c>
      <x:c r="E114" s="9" t="s">
        <x:v>93</x:v>
      </x:c>
      <x:c r="F114" s="5" t="str">
        <x:v>Jl. Haji Umar</x:v>
      </x:c>
      <x:c r="G114" s="5" t="str">
        <x:v>PT. BESTINDO PROPERTY</x:v>
      </x:c>
      <x:c r="H114" s="15" t="str">
        <x:v>Ir. Thomas Jusman, MM</x:v>
      </x:c>
      <x:c r="I114" s="15" t="str">
        <x:v>Real Estate Indonesia (REI)</x:v>
      </x:c>
      <x:c r="J114" s="5" t="n">
        <x:v>2023</x:v>
      </x:c>
      <x:c r="K114" s="15">
        <x:v>59</x:v>
      </x:c>
      <x:c r="L114" s="9">
        <x:v>53</x:v>
      </x:c>
      <x:c r="M114" s="15">
        <x:v>53</x:v>
      </x:c>
      <x:c r="N114" s="15" t="s">
        <x:v>66</x:v>
      </x:c>
      <x:c r="O114" s="5" t="n">
        <x:v>2026</x:v>
      </x:c>
      <x:c r="P114" s="5"/>
      <x:c r="Q114" s="21" t="s">
        <x:v>67</x:v>
      </x:c>
      <x:c r="R114" s="21"/>
      <x:c r="S114" s="18"/>
      <x:c r="T114" s="9"/>
      <x:c r="U114" s="9"/>
      <x:c r="V114" s="74">
        <x:v>-2.0939874000000001</x:v>
      </x:c>
      <x:c r="W114" s="9">
        <x:v>106.08669140000001</x:v>
      </x:c>
      <x:c r="X114" s="9"/>
      <x:c r="Y114" s="52"/>
      <x:c r="Z114" s="27"/>
      <x:c r="AA114" s="42"/>
      <x:c r="AB114" s="79"/>
      <x:c r="AC114" s="45"/>
      <x:c r="AD114">
        <x:f t="shared" si="6"/>
        <x:v>0.89830508474576276</x:v>
      </x:c>
      <x:c r="AE114">
        <x:f t="shared" si="7"/>
        <x:v>1</x:v>
      </x:c>
    </x:row>
    <x:row r="115">
      <x:c r="A115" s="29" t="s">
        <x:v>318</x:v>
      </x:c>
      <x:c r="B115" s="9" t="s">
        <x:v>319</x:v>
      </x:c>
      <x:c r="C115" s="5" t="s">
        <x:v>63</x:v>
      </x:c>
      <x:c r="D115" s="9" t="s">
        <x:v>104</x:v>
      </x:c>
      <x:c r="E115" s="9" t="s">
        <x:v>141</x:v>
      </x:c>
      <x:c r="F115" s="5" t="str">
        <x:v>Jl. Fajar</x:v>
      </x:c>
      <x:c r="G115" s="5" t="str">
        <x:v>PT DREAMLAND PROPERTY</x:v>
      </x:c>
      <x:c r="H115" s="15" t="str">
        <x:v>Ir. Thomas Jusman, MM</x:v>
      </x:c>
      <x:c r="I115" s="15" t="str">
        <x:v>Real Estate Indonesia (REI)</x:v>
      </x:c>
      <x:c r="J115" s="5" t="n">
        <x:v>2026</x:v>
      </x:c>
      <x:c r="K115" s="15">
        <x:v>59</x:v>
      </x:c>
      <x:c r="L115" s="9">
        <x:v>0</x:v>
      </x:c>
      <x:c r="M115" s="15">
        <x:v>0</x:v>
      </x:c>
      <x:c r="N115" s="15" t="s">
        <x:v>78</x:v>
      </x:c>
      <x:c r="O115" s="5"/>
      <x:c r="P115" s="5"/>
      <x:c r="Q115" s="21" t="s">
        <x:v>94</x:v>
      </x:c>
      <x:c r="R115" s="21" t="s">
        <x:v>108</x:v>
      </x:c>
      <x:c r="S115" s="18"/>
      <x:c r="T115" s="9"/>
      <x:c r="U115" s="9"/>
      <x:c r="V115" s="74"/>
      <x:c r="W115" s="9"/>
      <x:c r="X115" s="9"/>
      <x:c r="Y115" s="52"/>
      <x:c r="Z115" s="64"/>
      <x:c r="AA115" s="42"/>
      <x:c r="AB115" s="79"/>
      <x:c r="AC115" s="72"/>
    </x:row>
    <x:row r="116" ht="25">
      <x:c r="A116" s="29" t="s">
        <x:v>320</x:v>
      </x:c>
      <x:c r="B116" s="9" t="s">
        <x:v>321</x:v>
      </x:c>
      <x:c r="C116" s="5" t="s">
        <x:v>179</x:v>
      </x:c>
      <x:c r="D116" s="9" t="s">
        <x:v>122</x:v>
      </x:c>
      <x:c r="E116" s="9" t="s">
        <x:v>216</x:v>
      </x:c>
      <x:c r="F116" s="5" t="str">
        <x:v>Jl R. Hundani</x:v>
      </x:c>
      <x:c r="G116" s="5" t="str">
        <x:v>PT. ANUGRAH HARAPAN BARU REGENCY</x:v>
      </x:c>
      <x:c r="H116" s="15" t="str">
        <x:v>Ady Irawan/Riska Jesika</x:v>
      </x:c>
      <x:c r="I116" s="15" t="str">
        <x:v>Asosiasi Pengembang Perumahan dan Permukiman Seluruh Indonesia (APERSI)</x:v>
      </x:c>
      <x:c r="J116" s="5" t="n">
        <x:v>2015</x:v>
      </x:c>
      <x:c r="K116" s="15">
        <x:v>45</x:v>
      </x:c>
      <x:c r="L116" s="9">
        <x:v>21</x:v>
      </x:c>
      <x:c r="M116" s="15">
        <x:v>21</x:v>
      </x:c>
      <x:c r="N116" s="15" t="s">
        <x:v>78</x:v>
      </x:c>
      <x:c r="O116" s="5"/>
      <x:c r="P116" s="5"/>
      <x:c r="Q116" s="21" t="s">
        <x:v>67</x:v>
      </x:c>
      <x:c r="R116" s="21" t="s">
        <x:v>108</x:v>
      </x:c>
      <x:c r="S116" s="18"/>
      <x:c r="T116" s="9"/>
      <x:c r="U116" s="9"/>
      <x:c r="V116" s="74">
        <x:v>-2.0956190000000001</x:v>
      </x:c>
      <x:c r="W116" s="9">
        <x:v>106.118709</x:v>
      </x:c>
      <x:c r="X116" s="9"/>
      <x:c r="Y116" s="52"/>
      <x:c r="Z116" s="27"/>
      <x:c r="AA116" s="42"/>
      <x:c r="AB116" s="79"/>
      <x:c r="AC116" s="45"/>
      <x:c r="AD116" t="n">
        <x:f t="shared" ref="AD116:AD142" si="8">IF(A116="","",IFERROR(L116/K116,0))</x:f>
        <x:v>0.4666666666666667</x:v>
      </x:c>
      <x:c r="AE116" t="n">
        <x:f t="shared" ref="AE116:AE142" si="9">IF(A116="","",IFERROR(M116/L116,0))</x:f>
        <x:v>1</x:v>
      </x:c>
    </x:row>
    <x:row r="117" ht="25">
      <x:c r="A117" s="29" t="s">
        <x:v>322</x:v>
      </x:c>
      <x:c r="B117" s="9" t="s">
        <x:v>321</x:v>
      </x:c>
      <x:c r="C117" s="5" t="s">
        <x:v>63</x:v>
      </x:c>
      <x:c r="D117" s="9" t="s">
        <x:v>122</x:v>
      </x:c>
      <x:c r="E117" s="9" t="s">
        <x:v>216</x:v>
      </x:c>
      <x:c r="F117" s="5" t="str">
        <x:v>Jl R. Hundani</x:v>
      </x:c>
      <x:c r="G117" s="5" t="str">
        <x:v>PT. ANUGRAH HARAPAN BARU REGENCY</x:v>
      </x:c>
      <x:c r="H117" s="15" t="str">
        <x:v>Ady Irawan/Riska Jesika</x:v>
      </x:c>
      <x:c r="I117" s="15" t="str">
        <x:v>Asosiasi Pengembang Perumahan dan Permukiman Seluruh Indonesia (APERSI)</x:v>
      </x:c>
      <x:c r="J117" s="5" t="n">
        <x:v>2021</x:v>
      </x:c>
      <x:c r="K117" s="15">
        <x:v>18</x:v>
      </x:c>
      <x:c r="L117" s="9">
        <x:v>2</x:v>
      </x:c>
      <x:c r="M117" s="15">
        <x:v>0</x:v>
      </x:c>
      <x:c r="N117" s="15" t="s">
        <x:v>78</x:v>
      </x:c>
      <x:c r="O117" s="5"/>
      <x:c r="P117" s="5"/>
      <x:c r="Q117" s="21" t="s">
        <x:v>67</x:v>
      </x:c>
      <x:c r="R117" s="21" t="s">
        <x:v>108</x:v>
      </x:c>
      <x:c r="S117" s="18"/>
      <x:c r="T117" s="9"/>
      <x:c r="U117" s="9"/>
      <x:c r="V117" s="74">
        <x:v>-2.0956190000000001</x:v>
      </x:c>
      <x:c r="W117" s="9">
        <x:v>106.118709</x:v>
      </x:c>
      <x:c r="X117" s="9"/>
      <x:c r="Y117" s="52"/>
      <x:c r="Z117" s="27"/>
      <x:c r="AA117" s="42"/>
      <x:c r="AB117" s="79"/>
      <x:c r="AC117" s="45"/>
      <x:c r="AD117">
        <x:f t="shared" si="8"/>
        <x:v>0.1111111111111111</x:v>
      </x:c>
      <x:c r="AE117">
        <x:f t="shared" si="9"/>
        <x:v>0</x:v>
      </x:c>
    </x:row>
    <x:row r="118">
      <x:c r="A118" s="29" t="s">
        <x:v>323</x:v>
      </x:c>
      <x:c r="B118" s="9" t="s">
        <x:v>324</x:v>
      </x:c>
      <x:c r="C118" s="5" t="s">
        <x:v>63</x:v>
      </x:c>
      <x:c r="D118" s="9" t="s">
        <x:v>64</x:v>
      </x:c>
      <x:c r="E118" s="9" t="s">
        <x:v>73</x:v>
      </x:c>
      <x:c r="F118" s="5" t="str">
        <x:v>Jl. Cucak Rowo</x:v>
      </x:c>
      <x:c r="G118" s="5" t="str">
        <x:v>PT. ALEXINDO CIPTA PROPERTI</x:v>
      </x:c>
      <x:c r="H118" s="15" t="str">
        <x:v>Yongki Alexander</x:v>
      </x:c>
      <x:c r="I118" s="15" t="str">
        <x:v>Real Estate Indonesia (REI)</x:v>
      </x:c>
      <x:c r="J118" s="5" t="n">
        <x:v>2024</x:v>
      </x:c>
      <x:c r="K118" s="15">
        <x:v>62</x:v>
      </x:c>
      <x:c r="L118" s="9">
        <x:v>62</x:v>
      </x:c>
      <x:c r="M118" s="15">
        <x:v>62</x:v>
      </x:c>
      <x:c r="N118" s="15" t="s">
        <x:v>66</x:v>
      </x:c>
      <x:c r="O118" s="5" t="n">
        <x:v>2025</x:v>
      </x:c>
      <x:c r="P118" s="5"/>
      <x:c r="Q118" s="21" t="s">
        <x:v>67</x:v>
      </x:c>
      <x:c r="R118" s="21"/>
      <x:c r="S118" s="18"/>
      <x:c r="T118" s="9"/>
      <x:c r="U118" s="9"/>
      <x:c r="V118" s="74">
        <x:v>-2.1175193999999999</x:v>
      </x:c>
      <x:c r="W118" s="9">
        <x:v>106.0815047</x:v>
      </x:c>
      <x:c r="X118" s="9"/>
      <x:c r="Y118" s="52"/>
      <x:c r="Z118" s="27"/>
      <x:c r="AA118" s="42"/>
      <x:c r="AB118" s="79"/>
      <x:c r="AC118" s="45"/>
      <x:c r="AD118">
        <x:f t="shared" si="8"/>
        <x:v>1</x:v>
      </x:c>
      <x:c r="AE118">
        <x:f t="shared" si="9"/>
        <x:v>1</x:v>
      </x:c>
    </x:row>
    <x:row r="119" ht="25">
      <x:c r="A119" s="29" t="s">
        <x:v>325</x:v>
      </x:c>
      <x:c r="B119" s="9" t="s">
        <x:v>326</x:v>
      </x:c>
      <x:c r="C119" s="5" t="s">
        <x:v>63</x:v>
      </x:c>
      <x:c r="D119" s="9" t="s">
        <x:v>64</x:v>
      </x:c>
      <x:c r="E119" s="9" t="s">
        <x:v>65</x:v>
      </x:c>
      <x:c r="F119" s="5" t="str">
        <x:v>Jl. Dasalamah</x:v>
      </x:c>
      <x:c r="G119" s="5" t="str">
        <x:v>PT. FARRAZY PUTRA CONTRAINDO</x:v>
      </x:c>
      <x:c r="H119" s="15" t="str">
        <x:v>Belum Teridentifikasi</x:v>
      </x:c>
      <x:c r="I119" s="15" t="str">
        <x:v>Himpunan Pengembang Permukiman dan Perumahan Rakyat (HIMPERRA)</x:v>
      </x:c>
      <x:c r="J119" s="5" t="n">
        <x:v>2018</x:v>
      </x:c>
      <x:c r="K119" s="15">
        <x:v>40</x:v>
      </x:c>
      <x:c r="L119" s="9">
        <x:v>22</x:v>
      </x:c>
      <x:c r="M119" s="15">
        <x:v>22</x:v>
      </x:c>
      <x:c r="N119" s="15" t="s">
        <x:v>78</x:v>
      </x:c>
      <x:c r="O119" s="5"/>
      <x:c r="P119" s="5"/>
      <x:c r="Q119" s="21" t="s">
        <x:v>67</x:v>
      </x:c>
      <x:c r="R119" s="21"/>
      <x:c r="S119" s="18"/>
      <x:c r="T119" s="9"/>
      <x:c r="U119" s="9"/>
      <x:c r="V119" s="74">
        <x:v>-2.1119620000000001</x:v>
      </x:c>
      <x:c r="W119" s="9">
        <x:v>106.0839</x:v>
      </x:c>
      <x:c r="X119" s="9"/>
      <x:c r="Y119" s="52"/>
      <x:c r="Z119" s="27"/>
      <x:c r="AA119" s="42"/>
      <x:c r="AB119" s="79"/>
      <x:c r="AC119" s="45"/>
      <x:c r="AD119">
        <x:f t="shared" si="8"/>
        <x:v>0.55000000000000004</x:v>
      </x:c>
      <x:c r="AE119">
        <x:f t="shared" si="9"/>
        <x:v>1</x:v>
      </x:c>
    </x:row>
    <x:row r="120">
      <x:c r="A120" s="29" t="s">
        <x:v>327</x:v>
      </x:c>
      <x:c r="B120" s="9" t="s">
        <x:v>328</x:v>
      </x:c>
      <x:c r="C120" s="5" t="s">
        <x:v>63</x:v>
      </x:c>
      <x:c r="D120" s="9" t="s">
        <x:v>104</x:v>
      </x:c>
      <x:c r="E120" s="9" t="s">
        <x:v>209</x:v>
      </x:c>
      <x:c r="F120" s="5" t="str">
        <x:v>Jl. Pulau Gelasa</x:v>
      </x:c>
      <x:c r="G120" s="5" t="str">
        <x:v>PT. KARYA DANISH FAZILA</x:v>
      </x:c>
      <x:c r="H120" s="15" t="str">
        <x:v>Zulfani</x:v>
      </x:c>
      <x:c r="I120" s="15" t="str">
        <x:v>Pengembang Indonesia (PI)</x:v>
      </x:c>
      <x:c r="J120" s="5" t="n">
        <x:v>2020</x:v>
      </x:c>
      <x:c r="K120" s="15">
        <x:v>34</x:v>
      </x:c>
      <x:c r="L120" s="9">
        <x:v>31</x:v>
      </x:c>
      <x:c r="M120" s="15">
        <x:v>31</x:v>
      </x:c>
      <x:c r="N120" s="15" t="s">
        <x:v>78</x:v>
      </x:c>
      <x:c r="O120" s="5"/>
      <x:c r="P120" s="5"/>
      <x:c r="Q120" s="21" t="s">
        <x:v>67</x:v>
      </x:c>
      <x:c r="R120" s="21"/>
      <x:c r="S120" s="18"/>
      <x:c r="T120" s="9"/>
      <x:c r="U120" s="9"/>
      <x:c r="V120" s="74">
        <x:v>-2.1443800999999998</x:v>
      </x:c>
      <x:c r="W120" s="9">
        <x:v>106.1543704</x:v>
      </x:c>
      <x:c r="X120" s="9"/>
      <x:c r="Y120" s="52"/>
      <x:c r="Z120" s="27"/>
      <x:c r="AA120" s="42"/>
      <x:c r="AB120" s="79"/>
      <x:c r="AC120" s="45"/>
      <x:c r="AD120">
        <x:f t="shared" si="8"/>
        <x:v>0.91176470588235292</x:v>
      </x:c>
      <x:c r="AE120">
        <x:f t="shared" si="9"/>
        <x:v>1</x:v>
      </x:c>
    </x:row>
    <x:row r="121">
      <x:c r="A121" s="29" t="s">
        <x:v>329</x:v>
      </x:c>
      <x:c r="B121" s="9" t="s">
        <x:v>330</x:v>
      </x:c>
      <x:c r="C121" s="5" t="s">
        <x:v>63</x:v>
      </x:c>
      <x:c r="D121" s="9" t="s">
        <x:v>104</x:v>
      </x:c>
      <x:c r="E121" s="9" t="s">
        <x:v>209</x:v>
      </x:c>
      <x:c r="F121" s="5" t="str">
        <x:v>Jl. Fajar</x:v>
      </x:c>
      <x:c r="G121" s="5" t="str">
        <x:v>PT. KARYA DANISH FAZILA</x:v>
      </x:c>
      <x:c r="H121" s="15" t="str">
        <x:v>Zulfani</x:v>
      </x:c>
      <x:c r="I121" s="15" t="str">
        <x:v>Pengembang Indonesia (PI)</x:v>
      </x:c>
      <x:c r="J121" s="5" t="n">
        <x:v>2021</x:v>
      </x:c>
      <x:c r="K121" s="15">
        <x:v>45</x:v>
      </x:c>
      <x:c r="L121" s="9">
        <x:v>45</x:v>
      </x:c>
      <x:c r="M121" s="15">
        <x:v>45</x:v>
      </x:c>
      <x:c r="N121" s="15" t="s">
        <x:v>78</x:v>
      </x:c>
      <x:c r="O121" s="5"/>
      <x:c r="P121" s="5"/>
      <x:c r="Q121" s="21" t="s">
        <x:v>67</x:v>
      </x:c>
      <x:c r="R121" s="21"/>
      <x:c r="S121" s="18"/>
      <x:c r="T121" s="9"/>
      <x:c r="U121" s="9"/>
      <x:c r="V121" s="74">
        <x:v>-2.1311974</x:v>
      </x:c>
      <x:c r="W121" s="9">
        <x:v>106.1576383</x:v>
      </x:c>
      <x:c r="X121" s="9"/>
      <x:c r="Y121" s="52"/>
      <x:c r="Z121" s="27"/>
      <x:c r="AA121" s="42"/>
      <x:c r="AB121" s="79"/>
      <x:c r="AC121" s="45"/>
      <x:c r="AD121">
        <x:f t="shared" si="8"/>
        <x:v>1</x:v>
      </x:c>
      <x:c r="AE121">
        <x:f t="shared" si="9"/>
        <x:v>1</x:v>
      </x:c>
    </x:row>
    <x:row r="122">
      <x:c r="A122" s="29" t="s">
        <x:v>331</x:v>
      </x:c>
      <x:c r="B122" s="9" t="s">
        <x:v>332</x:v>
      </x:c>
      <x:c r="C122" s="5" t="s">
        <x:v>63</x:v>
      </x:c>
      <x:c r="D122" s="9" t="s">
        <x:v>64</x:v>
      </x:c>
      <x:c r="E122" s="9" t="s">
        <x:v>65</x:v>
      </x:c>
      <x:c r="F122" s="5" t="str">
        <x:v>Jl. Fatmawati</x:v>
      </x:c>
      <x:c r="G122" s="5" t="str">
        <x:v>CV. BUMI CITRA LESTARI</x:v>
      </x:c>
      <x:c r="H122" s="15" t="str">
        <x:v>Reza Eka Aprilianto</x:v>
      </x:c>
      <x:c r="I122" s="15" t="str">
        <x:v>Pengembang Indonesia (PI)</x:v>
      </x:c>
      <x:c r="J122" s="5" t="n">
        <x:v>2018</x:v>
      </x:c>
      <x:c r="K122" s="15">
        <x:v>43</x:v>
      </x:c>
      <x:c r="L122" s="9">
        <x:v>43</x:v>
      </x:c>
      <x:c r="M122" s="15">
        <x:v>42</x:v>
      </x:c>
      <x:c r="N122" s="15" t="s">
        <x:v>78</x:v>
      </x:c>
      <x:c r="O122" s="5"/>
      <x:c r="P122" s="5"/>
      <x:c r="Q122" s="21" t="s">
        <x:v>67</x:v>
      </x:c>
      <x:c r="R122" s="21"/>
      <x:c r="S122" s="18"/>
      <x:c r="T122" s="9"/>
      <x:c r="U122" s="9"/>
      <x:c r="V122" s="74">
        <x:v>-2.1098919999999999</x:v>
      </x:c>
      <x:c r="W122" s="9">
        <x:v>106.085612</x:v>
      </x:c>
      <x:c r="X122" s="9"/>
      <x:c r="Y122" s="52"/>
      <x:c r="Z122" s="27"/>
      <x:c r="AA122" s="42"/>
      <x:c r="AB122" s="79"/>
      <x:c r="AC122" s="45"/>
      <x:c r="AD122">
        <x:f t="shared" si="8"/>
        <x:v>1</x:v>
      </x:c>
      <x:c r="AE122">
        <x:f t="shared" si="9"/>
        <x:v>0.97674418604651159</x:v>
      </x:c>
    </x:row>
    <x:row r="123">
      <x:c r="A123" s="29" t="s">
        <x:v>333</x:v>
      </x:c>
      <x:c r="B123" s="9" t="s">
        <x:v>334</x:v>
      </x:c>
      <x:c r="C123" s="5" t="s">
        <x:v>63</x:v>
      </x:c>
      <x:c r="D123" s="9" t="s">
        <x:v>64</x:v>
      </x:c>
      <x:c r="E123" s="9" t="s">
        <x:v>73</x:v>
      </x:c>
      <x:c r="F123" s="5" t="str">
        <x:v>Jl. Gandaria 1 Dalam</x:v>
      </x:c>
      <x:c r="G123" s="5" t="str">
        <x:v>CV. BUMI CITRA LESTARI</x:v>
      </x:c>
      <x:c r="H123" s="15" t="str">
        <x:v>Reza Eka Aprilianto</x:v>
      </x:c>
      <x:c r="I123" s="15" t="str">
        <x:v>Pengembang Indonesia (PI)</x:v>
      </x:c>
      <x:c r="J123" s="5" t="n">
        <x:v>2018</x:v>
      </x:c>
      <x:c r="K123" s="15">
        <x:v>68</x:v>
      </x:c>
      <x:c r="L123" s="9">
        <x:v>63</x:v>
      </x:c>
      <x:c r="M123" s="15">
        <x:v>63</x:v>
      </x:c>
      <x:c r="N123" s="15" t="s">
        <x:v>78</x:v>
      </x:c>
      <x:c r="O123" s="5"/>
      <x:c r="P123" s="5"/>
      <x:c r="Q123" s="21" t="s">
        <x:v>67</x:v>
      </x:c>
      <x:c r="R123" s="21"/>
      <x:c r="S123" s="18"/>
      <x:c r="T123" s="9"/>
      <x:c r="U123" s="9"/>
      <x:c r="V123" s="74">
        <x:v>-2.1166429999999998</x:v>
      </x:c>
      <x:c r="W123" s="9">
        <x:v>106.080567</x:v>
      </x:c>
      <x:c r="X123" s="9"/>
      <x:c r="Y123" s="52"/>
      <x:c r="Z123" s="27"/>
      <x:c r="AA123" s="42"/>
      <x:c r="AB123" s="79"/>
      <x:c r="AC123" s="45"/>
      <x:c r="AD123">
        <x:f t="shared" si="8"/>
        <x:v>0.92647058823529416</x:v>
      </x:c>
      <x:c r="AE123">
        <x:f t="shared" si="9"/>
        <x:v>1</x:v>
      </x:c>
    </x:row>
    <x:row r="124">
      <x:c r="A124" s="29" t="s">
        <x:v>335</x:v>
      </x:c>
      <x:c r="B124" s="9" t="s">
        <x:v>336</x:v>
      </x:c>
      <x:c r="C124" s="5" t="s">
        <x:v>63</x:v>
      </x:c>
      <x:c r="D124" s="9" t="s">
        <x:v>64</x:v>
      </x:c>
      <x:c r="E124" s="9" t="s">
        <x:v>194</x:v>
      </x:c>
      <x:c r="F124" s="5" t="str">
        <x:v>Jl. Pahlawan 12</x:v>
      </x:c>
      <x:c r="G124" s="5" t="str">
        <x:v>CV. BUMI CITRA LESTARI</x:v>
      </x:c>
      <x:c r="H124" s="15" t="str">
        <x:v>Reza Eka Aprilianto</x:v>
      </x:c>
      <x:c r="I124" s="15" t="str">
        <x:v>Pengembang Indonesia (PI)</x:v>
      </x:c>
      <x:c r="J124" s="5" t="n">
        <x:v>2017</x:v>
      </x:c>
      <x:c r="K124" s="15">
        <x:v>32</x:v>
      </x:c>
      <x:c r="L124" s="9">
        <x:v>15</x:v>
      </x:c>
      <x:c r="M124" s="15">
        <x:v>15</x:v>
      </x:c>
      <x:c r="N124" s="15" t="s">
        <x:v>78</x:v>
      </x:c>
      <x:c r="O124" s="5"/>
      <x:c r="P124" s="5"/>
      <x:c r="Q124" s="21" t="s">
        <x:v>67</x:v>
      </x:c>
      <x:c r="R124" s="21" t="s">
        <x:v>108</x:v>
      </x:c>
      <x:c r="S124" s="18"/>
      <x:c r="T124" s="9"/>
      <x:c r="U124" s="9"/>
      <x:c r="V124" s="74">
        <x:v>-2.1169730000000002</x:v>
      </x:c>
      <x:c r="W124" s="9">
        <x:v>106.090628</x:v>
      </x:c>
      <x:c r="X124" s="9"/>
      <x:c r="Y124" s="52"/>
      <x:c r="Z124" s="27"/>
      <x:c r="AA124" s="42"/>
      <x:c r="AB124" s="79"/>
      <x:c r="AC124" s="45"/>
      <x:c r="AD124">
        <x:f t="shared" si="8"/>
        <x:v>0.46875</x:v>
      </x:c>
      <x:c r="AE124">
        <x:f t="shared" si="9"/>
        <x:v>1</x:v>
      </x:c>
    </x:row>
    <x:row r="125">
      <x:c r="A125" s="29" t="s">
        <x:v>337</x:v>
      </x:c>
      <x:c r="B125" s="9" t="s">
        <x:v>338</x:v>
      </x:c>
      <x:c r="C125" s="5" t="s">
        <x:v>63</x:v>
      </x:c>
      <x:c r="D125" s="9" t="s">
        <x:v>64</x:v>
      </x:c>
      <x:c r="E125" s="9" t="s">
        <x:v>65</x:v>
      </x:c>
      <x:c r="F125" s="5" t="str">
        <x:v>Jl. Gandaria 1, No. 12</x:v>
      </x:c>
      <x:c r="G125" s="5" t="str">
        <x:v>PT. BANGKA INDO PROPERTY</x:v>
      </x:c>
      <x:c r="H125" s="15" t="str">
        <x:v>Sri Devi Agustini</x:v>
      </x:c>
      <x:c r="I125" s="15" t="str">
        <x:v>Pengembang Indonesia (PI)</x:v>
      </x:c>
      <x:c r="J125" s="5" t="n">
        <x:v>2017</x:v>
      </x:c>
      <x:c r="K125" s="15">
        <x:v>35</x:v>
      </x:c>
      <x:c r="L125" s="9">
        <x:v>35</x:v>
      </x:c>
      <x:c r="M125" s="15">
        <x:v>35</x:v>
      </x:c>
      <x:c r="N125" s="15" t="s">
        <x:v>78</x:v>
      </x:c>
      <x:c r="O125" s="5"/>
      <x:c r="P125" s="5"/>
      <x:c r="Q125" s="21" t="s">
        <x:v>97</x:v>
      </x:c>
      <x:c r="R125" s="21"/>
      <x:c r="S125" s="18" t="s">
        <x:v>186</x:v>
      </x:c>
      <x:c r="T125" s="9"/>
      <x:c r="U125" s="9"/>
      <x:c r="V125" s="74">
        <x:v>-2.1247167</x:v>
      </x:c>
      <x:c r="W125" s="9">
        <x:v>106.07904379999999</x:v>
      </x:c>
      <x:c r="X125" s="9"/>
      <x:c r="Y125" s="52"/>
      <x:c r="Z125" s="27"/>
      <x:c r="AA125" s="42"/>
      <x:c r="AB125" s="79"/>
      <x:c r="AC125" s="45"/>
      <x:c r="AD125">
        <x:f t="shared" si="8"/>
        <x:v>1</x:v>
      </x:c>
      <x:c r="AE125">
        <x:f t="shared" si="9"/>
        <x:v>1</x:v>
      </x:c>
    </x:row>
    <x:row r="126">
      <x:c r="A126" s="29" t="s">
        <x:v>339</x:v>
      </x:c>
      <x:c r="B126" s="9" t="s">
        <x:v>340</x:v>
      </x:c>
      <x:c r="C126" s="5" t="s">
        <x:v>63</x:v>
      </x:c>
      <x:c r="D126" s="9" t="s">
        <x:v>64</x:v>
      </x:c>
      <x:c r="E126" s="9" t="s">
        <x:v>65</x:v>
      </x:c>
      <x:c r="F126" s="5" t="str">
        <x:v>Jl. Haji Bakri</x:v>
      </x:c>
      <x:c r="G126" s="5" t="str">
        <x:v>PT. BANGKA INDO PROPERTI</x:v>
      </x:c>
      <x:c r="H126" s="15" t="str">
        <x:v>Sri Devi Agustini</x:v>
      </x:c>
      <x:c r="I126" s="15" t="str">
        <x:v>Pengembang Indonesia (PI)</x:v>
      </x:c>
      <x:c r="J126" s="5" t="n">
        <x:v>2018</x:v>
      </x:c>
      <x:c r="K126" s="15">
        <x:v>51</x:v>
      </x:c>
      <x:c r="L126" s="9">
        <x:v>51</x:v>
      </x:c>
      <x:c r="M126" s="15">
        <x:v>51</x:v>
      </x:c>
      <x:c r="N126" s="15" t="s">
        <x:v>78</x:v>
      </x:c>
      <x:c r="O126" s="5"/>
      <x:c r="P126" s="5"/>
      <x:c r="Q126" s="21" t="s">
        <x:v>97</x:v>
      </x:c>
      <x:c r="R126" s="21"/>
      <x:c r="S126" s="18" t="s">
        <x:v>186</x:v>
      </x:c>
      <x:c r="T126" s="9"/>
      <x:c r="U126" s="9"/>
      <x:c r="V126" s="74">
        <x:v>-2.0988720000000001</x:v>
      </x:c>
      <x:c r="W126" s="9">
        <x:v>106.086156</x:v>
      </x:c>
      <x:c r="X126" s="9"/>
      <x:c r="Y126" s="52"/>
      <x:c r="Z126" s="27"/>
      <x:c r="AA126" s="42"/>
      <x:c r="AB126" s="79"/>
      <x:c r="AC126" s="45"/>
      <x:c r="AD126">
        <x:f t="shared" si="8"/>
        <x:v>1</x:v>
      </x:c>
      <x:c r="AE126">
        <x:f t="shared" si="9"/>
        <x:v>1</x:v>
      </x:c>
    </x:row>
    <x:row r="127">
      <x:c r="A127" s="29" t="s">
        <x:v>341</x:v>
      </x:c>
      <x:c r="B127" s="9" t="s">
        <x:v>342</x:v>
      </x:c>
      <x:c r="C127" s="5" t="s">
        <x:v>63</x:v>
      </x:c>
      <x:c r="D127" s="9" t="s">
        <x:v>64</x:v>
      </x:c>
      <x:c r="E127" s="9" t="s">
        <x:v>73</x:v>
      </x:c>
      <x:c r="F127" s="5" t="str">
        <x:v>Jl . Gandari 1, Gg. Flamengo</x:v>
      </x:c>
      <x:c r="G127" s="5" t="str">
        <x:v>PT. BANGKA INDO PROPERTI</x:v>
      </x:c>
      <x:c r="H127" s="15" t="str">
        <x:v>Sri Devi Agustini</x:v>
      </x:c>
      <x:c r="I127" s="15" t="str">
        <x:v>Pengembang Indonesia (PI)</x:v>
      </x:c>
      <x:c r="J127" s="5" t="n">
        <x:v>2019</x:v>
      </x:c>
      <x:c r="K127" s="15">
        <x:v>29</x:v>
      </x:c>
      <x:c r="L127" s="9">
        <x:v>29</x:v>
      </x:c>
      <x:c r="M127" s="15">
        <x:v>29</x:v>
      </x:c>
      <x:c r="N127" s="15" t="s">
        <x:v>78</x:v>
      </x:c>
      <x:c r="O127" s="5"/>
      <x:c r="P127" s="5"/>
      <x:c r="Q127" s="21" t="s">
        <x:v>97</x:v>
      </x:c>
      <x:c r="R127" s="21"/>
      <x:c r="S127" s="18" t="s">
        <x:v>186</x:v>
      </x:c>
      <x:c r="T127" s="9"/>
      <x:c r="U127" s="9"/>
      <x:c r="V127" s="74">
        <x:v>-2.1160036999999998</x:v>
      </x:c>
      <x:c r="W127" s="9">
        <x:v>106.0764578</x:v>
      </x:c>
      <x:c r="X127" s="9"/>
      <x:c r="Y127" s="52"/>
      <x:c r="Z127" s="27"/>
      <x:c r="AA127" s="42"/>
      <x:c r="AB127" s="79"/>
      <x:c r="AC127" s="45"/>
      <x:c r="AD127">
        <x:f t="shared" si="8"/>
        <x:v>1</x:v>
      </x:c>
      <x:c r="AE127">
        <x:f t="shared" si="9"/>
        <x:v>1</x:v>
      </x:c>
    </x:row>
    <x:row r="128">
      <x:c r="A128" s="29" t="s">
        <x:v>343</x:v>
      </x:c>
      <x:c r="B128" s="9" t="s">
        <x:v>344</x:v>
      </x:c>
      <x:c r="C128" s="5" t="s">
        <x:v>63</x:v>
      </x:c>
      <x:c r="D128" s="9" t="s">
        <x:v>314</x:v>
      </x:c>
      <x:c r="E128" s="9" t="s">
        <x:v>345</x:v>
      </x:c>
      <x:c r="F128" s="5" t="str">
        <x:v>Jl. Belakang Sd 60 Girimaya</x:v>
      </x:c>
      <x:c r="G128" s="5" t="str">
        <x:v>PERUMAHAN GADING HIJAU</x:v>
      </x:c>
      <x:c r="H128" s="15" t="str">
        <x:v>Hasan Basri</x:v>
      </x:c>
      <x:c r="I128" s="15" t="str">
        <x:v>Belum Teridentifikasi</x:v>
      </x:c>
      <x:c r="J128" s="5" t="n">
        <x:v>2018</x:v>
      </x:c>
      <x:c r="K128" s="15">
        <x:v>42</x:v>
      </x:c>
      <x:c r="L128" s="9">
        <x:v>39</x:v>
      </x:c>
      <x:c r="M128" s="15">
        <x:v>39</x:v>
      </x:c>
      <x:c r="N128" s="15" t="s">
        <x:v>78</x:v>
      </x:c>
      <x:c r="O128" s="5"/>
      <x:c r="P128" s="5"/>
      <x:c r="Q128" s="21" t="s">
        <x:v>67</x:v>
      </x:c>
      <x:c r="R128" s="21"/>
      <x:c r="S128" s="18"/>
      <x:c r="T128" s="9"/>
      <x:c r="U128" s="9"/>
      <x:c r="V128" s="74"/>
      <x:c r="W128" s="9"/>
      <x:c r="X128" s="9"/>
      <x:c r="Y128" s="52"/>
      <x:c r="Z128" s="27"/>
      <x:c r="AA128" s="42"/>
      <x:c r="AB128" s="79"/>
      <x:c r="AC128" s="45"/>
      <x:c r="AD128">
        <x:f t="shared" si="8"/>
        <x:v>0.9285714285714286</x:v>
      </x:c>
      <x:c r="AE128">
        <x:f t="shared" si="9"/>
        <x:v>1</x:v>
      </x:c>
    </x:row>
    <x:row r="129">
      <x:c r="A129" s="29" t="s">
        <x:v>346</x:v>
      </x:c>
      <x:c r="B129" s="9" t="s">
        <x:v>347</x:v>
      </x:c>
      <x:c r="C129" s="5" t="s">
        <x:v>63</x:v>
      </x:c>
      <x:c r="D129" s="9" t="s">
        <x:v>64</x:v>
      </x:c>
      <x:c r="E129" s="9" t="s">
        <x:v>65</x:v>
      </x:c>
      <x:c r="F129" s="5" t="str">
        <x:v>Jl. Fatmawati Gg. H. Hasan</x:v>
      </x:c>
      <x:c r="G129" s="5" t="str">
        <x:v>PT. MAESA BANGUN SEJAHTERA</x:v>
      </x:c>
      <x:c r="H129" s="15" t="str">
        <x:v>Andrev Timbong</x:v>
      </x:c>
      <x:c r="I129" s="15" t="str">
        <x:v>Belum Teridentifikasi</x:v>
      </x:c>
      <x:c r="J129" s="5" t="n">
        <x:v>2023</x:v>
      </x:c>
      <x:c r="K129" s="15">
        <x:v>111</x:v>
      </x:c>
      <x:c r="L129" s="9">
        <x:v>63</x:v>
      </x:c>
      <x:c r="M129" s="15">
        <x:v>54</x:v>
      </x:c>
      <x:c r="N129" s="15" t="s">
        <x:v>78</x:v>
      </x:c>
      <x:c r="O129" s="5"/>
      <x:c r="P129" s="5"/>
      <x:c r="Q129" s="21" t="s">
        <x:v>67</x:v>
      </x:c>
      <x:c r="R129" s="21"/>
      <x:c r="S129" s="18"/>
      <x:c r="T129" s="9"/>
      <x:c r="U129" s="9"/>
      <x:c r="V129" s="74">
        <x:v>-2.1040464000000001</x:v>
      </x:c>
      <x:c r="W129" s="9">
        <x:v>106.0873765</x:v>
      </x:c>
      <x:c r="X129" s="9"/>
      <x:c r="Y129" s="52"/>
      <x:c r="Z129" s="27"/>
      <x:c r="AA129" s="42"/>
      <x:c r="AB129" s="79"/>
      <x:c r="AC129" s="45"/>
      <x:c r="AD129">
        <x:f t="shared" si="8"/>
        <x:v>0.56756756756756754</x:v>
      </x:c>
      <x:c r="AE129">
        <x:f t="shared" si="9"/>
        <x:v>0.8571428571428571</x:v>
      </x:c>
    </x:row>
    <x:row r="130" ht="25">
      <x:c r="A130" s="29" t="s">
        <x:v>348</x:v>
      </x:c>
      <x:c r="B130" s="9" t="s">
        <x:v>349</x:v>
      </x:c>
      <x:c r="C130" s="5" t="s">
        <x:v>63</x:v>
      </x:c>
      <x:c r="D130" s="9" t="s">
        <x:v>64</x:v>
      </x:c>
      <x:c r="E130" s="9" t="s">
        <x:v>73</x:v>
      </x:c>
      <x:c r="F130" s="5" t="str">
        <x:v>Jl. Gandaria Dalam</x:v>
      </x:c>
      <x:c r="G130" s="5" t="str">
        <x:v>PT. MEGA SAPUTRA PERSADA</x:v>
      </x:c>
      <x:c r="H130" s="15" t="str">
        <x:v>Defri Hertanto</x:v>
      </x:c>
      <x:c r="I130" s="15" t="str">
        <x:v>Aliansi Pengembang Perumahan Nasional Jaya (APPERNAS JAYA)</x:v>
      </x:c>
      <x:c r="J130" s="5" t="n">
        <x:v>2015</x:v>
      </x:c>
      <x:c r="K130" s="15">
        <x:v>86</x:v>
      </x:c>
      <x:c r="L130" s="9">
        <x:v>86</x:v>
      </x:c>
      <x:c r="M130" s="15">
        <x:v>86</x:v>
      </x:c>
      <x:c r="N130" s="15" t="s">
        <x:v>78</x:v>
      </x:c>
      <x:c r="O130" s="5"/>
      <x:c r="P130" s="5"/>
      <x:c r="Q130" s="21" t="s">
        <x:v>67</x:v>
      </x:c>
      <x:c r="R130" s="21"/>
      <x:c r="S130" s="18"/>
      <x:c r="T130" s="9"/>
      <x:c r="U130" s="9"/>
      <x:c r="V130" s="74">
        <x:v>-2.1243243999999999</x:v>
      </x:c>
      <x:c r="W130" s="9">
        <x:v>106.07832500000001</x:v>
      </x:c>
      <x:c r="X130" s="9"/>
      <x:c r="Y130" s="52"/>
      <x:c r="Z130" s="27"/>
      <x:c r="AA130" s="42"/>
      <x:c r="AB130" s="79"/>
      <x:c r="AC130" s="45"/>
      <x:c r="AD130">
        <x:f t="shared" si="8"/>
        <x:v>1</x:v>
      </x:c>
      <x:c r="AE130">
        <x:f t="shared" si="9"/>
        <x:v>1</x:v>
      </x:c>
    </x:row>
    <x:row r="131">
      <x:c r="A131" s="29" t="s">
        <x:v>350</x:v>
      </x:c>
      <x:c r="B131" s="9" t="s">
        <x:v>351</x:v>
      </x:c>
      <x:c r="C131" s="5" t="s">
        <x:v>63</x:v>
      </x:c>
      <x:c r="D131" s="9" t="s">
        <x:v>64</x:v>
      </x:c>
      <x:c r="E131" s="9" t="s">
        <x:v>73</x:v>
      </x:c>
      <x:c r="F131" s="5" t="str">
        <x:v>Jl. Gandaria 1</x:v>
      </x:c>
      <x:c r="G131" s="5" t="str">
        <x:v>PT. ANGKASA RAYA MAS</x:v>
      </x:c>
      <x:c r="H131" s="15" t="str">
        <x:v>Daniel Surya Putra</x:v>
      </x:c>
      <x:c r="I131" s="15" t="str">
        <x:v>Pengembang Indonesia (PI)</x:v>
      </x:c>
      <x:c r="J131" s="5" t="n">
        <x:v>2019</x:v>
      </x:c>
      <x:c r="K131" s="15">
        <x:v>52</x:v>
      </x:c>
      <x:c r="L131" s="9">
        <x:v>52</x:v>
      </x:c>
      <x:c r="M131" s="15">
        <x:v>52</x:v>
      </x:c>
      <x:c r="N131" s="15" t="s">
        <x:v>66</x:v>
      </x:c>
      <x:c r="O131" s="5" t="n">
        <x:v>2023</x:v>
      </x:c>
      <x:c r="P131" s="5"/>
      <x:c r="Q131" s="21" t="s">
        <x:v>67</x:v>
      </x:c>
      <x:c r="R131" s="21" t="s">
        <x:v>130</x:v>
      </x:c>
      <x:c r="S131" s="18"/>
      <x:c r="T131" s="9"/>
      <x:c r="U131" s="9"/>
      <x:c r="V131" s="74">
        <x:v>-2.1169406</x:v>
      </x:c>
      <x:c r="W131" s="9">
        <x:v>106.0747703</x:v>
      </x:c>
      <x:c r="X131" s="9"/>
      <x:c r="Y131" s="52"/>
      <x:c r="Z131" s="27"/>
      <x:c r="AA131" s="42"/>
      <x:c r="AB131" s="79"/>
      <x:c r="AC131" s="45"/>
      <x:c r="AD131">
        <x:f t="shared" si="8"/>
        <x:v>1</x:v>
      </x:c>
      <x:c r="AE131">
        <x:f t="shared" si="9"/>
        <x:v>1</x:v>
      </x:c>
    </x:row>
    <x:row r="132" ht="25">
      <x:c r="A132" s="29" t="s">
        <x:v>352</x:v>
      </x:c>
      <x:c r="B132" s="9" t="s">
        <x:v>353</x:v>
      </x:c>
      <x:c r="C132" s="5" t="s">
        <x:v>63</x:v>
      </x:c>
      <x:c r="D132" s="9" t="s">
        <x:v>86</x:v>
      </x:c>
      <x:c r="E132" s="9" t="s">
        <x:v>93</x:v>
      </x:c>
      <x:c r="F132" s="5" t="str">
        <x:v>Jl. Kerabut</x:v>
      </x:c>
      <x:c r="G132" s="5" t="str">
        <x:v>PT. ELNOV LANGGENG INDAH</x:v>
      </x:c>
      <x:c r="H132" s="15" t="str">
        <x:v>Novian Kasmofit</x:v>
      </x:c>
      <x:c r="I132" s="15" t="str">
        <x:v>Asosiasi Pengembang Perumahan dan Permukiman Seluruh Indonesia (APERSI)</x:v>
      </x:c>
      <x:c r="J132" s="5" t="n">
        <x:v>2025</x:v>
      </x:c>
      <x:c r="K132" s="15">
        <x:v>43</x:v>
      </x:c>
      <x:c r="L132" s="9">
        <x:v>32</x:v>
      </x:c>
      <x:c r="M132" s="15">
        <x:v>32</x:v>
      </x:c>
      <x:c r="N132" s="15" t="s">
        <x:v>78</x:v>
      </x:c>
      <x:c r="O132" s="5"/>
      <x:c r="P132" s="5"/>
      <x:c r="Q132" s="21" t="s">
        <x:v>67</x:v>
      </x:c>
      <x:c r="R132" s="21" t="s">
        <x:v>108</x:v>
      </x:c>
      <x:c r="S132" s="18"/>
      <x:c r="T132" s="9"/>
      <x:c r="U132" s="9"/>
      <x:c r="V132" s="74">
        <x:v>-2.0889850000000001</x:v>
      </x:c>
      <x:c r="W132" s="9">
        <x:v>106.096946</x:v>
      </x:c>
      <x:c r="X132" s="9"/>
      <x:c r="Y132" s="52"/>
      <x:c r="Z132" s="27"/>
      <x:c r="AA132" s="42"/>
      <x:c r="AB132" s="79"/>
      <x:c r="AC132" s="45"/>
      <x:c r="AD132">
        <x:f t="shared" si="8"/>
        <x:v>0.7441860465116279</x:v>
      </x:c>
      <x:c r="AE132">
        <x:f t="shared" si="9"/>
        <x:v>1</x:v>
      </x:c>
    </x:row>
    <x:row r="133">
      <x:c r="A133" s="29" t="s">
        <x:v>354</x:v>
      </x:c>
      <x:c r="B133" s="9" t="s">
        <x:v>355</x:v>
      </x:c>
      <x:c r="C133" s="5" t="s">
        <x:v>63</x:v>
      </x:c>
      <x:c r="D133" s="9" t="s">
        <x:v>64</x:v>
      </x:c>
      <x:c r="E133" s="9" t="s">
        <x:v>73</x:v>
      </x:c>
      <x:c r="F133" s="5" t="str">
        <x:v>Jl. Tampuk Pengembang Indonesia (PI)nang Pura</x:v>
      </x:c>
      <x:c r="G133" s="5" t="str">
        <x:v>PT. KHANZANAH BABEL LESTARI</x:v>
      </x:c>
      <x:c r="H133" s="15" t="str">
        <x:v>Robiani</x:v>
      </x:c>
      <x:c r="I133" s="15" t="str">
        <x:v>Pengembang Indonesia (PI)</x:v>
      </x:c>
      <x:c r="J133" s="5" t="n">
        <x:v>2017</x:v>
      </x:c>
      <x:c r="K133" s="15">
        <x:v>18</x:v>
      </x:c>
      <x:c r="L133" s="9">
        <x:v>18</x:v>
      </x:c>
      <x:c r="M133" s="15">
        <x:v>18</x:v>
      </x:c>
      <x:c r="N133" s="15" t="s">
        <x:v>78</x:v>
      </x:c>
      <x:c r="O133" s="5"/>
      <x:c r="P133" s="5"/>
      <x:c r="Q133" s="21" t="s">
        <x:v>67</x:v>
      </x:c>
      <x:c r="R133" s="21"/>
      <x:c r="S133" s="18"/>
      <x:c r="T133" s="9"/>
      <x:c r="U133" s="9"/>
      <x:c r="V133" s="74">
        <x:v>-2.1208572000000001</x:v>
      </x:c>
      <x:c r="W133" s="9">
        <x:v>106.0729011</x:v>
      </x:c>
      <x:c r="X133" s="9"/>
      <x:c r="Y133" s="52"/>
      <x:c r="Z133" s="27"/>
      <x:c r="AA133" s="42"/>
      <x:c r="AB133" s="79"/>
      <x:c r="AC133" s="45"/>
      <x:c r="AD133">
        <x:f t="shared" si="8"/>
        <x:v>1</x:v>
      </x:c>
      <x:c r="AE133">
        <x:f t="shared" si="9"/>
        <x:v>1</x:v>
      </x:c>
    </x:row>
    <x:row r="134">
      <x:c r="A134" s="29" t="s">
        <x:v>356</x:v>
      </x:c>
      <x:c r="B134" s="9" t="s">
        <x:v>357</x:v>
      </x:c>
      <x:c r="C134" s="5" t="s">
        <x:v>63</x:v>
      </x:c>
      <x:c r="D134" s="9" t="s">
        <x:v>64</x:v>
      </x:c>
      <x:c r="E134" s="9" t="s">
        <x:v>73</x:v>
      </x:c>
      <x:c r="F134" s="5" t="str">
        <x:v>Jl. Tampuk Pengembang Indonesia (PI)nang Pura</x:v>
      </x:c>
      <x:c r="G134" s="5" t="str">
        <x:v>PT. KHANZANAH BABEL LESTARI</x:v>
      </x:c>
      <x:c r="H134" s="15" t="str">
        <x:v>Robiani</x:v>
      </x:c>
      <x:c r="I134" s="15" t="str">
        <x:v>Pengembang Indonesia (PI)</x:v>
      </x:c>
      <x:c r="J134" s="5" t="n">
        <x:v>2017</x:v>
      </x:c>
      <x:c r="K134" s="15">
        <x:v>137</x:v>
      </x:c>
      <x:c r="L134" s="9">
        <x:v>90</x:v>
      </x:c>
      <x:c r="M134" s="15">
        <x:v>60</x:v>
      </x:c>
      <x:c r="N134" s="15" t="s">
        <x:v>78</x:v>
      </x:c>
      <x:c r="O134" s="5"/>
      <x:c r="P134" s="5"/>
      <x:c r="Q134" s="21" t="s">
        <x:v>67</x:v>
      </x:c>
      <x:c r="R134" s="21" t="s">
        <x:v>130</x:v>
      </x:c>
      <x:c r="S134" s="18"/>
      <x:c r="T134" s="9"/>
      <x:c r="U134" s="9"/>
      <x:c r="V134" s="74">
        <x:v>-2.1191513</x:v>
      </x:c>
      <x:c r="W134" s="9">
        <x:v>106.0727887</x:v>
      </x:c>
      <x:c r="X134" s="9"/>
      <x:c r="Y134" s="52"/>
      <x:c r="Z134" s="27"/>
      <x:c r="AA134" s="42"/>
      <x:c r="AB134" s="79"/>
      <x:c r="AC134" s="45"/>
      <x:c r="AD134">
        <x:f t="shared" si="8"/>
        <x:v>0.65693430656934304</x:v>
      </x:c>
      <x:c r="AE134">
        <x:f t="shared" si="9"/>
        <x:v>0.66666666666666663</x:v>
      </x:c>
    </x:row>
    <x:row r="135">
      <x:c r="A135" s="29" t="s">
        <x:v>358</x:v>
      </x:c>
      <x:c r="B135" s="9" t="s">
        <x:v>359</x:v>
      </x:c>
      <x:c r="C135" s="5" t="s">
        <x:v>63</x:v>
      </x:c>
      <x:c r="D135" s="9" t="s">
        <x:v>64</x:v>
      </x:c>
      <x:c r="E135" s="9" t="s">
        <x:v>73</x:v>
      </x:c>
      <x:c r="F135" s="5" t="str">
        <x:v>Jl. Pengembang Indonesia (PI)nang Pura</x:v>
      </x:c>
      <x:c r="G135" s="5" t="str">
        <x:v>PT. KHANZANAH BABEL LESTARI</x:v>
      </x:c>
      <x:c r="H135" s="15" t="str">
        <x:v>Robiani</x:v>
      </x:c>
      <x:c r="I135" s="15" t="str">
        <x:v>Pengembang Indonesia (PI)</x:v>
      </x:c>
      <x:c r="J135" s="5" t="n">
        <x:v>2018</x:v>
      </x:c>
      <x:c r="K135" s="15">
        <x:v>35</x:v>
      </x:c>
      <x:c r="L135" s="9">
        <x:v>35</x:v>
      </x:c>
      <x:c r="M135" s="15">
        <x:v>35</x:v>
      </x:c>
      <x:c r="N135" s="15" t="s">
        <x:v>78</x:v>
      </x:c>
      <x:c r="O135" s="5"/>
      <x:c r="P135" s="5"/>
      <x:c r="Q135" s="21" t="s">
        <x:v>94</x:v>
      </x:c>
      <x:c r="R135" s="21" t="s">
        <x:v>108</x:v>
      </x:c>
      <x:c r="S135" s="18"/>
      <x:c r="T135" s="9"/>
      <x:c r="U135" s="9"/>
      <x:c r="V135" s="74"/>
      <x:c r="W135" s="9"/>
      <x:c r="X135" s="9"/>
      <x:c r="Y135" s="52"/>
      <x:c r="Z135" s="27"/>
      <x:c r="AA135" s="42"/>
      <x:c r="AB135" s="79"/>
      <x:c r="AC135" s="45"/>
      <x:c r="AD135">
        <x:f t="shared" si="8"/>
        <x:v>1</x:v>
      </x:c>
      <x:c r="AE135">
        <x:f t="shared" si="9"/>
        <x:v>1</x:v>
      </x:c>
    </x:row>
    <x:row r="136" ht="25">
      <x:c r="A136" s="29" t="s">
        <x:v>360</x:v>
      </x:c>
      <x:c r="B136" s="9" t="s">
        <x:v>361</x:v>
      </x:c>
      <x:c r="C136" s="5" t="s">
        <x:v>63</x:v>
      </x:c>
      <x:c r="D136" s="9" t="s">
        <x:v>86</x:v>
      </x:c>
      <x:c r="E136" s="9" t="s">
        <x:v>90</x:v>
      </x:c>
      <x:c r="F136" s="5" t="str">
        <x:v>Jl. Seluang III</x:v>
      </x:c>
      <x:c r="G136" s="5" t="str">
        <x:v>CV. NAGA MAS</x:v>
      </x:c>
      <x:c r="H136" s="15" t="str">
        <x:v>Zulkifli</x:v>
      </x:c>
      <x:c r="I136" s="15" t="str">
        <x:v>Aliansi Pengembang Perumahan Nasional Jaya (APPERNAS JAYA)</x:v>
      </x:c>
      <x:c r="J136" s="5" t="n">
        <x:v>2017</x:v>
      </x:c>
      <x:c r="K136" s="15">
        <x:v>44</x:v>
      </x:c>
      <x:c r="L136" s="9">
        <x:v>34</x:v>
      </x:c>
      <x:c r="M136" s="15">
        <x:v>34</x:v>
      </x:c>
      <x:c r="N136" s="15" t="s">
        <x:v>78</x:v>
      </x:c>
      <x:c r="O136" s="5"/>
      <x:c r="P136" s="5"/>
      <x:c r="Q136" s="21" t="s">
        <x:v>67</x:v>
      </x:c>
      <x:c r="R136" s="21"/>
      <x:c r="S136" s="18"/>
      <x:c r="T136" s="9" t="s">
        <x:v>68</x:v>
      </x:c>
      <x:c r="U136" s="9"/>
      <x:c r="V136" s="74">
        <x:v>-2.098071</x:v>
      </x:c>
      <x:c r="W136" s="9">
        <x:v>106.116671</x:v>
      </x:c>
      <x:c r="X136" s="9"/>
      <x:c r="Y136" s="52"/>
      <x:c r="Z136" s="27"/>
      <x:c r="AA136" s="42"/>
      <x:c r="AB136" s="79"/>
      <x:c r="AC136" s="45"/>
      <x:c r="AD136">
        <x:f t="shared" si="8"/>
        <x:v>0.77272727272727271</x:v>
      </x:c>
      <x:c r="AE136">
        <x:f t="shared" si="9"/>
        <x:v>1</x:v>
      </x:c>
    </x:row>
    <x:row r="137" ht="25">
      <x:c r="A137" s="29" t="s">
        <x:v>362</x:v>
      </x:c>
      <x:c r="B137" s="9" t="s">
        <x:v>363</x:v>
      </x:c>
      <x:c r="C137" s="5" t="s">
        <x:v>63</x:v>
      </x:c>
      <x:c r="D137" s="9" t="s">
        <x:v>86</x:v>
      </x:c>
      <x:c r="E137" s="9" t="s">
        <x:v>364</x:v>
      </x:c>
      <x:c r="F137" s="5" t="str">
        <x:v>Jl. Raya Kartini</x:v>
      </x:c>
      <x:c r="G137" s="5" t="str">
        <x:v>CV. NAGA MAS</x:v>
      </x:c>
      <x:c r="H137" s="15" t="str">
        <x:v>Zulkifli</x:v>
      </x:c>
      <x:c r="I137" s="15" t="str">
        <x:v>Aliansi Pengembang Perumahan Nasional Jaya (APPERNAS JAYA)</x:v>
      </x:c>
      <x:c r="J137" s="5" t="n">
        <x:v>2019</x:v>
      </x:c>
      <x:c r="K137" s="15">
        <x:v>103</x:v>
      </x:c>
      <x:c r="L137" s="9">
        <x:v>93</x:v>
      </x:c>
      <x:c r="M137" s="15">
        <x:v>93</x:v>
      </x:c>
      <x:c r="N137" s="15" t="s">
        <x:v>78</x:v>
      </x:c>
      <x:c r="O137" s="5"/>
      <x:c r="P137" s="5"/>
      <x:c r="Q137" s="21" t="s">
        <x:v>67</x:v>
      </x:c>
      <x:c r="R137" s="21"/>
      <x:c r="S137" s="18"/>
      <x:c r="T137" s="9" t="s">
        <x:v>68</x:v>
      </x:c>
      <x:c r="U137" s="9"/>
      <x:c r="V137" s="74">
        <x:v>-2.101518</x:v>
      </x:c>
      <x:c r="W137" s="9">
        <x:v>106.11780299999999</x:v>
      </x:c>
      <x:c r="X137" s="9"/>
      <x:c r="Y137" s="52"/>
      <x:c r="Z137" s="27"/>
      <x:c r="AA137" s="42"/>
      <x:c r="AB137" s="79"/>
      <x:c r="AC137" s="45"/>
      <x:c r="AD137">
        <x:f t="shared" si="8"/>
        <x:v>0.90291262135922334</x:v>
      </x:c>
      <x:c r="AE137">
        <x:f t="shared" si="9"/>
        <x:v>1</x:v>
      </x:c>
    </x:row>
    <x:row r="138">
      <x:c r="A138" s="29" t="s">
        <x:v>365</x:v>
      </x:c>
      <x:c r="B138" s="9" t="s">
        <x:v>366</x:v>
      </x:c>
      <x:c r="C138" s="5" t="s">
        <x:v>63</x:v>
      </x:c>
      <x:c r="D138" s="9" t="s">
        <x:v>64</x:v>
      </x:c>
      <x:c r="E138" s="9" t="s">
        <x:v>65</x:v>
      </x:c>
      <x:c r="F138" s="5" t="str">
        <x:v>Jl. Almizan Gang Seniman</x:v>
      </x:c>
      <x:c r="G138" s="5" t="str">
        <x:v>PT. CITRA PRATAMA GASINDO</x:v>
      </x:c>
      <x:c r="H138" s="15" t="str">
        <x:v>Emida</x:v>
      </x:c>
      <x:c r="I138" s="15" t="str">
        <x:v>Belum Teridentifikasi</x:v>
      </x:c>
      <x:c r="J138" s="5" t="n">
        <x:v>2024</x:v>
      </x:c>
      <x:c r="K138" s="15">
        <x:v>79</x:v>
      </x:c>
      <x:c r="L138" s="9">
        <x:v>18</x:v>
      </x:c>
      <x:c r="M138" s="15">
        <x:v>15</x:v>
      </x:c>
      <x:c r="N138" s="15" t="s">
        <x:v>78</x:v>
      </x:c>
      <x:c r="O138" s="5"/>
      <x:c r="P138" s="5"/>
      <x:c r="Q138" s="21" t="s">
        <x:v>67</x:v>
      </x:c>
      <x:c r="R138" s="21" t="s">
        <x:v>108</x:v>
      </x:c>
      <x:c r="S138" s="18"/>
      <x:c r="T138" s="9" t="s">
        <x:v>68</x:v>
      </x:c>
      <x:c r="U138" s="9"/>
      <x:c r="V138" s="74">
        <x:v>-2.0988720000000001</x:v>
      </x:c>
      <x:c r="W138" s="9">
        <x:v>106.0761523</x:v>
      </x:c>
      <x:c r="X138" s="9"/>
      <x:c r="Y138" s="52"/>
      <x:c r="Z138" s="27"/>
      <x:c r="AA138" s="42"/>
      <x:c r="AB138" s="79"/>
      <x:c r="AC138" s="45"/>
      <x:c r="AD138">
        <x:f t="shared" si="8"/>
        <x:v>0.22784810126582278</x:v>
      </x:c>
      <x:c r="AE138">
        <x:f t="shared" si="9"/>
        <x:v>0.83333333333333337</x:v>
      </x:c>
    </x:row>
    <x:row r="139">
      <x:c r="A139" s="29" t="s">
        <x:v>367</x:v>
      </x:c>
      <x:c r="B139" s="9" t="s">
        <x:v>368</x:v>
      </x:c>
      <x:c r="C139" s="5" t="s">
        <x:v>63</x:v>
      </x:c>
      <x:c r="D139" s="9" t="s">
        <x:v>64</x:v>
      </x:c>
      <x:c r="E139" s="9" t="s">
        <x:v>65</x:v>
      </x:c>
      <x:c r="F139" s="5" t="str">
        <x:v>Jl. Almizan Gang Seniman</x:v>
      </x:c>
      <x:c r="G139" s="5" t="str">
        <x:v>PT. CITRA PRATAMA GASINDO</x:v>
      </x:c>
      <x:c r="H139" s="15" t="str">
        <x:v>Emida</x:v>
      </x:c>
      <x:c r="I139" s="15" t="str">
        <x:v>Belum Teridentifikasi</x:v>
      </x:c>
      <x:c r="J139" s="5" t="n">
        <x:v>2024</x:v>
      </x:c>
      <x:c r="K139" s="15">
        <x:v>87</x:v>
      </x:c>
      <x:c r="L139" s="9">
        <x:v>17</x:v>
      </x:c>
      <x:c r="M139" s="15">
        <x:v>15</x:v>
      </x:c>
      <x:c r="N139" s="15" t="s">
        <x:v>78</x:v>
      </x:c>
      <x:c r="O139" s="5"/>
      <x:c r="P139" s="5"/>
      <x:c r="Q139" s="21" t="s">
        <x:v>67</x:v>
      </x:c>
      <x:c r="R139" s="21" t="s">
        <x:v>108</x:v>
      </x:c>
      <x:c r="S139" s="18"/>
      <x:c r="T139" s="9" t="s">
        <x:v>68</x:v>
      </x:c>
      <x:c r="U139" s="9"/>
      <x:c r="V139" s="74">
        <x:v>-2.0975619999999999</x:v>
      </x:c>
      <x:c r="W139" s="9">
        <x:v>106.07432350000001</x:v>
      </x:c>
      <x:c r="X139" s="9"/>
      <x:c r="Y139" s="52"/>
      <x:c r="Z139" s="27"/>
      <x:c r="AA139" s="42"/>
      <x:c r="AB139" s="79"/>
      <x:c r="AC139" s="45"/>
      <x:c r="AD139">
        <x:f t="shared" si="8"/>
        <x:v>0.19540229885057472</x:v>
      </x:c>
      <x:c r="AE139">
        <x:f t="shared" si="9"/>
        <x:v>0.88235294117647056</x:v>
      </x:c>
    </x:row>
    <x:row r="140">
      <x:c r="A140" s="29" t="s">
        <x:v>369</x:v>
      </x:c>
      <x:c r="B140" s="9" t="s">
        <x:v>370</x:v>
      </x:c>
      <x:c r="C140" s="5" t="s">
        <x:v>63</x:v>
      </x:c>
      <x:c r="D140" s="9" t="s">
        <x:v>64</x:v>
      </x:c>
      <x:c r="E140" s="9" t="s">
        <x:v>65</x:v>
      </x:c>
      <x:c r="F140" s="5" t="str">
        <x:v>Jl. Fatmawati</x:v>
      </x:c>
      <x:c r="G140" s="5" t="str">
        <x:v>PT. TIRTA LOKA</x:v>
      </x:c>
      <x:c r="H140" s="15" t="str">
        <x:v>Belum Teridentifikasi</x:v>
      </x:c>
      <x:c r="I140" s="15" t="str">
        <x:v>Real Estate Indonesia (REI)</x:v>
      </x:c>
      <x:c r="J140" s="5" t="n">
        <x:v>2020</x:v>
      </x:c>
      <x:c r="K140" s="15">
        <x:v>348</x:v>
      </x:c>
      <x:c r="L140" s="9">
        <x:v>312</x:v>
      </x:c>
      <x:c r="M140" s="15">
        <x:v>312</x:v>
      </x:c>
      <x:c r="N140" s="15" t="s">
        <x:v>78</x:v>
      </x:c>
      <x:c r="O140" s="5"/>
      <x:c r="P140" s="5"/>
      <x:c r="Q140" s="21" t="s">
        <x:v>67</x:v>
      </x:c>
      <x:c r="R140" s="21"/>
      <x:c r="S140" s="18"/>
      <x:c r="T140" s="9" t="s">
        <x:v>68</x:v>
      </x:c>
      <x:c r="U140" s="9"/>
      <x:c r="V140" s="74">
        <x:v>-2.097502</x:v>
      </x:c>
      <x:c r="W140" s="9">
        <x:v>106.092822</x:v>
      </x:c>
      <x:c r="X140" s="9"/>
      <x:c r="Y140" s="52"/>
      <x:c r="Z140" s="27"/>
      <x:c r="AA140" s="42"/>
      <x:c r="AB140" s="79"/>
      <x:c r="AC140" s="45"/>
      <x:c r="AD140">
        <x:f t="shared" si="8"/>
        <x:v>0.89655172413793105</x:v>
      </x:c>
      <x:c r="AE140">
        <x:f t="shared" si="9"/>
        <x:v>1</x:v>
      </x:c>
    </x:row>
    <x:row r="141">
      <x:c r="A141" s="29" t="s">
        <x:v>371</x:v>
      </x:c>
      <x:c r="B141" s="9" t="s">
        <x:v>372</x:v>
      </x:c>
      <x:c r="C141" s="5" t="s">
        <x:v>179</x:v>
      </x:c>
      <x:c r="D141" s="9" t="s">
        <x:v>104</x:v>
      </x:c>
      <x:c r="E141" s="9" t="s">
        <x:v>141</x:v>
      </x:c>
      <x:c r="F141" s="5" t="str">
        <x:v>Jl. Laksamana Hayati</x:v>
      </x:c>
      <x:c r="G141" s="5" t="str">
        <x:v>PT. ANUGRAH FAJAR MENUMBING</x:v>
      </x:c>
      <x:c r="H141" s="15" t="str">
        <x:v>Wanda Purnama</x:v>
      </x:c>
      <x:c r="I141" s="15" t="str">
        <x:v>Belum Teridentifikasi</x:v>
      </x:c>
      <x:c r="J141" s="5" t="n">
        <x:v>2022</x:v>
      </x:c>
      <x:c r="K141" s="15">
        <x:v>105</x:v>
      </x:c>
      <x:c r="L141" s="9">
        <x:v>97</x:v>
      </x:c>
      <x:c r="M141" s="15">
        <x:v>97</x:v>
      </x:c>
      <x:c r="N141" s="15" t="s">
        <x:v>78</x:v>
      </x:c>
      <x:c r="O141" s="5"/>
      <x:c r="P141" s="5"/>
      <x:c r="Q141" s="21" t="s">
        <x:v>67</x:v>
      </x:c>
      <x:c r="R141" s="21" t="s">
        <x:v>191</x:v>
      </x:c>
      <x:c r="S141" s="18"/>
      <x:c r="T141" s="9"/>
      <x:c r="U141" s="9"/>
      <x:c r="V141" s="74">
        <x:v>-2.1229969999999998</x:v>
      </x:c>
      <x:c r="W141" s="9">
        <x:v>106.159896</x:v>
      </x:c>
      <x:c r="X141" s="9"/>
      <x:c r="Y141" s="52"/>
      <x:c r="Z141" s="27"/>
      <x:c r="AA141" s="42"/>
      <x:c r="AB141" s="79"/>
      <x:c r="AC141" s="45"/>
      <x:c r="AD141">
        <x:f t="shared" si="8"/>
        <x:v>0.92380952380952386</x:v>
      </x:c>
      <x:c r="AE141">
        <x:f t="shared" si="9"/>
        <x:v>1</x:v>
      </x:c>
    </x:row>
    <x:row r="142">
      <x:c r="A142" s="29" t="s">
        <x:v>373</x:v>
      </x:c>
      <x:c r="B142" s="9" t="s">
        <x:v>374</x:v>
      </x:c>
      <x:c r="C142" s="5" t="s">
        <x:v>179</x:v>
      </x:c>
      <x:c r="D142" s="9" t="s">
        <x:v>104</x:v>
      </x:c>
      <x:c r="E142" s="9" t="s">
        <x:v>141</x:v>
      </x:c>
      <x:c r="F142" s="5" t="str">
        <x:v>Jl. Laksamana Hayati</x:v>
      </x:c>
      <x:c r="G142" s="5" t="str">
        <x:v>PT. ANUGRAH FAJAR MENUMBING</x:v>
      </x:c>
      <x:c r="H142" s="15" t="str">
        <x:v>Wanda Purnama</x:v>
      </x:c>
      <x:c r="I142" s="15" t="str">
        <x:v>Belum Teridentifikasi</x:v>
      </x:c>
      <x:c r="J142" s="5" t="n">
        <x:v>2023</x:v>
      </x:c>
      <x:c r="K142" s="15">
        <x:v>82</x:v>
      </x:c>
      <x:c r="L142" s="9">
        <x:v>43</x:v>
      </x:c>
      <x:c r="M142" s="15">
        <x:v>43</x:v>
      </x:c>
      <x:c r="N142" s="15" t="s">
        <x:v>78</x:v>
      </x:c>
      <x:c r="O142" s="5"/>
      <x:c r="P142" s="5"/>
      <x:c r="Q142" s="21" t="s">
        <x:v>67</x:v>
      </x:c>
      <x:c r="R142" s="21" t="s">
        <x:v>108</x:v>
      </x:c>
      <x:c r="S142" s="18"/>
      <x:c r="T142" s="9"/>
      <x:c r="U142" s="9"/>
      <x:c r="V142" s="74">
        <x:v>-2.1229969999999998</x:v>
      </x:c>
      <x:c r="W142" s="9">
        <x:v>106.159896</x:v>
      </x:c>
      <x:c r="X142" s="9"/>
      <x:c r="Y142" s="52"/>
      <x:c r="Z142" s="27"/>
      <x:c r="AA142" s="42"/>
      <x:c r="AB142" s="79"/>
      <x:c r="AC142" s="45"/>
      <x:c r="AD142">
        <x:f t="shared" si="8"/>
        <x:v>0.52439024390243905</x:v>
      </x:c>
      <x:c r="AE142">
        <x:f t="shared" si="9"/>
        <x:v>1</x:v>
      </x:c>
    </x:row>
    <x:row r="143">
      <x:c r="A143" s="29" t="s">
        <x:v>375</x:v>
      </x:c>
      <x:c r="B143" s="9" t="s">
        <x:v>376</x:v>
      </x:c>
      <x:c r="C143" s="5" t="s">
        <x:v>63</x:v>
      </x:c>
      <x:c r="D143" s="9" t="s">
        <x:v>104</x:v>
      </x:c>
      <x:c r="E143" s="9" t="s">
        <x:v>209</x:v>
      </x:c>
      <x:c r="F143" s="5" t="str">
        <x:v>Jl. Alexander, Depan Citraland</x:v>
      </x:c>
      <x:c r="G143" s="5" t="str">
        <x:v>PT. Pengembang Indonesia (PI)NANG MAS DUA</x:v>
      </x:c>
      <x:c r="H143" s="15" t="str">
        <x:v>Sri Hartati</x:v>
      </x:c>
      <x:c r="I143" s="15" t="str">
        <x:v>Belum Teridentifikasi</x:v>
      </x:c>
      <x:c r="J143" s="5" t="n">
        <x:v>2017</x:v>
      </x:c>
      <x:c r="K143" s="15">
        <x:v>109</x:v>
      </x:c>
      <x:c r="L143" s="9">
        <x:v>15</x:v>
      </x:c>
      <x:c r="M143" s="15">
        <x:v>6</x:v>
      </x:c>
      <x:c r="N143" s="15" t="s">
        <x:v>78</x:v>
      </x:c>
      <x:c r="O143" s="5"/>
      <x:c r="P143" s="5"/>
      <x:c r="Q143" s="21" t="s">
        <x:v>67</x:v>
      </x:c>
      <x:c r="R143" s="21"/>
      <x:c r="S143" s="18"/>
      <x:c r="T143" s="9"/>
      <x:c r="U143" s="9"/>
      <x:c r="V143" s="74">
        <x:v>-2.1278800000000002</x:v>
      </x:c>
      <x:c r="W143" s="9">
        <x:v>106.15365199999999</x:v>
      </x:c>
      <x:c r="X143" s="9"/>
      <x:c r="Y143" s="52"/>
      <x:c r="Z143" s="27"/>
      <x:c r="AA143" s="42"/>
      <x:c r="AB143" s="79"/>
      <x:c r="AC143" s="45"/>
      <x:c r="AD143" t="n">
        <x:f t="shared" ref="AD143:AD144" si="10">IF(A143="","",IFERROR(L143/K143,0))</x:f>
        <x:v>0.13761467889908258</x:v>
      </x:c>
      <x:c r="AE143" t="n">
        <x:f t="shared" ref="AE143:AE144" si="11">IF(A143="","",IFERROR(M143/L143,0))</x:f>
        <x:v>0.4</x:v>
      </x:c>
    </x:row>
    <x:row r="144">
      <x:c r="A144" s="29" t="s">
        <x:v>377</x:v>
      </x:c>
      <x:c r="B144" s="9" t="s">
        <x:v>378</x:v>
      </x:c>
      <x:c r="C144" s="5" t="s">
        <x:v>63</x:v>
      </x:c>
      <x:c r="D144" s="9" t="s">
        <x:v>104</x:v>
      </x:c>
      <x:c r="E144" s="9" t="s">
        <x:v>141</x:v>
      </x:c>
      <x:c r="F144" s="5" t="str">
        <x:v>Jl. Masjid Al-Husna Dalam</x:v>
      </x:c>
      <x:c r="G144" s="5" t="str">
        <x:v>PT. SYIRA JAYA PROPERTI</x:v>
      </x:c>
      <x:c r="H144" s="15" t="str">
        <x:v>Imrin</x:v>
      </x:c>
      <x:c r="I144" s="15" t="str">
        <x:v>Belum Teridentifikasi</x:v>
      </x:c>
      <x:c r="J144" s="5" t="n">
        <x:v>2025</x:v>
      </x:c>
      <x:c r="K144" s="15">
        <x:v>60</x:v>
      </x:c>
      <x:c r="L144" s="9">
        <x:v>28</x:v>
      </x:c>
      <x:c r="M144" s="15">
        <x:v>20</x:v>
      </x:c>
      <x:c r="N144" s="15" t="s">
        <x:v>78</x:v>
      </x:c>
      <x:c r="O144" s="5"/>
      <x:c r="P144" s="5"/>
      <x:c r="Q144" s="21" t="s">
        <x:v>94</x:v>
      </x:c>
      <x:c r="R144" s="21" t="s">
        <x:v>108</x:v>
      </x:c>
      <x:c r="S144" s="18"/>
      <x:c r="T144" s="9"/>
      <x:c r="U144" s="9"/>
      <x:c r="V144" s="74"/>
      <x:c r="W144" s="9"/>
      <x:c r="X144" s="9"/>
      <x:c r="Y144" s="52"/>
      <x:c r="Z144" s="64"/>
      <x:c r="AA144" s="42"/>
      <x:c r="AB144" s="79"/>
      <x:c r="AC144" s="72"/>
      <x:c r="AD144">
        <x:f t="shared" si="10"/>
        <x:v>0.46666666666666667</x:v>
      </x:c>
      <x:c r="AE144">
        <x:f t="shared" si="11"/>
        <x:v>0.7142857142857143</x:v>
      </x:c>
    </x:row>
    <x:row r="145">
      <x:c r="A145" s="29" t="s">
        <x:v>379</x:v>
      </x:c>
      <x:c r="B145" s="9" t="s">
        <x:v>380</x:v>
      </x:c>
      <x:c r="C145" s="5" t="s">
        <x:v>63</x:v>
      </x:c>
      <x:c r="D145" s="9" t="s">
        <x:v>64</x:v>
      </x:c>
      <x:c r="E145" s="9" t="s">
        <x:v>65</x:v>
      </x:c>
      <x:c r="F145" s="5" t="str">
        <x:v>Jl. Air Geligit</x:v>
      </x:c>
      <x:c r="G145" s="5" t="str">
        <x:v>PT. GUNA MITRA PRIMA PROPERTINDO</x:v>
      </x:c>
      <x:c r="H145" s="15" t="str">
        <x:v>Belum Teridentifikasi</x:v>
      </x:c>
      <x:c r="I145" s="15" t="str">
        <x:v>Belum Teridentifikasi</x:v>
      </x:c>
      <x:c r="J145" s="5" t="n">
        <x:v>2015</x:v>
      </x:c>
      <x:c r="K145" s="15">
        <x:v>91</x:v>
      </x:c>
      <x:c r="L145" s="9">
        <x:v>77</x:v>
      </x:c>
      <x:c r="M145" s="15">
        <x:v>59</x:v>
      </x:c>
      <x:c r="N145" s="15" t="s">
        <x:v>78</x:v>
      </x:c>
      <x:c r="O145" s="5"/>
      <x:c r="P145" s="5"/>
      <x:c r="Q145" s="21" t="s">
        <x:v>67</x:v>
      </x:c>
      <x:c r="R145" s="21" t="s">
        <x:v>108</x:v>
      </x:c>
      <x:c r="S145" s="18"/>
      <x:c r="T145" s="9"/>
      <x:c r="U145" s="9"/>
      <x:c r="V145" s="74">
        <x:v>-2.1073993999999998</x:v>
      </x:c>
      <x:c r="W145" s="9">
        <x:v>106.0614738</x:v>
      </x:c>
      <x:c r="X145" s="9"/>
      <x:c r="Y145" s="52"/>
      <x:c r="Z145" s="27"/>
      <x:c r="AA145" s="42"/>
      <x:c r="AB145" s="79"/>
      <x:c r="AC145" s="45"/>
      <x:c r="AD145" t="n">
        <x:f t="shared" ref="AD145:AD163" si="12">IF(A145="","",IFERROR(L145/K145,0))</x:f>
        <x:v>0.8461538461538461</x:v>
      </x:c>
      <x:c r="AE145" t="n">
        <x:f t="shared" ref="AE145:AE163" si="13">IF(A145="","",IFERROR(M145/L145,0))</x:f>
        <x:v>0.7662337662337663</x:v>
      </x:c>
    </x:row>
    <x:row r="146">
      <x:c r="A146" s="29" t="s">
        <x:v>381</x:v>
      </x:c>
      <x:c r="B146" s="9" t="s">
        <x:v>382</x:v>
      </x:c>
      <x:c r="C146" s="5" t="s">
        <x:v>179</x:v>
      </x:c>
      <x:c r="D146" s="9" t="s">
        <x:v>86</x:v>
      </x:c>
      <x:c r="E146" s="9" t="s">
        <x:v>112</x:v>
      </x:c>
      <x:c r="F146" s="5" t="str">
        <x:v>Jl. Jend. Sudirman</x:v>
      </x:c>
      <x:c r="G146" s="5" t="str">
        <x:v>PT. GRAHA LOKA</x:v>
      </x:c>
      <x:c r="H146" s="15" t="str">
        <x:v>Dymas Dwi Setia</x:v>
      </x:c>
      <x:c r="I146" s="15" t="str">
        <x:v>Real Estate Indonesia (REI)</x:v>
      </x:c>
      <x:c r="J146" s="5" t="n">
        <x:v>2017</x:v>
      </x:c>
      <x:c r="K146" s="15">
        <x:v>296</x:v>
      </x:c>
      <x:c r="L146" s="9">
        <x:v>173</x:v>
      </x:c>
      <x:c r="M146" s="15">
        <x:v>173</x:v>
      </x:c>
      <x:c r="N146" s="15" t="s">
        <x:v>78</x:v>
      </x:c>
      <x:c r="O146" s="5"/>
      <x:c r="P146" s="5"/>
      <x:c r="Q146" s="21" t="s">
        <x:v>94</x:v>
      </x:c>
      <x:c r="R146" s="21"/>
      <x:c r="S146" s="18"/>
      <x:c r="T146" s="9"/>
      <x:c r="U146" s="9"/>
      <x:c r="V146" s="74">
        <x:v>-2.0824609999999999</x:v>
      </x:c>
      <x:c r="W146" s="9">
        <x:v>106.11130199999999</x:v>
      </x:c>
      <x:c r="X146" s="9"/>
      <x:c r="Y146" s="52"/>
      <x:c r="Z146" s="27"/>
      <x:c r="AA146" s="42"/>
      <x:c r="AB146" s="79"/>
      <x:c r="AC146" s="45"/>
      <x:c r="AD146">
        <x:f t="shared" si="12"/>
        <x:v>0.58445945945945943</x:v>
      </x:c>
      <x:c r="AE146">
        <x:f t="shared" si="13"/>
        <x:v>1</x:v>
      </x:c>
    </x:row>
    <x:row r="147">
      <x:c r="A147" s="29" t="s">
        <x:v>383</x:v>
      </x:c>
      <x:c r="B147" s="9" t="s">
        <x:v>384</x:v>
      </x:c>
      <x:c r="C147" s="5" t="s">
        <x:v>63</x:v>
      </x:c>
      <x:c r="D147" s="9" t="s">
        <x:v>64</x:v>
      </x:c>
      <x:c r="E147" s="9" t="s">
        <x:v>65</x:v>
      </x:c>
      <x:c r="F147" s="5" t="str">
        <x:v>Jl. Raya Tua Tunu</x:v>
      </x:c>
      <x:c r="G147" s="5" t="str">
        <x:v>Belum Teridentifikasi</x:v>
      </x:c>
      <x:c r="H147" s="15" t="str">
        <x:v>Belum Teridentifikasi</x:v>
      </x:c>
      <x:c r="I147" s="15" t="str">
        <x:v>Belum Teridentifikasi</x:v>
      </x:c>
      <x:c r="J147" s="5" t="n">
        <x:v>2017</x:v>
      </x:c>
      <x:c r="K147" s="15">
        <x:v>119</x:v>
      </x:c>
      <x:c r="L147" s="9">
        <x:v>119</x:v>
      </x:c>
      <x:c r="M147" s="15">
        <x:v>0</x:v>
      </x:c>
      <x:c r="N147" s="15" t="s">
        <x:v>78</x:v>
      </x:c>
      <x:c r="O147" s="5"/>
      <x:c r="P147" s="5"/>
      <x:c r="Q147" s="21" t="s">
        <x:v>67</x:v>
      </x:c>
      <x:c r="R147" s="21" t="s">
        <x:v>108</x:v>
      </x:c>
      <x:c r="S147" s="18"/>
      <x:c r="T147" s="9"/>
      <x:c r="U147" s="9"/>
      <x:c r="V147" s="74"/>
      <x:c r="W147" s="9"/>
      <x:c r="X147" s="9"/>
      <x:c r="Y147" s="52"/>
      <x:c r="Z147" s="27"/>
      <x:c r="AA147" s="42"/>
      <x:c r="AB147" s="79"/>
      <x:c r="AC147" s="45"/>
      <x:c r="AD147">
        <x:f t="shared" si="12"/>
        <x:v>1</x:v>
      </x:c>
      <x:c r="AE147">
        <x:f t="shared" si="13"/>
        <x:v>0</x:v>
      </x:c>
    </x:row>
    <x:row r="148">
      <x:c r="A148" s="29" t="s">
        <x:v>385</x:v>
      </x:c>
      <x:c r="B148" s="9" t="s">
        <x:v>386</x:v>
      </x:c>
      <x:c r="C148" s="5" t="s">
        <x:v>63</x:v>
      </x:c>
      <x:c r="D148" s="9" t="s">
        <x:v>64</x:v>
      </x:c>
      <x:c r="E148" s="9" t="s">
        <x:v>65</x:v>
      </x:c>
      <x:c r="F148" s="5" t="str">
        <x:v>Jl. Kampak Dalam</x:v>
      </x:c>
      <x:c r="G148" s="5" t="str">
        <x:v>Belum Teridentifikasi</x:v>
      </x:c>
      <x:c r="H148" s="15" t="str">
        <x:v>Belum Teridentifikasi</x:v>
      </x:c>
      <x:c r="I148" s="15" t="str">
        <x:v>Belum Teridentifikasi</x:v>
      </x:c>
      <x:c r="J148" s="5" t="n">
        <x:v>2017</x:v>
      </x:c>
      <x:c r="K148" s="15">
        <x:v>120</x:v>
      </x:c>
      <x:c r="L148" s="9">
        <x:v>119</x:v>
      </x:c>
      <x:c r="M148" s="15">
        <x:v>101</x:v>
      </x:c>
      <x:c r="N148" s="15" t="s">
        <x:v>78</x:v>
      </x:c>
      <x:c r="O148" s="5"/>
      <x:c r="P148" s="5"/>
      <x:c r="Q148" s="21" t="s">
        <x:v>67</x:v>
      </x:c>
      <x:c r="R148" s="21"/>
      <x:c r="S148" s="18"/>
      <x:c r="T148" s="9"/>
      <x:c r="U148" s="9"/>
      <x:c r="V148" s="74">
        <x:v>-2.0997479999999999</x:v>
      </x:c>
      <x:c r="W148" s="9">
        <x:v>106.078397</x:v>
      </x:c>
      <x:c r="X148" s="9"/>
      <x:c r="Y148" s="52"/>
      <x:c r="Z148" s="27"/>
      <x:c r="AA148" s="42"/>
      <x:c r="AB148" s="79"/>
      <x:c r="AC148" s="45"/>
      <x:c r="AD148">
        <x:f t="shared" si="12"/>
        <x:v>0.9916666666666667</x:v>
      </x:c>
      <x:c r="AE148">
        <x:f t="shared" si="13"/>
        <x:v>0.84873949579831931</x:v>
      </x:c>
    </x:row>
    <x:row r="149">
      <x:c r="A149" s="29" t="s">
        <x:v>387</x:v>
      </x:c>
      <x:c r="B149" s="9" t="s">
        <x:v>388</x:v>
      </x:c>
      <x:c r="C149" s="5" t="s">
        <x:v>179</x:v>
      </x:c>
      <x:c r="D149" s="9" t="s">
        <x:v>86</x:v>
      </x:c>
      <x:c r="E149" s="9" t="s">
        <x:v>112</x:v>
      </x:c>
      <x:c r="F149" s="5" t="str">
        <x:v>Jl. Jend. Sudirman</x:v>
      </x:c>
      <x:c r="G149" s="5" t="str">
        <x:v>PT. GRAHA LOKA</x:v>
      </x:c>
      <x:c r="H149" s="15" t="str">
        <x:v>Dymas Dwi Setia</x:v>
      </x:c>
      <x:c r="I149" s="15" t="str">
        <x:v>Real Estate Indonesia (REI)</x:v>
      </x:c>
      <x:c r="J149" s="5"/>
      <x:c r="K149" s="15">
        <x:v>705</x:v>
      </x:c>
      <x:c r="L149" s="9">
        <x:v>615</x:v>
      </x:c>
      <x:c r="M149" s="15">
        <x:v>615</x:v>
      </x:c>
      <x:c r="N149" s="15" t="s">
        <x:v>78</x:v>
      </x:c>
      <x:c r="O149" s="5"/>
      <x:c r="P149" s="5"/>
      <x:c r="Q149" s="21" t="s">
        <x:v>94</x:v>
      </x:c>
      <x:c r="R149" s="21"/>
      <x:c r="S149" s="18"/>
      <x:c r="T149" s="9"/>
      <x:c r="U149" s="9"/>
      <x:c r="V149" s="74">
        <x:v>-2.084654</x:v>
      </x:c>
      <x:c r="W149" s="9">
        <x:v>106.113918</x:v>
      </x:c>
      <x:c r="X149" s="9"/>
      <x:c r="Y149" s="52"/>
      <x:c r="Z149" s="27"/>
      <x:c r="AA149" s="42"/>
      <x:c r="AB149" s="79"/>
      <x:c r="AC149" s="45"/>
      <x:c r="AD149">
        <x:f t="shared" si="12"/>
        <x:v>0.87234042553191493</x:v>
      </x:c>
      <x:c r="AE149">
        <x:f t="shared" si="13"/>
        <x:v>1</x:v>
      </x:c>
    </x:row>
    <x:row r="150">
      <x:c r="A150" s="29" t="s">
        <x:v>389</x:v>
      </x:c>
      <x:c r="B150" s="9" t="s">
        <x:v>390</x:v>
      </x:c>
      <x:c r="C150" s="5" t="s">
        <x:v>179</x:v>
      </x:c>
      <x:c r="D150" s="9" t="s">
        <x:v>86</x:v>
      </x:c>
      <x:c r="E150" s="9" t="s">
        <x:v>364</x:v>
      </x:c>
      <x:c r="F150" s="5" t="str">
        <x:v>Jl. Yos Sudarso</x:v>
      </x:c>
      <x:c r="G150" s="5" t="str">
        <x:v>PT. SYAMSI INVES TAMA</x:v>
      </x:c>
      <x:c r="H150" s="15" t="str">
        <x:v>Indra Setiawan</x:v>
      </x:c>
      <x:c r="I150" s="15"/>
      <x:c r="J150" s="5"/>
      <x:c r="K150" s="15">
        <x:v>47</x:v>
      </x:c>
      <x:c r="L150" s="9">
        <x:v>47</x:v>
      </x:c>
      <x:c r="M150" s="15">
        <x:v>47</x:v>
      </x:c>
      <x:c r="N150" s="15" t="s">
        <x:v>78</x:v>
      </x:c>
      <x:c r="O150" s="5"/>
      <x:c r="P150" s="5"/>
      <x:c r="Q150" s="21" t="s">
        <x:v>67</x:v>
      </x:c>
      <x:c r="R150" s="21"/>
      <x:c r="S150" s="18"/>
      <x:c r="T150" s="9"/>
      <x:c r="U150" s="9"/>
      <x:c r="V150" s="74">
        <x:v>-2.1046779999999998</x:v>
      </x:c>
      <x:c r="W150" s="9">
        <x:v>106.115516</x:v>
      </x:c>
      <x:c r="X150" s="9"/>
      <x:c r="Y150" s="52"/>
      <x:c r="Z150" s="64"/>
      <x:c r="AA150" s="42"/>
      <x:c r="AB150" s="79"/>
      <x:c r="AC150" s="72"/>
    </x:row>
    <x:row r="151">
      <x:c r="A151" s="29" t="s">
        <x:v>391</x:v>
      </x:c>
      <x:c r="B151" s="9" t="s">
        <x:v>392</x:v>
      </x:c>
      <x:c r="C151" s="5" t="s">
        <x:v>179</x:v>
      </x:c>
      <x:c r="D151" s="9" t="s">
        <x:v>104</x:v>
      </x:c>
      <x:c r="E151" s="9" t="s">
        <x:v>393</x:v>
      </x:c>
      <x:c r="F151" s="5" t="str">
        <x:v>Jl. Batu Kaldera</x:v>
      </x:c>
      <x:c r="G151" s="5" t="str">
        <x:v>PT. Pengembang Indonesia (PI)NANG JAYA MURNI</x:v>
      </x:c>
      <x:c r="H151" s="15" t="str">
        <x:v>Ho Har Aty</x:v>
      </x:c>
      <x:c r="I151" s="15" t="str">
        <x:v>Belum Teridentifikasi</x:v>
      </x:c>
      <x:c r="J151" s="5" t="n">
        <x:v>2024</x:v>
      </x:c>
      <x:c r="K151" s="15">
        <x:v>237</x:v>
      </x:c>
      <x:c r="L151" s="9">
        <x:v>0</x:v>
      </x:c>
      <x:c r="M151" s="15">
        <x:v>0</x:v>
      </x:c>
      <x:c r="N151" s="15" t="s">
        <x:v>78</x:v>
      </x:c>
      <x:c r="O151" s="5"/>
      <x:c r="P151" s="5"/>
      <x:c r="Q151" s="21" t="s">
        <x:v>67</x:v>
      </x:c>
      <x:c r="R151" s="21"/>
      <x:c r="S151" s="18"/>
      <x:c r="T151" s="9"/>
      <x:c r="U151" s="9"/>
      <x:c r="V151" s="74">
        <x:v>-2.1326553000000001</x:v>
      </x:c>
      <x:c r="W151" s="9">
        <x:v>106.1247745</x:v>
      </x:c>
      <x:c r="X151" s="9"/>
      <x:c r="Y151" s="52"/>
      <x:c r="Z151" s="27"/>
      <x:c r="AA151" s="42"/>
      <x:c r="AB151" s="79"/>
      <x:c r="AC151" s="45"/>
      <x:c r="AD151">
        <x:f t="shared" si="12"/>
        <x:v>0</x:v>
      </x:c>
      <x:c r="AE151">
        <x:f t="shared" si="13"/>
        <x:v>0</x:v>
      </x:c>
    </x:row>
    <x:row r="152" ht="25">
      <x:c r="A152" s="29" t="s">
        <x:v>394</x:v>
      </x:c>
      <x:c r="B152" s="9" t="s">
        <x:v>395</x:v>
      </x:c>
      <x:c r="C152" s="5" t="s">
        <x:v>63</x:v>
      </x:c>
      <x:c r="D152" s="9" t="s">
        <x:v>64</x:v>
      </x:c>
      <x:c r="E152" s="9" t="s">
        <x:v>73</x:v>
      </x:c>
      <x:c r="F152" s="5" t="str">
        <x:v>Gg. Abadi 1</x:v>
      </x:c>
      <x:c r="G152" s="5" t="str">
        <x:v>PT. ERFOLG MANDIRI INDONESIA</x:v>
      </x:c>
      <x:c r="H152" s="15" t="str">
        <x:v>Zhaud Marully Wisudawan Silaban</x:v>
      </x:c>
      <x:c r="I152" s="15" t="str">
        <x:v>Himpunan Pengembang Permukiman dan Perumahan Rakyat (HIMPERRA)</x:v>
      </x:c>
      <x:c r="J152" s="5" t="n">
        <x:v>2025</x:v>
      </x:c>
      <x:c r="K152" s="15">
        <x:v>64</x:v>
      </x:c>
      <x:c r="L152" s="9">
        <x:v>0</x:v>
      </x:c>
      <x:c r="M152" s="15">
        <x:v>0</x:v>
      </x:c>
      <x:c r="N152" s="15" t="s">
        <x:v>78</x:v>
      </x:c>
      <x:c r="O152" s="5"/>
      <x:c r="P152" s="5"/>
      <x:c r="Q152" s="21" t="s">
        <x:v>67</x:v>
      </x:c>
      <x:c r="R152" s="21" t="s">
        <x:v>108</x:v>
      </x:c>
      <x:c r="S152" s="18"/>
      <x:c r="T152" s="9"/>
      <x:c r="U152" s="9"/>
      <x:c r="V152" s="74">
        <x:v>-2.1277219999999999</x:v>
      </x:c>
      <x:c r="W152" s="9">
        <x:v>106.083528</x:v>
      </x:c>
      <x:c r="X152" s="9"/>
      <x:c r="Y152" s="52"/>
      <x:c r="Z152" s="27"/>
      <x:c r="AA152" s="42"/>
      <x:c r="AB152" s="79"/>
      <x:c r="AC152" s="45"/>
      <x:c r="AD152">
        <x:f t="shared" si="12"/>
        <x:v>0</x:v>
      </x:c>
      <x:c r="AE152">
        <x:f t="shared" si="13"/>
        <x:v>0</x:v>
      </x:c>
    </x:row>
    <x:row r="153" ht="25">
      <x:c r="A153" s="29" t="s">
        <x:v>396</x:v>
      </x:c>
      <x:c r="B153" s="9" t="s">
        <x:v>397</x:v>
      </x:c>
      <x:c r="C153" s="5" t="s">
        <x:v>63</x:v>
      </x:c>
      <x:c r="D153" s="9" t="s">
        <x:v>64</x:v>
      </x:c>
      <x:c r="E153" s="9" t="s">
        <x:v>73</x:v>
      </x:c>
      <x:c r="F153" s="5" t="str">
        <x:v>Jl. Kampung Melayu No.16</x:v>
      </x:c>
      <x:c r="G153" s="5" t="str">
        <x:v>PT. MADINA INVESTAMA SEJAHTERA</x:v>
      </x:c>
      <x:c r="H153" s="15" t="str">
        <x:v>Munajat</x:v>
      </x:c>
      <x:c r="I153" s="15" t="str">
        <x:v>Asosiasi Pengembang Perumahan Indonesia (APPERINDO)</x:v>
      </x:c>
      <x:c r="J153" s="5" t="n">
        <x:v>2017</x:v>
      </x:c>
      <x:c r="K153" s="15">
        <x:v>74</x:v>
      </x:c>
      <x:c r="L153" s="9">
        <x:v>74</x:v>
      </x:c>
      <x:c r="M153" s="15">
        <x:v>74</x:v>
      </x:c>
      <x:c r="N153" s="15" t="s">
        <x:v>78</x:v>
      </x:c>
      <x:c r="O153" s="5"/>
      <x:c r="P153" s="5"/>
      <x:c r="Q153" s="21" t="s">
        <x:v>67</x:v>
      </x:c>
      <x:c r="R153" s="21"/>
      <x:c r="S153" s="18"/>
      <x:c r="T153" s="9"/>
      <x:c r="U153" s="9"/>
      <x:c r="V153" s="74">
        <x:v>-2.1151049999999998</x:v>
      </x:c>
      <x:c r="W153" s="9">
        <x:v>106.081965</x:v>
      </x:c>
      <x:c r="X153" s="9"/>
      <x:c r="Y153" s="52"/>
      <x:c r="Z153" s="27"/>
      <x:c r="AA153" s="42"/>
      <x:c r="AB153" s="79"/>
      <x:c r="AC153" s="45"/>
      <x:c r="AD153">
        <x:f t="shared" si="12"/>
        <x:v>1</x:v>
      </x:c>
      <x:c r="AE153">
        <x:f t="shared" si="13"/>
        <x:v>1</x:v>
      </x:c>
    </x:row>
    <x:row r="154" ht="25">
      <x:c r="A154" s="29" t="s">
        <x:v>398</x:v>
      </x:c>
      <x:c r="B154" s="9" t="s">
        <x:v>399</x:v>
      </x:c>
      <x:c r="C154" s="5" t="s">
        <x:v>63</x:v>
      </x:c>
      <x:c r="D154" s="9" t="s">
        <x:v>64</x:v>
      </x:c>
      <x:c r="E154" s="9" t="s">
        <x:v>73</x:v>
      </x:c>
      <x:c r="F154" s="5" t="str">
        <x:v>Jl. Kampung Melayu</x:v>
      </x:c>
      <x:c r="G154" s="5" t="str">
        <x:v>PT. MADINA INVESTAMA SEJAHTERA</x:v>
      </x:c>
      <x:c r="H154" s="15" t="str">
        <x:v>Munajat</x:v>
      </x:c>
      <x:c r="I154" s="15" t="str">
        <x:v>Asosiasi Pengembang Perumahan Indonesia (APPERINDO)</x:v>
      </x:c>
      <x:c r="J154" s="5" t="n">
        <x:v>2017</x:v>
      </x:c>
      <x:c r="K154" s="15">
        <x:v>32</x:v>
      </x:c>
      <x:c r="L154" s="9">
        <x:v>32</x:v>
      </x:c>
      <x:c r="M154" s="15">
        <x:v>32</x:v>
      </x:c>
      <x:c r="N154" s="15" t="s">
        <x:v>78</x:v>
      </x:c>
      <x:c r="O154" s="5"/>
      <x:c r="P154" s="5"/>
      <x:c r="Q154" s="21" t="s">
        <x:v>94</x:v>
      </x:c>
      <x:c r="R154" s="21" t="s">
        <x:v>108</x:v>
      </x:c>
      <x:c r="S154" s="18"/>
      <x:c r="T154" s="9"/>
      <x:c r="U154" s="9"/>
      <x:c r="V154" s="74">
        <x:v>-2.1158537000000002</x:v>
      </x:c>
      <x:c r="W154" s="9">
        <x:v>106.0816123</x:v>
      </x:c>
      <x:c r="X154" s="9"/>
      <x:c r="Y154" s="52"/>
      <x:c r="Z154" s="27"/>
      <x:c r="AA154" s="42"/>
      <x:c r="AB154" s="79"/>
      <x:c r="AC154" s="45"/>
      <x:c r="AD154">
        <x:f t="shared" si="12"/>
        <x:v>1</x:v>
      </x:c>
      <x:c r="AE154">
        <x:f t="shared" si="13"/>
        <x:v>1</x:v>
      </x:c>
    </x:row>
    <x:row r="155" ht="25">
      <x:c r="A155" s="29" t="s">
        <x:v>400</x:v>
      </x:c>
      <x:c r="B155" s="9" t="s">
        <x:v>401</x:v>
      </x:c>
      <x:c r="C155" s="5" t="s">
        <x:v>63</x:v>
      </x:c>
      <x:c r="D155" s="9" t="s">
        <x:v>64</x:v>
      </x:c>
      <x:c r="E155" s="9" t="s">
        <x:v>73</x:v>
      </x:c>
      <x:c r="F155" s="5" t="str">
        <x:v>Jl. Kampung Melayu</x:v>
      </x:c>
      <x:c r="G155" s="5" t="str">
        <x:v>PT. MADINA INVESTAMA SEJAHTERA</x:v>
      </x:c>
      <x:c r="H155" s="15" t="str">
        <x:v>Munajat</x:v>
      </x:c>
      <x:c r="I155" s="15" t="str">
        <x:v>Asosiasi Pengembang Perumahan Indonesia (APPERINDO)</x:v>
      </x:c>
      <x:c r="J155" s="5" t="n">
        <x:v>2018</x:v>
      </x:c>
      <x:c r="K155" s="15">
        <x:v>80</x:v>
      </x:c>
      <x:c r="L155" s="9">
        <x:v>58</x:v>
      </x:c>
      <x:c r="M155" s="15">
        <x:v>35</x:v>
      </x:c>
      <x:c r="N155" s="15" t="s">
        <x:v>78</x:v>
      </x:c>
      <x:c r="O155" s="5"/>
      <x:c r="P155" s="5"/>
      <x:c r="Q155" s="21" t="s">
        <x:v>67</x:v>
      </x:c>
      <x:c r="R155" s="21" t="s">
        <x:v>108</x:v>
      </x:c>
      <x:c r="S155" s="18"/>
      <x:c r="T155" s="9"/>
      <x:c r="U155" s="9"/>
      <x:c r="V155" s="74">
        <x:v>-2.1149426999999998</x:v>
      </x:c>
      <x:c r="W155" s="9">
        <x:v>106.08137979999999</x:v>
      </x:c>
      <x:c r="X155" s="9"/>
      <x:c r="Y155" s="52"/>
      <x:c r="Z155" s="27"/>
      <x:c r="AA155" s="42"/>
      <x:c r="AB155" s="79"/>
      <x:c r="AC155" s="45"/>
      <x:c r="AD155">
        <x:f t="shared" si="12"/>
        <x:v>0.72499999999999998</x:v>
      </x:c>
      <x:c r="AE155">
        <x:f t="shared" si="13"/>
        <x:v>0.60344827586206895</x:v>
      </x:c>
    </x:row>
    <x:row r="156">
      <x:c r="A156" s="29" t="s">
        <x:v>402</x:v>
      </x:c>
      <x:c r="B156" s="9" t="s">
        <x:v>403</x:v>
      </x:c>
      <x:c r="C156" s="5" t="s">
        <x:v>63</x:v>
      </x:c>
      <x:c r="D156" s="9" t="s">
        <x:v>104</x:v>
      </x:c>
      <x:c r="E156" s="9" t="s">
        <x:v>209</x:v>
      </x:c>
      <x:c r="F156" s="5" t="str">
        <x:v>Jl. Masjid Al Husna</x:v>
      </x:c>
      <x:c r="G156" s="5" t="str">
        <x:v>PT.PAPengembang Indonesia (PI)NK INDAH PROPERTY</x:v>
      </x:c>
      <x:c r="H156" s="15" t="str">
        <x:v>Rita</x:v>
      </x:c>
      <x:c r="I156" s="15" t="str">
        <x:v>Pengembang Indonesia (PI)</x:v>
      </x:c>
      <x:c r="J156" s="5" t="n">
        <x:v>2017</x:v>
      </x:c>
      <x:c r="K156" s="15">
        <x:v>47</x:v>
      </x:c>
      <x:c r="L156" s="9">
        <x:v>47</x:v>
      </x:c>
      <x:c r="M156" s="15">
        <x:v>47</x:v>
      </x:c>
      <x:c r="N156" s="15" t="s">
        <x:v>78</x:v>
      </x:c>
      <x:c r="O156" s="5"/>
      <x:c r="P156" s="5"/>
      <x:c r="Q156" s="21" t="s">
        <x:v>67</x:v>
      </x:c>
      <x:c r="R156" s="21"/>
      <x:c r="S156" s="18"/>
      <x:c r="T156" s="9"/>
      <x:c r="U156" s="9"/>
      <x:c r="V156" s="74">
        <x:v>-2.1373600000000001</x:v>
      </x:c>
      <x:c r="W156" s="9">
        <x:v>106.157115</x:v>
      </x:c>
      <x:c r="X156" s="9"/>
      <x:c r="Y156" s="52"/>
      <x:c r="Z156" s="27"/>
      <x:c r="AA156" s="42"/>
      <x:c r="AB156" s="79"/>
      <x:c r="AC156" s="45"/>
      <x:c r="AD156">
        <x:f t="shared" si="12"/>
        <x:v>1</x:v>
      </x:c>
      <x:c r="AE156">
        <x:f t="shared" si="13"/>
        <x:v>1</x:v>
      </x:c>
    </x:row>
    <x:row r="157" ht="25">
      <x:c r="A157" s="29" t="s">
        <x:v>404</x:v>
      </x:c>
      <x:c r="B157" s="9" t="s">
        <x:v>405</x:v>
      </x:c>
      <x:c r="C157" s="5" t="s">
        <x:v>63</x:v>
      </x:c>
      <x:c r="D157" s="9" t="s">
        <x:v>104</x:v>
      </x:c>
      <x:c r="E157" s="9" t="s">
        <x:v>209</x:v>
      </x:c>
      <x:c r="F157" s="5" t="str">
        <x:v>Jl. Raya Pasir Padi</x:v>
      </x:c>
      <x:c r="G157" s="5" t="str">
        <x:v>PT.GRAHA PAPengembang Indonesia (PI)NK INDAH PROPERTY</x:v>
      </x:c>
      <x:c r="H157" s="15" t="str">
        <x:v>Rita</x:v>
      </x:c>
      <x:c r="I157" s="15" t="str">
        <x:v>Pengembang Indonesia (PI)</x:v>
      </x:c>
      <x:c r="J157" s="5" t="n">
        <x:v>2017</x:v>
      </x:c>
      <x:c r="K157" s="15">
        <x:v>62</x:v>
      </x:c>
      <x:c r="L157" s="9">
        <x:v>60</x:v>
      </x:c>
      <x:c r="M157" s="15">
        <x:v>55</x:v>
      </x:c>
      <x:c r="N157" s="15" t="s">
        <x:v>78</x:v>
      </x:c>
      <x:c r="O157" s="5"/>
      <x:c r="P157" s="5"/>
      <x:c r="Q157" s="21" t="s">
        <x:v>67</x:v>
      </x:c>
      <x:c r="R157" s="21"/>
      <x:c r="S157" s="18"/>
      <x:c r="T157" s="9"/>
      <x:c r="U157" s="9"/>
      <x:c r="V157" s="74">
        <x:v>-2.1294439999999999</x:v>
      </x:c>
      <x:c r="W157" s="9">
        <x:v>106.1604487</x:v>
      </x:c>
      <x:c r="X157" s="9"/>
      <x:c r="Y157" s="52"/>
      <x:c r="Z157" s="27"/>
      <x:c r="AA157" s="42"/>
      <x:c r="AB157" s="79"/>
      <x:c r="AC157" s="45"/>
      <x:c r="AD157">
        <x:f t="shared" si="12"/>
        <x:v>0.967741935483871</x:v>
      </x:c>
      <x:c r="AE157">
        <x:f t="shared" si="13"/>
        <x:v>0.91666666666666663</x:v>
      </x:c>
    </x:row>
    <x:row r="158" ht="25">
      <x:c r="A158" s="29" t="s">
        <x:v>406</x:v>
      </x:c>
      <x:c r="B158" s="9" t="s">
        <x:v>407</x:v>
      </x:c>
      <x:c r="C158" s="5" t="s">
        <x:v>63</x:v>
      </x:c>
      <x:c r="D158" s="9" t="s">
        <x:v>104</x:v>
      </x:c>
      <x:c r="E158" s="9" t="s">
        <x:v>141</x:v>
      </x:c>
      <x:c r="F158" s="5" t="str">
        <x:v>Jl. Pasir Padi</x:v>
      </x:c>
      <x:c r="G158" s="5" t="str">
        <x:v>PT.GRAHA PAPengembang Indonesia (PI)NK INDAH PROPERTY</x:v>
      </x:c>
      <x:c r="H158" s="15" t="str">
        <x:v>Rita</x:v>
      </x:c>
      <x:c r="I158" s="15" t="str">
        <x:v>Pengembang Indonesia (PI)</x:v>
      </x:c>
      <x:c r="J158" s="5" t="n">
        <x:v>2018</x:v>
      </x:c>
      <x:c r="K158" s="15">
        <x:v>62</x:v>
      </x:c>
      <x:c r="L158" s="9">
        <x:v>60</x:v>
      </x:c>
      <x:c r="M158" s="15">
        <x:v>0</x:v>
      </x:c>
      <x:c r="N158" s="15" t="s">
        <x:v>78</x:v>
      </x:c>
      <x:c r="O158" s="5"/>
      <x:c r="P158" s="5"/>
      <x:c r="Q158" s="21" t="s">
        <x:v>67</x:v>
      </x:c>
      <x:c r="R158" s="21"/>
      <x:c r="S158" s="18"/>
      <x:c r="T158" s="9"/>
      <x:c r="U158" s="9"/>
      <x:c r="V158" s="74">
        <x:v>-2.1298411000000002</x:v>
      </x:c>
      <x:c r="W158" s="9">
        <x:v>106.15998329999999</x:v>
      </x:c>
      <x:c r="X158" s="9"/>
      <x:c r="Y158" s="52"/>
      <x:c r="Z158" s="27"/>
      <x:c r="AA158" s="42"/>
      <x:c r="AB158" s="79"/>
      <x:c r="AC158" s="45"/>
      <x:c r="AD158">
        <x:f t="shared" si="12"/>
        <x:v>0.967741935483871</x:v>
      </x:c>
      <x:c r="AE158">
        <x:f t="shared" si="13"/>
        <x:v>0</x:v>
      </x:c>
    </x:row>
    <x:row r="159" ht="25">
      <x:c r="A159" s="29" t="s">
        <x:v>408</x:v>
      </x:c>
      <x:c r="B159" s="9" t="s">
        <x:v>409</x:v>
      </x:c>
      <x:c r="C159" s="5" t="s">
        <x:v>63</x:v>
      </x:c>
      <x:c r="D159" s="9" t="s">
        <x:v>104</x:v>
      </x:c>
      <x:c r="E159" s="9" t="s">
        <x:v>141</x:v>
      </x:c>
      <x:c r="F159" s="5" t="str">
        <x:v>Jl. Pasir Padi</x:v>
      </x:c>
      <x:c r="G159" s="5" t="str">
        <x:v>PT.GRAHA PAPengembang Indonesia (PI)NK INDAH PROPERTY</x:v>
      </x:c>
      <x:c r="H159" s="15" t="str">
        <x:v>Rita</x:v>
      </x:c>
      <x:c r="I159" s="15" t="str">
        <x:v>Pengembang Indonesia (PI)</x:v>
      </x:c>
      <x:c r="J159" s="5" t="n">
        <x:v>2019</x:v>
      </x:c>
      <x:c r="K159" s="15">
        <x:v>53</x:v>
      </x:c>
      <x:c r="L159" s="9">
        <x:v>45</x:v>
      </x:c>
      <x:c r="M159" s="15">
        <x:v>39</x:v>
      </x:c>
      <x:c r="N159" s="15" t="s">
        <x:v>78</x:v>
      </x:c>
      <x:c r="O159" s="5"/>
      <x:c r="P159" s="5"/>
      <x:c r="Q159" s="21" t="s">
        <x:v>67</x:v>
      </x:c>
      <x:c r="R159" s="21" t="s">
        <x:v>108</x:v>
      </x:c>
      <x:c r="S159" s="18"/>
      <x:c r="T159" s="9"/>
      <x:c r="U159" s="9"/>
      <x:c r="V159" s="74">
        <x:v>-2.130566</x:v>
      </x:c>
      <x:c r="W159" s="9">
        <x:v>106.16054800000001</x:v>
      </x:c>
      <x:c r="X159" s="9"/>
      <x:c r="Y159" s="52"/>
      <x:c r="Z159" s="27"/>
      <x:c r="AA159" s="42"/>
      <x:c r="AB159" s="79"/>
      <x:c r="AC159" s="45"/>
      <x:c r="AD159">
        <x:f t="shared" si="12"/>
        <x:v>0.84905660377358494</x:v>
      </x:c>
      <x:c r="AE159">
        <x:f t="shared" si="13"/>
        <x:v>0.8666666666666667</x:v>
      </x:c>
    </x:row>
    <x:row r="160" ht="25">
      <x:c r="A160" s="29" t="s">
        <x:v>410</x:v>
      </x:c>
      <x:c r="B160" s="9" t="s">
        <x:v>411</x:v>
      </x:c>
      <x:c r="C160" s="5" t="s">
        <x:v>63</x:v>
      </x:c>
      <x:c r="D160" s="9" t="s">
        <x:v>64</x:v>
      </x:c>
      <x:c r="E160" s="9" t="s">
        <x:v>65</x:v>
      </x:c>
      <x:c r="F160" s="5" t="str">
        <x:v>Jl. Air Geligit</x:v>
      </x:c>
      <x:c r="G160" s="5" t="str">
        <x:v>PT. GUNA MITRA PRIMA PROPERTINDO</x:v>
      </x:c>
      <x:c r="H160" s="15" t="str">
        <x:v>Naser Salim</x:v>
      </x:c>
      <x:c r="I160" s="15" t="str">
        <x:v>Aliansi Pengembang Perumahan Nasional Jaya (APPERNAS JAYA)</x:v>
      </x:c>
      <x:c r="J160" s="5" t="n">
        <x:v>2019</x:v>
      </x:c>
      <x:c r="K160" s="15">
        <x:v>112</x:v>
      </x:c>
      <x:c r="L160" s="9">
        <x:v>63</x:v>
      </x:c>
      <x:c r="M160" s="15">
        <x:v>63</x:v>
      </x:c>
      <x:c r="N160" s="15" t="s">
        <x:v>78</x:v>
      </x:c>
      <x:c r="O160" s="5"/>
      <x:c r="P160" s="5"/>
      <x:c r="Q160" s="21" t="s">
        <x:v>94</x:v>
      </x:c>
      <x:c r="R160" s="21" t="s">
        <x:v>108</x:v>
      </x:c>
      <x:c r="S160" s="18"/>
      <x:c r="T160" s="9"/>
      <x:c r="U160" s="9"/>
      <x:c r="V160" s="74">
        <x:v>-2.1078779999999999</x:v>
      </x:c>
      <x:c r="W160" s="9">
        <x:v>106.06042100000001</x:v>
      </x:c>
      <x:c r="X160" s="9"/>
      <x:c r="Y160" s="52"/>
      <x:c r="Z160" s="27"/>
      <x:c r="AA160" s="42"/>
      <x:c r="AB160" s="79"/>
      <x:c r="AC160" s="45"/>
      <x:c r="AD160">
        <x:f t="shared" si="12"/>
        <x:v>0.5625</x:v>
      </x:c>
      <x:c r="AE160">
        <x:f t="shared" si="13"/>
        <x:v>1</x:v>
      </x:c>
    </x:row>
    <x:row r="161" ht="25">
      <x:c r="A161" s="29" t="s">
        <x:v>412</x:v>
      </x:c>
      <x:c r="B161" s="9" t="s">
        <x:v>413</x:v>
      </x:c>
      <x:c r="C161" s="5" t="s">
        <x:v>63</x:v>
      </x:c>
      <x:c r="D161" s="9" t="s">
        <x:v>64</x:v>
      </x:c>
      <x:c r="E161" s="9" t="s">
        <x:v>65</x:v>
      </x:c>
      <x:c r="F161" s="5" t="str">
        <x:v>Belum Diketahui</x:v>
      </x:c>
      <x:c r="G161" s="5" t="str">
        <x:v>PT. BANGKA MANDIRI PROPERTY</x:v>
      </x:c>
      <x:c r="H161" s="15" t="str">
        <x:v>Edy Susanto</x:v>
      </x:c>
      <x:c r="I161" s="15" t="str">
        <x:v>Aliansi Pengembang Perumahan Nasional Jaya (APPERNAS JAYA)</x:v>
      </x:c>
      <x:c r="J161" s="5" t="n">
        <x:v>2022</x:v>
      </x:c>
      <x:c r="K161" s="15">
        <x:v>99</x:v>
      </x:c>
      <x:c r="L161" s="9">
        <x:v>93</x:v>
      </x:c>
      <x:c r="M161" s="15">
        <x:v>93</x:v>
      </x:c>
      <x:c r="N161" s="15" t="s">
        <x:v>78</x:v>
      </x:c>
      <x:c r="O161" s="5"/>
      <x:c r="P161" s="5"/>
      <x:c r="Q161" s="21" t="s">
        <x:v>67</x:v>
      </x:c>
      <x:c r="R161" s="21" t="s">
        <x:v>108</x:v>
      </x:c>
      <x:c r="S161" s="18"/>
      <x:c r="T161" s="9"/>
      <x:c r="U161" s="9"/>
      <x:c r="V161" s="74">
        <x:v>-2.1125147000000002</x:v>
      </x:c>
      <x:c r="W161" s="9">
        <x:v>106.07043590000001</x:v>
      </x:c>
      <x:c r="X161" s="9"/>
      <x:c r="Y161" s="52"/>
      <x:c r="Z161" s="27"/>
      <x:c r="AA161" s="42"/>
      <x:c r="AB161" s="79"/>
      <x:c r="AC161" s="45"/>
      <x:c r="AD161">
        <x:f t="shared" si="12"/>
        <x:v>0.93939393939393945</x:v>
      </x:c>
      <x:c r="AE161">
        <x:f t="shared" si="13"/>
        <x:v>1</x:v>
      </x:c>
    </x:row>
    <x:row r="162" ht="25">
      <x:c r="A162" s="29" t="s">
        <x:v>414</x:v>
      </x:c>
      <x:c r="B162" s="9" t="s">
        <x:v>415</x:v>
      </x:c>
      <x:c r="C162" s="5" t="s">
        <x:v>63</x:v>
      </x:c>
      <x:c r="D162" s="9" t="s">
        <x:v>64</x:v>
      </x:c>
      <x:c r="E162" s="9" t="s">
        <x:v>65</x:v>
      </x:c>
      <x:c r="F162" s="5" t="str">
        <x:v>Jl. Air Geligit</x:v>
      </x:c>
      <x:c r="G162" s="5" t="str">
        <x:v>PT. GUNA MITRA PRIMA PROPERTINDO</x:v>
      </x:c>
      <x:c r="H162" s="15" t="str">
        <x:v>Naser Salim</x:v>
      </x:c>
      <x:c r="I162" s="15" t="str">
        <x:v>Aliansi Pengembang Perumahan Nasional Jaya (APPERNAS JAYA)</x:v>
      </x:c>
      <x:c r="J162" s="5" t="n">
        <x:v>2020</x:v>
      </x:c>
      <x:c r="K162" s="15">
        <x:v>92</x:v>
      </x:c>
      <x:c r="L162" s="9">
        <x:v>85</x:v>
      </x:c>
      <x:c r="M162" s="15">
        <x:v>85</x:v>
      </x:c>
      <x:c r="N162" s="15" t="s">
        <x:v>78</x:v>
      </x:c>
      <x:c r="O162" s="5"/>
      <x:c r="P162" s="5"/>
      <x:c r="Q162" s="21" t="s">
        <x:v>67</x:v>
      </x:c>
      <x:c r="R162" s="21" t="s">
        <x:v>108</x:v>
      </x:c>
      <x:c r="S162" s="18"/>
      <x:c r="T162" s="9"/>
      <x:c r="U162" s="9"/>
      <x:c r="V162" s="74">
        <x:v>-2.1084619999999998</x:v>
      </x:c>
      <x:c r="W162" s="9">
        <x:v>106.062211</x:v>
      </x:c>
      <x:c r="X162" s="9"/>
      <x:c r="Y162" s="52"/>
      <x:c r="Z162" s="27"/>
      <x:c r="AA162" s="42"/>
      <x:c r="AB162" s="79"/>
      <x:c r="AC162" s="45"/>
      <x:c r="AD162">
        <x:f t="shared" si="12"/>
        <x:v>0.92391304347826086</x:v>
      </x:c>
      <x:c r="AE162">
        <x:f t="shared" si="13"/>
        <x:v>1</x:v>
      </x:c>
    </x:row>
    <x:row r="163">
      <x:c r="A163" s="29" t="s">
        <x:v>416</x:v>
      </x:c>
      <x:c r="B163" s="9" t="s">
        <x:v>417</x:v>
      </x:c>
      <x:c r="C163" s="5" t="s">
        <x:v>63</x:v>
      </x:c>
      <x:c r="D163" s="9" t="s">
        <x:v>86</x:v>
      </x:c>
      <x:c r="E163" s="9" t="s">
        <x:v>275</x:v>
      </x:c>
      <x:c r="F163" s="5" t="str">
        <x:v>Jl. Rustam Effendi</x:v>
      </x:c>
      <x:c r="G163" s="5" t="str">
        <x:v>PT. PRIMASCO GLOBAL DWISTAMA</x:v>
      </x:c>
      <x:c r="H163" s="15" t="str">
        <x:v>Ir. Dwi Herlanto</x:v>
      </x:c>
      <x:c r="I163" s="15" t="str">
        <x:v>Pengembang Indonesia (PI)</x:v>
      </x:c>
      <x:c r="J163" s="5" t="n">
        <x:v>2018</x:v>
      </x:c>
      <x:c r="K163" s="15">
        <x:v>56</x:v>
      </x:c>
      <x:c r="L163" s="9">
        <x:v>32</x:v>
      </x:c>
      <x:c r="M163" s="15">
        <x:v>32</x:v>
      </x:c>
      <x:c r="N163" s="15" t="s">
        <x:v>78</x:v>
      </x:c>
      <x:c r="O163" s="5"/>
      <x:c r="P163" s="5"/>
      <x:c r="Q163" s="21" t="s">
        <x:v>67</x:v>
      </x:c>
      <x:c r="R163" s="21" t="s">
        <x:v>108</x:v>
      </x:c>
      <x:c r="S163" s="18"/>
      <x:c r="T163" s="9"/>
      <x:c r="U163" s="9"/>
      <x:c r="V163" s="74">
        <x:v>-2.0945735000000001</x:v>
      </x:c>
      <x:c r="W163" s="9">
        <x:v>106.113224</x:v>
      </x:c>
      <x:c r="X163" s="9"/>
      <x:c r="Y163" s="52"/>
      <x:c r="Z163" s="27"/>
      <x:c r="AA163" s="42"/>
      <x:c r="AB163" s="79"/>
      <x:c r="AC163" s="45"/>
      <x:c r="AD163">
        <x:f t="shared" si="12"/>
        <x:v>0.5714285714285714</x:v>
      </x:c>
      <x:c r="AE163">
        <x:f t="shared" si="13"/>
        <x:v>1</x:v>
      </x:c>
    </x:row>
    <x:row r="164">
      <x:c r="A164" s="29" t="s">
        <x:v>418</x:v>
      </x:c>
      <x:c r="B164" s="9" t="s">
        <x:v>419</x:v>
      </x:c>
      <x:c r="C164" s="5" t="s">
        <x:v>63</x:v>
      </x:c>
      <x:c r="D164" s="9" t="s">
        <x:v>64</x:v>
      </x:c>
      <x:c r="E164" s="9" t="s">
        <x:v>65</x:v>
      </x:c>
      <x:c r="F164" s="5" t="str">
        <x:v>Jl. Air Geligit</x:v>
      </x:c>
      <x:c r="G164" s="5" t="str">
        <x:v>PT. ELANG GEMILANG PROPERTINDO</x:v>
      </x:c>
      <x:c r="H164" s="15" t="str">
        <x:v>Indra Setiawan</x:v>
      </x:c>
      <x:c r="I164" s="15"/>
      <x:c r="J164" s="5" t="n">
        <x:v>2026</x:v>
      </x:c>
      <x:c r="K164" s="15">
        <x:v>31</x:v>
      </x:c>
      <x:c r="L164" s="9">
        <x:v>0</x:v>
      </x:c>
      <x:c r="M164" s="15">
        <x:v>0</x:v>
      </x:c>
      <x:c r="N164" s="15" t="s">
        <x:v>78</x:v>
      </x:c>
      <x:c r="O164" s="5"/>
      <x:c r="P164" s="5"/>
      <x:c r="Q164" s="21" t="s">
        <x:v>67</x:v>
      </x:c>
      <x:c r="R164" s="21" t="s">
        <x:v>108</x:v>
      </x:c>
      <x:c r="S164" s="18"/>
      <x:c r="T164" s="9"/>
      <x:c r="U164" s="9"/>
      <x:c r="V164" s="74"/>
      <x:c r="W164" s="9"/>
      <x:c r="X164" s="9"/>
      <x:c r="Y164" s="52"/>
      <x:c r="Z164" s="64"/>
      <x:c r="AA164" s="42"/>
      <x:c r="AB164" s="79"/>
      <x:c r="AC164" s="72"/>
    </x:row>
    <x:row r="165">
      <x:c r="A165" s="29" t="s">
        <x:v>420</x:v>
      </x:c>
      <x:c r="B165" s="9" t="s">
        <x:v>421</x:v>
      </x:c>
      <x:c r="C165" s="5" t="s">
        <x:v>63</x:v>
      </x:c>
      <x:c r="D165" s="9" t="s">
        <x:v>64</x:v>
      </x:c>
      <x:c r="E165" s="9" t="s">
        <x:v>65</x:v>
      </x:c>
      <x:c r="F165" s="5" t="str">
        <x:v>Jl. Haji Umar</x:v>
      </x:c>
      <x:c r="G165" s="5" t="str">
        <x:v>PT. PEDS GRUP PROPERTI</x:v>
      </x:c>
      <x:c r="H165" s="15" t="str">
        <x:v>Dedy</x:v>
      </x:c>
      <x:c r="I165" s="15" t="str">
        <x:v>Pengembang Indonesia (PI)</x:v>
      </x:c>
      <x:c r="J165" s="5" t="n">
        <x:v>2019</x:v>
      </x:c>
      <x:c r="K165" s="15">
        <x:v>36</x:v>
      </x:c>
      <x:c r="L165" s="9">
        <x:v>31</x:v>
      </x:c>
      <x:c r="M165" s="15">
        <x:v>28</x:v>
      </x:c>
      <x:c r="N165" s="15" t="s">
        <x:v>78</x:v>
      </x:c>
      <x:c r="O165" s="5"/>
      <x:c r="P165" s="5"/>
      <x:c r="Q165" s="21" t="s">
        <x:v>67</x:v>
      </x:c>
      <x:c r="R165" s="21" t="s">
        <x:v>108</x:v>
      </x:c>
      <x:c r="S165" s="18"/>
      <x:c r="T165" s="9"/>
      <x:c r="U165" s="9"/>
      <x:c r="V165" s="74">
        <x:v>-2.1185654</x:v>
      </x:c>
      <x:c r="W165" s="9">
        <x:v>106.0760401</x:v>
      </x:c>
      <x:c r="X165" s="9"/>
      <x:c r="Y165" s="52"/>
      <x:c r="Z165" s="27"/>
      <x:c r="AA165" s="42"/>
      <x:c r="AB165" s="79"/>
      <x:c r="AC165" s="45"/>
      <x:c r="AD165" t="n">
        <x:f t="shared" ref="AD165:AD205" si="14">IF(A165="","",IFERROR(L165/K165,0))</x:f>
        <x:v>0.8611111111111112</x:v>
      </x:c>
      <x:c r="AE165" t="n">
        <x:f t="shared" ref="AE165:AE205" si="15">IF(A165="","",IFERROR(M165/L165,0))</x:f>
        <x:v>0.9032258064516129</x:v>
      </x:c>
    </x:row>
    <x:row r="166">
      <x:c r="A166" s="29" t="s">
        <x:v>422</x:v>
      </x:c>
      <x:c r="B166" s="9" t="s">
        <x:v>423</x:v>
      </x:c>
      <x:c r="C166" s="5" t="s">
        <x:v>179</x:v>
      </x:c>
      <x:c r="D166" s="9" t="s">
        <x:v>104</x:v>
      </x:c>
      <x:c r="E166" s="9" t="s">
        <x:v>105</x:v>
      </x:c>
      <x:c r="F166" s="5" t="str">
        <x:v>Jl. Pulau Pelepas</x:v>
      </x:c>
      <x:c r="G166" s="5" t="str">
        <x:v>Belum Teridentifikasi</x:v>
      </x:c>
      <x:c r="H166" s="15" t="str">
        <x:v>Belum Teridentifikasi</x:v>
      </x:c>
      <x:c r="I166" s="15" t="str">
        <x:v>Belum Teridentifikasi</x:v>
      </x:c>
      <x:c r="J166" s="5" t="str">
        <x:v>SEBELUM TAHUN 2014</x:v>
      </x:c>
      <x:c r="K166" s="15">
        <x:v>70</x:v>
      </x:c>
      <x:c r="L166" s="9">
        <x:v>0</x:v>
      </x:c>
      <x:c r="M166" s="15">
        <x:v>0</x:v>
      </x:c>
      <x:c r="N166" s="15" t="s">
        <x:v>78</x:v>
      </x:c>
      <x:c r="O166" s="5"/>
      <x:c r="P166" s="5"/>
      <x:c r="Q166" s="21" t="s">
        <x:v>94</x:v>
      </x:c>
      <x:c r="R166" s="21"/>
      <x:c r="S166" s="18"/>
      <x:c r="T166" s="9"/>
      <x:c r="U166" s="9"/>
      <x:c r="V166" s="74"/>
      <x:c r="W166" s="9"/>
      <x:c r="X166" s="9"/>
      <x:c r="Y166" s="52"/>
      <x:c r="Z166" s="27"/>
      <x:c r="AA166" s="42"/>
      <x:c r="AB166" s="79"/>
      <x:c r="AC166" s="45"/>
      <x:c r="AD166">
        <x:f t="shared" si="14"/>
        <x:v>0</x:v>
      </x:c>
      <x:c r="AE166">
        <x:f t="shared" si="15"/>
        <x:v>0</x:v>
      </x:c>
    </x:row>
    <x:row r="167">
      <x:c r="A167" s="29" t="s">
        <x:v>424</x:v>
      </x:c>
      <x:c r="B167" s="9" t="s">
        <x:v>425</x:v>
      </x:c>
      <x:c r="C167" s="5" t="s">
        <x:v>63</x:v>
      </x:c>
      <x:c r="D167" s="9" t="s">
        <x:v>314</x:v>
      </x:c>
      <x:c r="E167" s="9" t="s">
        <x:v>315</x:v>
      </x:c>
      <x:c r="F167" s="5" t="str">
        <x:v>Jl. Bukit Tunggal</x:v>
      </x:c>
      <x:c r="G167" s="5" t="str">
        <x:v>PT.BERKAH ABADI BERJAYA</x:v>
      </x:c>
      <x:c r="H167" s="15" t="str">
        <x:v>Fiter</x:v>
      </x:c>
      <x:c r="I167" s="15" t="str">
        <x:v>Belum Teridentifikasi</x:v>
      </x:c>
      <x:c r="J167" s="5" t="n">
        <x:v>2017</x:v>
      </x:c>
      <x:c r="K167" s="15">
        <x:v>23</x:v>
      </x:c>
      <x:c r="L167" s="9">
        <x:v>23</x:v>
      </x:c>
      <x:c r="M167" s="15">
        <x:v>23</x:v>
      </x:c>
      <x:c r="N167" s="15" t="s">
        <x:v>78</x:v>
      </x:c>
      <x:c r="O167" s="5"/>
      <x:c r="P167" s="5"/>
      <x:c r="Q167" s="21" t="s">
        <x:v>67</x:v>
      </x:c>
      <x:c r="R167" s="21" t="s">
        <x:v>108</x:v>
      </x:c>
      <x:c r="S167" s="18"/>
      <x:c r="T167" s="9"/>
      <x:c r="U167" s="9"/>
      <x:c r="V167" s="74">
        <x:v>-2.1512880999999999</x:v>
      </x:c>
      <x:c r="W167" s="9">
        <x:v>106.1042964</x:v>
      </x:c>
      <x:c r="X167" s="9"/>
      <x:c r="Y167" s="52"/>
      <x:c r="Z167" s="27"/>
      <x:c r="AA167" s="42"/>
      <x:c r="AB167" s="79"/>
      <x:c r="AC167" s="45"/>
      <x:c r="AD167">
        <x:f t="shared" si="14"/>
        <x:v>1</x:v>
      </x:c>
      <x:c r="AE167">
        <x:f t="shared" si="15"/>
        <x:v>1</x:v>
      </x:c>
    </x:row>
    <x:row r="168">
      <x:c r="A168" s="29" t="s">
        <x:v>426</x:v>
      </x:c>
      <x:c r="B168" s="9" t="s">
        <x:v>427</x:v>
      </x:c>
      <x:c r="C168" s="5" t="s">
        <x:v>63</x:v>
      </x:c>
      <x:c r="D168" s="9" t="s">
        <x:v>104</x:v>
      </x:c>
      <x:c r="E168" s="9" t="s">
        <x:v>209</x:v>
      </x:c>
      <x:c r="F168" s="5" t="str">
        <x:v>Jl. Pasir Padi</x:v>
      </x:c>
      <x:c r="G168" s="5" t="str">
        <x:v>Belum Teridentifikasi</x:v>
      </x:c>
      <x:c r="H168" s="15" t="str">
        <x:v>Belum Teridentifikasi</x:v>
      </x:c>
      <x:c r="I168" s="15" t="str">
        <x:v>Belum Teridentifikasi</x:v>
      </x:c>
      <x:c r="J168" s="5" t="n">
        <x:v>2016</x:v>
      </x:c>
      <x:c r="K168" s="15">
        <x:v>25</x:v>
      </x:c>
      <x:c r="L168" s="9">
        <x:v>0</x:v>
      </x:c>
      <x:c r="M168" s="15">
        <x:v>0</x:v>
      </x:c>
      <x:c r="N168" s="15" t="s">
        <x:v>78</x:v>
      </x:c>
      <x:c r="O168" s="5"/>
      <x:c r="P168" s="5"/>
      <x:c r="Q168" s="21" t="s">
        <x:v>67</x:v>
      </x:c>
      <x:c r="R168" s="21"/>
      <x:c r="S168" s="18"/>
      <x:c r="T168" s="9"/>
      <x:c r="U168" s="9"/>
      <x:c r="V168" s="74">
        <x:v>-2.1308129999999998</x:v>
      </x:c>
      <x:c r="W168" s="9">
        <x:v>106.162803</x:v>
      </x:c>
      <x:c r="X168" s="9"/>
      <x:c r="Y168" s="52"/>
      <x:c r="Z168" s="27"/>
      <x:c r="AA168" s="42"/>
      <x:c r="AB168" s="79"/>
      <x:c r="AC168" s="45"/>
      <x:c r="AD168">
        <x:f t="shared" si="14"/>
        <x:v>0</x:v>
      </x:c>
      <x:c r="AE168">
        <x:f t="shared" si="15"/>
        <x:v>0</x:v>
      </x:c>
    </x:row>
    <x:row r="169" ht="25">
      <x:c r="A169" s="29" t="s">
        <x:v>428</x:v>
      </x:c>
      <x:c r="B169" s="9" t="s">
        <x:v>429</x:v>
      </x:c>
      <x:c r="C169" s="5" t="s">
        <x:v>63</x:v>
      </x:c>
      <x:c r="D169" s="9" t="s">
        <x:v>86</x:v>
      </x:c>
      <x:c r="E169" s="9" t="s">
        <x:v>275</x:v>
      </x:c>
      <x:c r="F169" s="5" t="str">
        <x:v>Jl. Rustam Effendi</x:v>
      </x:c>
      <x:c r="G169" s="5" t="str">
        <x:v>PT.ELANG PERKASA PROPERTY</x:v>
      </x:c>
      <x:c r="H169" s="15" t="str">
        <x:v>Muhammad Pharevi</x:v>
      </x:c>
      <x:c r="I169" s="15" t="str">
        <x:v>Himpunan Pengembang Permukiman dan Perumahan Rakyat (HIMPERRA)</x:v>
      </x:c>
      <x:c r="J169" s="5" t="n">
        <x:v>2019</x:v>
      </x:c>
      <x:c r="K169" s="15">
        <x:v>56</x:v>
      </x:c>
      <x:c r="L169" s="9">
        <x:v>56</x:v>
      </x:c>
      <x:c r="M169" s="15">
        <x:v>53</x:v>
      </x:c>
      <x:c r="N169" s="15" t="s">
        <x:v>66</x:v>
      </x:c>
      <x:c r="O169" s="5" t="n">
        <x:v>2022</x:v>
      </x:c>
      <x:c r="P169" s="5"/>
      <x:c r="Q169" s="21" t="s">
        <x:v>67</x:v>
      </x:c>
      <x:c r="R169" s="21"/>
      <x:c r="S169" s="18"/>
      <x:c r="T169" s="9"/>
      <x:c r="U169" s="9"/>
      <x:c r="V169" s="74">
        <x:v>-2.0915680000000001</x:v>
      </x:c>
      <x:c r="W169" s="9">
        <x:v>106.118658</x:v>
      </x:c>
      <x:c r="X169" s="9"/>
      <x:c r="Y169" s="52"/>
      <x:c r="Z169" s="27"/>
      <x:c r="AA169" s="42"/>
      <x:c r="AB169" s="79"/>
      <x:c r="AC169" s="45"/>
      <x:c r="AD169">
        <x:f t="shared" si="14"/>
        <x:v>1</x:v>
      </x:c>
      <x:c r="AE169">
        <x:f t="shared" si="15"/>
        <x:v>0.9464285714285714</x:v>
      </x:c>
    </x:row>
    <x:row r="170" ht="25">
      <x:c r="A170" s="29" t="s">
        <x:v>430</x:v>
      </x:c>
      <x:c r="B170" s="9" t="s">
        <x:v>431</x:v>
      </x:c>
      <x:c r="C170" s="5" t="s">
        <x:v>63</x:v>
      </x:c>
      <x:c r="D170" s="9" t="s">
        <x:v>64</x:v>
      </x:c>
      <x:c r="E170" s="9" t="s">
        <x:v>65</x:v>
      </x:c>
      <x:c r="F170" s="5" t="str">
        <x:v>Jl. Kulan Kampak</x:v>
      </x:c>
      <x:c r="G170" s="5" t="str">
        <x:v>PT. ELANG PERKASA PROPERTI</x:v>
      </x:c>
      <x:c r="H170" s="15" t="str">
        <x:v>Muhammad Pharevi</x:v>
      </x:c>
      <x:c r="I170" s="15" t="str">
        <x:v>Himpunan Pengembang Permukiman dan Perumahan Rakyat (HIMPERRA)</x:v>
      </x:c>
      <x:c r="J170" s="5" t="n">
        <x:v>2020</x:v>
      </x:c>
      <x:c r="K170" s="15">
        <x:v>54</x:v>
      </x:c>
      <x:c r="L170" s="9">
        <x:v>54</x:v>
      </x:c>
      <x:c r="M170" s="15">
        <x:v>54</x:v>
      </x:c>
      <x:c r="N170" s="15" t="s">
        <x:v>78</x:v>
      </x:c>
      <x:c r="O170" s="5"/>
      <x:c r="P170" s="5"/>
      <x:c r="Q170" s="21" t="s">
        <x:v>67</x:v>
      </x:c>
      <x:c r="R170" s="21" t="s">
        <x:v>191</x:v>
      </x:c>
      <x:c r="S170" s="18"/>
      <x:c r="T170" s="9" t="s">
        <x:v>68</x:v>
      </x:c>
      <x:c r="U170" s="9"/>
      <x:c r="V170" s="74">
        <x:v>-2.1000770000000002</x:v>
      </x:c>
      <x:c r="W170" s="9">
        <x:v>106.07646699999999</x:v>
      </x:c>
      <x:c r="X170" s="9"/>
      <x:c r="Y170" s="52"/>
      <x:c r="Z170" s="27"/>
      <x:c r="AA170" s="42"/>
      <x:c r="AB170" s="79"/>
      <x:c r="AC170" s="45"/>
      <x:c r="AD170">
        <x:f t="shared" si="14"/>
        <x:v>1</x:v>
      </x:c>
      <x:c r="AE170">
        <x:f t="shared" si="15"/>
        <x:v>1</x:v>
      </x:c>
    </x:row>
    <x:row r="171" ht="25">
      <x:c r="A171" s="29" t="s">
        <x:v>432</x:v>
      </x:c>
      <x:c r="B171" s="9" t="s">
        <x:v>433</x:v>
      </x:c>
      <x:c r="C171" s="5" t="s">
        <x:v>63</x:v>
      </x:c>
      <x:c r="D171" s="9" t="s">
        <x:v>64</x:v>
      </x:c>
      <x:c r="E171" s="9" t="s">
        <x:v>65</x:v>
      </x:c>
      <x:c r="F171" s="5" t="str">
        <x:v>Jl. Sungai Salim Dalam</x:v>
      </x:c>
      <x:c r="G171" s="5" t="str">
        <x:v>PT. ELANG PERKASA PROPERTI</x:v>
      </x:c>
      <x:c r="H171" s="15" t="str">
        <x:v>Muhammad Pharevi</x:v>
      </x:c>
      <x:c r="I171" s="15" t="str">
        <x:v>Himpunan Pengembang Permukiman dan Perumahan Rakyat (HIMPERRA)</x:v>
      </x:c>
      <x:c r="J171" s="5" t="n">
        <x:v>2022</x:v>
      </x:c>
      <x:c r="K171" s="15">
        <x:v>70</x:v>
      </x:c>
      <x:c r="L171" s="9">
        <x:v>61</x:v>
      </x:c>
      <x:c r="M171" s="15">
        <x:v>61</x:v>
      </x:c>
      <x:c r="N171" s="15" t="s">
        <x:v>78</x:v>
      </x:c>
      <x:c r="O171" s="5"/>
      <x:c r="P171" s="5"/>
      <x:c r="Q171" s="21" t="s">
        <x:v>67</x:v>
      </x:c>
      <x:c r="R171" s="21" t="s">
        <x:v>191</x:v>
      </x:c>
      <x:c r="S171" s="18"/>
      <x:c r="T171" s="9"/>
      <x:c r="U171" s="9"/>
      <x:c r="V171" s="74">
        <x:v>-2.0998857000000002</x:v>
      </x:c>
      <x:c r="W171" s="9">
        <x:v>106.07139979999999</x:v>
      </x:c>
      <x:c r="X171" s="9"/>
      <x:c r="Y171" s="52"/>
      <x:c r="Z171" s="27"/>
      <x:c r="AA171" s="42"/>
      <x:c r="AB171" s="79"/>
      <x:c r="AC171" s="45"/>
      <x:c r="AD171">
        <x:f t="shared" si="14"/>
        <x:v>0.87142857142857144</x:v>
      </x:c>
      <x:c r="AE171">
        <x:f t="shared" si="15"/>
        <x:v>1</x:v>
      </x:c>
    </x:row>
    <x:row r="172" ht="25">
      <x:c r="A172" s="29" t="s">
        <x:v>434</x:v>
      </x:c>
      <x:c r="B172" s="9" t="s">
        <x:v>435</x:v>
      </x:c>
      <x:c r="C172" s="5" t="s">
        <x:v>63</x:v>
      </x:c>
      <x:c r="D172" s="9" t="s">
        <x:v>86</x:v>
      </x:c>
      <x:c r="E172" s="9" t="s">
        <x:v>275</x:v>
      </x:c>
      <x:c r="F172" s="5" t="str">
        <x:v>Jl. Rustam Effendi</x:v>
      </x:c>
      <x:c r="G172" s="5" t="str">
        <x:v>PT. ELANG PERKASA PROPERTI</x:v>
      </x:c>
      <x:c r="H172" s="15" t="str">
        <x:v>Muhammad Pharevi</x:v>
      </x:c>
      <x:c r="I172" s="15" t="str">
        <x:v>Himpunan Pengembang Permukiman dan Perumahan Rakyat (HIMPERRA)</x:v>
      </x:c>
      <x:c r="J172" s="5" t="n">
        <x:v>2024</x:v>
      </x:c>
      <x:c r="K172" s="15">
        <x:v>64</x:v>
      </x:c>
      <x:c r="L172" s="9">
        <x:v>59</x:v>
      </x:c>
      <x:c r="M172" s="15">
        <x:v>46</x:v>
      </x:c>
      <x:c r="N172" s="15" t="s">
        <x:v>78</x:v>
      </x:c>
      <x:c r="O172" s="5"/>
      <x:c r="P172" s="5"/>
      <x:c r="Q172" s="21" t="s">
        <x:v>67</x:v>
      </x:c>
      <x:c r="R172" s="21" t="s">
        <x:v>108</x:v>
      </x:c>
      <x:c r="S172" s="18"/>
      <x:c r="T172" s="9"/>
      <x:c r="U172" s="9"/>
      <x:c r="V172" s="74">
        <x:v>-2.0903510000000001</x:v>
      </x:c>
      <x:c r="W172" s="9">
        <x:v>106.11813600000001</x:v>
      </x:c>
      <x:c r="X172" s="9"/>
      <x:c r="Y172" s="52"/>
      <x:c r="Z172" s="27"/>
      <x:c r="AA172" s="42"/>
      <x:c r="AB172" s="79"/>
      <x:c r="AC172" s="45"/>
      <x:c r="AD172">
        <x:f t="shared" si="14"/>
        <x:v>0.921875</x:v>
      </x:c>
      <x:c r="AE172">
        <x:f t="shared" si="15"/>
        <x:v>0.77966101694915257</x:v>
      </x:c>
    </x:row>
    <x:row r="173">
      <x:c r="A173" s="29" t="s">
        <x:v>436</x:v>
      </x:c>
      <x:c r="B173" s="9" t="s">
        <x:v>437</x:v>
      </x:c>
      <x:c r="C173" s="5" t="s">
        <x:v>63</x:v>
      </x:c>
      <x:c r="D173" s="9" t="s">
        <x:v>64</x:v>
      </x:c>
      <x:c r="E173" s="9" t="s">
        <x:v>73</x:v>
      </x:c>
      <x:c r="F173" s="5" t="str">
        <x:v>Jl. H. Umar</x:v>
      </x:c>
      <x:c r="G173" s="5" t="str">
        <x:v>CV. MADINA INVESTAMA SEJAHTERA</x:v>
      </x:c>
      <x:c r="H173" s="15" t="str">
        <x:v>Munajat</x:v>
      </x:c>
      <x:c r="I173" s="15" t="str">
        <x:v>Belum Teridentifikasi</x:v>
      </x:c>
      <x:c r="J173" s="5" t="n">
        <x:v>2017</x:v>
      </x:c>
      <x:c r="K173" s="15">
        <x:v>25</x:v>
      </x:c>
      <x:c r="L173" s="9">
        <x:v>25</x:v>
      </x:c>
      <x:c r="M173" s="15">
        <x:v>25</x:v>
      </x:c>
      <x:c r="N173" s="15" t="s">
        <x:v>78</x:v>
      </x:c>
      <x:c r="O173" s="5"/>
      <x:c r="P173" s="5"/>
      <x:c r="Q173" s="21" t="s">
        <x:v>67</x:v>
      </x:c>
      <x:c r="R173" s="21" t="s">
        <x:v>191</x:v>
      </x:c>
      <x:c r="S173" s="18"/>
      <x:c r="T173" s="9"/>
      <x:c r="U173" s="9"/>
      <x:c r="V173" s="74">
        <x:v>-2.1180140000000001</x:v>
      </x:c>
      <x:c r="W173" s="9">
        <x:v>106.078672</x:v>
      </x:c>
      <x:c r="X173" s="9"/>
      <x:c r="Y173" s="52"/>
      <x:c r="Z173" s="27"/>
      <x:c r="AA173" s="42"/>
      <x:c r="AB173" s="79"/>
      <x:c r="AC173" s="45"/>
      <x:c r="AD173">
        <x:f t="shared" si="14"/>
        <x:v>1</x:v>
      </x:c>
      <x:c r="AE173">
        <x:f t="shared" si="15"/>
        <x:v>1</x:v>
      </x:c>
    </x:row>
    <x:row r="174">
      <x:c r="A174" s="29" t="s">
        <x:v>438</x:v>
      </x:c>
      <x:c r="B174" s="9" t="s">
        <x:v>439</x:v>
      </x:c>
      <x:c r="C174" s="5" t="s">
        <x:v>63</x:v>
      </x:c>
      <x:c r="D174" s="9" t="s">
        <x:v>104</x:v>
      </x:c>
      <x:c r="E174" s="9" t="s">
        <x:v>209</x:v>
      </x:c>
      <x:c r="F174" s="5" t="str">
        <x:v>Jl. Padang Lama</x:v>
      </x:c>
      <x:c r="G174" s="5" t="str">
        <x:v>PT.BANGKA INDO PROPERTY</x:v>
      </x:c>
      <x:c r="H174" s="15" t="str">
        <x:v>Sri Devi Agustini</x:v>
      </x:c>
      <x:c r="I174" s="15" t="str">
        <x:v>Pengembang Indonesia (PI)</x:v>
      </x:c>
      <x:c r="J174" s="5" t="n">
        <x:v>2018</x:v>
      </x:c>
      <x:c r="K174" s="15">
        <x:v>45</x:v>
      </x:c>
      <x:c r="L174" s="9">
        <x:v>43</x:v>
      </x:c>
      <x:c r="M174" s="15">
        <x:v>43</x:v>
      </x:c>
      <x:c r="N174" s="15" t="s">
        <x:v>78</x:v>
      </x:c>
      <x:c r="O174" s="5"/>
      <x:c r="P174" s="5"/>
      <x:c r="Q174" s="21" t="s">
        <x:v>97</x:v>
      </x:c>
      <x:c r="R174" s="21"/>
      <x:c r="S174" s="18" t="s">
        <x:v>186</x:v>
      </x:c>
      <x:c r="T174" s="9"/>
      <x:c r="U174" s="9"/>
      <x:c r="V174" s="74">
        <x:v>-2.1573333319999999</x:v>
      </x:c>
      <x:c r="W174" s="9">
        <x:v>106.15588889999999</x:v>
      </x:c>
      <x:c r="X174" s="9"/>
      <x:c r="Y174" s="52"/>
      <x:c r="Z174" s="27"/>
      <x:c r="AA174" s="42"/>
      <x:c r="AB174" s="79"/>
      <x:c r="AC174" s="45"/>
      <x:c r="AD174">
        <x:f t="shared" si="14"/>
        <x:v>0.9555555555555556</x:v>
      </x:c>
      <x:c r="AE174">
        <x:f t="shared" si="15"/>
        <x:v>1</x:v>
      </x:c>
    </x:row>
    <x:row r="175">
      <x:c r="A175" s="29" t="s">
        <x:v>440</x:v>
      </x:c>
      <x:c r="B175" s="9" t="s">
        <x:v>441</x:v>
      </x:c>
      <x:c r="C175" s="5" t="s">
        <x:v>63</x:v>
      </x:c>
      <x:c r="D175" s="9" t="s">
        <x:v>86</x:v>
      </x:c>
      <x:c r="E175" s="9" t="s">
        <x:v>93</x:v>
      </x:c>
      <x:c r="F175" s="5" t="str">
        <x:v>Jl. Kelompok</x:v>
      </x:c>
      <x:c r="G175" s="5" t="str">
        <x:v>PT. GANDARIA SUKSES SEJAHTERA</x:v>
      </x:c>
      <x:c r="H175" s="15" t="str">
        <x:v>Zuiyita</x:v>
      </x:c>
      <x:c r="I175" s="15" t="str">
        <x:v>Belum Teridentifikasi</x:v>
      </x:c>
      <x:c r="J175" s="5" t="n">
        <x:v>2018</x:v>
      </x:c>
      <x:c r="K175" s="15">
        <x:v>75</x:v>
      </x:c>
      <x:c r="L175" s="9">
        <x:v>10</x:v>
      </x:c>
      <x:c r="M175" s="15">
        <x:v>5</x:v>
      </x:c>
      <x:c r="N175" s="15" t="s">
        <x:v>78</x:v>
      </x:c>
      <x:c r="O175" s="5"/>
      <x:c r="P175" s="5"/>
      <x:c r="Q175" s="21" t="s">
        <x:v>67</x:v>
      </x:c>
      <x:c r="R175" s="21" t="s">
        <x:v>108</x:v>
      </x:c>
      <x:c r="S175" s="18" t="s">
        <x:v>186</x:v>
      </x:c>
      <x:c r="T175" s="9" t="s">
        <x:v>68</x:v>
      </x:c>
      <x:c r="U175" s="9"/>
      <x:c r="V175" s="74">
        <x:v>-2.0841970000000001</x:v>
      </x:c>
      <x:c r="W175" s="9">
        <x:v>106.096322</x:v>
      </x:c>
      <x:c r="X175" s="9"/>
      <x:c r="Y175" s="52"/>
      <x:c r="Z175" s="27"/>
      <x:c r="AA175" s="42"/>
      <x:c r="AB175" s="79"/>
      <x:c r="AC175" s="45"/>
      <x:c r="AD175">
        <x:f t="shared" si="14"/>
        <x:v>0.13333333333333333</x:v>
      </x:c>
      <x:c r="AE175">
        <x:f t="shared" si="15"/>
        <x:v>0.5</x:v>
      </x:c>
    </x:row>
    <x:row r="176" ht="25">
      <x:c r="A176" s="29" t="s">
        <x:v>442</x:v>
      </x:c>
      <x:c r="B176" s="9" t="s">
        <x:v>443</x:v>
      </x:c>
      <x:c r="C176" s="5" t="s">
        <x:v>63</x:v>
      </x:c>
      <x:c r="D176" s="9" t="s">
        <x:v>104</x:v>
      </x:c>
      <x:c r="E176" s="9" t="s">
        <x:v>209</x:v>
      </x:c>
      <x:c r="F176" s="5" t="str">
        <x:v>Jl. Masjid Al-Husna</x:v>
      </x:c>
      <x:c r="G176" s="5" t="str">
        <x:v>PT. RIZKI AGUNG PROPERTINDO</x:v>
      </x:c>
      <x:c r="H176" s="15" t="str">
        <x:v>Risky Rexcy</x:v>
      </x:c>
      <x:c r="I176" s="15" t="str">
        <x:v>Asosiasi Pengembang Perumahan Indonesia (APPERINDO)</x:v>
      </x:c>
      <x:c r="J176" s="5" t="n">
        <x:v>2020</x:v>
      </x:c>
      <x:c r="K176" s="15">
        <x:v>55</x:v>
      </x:c>
      <x:c r="L176" s="9">
        <x:v>55</x:v>
      </x:c>
      <x:c r="M176" s="15">
        <x:v>48</x:v>
      </x:c>
      <x:c r="N176" s="15" t="s">
        <x:v>78</x:v>
      </x:c>
      <x:c r="O176" s="5"/>
      <x:c r="P176" s="5"/>
      <x:c r="Q176" s="21" t="s">
        <x:v>67</x:v>
      </x:c>
      <x:c r="R176" s="21" t="s">
        <x:v>108</x:v>
      </x:c>
      <x:c r="S176" s="18"/>
      <x:c r="T176" s="9"/>
      <x:c r="U176" s="9"/>
      <x:c r="V176" s="74">
        <x:v>-2.1393496999999999</x:v>
      </x:c>
      <x:c r="W176" s="9">
        <x:v>106.1528338</x:v>
      </x:c>
      <x:c r="X176" s="9"/>
      <x:c r="Y176" s="52"/>
      <x:c r="Z176" s="27"/>
      <x:c r="AA176" s="42"/>
      <x:c r="AB176" s="79"/>
      <x:c r="AC176" s="45"/>
      <x:c r="AD176">
        <x:f t="shared" si="14"/>
        <x:v>1</x:v>
      </x:c>
      <x:c r="AE176">
        <x:f t="shared" si="15"/>
        <x:v>0.87272727272727268</x:v>
      </x:c>
    </x:row>
    <x:row r="177">
      <x:c r="A177" s="29" t="s">
        <x:v>444</x:v>
      </x:c>
      <x:c r="B177" s="9" t="s">
        <x:v>445</x:v>
      </x:c>
      <x:c r="C177" s="5" t="s">
        <x:v>63</x:v>
      </x:c>
      <x:c r="D177" s="9" t="s">
        <x:v>86</x:v>
      </x:c>
      <x:c r="E177" s="9" t="s">
        <x:v>112</x:v>
      </x:c>
      <x:c r="F177" s="5" t="str">
        <x:v>Jl. Kartini Utama Raya</x:v>
      </x:c>
      <x:c r="G177" s="5" t="str">
        <x:v>PT. GRAHA KARUNIA PERKASA</x:v>
      </x:c>
      <x:c r="H177" s="15" t="str">
        <x:v>Belum Teridentifikasi</x:v>
      </x:c>
      <x:c r="I177" s="15" t="str">
        <x:v>Belum Teridentifikasi</x:v>
      </x:c>
      <x:c r="J177" s="5" t="n">
        <x:v>2018</x:v>
      </x:c>
      <x:c r="K177" s="15">
        <x:v>129</x:v>
      </x:c>
      <x:c r="L177" s="9">
        <x:v>129</x:v>
      </x:c>
      <x:c r="M177" s="15">
        <x:v>129</x:v>
      </x:c>
      <x:c r="N177" s="15" t="s">
        <x:v>78</x:v>
      </x:c>
      <x:c r="O177" s="5"/>
      <x:c r="P177" s="5"/>
      <x:c r="Q177" s="21" t="s">
        <x:v>67</x:v>
      </x:c>
      <x:c r="R177" s="21" t="s">
        <x:v>108</x:v>
      </x:c>
      <x:c r="S177" s="18"/>
      <x:c r="T177" s="9"/>
      <x:c r="U177" s="9"/>
      <x:c r="V177" s="74">
        <x:v>-2.0889690000000001</x:v>
      </x:c>
      <x:c r="W177" s="9">
        <x:v>106.116389</x:v>
      </x:c>
      <x:c r="X177" s="9"/>
      <x:c r="Y177" s="52"/>
      <x:c r="Z177" s="27"/>
      <x:c r="AA177" s="42"/>
      <x:c r="AB177" s="79"/>
      <x:c r="AC177" s="45"/>
      <x:c r="AD177">
        <x:f t="shared" si="14"/>
        <x:v>1</x:v>
      </x:c>
      <x:c r="AE177">
        <x:f t="shared" si="15"/>
        <x:v>1</x:v>
      </x:c>
    </x:row>
    <x:row r="178">
      <x:c r="A178" s="29" t="s">
        <x:v>446</x:v>
      </x:c>
      <x:c r="B178" s="9" t="s">
        <x:v>447</x:v>
      </x:c>
      <x:c r="C178" s="5" t="s">
        <x:v>63</x:v>
      </x:c>
      <x:c r="D178" s="9" t="s">
        <x:v>86</x:v>
      </x:c>
      <x:c r="E178" s="9" t="s">
        <x:v>112</x:v>
      </x:c>
      <x:c r="F178" s="5" t="str">
        <x:v>Jl. Gabek I</x:v>
      </x:c>
      <x:c r="G178" s="5" t="str">
        <x:v>PT. BANGKA INDO PROPERTI</x:v>
      </x:c>
      <x:c r="H178" s="15" t="str">
        <x:v>Sri Devi Agustini</x:v>
      </x:c>
      <x:c r="I178" s="15" t="str">
        <x:v>Belum Teridentifikasi</x:v>
      </x:c>
      <x:c r="J178" s="5" t="n">
        <x:v>2017</x:v>
      </x:c>
      <x:c r="K178" s="15">
        <x:v>18</x:v>
      </x:c>
      <x:c r="L178" s="9">
        <x:v>18</x:v>
      </x:c>
      <x:c r="M178" s="15">
        <x:v>16</x:v>
      </x:c>
      <x:c r="N178" s="15" t="s">
        <x:v>78</x:v>
      </x:c>
      <x:c r="O178" s="5"/>
      <x:c r="P178" s="5"/>
      <x:c r="Q178" s="21" t="s">
        <x:v>97</x:v>
      </x:c>
      <x:c r="R178" s="21" t="s">
        <x:v>191</x:v>
      </x:c>
      <x:c r="S178" s="18" t="s">
        <x:v>186</x:v>
      </x:c>
      <x:c r="T178" s="9"/>
      <x:c r="U178" s="9"/>
      <x:c r="V178" s="74">
        <x:v>-2.0892409999999999</x:v>
      </x:c>
      <x:c r="W178" s="9">
        <x:v>106.096075</x:v>
      </x:c>
      <x:c r="X178" s="9"/>
      <x:c r="Y178" s="52"/>
      <x:c r="Z178" s="27"/>
      <x:c r="AA178" s="42"/>
      <x:c r="AB178" s="79"/>
      <x:c r="AC178" s="45"/>
      <x:c r="AD178">
        <x:f t="shared" si="14"/>
        <x:v>1</x:v>
      </x:c>
      <x:c r="AE178">
        <x:f t="shared" si="15"/>
        <x:v>0.88888888888888884</x:v>
      </x:c>
    </x:row>
    <x:row r="179">
      <x:c r="A179" s="29" t="s">
        <x:v>448</x:v>
      </x:c>
      <x:c r="B179" s="9" t="s">
        <x:v>449</x:v>
      </x:c>
      <x:c r="C179" s="5" t="s">
        <x:v>63</x:v>
      </x:c>
      <x:c r="D179" s="9" t="s">
        <x:v>86</x:v>
      </x:c>
      <x:c r="E179" s="9" t="s">
        <x:v>93</x:v>
      </x:c>
      <x:c r="F179" s="5" t="str">
        <x:v>Jl. Pustu</x:v>
      </x:c>
      <x:c r="G179" s="5" t="str">
        <x:v>CV. MANDIRI SUKSES</x:v>
      </x:c>
      <x:c r="H179" s="15" t="str">
        <x:v>Sri Devi Agustini</x:v>
      </x:c>
      <x:c r="I179" s="15" t="str">
        <x:v>Belum Teridentifikasi</x:v>
      </x:c>
      <x:c r="J179" s="5" t="n">
        <x:v>2018</x:v>
      </x:c>
      <x:c r="K179" s="15">
        <x:v>35</x:v>
      </x:c>
      <x:c r="L179" s="9">
        <x:v>35</x:v>
      </x:c>
      <x:c r="M179" s="15">
        <x:v>35</x:v>
      </x:c>
      <x:c r="N179" s="15" t="s">
        <x:v>78</x:v>
      </x:c>
      <x:c r="O179" s="5"/>
      <x:c r="P179" s="5"/>
      <x:c r="Q179" s="21" t="s">
        <x:v>97</x:v>
      </x:c>
      <x:c r="R179" s="21"/>
      <x:c r="S179" s="18" t="s">
        <x:v>186</x:v>
      </x:c>
      <x:c r="T179" s="9"/>
      <x:c r="U179" s="9"/>
      <x:c r="V179" s="74">
        <x:v>-2.090052</x:v>
      </x:c>
      <x:c r="W179" s="9">
        <x:v>106.094559</x:v>
      </x:c>
      <x:c r="X179" s="9"/>
      <x:c r="Y179" s="52"/>
      <x:c r="Z179" s="27"/>
      <x:c r="AA179" s="42"/>
      <x:c r="AB179" s="79"/>
      <x:c r="AC179" s="45"/>
      <x:c r="AD179">
        <x:f t="shared" si="14"/>
        <x:v>1</x:v>
      </x:c>
      <x:c r="AE179">
        <x:f t="shared" si="15"/>
        <x:v>1</x:v>
      </x:c>
    </x:row>
    <x:row r="180">
      <x:c r="A180" s="29" t="s">
        <x:v>450</x:v>
      </x:c>
      <x:c r="B180" s="9" t="s">
        <x:v>451</x:v>
      </x:c>
      <x:c r="C180" s="5" t="s">
        <x:v>63</x:v>
      </x:c>
      <x:c r="D180" s="9" t="s">
        <x:v>86</x:v>
      </x:c>
      <x:c r="E180" s="9" t="s">
        <x:v>112</x:v>
      </x:c>
      <x:c r="F180" s="5" t="str">
        <x:v>Jl. Jebung Dalam</x:v>
      </x:c>
      <x:c r="G180" s="5" t="str">
        <x:v>CV. MANDIRI SUKSES</x:v>
      </x:c>
      <x:c r="H180" s="15" t="str">
        <x:v>Sri Devi Agustini</x:v>
      </x:c>
      <x:c r="I180" s="15" t="str">
        <x:v>Belum Teridentifikasi</x:v>
      </x:c>
      <x:c r="J180" s="5" t="n">
        <x:v>2019</x:v>
      </x:c>
      <x:c r="K180" s="15">
        <x:v>29</x:v>
      </x:c>
      <x:c r="L180" s="9">
        <x:v>29</x:v>
      </x:c>
      <x:c r="M180" s="15">
        <x:v>29</x:v>
      </x:c>
      <x:c r="N180" s="15" t="s">
        <x:v>78</x:v>
      </x:c>
      <x:c r="O180" s="5"/>
      <x:c r="P180" s="5"/>
      <x:c r="Q180" s="21" t="s">
        <x:v>97</x:v>
      </x:c>
      <x:c r="R180" s="21"/>
      <x:c r="S180" s="18" t="s">
        <x:v>186</x:v>
      </x:c>
      <x:c r="T180" s="9"/>
      <x:c r="U180" s="9"/>
      <x:c r="V180" s="74">
        <x:v>-2.0964974999999999</x:v>
      </x:c>
      <x:c r="W180" s="9">
        <x:v>106.1040895</x:v>
      </x:c>
      <x:c r="X180" s="9"/>
      <x:c r="Y180" s="52"/>
      <x:c r="Z180" s="27"/>
      <x:c r="AA180" s="42"/>
      <x:c r="AB180" s="79"/>
      <x:c r="AC180" s="45"/>
      <x:c r="AD180">
        <x:f t="shared" si="14"/>
        <x:v>1</x:v>
      </x:c>
      <x:c r="AE180">
        <x:f t="shared" si="15"/>
        <x:v>1</x:v>
      </x:c>
    </x:row>
    <x:row r="181" ht="25">
      <x:c r="A181" s="29" t="s">
        <x:v>452</x:v>
      </x:c>
      <x:c r="B181" s="9" t="s">
        <x:v>453</x:v>
      </x:c>
      <x:c r="C181" s="5" t="s">
        <x:v>63</x:v>
      </x:c>
      <x:c r="D181" s="9" t="s">
        <x:v>86</x:v>
      </x:c>
      <x:c r="E181" s="9" t="s">
        <x:v>112</x:v>
      </x:c>
      <x:c r="F181" s="5" t="str">
        <x:v>Jl. Lintas Timur</x:v>
      </x:c>
      <x:c r="G181" s="5" t="str">
        <x:v>PT. GRAHA KARUNIA PERKASA</x:v>
      </x:c>
      <x:c r="H181" s="15" t="str">
        <x:v>Gunawan</x:v>
      </x:c>
      <x:c r="I181" s="15" t="str">
        <x:v>Asosiasi Pengembang Perumahan dan Permukiman Seluruh Indonesia (APERSI)</x:v>
      </x:c>
      <x:c r="J181" s="5" t="n">
        <x:v>2014</x:v>
      </x:c>
      <x:c r="K181" s="15">
        <x:v>174</x:v>
      </x:c>
      <x:c r="L181" s="9">
        <x:v>141</x:v>
      </x:c>
      <x:c r="M181" s="15">
        <x:v>141</x:v>
      </x:c>
      <x:c r="N181" s="15" t="s">
        <x:v>78</x:v>
      </x:c>
      <x:c r="O181" s="5"/>
      <x:c r="P181" s="5"/>
      <x:c r="Q181" s="21" t="s">
        <x:v>97</x:v>
      </x:c>
      <x:c r="R181" s="21"/>
      <x:c r="S181" s="18"/>
      <x:c r="T181" s="9" t="s">
        <x:v>68</x:v>
      </x:c>
      <x:c r="U181" s="9"/>
      <x:c r="V181" s="74">
        <x:v>-2.0814569999999999</x:v>
      </x:c>
      <x:c r="W181" s="9">
        <x:v>106.12316300000001</x:v>
      </x:c>
      <x:c r="X181" s="9"/>
      <x:c r="Y181" s="52"/>
      <x:c r="Z181" s="27"/>
      <x:c r="AA181" s="42"/>
      <x:c r="AB181" s="79"/>
      <x:c r="AC181" s="45"/>
      <x:c r="AD181">
        <x:f t="shared" si="14"/>
        <x:v>0.81034482758620685</x:v>
      </x:c>
      <x:c r="AE181">
        <x:f t="shared" si="15"/>
        <x:v>1</x:v>
      </x:c>
    </x:row>
    <x:row r="182">
      <x:c r="A182" s="29" t="s">
        <x:v>454</x:v>
      </x:c>
      <x:c r="B182" s="9" t="s">
        <x:v>455</x:v>
      </x:c>
      <x:c r="C182" s="5" t="s">
        <x:v>63</x:v>
      </x:c>
      <x:c r="D182" s="9" t="s">
        <x:v>86</x:v>
      </x:c>
      <x:c r="E182" s="9" t="s">
        <x:v>275</x:v>
      </x:c>
      <x:c r="F182" s="5" t="str">
        <x:v>Jl. Bedukang Raya</x:v>
      </x:c>
      <x:c r="G182" s="5" t="str">
        <x:v>Belum Teridentifikasi</x:v>
      </x:c>
      <x:c r="H182" s="15" t="str">
        <x:v>Belum Teridentifikasi</x:v>
      </x:c>
      <x:c r="I182" s="15" t="str">
        <x:v>Belum Teridentifikasi</x:v>
      </x:c>
      <x:c r="J182" s="5" t="n">
        <x:v>2017</x:v>
      </x:c>
      <x:c r="K182" s="15">
        <x:v>24</x:v>
      </x:c>
      <x:c r="L182" s="9">
        <x:v>24</x:v>
      </x:c>
      <x:c r="M182" s="15">
        <x:v>24</x:v>
      </x:c>
      <x:c r="N182" s="15" t="s">
        <x:v>78</x:v>
      </x:c>
      <x:c r="O182" s="5"/>
      <x:c r="P182" s="5"/>
      <x:c r="Q182" s="21" t="s">
        <x:v>67</x:v>
      </x:c>
      <x:c r="R182" s="21"/>
      <x:c r="S182" s="18"/>
      <x:c r="T182" s="9"/>
      <x:c r="U182" s="9"/>
      <x:c r="V182" s="74">
        <x:v>-2.0943870000000002</x:v>
      </x:c>
      <x:c r="W182" s="9">
        <x:v>106.117035</x:v>
      </x:c>
      <x:c r="X182" s="9"/>
      <x:c r="Y182" s="52"/>
      <x:c r="Z182" s="27"/>
      <x:c r="AA182" s="42"/>
      <x:c r="AB182" s="79"/>
      <x:c r="AC182" s="45"/>
      <x:c r="AD182">
        <x:f t="shared" si="14"/>
        <x:v>1</x:v>
      </x:c>
      <x:c r="AE182">
        <x:f t="shared" si="15"/>
        <x:v>1</x:v>
      </x:c>
    </x:row>
    <x:row r="183">
      <x:c r="A183" s="29" t="s">
        <x:v>456</x:v>
      </x:c>
      <x:c r="B183" s="9" t="s">
        <x:v>457</x:v>
      </x:c>
      <x:c r="C183" s="5" t="s">
        <x:v>63</x:v>
      </x:c>
      <x:c r="D183" s="9" t="s">
        <x:v>86</x:v>
      </x:c>
      <x:c r="E183" s="9" t="s">
        <x:v>93</x:v>
      </x:c>
      <x:c r="F183" s="5" t="str">
        <x:v>Jl. Salma</x:v>
      </x:c>
      <x:c r="G183" s="5" t="str">
        <x:v>PT. SYAMSI INVES TAMA</x:v>
      </x:c>
      <x:c r="H183" s="15" t="str">
        <x:v>Belum Teridentifikasi</x:v>
      </x:c>
      <x:c r="I183" s="15" t="str">
        <x:v>Belum Teridentifikasi</x:v>
      </x:c>
      <x:c r="J183" s="5" t="n">
        <x:v>2024</x:v>
      </x:c>
      <x:c r="K183" s="15">
        <x:v>26</x:v>
      </x:c>
      <x:c r="L183" s="9">
        <x:v>17</x:v>
      </x:c>
      <x:c r="M183" s="15">
        <x:v>4</x:v>
      </x:c>
      <x:c r="N183" s="15" t="s">
        <x:v>78</x:v>
      </x:c>
      <x:c r="O183" s="5"/>
      <x:c r="P183" s="5"/>
      <x:c r="Q183" s="21" t="s">
        <x:v>67</x:v>
      </x:c>
      <x:c r="R183" s="21" t="s">
        <x:v>108</x:v>
      </x:c>
      <x:c r="S183" s="18"/>
      <x:c r="T183" s="9"/>
      <x:c r="U183" s="9"/>
      <x:c r="V183" s="74">
        <x:v>-2.0900346999999999</x:v>
      </x:c>
      <x:c r="W183" s="9">
        <x:v>106.0923793</x:v>
      </x:c>
      <x:c r="X183" s="9"/>
      <x:c r="Y183" s="52"/>
      <x:c r="Z183" s="27"/>
      <x:c r="AA183" s="42"/>
      <x:c r="AB183" s="79"/>
      <x:c r="AC183" s="45"/>
      <x:c r="AD183">
        <x:f t="shared" si="14"/>
        <x:v>0.65384615384615385</x:v>
      </x:c>
      <x:c r="AE183">
        <x:f t="shared" si="15"/>
        <x:v>0.23529411764705882</x:v>
      </x:c>
    </x:row>
    <x:row r="184">
      <x:c r="A184" s="29" t="s">
        <x:v>458</x:v>
      </x:c>
      <x:c r="B184" s="9" t="s">
        <x:v>459</x:v>
      </x:c>
      <x:c r="C184" s="5" t="s">
        <x:v>63</x:v>
      </x:c>
      <x:c r="D184" s="9" t="s">
        <x:v>104</x:v>
      </x:c>
      <x:c r="E184" s="9" t="s">
        <x:v>209</x:v>
      </x:c>
      <x:c r="F184" s="5" t="str">
        <x:v>Gg. Mirah Delima</x:v>
      </x:c>
      <x:c r="G184" s="5" t="str">
        <x:v>Belum Teridentifikasi</x:v>
      </x:c>
      <x:c r="H184" s="15" t="str">
        <x:v>Belum Teridentifikasi</x:v>
      </x:c>
      <x:c r="I184" s="15" t="str">
        <x:v>Belum Teridentifikasi</x:v>
      </x:c>
      <x:c r="J184" s="5" t="n">
        <x:v>2017</x:v>
      </x:c>
      <x:c r="K184" s="15">
        <x:v>56</x:v>
      </x:c>
      <x:c r="L184" s="9">
        <x:v>0</x:v>
      </x:c>
      <x:c r="M184" s="15">
        <x:v>0</x:v>
      </x:c>
      <x:c r="N184" s="15" t="s">
        <x:v>78</x:v>
      </x:c>
      <x:c r="O184" s="5"/>
      <x:c r="P184" s="5"/>
      <x:c r="Q184" s="21" t="s">
        <x:v>94</x:v>
      </x:c>
      <x:c r="R184" s="21"/>
      <x:c r="S184" s="18"/>
      <x:c r="T184" s="9"/>
      <x:c r="U184" s="9"/>
      <x:c r="V184" s="74">
        <x:v>-2.1382370000000002</x:v>
      </x:c>
      <x:c r="W184" s="9">
        <x:v>106.1508</x:v>
      </x:c>
      <x:c r="X184" s="9"/>
      <x:c r="Y184" s="52"/>
      <x:c r="Z184" s="27"/>
      <x:c r="AA184" s="42"/>
      <x:c r="AB184" s="79"/>
      <x:c r="AC184" s="45"/>
      <x:c r="AD184">
        <x:f t="shared" si="14"/>
        <x:v>0</x:v>
      </x:c>
      <x:c r="AE184">
        <x:f t="shared" si="15"/>
        <x:v>0</x:v>
      </x:c>
    </x:row>
    <x:row r="185">
      <x:c r="A185" s="29" t="s">
        <x:v>460</x:v>
      </x:c>
      <x:c r="B185" s="9" t="s">
        <x:v>461</x:v>
      </x:c>
      <x:c r="C185" s="5" t="s">
        <x:v>63</x:v>
      </x:c>
      <x:c r="D185" s="9" t="s">
        <x:v>86</x:v>
      </x:c>
      <x:c r="E185" s="9" t="s">
        <x:v>275</x:v>
      </x:c>
      <x:c r="F185" s="5" t="str">
        <x:v>Jl. M. Zainuddin</x:v>
      </x:c>
      <x:c r="G185" s="5" t="str">
        <x:v>Hendry Sujono</x:v>
      </x:c>
      <x:c r="H185" s="15" t="str">
        <x:v>Hendry Sujono</x:v>
      </x:c>
      <x:c r="I185" s="15" t="str">
        <x:v>Belum Teridentifikasi</x:v>
      </x:c>
      <x:c r="J185" s="5" t="n">
        <x:v>2017</x:v>
      </x:c>
      <x:c r="K185" s="15">
        <x:v>18</x:v>
      </x:c>
      <x:c r="L185" s="9">
        <x:v>18</x:v>
      </x:c>
      <x:c r="M185" s="15">
        <x:v>18</x:v>
      </x:c>
      <x:c r="N185" s="15" t="s">
        <x:v>78</x:v>
      </x:c>
      <x:c r="O185" s="5"/>
      <x:c r="P185" s="5"/>
      <x:c r="Q185" s="21" t="s">
        <x:v>67</x:v>
      </x:c>
      <x:c r="R185" s="21"/>
      <x:c r="S185" s="18"/>
      <x:c r="T185" s="9"/>
      <x:c r="U185" s="9"/>
      <x:c r="V185" s="74">
        <x:v>-2.099604555</x:v>
      </x:c>
      <x:c r="W185" s="9">
        <x:v>106.1074424</x:v>
      </x:c>
      <x:c r="X185" s="9"/>
      <x:c r="Y185" s="52"/>
      <x:c r="Z185" s="27"/>
      <x:c r="AA185" s="42"/>
      <x:c r="AB185" s="79"/>
      <x:c r="AC185" s="45"/>
      <x:c r="AD185">
        <x:f t="shared" si="14"/>
        <x:v>1</x:v>
      </x:c>
      <x:c r="AE185">
        <x:f t="shared" si="15"/>
        <x:v>1</x:v>
      </x:c>
    </x:row>
    <x:row r="186">
      <x:c r="A186" s="29" t="s">
        <x:v>462</x:v>
      </x:c>
      <x:c r="B186" s="9" t="s">
        <x:v>463</x:v>
      </x:c>
      <x:c r="C186" s="5" t="s">
        <x:v>63</x:v>
      </x:c>
      <x:c r="D186" s="9" t="s">
        <x:v>86</x:v>
      </x:c>
      <x:c r="E186" s="9" t="s">
        <x:v>112</x:v>
      </x:c>
      <x:c r="F186" s="5" t="str">
        <x:v>Jl. Kelompok</x:v>
      </x:c>
      <x:c r="G186" s="5" t="str">
        <x:v>Belum Teridentifikasi</x:v>
      </x:c>
      <x:c r="H186" s="15" t="str">
        <x:v>Belum Teridentifikasi</x:v>
      </x:c>
      <x:c r="I186" s="15" t="str">
        <x:v>Belum Teridentifikasi</x:v>
      </x:c>
      <x:c r="J186" s="5" t="n">
        <x:v>2019</x:v>
      </x:c>
      <x:c r="K186" s="15">
        <x:v>26</x:v>
      </x:c>
      <x:c r="L186" s="9">
        <x:v>26</x:v>
      </x:c>
      <x:c r="M186" s="15">
        <x:v>26</x:v>
      </x:c>
      <x:c r="N186" s="15" t="s">
        <x:v>78</x:v>
      </x:c>
      <x:c r="O186" s="5"/>
      <x:c r="P186" s="5"/>
      <x:c r="Q186" s="21" t="s">
        <x:v>67</x:v>
      </x:c>
      <x:c r="R186" s="21" t="s">
        <x:v>108</x:v>
      </x:c>
      <x:c r="S186" s="18"/>
      <x:c r="T186" s="9"/>
      <x:c r="U186" s="9"/>
      <x:c r="V186" s="74">
        <x:v>-2.0878000000000001</x:v>
      </x:c>
      <x:c r="W186" s="9">
        <x:v>106.0942</x:v>
      </x:c>
      <x:c r="X186" s="9"/>
      <x:c r="Y186" s="52"/>
      <x:c r="Z186" s="27"/>
      <x:c r="AA186" s="42"/>
      <x:c r="AB186" s="79"/>
      <x:c r="AC186" s="45"/>
      <x:c r="AD186">
        <x:f t="shared" si="14"/>
        <x:v>1</x:v>
      </x:c>
      <x:c r="AE186">
        <x:f t="shared" si="15"/>
        <x:v>1</x:v>
      </x:c>
    </x:row>
    <x:row r="187" ht="25">
      <x:c r="A187" s="29" t="s">
        <x:v>464</x:v>
      </x:c>
      <x:c r="B187" s="9" t="s">
        <x:v>465</x:v>
      </x:c>
      <x:c r="C187" s="5" t="s">
        <x:v>63</x:v>
      </x:c>
      <x:c r="D187" s="9" t="s">
        <x:v>64</x:v>
      </x:c>
      <x:c r="E187" s="9" t="s">
        <x:v>65</x:v>
      </x:c>
      <x:c r="F187" s="5" t="str">
        <x:v>Jl. Lingkar Barat</x:v>
      </x:c>
      <x:c r="G187" s="5" t="str">
        <x:v>PT. HARMONI CITRA BANGKA</x:v>
      </x:c>
      <x:c r="H187" s="15" t="str">
        <x:v>Susantri</x:v>
      </x:c>
      <x:c r="I187" s="15" t="str">
        <x:v>Asosiasi Pengembang Perumahan Indonesia (APPERINDO)</x:v>
      </x:c>
      <x:c r="J187" s="5" t="n">
        <x:v>2020</x:v>
      </x:c>
      <x:c r="K187" s="15">
        <x:v>41</x:v>
      </x:c>
      <x:c r="L187" s="9">
        <x:v>41</x:v>
      </x:c>
      <x:c r="M187" s="15">
        <x:v>41</x:v>
      </x:c>
      <x:c r="N187" s="15" t="s">
        <x:v>78</x:v>
      </x:c>
      <x:c r="O187" s="5"/>
      <x:c r="P187" s="5"/>
      <x:c r="Q187" s="21" t="s">
        <x:v>67</x:v>
      </x:c>
      <x:c r="R187" s="21" t="s">
        <x:v>108</x:v>
      </x:c>
      <x:c r="S187" s="18"/>
      <x:c r="T187" s="9"/>
      <x:c r="U187" s="9"/>
      <x:c r="V187" s="74">
        <x:v>-2.101111</x:v>
      </x:c>
      <x:c r="W187" s="9">
        <x:v>106.0888344</x:v>
      </x:c>
      <x:c r="X187" s="9"/>
      <x:c r="Y187" s="52"/>
      <x:c r="Z187" s="27"/>
      <x:c r="AA187" s="42"/>
      <x:c r="AB187" s="79"/>
      <x:c r="AC187" s="45"/>
      <x:c r="AD187">
        <x:f t="shared" si="14"/>
        <x:v>1</x:v>
      </x:c>
      <x:c r="AE187">
        <x:f t="shared" si="15"/>
        <x:v>1</x:v>
      </x:c>
    </x:row>
    <x:row r="188">
      <x:c r="A188" s="29" t="s">
        <x:v>466</x:v>
      </x:c>
      <x:c r="B188" s="9" t="s">
        <x:v>467</x:v>
      </x:c>
      <x:c r="C188" s="5" t="s">
        <x:v>63</x:v>
      </x:c>
      <x:c r="D188" s="9" t="s">
        <x:v>86</x:v>
      </x:c>
      <x:c r="E188" s="9" t="s">
        <x:v>112</x:v>
      </x:c>
      <x:c r="F188" s="5" t="str">
        <x:v>Jl. Padat Karya</x:v>
      </x:c>
      <x:c r="G188" s="5" t="str">
        <x:v>PT. TRIMADYA PRIMA JAYA</x:v>
      </x:c>
      <x:c r="H188" s="15" t="str">
        <x:v>Lilis Martono</x:v>
      </x:c>
      <x:c r="I188" s="15" t="str">
        <x:v>Real Estate Indonesia (REI)</x:v>
      </x:c>
      <x:c r="J188" s="5" t="n">
        <x:v>2019</x:v>
      </x:c>
      <x:c r="K188" s="15">
        <x:v>167</x:v>
      </x:c>
      <x:c r="L188" s="9">
        <x:v>167</x:v>
      </x:c>
      <x:c r="M188" s="15">
        <x:v>91</x:v>
      </x:c>
      <x:c r="N188" s="15" t="s">
        <x:v>78</x:v>
      </x:c>
      <x:c r="O188" s="5"/>
      <x:c r="P188" s="5"/>
      <x:c r="Q188" s="21" t="s">
        <x:v>67</x:v>
      </x:c>
      <x:c r="R188" s="21" t="s">
        <x:v>191</x:v>
      </x:c>
      <x:c r="S188" s="18"/>
      <x:c r="T188" s="9"/>
      <x:c r="U188" s="9"/>
      <x:c r="V188" s="74">
        <x:v>-2.0900110000000001</x:v>
      </x:c>
      <x:c r="W188" s="9">
        <x:v>106.10247200000001</x:v>
      </x:c>
      <x:c r="X188" s="9"/>
      <x:c r="Y188" s="52"/>
      <x:c r="Z188" s="27"/>
      <x:c r="AA188" s="42"/>
      <x:c r="AB188" s="79"/>
      <x:c r="AC188" s="45"/>
      <x:c r="AD188">
        <x:f t="shared" si="14"/>
        <x:v>1</x:v>
      </x:c>
      <x:c r="AE188">
        <x:f t="shared" si="15"/>
        <x:v>0.54491017964071853</x:v>
      </x:c>
    </x:row>
    <x:row r="189">
      <x:c r="A189" s="29" t="s">
        <x:v>468</x:v>
      </x:c>
      <x:c r="B189" s="9" t="s">
        <x:v>469</x:v>
      </x:c>
      <x:c r="C189" s="5" t="s">
        <x:v>63</x:v>
      </x:c>
      <x:c r="D189" s="9" t="s">
        <x:v>86</x:v>
      </x:c>
      <x:c r="E189" s="9" t="s">
        <x:v>112</x:v>
      </x:c>
      <x:c r="F189" s="5" t="str">
        <x:v>Jl. Padat Karya</x:v>
      </x:c>
      <x:c r="G189" s="5" t="str">
        <x:v>PT. TRIMADYA PRIMA JAYA</x:v>
      </x:c>
      <x:c r="H189" s="15" t="str">
        <x:v>Lilis Martono</x:v>
      </x:c>
      <x:c r="I189" s="15" t="str">
        <x:v>Real Estate Indonesia (REI)</x:v>
      </x:c>
      <x:c r="J189" s="5" t="n">
        <x:v>2022</x:v>
      </x:c>
      <x:c r="K189" s="15">
        <x:v>51</x:v>
      </x:c>
      <x:c r="L189" s="9">
        <x:v>0</x:v>
      </x:c>
      <x:c r="M189" s="15">
        <x:v>0</x:v>
      </x:c>
      <x:c r="N189" s="15" t="s">
        <x:v>78</x:v>
      </x:c>
      <x:c r="O189" s="5"/>
      <x:c r="P189" s="5"/>
      <x:c r="Q189" s="21" t="s">
        <x:v>67</x:v>
      </x:c>
      <x:c r="R189" s="21"/>
      <x:c r="S189" s="18"/>
      <x:c r="T189" s="9"/>
      <x:c r="U189" s="9"/>
      <x:c r="V189" s="74">
        <x:v>-2.0885655999999999</x:v>
      </x:c>
      <x:c r="W189" s="9">
        <x:v>106.09792659999999</x:v>
      </x:c>
      <x:c r="X189" s="9"/>
      <x:c r="Y189" s="52"/>
      <x:c r="Z189" s="27"/>
      <x:c r="AA189" s="42"/>
      <x:c r="AB189" s="79"/>
      <x:c r="AC189" s="45"/>
      <x:c r="AD189">
        <x:f t="shared" si="14"/>
        <x:v>0</x:v>
      </x:c>
      <x:c r="AE189">
        <x:f t="shared" si="15"/>
        <x:v>0</x:v>
      </x:c>
    </x:row>
    <x:row r="190">
      <x:c r="A190" s="29" t="s">
        <x:v>470</x:v>
      </x:c>
      <x:c r="B190" s="9" t="s">
        <x:v>471</x:v>
      </x:c>
      <x:c r="C190" s="5" t="s">
        <x:v>63</x:v>
      </x:c>
      <x:c r="D190" s="9" t="s">
        <x:v>104</x:v>
      </x:c>
      <x:c r="E190" s="9" t="s">
        <x:v>393</x:v>
      </x:c>
      <x:c r="F190" s="5" t="str">
        <x:v>Jl. Jamrud III</x:v>
      </x:c>
      <x:c r="G190" s="5" t="str">
        <x:v>PT. TRIMADYA PRIMA JAYA</x:v>
      </x:c>
      <x:c r="H190" s="15" t="str">
        <x:v>Lilis Martono</x:v>
      </x:c>
      <x:c r="I190" s="15" t="str">
        <x:v>Real Estate Indonesia (REI)</x:v>
      </x:c>
      <x:c r="J190" s="5" t="n">
        <x:v>2022</x:v>
      </x:c>
      <x:c r="K190" s="15">
        <x:v>116</x:v>
      </x:c>
      <x:c r="L190" s="9">
        <x:v>36</x:v>
      </x:c>
      <x:c r="M190" s="15">
        <x:v>33</x:v>
      </x:c>
      <x:c r="N190" s="15" t="s">
        <x:v>78</x:v>
      </x:c>
      <x:c r="O190" s="5"/>
      <x:c r="P190" s="5"/>
      <x:c r="Q190" s="21" t="s">
        <x:v>67</x:v>
      </x:c>
      <x:c r="R190" s="21"/>
      <x:c r="S190" s="18"/>
      <x:c r="T190" s="9"/>
      <x:c r="U190" s="9"/>
      <x:c r="V190" s="74">
        <x:v>-2.1283569999999998</x:v>
      </x:c>
      <x:c r="W190" s="9">
        <x:v>106.13170340000001</x:v>
      </x:c>
      <x:c r="X190" s="9"/>
      <x:c r="Y190" s="52"/>
      <x:c r="Z190" s="27"/>
      <x:c r="AA190" s="42"/>
      <x:c r="AB190" s="79"/>
      <x:c r="AC190" s="45"/>
      <x:c r="AD190">
        <x:f t="shared" si="14"/>
        <x:v>0.31034482758620691</x:v>
      </x:c>
      <x:c r="AE190">
        <x:f t="shared" si="15"/>
        <x:v>0.91666666666666663</x:v>
      </x:c>
    </x:row>
    <x:row r="191">
      <x:c r="A191" s="29" t="s">
        <x:v>472</x:v>
      </x:c>
      <x:c r="B191" s="9" t="s">
        <x:v>473</x:v>
      </x:c>
      <x:c r="C191" s="5" t="s">
        <x:v>179</x:v>
      </x:c>
      <x:c r="D191" s="9" t="s">
        <x:v>64</x:v>
      </x:c>
      <x:c r="E191" s="9" t="s">
        <x:v>65</x:v>
      </x:c>
      <x:c r="F191" s="5" t="str">
        <x:v>Jl. Gandaria 1</x:v>
      </x:c>
      <x:c r="G191" s="5" t="str">
        <x:v>PT. TRIMADYA PRIMA JAYA</x:v>
      </x:c>
      <x:c r="H191" s="15" t="str">
        <x:v>Lilis Martono</x:v>
      </x:c>
      <x:c r="I191" s="15" t="str">
        <x:v>Real Estate Indonesia (REI)</x:v>
      </x:c>
      <x:c r="J191" s="5" t="n">
        <x:v>2022</x:v>
      </x:c>
      <x:c r="K191" s="15">
        <x:v>38</x:v>
      </x:c>
      <x:c r="L191" s="9">
        <x:v>26</x:v>
      </x:c>
      <x:c r="M191" s="15">
        <x:v>26</x:v>
      </x:c>
      <x:c r="N191" s="15" t="s">
        <x:v>66</x:v>
      </x:c>
      <x:c r="O191" s="5" t="n">
        <x:v>2025</x:v>
      </x:c>
      <x:c r="P191" s="5"/>
      <x:c r="Q191" s="21" t="s">
        <x:v>67</x:v>
      </x:c>
      <x:c r="R191" s="21"/>
      <x:c r="S191" s="18"/>
      <x:c r="T191" s="9"/>
      <x:c r="U191" s="9"/>
      <x:c r="V191" s="74">
        <x:v>-2.1216097</x:v>
      </x:c>
      <x:c r="W191" s="9">
        <x:v>106.0862723</x:v>
      </x:c>
      <x:c r="X191" s="9"/>
      <x:c r="Y191" s="52"/>
      <x:c r="Z191" s="27"/>
      <x:c r="AA191" s="42"/>
      <x:c r="AB191" s="79"/>
      <x:c r="AC191" s="45"/>
      <x:c r="AD191">
        <x:f t="shared" si="14"/>
        <x:v>0.68421052631578949</x:v>
      </x:c>
      <x:c r="AE191">
        <x:f t="shared" si="15"/>
        <x:v>1</x:v>
      </x:c>
    </x:row>
    <x:row r="192">
      <x:c r="A192" s="29" t="s">
        <x:v>474</x:v>
      </x:c>
      <x:c r="B192" s="9" t="s">
        <x:v>475</x:v>
      </x:c>
      <x:c r="C192" s="5" t="s">
        <x:v>63</x:v>
      </x:c>
      <x:c r="D192" s="9" t="s">
        <x:v>86</x:v>
      </x:c>
      <x:c r="E192" s="9" t="s">
        <x:v>93</x:v>
      </x:c>
      <x:c r="F192" s="5" t="str">
        <x:v>Jl. Line Listrik</x:v>
      </x:c>
      <x:c r="G192" s="5" t="str">
        <x:v>PT. TRIMADYA PRIMA JAYA</x:v>
      </x:c>
      <x:c r="H192" s="15" t="str">
        <x:v>Lilis Martono</x:v>
      </x:c>
      <x:c r="I192" s="15" t="str">
        <x:v>Real Estate Indonesia (REI)</x:v>
      </x:c>
      <x:c r="J192" s="5" t="n">
        <x:v>2023</x:v>
      </x:c>
      <x:c r="K192" s="15">
        <x:v>148</x:v>
      </x:c>
      <x:c r="L192" s="9">
        <x:v>116</x:v>
      </x:c>
      <x:c r="M192" s="15">
        <x:v>80</x:v>
      </x:c>
      <x:c r="N192" s="15" t="s">
        <x:v>78</x:v>
      </x:c>
      <x:c r="O192" s="5"/>
      <x:c r="P192" s="5"/>
      <x:c r="Q192" s="21" t="s">
        <x:v>67</x:v>
      </x:c>
      <x:c r="R192" s="21" t="s">
        <x:v>108</x:v>
      </x:c>
      <x:c r="S192" s="18"/>
      <x:c r="T192" s="9"/>
      <x:c r="U192" s="9"/>
      <x:c r="V192" s="74">
        <x:v>-2.0946505000000002</x:v>
      </x:c>
      <x:c r="W192" s="9">
        <x:v>106.091736</x:v>
      </x:c>
      <x:c r="X192" s="9"/>
      <x:c r="Y192" s="52"/>
      <x:c r="Z192" s="27"/>
      <x:c r="AA192" s="42"/>
      <x:c r="AB192" s="79"/>
      <x:c r="AC192" s="45"/>
      <x:c r="AD192">
        <x:f t="shared" si="14"/>
        <x:v>0.78378378378378377</x:v>
      </x:c>
      <x:c r="AE192">
        <x:f t="shared" si="15"/>
        <x:v>0.68965517241379315</x:v>
      </x:c>
    </x:row>
    <x:row r="193">
      <x:c r="A193" s="29" t="s">
        <x:v>476</x:v>
      </x:c>
      <x:c r="B193" s="9" t="s">
        <x:v>477</x:v>
      </x:c>
      <x:c r="C193" s="5" t="s">
        <x:v>63</x:v>
      </x:c>
      <x:c r="D193" s="9" t="s">
        <x:v>86</x:v>
      </x:c>
      <x:c r="E193" s="9" t="s">
        <x:v>93</x:v>
      </x:c>
      <x:c r="F193" s="5" t="str">
        <x:v>Jl. Line Listrik (Kampak-Kerabut)</x:v>
      </x:c>
      <x:c r="G193" s="5" t="str">
        <x:v>PT. TRIMADYA PRIMA JAYA</x:v>
      </x:c>
      <x:c r="H193" s="15" t="str">
        <x:v>Lilis Martono</x:v>
      </x:c>
      <x:c r="I193" s="15" t="str">
        <x:v>Real Estate Indonesia (REI)</x:v>
      </x:c>
      <x:c r="J193" s="5" t="n">
        <x:v>2023</x:v>
      </x:c>
      <x:c r="K193" s="15">
        <x:v>24</x:v>
      </x:c>
      <x:c r="L193" s="9">
        <x:v>0</x:v>
      </x:c>
      <x:c r="M193" s="15">
        <x:v>0</x:v>
      </x:c>
      <x:c r="N193" s="15" t="s">
        <x:v>78</x:v>
      </x:c>
      <x:c r="O193" s="5"/>
      <x:c r="P193" s="5"/>
      <x:c r="Q193" s="21" t="s">
        <x:v>67</x:v>
      </x:c>
      <x:c r="R193" s="21"/>
      <x:c r="S193" s="18"/>
      <x:c r="T193" s="9"/>
      <x:c r="U193" s="9"/>
      <x:c r="V193" s="74">
        <x:v>-2.0952259999999998</x:v>
      </x:c>
      <x:c r="W193" s="9">
        <x:v>106.0856861</x:v>
      </x:c>
      <x:c r="X193" s="9"/>
      <x:c r="Y193" s="52"/>
      <x:c r="Z193" s="27"/>
      <x:c r="AA193" s="42"/>
      <x:c r="AB193" s="79"/>
      <x:c r="AC193" s="45"/>
      <x:c r="AD193">
        <x:f t="shared" si="14"/>
        <x:v>0</x:v>
      </x:c>
      <x:c r="AE193">
        <x:f t="shared" si="15"/>
        <x:v>0</x:v>
      </x:c>
    </x:row>
    <x:row r="194">
      <x:c r="A194" s="29" t="s">
        <x:v>478</x:v>
      </x:c>
      <x:c r="B194" s="9" t="s">
        <x:v>479</x:v>
      </x:c>
      <x:c r="C194" s="5" t="s">
        <x:v>63</x:v>
      </x:c>
      <x:c r="D194" s="9" t="s">
        <x:v>86</x:v>
      </x:c>
      <x:c r="E194" s="9" t="s">
        <x:v>93</x:v>
      </x:c>
      <x:c r="F194" s="5" t="str">
        <x:v>Jl. Haji Bakir</x:v>
      </x:c>
      <x:c r="G194" s="5" t="str">
        <x:v>PT. TRIMADYA PRIMA JAYA</x:v>
      </x:c>
      <x:c r="H194" s="15" t="str">
        <x:v>Lilis Martono</x:v>
      </x:c>
      <x:c r="I194" s="15" t="str">
        <x:v>Real Estate Indonesia (REI)</x:v>
      </x:c>
      <x:c r="J194" s="5" t="n">
        <x:v>2024</x:v>
      </x:c>
      <x:c r="K194" s="15">
        <x:v>47</x:v>
      </x:c>
      <x:c r="L194" s="9">
        <x:v>0</x:v>
      </x:c>
      <x:c r="M194" s="15">
        <x:v>0</x:v>
      </x:c>
      <x:c r="N194" s="15" t="s">
        <x:v>78</x:v>
      </x:c>
      <x:c r="O194" s="5"/>
      <x:c r="P194" s="5"/>
      <x:c r="Q194" s="21" t="s">
        <x:v>67</x:v>
      </x:c>
      <x:c r="R194" s="21"/>
      <x:c r="S194" s="18"/>
      <x:c r="T194" s="9"/>
      <x:c r="U194" s="9"/>
      <x:c r="V194" s="74">
        <x:v>-2.0995051</x:v>
      </x:c>
      <x:c r="W194" s="9">
        <x:v>106.0848124</x:v>
      </x:c>
      <x:c r="X194" s="9"/>
      <x:c r="Y194" s="52"/>
      <x:c r="Z194" s="27"/>
      <x:c r="AA194" s="42"/>
      <x:c r="AB194" s="79"/>
      <x:c r="AC194" s="45"/>
      <x:c r="AD194">
        <x:f t="shared" si="14"/>
        <x:v>0</x:v>
      </x:c>
      <x:c r="AE194">
        <x:f t="shared" si="15"/>
        <x:v>0</x:v>
      </x:c>
    </x:row>
    <x:row r="195">
      <x:c r="A195" s="29" t="s">
        <x:v>480</x:v>
      </x:c>
      <x:c r="B195" s="9" t="s">
        <x:v>481</x:v>
      </x:c>
      <x:c r="C195" s="5" t="s">
        <x:v>63</x:v>
      </x:c>
      <x:c r="D195" s="9" t="s">
        <x:v>64</x:v>
      </x:c>
      <x:c r="E195" s="9" t="s">
        <x:v>152</x:v>
      </x:c>
      <x:c r="F195" s="5" t="str">
        <x:v>Jl. Bukit Manggis</x:v>
      </x:c>
      <x:c r="G195" s="5" t="str">
        <x:v>PT. TRIMADYA PRIMA JAYA</x:v>
      </x:c>
      <x:c r="H195" s="15" t="str">
        <x:v>Lilis Martono</x:v>
      </x:c>
      <x:c r="I195" s="15" t="str">
        <x:v>Real Estate Indonesia (REI)</x:v>
      </x:c>
      <x:c r="J195" s="5" t="n">
        <x:v>2025</x:v>
      </x:c>
      <x:c r="K195" s="15">
        <x:v>58</x:v>
      </x:c>
      <x:c r="L195" s="9">
        <x:v>41</x:v>
      </x:c>
      <x:c r="M195" s="15">
        <x:v>41</x:v>
      </x:c>
      <x:c r="N195" s="15" t="s">
        <x:v>78</x:v>
      </x:c>
      <x:c r="O195" s="5"/>
      <x:c r="P195" s="5"/>
      <x:c r="Q195" s="21" t="s">
        <x:v>67</x:v>
      </x:c>
      <x:c r="R195" s="21" t="s">
        <x:v>108</x:v>
      </x:c>
      <x:c r="S195" s="18"/>
      <x:c r="T195" s="9"/>
      <x:c r="U195" s="9"/>
      <x:c r="V195" s="74">
        <x:v>-2.106506</x:v>
      </x:c>
      <x:c r="W195" s="9">
        <x:v>106.090225</x:v>
      </x:c>
      <x:c r="X195" s="9"/>
      <x:c r="Y195" s="52"/>
      <x:c r="Z195" s="27"/>
      <x:c r="AA195" s="42"/>
      <x:c r="AB195" s="79"/>
      <x:c r="AC195" s="45"/>
      <x:c r="AD195">
        <x:f t="shared" si="14"/>
        <x:v>0.7068965517241379</x:v>
      </x:c>
      <x:c r="AE195">
        <x:f t="shared" si="15"/>
        <x:v>1</x:v>
      </x:c>
    </x:row>
    <x:row r="196">
      <x:c r="A196" s="29" t="s">
        <x:v>482</x:v>
      </x:c>
      <x:c r="B196" s="9" t="s">
        <x:v>483</x:v>
      </x:c>
      <x:c r="C196" s="5" t="s">
        <x:v>63</x:v>
      </x:c>
      <x:c r="D196" s="9" t="s">
        <x:v>64</x:v>
      </x:c>
      <x:c r="E196" s="9" t="s">
        <x:v>73</x:v>
      </x:c>
      <x:c r="F196" s="5" t="str">
        <x:v>Jl. Kenari Rt.03 Rw.01</x:v>
      </x:c>
      <x:c r="G196" s="5" t="str">
        <x:v>PT. CAHAYA JAYA KONSTRUKSI</x:v>
      </x:c>
      <x:c r="H196" s="15" t="str">
        <x:v>Mas'ud</x:v>
      </x:c>
      <x:c r="I196" s="15" t="str">
        <x:v>Pengembang Indonesia (PI)</x:v>
      </x:c>
      <x:c r="J196" s="5" t="n">
        <x:v>2020</x:v>
      </x:c>
      <x:c r="K196" s="15">
        <x:v>42</x:v>
      </x:c>
      <x:c r="L196" s="9">
        <x:v>42</x:v>
      </x:c>
      <x:c r="M196" s="15">
        <x:v>42</x:v>
      </x:c>
      <x:c r="N196" s="15" t="s">
        <x:v>78</x:v>
      </x:c>
      <x:c r="O196" s="5"/>
      <x:c r="P196" s="5"/>
      <x:c r="Q196" s="21" t="s">
        <x:v>67</x:v>
      </x:c>
      <x:c r="R196" s="21"/>
      <x:c r="S196" s="18"/>
      <x:c r="T196" s="9"/>
      <x:c r="U196" s="9"/>
      <x:c r="V196" s="74">
        <x:v>-2.1166117</x:v>
      </x:c>
      <x:c r="W196" s="9">
        <x:v>106.0875205</x:v>
      </x:c>
      <x:c r="X196" s="9"/>
      <x:c r="Y196" s="52"/>
      <x:c r="Z196" s="27"/>
      <x:c r="AA196" s="42"/>
      <x:c r="AB196" s="79"/>
      <x:c r="AC196" s="45"/>
      <x:c r="AD196">
        <x:f t="shared" si="14"/>
        <x:v>1</x:v>
      </x:c>
      <x:c r="AE196">
        <x:f t="shared" si="15"/>
        <x:v>1</x:v>
      </x:c>
    </x:row>
    <x:row r="197">
      <x:c r="A197" s="29" t="s">
        <x:v>484</x:v>
      </x:c>
      <x:c r="B197" s="9" t="s">
        <x:v>485</x:v>
      </x:c>
      <x:c r="C197" s="5" t="s">
        <x:v>63</x:v>
      </x:c>
      <x:c r="D197" s="9" t="s">
        <x:v>64</x:v>
      </x:c>
      <x:c r="E197" s="9" t="s">
        <x:v>65</x:v>
      </x:c>
      <x:c r="F197" s="5" t="str">
        <x:v>Jl. Kampak</x:v>
      </x:c>
      <x:c r="G197" s="5" t="str">
        <x:v>Belum Teridentifikasi</x:v>
      </x:c>
      <x:c r="H197" s="15" t="str">
        <x:v>Belum Teridentifikasi</x:v>
      </x:c>
      <x:c r="I197" s="15" t="str">
        <x:v>Belum Teridentifikasi</x:v>
      </x:c>
      <x:c r="J197" s="5" t="n">
        <x:v>2016</x:v>
      </x:c>
      <x:c r="K197" s="15">
        <x:v>88</x:v>
      </x:c>
      <x:c r="L197" s="9">
        <x:v>88</x:v>
      </x:c>
      <x:c r="M197" s="15">
        <x:v>88</x:v>
      </x:c>
      <x:c r="N197" s="15" t="s">
        <x:v>78</x:v>
      </x:c>
      <x:c r="O197" s="5"/>
      <x:c r="P197" s="5"/>
      <x:c r="Q197" s="21" t="s">
        <x:v>67</x:v>
      </x:c>
      <x:c r="R197" s="21"/>
      <x:c r="S197" s="18"/>
      <x:c r="T197" s="9"/>
      <x:c r="U197" s="9"/>
      <x:c r="V197" s="74">
        <x:v>-2.101629</x:v>
      </x:c>
      <x:c r="W197" s="9">
        <x:v>106.0795565</x:v>
      </x:c>
      <x:c r="X197" s="9"/>
      <x:c r="Y197" s="52"/>
      <x:c r="Z197" s="27"/>
      <x:c r="AA197" s="42"/>
      <x:c r="AB197" s="79"/>
      <x:c r="AC197" s="45"/>
      <x:c r="AD197">
        <x:f t="shared" si="14"/>
        <x:v>1</x:v>
      </x:c>
      <x:c r="AE197">
        <x:f t="shared" si="15"/>
        <x:v>1</x:v>
      </x:c>
    </x:row>
    <x:row r="198">
      <x:c r="A198" s="29" t="s">
        <x:v>486</x:v>
      </x:c>
      <x:c r="B198" s="9" t="s">
        <x:v>487</x:v>
      </x:c>
      <x:c r="C198" s="5" t="s">
        <x:v>63</x:v>
      </x:c>
      <x:c r="D198" s="9" t="s">
        <x:v>86</x:v>
      </x:c>
      <x:c r="E198" s="9" t="s">
        <x:v>112</x:v>
      </x:c>
      <x:c r="F198" s="5" t="str">
        <x:v>Jl. Kerabut</x:v>
      </x:c>
      <x:c r="G198" s="5" t="str">
        <x:v>Belum Teridentifikasi</x:v>
      </x:c>
      <x:c r="H198" s="15" t="str">
        <x:v>Belum Teridentifikasi</x:v>
      </x:c>
      <x:c r="I198" s="15" t="str">
        <x:v>Belum Teridentifikasi</x:v>
      </x:c>
      <x:c r="J198" s="5" t="n">
        <x:v>2015</x:v>
      </x:c>
      <x:c r="K198" s="15">
        <x:v>249</x:v>
      </x:c>
      <x:c r="L198" s="9">
        <x:v>249</x:v>
      </x:c>
      <x:c r="M198" s="15">
        <x:v>249</x:v>
      </x:c>
      <x:c r="N198" s="15" t="s">
        <x:v>78</x:v>
      </x:c>
      <x:c r="O198" s="5"/>
      <x:c r="P198" s="5"/>
      <x:c r="Q198" s="21" t="s">
        <x:v>67</x:v>
      </x:c>
      <x:c r="R198" s="21"/>
      <x:c r="S198" s="18"/>
      <x:c r="T198" s="9"/>
      <x:c r="U198" s="9"/>
      <x:c r="V198" s="74">
        <x:v>-2.0903659999999999</x:v>
      </x:c>
      <x:c r="W198" s="9">
        <x:v>106.103634</x:v>
      </x:c>
      <x:c r="X198" s="9"/>
      <x:c r="Y198" s="52"/>
      <x:c r="Z198" s="27"/>
      <x:c r="AA198" s="42"/>
      <x:c r="AB198" s="79"/>
      <x:c r="AC198" s="45"/>
      <x:c r="AD198">
        <x:f t="shared" si="14"/>
        <x:v>1</x:v>
      </x:c>
      <x:c r="AE198">
        <x:f t="shared" si="15"/>
        <x:v>1</x:v>
      </x:c>
    </x:row>
    <x:row r="199">
      <x:c r="A199" s="29" t="s">
        <x:v>488</x:v>
      </x:c>
      <x:c r="B199" s="9" t="s">
        <x:v>489</x:v>
      </x:c>
      <x:c r="C199" s="5" t="s">
        <x:v>63</x:v>
      </x:c>
      <x:c r="D199" s="9" t="s">
        <x:v>86</x:v>
      </x:c>
      <x:c r="E199" s="9" t="s">
        <x:v>112</x:v>
      </x:c>
      <x:c r="F199" s="5" t="str">
        <x:v>Jl. Singkur No.83</x:v>
      </x:c>
      <x:c r="G199" s="5" t="str">
        <x:v>Belum Teridentifikasi</x:v>
      </x:c>
      <x:c r="H199" s="15" t="str">
        <x:v>Belum Teridentifikasi</x:v>
      </x:c>
      <x:c r="I199" s="15" t="str">
        <x:v>Belum Teridentifikasi</x:v>
      </x:c>
      <x:c r="J199" s="5" t="n">
        <x:v>2015</x:v>
      </x:c>
      <x:c r="K199" s="15">
        <x:v>151</x:v>
      </x:c>
      <x:c r="L199" s="9">
        <x:v>151</x:v>
      </x:c>
      <x:c r="M199" s="15">
        <x:v>151</x:v>
      </x:c>
      <x:c r="N199" s="15" t="s">
        <x:v>78</x:v>
      </x:c>
      <x:c r="O199" s="5"/>
      <x:c r="P199" s="5"/>
      <x:c r="Q199" s="21" t="s">
        <x:v>67</x:v>
      </x:c>
      <x:c r="R199" s="21"/>
      <x:c r="S199" s="18" t="s">
        <x:v>186</x:v>
      </x:c>
      <x:c r="T199" s="9"/>
      <x:c r="U199" s="9"/>
      <x:c r="V199" s="74">
        <x:v>-2.0896349999999999</x:v>
      </x:c>
      <x:c r="W199" s="9">
        <x:v>106.10897799999999</x:v>
      </x:c>
      <x:c r="X199" s="9"/>
      <x:c r="Y199" s="52"/>
      <x:c r="Z199" s="27"/>
      <x:c r="AA199" s="42"/>
      <x:c r="AB199" s="79"/>
      <x:c r="AC199" s="45"/>
      <x:c r="AD199">
        <x:f t="shared" si="14"/>
        <x:v>1</x:v>
      </x:c>
      <x:c r="AE199">
        <x:f t="shared" si="15"/>
        <x:v>1</x:v>
      </x:c>
    </x:row>
    <x:row r="200" ht="25">
      <x:c r="A200" s="29" t="s">
        <x:v>490</x:v>
      </x:c>
      <x:c r="B200" s="9" t="s">
        <x:v>491</x:v>
      </x:c>
      <x:c r="C200" s="5" t="s">
        <x:v>63</x:v>
      </x:c>
      <x:c r="D200" s="9" t="s">
        <x:v>104</x:v>
      </x:c>
      <x:c r="E200" s="9" t="s">
        <x:v>209</x:v>
      </x:c>
      <x:c r="F200" s="5" t="str">
        <x:v>Jl. Pasir Padi</x:v>
      </x:c>
      <x:c r="G200" s="5" t="str">
        <x:v>CV.INDO SEJAHTERA</x:v>
      </x:c>
      <x:c r="H200" s="15" t="str">
        <x:v>Belum Teridentifikasi</x:v>
      </x:c>
      <x:c r="I200" s="15" t="str">
        <x:v>Asosiasi Pengembang Perumahan dan Permukiman Seluruh Indonesia (APERSI)</x:v>
      </x:c>
      <x:c r="J200" s="5" t="n">
        <x:v>2017</x:v>
      </x:c>
      <x:c r="K200" s="15">
        <x:v>44</x:v>
      </x:c>
      <x:c r="L200" s="9">
        <x:v>44</x:v>
      </x:c>
      <x:c r="M200" s="15">
        <x:v>44</x:v>
      </x:c>
      <x:c r="N200" s="15" t="s">
        <x:v>66</x:v>
      </x:c>
      <x:c r="O200" s="5" t="n">
        <x:v>2022</x:v>
      </x:c>
      <x:c r="P200" s="5"/>
      <x:c r="Q200" s="21" t="s">
        <x:v>94</x:v>
      </x:c>
      <x:c r="R200" s="21" t="s">
        <x:v>130</x:v>
      </x:c>
      <x:c r="S200" s="18" t="s">
        <x:v>186</x:v>
      </x:c>
      <x:c r="T200" s="9"/>
      <x:c r="U200" s="9"/>
      <x:c r="V200" s="74">
        <x:v>-2.1338387000000001</x:v>
      </x:c>
      <x:c r="W200" s="9">
        <x:v>106.15800900000001</x:v>
      </x:c>
      <x:c r="X200" s="9"/>
      <x:c r="Y200" s="52"/>
      <x:c r="Z200" s="27"/>
      <x:c r="AA200" s="42"/>
      <x:c r="AB200" s="79"/>
      <x:c r="AC200" s="45"/>
      <x:c r="AD200">
        <x:f t="shared" si="14"/>
        <x:v>1</x:v>
      </x:c>
      <x:c r="AE200">
        <x:f t="shared" si="15"/>
        <x:v>1</x:v>
      </x:c>
    </x:row>
    <x:row r="201" ht="25">
      <x:c r="A201" s="29" t="s">
        <x:v>492</x:v>
      </x:c>
      <x:c r="B201" s="9" t="s">
        <x:v>493</x:v>
      </x:c>
      <x:c r="C201" s="5" t="s">
        <x:v>63</x:v>
      </x:c>
      <x:c r="D201" s="9" t="s">
        <x:v>104</x:v>
      </x:c>
      <x:c r="E201" s="9" t="s">
        <x:v>209</x:v>
      </x:c>
      <x:c r="F201" s="5" t="str">
        <x:v>Jl. Pasir Padi</x:v>
      </x:c>
      <x:c r="G201" s="5" t="str">
        <x:v>CV.INDO SEJAHTERA</x:v>
      </x:c>
      <x:c r="H201" s="15" t="str">
        <x:v>Belum Teridentifikasi</x:v>
      </x:c>
      <x:c r="I201" s="15" t="str">
        <x:v>Asosiasi Pengembang Perumahan dan Permukiman Seluruh Indonesia (APERSI)</x:v>
      </x:c>
      <x:c r="J201" s="5" t="n">
        <x:v>2018</x:v>
      </x:c>
      <x:c r="K201" s="15">
        <x:v>51</x:v>
      </x:c>
      <x:c r="L201" s="9">
        <x:v>51</x:v>
      </x:c>
      <x:c r="M201" s="15">
        <x:v>51</x:v>
      </x:c>
      <x:c r="N201" s="15" t="s">
        <x:v>66</x:v>
      </x:c>
      <x:c r="O201" s="5" t="n">
        <x:v>2022</x:v>
      </x:c>
      <x:c r="P201" s="5"/>
      <x:c r="Q201" s="21" t="s">
        <x:v>94</x:v>
      </x:c>
      <x:c r="R201" s="21" t="s">
        <x:v>130</x:v>
      </x:c>
      <x:c r="S201" s="18" t="s">
        <x:v>186</x:v>
      </x:c>
      <x:c r="T201" s="9"/>
      <x:c r="U201" s="9"/>
      <x:c r="V201" s="74"/>
      <x:c r="W201" s="9"/>
      <x:c r="X201" s="9"/>
      <x:c r="Y201" s="52"/>
      <x:c r="Z201" s="27"/>
      <x:c r="AA201" s="42"/>
      <x:c r="AB201" s="79"/>
      <x:c r="AC201" s="45"/>
      <x:c r="AD201">
        <x:f t="shared" si="14"/>
        <x:v>1</x:v>
      </x:c>
      <x:c r="AE201">
        <x:f t="shared" si="15"/>
        <x:v>1</x:v>
      </x:c>
    </x:row>
    <x:row r="202" ht="25">
      <x:c r="A202" s="29" t="s">
        <x:v>494</x:v>
      </x:c>
      <x:c r="B202" s="9" t="s">
        <x:v>495</x:v>
      </x:c>
      <x:c r="C202" s="5" t="s">
        <x:v>63</x:v>
      </x:c>
      <x:c r="D202" s="9" t="s">
        <x:v>104</x:v>
      </x:c>
      <x:c r="E202" s="9" t="s">
        <x:v>209</x:v>
      </x:c>
      <x:c r="F202" s="5" t="str">
        <x:v>Jl. Pasir Padi</x:v>
      </x:c>
      <x:c r="G202" s="5" t="str">
        <x:v>CV.INDO SEJAHTERA</x:v>
      </x:c>
      <x:c r="H202" s="15" t="str">
        <x:v>Belum Teridentifikasi</x:v>
      </x:c>
      <x:c r="I202" s="15" t="str">
        <x:v>Asosiasi Pengembang Perumahan dan Permukiman Seluruh Indonesia (APERSI)</x:v>
      </x:c>
      <x:c r="J202" s="5" t="n">
        <x:v>2018</x:v>
      </x:c>
      <x:c r="K202" s="15">
        <x:v>25</x:v>
      </x:c>
      <x:c r="L202" s="9">
        <x:v>25</x:v>
      </x:c>
      <x:c r="M202" s="15">
        <x:v>25</x:v>
      </x:c>
      <x:c r="N202" s="15" t="s">
        <x:v>66</x:v>
      </x:c>
      <x:c r="O202" s="5" t="n">
        <x:v>2022</x:v>
      </x:c>
      <x:c r="P202" s="5"/>
      <x:c r="Q202" s="21" t="s">
        <x:v>94</x:v>
      </x:c>
      <x:c r="R202" s="21" t="s">
        <x:v>130</x:v>
      </x:c>
      <x:c r="S202" s="18" t="s">
        <x:v>186</x:v>
      </x:c>
      <x:c r="T202" s="9"/>
      <x:c r="U202" s="9"/>
      <x:c r="V202" s="74"/>
      <x:c r="W202" s="9"/>
      <x:c r="X202" s="9"/>
      <x:c r="Y202" s="52"/>
      <x:c r="Z202" s="27"/>
      <x:c r="AA202" s="42"/>
      <x:c r="AB202" s="79"/>
      <x:c r="AC202" s="45"/>
      <x:c r="AD202">
        <x:f t="shared" si="14"/>
        <x:v>1</x:v>
      </x:c>
      <x:c r="AE202">
        <x:f t="shared" si="15"/>
        <x:v>1</x:v>
      </x:c>
    </x:row>
    <x:row r="203" ht="25">
      <x:c r="A203" s="29" t="s">
        <x:v>496</x:v>
      </x:c>
      <x:c r="B203" s="9" t="s">
        <x:v>497</x:v>
      </x:c>
      <x:c r="C203" s="5" t="s">
        <x:v>63</x:v>
      </x:c>
      <x:c r="D203" s="9" t="s">
        <x:v>104</x:v>
      </x:c>
      <x:c r="E203" s="9" t="s">
        <x:v>209</x:v>
      </x:c>
      <x:c r="F203" s="5" t="str">
        <x:v>Jl. Pasir Padi</x:v>
      </x:c>
      <x:c r="G203" s="5" t="str">
        <x:v>CV.INDO SEJAHTERA</x:v>
      </x:c>
      <x:c r="H203" s="15" t="str">
        <x:v>Belum Teridentifikasi</x:v>
      </x:c>
      <x:c r="I203" s="15" t="str">
        <x:v>Asosiasi Pengembang Perumahan dan Permukiman Seluruh Indonesia (APERSI)</x:v>
      </x:c>
      <x:c r="J203" s="5" t="n">
        <x:v>2019</x:v>
      </x:c>
      <x:c r="K203" s="15">
        <x:v>84</x:v>
      </x:c>
      <x:c r="L203" s="9">
        <x:v>84</x:v>
      </x:c>
      <x:c r="M203" s="15">
        <x:v>84</x:v>
      </x:c>
      <x:c r="N203" s="15" t="s">
        <x:v>66</x:v>
      </x:c>
      <x:c r="O203" s="5" t="n">
        <x:v>2022</x:v>
      </x:c>
      <x:c r="P203" s="5"/>
      <x:c r="Q203" s="21" t="s">
        <x:v>67</x:v>
      </x:c>
      <x:c r="R203" s="21" t="s">
        <x:v>130</x:v>
      </x:c>
      <x:c r="S203" s="18" t="s">
        <x:v>186</x:v>
      </x:c>
      <x:c r="T203" s="9"/>
      <x:c r="U203" s="9"/>
      <x:c r="V203" s="74">
        <x:v>-2.1338387000000001</x:v>
      </x:c>
      <x:c r="W203" s="9">
        <x:v>106.15800900000001</x:v>
      </x:c>
      <x:c r="X203" s="9"/>
      <x:c r="Y203" s="52"/>
      <x:c r="Z203" s="27"/>
      <x:c r="AA203" s="42"/>
      <x:c r="AB203" s="79"/>
      <x:c r="AC203" s="45"/>
      <x:c r="AD203">
        <x:f t="shared" si="14"/>
        <x:v>1</x:v>
      </x:c>
      <x:c r="AE203">
        <x:f t="shared" si="15"/>
        <x:v>1</x:v>
      </x:c>
    </x:row>
    <x:row r="204" ht="25">
      <x:c r="A204" s="29" t="s">
        <x:v>498</x:v>
      </x:c>
      <x:c r="B204" s="9" t="s">
        <x:v>499</x:v>
      </x:c>
      <x:c r="C204" s="5" t="s">
        <x:v>63</x:v>
      </x:c>
      <x:c r="D204" s="9" t="s">
        <x:v>104</x:v>
      </x:c>
      <x:c r="E204" s="9" t="s">
        <x:v>209</x:v>
      </x:c>
      <x:c r="F204" s="5" t="str">
        <x:v>Jl. Pasir Padi</x:v>
      </x:c>
      <x:c r="G204" s="5" t="str">
        <x:v>CV.INDO SEJAHTERA</x:v>
      </x:c>
      <x:c r="H204" s="15" t="str">
        <x:v>Belum Teridentifikasi</x:v>
      </x:c>
      <x:c r="I204" s="15" t="str">
        <x:v>Asosiasi Pengembang Perumahan dan Permukiman Seluruh Indonesia (APERSI)</x:v>
      </x:c>
      <x:c r="J204" s="5" t="n">
        <x:v>2019</x:v>
      </x:c>
      <x:c r="K204" s="15">
        <x:v>22</x:v>
      </x:c>
      <x:c r="L204" s="9">
        <x:v>22</x:v>
      </x:c>
      <x:c r="M204" s="15">
        <x:v>22</x:v>
      </x:c>
      <x:c r="N204" s="15" t="s">
        <x:v>66</x:v>
      </x:c>
      <x:c r="O204" s="5" t="n">
        <x:v>2022</x:v>
      </x:c>
      <x:c r="P204" s="5"/>
      <x:c r="Q204" s="21" t="s">
        <x:v>67</x:v>
      </x:c>
      <x:c r="R204" s="21" t="s">
        <x:v>130</x:v>
      </x:c>
      <x:c r="S204" s="18" t="s">
        <x:v>186</x:v>
      </x:c>
      <x:c r="T204" s="9"/>
      <x:c r="U204" s="9"/>
      <x:c r="V204" s="74">
        <x:v>-2.1337893999999999</x:v>
      </x:c>
      <x:c r="W204" s="9">
        <x:v>106.1568065</x:v>
      </x:c>
      <x:c r="X204" s="9"/>
      <x:c r="Y204" s="52"/>
      <x:c r="Z204" s="27"/>
      <x:c r="AA204" s="42"/>
      <x:c r="AB204" s="79"/>
      <x:c r="AC204" s="45"/>
      <x:c r="AD204">
        <x:f t="shared" si="14"/>
        <x:v>1</x:v>
      </x:c>
      <x:c r="AE204">
        <x:f t="shared" si="15"/>
        <x:v>1</x:v>
      </x:c>
    </x:row>
    <x:row r="205">
      <x:c r="A205" s="29" t="s">
        <x:v>500</x:v>
      </x:c>
      <x:c r="B205" s="9" t="s">
        <x:v>501</x:v>
      </x:c>
      <x:c r="C205" s="5" t="s">
        <x:v>63</x:v>
      </x:c>
      <x:c r="D205" s="9" t="s">
        <x:v>86</x:v>
      </x:c>
      <x:c r="E205" s="9" t="s">
        <x:v>87</x:v>
      </x:c>
      <x:c r="F205" s="5" t="str">
        <x:v>Jl. Pengembang Indonesia (PI)kas IV</x:v>
      </x:c>
      <x:c r="G205" s="5" t="str">
        <x:v>PT. TEKNIK KONSTRUKSI PROPERTINDO</x:v>
      </x:c>
      <x:c r="H205" s="15" t="str">
        <x:v>Tri Wibowo</x:v>
      </x:c>
      <x:c r="I205" s="15" t="str">
        <x:v>Belum Teridentifikasi</x:v>
      </x:c>
      <x:c r="J205" s="5" t="n">
        <x:v>2024</x:v>
      </x:c>
      <x:c r="K205" s="15">
        <x:v>35</x:v>
      </x:c>
      <x:c r="L205" s="9">
        <x:v>35</x:v>
      </x:c>
      <x:c r="M205" s="15">
        <x:v>35</x:v>
      </x:c>
      <x:c r="N205" s="15" t="s">
        <x:v>66</x:v>
      </x:c>
      <x:c r="O205" s="5" t="n">
        <x:v>2026</x:v>
      </x:c>
      <x:c r="P205" s="5"/>
      <x:c r="Q205" s="21" t="s">
        <x:v>67</x:v>
      </x:c>
      <x:c r="R205" s="21"/>
      <x:c r="S205" s="18"/>
      <x:c r="T205" s="9"/>
      <x:c r="U205" s="9"/>
      <x:c r="V205" s="74">
        <x:v>-2.1030367000000001</x:v>
      </x:c>
      <x:c r="W205" s="9">
        <x:v>106.09867819999999</x:v>
      </x:c>
      <x:c r="X205" s="9"/>
      <x:c r="Y205" s="52"/>
      <x:c r="Z205" s="27"/>
      <x:c r="AA205" s="42"/>
      <x:c r="AB205" s="79"/>
      <x:c r="AC205" s="45"/>
      <x:c r="AD205">
        <x:f t="shared" si="14"/>
        <x:v>1</x:v>
      </x:c>
      <x:c r="AE205">
        <x:f t="shared" si="15"/>
        <x:v>1</x:v>
      </x:c>
    </x:row>
    <x:row r="206">
      <x:c r="A206" s="29" t="s">
        <x:v>502</x:v>
      </x:c>
      <x:c r="B206" s="9" t="s">
        <x:v>503</x:v>
      </x:c>
      <x:c r="C206" s="5" t="s">
        <x:v>63</x:v>
      </x:c>
      <x:c r="D206" s="9" t="s">
        <x:v>64</x:v>
      </x:c>
      <x:c r="E206" s="9" t="s">
        <x:v>73</x:v>
      </x:c>
      <x:c r="F206" s="5" t="str">
        <x:v>Jl. Gandaria</x:v>
      </x:c>
      <x:c r="G206" s="5" t="str">
        <x:v>PT. TEKNIK KONSTRUKSI PROPERTINDO</x:v>
      </x:c>
      <x:c r="H206" s="15" t="str">
        <x:v>Tri Wibowo</x:v>
      </x:c>
      <x:c r="I206" s="15" t="str">
        <x:v>Belum Teridentifikasi</x:v>
      </x:c>
      <x:c r="J206" s="5" t="n">
        <x:v>2026</x:v>
      </x:c>
      <x:c r="K206" s="15">
        <x:v>54</x:v>
      </x:c>
      <x:c r="L206" s="9">
        <x:v>0</x:v>
      </x:c>
      <x:c r="M206" s="15">
        <x:v>0</x:v>
      </x:c>
      <x:c r="N206" s="15" t="s">
        <x:v>78</x:v>
      </x:c>
      <x:c r="O206" s="5"/>
      <x:c r="P206" s="5"/>
      <x:c r="Q206" s="21" t="s">
        <x:v>67</x:v>
      </x:c>
      <x:c r="R206" s="21" t="s">
        <x:v>108</x:v>
      </x:c>
      <x:c r="S206" s="18"/>
      <x:c r="T206" s="9"/>
      <x:c r="U206" s="9"/>
      <x:c r="V206" s="74"/>
      <x:c r="W206" s="9"/>
      <x:c r="X206" s="9"/>
      <x:c r="Y206" s="52"/>
      <x:c r="Z206" s="64"/>
      <x:c r="AA206" s="42"/>
      <x:c r="AB206" s="79"/>
      <x:c r="AC206" s="72"/>
    </x:row>
    <x:row r="207">
      <x:c r="A207" s="29" t="s">
        <x:v>504</x:v>
      </x:c>
      <x:c r="B207" s="9" t="s">
        <x:v>505</x:v>
      </x:c>
      <x:c r="C207" s="5" t="s">
        <x:v>63</x:v>
      </x:c>
      <x:c r="D207" s="9" t="s">
        <x:v>86</x:v>
      </x:c>
      <x:c r="E207" s="9" t="s">
        <x:v>112</x:v>
      </x:c>
      <x:c r="F207" s="5" t="str">
        <x:v>Jl. Lintas Timur</x:v>
      </x:c>
      <x:c r="G207" s="5" t="str">
        <x:v>Belum Teridentifikasi</x:v>
      </x:c>
      <x:c r="H207" s="15" t="str">
        <x:v>Belum Teridentifikasi</x:v>
      </x:c>
      <x:c r="I207" s="15" t="str">
        <x:v>Belum Teridentifikasi</x:v>
      </x:c>
      <x:c r="J207" s="5" t="n">
        <x:v>2015</x:v>
      </x:c>
      <x:c r="K207" s="15">
        <x:v>61</x:v>
      </x:c>
      <x:c r="L207" s="9">
        <x:v>61</x:v>
      </x:c>
      <x:c r="M207" s="15">
        <x:v>61</x:v>
      </x:c>
      <x:c r="N207" s="15" t="s">
        <x:v>78</x:v>
      </x:c>
      <x:c r="O207" s="5"/>
      <x:c r="P207" s="5"/>
      <x:c r="Q207" s="21" t="s">
        <x:v>67</x:v>
      </x:c>
      <x:c r="R207" s="21" t="s">
        <x:v>108</x:v>
      </x:c>
      <x:c r="S207" s="18"/>
      <x:c r="T207" s="9"/>
      <x:c r="U207" s="9"/>
      <x:c r="V207" s="74">
        <x:v>-2.0791229000000002</x:v>
      </x:c>
      <x:c r="W207" s="9">
        <x:v>106.12775739999999</x:v>
      </x:c>
      <x:c r="X207" s="9"/>
      <x:c r="Y207" s="52"/>
      <x:c r="Z207" s="27"/>
      <x:c r="AA207" s="42"/>
      <x:c r="AB207" s="79"/>
      <x:c r="AC207" s="45"/>
      <x:c r="AD207" t="n">
        <x:f>IF(A207="","",IFERROR(L207/K207,0))</x:f>
        <x:v>1</x:v>
      </x:c>
      <x:c r="AE207" t="n">
        <x:f>IF(A207="","",IFERROR(M207/L207,0))</x:f>
        <x:v>1</x:v>
      </x:c>
    </x:row>
    <x:row r="208">
      <x:c r="A208" s="29" t="s">
        <x:v>506</x:v>
      </x:c>
      <x:c r="B208" s="9" t="s">
        <x:v>507</x:v>
      </x:c>
      <x:c r="C208" s="5" t="s">
        <x:v>179</x:v>
      </x:c>
      <x:c r="D208" s="9" t="s">
        <x:v>64</x:v>
      </x:c>
      <x:c r="E208" s="9" t="s">
        <x:v>194</x:v>
      </x:c>
      <x:c r="F208" s="5" t="str">
        <x:v>Jl. Rumbia</x:v>
      </x:c>
      <x:c r="G208" s="5" t="str">
        <x:v>Belum Teridentifikasi</x:v>
      </x:c>
      <x:c r="H208" s="15" t="str">
        <x:v>Belum Teridentifikasi</x:v>
      </x:c>
      <x:c r="I208" s="15" t="str">
        <x:v>Belum Teridentifikasi</x:v>
      </x:c>
      <x:c r="J208" s="5" t="n">
        <x:v>2018</x:v>
      </x:c>
      <x:c r="K208" s="15">
        <x:v>10</x:v>
      </x:c>
      <x:c r="L208" s="9">
        <x:v>10</x:v>
      </x:c>
      <x:c r="M208" s="15">
        <x:v>10</x:v>
      </x:c>
      <x:c r="N208" s="15" t="s">
        <x:v>78</x:v>
      </x:c>
      <x:c r="O208" s="5"/>
      <x:c r="P208" s="5"/>
      <x:c r="Q208" s="21" t="s">
        <x:v>67</x:v>
      </x:c>
      <x:c r="R208" s="21"/>
      <x:c r="S208" s="18"/>
      <x:c r="T208" s="9"/>
      <x:c r="U208" s="9"/>
      <x:c r="V208" s="74">
        <x:v>-2.1178539000000001</x:v>
      </x:c>
      <x:c r="W208" s="9">
        <x:v>106.0945468</x:v>
      </x:c>
      <x:c r="X208" s="9"/>
      <x:c r="Y208" s="52"/>
      <x:c r="Z208" s="27"/>
      <x:c r="AA208" s="42"/>
      <x:c r="AB208" s="79"/>
      <x:c r="AC208" s="45"/>
      <x:c r="AD208" t="n">
        <x:f>IF(A208="","",IFERROR(L208/K208,0))</x:f>
        <x:v>1</x:v>
      </x:c>
      <x:c r="AE208" t="n">
        <x:f>IF(A208="","",IFERROR(M208/L208,0))</x:f>
        <x:v>1</x:v>
      </x:c>
    </x:row>
    <x:row r="209">
      <x:c r="A209" s="29" t="s">
        <x:v>508</x:v>
      </x:c>
      <x:c r="B209" s="9" t="s">
        <x:v>509</x:v>
      </x:c>
      <x:c r="C209" s="5" t="s">
        <x:v>63</x:v>
      </x:c>
      <x:c r="D209" s="9" t="s">
        <x:v>104</x:v>
      </x:c>
      <x:c r="E209" s="9" t="s">
        <x:v>209</x:v>
      </x:c>
      <x:c r="F209" s="5" t="str">
        <x:v>Jl. Tanjung Bunga</x:v>
      </x:c>
      <x:c r="G209" s="5" t="str">
        <x:v>PT. Belma</x:v>
      </x:c>
      <x:c r="H209" s="15" t="str">
        <x:v>Belum Teridentifikasi</x:v>
      </x:c>
      <x:c r="I209" s="15" t="str">
        <x:v>Belum Teridentifikasi</x:v>
      </x:c>
      <x:c r="J209" s="5"/>
      <x:c r="K209" s="15">
        <x:v>79</x:v>
      </x:c>
      <x:c r="L209" s="9">
        <x:v>79</x:v>
      </x:c>
      <x:c r="M209" s="15">
        <x:v>79</x:v>
      </x:c>
      <x:c r="N209" s="15" t="s">
        <x:v>78</x:v>
      </x:c>
      <x:c r="O209" s="5"/>
      <x:c r="P209" s="5"/>
      <x:c r="Q209" s="21" t="s">
        <x:v>67</x:v>
      </x:c>
      <x:c r="R209" s="21"/>
      <x:c r="S209" s="18"/>
      <x:c r="T209" s="9"/>
      <x:c r="U209" s="9"/>
      <x:c r="V209" s="74">
        <x:v>-2.1417353000000001</x:v>
      </x:c>
      <x:c r="W209" s="9">
        <x:v>106.16425479999999</x:v>
      </x:c>
      <x:c r="X209" s="9"/>
      <x:c r="Y209" s="52"/>
      <x:c r="Z209" s="27"/>
      <x:c r="AA209" s="42"/>
      <x:c r="AB209" s="79"/>
      <x:c r="AC209" s="45"/>
      <x:c r="AD209" t="n">
        <x:f>IF(A209="","",IFERROR(L209/K209,0))</x:f>
        <x:v>1</x:v>
      </x:c>
      <x:c r="AE209" t="n">
        <x:f>IF(A209="","",IFERROR(M209/L209,0))</x:f>
        <x:v>1</x:v>
      </x:c>
    </x:row>
    <x:row r="210" ht="25">
      <x:c r="A210" s="29" t="s">
        <x:v>510</x:v>
      </x:c>
      <x:c r="B210" s="9" t="s">
        <x:v>511</x:v>
      </x:c>
      <x:c r="C210" s="5" t="s">
        <x:v>63</x:v>
      </x:c>
      <x:c r="D210" s="9" t="s">
        <x:v>64</x:v>
      </x:c>
      <x:c r="E210" s="9" t="s">
        <x:v>73</x:v>
      </x:c>
      <x:c r="F210" s="5" t="str">
        <x:v>Jl. Gerunggang</x:v>
      </x:c>
      <x:c r="G210" s="5" t="str">
        <x:v>PT. ELNOV LANGGENG INDAH</x:v>
      </x:c>
      <x:c r="H210" s="15" t="str">
        <x:v>Novian Kasmofit</x:v>
      </x:c>
      <x:c r="I210" s="15" t="str">
        <x:v>Asosiasi Pengembang Perumahan dan Permukiman Seluruh Indonesia (APERSI)</x:v>
      </x:c>
      <x:c r="J210" s="5" t="n">
        <x:v>2017</x:v>
      </x:c>
      <x:c r="K210" s="15">
        <x:v>48</x:v>
      </x:c>
      <x:c r="L210" s="9">
        <x:v>46</x:v>
      </x:c>
      <x:c r="M210" s="15">
        <x:v>46</x:v>
      </x:c>
      <x:c r="N210" s="15" t="s">
        <x:v>78</x:v>
      </x:c>
      <x:c r="O210" s="5"/>
      <x:c r="P210" s="5"/>
      <x:c r="Q210" s="21" t="s">
        <x:v>67</x:v>
      </x:c>
      <x:c r="R210" s="21"/>
      <x:c r="S210" s="18"/>
      <x:c r="T210" s="9"/>
      <x:c r="U210" s="9"/>
      <x:c r="V210" s="74">
        <x:v>-2.1175589000000001</x:v>
      </x:c>
      <x:c r="W210" s="9">
        <x:v>106.0662955</x:v>
      </x:c>
      <x:c r="X210" s="9"/>
      <x:c r="Y210" s="52"/>
      <x:c r="Z210" s="27"/>
      <x:c r="AA210" s="42"/>
      <x:c r="AB210" s="79"/>
      <x:c r="AC210" s="45"/>
      <x:c r="AD210" t="n">
        <x:f>IF(A210="","",IFERROR(L210/K210,0))</x:f>
        <x:v>0.9583333333333334</x:v>
      </x:c>
      <x:c r="AE210" t="n">
        <x:f>IF(A210="","",IFERROR(M210/L210,0))</x:f>
        <x:v>1</x:v>
      </x:c>
    </x:row>
    <x:row r="211">
      <x:c r="A211" s="29" t="s">
        <x:v>512</x:v>
      </x:c>
      <x:c r="B211" s="9" t="s">
        <x:v>513</x:v>
      </x:c>
      <x:c r="C211" s="5" t="s">
        <x:v>63</x:v>
      </x:c>
      <x:c r="D211" s="9" t="s">
        <x:v>86</x:v>
      </x:c>
      <x:c r="E211" s="9" t="s">
        <x:v>93</x:v>
      </x:c>
      <x:c r="F211" s="5" t="str">
        <x:v>Jl. Kelenteng</x:v>
      </x:c>
      <x:c r="G211" s="5" t="str">
        <x:v>PT. TANAMAS BERKAH JAYA</x:v>
      </x:c>
      <x:c r="H211" s="15" t="str">
        <x:v>Darwanto</x:v>
      </x:c>
      <x:c r="I211" s="15"/>
      <x:c r="J211" s="5" t="n">
        <x:v>2026</x:v>
      </x:c>
      <x:c r="K211" s="15">
        <x:v>32</x:v>
      </x:c>
      <x:c r="L211" s="9">
        <x:v>0</x:v>
      </x:c>
      <x:c r="M211" s="15">
        <x:v>0</x:v>
      </x:c>
      <x:c r="N211" s="15" t="s">
        <x:v>78</x:v>
      </x:c>
      <x:c r="O211" s="5"/>
      <x:c r="P211" s="5"/>
      <x:c r="Q211" s="21" t="s">
        <x:v>67</x:v>
      </x:c>
      <x:c r="R211" s="21" t="s">
        <x:v>108</x:v>
      </x:c>
      <x:c r="S211" s="18"/>
      <x:c r="T211" s="9"/>
      <x:c r="U211" s="9"/>
      <x:c r="V211" s="74"/>
      <x:c r="W211" s="9"/>
      <x:c r="X211" s="9"/>
      <x:c r="Y211" s="52"/>
      <x:c r="Z211" s="64"/>
      <x:c r="AA211" s="42"/>
      <x:c r="AB211" s="79"/>
      <x:c r="AC211" s="72"/>
    </x:row>
    <x:row r="212">
      <x:c r="A212" s="29" t="s">
        <x:v>514</x:v>
      </x:c>
      <x:c r="B212" s="9" t="s">
        <x:v>515</x:v>
      </x:c>
      <x:c r="C212" s="5" t="s">
        <x:v>63</x:v>
      </x:c>
      <x:c r="D212" s="9" t="s">
        <x:v>104</x:v>
      </x:c>
      <x:c r="E212" s="9" t="s">
        <x:v>105</x:v>
      </x:c>
      <x:c r="F212" s="5" t="str">
        <x:v>Jl. Pasir</x:v>
      </x:c>
      <x:c r="G212" s="5" t="str">
        <x:v>PT. TANAMAS BERKAH JAYA</x:v>
      </x:c>
      <x:c r="H212" s="15" t="str">
        <x:v>Darwanto</x:v>
      </x:c>
      <x:c r="I212" s="15"/>
      <x:c r="J212" s="5" t="n">
        <x:v>2026</x:v>
      </x:c>
      <x:c r="K212" s="15">
        <x:v>36</x:v>
      </x:c>
      <x:c r="L212" s="9">
        <x:v>0</x:v>
      </x:c>
      <x:c r="M212" s="15">
        <x:v>0</x:v>
      </x:c>
      <x:c r="N212" s="15" t="s">
        <x:v>78</x:v>
      </x:c>
      <x:c r="O212" s="5"/>
      <x:c r="P212" s="5"/>
      <x:c r="Q212" s="21" t="s">
        <x:v>67</x:v>
      </x:c>
      <x:c r="R212" s="21" t="s">
        <x:v>108</x:v>
      </x:c>
      <x:c r="S212" s="18"/>
      <x:c r="T212" s="9"/>
      <x:c r="U212" s="9"/>
      <x:c r="V212" s="74"/>
      <x:c r="W212" s="9"/>
      <x:c r="X212" s="9"/>
      <x:c r="Y212" s="52"/>
      <x:c r="Z212" s="64"/>
      <x:c r="AA212" s="42"/>
      <x:c r="AB212" s="79"/>
      <x:c r="AC212" s="72"/>
    </x:row>
    <x:row r="213">
      <x:c r="A213" s="29" t="s">
        <x:v>516</x:v>
      </x:c>
      <x:c r="B213" s="9" t="s">
        <x:v>517</x:v>
      </x:c>
      <x:c r="C213" s="5" t="s">
        <x:v>63</x:v>
      </x:c>
      <x:c r="D213" s="9" t="s">
        <x:v>86</x:v>
      </x:c>
      <x:c r="E213" s="9" t="s">
        <x:v>93</x:v>
      </x:c>
      <x:c r="F213" s="5" t="str">
        <x:v>Jl. Fatmawati Dalam</x:v>
      </x:c>
      <x:c r="G213" s="5" t="str">
        <x:v>PT. LEGA CIPTA PROPERTINDO</x:v>
      </x:c>
      <x:c r="H213" s="15" t="str">
        <x:v>Noviko</x:v>
      </x:c>
      <x:c r="I213" s="15" t="str">
        <x:v>Pengembang Indonesia (PI)</x:v>
      </x:c>
      <x:c r="J213" s="5" t="n">
        <x:v>2018</x:v>
      </x:c>
      <x:c r="K213" s="15">
        <x:v>102</x:v>
      </x:c>
      <x:c r="L213" s="9">
        <x:v>102</x:v>
      </x:c>
      <x:c r="M213" s="15">
        <x:v>102</x:v>
      </x:c>
      <x:c r="N213" s="15" t="s">
        <x:v>78</x:v>
      </x:c>
      <x:c r="O213" s="5"/>
      <x:c r="P213" s="5"/>
      <x:c r="Q213" s="21" t="s">
        <x:v>67</x:v>
      </x:c>
      <x:c r="R213" s="21"/>
      <x:c r="S213" s="18" t="s">
        <x:v>186</x:v>
      </x:c>
      <x:c r="T213" s="9"/>
      <x:c r="U213" s="9"/>
      <x:c r="V213" s="74">
        <x:v>-2.1016789999999999</x:v>
      </x:c>
      <x:c r="W213" s="9">
        <x:v>106.092687</x:v>
      </x:c>
      <x:c r="X213" s="9"/>
      <x:c r="Y213" s="52"/>
      <x:c r="Z213" s="27"/>
      <x:c r="AA213" s="42"/>
      <x:c r="AB213" s="79"/>
      <x:c r="AC213" s="45"/>
      <x:c r="AD213" t="n">
        <x:f t="shared" ref="AD213:AD244" si="16">IF(A213="","",IFERROR(L213/K213,0))</x:f>
        <x:v>1</x:v>
      </x:c>
      <x:c r="AE213" t="n">
        <x:f t="shared" ref="AE213:AE244" si="17">IF(A213="","",IFERROR(M213/L213,0))</x:f>
        <x:v>1</x:v>
      </x:c>
    </x:row>
    <x:row r="214">
      <x:c r="A214" s="29" t="s">
        <x:v>518</x:v>
      </x:c>
      <x:c r="B214" s="10" t="s">
        <x:v>519</x:v>
      </x:c>
      <x:c r="C214" s="6" t="s">
        <x:v>63</x:v>
      </x:c>
      <x:c r="D214" s="10" t="s">
        <x:v>86</x:v>
      </x:c>
      <x:c r="E214" s="10" t="s">
        <x:v>93</x:v>
      </x:c>
      <x:c r="F214" s="6" t="str">
        <x:v>Jl. Fatmawati Dalam</x:v>
      </x:c>
      <x:c r="G214" s="6" t="str">
        <x:v>PT. LEGA CIPTA PROPERTINDO</x:v>
      </x:c>
      <x:c r="H214" s="16" t="str">
        <x:v>Noviko</x:v>
      </x:c>
      <x:c r="I214" s="16" t="str">
        <x:v>Pengembang Indonesia (PI)</x:v>
      </x:c>
      <x:c r="J214" s="6" t="n">
        <x:v>2018</x:v>
      </x:c>
      <x:c r="K214" s="16">
        <x:v>25</x:v>
      </x:c>
      <x:c r="L214" s="10">
        <x:v>25</x:v>
      </x:c>
      <x:c r="M214" s="16">
        <x:v>25</x:v>
      </x:c>
      <x:c r="N214" s="16" t="s">
        <x:v>78</x:v>
      </x:c>
      <x:c r="O214" s="6"/>
      <x:c r="P214" s="6"/>
      <x:c r="Q214" s="21" t="s">
        <x:v>67</x:v>
      </x:c>
      <x:c r="R214" s="22"/>
      <x:c r="S214" s="19" t="s">
        <x:v>186</x:v>
      </x:c>
      <x:c r="T214" s="10"/>
      <x:c r="U214" s="10"/>
      <x:c r="V214" s="75">
        <x:v>-2.1004930000000002</x:v>
      </x:c>
      <x:c r="W214" s="10">
        <x:v>106.09254</x:v>
      </x:c>
      <x:c r="X214" s="10"/>
      <x:c r="Y214" s="53"/>
      <x:c r="Z214" s="28"/>
      <x:c r="AA214" s="42"/>
      <x:c r="AB214" s="79"/>
      <x:c r="AC214" s="46"/>
      <x:c r="AD214">
        <x:f t="shared" si="16"/>
        <x:v>1</x:v>
      </x:c>
      <x:c r="AE214">
        <x:f t="shared" si="17"/>
        <x:v>1</x:v>
      </x:c>
    </x:row>
    <x:row r="215" s="48" customFormat="1" ht="12.5">
      <x:c r="A215" s="29" t="s">
        <x:v>520</x:v>
      </x:c>
      <x:c r="B215" s="47" t="s">
        <x:v>521</x:v>
      </x:c>
      <x:c r="C215" s="48" t="s">
        <x:v>63</x:v>
      </x:c>
      <x:c r="D215" s="47" t="s">
        <x:v>64</x:v>
      </x:c>
      <x:c r="E215" s="47" t="s">
        <x:v>65</x:v>
      </x:c>
      <x:c r="F215" s="48" t="str">
        <x:v>Jl. Pustu Kerabut</x:v>
      </x:c>
      <x:c r="G215" s="48" t="str">
        <x:v>PT. STANLEY PROPERTY MANDIRI</x:v>
      </x:c>
      <x:c r="H215" s="48" t="str">
        <x:v>Mulyadi Lie</x:v>
      </x:c>
      <x:c r="I215" s="48" t="str">
        <x:v>Belum Teridentifikasi</x:v>
      </x:c>
      <x:c r="J215" s="48" t="n">
        <x:v>2022</x:v>
      </x:c>
      <x:c r="K215" s="48">
        <x:v>67</x:v>
      </x:c>
      <x:c r="L215" s="47">
        <x:v>67</x:v>
      </x:c>
      <x:c r="M215" s="48">
        <x:v>67</x:v>
      </x:c>
      <x:c r="N215" s="48" t="s">
        <x:v>78</x:v>
      </x:c>
      <x:c r="O215" s="48"/>
      <x:c r="Q215" s="21" t="s">
        <x:v>67</x:v>
      </x:c>
      <x:c r="S215" s="47"/>
      <x:c r="T215" s="9" t="s">
        <x:v>68</x:v>
      </x:c>
      <x:c r="U215" s="47"/>
      <x:c r="V215" s="76">
        <x:v>-2.0975090000000001</x:v>
      </x:c>
      <x:c r="W215" s="47">
        <x:v>106.089961</x:v>
      </x:c>
      <x:c r="X215" s="47"/>
      <x:c r="Y215" s="49"/>
      <x:c r="Z215" s="49"/>
      <x:c r="AA215" s="47"/>
      <x:c r="AB215" s="80"/>
      <x:c r="AC215" s="49"/>
      <x:c r="AD215" s="50">
        <x:f t="shared" si="16"/>
        <x:v>1</x:v>
      </x:c>
      <x:c r="AE215" s="50">
        <x:f t="shared" si="17"/>
        <x:v>1</x:v>
      </x:c>
    </x:row>
    <x:row r="216" s="48" customFormat="1" ht="12.5">
      <x:c r="A216" s="29" t="s">
        <x:v>522</x:v>
      </x:c>
      <x:c r="B216" s="47" t="s">
        <x:v>523</x:v>
      </x:c>
      <x:c r="C216" s="48" t="s">
        <x:v>63</x:v>
      </x:c>
      <x:c r="D216" s="47" t="s">
        <x:v>86</x:v>
      </x:c>
      <x:c r="E216" s="47" t="s">
        <x:v>93</x:v>
      </x:c>
      <x:c r="F216" s="48" t="str">
        <x:v>Jl. Fatmawati</x:v>
      </x:c>
      <x:c r="G216" s="48" t="str">
        <x:v>PT. GRAHA MADANI SUKSES BERSAMA</x:v>
      </x:c>
      <x:c r="H216" s="48" t="str">
        <x:v>Mardani</x:v>
      </x:c>
      <x:c r="I216" s="48" t="str">
        <x:v>Asosiasi Pengembang Perumahan Indonesia (APPERINDO)</x:v>
      </x:c>
      <x:c r="J216" s="48" t="n">
        <x:v>2018</x:v>
      </x:c>
      <x:c r="K216" s="48">
        <x:v>42</x:v>
      </x:c>
      <x:c r="L216" s="47">
        <x:v>33</x:v>
      </x:c>
      <x:c r="M216" s="48">
        <x:v>33</x:v>
      </x:c>
      <x:c r="N216" s="48" t="s">
        <x:v>78</x:v>
      </x:c>
      <x:c r="O216" s="48"/>
      <x:c r="Q216" s="21" t="s">
        <x:v>67</x:v>
      </x:c>
      <x:c r="S216" s="47"/>
      <x:c r="T216" s="47"/>
      <x:c r="U216" s="47"/>
      <x:c r="V216" s="76">
        <x:v>-2.1016526</x:v>
      </x:c>
      <x:c r="W216" s="47">
        <x:v>106.08860610000001</x:v>
      </x:c>
      <x:c r="X216" s="47"/>
      <x:c r="Y216" s="49"/>
      <x:c r="Z216" s="49"/>
      <x:c r="AA216" s="47"/>
      <x:c r="AB216" s="80"/>
      <x:c r="AC216" s="49"/>
      <x:c r="AD216" s="50">
        <x:f t="shared" si="16"/>
        <x:v>0.7857142857142857</x:v>
      </x:c>
      <x:c r="AE216" s="50">
        <x:f t="shared" si="17"/>
        <x:v>1</x:v>
      </x:c>
    </x:row>
    <x:row r="217" s="48" customFormat="1" ht="12.5">
      <x:c r="A217" s="29" t="s">
        <x:v>524</x:v>
      </x:c>
      <x:c r="B217" s="47" t="s">
        <x:v>525</x:v>
      </x:c>
      <x:c r="C217" s="48" t="s">
        <x:v>63</x:v>
      </x:c>
      <x:c r="D217" s="47" t="s">
        <x:v>104</x:v>
      </x:c>
      <x:c r="E217" s="47" t="s">
        <x:v>105</x:v>
      </x:c>
      <x:c r="F217" s="48" t="str">
        <x:v>Jl. Bukit Intan</x:v>
      </x:c>
      <x:c r="G217" s="48" t="str">
        <x:v>PT. MAHARANI BERKAH COI PROPERTI</x:v>
      </x:c>
      <x:c r="H217" s="48" t="str">
        <x:v>Corri Ihsani</x:v>
      </x:c>
      <x:c r="I217" s="48" t="str">
        <x:v>Belum Teridentifikasi</x:v>
      </x:c>
      <x:c r="J217" s="48" t="n">
        <x:v>2023</x:v>
      </x:c>
      <x:c r="K217" s="48">
        <x:v>43</x:v>
      </x:c>
      <x:c r="L217" s="47">
        <x:v>32</x:v>
      </x:c>
      <x:c r="M217" s="48">
        <x:v>26</x:v>
      </x:c>
      <x:c r="N217" s="48" t="s">
        <x:v>78</x:v>
      </x:c>
      <x:c r="O217" s="48"/>
      <x:c r="Q217" s="21" t="s">
        <x:v>67</x:v>
      </x:c>
      <x:c r="S217" s="47"/>
      <x:c r="T217" s="47"/>
      <x:c r="U217" s="47"/>
      <x:c r="V217" s="76">
        <x:v>-2.1427999999999998</x:v>
      </x:c>
      <x:c r="W217" s="47">
        <x:v>106.137094</x:v>
      </x:c>
      <x:c r="X217" s="47"/>
      <x:c r="Y217" s="49"/>
      <x:c r="Z217" s="49"/>
      <x:c r="AA217" s="47"/>
      <x:c r="AB217" s="80"/>
      <x:c r="AC217" s="49"/>
      <x:c r="AD217" s="50">
        <x:f t="shared" si="16"/>
        <x:v>0.7441860465116279</x:v>
      </x:c>
      <x:c r="AE217" s="50">
        <x:f t="shared" si="17"/>
        <x:v>0.8125</x:v>
      </x:c>
    </x:row>
    <x:row r="218" s="48" customFormat="1" ht="12.5">
      <x:c r="A218" s="29" t="s">
        <x:v>526</x:v>
      </x:c>
      <x:c r="B218" s="47" t="s">
        <x:v>527</x:v>
      </x:c>
      <x:c r="C218" s="48" t="s">
        <x:v>63</x:v>
      </x:c>
      <x:c r="D218" s="47" t="s">
        <x:v>64</x:v>
      </x:c>
      <x:c r="E218" s="47" t="s">
        <x:v>73</x:v>
      </x:c>
      <x:c r="F218" s="48" t="str">
        <x:v>Jl. Tampuk Pengembang Indonesia (PI)nang Pura</x:v>
      </x:c>
      <x:c r="G218" s="48" t="str">
        <x:v>CV. BANGKA INDO KARYA</x:v>
      </x:c>
      <x:c r="H218" s="48" t="str">
        <x:v>Andri</x:v>
      </x:c>
      <x:c r="I218" s="48" t="str">
        <x:v>Pengembang Indonesia (PI)</x:v>
      </x:c>
      <x:c r="J218" s="48" t="n">
        <x:v>2017</x:v>
      </x:c>
      <x:c r="K218" s="48">
        <x:v>97</x:v>
      </x:c>
      <x:c r="L218" s="47">
        <x:v>97</x:v>
      </x:c>
      <x:c r="M218" s="48">
        <x:v>95</x:v>
      </x:c>
      <x:c r="N218" s="48" t="s">
        <x:v>66</x:v>
      </x:c>
      <x:c r="O218" s="48" t="n">
        <x:v>2021</x:v>
      </x:c>
      <x:c r="Q218" s="48" t="s">
        <x:v>94</x:v>
      </x:c>
      <x:c r="R218" s="48" t="s">
        <x:v>130</x:v>
      </x:c>
      <x:c r="S218" s="47"/>
      <x:c r="T218" s="47"/>
      <x:c r="U218" s="47"/>
      <x:c r="V218" s="76">
        <x:v>-2.1243370000000001</x:v>
      </x:c>
      <x:c r="W218" s="47">
        <x:v>106.07397899999999</x:v>
      </x:c>
      <x:c r="X218" s="47"/>
      <x:c r="Y218" s="49"/>
      <x:c r="Z218" s="49"/>
      <x:c r="AA218" s="47"/>
      <x:c r="AB218" s="80"/>
      <x:c r="AC218" s="49"/>
      <x:c r="AD218" s="50">
        <x:f t="shared" si="16"/>
        <x:v>1</x:v>
      </x:c>
      <x:c r="AE218" s="50">
        <x:f t="shared" si="17"/>
        <x:v>0.97938144329896903</x:v>
      </x:c>
    </x:row>
    <x:row r="219" s="48" customFormat="1" ht="12.5">
      <x:c r="A219" s="29" t="s">
        <x:v>528</x:v>
      </x:c>
      <x:c r="B219" s="47" t="s">
        <x:v>529</x:v>
      </x:c>
      <x:c r="C219" s="48" t="s">
        <x:v>63</x:v>
      </x:c>
      <x:c r="D219" s="47" t="s">
        <x:v>64</x:v>
      </x:c>
      <x:c r="E219" s="47" t="s">
        <x:v>65</x:v>
      </x:c>
      <x:c r="F219" s="48" t="str">
        <x:v>Jl. Kampung Melayu</x:v>
      </x:c>
      <x:c r="G219" s="48" t="str">
        <x:v>PT. BANGKA INDO KARYA</x:v>
      </x:c>
      <x:c r="H219" s="48" t="str">
        <x:v>Andri</x:v>
      </x:c>
      <x:c r="I219" s="48" t="str">
        <x:v>Pengembang Indonesia (PI)</x:v>
      </x:c>
      <x:c r="J219" s="48" t="n">
        <x:v>2020</x:v>
      </x:c>
      <x:c r="K219" s="48">
        <x:v>81</x:v>
      </x:c>
      <x:c r="L219" s="47">
        <x:v>65</x:v>
      </x:c>
      <x:c r="M219" s="48">
        <x:v>57</x:v>
      </x:c>
      <x:c r="N219" s="48" t="s">
        <x:v>78</x:v>
      </x:c>
      <x:c r="O219" s="48"/>
      <x:c r="Q219" s="21" t="s">
        <x:v>67</x:v>
      </x:c>
      <x:c r="R219" s="21" t="s">
        <x:v>108</x:v>
      </x:c>
      <x:c r="S219" s="47"/>
      <x:c r="T219" s="47"/>
      <x:c r="U219" s="47"/>
      <x:c r="V219" s="76">
        <x:v>-2.103507</x:v>
      </x:c>
      <x:c r="W219" s="47">
        <x:v>106.05775800000001</x:v>
      </x:c>
      <x:c r="X219" s="47"/>
      <x:c r="Y219" s="49"/>
      <x:c r="Z219" s="49"/>
      <x:c r="AA219" s="47"/>
      <x:c r="AB219" s="80"/>
      <x:c r="AC219" s="49"/>
      <x:c r="AD219" s="50">
        <x:f t="shared" si="16"/>
        <x:v>0.80246913580246915</x:v>
      </x:c>
      <x:c r="AE219" s="50">
        <x:f t="shared" si="17"/>
        <x:v>0.87692307692307692</x:v>
      </x:c>
    </x:row>
    <x:row r="220" s="48" customFormat="1" ht="12.5">
      <x:c r="A220" s="29" t="s">
        <x:v>530</x:v>
      </x:c>
      <x:c r="B220" s="47" t="s">
        <x:v>531</x:v>
      </x:c>
      <x:c r="C220" s="48" t="s">
        <x:v>63</x:v>
      </x:c>
      <x:c r="D220" s="47" t="s">
        <x:v>86</x:v>
      </x:c>
      <x:c r="E220" s="47" t="s">
        <x:v>112</x:v>
      </x:c>
      <x:c r="F220" s="48" t="str">
        <x:v>Jl. Kerabut 2</x:v>
      </x:c>
      <x:c r="G220" s="48" t="str">
        <x:v>PT. MEGA SAPUTRA PERSADA</x:v>
      </x:c>
      <x:c r="H220" s="48" t="str">
        <x:v>Defri Hertanto</x:v>
      </x:c>
      <x:c r="I220" s="48" t="str">
        <x:v>Aliansi Pengembang Perumahan Nasional Jaya (APPERNAS JAYA)</x:v>
      </x:c>
      <x:c r="J220" s="48" t="n">
        <x:v>2017</x:v>
      </x:c>
      <x:c r="K220" s="48">
        <x:v>111</x:v>
      </x:c>
      <x:c r="L220" s="47">
        <x:v>111</x:v>
      </x:c>
      <x:c r="M220" s="48">
        <x:v>111</x:v>
      </x:c>
      <x:c r="N220" s="48" t="s">
        <x:v>78</x:v>
      </x:c>
      <x:c r="O220" s="48"/>
      <x:c r="Q220" s="21" t="s">
        <x:v>67</x:v>
      </x:c>
      <x:c r="S220" s="47"/>
      <x:c r="T220" s="47"/>
      <x:c r="U220" s="47"/>
      <x:c r="V220" s="76">
        <x:v>-2.0895030000000001</x:v>
      </x:c>
      <x:c r="W220" s="47">
        <x:v>106.106718</x:v>
      </x:c>
      <x:c r="X220" s="47"/>
      <x:c r="Y220" s="49"/>
      <x:c r="Z220" s="49"/>
      <x:c r="AA220" s="47"/>
      <x:c r="AB220" s="80"/>
      <x:c r="AC220" s="49"/>
      <x:c r="AD220" s="50">
        <x:f t="shared" si="16"/>
        <x:v>1</x:v>
      </x:c>
      <x:c r="AE220" s="50">
        <x:f t="shared" si="17"/>
        <x:v>1</x:v>
      </x:c>
    </x:row>
    <x:row r="221" s="48" customFormat="1" ht="12.5">
      <x:c r="A221" s="29" t="s">
        <x:v>532</x:v>
      </x:c>
      <x:c r="B221" s="47" t="s">
        <x:v>533</x:v>
      </x:c>
      <x:c r="C221" s="48" t="s">
        <x:v>63</x:v>
      </x:c>
      <x:c r="D221" s="47" t="s">
        <x:v>64</x:v>
      </x:c>
      <x:c r="E221" s="47" t="s">
        <x:v>65</x:v>
      </x:c>
      <x:c r="F221" s="48" t="str">
        <x:v>Jl. Air Kampak</x:v>
      </x:c>
      <x:c r="G221" s="48" t="str">
        <x:v>CV.MENARA JAYA</x:v>
      </x:c>
      <x:c r="H221" s="48" t="str">
        <x:v>Andri</x:v>
      </x:c>
      <x:c r="I221" s="48" t="str">
        <x:v>Belum Teridentifikasi</x:v>
      </x:c>
      <x:c r="J221" s="48" t="n">
        <x:v>2018</x:v>
      </x:c>
      <x:c r="K221" s="48">
        <x:v>25</x:v>
      </x:c>
      <x:c r="L221" s="47">
        <x:v>25</x:v>
      </x:c>
      <x:c r="M221" s="48">
        <x:v>25</x:v>
      </x:c>
      <x:c r="N221" s="48" t="s">
        <x:v>78</x:v>
      </x:c>
      <x:c r="O221" s="48"/>
      <x:c r="Q221" s="21" t="s">
        <x:v>67</x:v>
      </x:c>
      <x:c r="S221" s="47"/>
      <x:c r="T221" s="47"/>
      <x:c r="U221" s="47"/>
      <x:c r="V221" s="76">
        <x:v>-2.1027453999999999</x:v>
      </x:c>
      <x:c r="W221" s="47">
        <x:v>106.08195600000001</x:v>
      </x:c>
      <x:c r="X221" s="47"/>
      <x:c r="Y221" s="49"/>
      <x:c r="Z221" s="49"/>
      <x:c r="AA221" s="47"/>
      <x:c r="AB221" s="80"/>
      <x:c r="AC221" s="49"/>
      <x:c r="AD221" s="50">
        <x:f t="shared" si="16"/>
        <x:v>1</x:v>
      </x:c>
      <x:c r="AE221" s="50">
        <x:f t="shared" si="17"/>
        <x:v>1</x:v>
      </x:c>
    </x:row>
    <x:row r="222" s="48" customFormat="1" ht="12.5">
      <x:c r="A222" s="29" t="s">
        <x:v>534</x:v>
      </x:c>
      <x:c r="B222" s="47" t="s">
        <x:v>535</x:v>
      </x:c>
      <x:c r="C222" s="48" t="s">
        <x:v>63</x:v>
      </x:c>
      <x:c r="D222" s="47" t="s">
        <x:v>64</x:v>
      </x:c>
      <x:c r="E222" s="47" t="s">
        <x:v>536</x:v>
      </x:c>
      <x:c r="F222" s="48" t="str">
        <x:v>Belum Diketahui</x:v>
      </x:c>
      <x:c r="G222" s="48" t="str">
        <x:v>CV. BUMI CITRA LESTARI</x:v>
      </x:c>
      <x:c r="H222" s="48" t="str">
        <x:v>Reza Eka Aprilianto</x:v>
      </x:c>
      <x:c r="I222" s="48" t="str">
        <x:v>Belum Teridentifikasi</x:v>
      </x:c>
      <x:c r="J222" s="48" t="n">
        <x:v>2017</x:v>
      </x:c>
      <x:c r="K222" s="48">
        <x:v>15</x:v>
      </x:c>
      <x:c r="L222" s="47">
        <x:v>15</x:v>
      </x:c>
      <x:c r="M222" s="48">
        <x:v>15</x:v>
      </x:c>
      <x:c r="N222" s="48" t="s">
        <x:v>78</x:v>
      </x:c>
      <x:c r="O222" s="48"/>
      <x:c r="Q222" s="21" t="s">
        <x:v>67</x:v>
      </x:c>
      <x:c r="S222" s="47"/>
      <x:c r="T222" s="47"/>
      <x:c r="U222" s="47"/>
      <x:c r="V222" s="76">
        <x:v>-2.1195455999999999</x:v>
      </x:c>
      <x:c r="W222" s="47">
        <x:v>106.0841642</x:v>
      </x:c>
      <x:c r="X222" s="47"/>
      <x:c r="Y222" s="49"/>
      <x:c r="Z222" s="49"/>
      <x:c r="AA222" s="47"/>
      <x:c r="AB222" s="80"/>
      <x:c r="AC222" s="49"/>
      <x:c r="AD222" s="50">
        <x:f t="shared" si="16"/>
        <x:v>1</x:v>
      </x:c>
      <x:c r="AE222" s="50">
        <x:f t="shared" si="17"/>
        <x:v>1</x:v>
      </x:c>
    </x:row>
    <x:row r="223" s="48" customFormat="1" ht="12.5">
      <x:c r="A223" s="29" t="s">
        <x:v>537</x:v>
      </x:c>
      <x:c r="B223" s="47" t="s">
        <x:v>535</x:v>
      </x:c>
      <x:c r="C223" s="48" t="s">
        <x:v>63</x:v>
      </x:c>
      <x:c r="D223" s="47" t="s">
        <x:v>86</x:v>
      </x:c>
      <x:c r="E223" s="47" t="s">
        <x:v>93</x:v>
      </x:c>
      <x:c r="F223" s="48" t="str">
        <x:v>Jl. Line Listrik (Kampak-Kerabut)</x:v>
      </x:c>
      <x:c r="G223" s="48" t="str">
        <x:v>PT. MENTARI BERSAUDARA BABEL</x:v>
      </x:c>
      <x:c r="H223" s="48" t="str">
        <x:v>Muhammad Iqbal</x:v>
      </x:c>
      <x:c r="I223" s="48" t="str">
        <x:v>Pengembang Indonesia (PI)</x:v>
      </x:c>
      <x:c r="J223" s="48" t="n">
        <x:v>2021</x:v>
      </x:c>
      <x:c r="K223" s="48">
        <x:v>43</x:v>
      </x:c>
      <x:c r="L223" s="47">
        <x:v>42</x:v>
      </x:c>
      <x:c r="M223" s="48">
        <x:v>42</x:v>
      </x:c>
      <x:c r="N223" s="48" t="s">
        <x:v>78</x:v>
      </x:c>
      <x:c r="O223" s="48"/>
      <x:c r="Q223" s="21" t="s">
        <x:v>67</x:v>
      </x:c>
      <x:c r="S223" s="47"/>
      <x:c r="T223" s="9" t="s">
        <x:v>68</x:v>
      </x:c>
      <x:c r="U223" s="47"/>
      <x:c r="V223" s="76">
        <x:v>-2.0967829999999998</x:v>
      </x:c>
      <x:c r="W223" s="47">
        <x:v>106.090541</x:v>
      </x:c>
      <x:c r="X223" s="47"/>
      <x:c r="Y223" s="49"/>
      <x:c r="Z223" s="49"/>
      <x:c r="AA223" s="47"/>
      <x:c r="AB223" s="80"/>
      <x:c r="AC223" s="49"/>
      <x:c r="AD223" s="50">
        <x:f t="shared" si="16"/>
        <x:v>0.97674418604651159</x:v>
      </x:c>
      <x:c r="AE223" s="50">
        <x:f t="shared" si="17"/>
        <x:v>1</x:v>
      </x:c>
    </x:row>
    <x:row r="224" s="48" customFormat="1" ht="12.5">
      <x:c r="A224" s="29" t="s">
        <x:v>538</x:v>
      </x:c>
      <x:c r="B224" s="47" t="s">
        <x:v>539</x:v>
      </x:c>
      <x:c r="C224" s="48" t="s">
        <x:v>179</x:v>
      </x:c>
      <x:c r="D224" s="47" t="s">
        <x:v>86</x:v>
      </x:c>
      <x:c r="E224" s="47" t="s">
        <x:v>112</x:v>
      </x:c>
      <x:c r="F224" s="48" t="str">
        <x:v>Jl. Kerabut 2</x:v>
      </x:c>
      <x:c r="G224" s="48" t="str">
        <x:v>Belum Teridentifikasi</x:v>
      </x:c>
      <x:c r="H224" s="48" t="str">
        <x:v>Belum Teridentifikasi</x:v>
      </x:c>
      <x:c r="I224" s="48" t="str">
        <x:v>Belum Teridentifikasi</x:v>
      </x:c>
      <x:c r="J224" s="48" t="n">
        <x:v>2015</x:v>
      </x:c>
      <x:c r="K224" s="48">
        <x:v>10</x:v>
      </x:c>
      <x:c r="L224" s="47">
        <x:v>0</x:v>
      </x:c>
      <x:c r="M224" s="48">
        <x:v>0</x:v>
      </x:c>
      <x:c r="N224" s="48" t="s">
        <x:v>78</x:v>
      </x:c>
      <x:c r="O224" s="48"/>
      <x:c r="Q224" s="21" t="s">
        <x:v>67</x:v>
      </x:c>
      <x:c r="S224" s="47"/>
      <x:c r="T224" s="47"/>
      <x:c r="U224" s="47"/>
      <x:c r="V224" s="76">
        <x:v>-2.0873235600000002</x:v>
      </x:c>
      <x:c r="W224" s="47">
        <x:v>106.1073224</x:v>
      </x:c>
      <x:c r="X224" s="47"/>
      <x:c r="Y224" s="49"/>
      <x:c r="Z224" s="49"/>
      <x:c r="AA224" s="47"/>
      <x:c r="AB224" s="80"/>
      <x:c r="AC224" s="49"/>
      <x:c r="AD224" s="50">
        <x:f t="shared" si="16"/>
        <x:v>0</x:v>
      </x:c>
      <x:c r="AE224" s="50">
        <x:f t="shared" si="17"/>
        <x:v>0</x:v>
      </x:c>
    </x:row>
    <x:row r="225" s="48" customFormat="1" ht="12.5">
      <x:c r="A225" s="29" t="s">
        <x:v>540</x:v>
      </x:c>
      <x:c r="B225" s="47" t="s">
        <x:v>541</x:v>
      </x:c>
      <x:c r="C225" s="48" t="s">
        <x:v>63</x:v>
      </x:c>
      <x:c r="D225" s="47" t="s">
        <x:v>86</x:v>
      </x:c>
      <x:c r="E225" s="47" t="s">
        <x:v>112</x:v>
      </x:c>
      <x:c r="F225" s="48" t="str">
        <x:v>Jl. Kartini Utama</x:v>
      </x:c>
      <x:c r="G225" s="48" t="str">
        <x:v>PT. GERHANA KARUNIA PERKASA</x:v>
      </x:c>
      <x:c r="H225" s="48" t="str">
        <x:v>Gunawan</x:v>
      </x:c>
      <x:c r="I225" s="48" t="str">
        <x:v>Asosiasi Pengembang Perumahan dan Permukiman Seluruh Indonesia (APERSI)</x:v>
      </x:c>
      <x:c r="J225" s="48" t="n">
        <x:v>2018</x:v>
      </x:c>
      <x:c r="K225" s="48">
        <x:v>59</x:v>
      </x:c>
      <x:c r="L225" s="47">
        <x:v>46</x:v>
      </x:c>
      <x:c r="M225" s="48">
        <x:v>46</x:v>
      </x:c>
      <x:c r="N225" s="48" t="s">
        <x:v>78</x:v>
      </x:c>
      <x:c r="O225" s="48"/>
      <x:c r="Q225" s="21" t="s">
        <x:v>67</x:v>
      </x:c>
      <x:c r="R225" s="21" t="s">
        <x:v>108</x:v>
      </x:c>
      <x:c r="S225" s="47"/>
      <x:c r="T225" s="47"/>
      <x:c r="U225" s="47"/>
      <x:c r="V225" s="76">
        <x:v>-2.080676</x:v>
      </x:c>
      <x:c r="W225" s="47">
        <x:v>106.124278</x:v>
      </x:c>
      <x:c r="X225" s="47"/>
      <x:c r="Y225" s="49"/>
      <x:c r="Z225" s="49"/>
      <x:c r="AA225" s="47"/>
      <x:c r="AB225" s="80"/>
      <x:c r="AC225" s="49"/>
      <x:c r="AD225" s="50">
        <x:f t="shared" si="16"/>
        <x:v>0.77966101694915257</x:v>
      </x:c>
      <x:c r="AE225" s="50">
        <x:f t="shared" si="17"/>
        <x:v>1</x:v>
      </x:c>
    </x:row>
    <x:row r="226" s="48" customFormat="1" ht="12.5">
      <x:c r="A226" s="29" t="s">
        <x:v>542</x:v>
      </x:c>
      <x:c r="B226" s="47" t="s">
        <x:v>543</x:v>
      </x:c>
      <x:c r="C226" s="48" t="s">
        <x:v>179</x:v>
      </x:c>
      <x:c r="D226" s="47" t="s">
        <x:v>64</x:v>
      </x:c>
      <x:c r="E226" s="47" t="s">
        <x:v>73</x:v>
      </x:c>
      <x:c r="F226" s="48" t="str">
        <x:v>Jl. Tampuk Pengembang Indonesia (PI)nang Pura</x:v>
      </x:c>
      <x:c r="G226" s="48" t="str">
        <x:v>PT. KHANZANAH BABEL LESTARI</x:v>
      </x:c>
      <x:c r="H226" s="48" t="str">
        <x:v>Robiani</x:v>
      </x:c>
      <x:c r="I226" s="48" t="str">
        <x:v>Belum Teridentifikasi</x:v>
      </x:c>
      <x:c r="J226" s="48" t="n">
        <x:v>2020</x:v>
      </x:c>
      <x:c r="K226" s="48">
        <x:v>32</x:v>
      </x:c>
      <x:c r="L226" s="47">
        <x:v>32</x:v>
      </x:c>
      <x:c r="M226" s="48">
        <x:v>32</x:v>
      </x:c>
      <x:c r="N226" s="48" t="s">
        <x:v>78</x:v>
      </x:c>
      <x:c r="O226" s="48"/>
      <x:c r="Q226" s="21" t="s">
        <x:v>67</x:v>
      </x:c>
      <x:c r="R226" s="21"/>
      <x:c r="S226" s="47"/>
      <x:c r="T226" s="47"/>
      <x:c r="U226" s="47"/>
      <x:c r="V226" s="76">
        <x:v>-2.1250148000000002</x:v>
      </x:c>
      <x:c r="W226" s="47">
        <x:v>106.07380209999999</x:v>
      </x:c>
      <x:c r="X226" s="47"/>
      <x:c r="Y226" s="49"/>
      <x:c r="Z226" s="49"/>
      <x:c r="AA226" s="47"/>
      <x:c r="AB226" s="80"/>
      <x:c r="AC226" s="49"/>
      <x:c r="AD226" s="50">
        <x:f t="shared" si="16"/>
        <x:v>1</x:v>
      </x:c>
      <x:c r="AE226" s="50">
        <x:f t="shared" si="17"/>
        <x:v>1</x:v>
      </x:c>
    </x:row>
    <x:row r="227" s="48" customFormat="1" ht="12.5">
      <x:c r="A227" s="29" t="s">
        <x:v>544</x:v>
      </x:c>
      <x:c r="B227" s="47" t="s">
        <x:v>545</x:v>
      </x:c>
      <x:c r="C227" s="48" t="s">
        <x:v>63</x:v>
      </x:c>
      <x:c r="D227" s="47" t="s">
        <x:v>86</x:v>
      </x:c>
      <x:c r="E227" s="47" t="s">
        <x:v>275</x:v>
      </x:c>
      <x:c r="F227" s="48" t="str">
        <x:v>Jl. Betutu</x:v>
      </x:c>
      <x:c r="G227" s="48" t="str">
        <x:v>PT. PBERLY'S JAYA PROPERTI</x:v>
      </x:c>
      <x:c r="H227" s="48" t="str">
        <x:v>Subuadi</x:v>
      </x:c>
      <x:c r="I227" s="48" t="str">
        <x:v>Belum Teridentifikasi</x:v>
      </x:c>
      <x:c r="J227" s="48" t="n">
        <x:v>2018</x:v>
      </x:c>
      <x:c r="K227" s="48">
        <x:v>40</x:v>
      </x:c>
      <x:c r="L227" s="47">
        <x:v>40</x:v>
      </x:c>
      <x:c r="M227" s="48">
        <x:v>40</x:v>
      </x:c>
      <x:c r="N227" s="48" t="s">
        <x:v>78</x:v>
      </x:c>
      <x:c r="O227" s="48"/>
      <x:c r="Q227" s="48" t="s">
        <x:v>94</x:v>
      </x:c>
      <x:c r="S227" s="47"/>
      <x:c r="T227" s="47"/>
      <x:c r="U227" s="47"/>
      <x:c r="V227" s="76">
        <x:v>-2.0951469999999999</x:v>
      </x:c>
      <x:c r="W227" s="47">
        <x:v>106.108746</x:v>
      </x:c>
      <x:c r="X227" s="47"/>
      <x:c r="Y227" s="49"/>
      <x:c r="Z227" s="49"/>
      <x:c r="AA227" s="47"/>
      <x:c r="AB227" s="80"/>
      <x:c r="AC227" s="49"/>
      <x:c r="AD227" s="50">
        <x:f t="shared" si="16"/>
        <x:v>1</x:v>
      </x:c>
      <x:c r="AE227" s="50">
        <x:f t="shared" si="17"/>
        <x:v>1</x:v>
      </x:c>
    </x:row>
    <x:row r="228" s="48" customFormat="1" ht="12.5">
      <x:c r="A228" s="29" t="s">
        <x:v>546</x:v>
      </x:c>
      <x:c r="B228" s="47" t="s">
        <x:v>547</x:v>
      </x:c>
      <x:c r="C228" s="48" t="s">
        <x:v>63</x:v>
      </x:c>
      <x:c r="D228" s="47" t="s">
        <x:v>86</x:v>
      </x:c>
      <x:c r="E228" s="47" t="s">
        <x:v>275</x:v>
      </x:c>
      <x:c r="F228" s="48" t="str">
        <x:v>Jl. Betutu</x:v>
      </x:c>
      <x:c r="G228" s="48" t="str">
        <x:v>PT. PBERLY'S JAYA PROPERTI</x:v>
      </x:c>
      <x:c r="H228" s="48" t="str">
        <x:v>Subuadi</x:v>
      </x:c>
      <x:c r="I228" s="48" t="str">
        <x:v>Belum Teridentifikasi</x:v>
      </x:c>
      <x:c r="J228" s="48" t="n">
        <x:v>2019</x:v>
      </x:c>
      <x:c r="K228" s="48">
        <x:v>8</x:v>
      </x:c>
      <x:c r="L228" s="47">
        <x:v>8</x:v>
      </x:c>
      <x:c r="M228" s="48">
        <x:v>8</x:v>
      </x:c>
      <x:c r="N228" s="48" t="s">
        <x:v>78</x:v>
      </x:c>
      <x:c r="O228" s="48"/>
      <x:c r="Q228" s="21" t="s">
        <x:v>67</x:v>
      </x:c>
      <x:c r="S228" s="47"/>
      <x:c r="T228" s="47"/>
      <x:c r="U228" s="47"/>
      <x:c r="V228" s="76">
        <x:v>-2.0951469999999999</x:v>
      </x:c>
      <x:c r="W228" s="47">
        <x:v>106.108746</x:v>
      </x:c>
      <x:c r="X228" s="47"/>
      <x:c r="Y228" s="49"/>
      <x:c r="Z228" s="49"/>
      <x:c r="AA228" s="47"/>
      <x:c r="AB228" s="80"/>
      <x:c r="AC228" s="49"/>
      <x:c r="AD228" s="50">
        <x:f t="shared" si="16"/>
        <x:v>1</x:v>
      </x:c>
      <x:c r="AE228" s="50">
        <x:f t="shared" si="17"/>
        <x:v>1</x:v>
      </x:c>
    </x:row>
    <x:row r="229" s="48" customFormat="1" ht="12.5">
      <x:c r="A229" s="29" t="s">
        <x:v>548</x:v>
      </x:c>
      <x:c r="B229" s="47" t="s">
        <x:v>549</x:v>
      </x:c>
      <x:c r="C229" s="48" t="s">
        <x:v>111</x:v>
      </x:c>
      <x:c r="D229" s="47" t="s">
        <x:v>104</x:v>
      </x:c>
      <x:c r="E229" s="47" t="s">
        <x:v>105</x:v>
      </x:c>
      <x:c r="F229" s="48" t="str">
        <x:v>Jl. Nilam Raya</x:v>
      </x:c>
      <x:c r="G229" s="48" t="str">
        <x:v>PT.PLASMA JAYA PERKASA</x:v>
      </x:c>
      <x:c r="H229" s="48" t="str">
        <x:v>Yanto</x:v>
      </x:c>
      <x:c r="I229" s="48" t="str">
        <x:v>Real Estate Indonesia (REI)</x:v>
      </x:c>
      <x:c r="J229" s="48" t="n">
        <x:v>2018</x:v>
      </x:c>
      <x:c r="K229" s="48">
        <x:v>101</x:v>
      </x:c>
      <x:c r="L229" s="47">
        <x:v>98</x:v>
      </x:c>
      <x:c r="M229" s="48">
        <x:v>98</x:v>
      </x:c>
      <x:c r="N229" s="48" t="s">
        <x:v>78</x:v>
      </x:c>
      <x:c r="O229" s="48"/>
      <x:c r="Q229" s="21" t="s">
        <x:v>67</x:v>
      </x:c>
      <x:c r="R229" s="48" t="s">
        <x:v>108</x:v>
      </x:c>
      <x:c r="S229" s="47"/>
      <x:c r="T229" s="47"/>
      <x:c r="U229" s="47"/>
      <x:c r="V229" s="76">
        <x:v>-2.1433472</x:v>
      </x:c>
      <x:c r="W229" s="47">
        <x:v>106.1389238</x:v>
      </x:c>
      <x:c r="X229" s="47"/>
      <x:c r="Y229" s="49"/>
      <x:c r="Z229" s="49"/>
      <x:c r="AA229" s="47"/>
      <x:c r="AB229" s="80"/>
      <x:c r="AC229" s="49"/>
      <x:c r="AD229" s="50">
        <x:f t="shared" si="16"/>
        <x:v>0.97029702970297027</x:v>
      </x:c>
      <x:c r="AE229" s="50">
        <x:f t="shared" si="17"/>
        <x:v>1</x:v>
      </x:c>
    </x:row>
    <x:row r="230" s="48" customFormat="1" ht="12.5">
      <x:c r="A230" s="29" t="s">
        <x:v>550</x:v>
      </x:c>
      <x:c r="B230" s="47" t="s">
        <x:v>551</x:v>
      </x:c>
      <x:c r="C230" s="48" t="s">
        <x:v>63</x:v>
      </x:c>
      <x:c r="D230" s="47" t="s">
        <x:v>104</x:v>
      </x:c>
      <x:c r="E230" s="47" t="s">
        <x:v>209</x:v>
      </x:c>
      <x:c r="F230" s="48" t="str">
        <x:v>Jl. Alexander</x:v>
      </x:c>
      <x:c r="G230" s="48" t="str">
        <x:v>PT. PLASMA JAYA PERKASA</x:v>
      </x:c>
      <x:c r="H230" s="48" t="str">
        <x:v>Yanto</x:v>
      </x:c>
      <x:c r="I230" s="48" t="str">
        <x:v>Real Estate Indonesia (REI)</x:v>
      </x:c>
      <x:c r="J230" s="48" t="n">
        <x:v>2024</x:v>
      </x:c>
      <x:c r="K230" s="48">
        <x:v>160</x:v>
      </x:c>
      <x:c r="L230" s="47">
        <x:v>80</x:v>
      </x:c>
      <x:c r="M230" s="48">
        <x:v>80</x:v>
      </x:c>
      <x:c r="N230" s="48" t="s">
        <x:v>78</x:v>
      </x:c>
      <x:c r="O230" s="48"/>
      <x:c r="Q230" s="21" t="s">
        <x:v>67</x:v>
      </x:c>
      <x:c r="R230" s="21" t="s">
        <x:v>108</x:v>
      </x:c>
      <x:c r="S230" s="47"/>
      <x:c r="T230" s="47"/>
      <x:c r="U230" s="47"/>
      <x:c r="V230" s="76">
        <x:v>-2.1330502</x:v>
      </x:c>
      <x:c r="W230" s="47">
        <x:v>106.14794019999999</x:v>
      </x:c>
      <x:c r="X230" s="47"/>
      <x:c r="Y230" s="49"/>
      <x:c r="Z230" s="49"/>
      <x:c r="AA230" s="47"/>
      <x:c r="AB230" s="80"/>
      <x:c r="AC230" s="49"/>
      <x:c r="AD230" s="50">
        <x:f t="shared" si="16"/>
        <x:v>0.5</x:v>
      </x:c>
      <x:c r="AE230" s="50">
        <x:f t="shared" si="17"/>
        <x:v>1</x:v>
      </x:c>
    </x:row>
    <x:row r="231" s="48" customFormat="1" ht="12.5">
      <x:c r="A231" s="29" t="s">
        <x:v>552</x:v>
      </x:c>
      <x:c r="B231" s="47" t="s">
        <x:v>553</x:v>
      </x:c>
      <x:c r="C231" s="48" t="s">
        <x:v>63</x:v>
      </x:c>
      <x:c r="D231" s="47" t="s">
        <x:v>104</x:v>
      </x:c>
      <x:c r="E231" s="47" t="s">
        <x:v>105</x:v>
      </x:c>
      <x:c r="F231" s="48" t="str">
        <x:v>Jl. Alexander</x:v>
      </x:c>
      <x:c r="G231" s="48" t="str">
        <x:v>PT. PLASMA JAYA PERKASA</x:v>
      </x:c>
      <x:c r="H231" s="48" t="str">
        <x:v>Yanto</x:v>
      </x:c>
      <x:c r="I231" s="48" t="str">
        <x:v>Real Estate Indonesia (REI)</x:v>
      </x:c>
      <x:c r="J231" s="48" t="n">
        <x:v>2024</x:v>
      </x:c>
      <x:c r="K231" s="48">
        <x:v>139</x:v>
      </x:c>
      <x:c r="L231" s="47">
        <x:v>5</x:v>
      </x:c>
      <x:c r="M231" s="48">
        <x:v>5</x:v>
      </x:c>
      <x:c r="N231" s="48" t="s">
        <x:v>78</x:v>
      </x:c>
      <x:c r="O231" s="48"/>
      <x:c r="Q231" s="21" t="s">
        <x:v>67</x:v>
      </x:c>
      <x:c r="R231" s="48" t="s">
        <x:v>108</x:v>
      </x:c>
      <x:c r="S231" s="47"/>
      <x:c r="T231" s="47"/>
      <x:c r="U231" s="47"/>
      <x:c r="V231" s="76">
        <x:v>-2.1330502</x:v>
      </x:c>
      <x:c r="W231" s="47">
        <x:v>106.14794019999999</x:v>
      </x:c>
      <x:c r="X231" s="47"/>
      <x:c r="Y231" s="49"/>
      <x:c r="Z231" s="49"/>
      <x:c r="AA231" s="47"/>
      <x:c r="AB231" s="80"/>
      <x:c r="AC231" s="49"/>
      <x:c r="AD231" s="50">
        <x:f t="shared" si="16"/>
        <x:v>3.5971223021582732E-2</x:v>
      </x:c>
      <x:c r="AE231" s="50">
        <x:f t="shared" si="17"/>
        <x:v>1</x:v>
      </x:c>
    </x:row>
    <x:row r="232" s="48" customFormat="1" ht="12.5">
      <x:c r="A232" s="29" t="s">
        <x:v>554</x:v>
      </x:c>
      <x:c r="B232" s="47" t="s">
        <x:v>555</x:v>
      </x:c>
      <x:c r="C232" s="48" t="s">
        <x:v>63</x:v>
      </x:c>
      <x:c r="D232" s="47" t="s">
        <x:v>104</x:v>
      </x:c>
      <x:c r="E232" s="47" t="s">
        <x:v>105</x:v>
      </x:c>
      <x:c r="F232" s="48" t="str">
        <x:v>Jl. Alexander</x:v>
      </x:c>
      <x:c r="G232" s="48" t="str">
        <x:v>PT. PLASMA JAYA PERKASA</x:v>
      </x:c>
      <x:c r="H232" s="48" t="str">
        <x:v>Yanto</x:v>
      </x:c>
      <x:c r="I232" s="48" t="str">
        <x:v>Real Estate Indonesia (REI)</x:v>
      </x:c>
      <x:c r="J232" s="48" t="n">
        <x:v>2024</x:v>
      </x:c>
      <x:c r="K232" s="48">
        <x:v>155</x:v>
      </x:c>
      <x:c r="L232" s="47">
        <x:v>0</x:v>
      </x:c>
      <x:c r="M232" s="48">
        <x:v>0</x:v>
      </x:c>
      <x:c r="N232" s="48" t="s">
        <x:v>78</x:v>
      </x:c>
      <x:c r="O232" s="48"/>
      <x:c r="Q232" s="21" t="s">
        <x:v>67</x:v>
      </x:c>
      <x:c r="R232" s="48" t="s">
        <x:v>108</x:v>
      </x:c>
      <x:c r="S232" s="47"/>
      <x:c r="T232" s="47"/>
      <x:c r="U232" s="47"/>
      <x:c r="V232" s="76">
        <x:v>-2.1330502</x:v>
      </x:c>
      <x:c r="W232" s="47">
        <x:v>106.14794019999999</x:v>
      </x:c>
      <x:c r="X232" s="47"/>
      <x:c r="Y232" s="49"/>
      <x:c r="Z232" s="49"/>
      <x:c r="AA232" s="47"/>
      <x:c r="AB232" s="80"/>
      <x:c r="AC232" s="49"/>
      <x:c r="AD232" s="50">
        <x:f t="shared" si="16"/>
        <x:v>0</x:v>
      </x:c>
      <x:c r="AE232" s="50">
        <x:f t="shared" si="17"/>
        <x:v>0</x:v>
      </x:c>
    </x:row>
    <x:row r="233" s="48" customFormat="1" ht="12.5">
      <x:c r="A233" s="29" t="s">
        <x:v>556</x:v>
      </x:c>
      <x:c r="B233" s="47" t="s">
        <x:v>557</x:v>
      </x:c>
      <x:c r="C233" s="48" t="s">
        <x:v>63</x:v>
      </x:c>
      <x:c r="D233" s="47" t="s">
        <x:v>104</x:v>
      </x:c>
      <x:c r="E233" s="47" t="s">
        <x:v>105</x:v>
      </x:c>
      <x:c r="F233" s="48" t="str">
        <x:v>Jl. Alexander</x:v>
      </x:c>
      <x:c r="G233" s="48" t="str">
        <x:v>PT. PLASMA JAYA PERKASA</x:v>
      </x:c>
      <x:c r="H233" s="48" t="str">
        <x:v>Yanto</x:v>
      </x:c>
      <x:c r="I233" s="48" t="str">
        <x:v>Real Estate Indonesia (REI)</x:v>
      </x:c>
      <x:c r="J233" s="48" t="n">
        <x:v>2024</x:v>
      </x:c>
      <x:c r="K233" s="48">
        <x:v>154</x:v>
      </x:c>
      <x:c r="L233" s="47">
        <x:v>0</x:v>
      </x:c>
      <x:c r="M233" s="48">
        <x:v>0</x:v>
      </x:c>
      <x:c r="N233" s="48" t="s">
        <x:v>78</x:v>
      </x:c>
      <x:c r="O233" s="48"/>
      <x:c r="Q233" s="21" t="s">
        <x:v>67</x:v>
      </x:c>
      <x:c r="R233" s="48" t="s">
        <x:v>108</x:v>
      </x:c>
      <x:c r="S233" s="47"/>
      <x:c r="T233" s="47"/>
      <x:c r="U233" s="47"/>
      <x:c r="V233" s="76">
        <x:v>-2.1330502</x:v>
      </x:c>
      <x:c r="W233" s="47">
        <x:v>106.14794019999999</x:v>
      </x:c>
      <x:c r="X233" s="47"/>
      <x:c r="Y233" s="49"/>
      <x:c r="Z233" s="49"/>
      <x:c r="AA233" s="47"/>
      <x:c r="AB233" s="80"/>
      <x:c r="AC233" s="49"/>
      <x:c r="AD233" s="50">
        <x:f t="shared" si="16"/>
        <x:v>0</x:v>
      </x:c>
      <x:c r="AE233" s="50">
        <x:f t="shared" si="17"/>
        <x:v>0</x:v>
      </x:c>
    </x:row>
    <x:row r="234" s="48" customFormat="1" ht="12.5">
      <x:c r="A234" s="29" t="s">
        <x:v>558</x:v>
      </x:c>
      <x:c r="B234" s="47" t="s">
        <x:v>559</x:v>
      </x:c>
      <x:c r="C234" s="48" t="s">
        <x:v>63</x:v>
      </x:c>
      <x:c r="D234" s="47" t="s">
        <x:v>86</x:v>
      </x:c>
      <x:c r="E234" s="47" t="s">
        <x:v>112</x:v>
      </x:c>
      <x:c r="F234" s="48" t="str">
        <x:v>Jl. Padat Karya</x:v>
      </x:c>
      <x:c r="G234" s="48" t="str">
        <x:v>PT. RIZKI NUGRAHA SEJAHTERA</x:v>
      </x:c>
      <x:c r="H234" s="48" t="str">
        <x:v>Zuyyika Aditama Putra</x:v>
      </x:c>
      <x:c r="I234" s="48" t="str">
        <x:v>Belum Teridentifikasi</x:v>
      </x:c>
      <x:c r="J234" s="48" t="n">
        <x:v>2019</x:v>
      </x:c>
      <x:c r="K234" s="48">
        <x:v>44</x:v>
      </x:c>
      <x:c r="L234" s="47">
        <x:v>0</x:v>
      </x:c>
      <x:c r="M234" s="48">
        <x:v>0</x:v>
      </x:c>
      <x:c r="N234" s="48" t="s">
        <x:v>78</x:v>
      </x:c>
      <x:c r="O234" s="48"/>
      <x:c r="Q234" s="21" t="s">
        <x:v>67</x:v>
      </x:c>
      <x:c r="S234" s="47"/>
      <x:c r="T234" s="47"/>
      <x:c r="U234" s="47"/>
      <x:c r="V234" s="76"/>
      <x:c r="W234" s="47"/>
      <x:c r="X234" s="47"/>
      <x:c r="Y234" s="49"/>
      <x:c r="Z234" s="49"/>
      <x:c r="AA234" s="47"/>
      <x:c r="AB234" s="80"/>
      <x:c r="AC234" s="49"/>
      <x:c r="AD234" s="50">
        <x:f t="shared" si="16"/>
        <x:v>0</x:v>
      </x:c>
      <x:c r="AE234" s="50">
        <x:f t="shared" si="17"/>
        <x:v>0</x:v>
      </x:c>
    </x:row>
    <x:row r="235" s="48" customFormat="1" ht="12.5">
      <x:c r="A235" s="29" t="s">
        <x:v>560</x:v>
      </x:c>
      <x:c r="B235" s="47" t="s">
        <x:v>561</x:v>
      </x:c>
      <x:c r="C235" s="48" t="s">
        <x:v>63</x:v>
      </x:c>
      <x:c r="D235" s="47" t="s">
        <x:v>104</x:v>
      </x:c>
      <x:c r="E235" s="47" t="s">
        <x:v>209</x:v>
      </x:c>
      <x:c r="F235" s="48" t="str">
        <x:v>Jl. Pasir Padi</x:v>
      </x:c>
      <x:c r="G235" s="48" t="str">
        <x:v>Belum Teridentifikasi</x:v>
      </x:c>
      <x:c r="H235" s="48" t="str">
        <x:v>Belum Teridentifikasi</x:v>
      </x:c>
      <x:c r="I235" s="48" t="str">
        <x:v>Belum Teridentifikasi</x:v>
      </x:c>
      <x:c r="J235" s="48" t="n">
        <x:v>2016</x:v>
      </x:c>
      <x:c r="K235" s="48">
        <x:v>20</x:v>
      </x:c>
      <x:c r="L235" s="47">
        <x:v>20</x:v>
      </x:c>
      <x:c r="M235" s="48">
        <x:v>20</x:v>
      </x:c>
      <x:c r="N235" s="48" t="s">
        <x:v>78</x:v>
      </x:c>
      <x:c r="O235" s="48"/>
      <x:c r="Q235" s="21" t="s">
        <x:v>67</x:v>
      </x:c>
      <x:c r="R235" s="21" t="s">
        <x:v>108</x:v>
      </x:c>
      <x:c r="S235" s="47"/>
      <x:c r="T235" s="47"/>
      <x:c r="U235" s="47"/>
      <x:c r="V235" s="76"/>
      <x:c r="W235" s="47"/>
      <x:c r="X235" s="47"/>
      <x:c r="Y235" s="49"/>
      <x:c r="Z235" s="49"/>
      <x:c r="AA235" s="47"/>
      <x:c r="AB235" s="80"/>
      <x:c r="AC235" s="49"/>
      <x:c r="AD235" s="50">
        <x:f t="shared" si="16"/>
        <x:v>1</x:v>
      </x:c>
      <x:c r="AE235" s="50">
        <x:f t="shared" si="17"/>
        <x:v>1</x:v>
      </x:c>
    </x:row>
    <x:row r="236" s="48" customFormat="1" ht="12.5">
      <x:c r="A236" s="29" t="s">
        <x:v>562</x:v>
      </x:c>
      <x:c r="B236" s="47" t="s">
        <x:v>563</x:v>
      </x:c>
      <x:c r="C236" s="48" t="s">
        <x:v>63</x:v>
      </x:c>
      <x:c r="D236" s="47" t="s">
        <x:v>104</x:v>
      </x:c>
      <x:c r="E236" s="47" t="s">
        <x:v>141</x:v>
      </x:c>
      <x:c r="F236" s="48" t="str">
        <x:v>Jl. Masjid Al Husna</x:v>
      </x:c>
      <x:c r="G236" s="48" t="str">
        <x:v>PT. PUTRA LIMBUNG JAYA PROPERTINDO</x:v>
      </x:c>
      <x:c r="H236" s="48" t="str">
        <x:v>Zam Zami</x:v>
      </x:c>
      <x:c r="I236" s="48" t="str">
        <x:v>Pengembang Indonesia (PI)</x:v>
      </x:c>
      <x:c r="J236" s="48" t="n">
        <x:v>2019</x:v>
      </x:c>
      <x:c r="K236" s="48">
        <x:v>57</x:v>
      </x:c>
      <x:c r="L236" s="47">
        <x:v>55</x:v>
      </x:c>
      <x:c r="M236" s="48">
        <x:v>55</x:v>
      </x:c>
      <x:c r="N236" s="48" t="s">
        <x:v>78</x:v>
      </x:c>
      <x:c r="O236" s="48"/>
      <x:c r="Q236" s="21" t="s">
        <x:v>67</x:v>
      </x:c>
      <x:c r="S236" s="47"/>
      <x:c r="T236" s="47"/>
      <x:c r="U236" s="47"/>
      <x:c r="V236" s="76">
        <x:v>-2.1381644999999998</x:v>
      </x:c>
      <x:c r="W236" s="47">
        <x:v>106.15515670000001</x:v>
      </x:c>
      <x:c r="X236" s="47"/>
      <x:c r="Y236" s="49"/>
      <x:c r="Z236" s="49"/>
      <x:c r="AA236" s="47"/>
      <x:c r="AB236" s="80"/>
      <x:c r="AC236" s="49"/>
      <x:c r="AD236" s="50">
        <x:f t="shared" si="16"/>
        <x:v>0.96491228070175439</x:v>
      </x:c>
      <x:c r="AE236" s="50">
        <x:f t="shared" si="17"/>
        <x:v>1</x:v>
      </x:c>
    </x:row>
    <x:row r="237" s="48" customFormat="1" ht="12.5">
      <x:c r="A237" s="29" t="s">
        <x:v>564</x:v>
      </x:c>
      <x:c r="B237" s="47" t="s">
        <x:v>565</x:v>
      </x:c>
      <x:c r="C237" s="48" t="s">
        <x:v>179</x:v>
      </x:c>
      <x:c r="D237" s="47" t="s">
        <x:v>104</x:v>
      </x:c>
      <x:c r="E237" s="47" t="s">
        <x:v>209</x:v>
      </x:c>
      <x:c r="F237" s="48" t="str">
        <x:v>Jl. Raya Air Itam</x:v>
      </x:c>
      <x:c r="G237" s="48" t="str">
        <x:v>PT. TIGA KOTA SEMACANG</x:v>
      </x:c>
      <x:c r="H237" s="48" t="str">
        <x:v>Belum Teridentifikasi</x:v>
      </x:c>
      <x:c r="I237" s="48" t="str">
        <x:v>Belum Teridentifikasi</x:v>
      </x:c>
      <x:c r="J237" s="48" t="n">
        <x:v>2015</x:v>
      </x:c>
      <x:c r="K237" s="48">
        <x:v>88</x:v>
      </x:c>
      <x:c r="L237" s="47">
        <x:v>22</x:v>
      </x:c>
      <x:c r="M237" s="48">
        <x:v>22</x:v>
      </x:c>
      <x:c r="N237" s="48" t="s">
        <x:v>78</x:v>
      </x:c>
      <x:c r="O237" s="48"/>
      <x:c r="Q237" s="48" t="s">
        <x:v>94</x:v>
      </x:c>
      <x:c r="S237" s="47"/>
      <x:c r="T237" s="47"/>
      <x:c r="U237" s="47"/>
      <x:c r="V237" s="76">
        <x:v>-2.1346430999999999</x:v>
      </x:c>
      <x:c r="W237" s="47">
        <x:v>106.1342334</x:v>
      </x:c>
      <x:c r="X237" s="47"/>
      <x:c r="Y237" s="49"/>
      <x:c r="Z237" s="49"/>
      <x:c r="AA237" s="47"/>
      <x:c r="AB237" s="80"/>
      <x:c r="AC237" s="49"/>
      <x:c r="AD237" s="50">
        <x:f t="shared" si="16"/>
        <x:v>0.25</x:v>
      </x:c>
      <x:c r="AE237" s="50">
        <x:f t="shared" si="17"/>
        <x:v>1</x:v>
      </x:c>
    </x:row>
    <x:row r="238" s="48" customFormat="1" ht="12.5">
      <x:c r="A238" s="29" t="s">
        <x:v>566</x:v>
      </x:c>
      <x:c r="B238" s="47" t="s">
        <x:v>567</x:v>
      </x:c>
      <x:c r="C238" s="48" t="s">
        <x:v>179</x:v>
      </x:c>
      <x:c r="D238" s="47" t="s">
        <x:v>104</x:v>
      </x:c>
      <x:c r="E238" s="47" t="s">
        <x:v>393</x:v>
      </x:c>
      <x:c r="F238" s="48" t="str">
        <x:v>Jl. Depati Hamzah</x:v>
      </x:c>
      <x:c r="G238" s="48" t="str">
        <x:v>PT. TIGA KOTA SEMACANG</x:v>
      </x:c>
      <x:c r="H238" s="48" t="str">
        <x:v>Belum Teridentifikasi</x:v>
      </x:c>
      <x:c r="I238" s="48" t="str">
        <x:v>Belum Teridentifikasi</x:v>
      </x:c>
      <x:c r="J238" s="48" t="n">
        <x:v>2016</x:v>
      </x:c>
      <x:c r="K238" s="48">
        <x:v>92</x:v>
      </x:c>
      <x:c r="L238" s="47">
        <x:v>9</x:v>
      </x:c>
      <x:c r="M238" s="48">
        <x:v>9</x:v>
      </x:c>
      <x:c r="N238" s="48" t="s">
        <x:v>78</x:v>
      </x:c>
      <x:c r="O238" s="48"/>
      <x:c r="Q238" s="48" t="s">
        <x:v>94</x:v>
      </x:c>
      <x:c r="S238" s="47"/>
      <x:c r="T238" s="47"/>
      <x:c r="U238" s="47"/>
      <x:c r="V238" s="76">
        <x:v>-2.1351254000000002</x:v>
      </x:c>
      <x:c r="W238" s="47">
        <x:v>106.1331278</x:v>
      </x:c>
      <x:c r="X238" s="47"/>
      <x:c r="Y238" s="49"/>
      <x:c r="Z238" s="49"/>
      <x:c r="AA238" s="47"/>
      <x:c r="AB238" s="80"/>
      <x:c r="AC238" s="49"/>
      <x:c r="AD238" s="50">
        <x:f t="shared" si="16"/>
        <x:v>9.7826086956521743E-2</x:v>
      </x:c>
      <x:c r="AE238" s="50">
        <x:f t="shared" si="17"/>
        <x:v>1</x:v>
      </x:c>
    </x:row>
    <x:row r="239" s="48" customFormat="1" ht="12.5">
      <x:c r="A239" s="29" t="s">
        <x:v>568</x:v>
      </x:c>
      <x:c r="B239" s="47" t="s">
        <x:v>569</x:v>
      </x:c>
      <x:c r="C239" s="48" t="s">
        <x:v>63</x:v>
      </x:c>
      <x:c r="D239" s="47" t="s">
        <x:v>64</x:v>
      </x:c>
      <x:c r="E239" s="47" t="s">
        <x:v>73</x:v>
      </x:c>
      <x:c r="F239" s="48" t="str">
        <x:v>Jl. Tampak Pengembang Indonesia (PI)nang Pura</x:v>
      </x:c>
      <x:c r="G239" s="48" t="str">
        <x:v>CV. ANUGRAH KARYA KONSTRUKSI</x:v>
      </x:c>
      <x:c r="H239" s="48" t="str">
        <x:v>Dori Setiawan</x:v>
      </x:c>
      <x:c r="I239" s="48" t="str">
        <x:v>Pengembang Indonesia (PI)</x:v>
      </x:c>
      <x:c r="J239" s="48" t="n">
        <x:v>2017</x:v>
      </x:c>
      <x:c r="K239" s="48">
        <x:v>43</x:v>
      </x:c>
      <x:c r="L239" s="47">
        <x:v>43</x:v>
      </x:c>
      <x:c r="M239" s="48">
        <x:v>43</x:v>
      </x:c>
      <x:c r="N239" s="48" t="s">
        <x:v>66</x:v>
      </x:c>
      <x:c r="O239" s="48" t="n">
        <x:v>2021</x:v>
      </x:c>
      <x:c r="Q239" s="21" t="s">
        <x:v>67</x:v>
      </x:c>
      <x:c r="R239" s="48" t="s">
        <x:v>130</x:v>
      </x:c>
      <x:c r="S239" s="47"/>
      <x:c r="T239" s="47"/>
      <x:c r="U239" s="47"/>
      <x:c r="V239" s="76">
        <x:v>-2.1201880000000002</x:v>
      </x:c>
      <x:c r="W239" s="47">
        <x:v>106.07431099999999</x:v>
      </x:c>
      <x:c r="X239" s="47"/>
      <x:c r="Y239" s="49"/>
      <x:c r="Z239" s="49"/>
      <x:c r="AA239" s="47"/>
      <x:c r="AB239" s="80"/>
      <x:c r="AC239" s="49"/>
      <x:c r="AD239" s="50">
        <x:f t="shared" si="16"/>
        <x:v>1</x:v>
      </x:c>
      <x:c r="AE239" s="50">
        <x:f t="shared" si="17"/>
        <x:v>1</x:v>
      </x:c>
    </x:row>
    <x:row r="240" s="48" customFormat="1" ht="12.5">
      <x:c r="A240" s="29" t="s">
        <x:v>570</x:v>
      </x:c>
      <x:c r="B240" s="47" t="s">
        <x:v>571</x:v>
      </x:c>
      <x:c r="C240" s="48" t="s">
        <x:v>63</x:v>
      </x:c>
      <x:c r="D240" s="47" t="s">
        <x:v>64</x:v>
      </x:c>
      <x:c r="E240" s="47" t="s">
        <x:v>65</x:v>
      </x:c>
      <x:c r="F240" s="48" t="str">
        <x:v>Jl. Kemang Permata</x:v>
      </x:c>
      <x:c r="G240" s="48" t="str">
        <x:v>CV. ANUGRAH KARYA KONSTRUKSI</x:v>
      </x:c>
      <x:c r="H240" s="48" t="str">
        <x:v>Dori Setiawan</x:v>
      </x:c>
      <x:c r="I240" s="48" t="str">
        <x:v>Pengembang Indonesia (PI)</x:v>
      </x:c>
      <x:c r="J240" s="48" t="n">
        <x:v>2017</x:v>
      </x:c>
      <x:c r="K240" s="48">
        <x:v>30</x:v>
      </x:c>
      <x:c r="L240" s="47">
        <x:v>30</x:v>
      </x:c>
      <x:c r="M240" s="48">
        <x:v>29</x:v>
      </x:c>
      <x:c r="N240" s="48" t="s">
        <x:v>66</x:v>
      </x:c>
      <x:c r="O240" s="48" t="n">
        <x:v>2021</x:v>
      </x:c>
      <x:c r="Q240" s="21" t="s">
        <x:v>67</x:v>
      </x:c>
      <x:c r="R240" s="48" t="s">
        <x:v>130</x:v>
      </x:c>
      <x:c r="S240" s="47"/>
      <x:c r="T240" s="47"/>
      <x:c r="U240" s="47"/>
      <x:c r="V240" s="76">
        <x:v>-2.1146593</x:v>
      </x:c>
      <x:c r="W240" s="47">
        <x:v>106.0722858</x:v>
      </x:c>
      <x:c r="X240" s="47"/>
      <x:c r="Y240" s="49"/>
      <x:c r="Z240" s="49"/>
      <x:c r="AA240" s="47"/>
      <x:c r="AB240" s="80"/>
      <x:c r="AC240" s="49"/>
      <x:c r="AD240" s="50">
        <x:f t="shared" si="16"/>
        <x:v>1</x:v>
      </x:c>
      <x:c r="AE240" s="50">
        <x:f t="shared" si="17"/>
        <x:v>0.96666666666666667</x:v>
      </x:c>
    </x:row>
    <x:row r="241" s="48" customFormat="1" ht="12.5">
      <x:c r="A241" s="29" t="s">
        <x:v>572</x:v>
      </x:c>
      <x:c r="B241" s="47" t="s">
        <x:v>573</x:v>
      </x:c>
      <x:c r="C241" s="48" t="s">
        <x:v>63</x:v>
      </x:c>
      <x:c r="D241" s="47" t="s">
        <x:v>64</x:v>
      </x:c>
      <x:c r="E241" s="47" t="s">
        <x:v>65</x:v>
      </x:c>
      <x:c r="F241" s="48" t="str">
        <x:v>Jl. Warisan Budaya</x:v>
      </x:c>
      <x:c r="G241" s="48" t="str">
        <x:v>PT. Anugerah Karya Konstruksi</x:v>
      </x:c>
      <x:c r="H241" s="48" t="str">
        <x:v>Dori Setiawan</x:v>
      </x:c>
      <x:c r="I241" s="48" t="str">
        <x:v>Pengembang Indonesia (PI)</x:v>
      </x:c>
      <x:c r="J241" s="48" t="n">
        <x:v>2017</x:v>
      </x:c>
      <x:c r="K241" s="48">
        <x:v>123</x:v>
      </x:c>
      <x:c r="L241" s="47">
        <x:v>123</x:v>
      </x:c>
      <x:c r="M241" s="48">
        <x:v>123</x:v>
      </x:c>
      <x:c r="N241" s="48" t="s">
        <x:v>66</x:v>
      </x:c>
      <x:c r="O241" s="48" t="n">
        <x:v>2021</x:v>
      </x:c>
      <x:c r="Q241" s="21" t="s">
        <x:v>67</x:v>
      </x:c>
      <x:c r="S241" s="47"/>
      <x:c r="T241" s="47"/>
      <x:c r="U241" s="47"/>
      <x:c r="V241" s="76">
        <x:v>-2.1018940000000002</x:v>
      </x:c>
      <x:c r="W241" s="47">
        <x:v>106.081547</x:v>
      </x:c>
      <x:c r="X241" s="47"/>
      <x:c r="Y241" s="49"/>
      <x:c r="Z241" s="49"/>
      <x:c r="AA241" s="47"/>
      <x:c r="AB241" s="80"/>
      <x:c r="AC241" s="49"/>
      <x:c r="AD241" s="50">
        <x:f t="shared" si="16"/>
        <x:v>1</x:v>
      </x:c>
      <x:c r="AE241" s="50">
        <x:f t="shared" si="17"/>
        <x:v>1</x:v>
      </x:c>
    </x:row>
    <x:row r="242" s="48" customFormat="1" ht="12.5">
      <x:c r="A242" s="29" t="s">
        <x:v>574</x:v>
      </x:c>
      <x:c r="B242" s="47" t="s">
        <x:v>575</x:v>
      </x:c>
      <x:c r="C242" s="48" t="s">
        <x:v>63</x:v>
      </x:c>
      <x:c r="D242" s="47" t="s">
        <x:v>86</x:v>
      </x:c>
      <x:c r="E242" s="47" t="s">
        <x:v>93</x:v>
      </x:c>
      <x:c r="F242" s="48" t="str">
        <x:v>Jl. Haji Umar</x:v>
      </x:c>
      <x:c r="G242" s="48" t="str">
        <x:v>PT. Anugerah Karya Konstruksi</x:v>
      </x:c>
      <x:c r="H242" s="48" t="str">
        <x:v>Dori Setiawan</x:v>
      </x:c>
      <x:c r="I242" s="48" t="str">
        <x:v>Pengembang Indonesia (PI)</x:v>
      </x:c>
      <x:c r="J242" s="48" t="n">
        <x:v>2018</x:v>
      </x:c>
      <x:c r="K242" s="48">
        <x:v>110</x:v>
      </x:c>
      <x:c r="L242" s="47">
        <x:v>110</x:v>
      </x:c>
      <x:c r="M242" s="48">
        <x:v>103</x:v>
      </x:c>
      <x:c r="N242" s="48" t="s">
        <x:v>66</x:v>
      </x:c>
      <x:c r="O242" s="48" t="n">
        <x:v>2021</x:v>
      </x:c>
      <x:c r="Q242" s="21" t="s">
        <x:v>67</x:v>
      </x:c>
      <x:c r="R242" s="48" t="s">
        <x:v>81</x:v>
      </x:c>
      <x:c r="S242" s="47"/>
      <x:c r="T242" s="47"/>
      <x:c r="U242" s="47"/>
      <x:c r="V242" s="76">
        <x:v>-2.0981193999999999</x:v>
      </x:c>
      <x:c r="W242" s="47">
        <x:v>106.0837946</x:v>
      </x:c>
      <x:c r="X242" s="47"/>
      <x:c r="Y242" s="49"/>
      <x:c r="Z242" s="49"/>
      <x:c r="AA242" s="47"/>
      <x:c r="AB242" s="80"/>
      <x:c r="AC242" s="49"/>
      <x:c r="AD242" s="50">
        <x:f t="shared" si="16"/>
        <x:v>1</x:v>
      </x:c>
      <x:c r="AE242" s="50">
        <x:f t="shared" si="17"/>
        <x:v>0.9363636363636364</x:v>
      </x:c>
    </x:row>
    <x:row r="243" s="48" customFormat="1" ht="12.5">
      <x:c r="A243" s="29" t="s">
        <x:v>576</x:v>
      </x:c>
      <x:c r="B243" s="47" t="s">
        <x:v>577</x:v>
      </x:c>
      <x:c r="C243" s="48" t="s">
        <x:v>63</x:v>
      </x:c>
      <x:c r="D243" s="47" t="s">
        <x:v>86</x:v>
      </x:c>
      <x:c r="E243" s="47" t="s">
        <x:v>93</x:v>
      </x:c>
      <x:c r="F243" s="48" t="str">
        <x:v>Jl. Lingkar Barat Jalur 30 M</x:v>
      </x:c>
      <x:c r="G243" s="48" t="str">
        <x:v>PT. Anugerah Karya Konstruksi</x:v>
      </x:c>
      <x:c r="H243" s="48" t="str">
        <x:v>Dori Setiawan</x:v>
      </x:c>
      <x:c r="I243" s="48" t="str">
        <x:v>Pengembang Indonesia (PI)</x:v>
      </x:c>
      <x:c r="J243" s="48" t="n">
        <x:v>2018</x:v>
      </x:c>
      <x:c r="K243" s="48">
        <x:v>44</x:v>
      </x:c>
      <x:c r="L243" s="47">
        <x:v>44</x:v>
      </x:c>
      <x:c r="M243" s="48">
        <x:v>44</x:v>
      </x:c>
      <x:c r="N243" s="48" t="s">
        <x:v>66</x:v>
      </x:c>
      <x:c r="O243" s="48" t="n">
        <x:v>2021</x:v>
      </x:c>
      <x:c r="Q243" s="48" t="s">
        <x:v>94</x:v>
      </x:c>
      <x:c r="S243" s="47"/>
      <x:c r="T243" s="47"/>
      <x:c r="U243" s="47"/>
      <x:c r="V243" s="76">
        <x:v>-2.0944850000000002</x:v>
      </x:c>
      <x:c r="W243" s="47">
        <x:v>106.09107</x:v>
      </x:c>
      <x:c r="X243" s="47"/>
      <x:c r="Y243" s="49"/>
      <x:c r="Z243" s="49"/>
      <x:c r="AA243" s="47"/>
      <x:c r="AB243" s="80"/>
      <x:c r="AC243" s="49"/>
      <x:c r="AD243" s="50">
        <x:f t="shared" si="16"/>
        <x:v>1</x:v>
      </x:c>
      <x:c r="AE243" s="50">
        <x:f t="shared" si="17"/>
        <x:v>1</x:v>
      </x:c>
    </x:row>
    <x:row r="244" s="48" customFormat="1" ht="12.5">
      <x:c r="A244" s="29" t="s">
        <x:v>578</x:v>
      </x:c>
      <x:c r="B244" s="47" t="s">
        <x:v>579</x:v>
      </x:c>
      <x:c r="C244" s="48" t="s">
        <x:v>63</x:v>
      </x:c>
      <x:c r="D244" s="47" t="s">
        <x:v>64</x:v>
      </x:c>
      <x:c r="E244" s="47" t="s">
        <x:v>65</x:v>
      </x:c>
      <x:c r="F244" s="48" t="str">
        <x:v>Jl. Kulan Kampak</x:v>
      </x:c>
      <x:c r="G244" s="48" t="str">
        <x:v>PT. ANUGRAH KARYA KONSTRUKSI</x:v>
      </x:c>
      <x:c r="H244" s="48" t="str">
        <x:v>Dori Setiawan</x:v>
      </x:c>
      <x:c r="I244" s="48" t="str">
        <x:v>Pengembang Indonesia (PI)</x:v>
      </x:c>
      <x:c r="J244" s="48" t="n">
        <x:v>2018</x:v>
      </x:c>
      <x:c r="K244" s="48">
        <x:v>70</x:v>
      </x:c>
      <x:c r="L244" s="47">
        <x:v>70</x:v>
      </x:c>
      <x:c r="M244" s="48">
        <x:v>70</x:v>
      </x:c>
      <x:c r="N244" s="48" t="s">
        <x:v>66</x:v>
      </x:c>
      <x:c r="O244" s="48" t="n">
        <x:v>2022</x:v>
      </x:c>
      <x:c r="Q244" s="21" t="s">
        <x:v>67</x:v>
      </x:c>
      <x:c r="R244" s="48" t="s">
        <x:v>130</x:v>
      </x:c>
      <x:c r="S244" s="47"/>
      <x:c r="T244" s="47"/>
      <x:c r="U244" s="47"/>
      <x:c r="V244" s="76">
        <x:v>-2.0975541999999998</x:v>
      </x:c>
      <x:c r="W244" s="47">
        <x:v>106.0794709</x:v>
      </x:c>
      <x:c r="X244" s="47"/>
      <x:c r="Y244" s="49"/>
      <x:c r="Z244" s="49"/>
      <x:c r="AA244" s="47"/>
      <x:c r="AB244" s="80"/>
      <x:c r="AC244" s="49"/>
      <x:c r="AD244" s="50">
        <x:f t="shared" si="16"/>
        <x:v>1</x:v>
      </x:c>
      <x:c r="AE244" s="50">
        <x:f t="shared" si="17"/>
        <x:v>1</x:v>
      </x:c>
    </x:row>
    <x:row r="245" s="48" customFormat="1" ht="12.5">
      <x:c r="A245" s="29" t="s">
        <x:v>580</x:v>
      </x:c>
      <x:c r="B245" s="47" t="s">
        <x:v>581</x:v>
      </x:c>
      <x:c r="C245" s="48" t="s">
        <x:v>63</x:v>
      </x:c>
      <x:c r="D245" s="47" t="s">
        <x:v>64</x:v>
      </x:c>
      <x:c r="E245" s="47" t="s">
        <x:v>65</x:v>
      </x:c>
      <x:c r="F245" s="48" t="str">
        <x:v>Jl. Fatmawati</x:v>
      </x:c>
      <x:c r="G245" s="48" t="str">
        <x:v>PT. ANUGRAH KARYA KONSTRUKSI</x:v>
      </x:c>
      <x:c r="H245" s="48" t="str">
        <x:v>Dori Setiawan</x:v>
      </x:c>
      <x:c r="I245" s="48" t="str">
        <x:v>Pengembang Indonesia (PI)</x:v>
      </x:c>
      <x:c r="J245" s="48" t="n">
        <x:v>2020</x:v>
      </x:c>
      <x:c r="K245" s="48">
        <x:v>40</x:v>
      </x:c>
      <x:c r="L245" s="47">
        <x:v>40</x:v>
      </x:c>
      <x:c r="M245" s="48">
        <x:v>40</x:v>
      </x:c>
      <x:c r="N245" s="48" t="s">
        <x:v>66</x:v>
      </x:c>
      <x:c r="O245" s="48" t="n">
        <x:v>2022</x:v>
      </x:c>
      <x:c r="Q245" s="21" t="s">
        <x:v>67</x:v>
      </x:c>
      <x:c r="R245" s="48" t="s">
        <x:v>130</x:v>
      </x:c>
      <x:c r="S245" s="47"/>
      <x:c r="T245" s="47"/>
      <x:c r="U245" s="47"/>
      <x:c r="V245" s="76">
        <x:v>-2.0942904000000002</x:v>
      </x:c>
      <x:c r="W245" s="47">
        <x:v>106.0779465</x:v>
      </x:c>
      <x:c r="X245" s="47"/>
      <x:c r="Y245" s="49"/>
      <x:c r="Z245" s="49"/>
      <x:c r="AA245" s="47"/>
      <x:c r="AB245" s="80"/>
      <x:c r="AC245" s="49"/>
      <x:c r="AD245" s="50" t="n">
        <x:f t="shared" ref="AD245:AD276" si="18">IF(A245="","",IFERROR(L245/K245,0))</x:f>
        <x:v>1</x:v>
      </x:c>
      <x:c r="AE245" s="50" t="n">
        <x:f t="shared" ref="AE245:AE276" si="19">IF(A245="","",IFERROR(M245/L245,0))</x:f>
        <x:v>1</x:v>
      </x:c>
    </x:row>
    <x:row r="246" s="48" customFormat="1" ht="12.5">
      <x:c r="A246" s="29" t="s">
        <x:v>582</x:v>
      </x:c>
      <x:c r="B246" s="47" t="s">
        <x:v>583</x:v>
      </x:c>
      <x:c r="C246" s="48" t="s">
        <x:v>63</x:v>
      </x:c>
      <x:c r="D246" s="47" t="s">
        <x:v>86</x:v>
      </x:c>
      <x:c r="E246" s="47" t="s">
        <x:v>93</x:v>
      </x:c>
      <x:c r="F246" s="48" t="str">
        <x:v>Jl. Haji Umar</x:v>
      </x:c>
      <x:c r="G246" s="48" t="str">
        <x:v>PT. Anugerah Karya Konstruksi</x:v>
      </x:c>
      <x:c r="H246" s="48" t="str">
        <x:v>Dori Setiawan</x:v>
      </x:c>
      <x:c r="I246" s="48" t="str">
        <x:v>Pengembang Indonesia (PI)</x:v>
      </x:c>
      <x:c r="J246" s="48" t="n">
        <x:v>2021</x:v>
      </x:c>
      <x:c r="K246" s="48">
        <x:v>58</x:v>
      </x:c>
      <x:c r="L246" s="47">
        <x:v>58</x:v>
      </x:c>
      <x:c r="M246" s="48">
        <x:v>58</x:v>
      </x:c>
      <x:c r="N246" s="48" t="s">
        <x:v>78</x:v>
      </x:c>
      <x:c r="O246" s="48"/>
      <x:c r="Q246" s="21" t="s">
        <x:v>67</x:v>
      </x:c>
      <x:c r="S246" s="47"/>
      <x:c r="T246" s="47"/>
      <x:c r="U246" s="47"/>
      <x:c r="V246" s="76">
        <x:v>-2.095885</x:v>
      </x:c>
      <x:c r="W246" s="47">
        <x:v>106.084112</x:v>
      </x:c>
      <x:c r="X246" s="47"/>
      <x:c r="Y246" s="49"/>
      <x:c r="Z246" s="49"/>
      <x:c r="AA246" s="47"/>
      <x:c r="AB246" s="80"/>
      <x:c r="AC246" s="49"/>
      <x:c r="AD246" s="50">
        <x:f t="shared" si="18"/>
        <x:v>1</x:v>
      </x:c>
      <x:c r="AE246" s="50">
        <x:f t="shared" si="19"/>
        <x:v>1</x:v>
      </x:c>
    </x:row>
    <x:row r="247" s="48" customFormat="1" ht="12.5">
      <x:c r="A247" s="29" t="s">
        <x:v>584</x:v>
      </x:c>
      <x:c r="B247" s="47" t="s">
        <x:v>585</x:v>
      </x:c>
      <x:c r="C247" s="48" t="s">
        <x:v>63</x:v>
      </x:c>
      <x:c r="D247" s="47" t="s">
        <x:v>64</x:v>
      </x:c>
      <x:c r="E247" s="47" t="s">
        <x:v>73</x:v>
      </x:c>
      <x:c r="F247" s="48" t="str">
        <x:v>Jl. Dealova Bahagia</x:v>
      </x:c>
      <x:c r="G247" s="48" t="str">
        <x:v>PT. ANUGRAH KARYA KONSTRUKSI</x:v>
      </x:c>
      <x:c r="H247" s="48" t="str">
        <x:v>Tisnu Rehatta</x:v>
      </x:c>
      <x:c r="I247" s="48" t="str">
        <x:v>Pengembang Indonesia (PI)</x:v>
      </x:c>
      <x:c r="J247" s="48" t="n">
        <x:v>2024</x:v>
      </x:c>
      <x:c r="K247" s="48">
        <x:v>42</x:v>
      </x:c>
      <x:c r="L247" s="47">
        <x:v>26</x:v>
      </x:c>
      <x:c r="M247" s="48">
        <x:v>26</x:v>
      </x:c>
      <x:c r="N247" s="48" t="s">
        <x:v>78</x:v>
      </x:c>
      <x:c r="O247" s="48"/>
      <x:c r="Q247" s="21" t="s">
        <x:v>67</x:v>
      </x:c>
      <x:c r="R247" s="21" t="s">
        <x:v>108</x:v>
      </x:c>
      <x:c r="S247" s="47"/>
      <x:c r="T247" s="47"/>
      <x:c r="U247" s="47"/>
      <x:c r="V247" s="76">
        <x:v>-2.1235791000000002</x:v>
      </x:c>
      <x:c r="W247" s="47">
        <x:v>106.0763937</x:v>
      </x:c>
      <x:c r="X247" s="47"/>
      <x:c r="Y247" s="49"/>
      <x:c r="Z247" s="49"/>
      <x:c r="AA247" s="47"/>
      <x:c r="AB247" s="80"/>
      <x:c r="AC247" s="49"/>
      <x:c r="AD247" s="50">
        <x:f t="shared" si="18"/>
        <x:v>0.61904761904761907</x:v>
      </x:c>
      <x:c r="AE247" s="50">
        <x:f t="shared" si="19"/>
        <x:v>1</x:v>
      </x:c>
    </x:row>
    <x:row r="248" s="48" customFormat="1" ht="12.5">
      <x:c r="A248" s="29" t="s">
        <x:v>586</x:v>
      </x:c>
      <x:c r="B248" s="47" t="s">
        <x:v>587</x:v>
      </x:c>
      <x:c r="C248" s="48" t="s">
        <x:v>63</x:v>
      </x:c>
      <x:c r="D248" s="47" t="s">
        <x:v>86</x:v>
      </x:c>
      <x:c r="E248" s="47" t="s">
        <x:v>112</x:v>
      </x:c>
      <x:c r="F248" s="48" t="str">
        <x:v>Jl. Lintas Timur</x:v>
      </x:c>
      <x:c r="G248" s="48" t="str">
        <x:v>PT. GRAHA KARUNIA PERKASA</x:v>
      </x:c>
      <x:c r="H248" s="48" t="str">
        <x:v>Gunawan</x:v>
      </x:c>
      <x:c r="I248" s="48" t="str">
        <x:v>Asosiasi Pengembang Perumahan dan Permukiman Seluruh Indonesia (APERSI)</x:v>
      </x:c>
      <x:c r="J248" s="48" t="n">
        <x:v>2015</x:v>
      </x:c>
      <x:c r="K248" s="48">
        <x:v>103</x:v>
      </x:c>
      <x:c r="L248" s="47">
        <x:v>74</x:v>
      </x:c>
      <x:c r="M248" s="48">
        <x:v>74</x:v>
      </x:c>
      <x:c r="N248" s="48" t="s">
        <x:v>78</x:v>
      </x:c>
      <x:c r="O248" s="48"/>
      <x:c r="Q248" s="21" t="s">
        <x:v>67</x:v>
      </x:c>
      <x:c r="R248" s="21" t="s">
        <x:v>108</x:v>
      </x:c>
      <x:c r="S248" s="47"/>
      <x:c r="T248" s="47"/>
      <x:c r="U248" s="47"/>
      <x:c r="V248" s="76">
        <x:v>-2.078166</x:v>
      </x:c>
      <x:c r="W248" s="47">
        <x:v>106.12220499999999</x:v>
      </x:c>
      <x:c r="X248" s="47"/>
      <x:c r="Y248" s="49"/>
      <x:c r="Z248" s="49"/>
      <x:c r="AA248" s="47"/>
      <x:c r="AB248" s="80"/>
      <x:c r="AC248" s="49"/>
      <x:c r="AD248" s="50">
        <x:f t="shared" si="18"/>
        <x:v>0.71844660194174759</x:v>
      </x:c>
      <x:c r="AE248" s="50">
        <x:f t="shared" si="19"/>
        <x:v>1</x:v>
      </x:c>
    </x:row>
    <x:row r="249" s="48" customFormat="1" ht="12.5">
      <x:c r="A249" s="29" t="s">
        <x:v>588</x:v>
      </x:c>
      <x:c r="B249" s="47" t="s">
        <x:v>589</x:v>
      </x:c>
      <x:c r="C249" s="48" t="s">
        <x:v>63</x:v>
      </x:c>
      <x:c r="D249" s="47" t="s">
        <x:v>104</x:v>
      </x:c>
      <x:c r="E249" s="47" t="s">
        <x:v>105</x:v>
      </x:c>
      <x:c r="F249" s="48" t="str">
        <x:v>Jl. Pasir</x:v>
      </x:c>
      <x:c r="G249" s="48" t="str">
        <x:v>PT. BHAKTI AISYAH ATAYA</x:v>
      </x:c>
      <x:c r="H249" s="48" t="str">
        <x:v>M. Aditiya Mebiantara</x:v>
      </x:c>
      <x:c r="I249" s="48" t="str">
        <x:v>Belum Teridentifikasi</x:v>
      </x:c>
      <x:c r="J249" s="48" t="n">
        <x:v>2021</x:v>
      </x:c>
      <x:c r="K249" s="48">
        <x:v>115</x:v>
      </x:c>
      <x:c r="L249" s="47">
        <x:v>10</x:v>
      </x:c>
      <x:c r="M249" s="48">
        <x:v>0</x:v>
      </x:c>
      <x:c r="N249" s="48" t="s">
        <x:v>78</x:v>
      </x:c>
      <x:c r="O249" s="48"/>
      <x:c r="Q249" s="21" t="s">
        <x:v>67</x:v>
      </x:c>
      <x:c r="R249" s="21" t="s">
        <x:v>108</x:v>
      </x:c>
      <x:c r="S249" s="47"/>
      <x:c r="T249" s="47"/>
      <x:c r="U249" s="47"/>
      <x:c r="V249" s="76">
        <x:v>-2.1486339999999999</x:v>
      </x:c>
      <x:c r="W249" s="47">
        <x:v>106.145662</x:v>
      </x:c>
      <x:c r="X249" s="47"/>
      <x:c r="Y249" s="49"/>
      <x:c r="Z249" s="49"/>
      <x:c r="AA249" s="47"/>
      <x:c r="AB249" s="80"/>
      <x:c r="AC249" s="49"/>
      <x:c r="AD249" s="50">
        <x:f t="shared" si="18"/>
        <x:v>8.6956521739130432E-2</x:v>
      </x:c>
      <x:c r="AE249" s="50">
        <x:f t="shared" si="19"/>
        <x:v>0</x:v>
      </x:c>
    </x:row>
    <x:row r="250" s="48" customFormat="1" ht="12.5">
      <x:c r="A250" s="29" t="s">
        <x:v>590</x:v>
      </x:c>
      <x:c r="B250" s="47" t="s">
        <x:v>591</x:v>
      </x:c>
      <x:c r="C250" s="48" t="s">
        <x:v>63</x:v>
      </x:c>
      <x:c r="D250" s="47" t="s">
        <x:v>104</x:v>
      </x:c>
      <x:c r="E250" s="47" t="s">
        <x:v>141</x:v>
      </x:c>
      <x:c r="F250" s="48" t="str">
        <x:v>Jl. Pasir Padi</x:v>
      </x:c>
      <x:c r="G250" s="48" t="str">
        <x:v>PT.KARYA PUTRA BANGKA MANDIRI</x:v>
      </x:c>
      <x:c r="H250" s="48" t="str">
        <x:v>Steven Wijaya</x:v>
      </x:c>
      <x:c r="I250" s="48" t="str">
        <x:v>Real Estate Indonesia (REI)</x:v>
      </x:c>
      <x:c r="J250" s="48" t="n">
        <x:v>2019</x:v>
      </x:c>
      <x:c r="K250" s="48">
        <x:v>161</x:v>
      </x:c>
      <x:c r="L250" s="47">
        <x:v>103</x:v>
      </x:c>
      <x:c r="M250" s="48">
        <x:v>103</x:v>
      </x:c>
      <x:c r="N250" s="48" t="s">
        <x:v>78</x:v>
      </x:c>
      <x:c r="O250" s="48"/>
      <x:c r="Q250" s="21" t="s">
        <x:v>67</x:v>
      </x:c>
      <x:c r="S250" s="47"/>
      <x:c r="T250" s="47"/>
      <x:c r="U250" s="47"/>
      <x:c r="V250" s="76">
        <x:v>-2.1294618000000001</x:v>
      </x:c>
      <x:c r="W250" s="47">
        <x:v>106.16116599999999</x:v>
      </x:c>
      <x:c r="X250" s="47"/>
      <x:c r="Y250" s="49"/>
      <x:c r="Z250" s="49"/>
      <x:c r="AA250" s="47"/>
      <x:c r="AB250" s="80"/>
      <x:c r="AC250" s="49"/>
      <x:c r="AD250" s="50">
        <x:f t="shared" si="18"/>
        <x:v>0.63975155279503104</x:v>
      </x:c>
      <x:c r="AE250" s="50">
        <x:f t="shared" si="19"/>
        <x:v>1</x:v>
      </x:c>
    </x:row>
    <x:row r="251" s="48" customFormat="1" ht="12.5">
      <x:c r="A251" s="29" t="s">
        <x:v>592</x:v>
      </x:c>
      <x:c r="B251" s="47" t="s">
        <x:v>593</x:v>
      </x:c>
      <x:c r="C251" s="48" t="s">
        <x:v>63</x:v>
      </x:c>
      <x:c r="D251" s="47" t="s">
        <x:v>314</x:v>
      </x:c>
      <x:c r="E251" s="47" t="s">
        <x:v>315</x:v>
      </x:c>
      <x:c r="F251" s="48" t="str">
        <x:v>Jl. Bukit Tunggal 1</x:v>
      </x:c>
      <x:c r="G251" s="48" t="str">
        <x:v>CV. AGRIKULTUR RUMPUT LAUT</x:v>
      </x:c>
      <x:c r="H251" s="48" t="str">
        <x:v>Prigunardi Tjhia</x:v>
      </x:c>
      <x:c r="I251" s="48" t="str">
        <x:v>Asosiasi Pengembang Perumahan dan Permukiman Seluruh Indonesia (APERSI)</x:v>
      </x:c>
      <x:c r="J251" s="48" t="n">
        <x:v>2017</x:v>
      </x:c>
      <x:c r="K251" s="48">
        <x:v>140</x:v>
      </x:c>
      <x:c r="L251" s="47">
        <x:v>140</x:v>
      </x:c>
      <x:c r="M251" s="48">
        <x:v>140</x:v>
      </x:c>
      <x:c r="N251" s="48" t="s">
        <x:v>78</x:v>
      </x:c>
      <x:c r="O251" s="48"/>
      <x:c r="Q251" s="21" t="s">
        <x:v>67</x:v>
      </x:c>
      <x:c r="S251" s="47"/>
      <x:c r="T251" s="47"/>
      <x:c r="U251" s="47"/>
      <x:c r="V251" s="76">
        <x:v>-2.150156</x:v>
      </x:c>
      <x:c r="W251" s="47">
        <x:v>106.10794970000001</x:v>
      </x:c>
      <x:c r="X251" s="47"/>
      <x:c r="Y251" s="49"/>
      <x:c r="Z251" s="49"/>
      <x:c r="AA251" s="47"/>
      <x:c r="AB251" s="80"/>
      <x:c r="AC251" s="49"/>
      <x:c r="AD251" s="50">
        <x:f t="shared" si="18"/>
        <x:v>1</x:v>
      </x:c>
      <x:c r="AE251" s="50">
        <x:f t="shared" si="19"/>
        <x:v>1</x:v>
      </x:c>
    </x:row>
    <x:row r="252" s="48" customFormat="1" ht="12.5">
      <x:c r="A252" s="29" t="s">
        <x:v>594</x:v>
      </x:c>
      <x:c r="B252" s="47" t="s">
        <x:v>595</x:v>
      </x:c>
      <x:c r="C252" s="48" t="s">
        <x:v>63</x:v>
      </x:c>
      <x:c r="D252" s="47" t="s">
        <x:v>314</x:v>
      </x:c>
      <x:c r="E252" s="47" t="s">
        <x:v>315</x:v>
      </x:c>
      <x:c r="F252" s="48" t="str">
        <x:v>Jl. Perbakin Rt.01 Rw.02 Kel.Sriwijaya Kec. Girimaya</x:v>
      </x:c>
      <x:c r="G252" s="48" t="str">
        <x:v>CV. AGRIKULTUR RUMPUT LAUT</x:v>
      </x:c>
      <x:c r="H252" s="48" t="str">
        <x:v>Prigunardi Tjhia</x:v>
      </x:c>
      <x:c r="I252" s="48" t="str">
        <x:v>Asosiasi Pengembang Perumahan dan Permukiman Seluruh Indonesia (APERSI)</x:v>
      </x:c>
      <x:c r="J252" s="48" t="n">
        <x:v>2017</x:v>
      </x:c>
      <x:c r="K252" s="48">
        <x:v>15</x:v>
      </x:c>
      <x:c r="L252" s="47">
        <x:v>15</x:v>
      </x:c>
      <x:c r="M252" s="48">
        <x:v>6</x:v>
      </x:c>
      <x:c r="N252" s="48" t="s">
        <x:v>78</x:v>
      </x:c>
      <x:c r="O252" s="48"/>
      <x:c r="Q252" s="21" t="s">
        <x:v>67</x:v>
      </x:c>
      <x:c r="R252" s="21" t="s">
        <x:v>108</x:v>
      </x:c>
      <x:c r="S252" s="47"/>
      <x:c r="T252" s="47"/>
      <x:c r="U252" s="47"/>
      <x:c r="V252" s="76">
        <x:v>-2.1502162</x:v>
      </x:c>
      <x:c r="W252" s="47">
        <x:v>106.1080668</x:v>
      </x:c>
      <x:c r="X252" s="47"/>
      <x:c r="Y252" s="49"/>
      <x:c r="Z252" s="49"/>
      <x:c r="AA252" s="47"/>
      <x:c r="AB252" s="80"/>
      <x:c r="AC252" s="49"/>
      <x:c r="AD252" s="50">
        <x:f t="shared" si="18"/>
        <x:v>1</x:v>
      </x:c>
      <x:c r="AE252" s="50">
        <x:f t="shared" si="19"/>
        <x:v>0.4</x:v>
      </x:c>
    </x:row>
    <x:row r="253" s="48" customFormat="1" ht="12.5">
      <x:c r="A253" s="29" t="s">
        <x:v>596</x:v>
      </x:c>
      <x:c r="B253" s="47" t="s">
        <x:v>597</x:v>
      </x:c>
      <x:c r="C253" s="48" t="s">
        <x:v>63</x:v>
      </x:c>
      <x:c r="D253" s="47" t="s">
        <x:v>314</x:v>
      </x:c>
      <x:c r="E253" s="47" t="s">
        <x:v>345</x:v>
      </x:c>
      <x:c r="F253" s="48" t="str">
        <x:v>Jl. Batu Akik</x:v>
      </x:c>
      <x:c r="G253" s="48" t="str">
        <x:v>CV. AGRIKULTUR RUMPUT LAUT</x:v>
      </x:c>
      <x:c r="H253" s="48" t="str">
        <x:v>Prigunardi Tjhia</x:v>
      </x:c>
      <x:c r="I253" s="48" t="str">
        <x:v>Asosiasi Pengembang Perumahan dan Permukiman Seluruh Indonesia (APERSI)</x:v>
      </x:c>
      <x:c r="J253" s="48" t="n">
        <x:v>2018</x:v>
      </x:c>
      <x:c r="K253" s="48">
        <x:v>20</x:v>
      </x:c>
      <x:c r="L253" s="47">
        <x:v>20</x:v>
      </x:c>
      <x:c r="M253" s="48">
        <x:v>4</x:v>
      </x:c>
      <x:c r="N253" s="48" t="s">
        <x:v>78</x:v>
      </x:c>
      <x:c r="O253" s="48"/>
      <x:c r="Q253" s="21" t="s">
        <x:v>67</x:v>
      </x:c>
      <x:c r="R253" s="21" t="s">
        <x:v>108</x:v>
      </x:c>
      <x:c r="S253" s="47"/>
      <x:c r="T253" s="47"/>
      <x:c r="U253" s="47"/>
      <x:c r="V253" s="76">
        <x:v>-2.1475719999999998</x:v>
      </x:c>
      <x:c r="W253" s="47">
        <x:v>106.12103399999999</x:v>
      </x:c>
      <x:c r="X253" s="47"/>
      <x:c r="Y253" s="49"/>
      <x:c r="Z253" s="49"/>
      <x:c r="AA253" s="47"/>
      <x:c r="AB253" s="80"/>
      <x:c r="AC253" s="49"/>
      <x:c r="AD253" s="50">
        <x:f t="shared" si="18"/>
        <x:v>1</x:v>
      </x:c>
      <x:c r="AE253" s="50">
        <x:f t="shared" si="19"/>
        <x:v>0.2</x:v>
      </x:c>
    </x:row>
    <x:row r="254" s="48" customFormat="1" ht="12.5">
      <x:c r="A254" s="29" t="s">
        <x:v>598</x:v>
      </x:c>
      <x:c r="B254" s="47" t="s">
        <x:v>599</x:v>
      </x:c>
      <x:c r="C254" s="48" t="s">
        <x:v>63</x:v>
      </x:c>
      <x:c r="D254" s="47" t="s">
        <x:v>314</x:v>
      </x:c>
      <x:c r="E254" s="47" t="s">
        <x:v>315</x:v>
      </x:c>
      <x:c r="F254" s="48" t="str">
        <x:v>Jl. Basuki Rahmat Ujung II</x:v>
      </x:c>
      <x:c r="G254" s="48" t="str">
        <x:v>CV. AGRIKULTUR RUMPUT LAUT</x:v>
      </x:c>
      <x:c r="H254" s="48" t="str">
        <x:v>Prigunardi Tjhia</x:v>
      </x:c>
      <x:c r="I254" s="48" t="str">
        <x:v>Asosiasi Pengembang Perumahan dan Permukiman Seluruh Indonesia (APERSI)</x:v>
      </x:c>
      <x:c r="J254" s="48" t="n">
        <x:v>2018</x:v>
      </x:c>
      <x:c r="K254" s="48">
        <x:v>54</x:v>
      </x:c>
      <x:c r="L254" s="47">
        <x:v>31</x:v>
      </x:c>
      <x:c r="M254" s="48">
        <x:v>15</x:v>
      </x:c>
      <x:c r="N254" s="48" t="s">
        <x:v>78</x:v>
      </x:c>
      <x:c r="O254" s="48"/>
      <x:c r="Q254" s="21" t="s">
        <x:v>67</x:v>
      </x:c>
      <x:c r="R254" s="21" t="s">
        <x:v>108</x:v>
      </x:c>
      <x:c r="S254" s="47"/>
      <x:c r="T254" s="47"/>
      <x:c r="U254" s="47"/>
      <x:c r="V254" s="76">
        <x:v>-2.1529470000000002</x:v>
      </x:c>
      <x:c r="W254" s="47">
        <x:v>106.109098</x:v>
      </x:c>
      <x:c r="X254" s="47"/>
      <x:c r="Y254" s="49"/>
      <x:c r="Z254" s="49"/>
      <x:c r="AA254" s="47"/>
      <x:c r="AB254" s="80"/>
      <x:c r="AC254" s="49"/>
      <x:c r="AD254" s="50">
        <x:f t="shared" si="18"/>
        <x:v>0.57407407407407407</x:v>
      </x:c>
      <x:c r="AE254" s="50">
        <x:f t="shared" si="19"/>
        <x:v>0.4838709677419355</x:v>
      </x:c>
    </x:row>
    <x:row r="255" s="48" customFormat="1" ht="12.5">
      <x:c r="A255" s="29" t="s">
        <x:v>600</x:v>
      </x:c>
      <x:c r="B255" s="47" t="s">
        <x:v>601</x:v>
      </x:c>
      <x:c r="C255" s="48" t="s">
        <x:v>63</x:v>
      </x:c>
      <x:c r="D255" s="47" t="s">
        <x:v>86</x:v>
      </x:c>
      <x:c r="E255" s="47" t="s">
        <x:v>112</x:v>
      </x:c>
      <x:c r="F255" s="48" t="str">
        <x:v>Jl. Sungkur Dalam</x:v>
      </x:c>
      <x:c r="G255" s="48" t="str">
        <x:v>Belum Teridentifikasi</x:v>
      </x:c>
      <x:c r="H255" s="48" t="str">
        <x:v>Defri Hartanto</x:v>
      </x:c>
      <x:c r="I255" s="48" t="str">
        <x:v>Aliansi Pengembang Perumahan Nasional Jaya (APPERNAS JAYA)</x:v>
      </x:c>
      <x:c r="J255" s="48" t="n">
        <x:v>2015</x:v>
      </x:c>
      <x:c r="K255" s="48">
        <x:v>124</x:v>
      </x:c>
      <x:c r="L255" s="47">
        <x:v>124</x:v>
      </x:c>
      <x:c r="M255" s="48">
        <x:v>124</x:v>
      </x:c>
      <x:c r="N255" s="48" t="s">
        <x:v>78</x:v>
      </x:c>
      <x:c r="O255" s="48"/>
      <x:c r="Q255" s="21" t="s">
        <x:v>67</x:v>
      </x:c>
      <x:c r="S255" s="47"/>
      <x:c r="T255" s="47"/>
      <x:c r="U255" s="47"/>
      <x:c r="V255" s="76">
        <x:v>-2.0908703499999999</x:v>
      </x:c>
      <x:c r="W255" s="47">
        <x:v>106.10865029999999</x:v>
      </x:c>
      <x:c r="X255" s="47"/>
      <x:c r="Y255" s="49"/>
      <x:c r="Z255" s="49"/>
      <x:c r="AA255" s="47"/>
      <x:c r="AB255" s="80"/>
      <x:c r="AC255" s="49"/>
      <x:c r="AD255" s="50">
        <x:f t="shared" si="18"/>
        <x:v>1</x:v>
      </x:c>
      <x:c r="AE255" s="50">
        <x:f t="shared" si="19"/>
        <x:v>1</x:v>
      </x:c>
    </x:row>
    <x:row r="256" s="48" customFormat="1" ht="12.5">
      <x:c r="A256" s="29" t="s">
        <x:v>602</x:v>
      </x:c>
      <x:c r="B256" s="47" t="s">
        <x:v>603</x:v>
      </x:c>
      <x:c r="C256" s="48" t="s">
        <x:v>63</x:v>
      </x:c>
      <x:c r="D256" s="47" t="s">
        <x:v>64</x:v>
      </x:c>
      <x:c r="E256" s="47" t="s">
        <x:v>73</x:v>
      </x:c>
      <x:c r="F256" s="48" t="str">
        <x:v>Gg. Al Mukaromah</x:v>
      </x:c>
      <x:c r="G256" s="48" t="str">
        <x:v>PT. KAYYESA ELMA MAZEA</x:v>
      </x:c>
      <x:c r="H256" s="48" t="str">
        <x:v>Sariati</x:v>
      </x:c>
      <x:c r="I256" s="48" t="str">
        <x:v>Belum Teridentifikasi</x:v>
      </x:c>
      <x:c r="J256" s="48" t="n">
        <x:v>2017</x:v>
      </x:c>
      <x:c r="K256" s="48">
        <x:v>42</x:v>
      </x:c>
      <x:c r="L256" s="47">
        <x:v>37</x:v>
      </x:c>
      <x:c r="M256" s="48">
        <x:v>37</x:v>
      </x:c>
      <x:c r="N256" s="48" t="s">
        <x:v>78</x:v>
      </x:c>
      <x:c r="O256" s="48"/>
      <x:c r="Q256" s="21" t="s">
        <x:v>67</x:v>
      </x:c>
      <x:c r="R256" s="21" t="s">
        <x:v>108</x:v>
      </x:c>
      <x:c r="S256" s="47"/>
      <x:c r="T256" s="47"/>
      <x:c r="U256" s="47"/>
      <x:c r="V256" s="76">
        <x:v>-2.1266164000000001</x:v>
      </x:c>
      <x:c r="W256" s="47">
        <x:v>106.08298000000001</x:v>
      </x:c>
      <x:c r="X256" s="47"/>
      <x:c r="Y256" s="49"/>
      <x:c r="Z256" s="49"/>
      <x:c r="AA256" s="47"/>
      <x:c r="AB256" s="80"/>
      <x:c r="AC256" s="49"/>
      <x:c r="AD256" s="50">
        <x:f t="shared" si="18"/>
        <x:v>0.88095238095238093</x:v>
      </x:c>
      <x:c r="AE256" s="50">
        <x:f t="shared" si="19"/>
        <x:v>1</x:v>
      </x:c>
    </x:row>
    <x:row r="257" s="48" customFormat="1" ht="12.5">
      <x:c r="A257" s="29" t="s">
        <x:v>604</x:v>
      </x:c>
      <x:c r="B257" s="47" t="s">
        <x:v>605</x:v>
      </x:c>
      <x:c r="C257" s="48" t="s">
        <x:v>63</x:v>
      </x:c>
      <x:c r="D257" s="47" t="s">
        <x:v>64</x:v>
      </x:c>
      <x:c r="E257" s="47" t="s">
        <x:v>65</x:v>
      </x:c>
      <x:c r="F257" s="48" t="str">
        <x:v>Jl. Kulan Kampak</x:v>
      </x:c>
      <x:c r="G257" s="48" t="str">
        <x:v>Belum Teridentifikasi</x:v>
      </x:c>
      <x:c r="H257" s="48" t="str">
        <x:v>Belum Teridentifikasi</x:v>
      </x:c>
      <x:c r="I257" s="48" t="str">
        <x:v>Belum Teridentifikasi</x:v>
      </x:c>
      <x:c r="J257" s="48" t="n">
        <x:v>2017</x:v>
      </x:c>
      <x:c r="K257" s="48">
        <x:v>14</x:v>
      </x:c>
      <x:c r="L257" s="47">
        <x:v>14</x:v>
      </x:c>
      <x:c r="M257" s="48">
        <x:v>14</x:v>
      </x:c>
      <x:c r="N257" s="48" t="s">
        <x:v>78</x:v>
      </x:c>
      <x:c r="O257" s="48"/>
      <x:c r="Q257" s="21" t="s">
        <x:v>67</x:v>
      </x:c>
      <x:c r="R257" s="21" t="s">
        <x:v>108</x:v>
      </x:c>
      <x:c r="S257" s="47"/>
      <x:c r="T257" s="47"/>
      <x:c r="U257" s="47"/>
      <x:c r="V257" s="76">
        <x:v>-2.0969370000000001</x:v>
      </x:c>
      <x:c r="W257" s="47">
        <x:v>106.07986</x:v>
      </x:c>
      <x:c r="X257" s="47"/>
      <x:c r="Y257" s="49"/>
      <x:c r="Z257" s="49"/>
      <x:c r="AA257" s="47"/>
      <x:c r="AB257" s="80"/>
      <x:c r="AC257" s="49"/>
      <x:c r="AD257" s="50">
        <x:f t="shared" si="18"/>
        <x:v>1</x:v>
      </x:c>
      <x:c r="AE257" s="50">
        <x:f t="shared" si="19"/>
        <x:v>1</x:v>
      </x:c>
    </x:row>
    <x:row r="258" s="48" customFormat="1" ht="12.5">
      <x:c r="A258" s="29" t="s">
        <x:v>606</x:v>
      </x:c>
      <x:c r="B258" s="47" t="s">
        <x:v>607</x:v>
      </x:c>
      <x:c r="C258" s="48" t="s">
        <x:v>63</x:v>
      </x:c>
      <x:c r="D258" s="47" t="s">
        <x:v>64</x:v>
      </x:c>
      <x:c r="E258" s="47" t="s">
        <x:v>65</x:v>
      </x:c>
      <x:c r="F258" s="48" t="str">
        <x:v>Jl. Kulan</x:v>
      </x:c>
      <x:c r="G258" s="48" t="str">
        <x:v>PT. LAUTAN EMAS ADI GRAHA</x:v>
      </x:c>
      <x:c r="H258" s="48" t="str">
        <x:v>Hendri</x:v>
      </x:c>
      <x:c r="I258" s="48" t="str">
        <x:v>Asosiasi Pengembang Perumahan dan Permukiman Seluruh Indonesia (APERSI)</x:v>
      </x:c>
      <x:c r="J258" s="48" t="n">
        <x:v>2021</x:v>
      </x:c>
      <x:c r="K258" s="48">
        <x:v>40</x:v>
      </x:c>
      <x:c r="L258" s="47">
        <x:v>22</x:v>
      </x:c>
      <x:c r="M258" s="48">
        <x:v>22</x:v>
      </x:c>
      <x:c r="N258" s="48" t="s">
        <x:v>78</x:v>
      </x:c>
      <x:c r="O258" s="48"/>
      <x:c r="Q258" s="21" t="s">
        <x:v>67</x:v>
      </x:c>
      <x:c r="S258" s="47"/>
      <x:c r="T258" s="9" t="s">
        <x:v>68</x:v>
      </x:c>
      <x:c r="U258" s="47"/>
      <x:c r="V258" s="76">
        <x:v>-2.09375</x:v>
      </x:c>
      <x:c r="W258" s="47">
        <x:v>106.07987799999999</x:v>
      </x:c>
      <x:c r="X258" s="47"/>
      <x:c r="Y258" s="49"/>
      <x:c r="Z258" s="49"/>
      <x:c r="AA258" s="47"/>
      <x:c r="AB258" s="80"/>
      <x:c r="AC258" s="49"/>
      <x:c r="AD258" s="50">
        <x:f t="shared" si="18"/>
        <x:v>0.55000000000000004</x:v>
      </x:c>
      <x:c r="AE258" s="50">
        <x:f t="shared" si="19"/>
        <x:v>1</x:v>
      </x:c>
    </x:row>
    <x:row r="259" s="48" customFormat="1" ht="12.5">
      <x:c r="A259" s="29" t="s">
        <x:v>608</x:v>
      </x:c>
      <x:c r="B259" s="47" t="s">
        <x:v>609</x:v>
      </x:c>
      <x:c r="C259" s="48" t="s">
        <x:v>63</x:v>
      </x:c>
      <x:c r="D259" s="47" t="s">
        <x:v>64</x:v>
      </x:c>
      <x:c r="E259" s="47" t="s">
        <x:v>73</x:v>
      </x:c>
      <x:c r="F259" s="48" t="str">
        <x:v>Jl. Tampuk Pengembang Indonesia (PI)nang Pura</x:v>
      </x:c>
      <x:c r="G259" s="48" t="str">
        <x:v>PT. ERFOLG MANDIRI INDONESIA</x:v>
      </x:c>
      <x:c r="H259" s="48" t="str">
        <x:v>Zhaud Marully Wisudawan Silaban</x:v>
      </x:c>
      <x:c r="I259" s="48" t="str">
        <x:v>Himpunan Pengembang Permukiman dan Perumahan Rakyat (HIMPERRA)</x:v>
      </x:c>
      <x:c r="J259" s="48" t="n">
        <x:v>2019</x:v>
      </x:c>
      <x:c r="K259" s="48">
        <x:v>71</x:v>
      </x:c>
      <x:c r="L259" s="47">
        <x:v>61</x:v>
      </x:c>
      <x:c r="M259" s="48">
        <x:v>59</x:v>
      </x:c>
      <x:c r="N259" s="48" t="s">
        <x:v>66</x:v>
      </x:c>
      <x:c r="O259" s="48" t="n">
        <x:v>2025</x:v>
      </x:c>
      <x:c r="Q259" s="21" t="s">
        <x:v>67</x:v>
      </x:c>
      <x:c r="S259" s="47"/>
      <x:c r="T259" s="47"/>
      <x:c r="U259" s="47"/>
      <x:c r="V259" s="76">
        <x:v>-2.1240772300000001</x:v>
      </x:c>
      <x:c r="W259" s="47">
        <x:v>106.0698871</x:v>
      </x:c>
      <x:c r="X259" s="47"/>
      <x:c r="Y259" s="49"/>
      <x:c r="Z259" s="49"/>
      <x:c r="AA259" s="47"/>
      <x:c r="AB259" s="80"/>
      <x:c r="AC259" s="49"/>
      <x:c r="AD259" s="50">
        <x:f t="shared" si="18"/>
        <x:v>0.85915492957746475</x:v>
      </x:c>
      <x:c r="AE259" s="50">
        <x:f t="shared" si="19"/>
        <x:v>0.96721311475409832</x:v>
      </x:c>
    </x:row>
    <x:row r="260" s="48" customFormat="1" ht="12.5">
      <x:c r="A260" s="29" t="s">
        <x:v>610</x:v>
      </x:c>
      <x:c r="B260" s="47" t="s">
        <x:v>611</x:v>
      </x:c>
      <x:c r="C260" s="48" t="s">
        <x:v>63</x:v>
      </x:c>
      <x:c r="D260" s="47" t="s">
        <x:v>86</x:v>
      </x:c>
      <x:c r="E260" s="47" t="s">
        <x:v>112</x:v>
      </x:c>
      <x:c r="F260" s="48" t="str">
        <x:v>Jl. Lintas Timur No. 18</x:v>
      </x:c>
      <x:c r="G260" s="48" t="str">
        <x:v>PT. MARLINDO BANGUN PERSADA</x:v>
      </x:c>
      <x:c r="H260" s="48" t="str">
        <x:v>Andrian Bong</x:v>
      </x:c>
      <x:c r="I260" s="48" t="str">
        <x:v>Belum Teridentifikasi</x:v>
      </x:c>
      <x:c r="J260" s="48" t="n">
        <x:v>2018</x:v>
      </x:c>
      <x:c r="K260" s="48">
        <x:v>74</x:v>
      </x:c>
      <x:c r="L260" s="47">
        <x:v>74</x:v>
      </x:c>
      <x:c r="M260" s="48">
        <x:v>74</x:v>
      </x:c>
      <x:c r="N260" s="48" t="s">
        <x:v>78</x:v>
      </x:c>
      <x:c r="O260" s="48"/>
      <x:c r="Q260" s="21" t="s">
        <x:v>67</x:v>
      </x:c>
      <x:c r="R260" s="21" t="s">
        <x:v>108</x:v>
      </x:c>
      <x:c r="S260" s="47"/>
      <x:c r="T260" s="9" t="s">
        <x:v>68</x:v>
      </x:c>
      <x:c r="U260" s="47"/>
      <x:c r="V260" s="76">
        <x:v>-2.0777771</x:v>
      </x:c>
      <x:c r="W260" s="47">
        <x:v>106.1188729</x:v>
      </x:c>
      <x:c r="X260" s="47"/>
      <x:c r="Y260" s="49"/>
      <x:c r="Z260" s="49"/>
      <x:c r="AA260" s="47"/>
      <x:c r="AB260" s="80"/>
      <x:c r="AC260" s="49"/>
      <x:c r="AD260" s="50">
        <x:f t="shared" si="18"/>
        <x:v>1</x:v>
      </x:c>
      <x:c r="AE260" s="50">
        <x:f t="shared" si="19"/>
        <x:v>1</x:v>
      </x:c>
    </x:row>
    <x:row r="261" s="48" customFormat="1" ht="12.5">
      <x:c r="A261" s="29" t="s">
        <x:v>612</x:v>
      </x:c>
      <x:c r="B261" s="47" t="s">
        <x:v>613</x:v>
      </x:c>
      <x:c r="C261" s="48" t="s">
        <x:v>179</x:v>
      </x:c>
      <x:c r="D261" s="47" t="s">
        <x:v>314</x:v>
      </x:c>
      <x:c r="E261" s="47" t="s">
        <x:v>315</x:v>
      </x:c>
      <x:c r="F261" s="48" t="str">
        <x:v>Jl. Basuki Rahmat Ujung</x:v>
      </x:c>
      <x:c r="G261" s="48" t="str">
        <x:v>Belum Teridentifikasi</x:v>
      </x:c>
      <x:c r="H261" s="48" t="str">
        <x:v>Suwandi</x:v>
      </x:c>
      <x:c r="I261" s="48" t="str">
        <x:v>Belum Teridentifikasi</x:v>
      </x:c>
      <x:c r="J261" s="48"/>
      <x:c r="K261" s="48">
        <x:v>36</x:v>
      </x:c>
      <x:c r="L261" s="47">
        <x:v>36</x:v>
      </x:c>
      <x:c r="M261" s="48">
        <x:v>36</x:v>
      </x:c>
      <x:c r="N261" s="48" t="s">
        <x:v>78</x:v>
      </x:c>
      <x:c r="O261" s="48"/>
      <x:c r="Q261" s="48" t="s">
        <x:v>94</x:v>
      </x:c>
      <x:c r="S261" s="47"/>
      <x:c r="T261" s="47"/>
      <x:c r="U261" s="47"/>
      <x:c r="V261" s="76">
        <x:v>-2.1464112000000002</x:v>
      </x:c>
      <x:c r="W261" s="47">
        <x:v>106.11293240000001</x:v>
      </x:c>
      <x:c r="X261" s="47"/>
      <x:c r="Y261" s="49"/>
      <x:c r="Z261" s="49"/>
      <x:c r="AA261" s="47"/>
      <x:c r="AB261" s="80"/>
      <x:c r="AC261" s="49"/>
      <x:c r="AD261" s="50">
        <x:f t="shared" si="18"/>
        <x:v>1</x:v>
      </x:c>
      <x:c r="AE261" s="50">
        <x:f t="shared" si="19"/>
        <x:v>1</x:v>
      </x:c>
    </x:row>
    <x:row r="262" s="48" customFormat="1" ht="12.5">
      <x:c r="A262" s="29" t="s">
        <x:v>614</x:v>
      </x:c>
      <x:c r="B262" s="47" t="s">
        <x:v>615</x:v>
      </x:c>
      <x:c r="C262" s="48" t="s">
        <x:v>63</x:v>
      </x:c>
      <x:c r="D262" s="47" t="s">
        <x:v>64</x:v>
      </x:c>
      <x:c r="E262" s="47" t="s">
        <x:v>65</x:v>
      </x:c>
      <x:c r="F262" s="48" t="str">
        <x:v>Jl. Kampung Melayu</x:v>
      </x:c>
      <x:c r="G262" s="48" t="str">
        <x:v>CV. PBERLY'S</x:v>
      </x:c>
      <x:c r="H262" s="48" t="str">
        <x:v>Subuadi</x:v>
      </x:c>
      <x:c r="I262" s="48" t="str">
        <x:v>Asosiasi Pengembang Perumahan Indonesia (APPERINDO)</x:v>
      </x:c>
      <x:c r="J262" s="48" t="n">
        <x:v>2017</x:v>
      </x:c>
      <x:c r="K262" s="48">
        <x:v>43</x:v>
      </x:c>
      <x:c r="L262" s="47">
        <x:v>20</x:v>
      </x:c>
      <x:c r="M262" s="48">
        <x:v>20</x:v>
      </x:c>
      <x:c r="N262" s="48" t="s">
        <x:v>78</x:v>
      </x:c>
      <x:c r="O262" s="48"/>
      <x:c r="Q262" s="21" t="s">
        <x:v>67</x:v>
      </x:c>
      <x:c r="R262" s="21" t="s">
        <x:v>191</x:v>
      </x:c>
      <x:c r="S262" s="47"/>
      <x:c r="T262" s="47"/>
      <x:c r="U262" s="47"/>
      <x:c r="V262" s="76">
        <x:v>-2.1051739999999999</x:v>
      </x:c>
      <x:c r="W262" s="47">
        <x:v>106.06204700000001</x:v>
      </x:c>
      <x:c r="X262" s="47"/>
      <x:c r="Y262" s="49"/>
      <x:c r="Z262" s="49"/>
      <x:c r="AA262" s="47"/>
      <x:c r="AB262" s="80"/>
      <x:c r="AC262" s="49"/>
      <x:c r="AD262" s="50">
        <x:f t="shared" si="18"/>
        <x:v>0.46511627906976744</x:v>
      </x:c>
      <x:c r="AE262" s="50">
        <x:f t="shared" si="19"/>
        <x:v>1</x:v>
      </x:c>
    </x:row>
    <x:row r="263" s="48" customFormat="1" ht="12.5">
      <x:c r="A263" s="29" t="s">
        <x:v>616</x:v>
      </x:c>
      <x:c r="B263" s="47" t="s">
        <x:v>617</x:v>
      </x:c>
      <x:c r="C263" s="48" t="s">
        <x:v>63</x:v>
      </x:c>
      <x:c r="D263" s="47" t="s">
        <x:v>64</x:v>
      </x:c>
      <x:c r="E263" s="47" t="s">
        <x:v>65</x:v>
      </x:c>
      <x:c r="F263" s="48" t="str">
        <x:v>Jl. Kulan Kampak</x:v>
      </x:c>
      <x:c r="G263" s="48" t="str">
        <x:v>CV. PBERLY'S</x:v>
      </x:c>
      <x:c r="H263" s="48" t="str">
        <x:v>Subuadi</x:v>
      </x:c>
      <x:c r="I263" s="48" t="str">
        <x:v>Asosiasi Pengembang Perumahan Indonesia (APPERINDO)</x:v>
      </x:c>
      <x:c r="J263" s="48" t="n">
        <x:v>2017</x:v>
      </x:c>
      <x:c r="K263" s="48">
        <x:v>37</x:v>
      </x:c>
      <x:c r="L263" s="47">
        <x:v>37</x:v>
      </x:c>
      <x:c r="M263" s="48">
        <x:v>37</x:v>
      </x:c>
      <x:c r="N263" s="48" t="s">
        <x:v>78</x:v>
      </x:c>
      <x:c r="O263" s="48"/>
      <x:c r="Q263" s="21" t="s">
        <x:v>67</x:v>
      </x:c>
      <x:c r="S263" s="47"/>
      <x:c r="T263" s="47"/>
      <x:c r="U263" s="47"/>
      <x:c r="V263" s="76">
        <x:v>-2.098738</x:v>
      </x:c>
      <x:c r="W263" s="47">
        <x:v>106.080535</x:v>
      </x:c>
      <x:c r="X263" s="47"/>
      <x:c r="Y263" s="49"/>
      <x:c r="Z263" s="49"/>
      <x:c r="AA263" s="47"/>
      <x:c r="AB263" s="80"/>
      <x:c r="AC263" s="49"/>
      <x:c r="AD263" s="50">
        <x:f t="shared" si="18"/>
        <x:v>1</x:v>
      </x:c>
      <x:c r="AE263" s="50">
        <x:f t="shared" si="19"/>
        <x:v>1</x:v>
      </x:c>
    </x:row>
    <x:row r="264" s="48" customFormat="1" ht="12.5">
      <x:c r="A264" s="29" t="s">
        <x:v>618</x:v>
      </x:c>
      <x:c r="B264" s="47" t="s">
        <x:v>619</x:v>
      </x:c>
      <x:c r="C264" s="48" t="s">
        <x:v>63</x:v>
      </x:c>
      <x:c r="D264" s="47" t="s">
        <x:v>86</x:v>
      </x:c>
      <x:c r="E264" s="47" t="s">
        <x:v>275</x:v>
      </x:c>
      <x:c r="F264" s="48" t="str">
        <x:v>Jl. Puri Kencana</x:v>
      </x:c>
      <x:c r="G264" s="48" t="str">
        <x:v>CV. PBERLY'S</x:v>
      </x:c>
      <x:c r="H264" s="48" t="str">
        <x:v>Subuadi</x:v>
      </x:c>
      <x:c r="I264" s="48" t="str">
        <x:v>Asosiasi Pengembang Perumahan Indonesia (APPERINDO)</x:v>
      </x:c>
      <x:c r="J264" s="48" t="n">
        <x:v>2017</x:v>
      </x:c>
      <x:c r="K264" s="48">
        <x:v>20</x:v>
      </x:c>
      <x:c r="L264" s="47">
        <x:v>12</x:v>
      </x:c>
      <x:c r="M264" s="48">
        <x:v>12</x:v>
      </x:c>
      <x:c r="N264" s="48" t="s">
        <x:v>78</x:v>
      </x:c>
      <x:c r="O264" s="48"/>
      <x:c r="Q264" s="21" t="s">
        <x:v>67</x:v>
      </x:c>
      <x:c r="S264" s="47"/>
      <x:c r="T264" s="47"/>
      <x:c r="U264" s="47"/>
      <x:c r="V264" s="76">
        <x:v>-2.0909575</x:v>
      </x:c>
      <x:c r="W264" s="47">
        <x:v>106.120243</x:v>
      </x:c>
      <x:c r="X264" s="47"/>
      <x:c r="Y264" s="49"/>
      <x:c r="Z264" s="49"/>
      <x:c r="AA264" s="47"/>
      <x:c r="AB264" s="80"/>
      <x:c r="AC264" s="49"/>
      <x:c r="AD264" s="50">
        <x:f t="shared" si="18"/>
        <x:v>0.6</x:v>
      </x:c>
      <x:c r="AE264" s="50">
        <x:f t="shared" si="19"/>
        <x:v>1</x:v>
      </x:c>
    </x:row>
    <x:row r="265" s="48" customFormat="1" ht="12.5">
      <x:c r="A265" s="29" t="s">
        <x:v>620</x:v>
      </x:c>
      <x:c r="B265" s="47" t="s">
        <x:v>621</x:v>
      </x:c>
      <x:c r="C265" s="48" t="s">
        <x:v>63</x:v>
      </x:c>
      <x:c r="D265" s="47" t="s">
        <x:v>86</x:v>
      </x:c>
      <x:c r="E265" s="47" t="s">
        <x:v>112</x:v>
      </x:c>
      <x:c r="F265" s="48" t="str">
        <x:v>Jl. Lintas Timur</x:v>
      </x:c>
      <x:c r="G265" s="48" t="str">
        <x:v>Belum Teridentifikasi</x:v>
      </x:c>
      <x:c r="H265" s="48" t="str">
        <x:v>Belum Teridentifikasi</x:v>
      </x:c>
      <x:c r="I265" s="48" t="str">
        <x:v>Belum Teridentifikasi</x:v>
      </x:c>
      <x:c r="J265" s="48" t="n">
        <x:v>2008</x:v>
      </x:c>
      <x:c r="K265" s="48">
        <x:v>102</x:v>
      </x:c>
      <x:c r="L265" s="47">
        <x:v>102</x:v>
      </x:c>
      <x:c r="M265" s="48">
        <x:v>102</x:v>
      </x:c>
      <x:c r="N265" s="48" t="s">
        <x:v>78</x:v>
      </x:c>
      <x:c r="O265" s="48"/>
      <x:c r="Q265" s="21" t="s">
        <x:v>67</x:v>
      </x:c>
      <x:c r="S265" s="47" t="s">
        <x:v>186</x:v>
      </x:c>
      <x:c r="T265" s="47"/>
      <x:c r="U265" s="47"/>
      <x:c r="V265" s="76">
        <x:v>-2.076136</x:v>
      </x:c>
      <x:c r="W265" s="47">
        <x:v>106.1255896</x:v>
      </x:c>
      <x:c r="X265" s="47"/>
      <x:c r="Y265" s="49"/>
      <x:c r="Z265" s="49"/>
      <x:c r="AA265" s="47"/>
      <x:c r="AB265" s="80"/>
      <x:c r="AC265" s="49"/>
      <x:c r="AD265" s="50">
        <x:f t="shared" si="18"/>
        <x:v>1</x:v>
      </x:c>
      <x:c r="AE265" s="50">
        <x:f t="shared" si="19"/>
        <x:v>1</x:v>
      </x:c>
    </x:row>
    <x:row r="266" s="48" customFormat="1" ht="12.5">
      <x:c r="A266" s="29" t="s">
        <x:v>622</x:v>
      </x:c>
      <x:c r="B266" s="47" t="s">
        <x:v>623</x:v>
      </x:c>
      <x:c r="C266" s="48" t="s">
        <x:v>63</x:v>
      </x:c>
      <x:c r="D266" s="47" t="s">
        <x:v>104</x:v>
      </x:c>
      <x:c r="E266" s="47" t="s">
        <x:v>209</x:v>
      </x:c>
      <x:c r="F266" s="48" t="str">
        <x:v>Jl. Depati Hamzah, Gg. Bandes</x:v>
      </x:c>
      <x:c r="G266" s="48" t="str">
        <x:v>PT. SUNGAILIAT BERKAH JAYA SENTOSA</x:v>
      </x:c>
      <x:c r="H266" s="48" t="str">
        <x:v>Hermawan Bayu Seno</x:v>
      </x:c>
      <x:c r="I266" s="48" t="str">
        <x:v>Belum Teridentifikasi</x:v>
      </x:c>
      <x:c r="J266" s="48" t="n">
        <x:v>2025</x:v>
      </x:c>
      <x:c r="K266" s="48">
        <x:v>47</x:v>
      </x:c>
      <x:c r="L266" s="47">
        <x:v>5</x:v>
      </x:c>
      <x:c r="M266" s="48">
        <x:v>0</x:v>
      </x:c>
      <x:c r="N266" s="48" t="s">
        <x:v>78</x:v>
      </x:c>
      <x:c r="O266" s="48"/>
      <x:c r="Q266" s="21" t="s">
        <x:v>67</x:v>
      </x:c>
      <x:c r="R266" s="48" t="s">
        <x:v>108</x:v>
      </x:c>
      <x:c r="S266" s="47"/>
      <x:c r="T266" s="47"/>
      <x:c r="U266" s="47"/>
      <x:c r="V266" s="76"/>
      <x:c r="W266" s="47"/>
      <x:c r="X266" s="47"/>
      <x:c r="Y266" s="49"/>
      <x:c r="Z266" s="49"/>
      <x:c r="AA266" s="47"/>
      <x:c r="AB266" s="80"/>
      <x:c r="AC266" s="49"/>
      <x:c r="AD266" s="50">
        <x:f t="shared" si="18"/>
        <x:v>0.10638297872340426</x:v>
      </x:c>
      <x:c r="AE266" s="50">
        <x:f t="shared" si="19"/>
        <x:v>0</x:v>
      </x:c>
    </x:row>
    <x:row r="267" s="48" customFormat="1" ht="12.5">
      <x:c r="A267" s="29" t="s">
        <x:v>624</x:v>
      </x:c>
      <x:c r="B267" s="47" t="s">
        <x:v>625</x:v>
      </x:c>
      <x:c r="C267" s="48" t="s">
        <x:v>63</x:v>
      </x:c>
      <x:c r="D267" s="47" t="s">
        <x:v>122</x:v>
      </x:c>
      <x:c r="E267" s="47" t="s">
        <x:v>216</x:v>
      </x:c>
      <x:c r="F267" s="48" t="str">
        <x:v>Jl. Rustam Efendi</x:v>
      </x:c>
      <x:c r="G267" s="48" t="str">
        <x:v>Belum Teridentifikasi</x:v>
      </x:c>
      <x:c r="H267" s="48" t="str">
        <x:v>Belum Teridentifikasi</x:v>
      </x:c>
      <x:c r="I267" s="48" t="str">
        <x:v>Pengembang Indonesia (PI)</x:v>
      </x:c>
      <x:c r="J267" s="48" t="n">
        <x:v>2016</x:v>
      </x:c>
      <x:c r="K267" s="48">
        <x:v>23</x:v>
      </x:c>
      <x:c r="L267" s="47">
        <x:v>23</x:v>
      </x:c>
      <x:c r="M267" s="48">
        <x:v>23</x:v>
      </x:c>
      <x:c r="N267" s="48" t="s">
        <x:v>78</x:v>
      </x:c>
      <x:c r="O267" s="48"/>
      <x:c r="Q267" s="21" t="s">
        <x:v>67</x:v>
      </x:c>
      <x:c r="S267" s="47"/>
      <x:c r="T267" s="47"/>
      <x:c r="U267" s="47"/>
      <x:c r="V267" s="76">
        <x:v>-2.0918006</x:v>
      </x:c>
      <x:c r="W267" s="47">
        <x:v>106.12090499999999</x:v>
      </x:c>
      <x:c r="X267" s="47"/>
      <x:c r="Y267" s="49"/>
      <x:c r="Z267" s="49"/>
      <x:c r="AA267" s="47"/>
      <x:c r="AB267" s="80"/>
      <x:c r="AC267" s="49"/>
      <x:c r="AD267" s="50">
        <x:f t="shared" si="18"/>
        <x:v>1</x:v>
      </x:c>
      <x:c r="AE267" s="50">
        <x:f t="shared" si="19"/>
        <x:v>1</x:v>
      </x:c>
    </x:row>
    <x:row r="268" s="48" customFormat="1" ht="12.5">
      <x:c r="A268" s="29" t="s">
        <x:v>626</x:v>
      </x:c>
      <x:c r="B268" s="47" t="s">
        <x:v>627</x:v>
      </x:c>
      <x:c r="C268" s="48" t="s">
        <x:v>63</x:v>
      </x:c>
      <x:c r="D268" s="47" t="s">
        <x:v>122</x:v>
      </x:c>
      <x:c r="E268" s="47" t="s">
        <x:v>216</x:v>
      </x:c>
      <x:c r="F268" s="48" t="str">
        <x:v>Jl. Rustam Efendi</x:v>
      </x:c>
      <x:c r="G268" s="48" t="str">
        <x:v>PT . BANGKA CIPTA MANDIRI</x:v>
      </x:c>
      <x:c r="H268" s="48" t="str">
        <x:v>Yuswan</x:v>
      </x:c>
      <x:c r="I268" s="48" t="str">
        <x:v>Pengembang Indonesia (PI)</x:v>
      </x:c>
      <x:c r="J268" s="48" t="n">
        <x:v>2017</x:v>
      </x:c>
      <x:c r="K268" s="48">
        <x:v>135</x:v>
      </x:c>
      <x:c r="L268" s="47">
        <x:v>135</x:v>
      </x:c>
      <x:c r="M268" s="48">
        <x:v>135</x:v>
      </x:c>
      <x:c r="N268" s="48" t="s">
        <x:v>78</x:v>
      </x:c>
      <x:c r="O268" s="48"/>
      <x:c r="Q268" s="21" t="s">
        <x:v>67</x:v>
      </x:c>
      <x:c r="S268" s="47"/>
      <x:c r="T268" s="47"/>
      <x:c r="U268" s="47"/>
      <x:c r="V268" s="76">
        <x:v>-2.0912660000000001</x:v>
      </x:c>
      <x:c r="W268" s="47">
        <x:v>106.120482</x:v>
      </x:c>
      <x:c r="X268" s="47"/>
      <x:c r="Y268" s="49"/>
      <x:c r="Z268" s="49"/>
      <x:c r="AA268" s="47"/>
      <x:c r="AB268" s="80"/>
      <x:c r="AC268" s="49"/>
      <x:c r="AD268" s="50">
        <x:f t="shared" si="18"/>
        <x:v>1</x:v>
      </x:c>
      <x:c r="AE268" s="50">
        <x:f t="shared" si="19"/>
        <x:v>1</x:v>
      </x:c>
    </x:row>
    <x:row r="269" s="48" customFormat="1" ht="12.5">
      <x:c r="A269" s="29" t="s">
        <x:v>628</x:v>
      </x:c>
      <x:c r="B269" s="47" t="s">
        <x:v>629</x:v>
      </x:c>
      <x:c r="C269" s="48" t="s">
        <x:v>63</x:v>
      </x:c>
      <x:c r="D269" s="47" t="s">
        <x:v>104</x:v>
      </x:c>
      <x:c r="E269" s="47" t="s">
        <x:v>141</x:v>
      </x:c>
      <x:c r="F269" s="48" t="str">
        <x:v>Jl. Tanjung Bunga</x:v>
      </x:c>
      <x:c r="G269" s="48" t="str">
        <x:v>PT.SUMBER MAS PRATAMA</x:v>
      </x:c>
      <x:c r="H269" s="48" t="str">
        <x:v>Selly</x:v>
      </x:c>
      <x:c r="I269" s="48" t="str">
        <x:v>Pengembang Indonesia (PI)</x:v>
      </x:c>
      <x:c r="J269" s="48" t="n">
        <x:v>2018</x:v>
      </x:c>
      <x:c r="K269" s="48">
        <x:v>87</x:v>
      </x:c>
      <x:c r="L269" s="47">
        <x:v>87</x:v>
      </x:c>
      <x:c r="M269" s="48">
        <x:v>87</x:v>
      </x:c>
      <x:c r="N269" s="48" t="s">
        <x:v>78</x:v>
      </x:c>
      <x:c r="O269" s="48"/>
      <x:c r="Q269" s="21" t="s">
        <x:v>67</x:v>
      </x:c>
      <x:c r="S269" s="47"/>
      <x:c r="T269" s="47"/>
      <x:c r="U269" s="47"/>
      <x:c r="V269" s="76">
        <x:v>-2.1379876000000002</x:v>
      </x:c>
      <x:c r="W269" s="47">
        <x:v>106.168387</x:v>
      </x:c>
      <x:c r="X269" s="47"/>
      <x:c r="Y269" s="49"/>
      <x:c r="Z269" s="49"/>
      <x:c r="AA269" s="47"/>
      <x:c r="AB269" s="80"/>
      <x:c r="AC269" s="49"/>
      <x:c r="AD269" s="50">
        <x:f t="shared" si="18"/>
        <x:v>1</x:v>
      </x:c>
      <x:c r="AE269" s="50">
        <x:f t="shared" si="19"/>
        <x:v>1</x:v>
      </x:c>
    </x:row>
    <x:row r="270" s="48" customFormat="1" ht="12.5">
      <x:c r="A270" s="29" t="s">
        <x:v>630</x:v>
      </x:c>
      <x:c r="B270" s="47" t="s">
        <x:v>631</x:v>
      </x:c>
      <x:c r="C270" s="48" t="s">
        <x:v>63</x:v>
      </x:c>
      <x:c r="D270" s="47" t="s">
        <x:v>104</x:v>
      </x:c>
      <x:c r="E270" s="47" t="s">
        <x:v>141</x:v>
      </x:c>
      <x:c r="F270" s="48" t="str">
        <x:v>Jl. Laksamana Hayati</x:v>
      </x:c>
      <x:c r="G270" s="48" t="str">
        <x:v>PT. SUMBER MAS PRATAMA</x:v>
      </x:c>
      <x:c r="H270" s="48" t="str">
        <x:v>Selly</x:v>
      </x:c>
      <x:c r="I270" s="48" t="str">
        <x:v>Pengembang Indonesia (PI)</x:v>
      </x:c>
      <x:c r="J270" s="48" t="n">
        <x:v>2020</x:v>
      </x:c>
      <x:c r="K270" s="48">
        <x:v>90</x:v>
      </x:c>
      <x:c r="L270" s="47">
        <x:v>88</x:v>
      </x:c>
      <x:c r="M270" s="48">
        <x:v>87</x:v>
      </x:c>
      <x:c r="N270" s="48" t="s">
        <x:v>78</x:v>
      </x:c>
      <x:c r="O270" s="48"/>
      <x:c r="Q270" s="21" t="s">
        <x:v>67</x:v>
      </x:c>
      <x:c r="S270" s="47"/>
      <x:c r="T270" s="47"/>
      <x:c r="U270" s="47"/>
      <x:c r="V270" s="76">
        <x:v>-2.1226579000000001</x:v>
      </x:c>
      <x:c r="W270" s="47">
        <x:v>106.1613675</x:v>
      </x:c>
      <x:c r="X270" s="47"/>
      <x:c r="Y270" s="49"/>
      <x:c r="Z270" s="49"/>
      <x:c r="AA270" s="47"/>
      <x:c r="AB270" s="80"/>
      <x:c r="AC270" s="49"/>
      <x:c r="AD270" s="50">
        <x:f t="shared" si="18"/>
        <x:v>0.97777777777777775</x:v>
      </x:c>
      <x:c r="AE270" s="50">
        <x:f t="shared" si="19"/>
        <x:v>0.98863636363636365</x:v>
      </x:c>
    </x:row>
    <x:row r="271" s="48" customFormat="1" ht="12.5">
      <x:c r="A271" s="29" t="s">
        <x:v>632</x:v>
      </x:c>
      <x:c r="B271" s="47" t="s">
        <x:v>633</x:v>
      </x:c>
      <x:c r="C271" s="48" t="s">
        <x:v>63</x:v>
      </x:c>
      <x:c r="D271" s="47" t="s">
        <x:v>104</x:v>
      </x:c>
      <x:c r="E271" s="47" t="s">
        <x:v>141</x:v>
      </x:c>
      <x:c r="F271" s="48" t="str">
        <x:v>Jl. Tanjung Bunga</x:v>
      </x:c>
      <x:c r="G271" s="48" t="str">
        <x:v>PT. SUMBER MAS PRATAMA</x:v>
      </x:c>
      <x:c r="H271" s="48" t="str">
        <x:v>Selly</x:v>
      </x:c>
      <x:c r="I271" s="48" t="str">
        <x:v>Pengembang Indonesia (PI)</x:v>
      </x:c>
      <x:c r="J271" s="48" t="n">
        <x:v>2020</x:v>
      </x:c>
      <x:c r="K271" s="48">
        <x:v>103</x:v>
      </x:c>
      <x:c r="L271" s="47">
        <x:v>101</x:v>
      </x:c>
      <x:c r="M271" s="48">
        <x:v>99</x:v>
      </x:c>
      <x:c r="N271" s="48" t="s">
        <x:v>78</x:v>
      </x:c>
      <x:c r="O271" s="48"/>
      <x:c r="Q271" s="21" t="s">
        <x:v>67</x:v>
      </x:c>
      <x:c r="S271" s="47"/>
      <x:c r="T271" s="47"/>
      <x:c r="U271" s="47"/>
      <x:c r="V271" s="76">
        <x:v>-2.1379977000000001</x:v>
      </x:c>
      <x:c r="W271" s="47">
        <x:v>106.17180449999999</x:v>
      </x:c>
      <x:c r="X271" s="47"/>
      <x:c r="Y271" s="49"/>
      <x:c r="Z271" s="49"/>
      <x:c r="AA271" s="47"/>
      <x:c r="AB271" s="80"/>
      <x:c r="AC271" s="49"/>
      <x:c r="AD271" s="50">
        <x:f t="shared" si="18"/>
        <x:v>0.98058252427184467</x:v>
      </x:c>
      <x:c r="AE271" s="50">
        <x:f t="shared" si="19"/>
        <x:v>0.98019801980198018</x:v>
      </x:c>
    </x:row>
    <x:row r="272" s="48" customFormat="1" ht="12.5">
      <x:c r="A272" s="29" t="s">
        <x:v>634</x:v>
      </x:c>
      <x:c r="B272" s="47" t="s">
        <x:v>635</x:v>
      </x:c>
      <x:c r="C272" s="48" t="s">
        <x:v>63</x:v>
      </x:c>
      <x:c r="D272" s="47" t="s">
        <x:v>64</x:v>
      </x:c>
      <x:c r="E272" s="47" t="s">
        <x:v>65</x:v>
      </x:c>
      <x:c r="F272" s="48" t="str">
        <x:v>Jl. Kampung Melayu</x:v>
      </x:c>
      <x:c r="G272" s="48" t="str">
        <x:v>PT. SUMBER MAS PRATAMA</x:v>
      </x:c>
      <x:c r="H272" s="48" t="str">
        <x:v>Feri Sardani</x:v>
      </x:c>
      <x:c r="I272" s="48" t="str">
        <x:v>Pengembang Indonesia (PI)</x:v>
      </x:c>
      <x:c r="J272" s="48" t="n">
        <x:v>2023</x:v>
      </x:c>
      <x:c r="K272" s="48">
        <x:v>49</x:v>
      </x:c>
      <x:c r="L272" s="47">
        <x:v>49</x:v>
      </x:c>
      <x:c r="M272" s="48">
        <x:v>49</x:v>
      </x:c>
      <x:c r="N272" s="48" t="s">
        <x:v>78</x:v>
      </x:c>
      <x:c r="O272" s="48"/>
      <x:c r="Q272" s="21" t="s">
        <x:v>67</x:v>
      </x:c>
      <x:c r="S272" s="47"/>
      <x:c r="T272" s="47"/>
      <x:c r="U272" s="47"/>
      <x:c r="V272" s="76">
        <x:v>-2.1036215</x:v>
      </x:c>
      <x:c r="W272" s="47">
        <x:v>106.0576501</x:v>
      </x:c>
      <x:c r="X272" s="47"/>
      <x:c r="Y272" s="49"/>
      <x:c r="Z272" s="49"/>
      <x:c r="AA272" s="47"/>
      <x:c r="AB272" s="80"/>
      <x:c r="AC272" s="49"/>
      <x:c r="AD272" s="50">
        <x:f t="shared" si="18"/>
        <x:v>1</x:v>
      </x:c>
      <x:c r="AE272" s="50">
        <x:f t="shared" si="19"/>
        <x:v>1</x:v>
      </x:c>
    </x:row>
    <x:row r="273" s="48" customFormat="1" ht="12.5">
      <x:c r="A273" s="29" t="s">
        <x:v>636</x:v>
      </x:c>
      <x:c r="B273" s="47" t="s">
        <x:v>637</x:v>
      </x:c>
      <x:c r="C273" s="48" t="s">
        <x:v>63</x:v>
      </x:c>
      <x:c r="D273" s="47" t="s">
        <x:v>122</x:v>
      </x:c>
      <x:c r="E273" s="47" t="s">
        <x:v>216</x:v>
      </x:c>
      <x:c r="F273" s="48" t="str">
        <x:v>Jl. Rustam Efendi</x:v>
      </x:c>
      <x:c r="G273" s="48" t="str">
        <x:v>PT. SUMBER MAS PRATAMA</x:v>
      </x:c>
      <x:c r="H273" s="48" t="str">
        <x:v>Muhammad Rizki Ramadhan</x:v>
      </x:c>
      <x:c r="I273" s="48" t="str">
        <x:v>Pengembang Indonesia (PI)</x:v>
      </x:c>
      <x:c r="J273" s="48" t="n">
        <x:v>2023</x:v>
      </x:c>
      <x:c r="K273" s="48">
        <x:v>72</x:v>
      </x:c>
      <x:c r="L273" s="47">
        <x:v>72</x:v>
      </x:c>
      <x:c r="M273" s="48">
        <x:v>72</x:v>
      </x:c>
      <x:c r="N273" s="48" t="s">
        <x:v>78</x:v>
      </x:c>
      <x:c r="O273" s="48"/>
      <x:c r="Q273" s="21" t="s">
        <x:v>67</x:v>
      </x:c>
      <x:c r="S273" s="47"/>
      <x:c r="T273" s="47"/>
      <x:c r="U273" s="47"/>
      <x:c r="V273" s="76">
        <x:v>-2.092371</x:v>
      </x:c>
      <x:c r="W273" s="47">
        <x:v>106.12151299999999</x:v>
      </x:c>
      <x:c r="X273" s="47"/>
      <x:c r="Y273" s="49"/>
      <x:c r="Z273" s="49"/>
      <x:c r="AA273" s="47"/>
      <x:c r="AB273" s="80"/>
      <x:c r="AC273" s="49"/>
      <x:c r="AD273" s="50">
        <x:f t="shared" si="18"/>
        <x:v>1</x:v>
      </x:c>
      <x:c r="AE273" s="50">
        <x:f t="shared" si="19"/>
        <x:v>1</x:v>
      </x:c>
    </x:row>
    <x:row r="274" s="48" customFormat="1" ht="12.5">
      <x:c r="A274" s="29" t="s">
        <x:v>638</x:v>
      </x:c>
      <x:c r="B274" s="47" t="s">
        <x:v>639</x:v>
      </x:c>
      <x:c r="C274" s="48" t="s">
        <x:v>63</x:v>
      </x:c>
      <x:c r="D274" s="47" t="s">
        <x:v>122</x:v>
      </x:c>
      <x:c r="E274" s="47" t="s">
        <x:v>216</x:v>
      </x:c>
      <x:c r="F274" s="48" t="str">
        <x:v>Jl. Rustam Efendi</x:v>
      </x:c>
      <x:c r="G274" s="48" t="str">
        <x:v>PT. SUMBER MAS PRATAMA</x:v>
      </x:c>
      <x:c r="H274" s="48" t="str">
        <x:v>Muhammad Rizki Ramadhan</x:v>
      </x:c>
      <x:c r="I274" s="48" t="str">
        <x:v>Pengembang Indonesia (PI)</x:v>
      </x:c>
      <x:c r="J274" s="48" t="n">
        <x:v>2023</x:v>
      </x:c>
      <x:c r="K274" s="48">
        <x:v>124</x:v>
      </x:c>
      <x:c r="L274" s="47">
        <x:v>124</x:v>
      </x:c>
      <x:c r="M274" s="48">
        <x:v>124</x:v>
      </x:c>
      <x:c r="N274" s="48" t="s">
        <x:v>78</x:v>
      </x:c>
      <x:c r="O274" s="48"/>
      <x:c r="Q274" s="21" t="s">
        <x:v>67</x:v>
      </x:c>
      <x:c r="S274" s="47"/>
      <x:c r="T274" s="47"/>
      <x:c r="U274" s="47"/>
      <x:c r="V274" s="76">
        <x:v>-2.0902560000000001</x:v>
      </x:c>
      <x:c r="W274" s="47">
        <x:v>106.12343199999999</x:v>
      </x:c>
      <x:c r="X274" s="47"/>
      <x:c r="Y274" s="49"/>
      <x:c r="Z274" s="49"/>
      <x:c r="AA274" s="47"/>
      <x:c r="AB274" s="80"/>
      <x:c r="AC274" s="49"/>
      <x:c r="AD274" s="50">
        <x:f t="shared" si="18"/>
        <x:v>1</x:v>
      </x:c>
      <x:c r="AE274" s="50">
        <x:f t="shared" si="19"/>
        <x:v>1</x:v>
      </x:c>
    </x:row>
    <x:row r="275" s="48" customFormat="1" ht="12.5">
      <x:c r="A275" s="29" t="s">
        <x:v>640</x:v>
      </x:c>
      <x:c r="B275" s="47" t="s">
        <x:v>641</x:v>
      </x:c>
      <x:c r="C275" s="48" t="s">
        <x:v>63</x:v>
      </x:c>
      <x:c r="D275" s="47" t="s">
        <x:v>104</x:v>
      </x:c>
      <x:c r="E275" s="47" t="s">
        <x:v>117</x:v>
      </x:c>
      <x:c r="F275" s="48" t="str">
        <x:v>Jl. Depati Hamzah</x:v>
      </x:c>
      <x:c r="G275" s="48" t="str">
        <x:v>PT. SUMBER MAS PRATAMA</x:v>
      </x:c>
      <x:c r="H275" s="48" t="str">
        <x:v>Muhammad Rizki Ramadhan</x:v>
      </x:c>
      <x:c r="I275" s="48" t="str">
        <x:v>Pengembang Indonesia (PI)</x:v>
      </x:c>
      <x:c r="J275" s="48" t="n">
        <x:v>2023</x:v>
      </x:c>
      <x:c r="K275" s="48">
        <x:v>114</x:v>
      </x:c>
      <x:c r="L275" s="47">
        <x:v>107</x:v>
      </x:c>
      <x:c r="M275" s="48">
        <x:v>99</x:v>
      </x:c>
      <x:c r="N275" s="48" t="s">
        <x:v>78</x:v>
      </x:c>
      <x:c r="O275" s="48"/>
      <x:c r="Q275" s="21" t="s">
        <x:v>67</x:v>
      </x:c>
      <x:c r="S275" s="47"/>
      <x:c r="T275" s="47"/>
      <x:c r="U275" s="47"/>
      <x:c r="V275" s="76">
        <x:v>-2.1461264999999998</x:v>
      </x:c>
      <x:c r="W275" s="47">
        <x:v>106.16679739999999</x:v>
      </x:c>
      <x:c r="X275" s="47"/>
      <x:c r="Y275" s="49"/>
      <x:c r="Z275" s="49"/>
      <x:c r="AA275" s="47"/>
      <x:c r="AB275" s="80"/>
      <x:c r="AC275" s="49"/>
      <x:c r="AD275" s="50">
        <x:f t="shared" si="18"/>
        <x:v>0.93859649122807021</x:v>
      </x:c>
      <x:c r="AE275" s="50">
        <x:f t="shared" si="19"/>
        <x:v>0.92523364485981308</x:v>
      </x:c>
    </x:row>
    <x:row r="276" s="48" customFormat="1" ht="12.5">
      <x:c r="A276" s="29" t="s">
        <x:v>642</x:v>
      </x:c>
      <x:c r="B276" s="47" t="s">
        <x:v>643</x:v>
      </x:c>
      <x:c r="C276" s="48" t="s">
        <x:v>63</x:v>
      </x:c>
      <x:c r="D276" s="47" t="s">
        <x:v>64</x:v>
      </x:c>
      <x:c r="E276" s="47" t="s">
        <x:v>65</x:v>
      </x:c>
      <x:c r="F276" s="48" t="str">
        <x:v>Jl. Kampung Melayu</x:v>
      </x:c>
      <x:c r="G276" s="48" t="str">
        <x:v>PT. SUMBER MAS PRATAMA</x:v>
      </x:c>
      <x:c r="H276" s="48" t="str">
        <x:v>Belum Teridentifikasi</x:v>
      </x:c>
      <x:c r="I276" s="48" t="str">
        <x:v>Belum Teridentifikasi</x:v>
      </x:c>
      <x:c r="J276" s="48" t="n">
        <x:v>2024</x:v>
      </x:c>
      <x:c r="K276" s="48">
        <x:v>128</x:v>
      </x:c>
      <x:c r="L276" s="47">
        <x:v>46</x:v>
      </x:c>
      <x:c r="M276" s="48">
        <x:v>10</x:v>
      </x:c>
      <x:c r="N276" s="48" t="s">
        <x:v>78</x:v>
      </x:c>
      <x:c r="O276" s="48"/>
      <x:c r="Q276" s="21" t="s">
        <x:v>67</x:v>
      </x:c>
      <x:c r="S276" s="47"/>
      <x:c r="T276" s="47"/>
      <x:c r="U276" s="47"/>
      <x:c r="V276" s="76">
        <x:v>-2.1040605000000001</x:v>
      </x:c>
      <x:c r="W276" s="47">
        <x:v>106.05412440000001</x:v>
      </x:c>
      <x:c r="X276" s="47"/>
      <x:c r="Y276" s="49"/>
      <x:c r="Z276" s="49"/>
      <x:c r="AA276" s="47"/>
      <x:c r="AB276" s="80"/>
      <x:c r="AC276" s="49"/>
      <x:c r="AD276" s="50">
        <x:f t="shared" si="18"/>
        <x:v>0.359375</x:v>
      </x:c>
      <x:c r="AE276" s="50">
        <x:f t="shared" si="19"/>
        <x:v>0.21739130434782608</x:v>
      </x:c>
    </x:row>
    <x:row r="277" s="48" customFormat="1" ht="12.5">
      <x:c r="A277" s="29" t="s">
        <x:v>644</x:v>
      </x:c>
      <x:c r="B277" s="47" t="s">
        <x:v>645</x:v>
      </x:c>
      <x:c r="C277" s="48" t="s">
        <x:v>63</x:v>
      </x:c>
      <x:c r="D277" s="47" t="s">
        <x:v>64</x:v>
      </x:c>
      <x:c r="E277" s="47" t="s">
        <x:v>65</x:v>
      </x:c>
      <x:c r="F277" s="48" t="str">
        <x:v>Jl. Fatmawati Gg. Kulan</x:v>
      </x:c>
      <x:c r="G277" s="48" t="str">
        <x:v>PT. BABELINDO NUSANTARA PRIMA</x:v>
      </x:c>
      <x:c r="H277" s="48" t="str">
        <x:v>Muksen</x:v>
      </x:c>
      <x:c r="I277" s="48" t="str">
        <x:v>Belum Teridentifikasi</x:v>
      </x:c>
      <x:c r="J277" s="48" t="n">
        <x:v>2017</x:v>
      </x:c>
      <x:c r="K277" s="48">
        <x:v>75</x:v>
      </x:c>
      <x:c r="L277" s="47">
        <x:v>75</x:v>
      </x:c>
      <x:c r="M277" s="48">
        <x:v>75</x:v>
      </x:c>
      <x:c r="N277" s="48" t="s">
        <x:v>78</x:v>
      </x:c>
      <x:c r="O277" s="48"/>
      <x:c r="Q277" s="21" t="s">
        <x:v>67</x:v>
      </x:c>
      <x:c r="S277" s="47"/>
      <x:c r="T277" s="47"/>
      <x:c r="U277" s="47"/>
      <x:c r="V277" s="76">
        <x:v>-2.0974035999999998</x:v>
      </x:c>
      <x:c r="W277" s="47">
        <x:v>106.08062150000001</x:v>
      </x:c>
      <x:c r="X277" s="47"/>
      <x:c r="Y277" s="49"/>
      <x:c r="Z277" s="49"/>
      <x:c r="AA277" s="47"/>
      <x:c r="AB277" s="80"/>
      <x:c r="AC277" s="49"/>
      <x:c r="AD277" s="50" t="n">
        <x:f t="shared" ref="AD277:AD308" si="20">IF(A277="","",IFERROR(L277/K277,0))</x:f>
        <x:v>1</x:v>
      </x:c>
      <x:c r="AE277" s="50" t="n">
        <x:f t="shared" ref="AE277:AE308" si="21">IF(A277="","",IFERROR(M277/L277,0))</x:f>
        <x:v>1</x:v>
      </x:c>
    </x:row>
    <x:row r="278" s="48" customFormat="1" ht="12.5">
      <x:c r="A278" s="29" t="s">
        <x:v>646</x:v>
      </x:c>
      <x:c r="B278" s="47" t="s">
        <x:v>647</x:v>
      </x:c>
      <x:c r="C278" s="48" t="s">
        <x:v>63</x:v>
      </x:c>
      <x:c r="D278" s="47" t="s">
        <x:v>64</x:v>
      </x:c>
      <x:c r="E278" s="47" t="s">
        <x:v>65</x:v>
      </x:c>
      <x:c r="F278" s="48" t="str">
        <x:v>Jl. Fatmawati Gg. Kulan</x:v>
      </x:c>
      <x:c r="G278" s="48" t="str">
        <x:v>PT. BABELINDO NUSANTARA PRIMA</x:v>
      </x:c>
      <x:c r="H278" s="48" t="str">
        <x:v>Muksen</x:v>
      </x:c>
      <x:c r="I278" s="48" t="str">
        <x:v>Belum Teridentifikasi</x:v>
      </x:c>
      <x:c r="J278" s="48" t="n">
        <x:v>2018</x:v>
      </x:c>
      <x:c r="K278" s="48">
        <x:v>17</x:v>
      </x:c>
      <x:c r="L278" s="47">
        <x:v>17</x:v>
      </x:c>
      <x:c r="M278" s="48">
        <x:v>17</x:v>
      </x:c>
      <x:c r="N278" s="48" t="s">
        <x:v>78</x:v>
      </x:c>
      <x:c r="O278" s="48"/>
      <x:c r="Q278" s="21" t="s">
        <x:v>67</x:v>
      </x:c>
      <x:c r="S278" s="47"/>
      <x:c r="T278" s="47"/>
      <x:c r="U278" s="47"/>
      <x:c r="V278" s="76">
        <x:v>-2.0972580000000001</x:v>
      </x:c>
      <x:c r="W278" s="47">
        <x:v>106.08021100000001</x:v>
      </x:c>
      <x:c r="X278" s="47"/>
      <x:c r="Y278" s="49"/>
      <x:c r="Z278" s="49"/>
      <x:c r="AA278" s="47"/>
      <x:c r="AB278" s="80"/>
      <x:c r="AC278" s="49"/>
      <x:c r="AD278" s="50">
        <x:f t="shared" si="20"/>
        <x:v>1</x:v>
      </x:c>
      <x:c r="AE278" s="50">
        <x:f t="shared" si="21"/>
        <x:v>1</x:v>
      </x:c>
    </x:row>
    <x:row r="279" s="48" customFormat="1" ht="12.5">
      <x:c r="A279" s="29" t="s">
        <x:v>648</x:v>
      </x:c>
      <x:c r="B279" s="47" t="s">
        <x:v>649</x:v>
      </x:c>
      <x:c r="C279" s="48" t="s">
        <x:v>63</x:v>
      </x:c>
      <x:c r="D279" s="47" t="s">
        <x:v>104</x:v>
      </x:c>
      <x:c r="E279" s="47" t="s">
        <x:v>209</x:v>
      </x:c>
      <x:c r="F279" s="48" t="str">
        <x:v>Jl. Pasir Padi</x:v>
      </x:c>
      <x:c r="G279" s="48" t="str">
        <x:v>PT. GIBSI HMS SEJAHTERA PERSADA</x:v>
      </x:c>
      <x:c r="H279" s="48" t="str">
        <x:v>M. Dollar</x:v>
      </x:c>
      <x:c r="I279" s="48" t="str">
        <x:v>Real Estate Indonesia (REI)</x:v>
      </x:c>
      <x:c r="J279" s="48" t="n">
        <x:v>2021</x:v>
      </x:c>
      <x:c r="K279" s="48">
        <x:v>176</x:v>
      </x:c>
      <x:c r="L279" s="47">
        <x:v>160</x:v>
      </x:c>
      <x:c r="M279" s="48">
        <x:v>159</x:v>
      </x:c>
      <x:c r="N279" s="48" t="s">
        <x:v>78</x:v>
      </x:c>
      <x:c r="O279" s="48"/>
      <x:c r="Q279" s="21" t="s">
        <x:v>67</x:v>
      </x:c>
      <x:c r="S279" s="47"/>
      <x:c r="T279" s="47"/>
      <x:c r="U279" s="47"/>
      <x:c r="V279" s="76">
        <x:v>-2.135602</x:v>
      </x:c>
      <x:c r="W279" s="47">
        <x:v>106.15954600000001</x:v>
      </x:c>
      <x:c r="X279" s="47"/>
      <x:c r="Y279" s="49"/>
      <x:c r="Z279" s="49"/>
      <x:c r="AA279" s="47"/>
      <x:c r="AB279" s="80"/>
      <x:c r="AC279" s="49"/>
      <x:c r="AD279" s="50">
        <x:f t="shared" si="20"/>
        <x:v>0.90909090909090906</x:v>
      </x:c>
      <x:c r="AE279" s="50">
        <x:f t="shared" si="21"/>
        <x:v>0.99375000000000002</x:v>
      </x:c>
    </x:row>
    <x:row r="280" s="48" customFormat="1" ht="12.5">
      <x:c r="A280" s="29" t="s">
        <x:v>650</x:v>
      </x:c>
      <x:c r="B280" s="47" t="s">
        <x:v>651</x:v>
      </x:c>
      <x:c r="C280" s="48" t="s">
        <x:v>179</x:v>
      </x:c>
      <x:c r="D280" s="47" t="s">
        <x:v>122</x:v>
      </x:c>
      <x:c r="E280" s="47" t="s">
        <x:v>216</x:v>
      </x:c>
      <x:c r="F280" s="48" t="str">
        <x:v>Jl. Puri Kencana</x:v>
      </x:c>
      <x:c r="G280" s="48" t="str">
        <x:v>Belum Teridentifikasi</x:v>
      </x:c>
      <x:c r="H280" s="48" t="str">
        <x:v>Edward</x:v>
      </x:c>
      <x:c r="I280" s="48" t="str">
        <x:v>Belum Teridentifikasi</x:v>
      </x:c>
      <x:c r="J280" s="48" t="n">
        <x:v>2009</x:v>
      </x:c>
      <x:c r="K280" s="48">
        <x:v>28</x:v>
      </x:c>
      <x:c r="L280" s="47">
        <x:v>28</x:v>
      </x:c>
      <x:c r="M280" s="48">
        <x:v>28</x:v>
      </x:c>
      <x:c r="N280" s="48" t="s">
        <x:v>78</x:v>
      </x:c>
      <x:c r="O280" s="48"/>
      <x:c r="Q280" s="21" t="s">
        <x:v>67</x:v>
      </x:c>
      <x:c r="S280" s="47"/>
      <x:c r="T280" s="47"/>
      <x:c r="U280" s="47"/>
      <x:c r="V280" s="76">
        <x:v>-2.0898496</x:v>
      </x:c>
      <x:c r="W280" s="47">
        <x:v>106.119711</x:v>
      </x:c>
      <x:c r="X280" s="47"/>
      <x:c r="Y280" s="49"/>
      <x:c r="Z280" s="49"/>
      <x:c r="AA280" s="47"/>
      <x:c r="AB280" s="80"/>
      <x:c r="AC280" s="49"/>
      <x:c r="AD280" s="50">
        <x:f t="shared" si="20"/>
        <x:v>1</x:v>
      </x:c>
      <x:c r="AE280" s="50">
        <x:f t="shared" si="21"/>
        <x:v>1</x:v>
      </x:c>
    </x:row>
    <x:row r="281" s="48" customFormat="1" ht="12.5">
      <x:c r="A281" s="29" t="s">
        <x:v>652</x:v>
      </x:c>
      <x:c r="B281" s="47" t="s">
        <x:v>653</x:v>
      </x:c>
      <x:c r="C281" s="48" t="s">
        <x:v>63</x:v>
      </x:c>
      <x:c r="D281" s="47" t="s">
        <x:v>64</x:v>
      </x:c>
      <x:c r="E281" s="47" t="s">
        <x:v>73</x:v>
      </x:c>
      <x:c r="F281" s="48" t="str">
        <x:v>Jl. Gerunggang</x:v>
      </x:c>
      <x:c r="G281" s="48" t="str">
        <x:v>PT. MAHA KARYA KREASI</x:v>
      </x:c>
      <x:c r="H281" s="48" t="str">
        <x:v>Romitama Purwanto Wibowo</x:v>
      </x:c>
      <x:c r="I281" s="48" t="str">
        <x:v>Belum Teridentifikasi</x:v>
      </x:c>
      <x:c r="J281" s="48" t="n">
        <x:v>2017</x:v>
      </x:c>
      <x:c r="K281" s="48">
        <x:v>52</x:v>
      </x:c>
      <x:c r="L281" s="47">
        <x:v>12</x:v>
      </x:c>
      <x:c r="M281" s="48">
        <x:v>12</x:v>
      </x:c>
      <x:c r="N281" s="48" t="s">
        <x:v>78</x:v>
      </x:c>
      <x:c r="O281" s="48"/>
      <x:c r="Q281" s="21" t="s">
        <x:v>67</x:v>
      </x:c>
      <x:c r="R281" s="48" t="s">
        <x:v>108</x:v>
      </x:c>
      <x:c r="S281" s="47"/>
      <x:c r="T281" s="47"/>
      <x:c r="U281" s="47"/>
      <x:c r="V281" s="76">
        <x:v>-2.1179367</x:v>
      </x:c>
      <x:c r="W281" s="47">
        <x:v>106.0683732</x:v>
      </x:c>
      <x:c r="X281" s="47"/>
      <x:c r="Y281" s="49"/>
      <x:c r="Z281" s="49"/>
      <x:c r="AA281" s="47"/>
      <x:c r="AB281" s="80"/>
      <x:c r="AC281" s="49"/>
      <x:c r="AD281" s="50">
        <x:f t="shared" si="20"/>
        <x:v>0.23076923076923078</x:v>
      </x:c>
      <x:c r="AE281" s="50">
        <x:f t="shared" si="21"/>
        <x:v>1</x:v>
      </x:c>
    </x:row>
    <x:row r="282" s="48" customFormat="1" ht="12.5">
      <x:c r="A282" s="29" t="s">
        <x:v>654</x:v>
      </x:c>
      <x:c r="B282" s="47" t="s">
        <x:v>655</x:v>
      </x:c>
      <x:c r="C282" s="48" t="s">
        <x:v>179</x:v>
      </x:c>
      <x:c r="D282" s="47" t="s">
        <x:v>86</x:v>
      </x:c>
      <x:c r="E282" s="47" t="s">
        <x:v>112</x:v>
      </x:c>
      <x:c r="F282" s="48" t="str">
        <x:v>Jl. Kartini Utama Raya</x:v>
      </x:c>
      <x:c r="G282" s="48" t="str">
        <x:v>PT. GRAHA KARUNIA PERKASA</x:v>
      </x:c>
      <x:c r="H282" s="48" t="str">
        <x:v>Gunawan</x:v>
      </x:c>
      <x:c r="I282" s="48" t="str">
        <x:v>Asosiasi Pengembang Perumahan dan Permukiman Seluruh Indonesia (APERSI)</x:v>
      </x:c>
      <x:c r="J282" s="48" t="str">
        <x:v>SEBELUM TAHUN 2014</x:v>
      </x:c>
      <x:c r="K282" s="48">
        <x:v>46</x:v>
      </x:c>
      <x:c r="L282" s="47">
        <x:v>46</x:v>
      </x:c>
      <x:c r="M282" s="48">
        <x:v>35</x:v>
      </x:c>
      <x:c r="N282" s="48" t="s">
        <x:v>78</x:v>
      </x:c>
      <x:c r="O282" s="48"/>
      <x:c r="Q282" s="21" t="s">
        <x:v>67</x:v>
      </x:c>
      <x:c r="S282" s="47"/>
      <x:c r="T282" s="47"/>
      <x:c r="U282" s="47"/>
      <x:c r="V282" s="76">
        <x:v>-2.0884529999999999</x:v>
      </x:c>
      <x:c r="W282" s="47">
        <x:v>106.114867</x:v>
      </x:c>
      <x:c r="X282" s="47"/>
      <x:c r="Y282" s="49"/>
      <x:c r="Z282" s="49"/>
      <x:c r="AA282" s="47"/>
      <x:c r="AB282" s="80"/>
      <x:c r="AC282" s="49"/>
      <x:c r="AD282" s="50">
        <x:f t="shared" si="20"/>
        <x:v>1</x:v>
      </x:c>
      <x:c r="AE282" s="50">
        <x:f t="shared" si="21"/>
        <x:v>0.76086956521739135</x:v>
      </x:c>
    </x:row>
    <x:row r="283" s="48" customFormat="1" ht="12.5">
      <x:c r="A283" s="29" t="s">
        <x:v>656</x:v>
      </x:c>
      <x:c r="B283" s="47" t="s">
        <x:v>657</x:v>
      </x:c>
      <x:c r="C283" s="48" t="s">
        <x:v>179</x:v>
      </x:c>
      <x:c r="D283" s="47" t="s">
        <x:v>104</x:v>
      </x:c>
      <x:c r="E283" s="47" t="s">
        <x:v>393</x:v>
      </x:c>
      <x:c r="F283" s="48" t="str">
        <x:v>Jl. Mustika II</x:v>
      </x:c>
      <x:c r="G283" s="48" t="str">
        <x:v>Belum Teridentifikasi</x:v>
      </x:c>
      <x:c r="H283" s="48" t="str">
        <x:v>Heriyanto</x:v>
      </x:c>
      <x:c r="I283" s="48" t="str">
        <x:v>Belum Teridentifikasi</x:v>
      </x:c>
      <x:c r="J283" s="48" t="n">
        <x:v>2013</x:v>
      </x:c>
      <x:c r="K283" s="48">
        <x:v>12</x:v>
      </x:c>
      <x:c r="L283" s="47">
        <x:v>12</x:v>
      </x:c>
      <x:c r="M283" s="48">
        <x:v>12</x:v>
      </x:c>
      <x:c r="N283" s="48" t="s">
        <x:v>78</x:v>
      </x:c>
      <x:c r="O283" s="48"/>
      <x:c r="Q283" s="21" t="s">
        <x:v>67</x:v>
      </x:c>
      <x:c r="S283" s="47"/>
      <x:c r="T283" s="47"/>
      <x:c r="U283" s="47"/>
      <x:c r="V283" s="76">
        <x:v>-2.1372475999999998</x:v>
      </x:c>
      <x:c r="W283" s="47">
        <x:v>106.128725</x:v>
      </x:c>
      <x:c r="X283" s="47"/>
      <x:c r="Y283" s="49"/>
      <x:c r="Z283" s="49"/>
      <x:c r="AA283" s="47"/>
      <x:c r="AB283" s="80"/>
      <x:c r="AC283" s="49"/>
      <x:c r="AD283" s="50">
        <x:f t="shared" si="20"/>
        <x:v>1</x:v>
      </x:c>
      <x:c r="AE283" s="50">
        <x:f t="shared" si="21"/>
        <x:v>1</x:v>
      </x:c>
    </x:row>
    <x:row r="284" s="48" customFormat="1" ht="12.5">
      <x:c r="A284" s="29" t="s">
        <x:v>658</x:v>
      </x:c>
      <x:c r="B284" s="47" t="s">
        <x:v>659</x:v>
      </x:c>
      <x:c r="C284" s="48" t="s">
        <x:v>179</x:v>
      </x:c>
      <x:c r="D284" s="47" t="s">
        <x:v>104</x:v>
      </x:c>
      <x:c r="E284" s="47" t="s">
        <x:v>393</x:v>
      </x:c>
      <x:c r="F284" s="48" t="str">
        <x:v>Jl. Semabung Lama</x:v>
      </x:c>
      <x:c r="G284" s="48" t="str">
        <x:v>Belum Teridentifikasi</x:v>
      </x:c>
      <x:c r="H284" s="48" t="str">
        <x:v>Heriyanto</x:v>
      </x:c>
      <x:c r="I284" s="48" t="str">
        <x:v>Belum Teridentifikasi</x:v>
      </x:c>
      <x:c r="J284" s="48" t="n">
        <x:v>2015</x:v>
      </x:c>
      <x:c r="K284" s="48">
        <x:v>12</x:v>
      </x:c>
      <x:c r="L284" s="47">
        <x:v>0</x:v>
      </x:c>
      <x:c r="M284" s="48">
        <x:v>0</x:v>
      </x:c>
      <x:c r="N284" s="48" t="s">
        <x:v>78</x:v>
      </x:c>
      <x:c r="O284" s="48"/>
      <x:c r="Q284" s="21" t="s">
        <x:v>67</x:v>
      </x:c>
      <x:c r="S284" s="47"/>
      <x:c r="T284" s="47"/>
      <x:c r="U284" s="47"/>
      <x:c r="V284" s="76">
        <x:v>-2.1329259999999999</x:v>
      </x:c>
      <x:c r="W284" s="47">
        <x:v>106.13212729999999</x:v>
      </x:c>
      <x:c r="X284" s="47"/>
      <x:c r="Y284" s="49"/>
      <x:c r="Z284" s="49"/>
      <x:c r="AA284" s="47"/>
      <x:c r="AB284" s="80"/>
      <x:c r="AC284" s="49"/>
      <x:c r="AD284" s="50">
        <x:f t="shared" si="20"/>
        <x:v>0</x:v>
      </x:c>
      <x:c r="AE284" s="50">
        <x:f t="shared" si="21"/>
        <x:v>0</x:v>
      </x:c>
    </x:row>
    <x:row r="285" s="48" customFormat="1" ht="12.5">
      <x:c r="A285" s="29" t="s">
        <x:v>660</x:v>
      </x:c>
      <x:c r="B285" s="47" t="s">
        <x:v>661</x:v>
      </x:c>
      <x:c r="C285" s="48" t="s">
        <x:v>179</x:v>
      </x:c>
      <x:c r="D285" s="47" t="s">
        <x:v>314</x:v>
      </x:c>
      <x:c r="E285" s="47" t="s">
        <x:v>315</x:v>
      </x:c>
      <x:c r="F285" s="48" t="str">
        <x:v>Jl. Tayib</x:v>
      </x:c>
      <x:c r="G285" s="48" t="str">
        <x:v>Belum Teridentifikasi</x:v>
      </x:c>
      <x:c r="H285" s="48" t="str">
        <x:v>Belum Teridentifikasi</x:v>
      </x:c>
      <x:c r="I285" s="48" t="str">
        <x:v>Belum Teridentifikasi</x:v>
      </x:c>
      <x:c r="J285" s="48" t="n">
        <x:v>2014</x:v>
      </x:c>
      <x:c r="K285" s="48">
        <x:v>8</x:v>
      </x:c>
      <x:c r="L285" s="47">
        <x:v>8</x:v>
      </x:c>
      <x:c r="M285" s="48">
        <x:v>3</x:v>
      </x:c>
      <x:c r="N285" s="48" t="s">
        <x:v>78</x:v>
      </x:c>
      <x:c r="O285" s="48"/>
      <x:c r="Q285" s="48" t="s">
        <x:v>94</x:v>
      </x:c>
      <x:c r="S285" s="47"/>
      <x:c r="T285" s="47"/>
      <x:c r="U285" s="47"/>
      <x:c r="V285" s="76">
        <x:v>-2.1501418000000001</x:v>
      </x:c>
      <x:c r="W285" s="47">
        <x:v>106.1112349</x:v>
      </x:c>
      <x:c r="X285" s="47"/>
      <x:c r="Y285" s="49"/>
      <x:c r="Z285" s="49"/>
      <x:c r="AA285" s="47"/>
      <x:c r="AB285" s="80"/>
      <x:c r="AC285" s="49"/>
      <x:c r="AD285" s="50">
        <x:f t="shared" si="20"/>
        <x:v>1</x:v>
      </x:c>
      <x:c r="AE285" s="50">
        <x:f t="shared" si="21"/>
        <x:v>0.375</x:v>
      </x:c>
    </x:row>
    <x:row r="286" s="48" customFormat="1" ht="12.5">
      <x:c r="A286" s="29" t="s">
        <x:v>662</x:v>
      </x:c>
      <x:c r="B286" s="47" t="s">
        <x:v>663</x:v>
      </x:c>
      <x:c r="C286" s="48" t="s">
        <x:v>63</x:v>
      </x:c>
      <x:c r="D286" s="47" t="s">
        <x:v>104</x:v>
      </x:c>
      <x:c r="E286" s="47" t="s">
        <x:v>141</x:v>
      </x:c>
      <x:c r="F286" s="48" t="str">
        <x:v>Jl. Tanjung Bunga II</x:v>
      </x:c>
      <x:c r="G286" s="48" t="str">
        <x:v>PT. ARTISTIK JAYA CONT</x:v>
      </x:c>
      <x:c r="H286" s="48" t="str">
        <x:v>Eko Yuliyanto</x:v>
      </x:c>
      <x:c r="I286" s="48" t="str">
        <x:v>Pengembang Indonesia (PI)</x:v>
      </x:c>
      <x:c r="J286" s="48" t="n">
        <x:v>2018</x:v>
      </x:c>
      <x:c r="K286" s="48">
        <x:v>75</x:v>
      </x:c>
      <x:c r="L286" s="47">
        <x:v>72</x:v>
      </x:c>
      <x:c r="M286" s="48">
        <x:v>72</x:v>
      </x:c>
      <x:c r="N286" s="48" t="s">
        <x:v>66</x:v>
      </x:c>
      <x:c r="O286" s="48" t="n">
        <x:v>2022</x:v>
      </x:c>
      <x:c r="Q286" s="21" t="s">
        <x:v>67</x:v>
      </x:c>
      <x:c r="R286" s="48" t="s">
        <x:v>130</x:v>
      </x:c>
      <x:c r="S286" s="47"/>
      <x:c r="T286" s="9" t="s">
        <x:v>68</x:v>
      </x:c>
      <x:c r="U286" s="47"/>
      <x:c r="V286" s="76"/>
      <x:c r="W286" s="47"/>
      <x:c r="X286" s="47"/>
      <x:c r="Y286" s="49"/>
      <x:c r="Z286" s="49"/>
      <x:c r="AA286" s="47"/>
      <x:c r="AB286" s="80"/>
      <x:c r="AC286" s="49"/>
      <x:c r="AD286" s="50">
        <x:f t="shared" si="20"/>
        <x:v>0.96</x:v>
      </x:c>
      <x:c r="AE286" s="50">
        <x:f t="shared" si="21"/>
        <x:v>1</x:v>
      </x:c>
    </x:row>
    <x:row r="287" s="48" customFormat="1" ht="12.5">
      <x:c r="A287" s="29" t="s">
        <x:v>664</x:v>
      </x:c>
      <x:c r="B287" s="47" t="s">
        <x:v>665</x:v>
      </x:c>
      <x:c r="C287" s="48" t="s">
        <x:v>63</x:v>
      </x:c>
      <x:c r="D287" s="47" t="s">
        <x:v>104</x:v>
      </x:c>
      <x:c r="E287" s="47" t="s">
        <x:v>141</x:v>
      </x:c>
      <x:c r="F287" s="48" t="str">
        <x:v>Jl. Fajar</x:v>
      </x:c>
      <x:c r="G287" s="48" t="str">
        <x:v>PT.SUKMA KARYA ABADI</x:v>
      </x:c>
      <x:c r="H287" s="48" t="str">
        <x:v>Ebit Sugiarto</x:v>
      </x:c>
      <x:c r="I287" s="48" t="str">
        <x:v>Asosiasi Pengembang Perumahan Indonesia (APPERINDO)</x:v>
      </x:c>
      <x:c r="J287" s="48" t="n">
        <x:v>2019</x:v>
      </x:c>
      <x:c r="K287" s="48">
        <x:v>38</x:v>
      </x:c>
      <x:c r="L287" s="47">
        <x:v>38</x:v>
      </x:c>
      <x:c r="M287" s="48">
        <x:v>38</x:v>
      </x:c>
      <x:c r="N287" s="48" t="s">
        <x:v>78</x:v>
      </x:c>
      <x:c r="O287" s="48"/>
      <x:c r="Q287" s="21" t="s">
        <x:v>67</x:v>
      </x:c>
      <x:c r="S287" s="47"/>
      <x:c r="T287" s="47"/>
      <x:c r="U287" s="47"/>
      <x:c r="V287" s="76"/>
      <x:c r="W287" s="47"/>
      <x:c r="X287" s="47"/>
      <x:c r="Y287" s="49"/>
      <x:c r="Z287" s="49"/>
      <x:c r="AA287" s="47"/>
      <x:c r="AB287" s="80"/>
      <x:c r="AC287" s="49"/>
      <x:c r="AD287" s="50">
        <x:f t="shared" si="20"/>
        <x:v>1</x:v>
      </x:c>
      <x:c r="AE287" s="50">
        <x:f t="shared" si="21"/>
        <x:v>1</x:v>
      </x:c>
    </x:row>
    <x:row r="288" s="48" customFormat="1" ht="12.5">
      <x:c r="A288" s="29" t="s">
        <x:v>666</x:v>
      </x:c>
      <x:c r="B288" s="47" t="s">
        <x:v>667</x:v>
      </x:c>
      <x:c r="C288" s="48" t="s">
        <x:v>63</x:v>
      </x:c>
      <x:c r="D288" s="47" t="s">
        <x:v>104</x:v>
      </x:c>
      <x:c r="E288" s="47" t="s">
        <x:v>141</x:v>
      </x:c>
      <x:c r="F288" s="48" t="str">
        <x:v>Jl. Fajar</x:v>
      </x:c>
      <x:c r="G288" s="48" t="str">
        <x:v>PT. SUKMA KARYA ABADI PROPERTI</x:v>
      </x:c>
      <x:c r="H288" s="48" t="str">
        <x:v>Ebid Sugiarto</x:v>
      </x:c>
      <x:c r="I288" s="48" t="str">
        <x:v>Asosiasi Pengembang Perumahan Indonesia (APPERINDO)</x:v>
      </x:c>
      <x:c r="J288" s="48" t="n">
        <x:v>2020</x:v>
      </x:c>
      <x:c r="K288" s="48">
        <x:v>62</x:v>
      </x:c>
      <x:c r="L288" s="47">
        <x:v>57</x:v>
      </x:c>
      <x:c r="M288" s="48">
        <x:v>57</x:v>
      </x:c>
      <x:c r="N288" s="48" t="s">
        <x:v>78</x:v>
      </x:c>
      <x:c r="O288" s="48"/>
      <x:c r="Q288" s="21" t="s">
        <x:v>67</x:v>
      </x:c>
      <x:c r="S288" s="47"/>
      <x:c r="T288" s="47"/>
      <x:c r="U288" s="47"/>
      <x:c r="V288" s="76">
        <x:v>-2.1318961000000001</x:v>
      </x:c>
      <x:c r="W288" s="47">
        <x:v>106.15831729999999</x:v>
      </x:c>
      <x:c r="X288" s="47"/>
      <x:c r="Y288" s="49"/>
      <x:c r="Z288" s="49"/>
      <x:c r="AA288" s="47"/>
      <x:c r="AB288" s="80"/>
      <x:c r="AC288" s="49"/>
      <x:c r="AD288" s="50">
        <x:f t="shared" si="20"/>
        <x:v>0.91935483870967738</x:v>
      </x:c>
      <x:c r="AE288" s="50">
        <x:f t="shared" si="21"/>
        <x:v>1</x:v>
      </x:c>
    </x:row>
    <x:row r="289" s="48" customFormat="1" ht="12.5">
      <x:c r="A289" s="29" t="s">
        <x:v>668</x:v>
      </x:c>
      <x:c r="B289" s="47" t="s">
        <x:v>669</x:v>
      </x:c>
      <x:c r="C289" s="48" t="s">
        <x:v>63</x:v>
      </x:c>
      <x:c r="D289" s="47" t="s">
        <x:v>104</x:v>
      </x:c>
      <x:c r="E289" s="47" t="s">
        <x:v>105</x:v>
      </x:c>
      <x:c r="F289" s="48" t="str">
        <x:v>Belum Diketahui</x:v>
      </x:c>
      <x:c r="G289" s="48" t="str">
        <x:v>Belum Teridentifikasi</x:v>
      </x:c>
      <x:c r="H289" s="48" t="str">
        <x:v>Belum Teridentifikasi</x:v>
      </x:c>
      <x:c r="I289" s="48" t="str">
        <x:v>Belum Teridentifikasi</x:v>
      </x:c>
      <x:c r="J289" s="48" t="n">
        <x:v>2017</x:v>
      </x:c>
      <x:c r="K289" s="48">
        <x:v>0</x:v>
      </x:c>
      <x:c r="L289" s="47">
        <x:v>0</x:v>
      </x:c>
      <x:c r="M289" s="48">
        <x:v>0</x:v>
      </x:c>
      <x:c r="N289" s="48" t="s">
        <x:v>78</x:v>
      </x:c>
      <x:c r="O289" s="48"/>
      <x:c r="Q289" s="21" t="s">
        <x:v>67</x:v>
      </x:c>
      <x:c r="S289" s="47"/>
      <x:c r="T289" s="47"/>
      <x:c r="U289" s="47"/>
      <x:c r="V289" s="76"/>
      <x:c r="W289" s="47"/>
      <x:c r="X289" s="47"/>
      <x:c r="Y289" s="49"/>
      <x:c r="Z289" s="49"/>
      <x:c r="AA289" s="47"/>
      <x:c r="AB289" s="80"/>
      <x:c r="AC289" s="49"/>
      <x:c r="AD289" s="50">
        <x:f t="shared" si="20"/>
        <x:v>0</x:v>
      </x:c>
      <x:c r="AE289" s="50">
        <x:f t="shared" si="21"/>
        <x:v>0</x:v>
      </x:c>
    </x:row>
    <x:row r="290" s="48" customFormat="1" ht="12.5">
      <x:c r="A290" s="29" t="s">
        <x:v>670</x:v>
      </x:c>
      <x:c r="B290" s="47" t="s">
        <x:v>671</x:v>
      </x:c>
      <x:c r="C290" s="48" t="s">
        <x:v>63</x:v>
      </x:c>
      <x:c r="D290" s="47" t="s">
        <x:v>64</x:v>
      </x:c>
      <x:c r="E290" s="47" t="s">
        <x:v>65</x:v>
      </x:c>
      <x:c r="F290" s="48" t="str">
        <x:v>Jl. Raya Tua Tunu</x:v>
      </x:c>
      <x:c r="G290" s="48" t="str">
        <x:v>PT. BERKAH BERSAMA KONSTRUKSI</x:v>
      </x:c>
      <x:c r="H290" s="48" t="str">
        <x:v>Agustian Safitri</x:v>
      </x:c>
      <x:c r="I290" s="48" t="str">
        <x:v>Pengembang Indonesia (PI)</x:v>
      </x:c>
      <x:c r="J290" s="48" t="n">
        <x:v>2024</x:v>
      </x:c>
      <x:c r="K290" s="48">
        <x:v>36</x:v>
      </x:c>
      <x:c r="L290" s="47">
        <x:v>10</x:v>
      </x:c>
      <x:c r="M290" s="48">
        <x:v>3</x:v>
      </x:c>
      <x:c r="N290" s="48" t="s">
        <x:v>78</x:v>
      </x:c>
      <x:c r="O290" s="48"/>
      <x:c r="Q290" s="21" t="s">
        <x:v>67</x:v>
      </x:c>
      <x:c r="R290" s="21" t="s">
        <x:v>108</x:v>
      </x:c>
      <x:c r="S290" s="47"/>
      <x:c r="T290" s="47"/>
      <x:c r="U290" s="47"/>
      <x:c r="V290" s="76">
        <x:v>-2.1021866</x:v>
      </x:c>
      <x:c r="W290" s="47">
        <x:v>106.05145090000001</x:v>
      </x:c>
      <x:c r="X290" s="47"/>
      <x:c r="Y290" s="49"/>
      <x:c r="Z290" s="49"/>
      <x:c r="AA290" s="47"/>
      <x:c r="AB290" s="80"/>
      <x:c r="AC290" s="49"/>
      <x:c r="AD290" s="50">
        <x:f t="shared" si="20"/>
        <x:v>0.27777777777777779</x:v>
      </x:c>
      <x:c r="AE290" s="50">
        <x:f t="shared" si="21"/>
        <x:v>0.3</x:v>
      </x:c>
    </x:row>
    <x:row r="291" s="48" customFormat="1" ht="12.5">
      <x:c r="A291" s="29" t="s">
        <x:v>672</x:v>
      </x:c>
      <x:c r="B291" s="47" t="s">
        <x:v>673</x:v>
      </x:c>
      <x:c r="C291" s="48" t="s">
        <x:v>63</x:v>
      </x:c>
      <x:c r="D291" s="47" t="s">
        <x:v>86</x:v>
      </x:c>
      <x:c r="E291" s="47" t="s">
        <x:v>93</x:v>
      </x:c>
      <x:c r="F291" s="48" t="str">
        <x:v>Jl. Kelompok</x:v>
      </x:c>
      <x:c r="G291" s="48" t="str">
        <x:v>PT. TUNGGARA BERKAH PROPERTY</x:v>
      </x:c>
      <x:c r="H291" s="48" t="str">
        <x:v>Rivaldy Oki Rudiansyah</x:v>
      </x:c>
      <x:c r="I291" s="48" t="str">
        <x:v>Belum Teridentifikasi</x:v>
      </x:c>
      <x:c r="J291" s="48" t="n">
        <x:v>2015</x:v>
      </x:c>
      <x:c r="K291" s="48">
        <x:v>51</x:v>
      </x:c>
      <x:c r="L291" s="47">
        <x:v>23</x:v>
      </x:c>
      <x:c r="M291" s="48">
        <x:v>15</x:v>
      </x:c>
      <x:c r="N291" s="48" t="s">
        <x:v>78</x:v>
      </x:c>
      <x:c r="O291" s="48"/>
      <x:c r="Q291" s="21" t="s">
        <x:v>67</x:v>
      </x:c>
      <x:c r="R291" s="21" t="s">
        <x:v>108</x:v>
      </x:c>
      <x:c r="S291" s="47"/>
      <x:c r="T291" s="47"/>
      <x:c r="U291" s="47"/>
      <x:c r="V291" s="76">
        <x:v>-2.0845900999999998</x:v>
      </x:c>
      <x:c r="W291" s="47">
        <x:v>106.0979296</x:v>
      </x:c>
      <x:c r="X291" s="47"/>
      <x:c r="Y291" s="49"/>
      <x:c r="Z291" s="49"/>
      <x:c r="AA291" s="47"/>
      <x:c r="AB291" s="80"/>
      <x:c r="AC291" s="49"/>
      <x:c r="AD291" s="50">
        <x:f t="shared" si="20"/>
        <x:v>0.45098039215686275</x:v>
      </x:c>
      <x:c r="AE291" s="50">
        <x:f t="shared" si="21"/>
        <x:v>0.65217391304347827</x:v>
      </x:c>
    </x:row>
    <x:row r="292" s="48" customFormat="1" ht="12.5">
      <x:c r="A292" s="29" t="s">
        <x:v>674</x:v>
      </x:c>
      <x:c r="B292" s="47" t="s">
        <x:v>675</x:v>
      </x:c>
      <x:c r="C292" s="48" t="s">
        <x:v>63</x:v>
      </x:c>
      <x:c r="D292" s="47" t="s">
        <x:v>104</x:v>
      </x:c>
      <x:c r="E292" s="47" t="s">
        <x:v>209</x:v>
      </x:c>
      <x:c r="F292" s="48" t="str">
        <x:v>Jl. Depati Hamzah Gg. Mirah Delima I</x:v>
      </x:c>
      <x:c r="G292" s="48" t="str">
        <x:v>PT. SINAR BANGKA INDAH</x:v>
      </x:c>
      <x:c r="H292" s="48" t="str">
        <x:v>Belum Teridentifikasi</x:v>
      </x:c>
      <x:c r="I292" s="48" t="str">
        <x:v>Belum Teridentifikasi</x:v>
      </x:c>
      <x:c r="J292" s="48" t="n">
        <x:v>2023</x:v>
      </x:c>
      <x:c r="K292" s="48">
        <x:v>42</x:v>
      </x:c>
      <x:c r="L292" s="47">
        <x:v>9</x:v>
      </x:c>
      <x:c r="M292" s="48">
        <x:v>6</x:v>
      </x:c>
      <x:c r="N292" s="48" t="s">
        <x:v>78</x:v>
      </x:c>
      <x:c r="O292" s="48"/>
      <x:c r="Q292" s="21" t="s">
        <x:v>67</x:v>
      </x:c>
      <x:c r="R292" s="48" t="s">
        <x:v>108</x:v>
      </x:c>
      <x:c r="S292" s="47"/>
      <x:c r="T292" s="47"/>
      <x:c r="U292" s="47"/>
      <x:c r="V292" s="76">
        <x:v>-2.1377009999999999</x:v>
      </x:c>
      <x:c r="W292" s="47">
        <x:v>106.1489993</x:v>
      </x:c>
      <x:c r="X292" s="47"/>
      <x:c r="Y292" s="49"/>
      <x:c r="Z292" s="49"/>
      <x:c r="AA292" s="47"/>
      <x:c r="AB292" s="80"/>
      <x:c r="AC292" s="49"/>
      <x:c r="AD292" s="50">
        <x:f t="shared" si="20"/>
        <x:v>0.21428571428571427</x:v>
      </x:c>
      <x:c r="AE292" s="50">
        <x:f t="shared" si="21"/>
        <x:v>0.66666666666666663</x:v>
      </x:c>
    </x:row>
    <x:row r="293" s="48" customFormat="1" ht="12.5">
      <x:c r="A293" s="29" t="s">
        <x:v>676</x:v>
      </x:c>
      <x:c r="B293" s="47" t="s">
        <x:v>677</x:v>
      </x:c>
      <x:c r="C293" s="48" t="s">
        <x:v>63</x:v>
      </x:c>
      <x:c r="D293" s="47" t="s">
        <x:v>314</x:v>
      </x:c>
      <x:c r="E293" s="47" t="s">
        <x:v>315</x:v>
      </x:c>
      <x:c r="F293" s="48" t="str">
        <x:v>Jl. Bukit Tunggal</x:v>
      </x:c>
      <x:c r="G293" s="48" t="str">
        <x:v>Belum Teridentifikasi</x:v>
      </x:c>
      <x:c r="H293" s="48" t="str">
        <x:v>Belum Teridentifikasi</x:v>
      </x:c>
      <x:c r="I293" s="48" t="str">
        <x:v>Belum Teridentifikasi</x:v>
      </x:c>
      <x:c r="J293" s="48" t="n">
        <x:v>2015</x:v>
      </x:c>
      <x:c r="K293" s="48">
        <x:v>22</x:v>
      </x:c>
      <x:c r="L293" s="47">
        <x:v>22</x:v>
      </x:c>
      <x:c r="M293" s="48">
        <x:v>22</x:v>
      </x:c>
      <x:c r="N293" s="48" t="s">
        <x:v>78</x:v>
      </x:c>
      <x:c r="O293" s="48"/>
      <x:c r="Q293" s="21" t="s">
        <x:v>67</x:v>
      </x:c>
      <x:c r="S293" s="47"/>
      <x:c r="T293" s="47"/>
      <x:c r="U293" s="47"/>
      <x:c r="V293" s="76">
        <x:v>-2.1519857</x:v>
      </x:c>
      <x:c r="W293" s="47">
        <x:v>106.1057045</x:v>
      </x:c>
      <x:c r="X293" s="47"/>
      <x:c r="Y293" s="49"/>
      <x:c r="Z293" s="49"/>
      <x:c r="AA293" s="47"/>
      <x:c r="AB293" s="80"/>
      <x:c r="AC293" s="49"/>
      <x:c r="AD293" s="50">
        <x:f t="shared" si="20"/>
        <x:v>1</x:v>
      </x:c>
      <x:c r="AE293" s="50">
        <x:f t="shared" si="21"/>
        <x:v>1</x:v>
      </x:c>
    </x:row>
    <x:row r="294" s="48" customFormat="1" ht="12.5">
      <x:c r="A294" s="29" t="s">
        <x:v>678</x:v>
      </x:c>
      <x:c r="B294" s="47" t="s">
        <x:v>679</x:v>
      </x:c>
      <x:c r="C294" s="48" t="s">
        <x:v>63</x:v>
      </x:c>
      <x:c r="D294" s="47" t="s">
        <x:v>314</x:v>
      </x:c>
      <x:c r="E294" s="47" t="s">
        <x:v>315</x:v>
      </x:c>
      <x:c r="F294" s="48" t="str">
        <x:v>Jl. Parit Lalang</x:v>
      </x:c>
      <x:c r="G294" s="48" t="str">
        <x:v>Belum Teridentifikasi</x:v>
      </x:c>
      <x:c r="H294" s="48" t="str">
        <x:v>Belum Teridentifikasi</x:v>
      </x:c>
      <x:c r="I294" s="48" t="str">
        <x:v>Belum Teridentifikasi</x:v>
      </x:c>
      <x:c r="J294" s="48" t="n">
        <x:v>2016</x:v>
      </x:c>
      <x:c r="K294" s="48">
        <x:v>11</x:v>
      </x:c>
      <x:c r="L294" s="47">
        <x:v>11</x:v>
      </x:c>
      <x:c r="M294" s="48">
        <x:v>11</x:v>
      </x:c>
      <x:c r="N294" s="48" t="s">
        <x:v>78</x:v>
      </x:c>
      <x:c r="O294" s="48"/>
      <x:c r="Q294" s="21" t="s">
        <x:v>67</x:v>
      </x:c>
      <x:c r="R294" s="21" t="s">
        <x:v>108</x:v>
      </x:c>
      <x:c r="S294" s="47"/>
      <x:c r="T294" s="47"/>
      <x:c r="U294" s="47"/>
      <x:c r="V294" s="76">
        <x:v>-2.1526169999999998</x:v>
      </x:c>
      <x:c r="W294" s="47">
        <x:v>106.104927</x:v>
      </x:c>
      <x:c r="X294" s="47"/>
      <x:c r="Y294" s="49"/>
      <x:c r="Z294" s="49"/>
      <x:c r="AA294" s="47"/>
      <x:c r="AB294" s="80"/>
      <x:c r="AC294" s="49"/>
      <x:c r="AD294" s="50">
        <x:f t="shared" si="20"/>
        <x:v>1</x:v>
      </x:c>
      <x:c r="AE294" s="50">
        <x:f t="shared" si="21"/>
        <x:v>1</x:v>
      </x:c>
    </x:row>
    <x:row r="295" s="48" customFormat="1" ht="12.5">
      <x:c r="A295" s="29" t="s">
        <x:v>680</x:v>
      </x:c>
      <x:c r="B295" s="47" t="s">
        <x:v>681</x:v>
      </x:c>
      <x:c r="C295" s="48" t="s">
        <x:v>63</x:v>
      </x:c>
      <x:c r="D295" s="47" t="s">
        <x:v>64</x:v>
      </x:c>
      <x:c r="E295" s="47" t="s">
        <x:v>73</x:v>
      </x:c>
      <x:c r="F295" s="48" t="str">
        <x:v>Jl. H. Umar</x:v>
      </x:c>
      <x:c r="G295" s="48" t="str">
        <x:v>PT. ANGKASA RAYA MAS</x:v>
      </x:c>
      <x:c r="H295" s="48" t="str">
        <x:v>Daniel Surya Putra</x:v>
      </x:c>
      <x:c r="I295" s="48" t="str">
        <x:v>Pengembang Indonesia (PI)</x:v>
      </x:c>
      <x:c r="J295" s="48" t="n">
        <x:v>2017</x:v>
      </x:c>
      <x:c r="K295" s="48">
        <x:v>21</x:v>
      </x:c>
      <x:c r="L295" s="47">
        <x:v>21</x:v>
      </x:c>
      <x:c r="M295" s="48">
        <x:v>21</x:v>
      </x:c>
      <x:c r="N295" s="48" t="s">
        <x:v>66</x:v>
      </x:c>
      <x:c r="O295" s="48" t="n">
        <x:v>2023</x:v>
      </x:c>
      <x:c r="Q295" s="21" t="s">
        <x:v>67</x:v>
      </x:c>
      <x:c r="S295" s="47"/>
      <x:c r="T295" s="47"/>
      <x:c r="U295" s="47"/>
      <x:c r="V295" s="76">
        <x:v>-2.117489</x:v>
      </x:c>
      <x:c r="W295" s="47">
        <x:v>106.077459</x:v>
      </x:c>
      <x:c r="X295" s="47"/>
      <x:c r="Y295" s="49"/>
      <x:c r="Z295" s="49"/>
      <x:c r="AA295" s="47"/>
      <x:c r="AB295" s="80"/>
      <x:c r="AC295" s="49"/>
      <x:c r="AD295" s="50">
        <x:f t="shared" si="20"/>
        <x:v>1</x:v>
      </x:c>
      <x:c r="AE295" s="50">
        <x:f t="shared" si="21"/>
        <x:v>1</x:v>
      </x:c>
    </x:row>
    <x:row r="296" s="48" customFormat="1" ht="12.5">
      <x:c r="A296" s="29" t="s">
        <x:v>682</x:v>
      </x:c>
      <x:c r="B296" s="47" t="s">
        <x:v>683</x:v>
      </x:c>
      <x:c r="C296" s="48" t="s">
        <x:v>63</x:v>
      </x:c>
      <x:c r="D296" s="47" t="s">
        <x:v>86</x:v>
      </x:c>
      <x:c r="E296" s="47" t="s">
        <x:v>93</x:v>
      </x:c>
      <x:c r="F296" s="48" t="str">
        <x:v>Gg. Melati</x:v>
      </x:c>
      <x:c r="G296" s="48" t="str">
        <x:v>PT. ANGKASA RAYA MAS</x:v>
      </x:c>
      <x:c r="H296" s="48" t="str">
        <x:v>Daniel Surya Putra</x:v>
      </x:c>
      <x:c r="I296" s="48" t="str">
        <x:v>Pengembang Indonesia (PI)</x:v>
      </x:c>
      <x:c r="J296" s="48" t="n">
        <x:v>2019</x:v>
      </x:c>
      <x:c r="K296" s="48">
        <x:v>43</x:v>
      </x:c>
      <x:c r="L296" s="47">
        <x:v>33</x:v>
      </x:c>
      <x:c r="M296" s="48">
        <x:v>33</x:v>
      </x:c>
      <x:c r="N296" s="48" t="s">
        <x:v>78</x:v>
      </x:c>
      <x:c r="O296" s="48"/>
      <x:c r="Q296" s="21" t="s">
        <x:v>67</x:v>
      </x:c>
      <x:c r="S296" s="47"/>
      <x:c r="T296" s="47"/>
      <x:c r="U296" s="47"/>
      <x:c r="V296" s="76">
        <x:v>-2.0969530000000001</x:v>
      </x:c>
      <x:c r="W296" s="47">
        <x:v>106.087341</x:v>
      </x:c>
      <x:c r="X296" s="47"/>
      <x:c r="Y296" s="49"/>
      <x:c r="Z296" s="49"/>
      <x:c r="AA296" s="47"/>
      <x:c r="AB296" s="80"/>
      <x:c r="AC296" s="49"/>
      <x:c r="AD296" s="50">
        <x:f t="shared" si="20"/>
        <x:v>0.76744186046511631</x:v>
      </x:c>
      <x:c r="AE296" s="50">
        <x:f t="shared" si="21"/>
        <x:v>1</x:v>
      </x:c>
    </x:row>
    <x:row r="297" s="48" customFormat="1" ht="12.5">
      <x:c r="A297" s="29" t="s">
        <x:v>684</x:v>
      </x:c>
      <x:c r="B297" s="47" t="s">
        <x:v>685</x:v>
      </x:c>
      <x:c r="C297" s="48" t="s">
        <x:v>63</x:v>
      </x:c>
      <x:c r="D297" s="47" t="s">
        <x:v>86</x:v>
      </x:c>
      <x:c r="E297" s="47" t="s">
        <x:v>275</x:v>
      </x:c>
      <x:c r="F297" s="48" t="str">
        <x:v>Jl. Betutu Dalam</x:v>
      </x:c>
      <x:c r="G297" s="48" t="str">
        <x:v>PT. KARYA TEKNIK KONTRUKSI</x:v>
      </x:c>
      <x:c r="H297" s="48" t="str">
        <x:v>Dwi Pramono</x:v>
      </x:c>
      <x:c r="I297" s="48" t="str">
        <x:v>Pengembang Indonesia (PI)</x:v>
      </x:c>
      <x:c r="J297" s="48" t="n">
        <x:v>2017</x:v>
      </x:c>
      <x:c r="K297" s="48">
        <x:v>15</x:v>
      </x:c>
      <x:c r="L297" s="47">
        <x:v>15</x:v>
      </x:c>
      <x:c r="M297" s="48">
        <x:v>14</x:v>
      </x:c>
      <x:c r="N297" s="48" t="s">
        <x:v>66</x:v>
      </x:c>
      <x:c r="O297" s="48" t="n">
        <x:v>2022</x:v>
      </x:c>
      <x:c r="Q297" s="21" t="s">
        <x:v>67</x:v>
      </x:c>
      <x:c r="R297" s="48" t="s">
        <x:v>191</x:v>
      </x:c>
      <x:c r="S297" s="47"/>
      <x:c r="T297" s="47"/>
      <x:c r="U297" s="47"/>
      <x:c r="V297" s="76">
        <x:v>-2.0940059999999998</x:v>
      </x:c>
      <x:c r="W297" s="47">
        <x:v>106.105633</x:v>
      </x:c>
      <x:c r="X297" s="47"/>
      <x:c r="Y297" s="49"/>
      <x:c r="Z297" s="49"/>
      <x:c r="AA297" s="47"/>
      <x:c r="AB297" s="80"/>
      <x:c r="AC297" s="49"/>
      <x:c r="AD297" s="50">
        <x:f t="shared" si="20"/>
        <x:v>1</x:v>
      </x:c>
      <x:c r="AE297" s="50">
        <x:f t="shared" si="21"/>
        <x:v>0.93333333333333335</x:v>
      </x:c>
    </x:row>
    <x:row r="298" s="48" customFormat="1" ht="12.5">
      <x:c r="A298" s="29" t="s">
        <x:v>686</x:v>
      </x:c>
      <x:c r="B298" s="47" t="s">
        <x:v>687</x:v>
      </x:c>
      <x:c r="C298" s="48" t="s">
        <x:v>63</x:v>
      </x:c>
      <x:c r="D298" s="47" t="s">
        <x:v>86</x:v>
      </x:c>
      <x:c r="E298" s="47" t="s">
        <x:v>275</x:v>
      </x:c>
      <x:c r="F298" s="48" t="str">
        <x:v>Jl. Jebung 1</x:v>
      </x:c>
      <x:c r="G298" s="48" t="str">
        <x:v>PT. KARYATEK PRIMA</x:v>
      </x:c>
      <x:c r="H298" s="48" t="str">
        <x:v>Dwi Pramono</x:v>
      </x:c>
      <x:c r="I298" s="48" t="str">
        <x:v>Pengembang Indonesia (PI)</x:v>
      </x:c>
      <x:c r="J298" s="48" t="n">
        <x:v>2017</x:v>
      </x:c>
      <x:c r="K298" s="48">
        <x:v>40</x:v>
      </x:c>
      <x:c r="L298" s="47">
        <x:v>40</x:v>
      </x:c>
      <x:c r="M298" s="48">
        <x:v>40</x:v>
      </x:c>
      <x:c r="N298" s="48" t="s">
        <x:v>66</x:v>
      </x:c>
      <x:c r="O298" s="48" t="n">
        <x:v>2022</x:v>
      </x:c>
      <x:c r="Q298" s="21" t="s">
        <x:v>67</x:v>
      </x:c>
      <x:c r="R298" s="48" t="s">
        <x:v>130</x:v>
      </x:c>
      <x:c r="S298" s="47"/>
      <x:c r="T298" s="47"/>
      <x:c r="U298" s="47"/>
      <x:c r="V298" s="76">
        <x:v>-2.0972919999999999</x:v>
      </x:c>
      <x:c r="W298" s="47">
        <x:v>106.10591599999999</x:v>
      </x:c>
      <x:c r="X298" s="47"/>
      <x:c r="Y298" s="49"/>
      <x:c r="Z298" s="49"/>
      <x:c r="AA298" s="47"/>
      <x:c r="AB298" s="80"/>
      <x:c r="AC298" s="49"/>
      <x:c r="AD298" s="50">
        <x:f t="shared" si="20"/>
        <x:v>1</x:v>
      </x:c>
      <x:c r="AE298" s="50">
        <x:f t="shared" si="21"/>
        <x:v>1</x:v>
      </x:c>
    </x:row>
    <x:row r="299" s="48" customFormat="1" ht="12.5">
      <x:c r="A299" s="29" t="s">
        <x:v>688</x:v>
      </x:c>
      <x:c r="B299" s="47" t="s">
        <x:v>689</x:v>
      </x:c>
      <x:c r="C299" s="48" t="s">
        <x:v>63</x:v>
      </x:c>
      <x:c r="D299" s="47" t="s">
        <x:v>86</x:v>
      </x:c>
      <x:c r="E299" s="47" t="s">
        <x:v>275</x:v>
      </x:c>
      <x:c r="F299" s="48" t="str">
        <x:v>Jl. Jebung 1</x:v>
      </x:c>
      <x:c r="G299" s="48" t="str">
        <x:v>PT. KARYA TEKNIK KONTRUKSI</x:v>
      </x:c>
      <x:c r="H299" s="48" t="str">
        <x:v>Dwi Pramono</x:v>
      </x:c>
      <x:c r="I299" s="48" t="str">
        <x:v>Pengembang Indonesia (PI)</x:v>
      </x:c>
      <x:c r="J299" s="48" t="n">
        <x:v>2017</x:v>
      </x:c>
      <x:c r="K299" s="48">
        <x:v>34</x:v>
      </x:c>
      <x:c r="L299" s="47">
        <x:v>33</x:v>
      </x:c>
      <x:c r="M299" s="48">
        <x:v>32</x:v>
      </x:c>
      <x:c r="N299" s="48" t="s">
        <x:v>66</x:v>
      </x:c>
      <x:c r="O299" s="48" t="n">
        <x:v>2022</x:v>
      </x:c>
      <x:c r="Q299" s="21" t="s">
        <x:v>67</x:v>
      </x:c>
      <x:c r="R299" s="48" t="s">
        <x:v>130</x:v>
      </x:c>
      <x:c r="S299" s="47"/>
      <x:c r="T299" s="47"/>
      <x:c r="U299" s="47"/>
      <x:c r="V299" s="76">
        <x:v>-2.0940059999999998</x:v>
      </x:c>
      <x:c r="W299" s="47">
        <x:v>106.105633</x:v>
      </x:c>
      <x:c r="X299" s="47"/>
      <x:c r="Y299" s="49"/>
      <x:c r="Z299" s="49"/>
      <x:c r="AA299" s="47"/>
      <x:c r="AB299" s="80"/>
      <x:c r="AC299" s="49"/>
      <x:c r="AD299" s="50">
        <x:f t="shared" si="20"/>
        <x:v>0.97058823529411764</x:v>
      </x:c>
      <x:c r="AE299" s="50">
        <x:f t="shared" si="21"/>
        <x:v>0.96969696969696972</x:v>
      </x:c>
    </x:row>
    <x:row r="300" s="48" customFormat="1" ht="12.5">
      <x:c r="A300" s="29" t="s">
        <x:v>690</x:v>
      </x:c>
      <x:c r="B300" s="47" t="s">
        <x:v>691</x:v>
      </x:c>
      <x:c r="C300" s="48" t="s">
        <x:v>63</x:v>
      </x:c>
      <x:c r="D300" s="47" t="s">
        <x:v>86</x:v>
      </x:c>
      <x:c r="E300" s="47" t="s">
        <x:v>275</x:v>
      </x:c>
      <x:c r="F300" s="48" t="str">
        <x:v>Jl. Jebung 1</x:v>
      </x:c>
      <x:c r="G300" s="48" t="str">
        <x:v>PT. KARYA TEKNIK KONTRUKSI</x:v>
      </x:c>
      <x:c r="H300" s="48" t="str">
        <x:v>Dwi Pramono</x:v>
      </x:c>
      <x:c r="I300" s="48" t="str">
        <x:v>Pengembang Indonesia (PI)</x:v>
      </x:c>
      <x:c r="J300" s="48" t="n">
        <x:v>2017</x:v>
      </x:c>
      <x:c r="K300" s="48">
        <x:v>50</x:v>
      </x:c>
      <x:c r="L300" s="47">
        <x:v>50</x:v>
      </x:c>
      <x:c r="M300" s="48">
        <x:v>42</x:v>
      </x:c>
      <x:c r="N300" s="48" t="s">
        <x:v>66</x:v>
      </x:c>
      <x:c r="O300" s="48" t="n">
        <x:v>2022</x:v>
      </x:c>
      <x:c r="Q300" s="21" t="s">
        <x:v>67</x:v>
      </x:c>
      <x:c r="R300" s="48" t="s">
        <x:v>130</x:v>
      </x:c>
      <x:c r="S300" s="47"/>
      <x:c r="T300" s="47"/>
      <x:c r="U300" s="47"/>
      <x:c r="V300" s="76">
        <x:v>-2.0929440000000001</x:v>
      </x:c>
      <x:c r="W300" s="47">
        <x:v>106.109611</x:v>
      </x:c>
      <x:c r="X300" s="47"/>
      <x:c r="Y300" s="49"/>
      <x:c r="Z300" s="49"/>
      <x:c r="AA300" s="47"/>
      <x:c r="AB300" s="80"/>
      <x:c r="AC300" s="49"/>
      <x:c r="AD300" s="50">
        <x:f t="shared" si="20"/>
        <x:v>1</x:v>
      </x:c>
      <x:c r="AE300" s="50">
        <x:f t="shared" si="21"/>
        <x:v>0.84</x:v>
      </x:c>
    </x:row>
    <x:row r="301" s="48" customFormat="1" ht="12.5">
      <x:c r="A301" s="29" t="s">
        <x:v>692</x:v>
      </x:c>
      <x:c r="B301" s="47" t="s">
        <x:v>693</x:v>
      </x:c>
      <x:c r="C301" s="48" t="s">
        <x:v>63</x:v>
      </x:c>
      <x:c r="D301" s="47" t="s">
        <x:v>86</x:v>
      </x:c>
      <x:c r="E301" s="47" t="s">
        <x:v>275</x:v>
      </x:c>
      <x:c r="F301" s="48" t="str">
        <x:v>Jl. Terubuk Dalam</x:v>
      </x:c>
      <x:c r="G301" s="48" t="str">
        <x:v>PT. KARYA TEKNIK KONTRUKSI</x:v>
      </x:c>
      <x:c r="H301" s="48" t="str">
        <x:v>Dwi Pramono</x:v>
      </x:c>
      <x:c r="I301" s="48" t="str">
        <x:v>Pengembang Indonesia (PI)</x:v>
      </x:c>
      <x:c r="J301" s="48" t="n">
        <x:v>2017</x:v>
      </x:c>
      <x:c r="K301" s="48">
        <x:v>26</x:v>
      </x:c>
      <x:c r="L301" s="47">
        <x:v>26</x:v>
      </x:c>
      <x:c r="M301" s="48">
        <x:v>24</x:v>
      </x:c>
      <x:c r="N301" s="48" t="s">
        <x:v>66</x:v>
      </x:c>
      <x:c r="O301" s="48" t="n">
        <x:v>2022</x:v>
      </x:c>
      <x:c r="Q301" s="21" t="s">
        <x:v>67</x:v>
      </x:c>
      <x:c r="R301" s="48" t="s">
        <x:v>191</x:v>
      </x:c>
      <x:c r="S301" s="47"/>
      <x:c r="T301" s="47"/>
      <x:c r="U301" s="47"/>
      <x:c r="V301" s="76">
        <x:v>-2.0958761250000002</x:v>
      </x:c>
      <x:c r="W301" s="47">
        <x:v>106.113303</x:v>
      </x:c>
      <x:c r="X301" s="47"/>
      <x:c r="Y301" s="49"/>
      <x:c r="Z301" s="49"/>
      <x:c r="AA301" s="47"/>
      <x:c r="AB301" s="80"/>
      <x:c r="AC301" s="49"/>
      <x:c r="AD301" s="50">
        <x:f t="shared" si="20"/>
        <x:v>1</x:v>
      </x:c>
      <x:c r="AE301" s="50">
        <x:f t="shared" si="21"/>
        <x:v>0.92307692307692313</x:v>
      </x:c>
    </x:row>
    <x:row r="302" s="48" customFormat="1" ht="12.5">
      <x:c r="A302" s="29" t="s">
        <x:v>694</x:v>
      </x:c>
      <x:c r="B302" s="47" t="s">
        <x:v>695</x:v>
      </x:c>
      <x:c r="C302" s="48" t="s">
        <x:v>63</x:v>
      </x:c>
      <x:c r="D302" s="47" t="s">
        <x:v>86</x:v>
      </x:c>
      <x:c r="E302" s="47" t="s">
        <x:v>87</x:v>
      </x:c>
      <x:c r="F302" s="48" t="str">
        <x:v>Jl. Stadion Depati Amir</x:v>
      </x:c>
      <x:c r="G302" s="48" t="str">
        <x:v>PT. KARYA TEKNIK KONTRUKSI</x:v>
      </x:c>
      <x:c r="H302" s="48" t="str">
        <x:v>Dwi Pramono</x:v>
      </x:c>
      <x:c r="I302" s="48" t="str">
        <x:v>Pengembang Indonesia (PI)</x:v>
      </x:c>
      <x:c r="J302" s="48" t="n">
        <x:v>2018</x:v>
      </x:c>
      <x:c r="K302" s="48">
        <x:v>55</x:v>
      </x:c>
      <x:c r="L302" s="47">
        <x:v>55</x:v>
      </x:c>
      <x:c r="M302" s="48">
        <x:v>54</x:v>
      </x:c>
      <x:c r="N302" s="48" t="s">
        <x:v>66</x:v>
      </x:c>
      <x:c r="O302" s="48" t="n">
        <x:v>2022</x:v>
      </x:c>
      <x:c r="Q302" s="48" t="s">
        <x:v>94</x:v>
      </x:c>
      <x:c r="R302" s="48" t="s">
        <x:v>191</x:v>
      </x:c>
      <x:c r="S302" s="47"/>
      <x:c r="T302" s="47"/>
      <x:c r="U302" s="47"/>
      <x:c r="V302" s="76">
        <x:v>-2.1036250000000001</x:v>
      </x:c>
      <x:c r="W302" s="47">
        <x:v>106.104417</x:v>
      </x:c>
      <x:c r="X302" s="47"/>
      <x:c r="Y302" s="49"/>
      <x:c r="Z302" s="49"/>
      <x:c r="AA302" s="47"/>
      <x:c r="AB302" s="80"/>
      <x:c r="AC302" s="49"/>
      <x:c r="AD302" s="50">
        <x:f t="shared" si="20"/>
        <x:v>1</x:v>
      </x:c>
      <x:c r="AE302" s="50">
        <x:f t="shared" si="21"/>
        <x:v>0.98181818181818181</x:v>
      </x:c>
    </x:row>
    <x:row r="303" s="48" customFormat="1" ht="12.5">
      <x:c r="A303" s="29" t="s">
        <x:v>696</x:v>
      </x:c>
      <x:c r="B303" s="47" t="s">
        <x:v>697</x:v>
      </x:c>
      <x:c r="C303" s="48" t="s">
        <x:v>63</x:v>
      </x:c>
      <x:c r="D303" s="47" t="s">
        <x:v>64</x:v>
      </x:c>
      <x:c r="E303" s="47" t="s">
        <x:v>152</x:v>
      </x:c>
      <x:c r="F303" s="48" t="str">
        <x:v>Jl. Fatmawati Kampak</x:v>
      </x:c>
      <x:c r="G303" s="48" t="str">
        <x:v>PT. KARYA TEKNIK KONTRUKSI</x:v>
      </x:c>
      <x:c r="H303" s="48" t="str">
        <x:v>Dwi Pramono</x:v>
      </x:c>
      <x:c r="I303" s="48" t="str">
        <x:v>Pengembang Indonesia (PI)</x:v>
      </x:c>
      <x:c r="J303" s="48" t="n">
        <x:v>2018</x:v>
      </x:c>
      <x:c r="K303" s="48">
        <x:v>37</x:v>
      </x:c>
      <x:c r="L303" s="47">
        <x:v>37</x:v>
      </x:c>
      <x:c r="M303" s="48">
        <x:v>37</x:v>
      </x:c>
      <x:c r="N303" s="48" t="s">
        <x:v>66</x:v>
      </x:c>
      <x:c r="O303" s="48" t="n">
        <x:v>2022</x:v>
      </x:c>
      <x:c r="Q303" s="21" t="s">
        <x:v>67</x:v>
      </x:c>
      <x:c r="R303" s="48" t="s">
        <x:v>130</x:v>
      </x:c>
      <x:c r="S303" s="47"/>
      <x:c r="T303" s="47"/>
      <x:c r="U303" s="47"/>
      <x:c r="V303" s="76">
        <x:v>-2.1039151</x:v>
      </x:c>
      <x:c r="W303" s="47">
        <x:v>106.0908293</x:v>
      </x:c>
      <x:c r="X303" s="47"/>
      <x:c r="Y303" s="49"/>
      <x:c r="Z303" s="49"/>
      <x:c r="AA303" s="47"/>
      <x:c r="AB303" s="80"/>
      <x:c r="AC303" s="49"/>
      <x:c r="AD303" s="50">
        <x:f t="shared" si="20"/>
        <x:v>1</x:v>
      </x:c>
      <x:c r="AE303" s="50">
        <x:f t="shared" si="21"/>
        <x:v>1</x:v>
      </x:c>
    </x:row>
    <x:row r="304" s="48" customFormat="1" ht="12.5">
      <x:c r="A304" s="29" t="s">
        <x:v>698</x:v>
      </x:c>
      <x:c r="B304" s="47" t="s">
        <x:v>699</x:v>
      </x:c>
      <x:c r="C304" s="48" t="s">
        <x:v>63</x:v>
      </x:c>
      <x:c r="D304" s="47" t="s">
        <x:v>64</x:v>
      </x:c>
      <x:c r="E304" s="47" t="s">
        <x:v>194</x:v>
      </x:c>
      <x:c r="F304" s="48" t="str">
        <x:v>Jl. Bukit Manggis</x:v>
      </x:c>
      <x:c r="G304" s="48" t="str">
        <x:v>PT. KARYA TEKNIK KONTRUKSI</x:v>
      </x:c>
      <x:c r="H304" s="48" t="str">
        <x:v>Dwi Pramono</x:v>
      </x:c>
      <x:c r="I304" s="48" t="str">
        <x:v>Pengembang Indonesia (PI)</x:v>
      </x:c>
      <x:c r="J304" s="48" t="n">
        <x:v>2018</x:v>
      </x:c>
      <x:c r="K304" s="48">
        <x:v>20</x:v>
      </x:c>
      <x:c r="L304" s="47">
        <x:v>20</x:v>
      </x:c>
      <x:c r="M304" s="48">
        <x:v>20</x:v>
      </x:c>
      <x:c r="N304" s="48" t="s">
        <x:v>66</x:v>
      </x:c>
      <x:c r="O304" s="48" t="n">
        <x:v>2022</x:v>
      </x:c>
      <x:c r="Q304" s="21" t="s">
        <x:v>67</x:v>
      </x:c>
      <x:c r="R304" s="48" t="s">
        <x:v>130</x:v>
      </x:c>
      <x:c r="S304" s="47"/>
      <x:c r="T304" s="47"/>
      <x:c r="U304" s="47"/>
      <x:c r="V304" s="76">
        <x:v>-2.1048110000000002</x:v>
      </x:c>
      <x:c r="W304" s="47">
        <x:v>106.088823</x:v>
      </x:c>
      <x:c r="X304" s="47"/>
      <x:c r="Y304" s="49"/>
      <x:c r="Z304" s="49"/>
      <x:c r="AA304" s="47"/>
      <x:c r="AB304" s="80"/>
      <x:c r="AC304" s="49"/>
      <x:c r="AD304" s="50">
        <x:f t="shared" si="20"/>
        <x:v>1</x:v>
      </x:c>
      <x:c r="AE304" s="50">
        <x:f t="shared" si="21"/>
        <x:v>1</x:v>
      </x:c>
    </x:row>
    <x:row r="305" s="48" customFormat="1" ht="12.5">
      <x:c r="A305" s="29" t="s">
        <x:v>700</x:v>
      </x:c>
      <x:c r="B305" s="47" t="s">
        <x:v>701</x:v>
      </x:c>
      <x:c r="C305" s="48" t="s">
        <x:v>63</x:v>
      </x:c>
      <x:c r="D305" s="47" t="s">
        <x:v>86</x:v>
      </x:c>
      <x:c r="E305" s="47" t="s">
        <x:v>87</x:v>
      </x:c>
      <x:c r="F305" s="48" t="str">
        <x:v>Jl. M. Saleh Zainudin</x:v>
      </x:c>
      <x:c r="G305" s="48" t="str">
        <x:v>PT. KARYA TEKNIK KONTRUKSI</x:v>
      </x:c>
      <x:c r="H305" s="48" t="str">
        <x:v>Dwi Pramono</x:v>
      </x:c>
      <x:c r="I305" s="48" t="str">
        <x:v>Pengembang Indonesia (PI)</x:v>
      </x:c>
      <x:c r="J305" s="48" t="n">
        <x:v>2018</x:v>
      </x:c>
      <x:c r="K305" s="48">
        <x:v>39</x:v>
      </x:c>
      <x:c r="L305" s="47">
        <x:v>35</x:v>
      </x:c>
      <x:c r="M305" s="48">
        <x:v>34</x:v>
      </x:c>
      <x:c r="N305" s="48" t="s">
        <x:v>66</x:v>
      </x:c>
      <x:c r="O305" s="48" t="n">
        <x:v>2022</x:v>
      </x:c>
      <x:c r="Q305" s="48" t="s">
        <x:v>94</x:v>
      </x:c>
      <x:c r="R305" s="48" t="s">
        <x:v>81</x:v>
      </x:c>
      <x:c r="S305" s="47"/>
      <x:c r="T305" s="47"/>
      <x:c r="U305" s="47"/>
      <x:c r="V305" s="76">
        <x:v>-2.1032679999999999</x:v>
      </x:c>
      <x:c r="W305" s="47">
        <x:v>106.102847</x:v>
      </x:c>
      <x:c r="X305" s="47"/>
      <x:c r="Y305" s="49"/>
      <x:c r="Z305" s="49"/>
      <x:c r="AA305" s="47"/>
      <x:c r="AB305" s="80"/>
      <x:c r="AC305" s="49"/>
      <x:c r="AD305" s="50">
        <x:f t="shared" si="20"/>
        <x:v>0.89743589743589747</x:v>
      </x:c>
      <x:c r="AE305" s="50">
        <x:f t="shared" si="21"/>
        <x:v>0.97142857142857142</x:v>
      </x:c>
    </x:row>
    <x:row r="306" s="48" customFormat="1" ht="12.5">
      <x:c r="A306" s="29" t="s">
        <x:v>702</x:v>
      </x:c>
      <x:c r="B306" s="47" t="s">
        <x:v>703</x:v>
      </x:c>
      <x:c r="C306" s="48" t="s">
        <x:v>63</x:v>
      </x:c>
      <x:c r="D306" s="47" t="s">
        <x:v>64</x:v>
      </x:c>
      <x:c r="E306" s="47" t="s">
        <x:v>73</x:v>
      </x:c>
      <x:c r="F306" s="48" t="str">
        <x:v>Jl. Tampuk Pengembang Indonesia (PI)nang Pura</x:v>
      </x:c>
      <x:c r="G306" s="48" t="str">
        <x:v>PT. KARYA TEKNIK KONTRUKSI</x:v>
      </x:c>
      <x:c r="H306" s="48" t="str">
        <x:v>Dwi Pramono</x:v>
      </x:c>
      <x:c r="I306" s="48" t="str">
        <x:v>Pengembang Indonesia (PI)</x:v>
      </x:c>
      <x:c r="J306" s="48" t="n">
        <x:v>2018</x:v>
      </x:c>
      <x:c r="K306" s="48">
        <x:v>35</x:v>
      </x:c>
      <x:c r="L306" s="47">
        <x:v>35</x:v>
      </x:c>
      <x:c r="M306" s="48">
        <x:v>35</x:v>
      </x:c>
      <x:c r="N306" s="48" t="s">
        <x:v>78</x:v>
      </x:c>
      <x:c r="O306" s="48"/>
      <x:c r="Q306" s="21" t="s">
        <x:v>67</x:v>
      </x:c>
      <x:c r="S306" s="47"/>
      <x:c r="T306" s="47"/>
      <x:c r="U306" s="47"/>
      <x:c r="V306" s="76">
        <x:v>-2.1212407999999998</x:v>
      </x:c>
      <x:c r="W306" s="47">
        <x:v>106.07339570000001</x:v>
      </x:c>
      <x:c r="X306" s="47"/>
      <x:c r="Y306" s="49"/>
      <x:c r="Z306" s="49"/>
      <x:c r="AA306" s="47"/>
      <x:c r="AB306" s="80"/>
      <x:c r="AC306" s="49"/>
      <x:c r="AD306" s="50">
        <x:f t="shared" si="20"/>
        <x:v>1</x:v>
      </x:c>
      <x:c r="AE306" s="50">
        <x:f t="shared" si="21"/>
        <x:v>1</x:v>
      </x:c>
    </x:row>
    <x:row r="307" s="48" customFormat="1" ht="12.5">
      <x:c r="A307" s="29" t="s">
        <x:v>704</x:v>
      </x:c>
      <x:c r="B307" s="47" t="s">
        <x:v>705</x:v>
      </x:c>
      <x:c r="C307" s="48" t="s">
        <x:v>63</x:v>
      </x:c>
      <x:c r="D307" s="47" t="s">
        <x:v>86</x:v>
      </x:c>
      <x:c r="E307" s="47" t="s">
        <x:v>93</x:v>
      </x:c>
      <x:c r="F307" s="48" t="str">
        <x:v>Jl. Lingkar Barat</x:v>
      </x:c>
      <x:c r="G307" s="48" t="str">
        <x:v>PT. KARYA TEKNIK KONTRUKSI</x:v>
      </x:c>
      <x:c r="H307" s="48" t="str">
        <x:v>Dwi Pramono</x:v>
      </x:c>
      <x:c r="I307" s="48" t="str">
        <x:v>Pengembang Indonesia (PI)</x:v>
      </x:c>
      <x:c r="J307" s="48" t="n">
        <x:v>2019</x:v>
      </x:c>
      <x:c r="K307" s="48">
        <x:v>39</x:v>
      </x:c>
      <x:c r="L307" s="47">
        <x:v>39</x:v>
      </x:c>
      <x:c r="M307" s="48">
        <x:v>31</x:v>
      </x:c>
      <x:c r="N307" s="48" t="s">
        <x:v>78</x:v>
      </x:c>
      <x:c r="O307" s="48"/>
      <x:c r="Q307" s="21" t="s">
        <x:v>67</x:v>
      </x:c>
      <x:c r="R307" s="21" t="s">
        <x:v>108</x:v>
      </x:c>
      <x:c r="S307" s="47"/>
      <x:c r="T307" s="47"/>
      <x:c r="U307" s="47"/>
      <x:c r="V307" s="76">
        <x:v>-2.0921159999999999</x:v>
      </x:c>
      <x:c r="W307" s="47">
        <x:v>106.092775</x:v>
      </x:c>
      <x:c r="X307" s="47"/>
      <x:c r="Y307" s="49"/>
      <x:c r="Z307" s="49"/>
      <x:c r="AA307" s="47"/>
      <x:c r="AB307" s="80"/>
      <x:c r="AC307" s="49"/>
      <x:c r="AD307" s="50">
        <x:f t="shared" si="20"/>
        <x:v>1</x:v>
      </x:c>
      <x:c r="AE307" s="50">
        <x:f t="shared" si="21"/>
        <x:v>0.79487179487179482</x:v>
      </x:c>
    </x:row>
    <x:row r="308" s="48" customFormat="1" ht="12.5">
      <x:c r="A308" s="29" t="s">
        <x:v>706</x:v>
      </x:c>
      <x:c r="B308" s="47" t="s">
        <x:v>707</x:v>
      </x:c>
      <x:c r="C308" s="48" t="s">
        <x:v>63</x:v>
      </x:c>
      <x:c r="D308" s="47" t="s">
        <x:v>64</x:v>
      </x:c>
      <x:c r="E308" s="47" t="s">
        <x:v>65</x:v>
      </x:c>
      <x:c r="F308" s="48" t="str">
        <x:v>Jl. Mawar</x:v>
      </x:c>
      <x:c r="G308" s="48" t="str">
        <x:v>PT. KARYA TEKNIK KONTRUKSI</x:v>
      </x:c>
      <x:c r="H308" s="48" t="str">
        <x:v>Dwi Pramono</x:v>
      </x:c>
      <x:c r="I308" s="48" t="str">
        <x:v>Pengembang Indonesia (PI)</x:v>
      </x:c>
      <x:c r="J308" s="48" t="n">
        <x:v>2019</x:v>
      </x:c>
      <x:c r="K308" s="48">
        <x:v>39</x:v>
      </x:c>
      <x:c r="L308" s="47">
        <x:v>36</x:v>
      </x:c>
      <x:c r="M308" s="48">
        <x:v>36</x:v>
      </x:c>
      <x:c r="N308" s="48" t="s">
        <x:v>78</x:v>
      </x:c>
      <x:c r="O308" s="48"/>
      <x:c r="Q308" s="21" t="s">
        <x:v>67</x:v>
      </x:c>
      <x:c r="S308" s="47"/>
      <x:c r="T308" s="47"/>
      <x:c r="U308" s="47"/>
      <x:c r="V308" s="76">
        <x:v>-2.109334</x:v>
      </x:c>
      <x:c r="W308" s="47">
        <x:v>106.08140899999999</x:v>
      </x:c>
      <x:c r="X308" s="47"/>
      <x:c r="Y308" s="49"/>
      <x:c r="Z308" s="49"/>
      <x:c r="AA308" s="47"/>
      <x:c r="AB308" s="80"/>
      <x:c r="AC308" s="49"/>
      <x:c r="AD308" s="50">
        <x:f t="shared" si="20"/>
        <x:v>0.92307692307692313</x:v>
      </x:c>
      <x:c r="AE308" s="50">
        <x:f t="shared" si="21"/>
        <x:v>1</x:v>
      </x:c>
    </x:row>
    <x:row r="309" s="48" customFormat="1" ht="12.5">
      <x:c r="A309" s="29" t="s">
        <x:v>708</x:v>
      </x:c>
      <x:c r="B309" s="47" t="s">
        <x:v>709</x:v>
      </x:c>
      <x:c r="C309" s="48" t="s">
        <x:v>63</x:v>
      </x:c>
      <x:c r="D309" s="47" t="s">
        <x:v>86</x:v>
      </x:c>
      <x:c r="E309" s="47" t="s">
        <x:v>93</x:v>
      </x:c>
      <x:c r="F309" s="48" t="str">
        <x:v>Jl. Kampak Dalam</x:v>
      </x:c>
      <x:c r="G309" s="48" t="str">
        <x:v>PT. KARYA TEKNIK KONSTRUKSI</x:v>
      </x:c>
      <x:c r="H309" s="48" t="str">
        <x:v>Tri Wibowo</x:v>
      </x:c>
      <x:c r="I309" s="48" t="str">
        <x:v>Pengembang Indonesia (PI)</x:v>
      </x:c>
      <x:c r="J309" s="48" t="n">
        <x:v>2021</x:v>
      </x:c>
      <x:c r="K309" s="48">
        <x:v>34</x:v>
      </x:c>
      <x:c r="L309" s="47">
        <x:v>34</x:v>
      </x:c>
      <x:c r="M309" s="48">
        <x:v>34</x:v>
      </x:c>
      <x:c r="N309" s="48" t="s">
        <x:v>78</x:v>
      </x:c>
      <x:c r="O309" s="48"/>
      <x:c r="Q309" s="21" t="s">
        <x:v>67</x:v>
      </x:c>
      <x:c r="R309" s="21" t="s">
        <x:v>108</x:v>
      </x:c>
      <x:c r="S309" s="47"/>
      <x:c r="T309" s="47"/>
      <x:c r="U309" s="47"/>
      <x:c r="V309" s="76"/>
      <x:c r="W309" s="47"/>
      <x:c r="X309" s="47"/>
      <x:c r="Y309" s="49"/>
      <x:c r="Z309" s="49"/>
      <x:c r="AA309" s="47"/>
      <x:c r="AB309" s="80"/>
      <x:c r="AC309" s="49"/>
      <x:c r="AD309" s="50" t="n">
        <x:f t="shared" ref="AD309:AD340" si="22">IF(A309="","",IFERROR(L309/K309,0))</x:f>
        <x:v>1</x:v>
      </x:c>
      <x:c r="AE309" s="50" t="n">
        <x:f t="shared" ref="AE309:AE340" si="23">IF(A309="","",IFERROR(M309/L309,0))</x:f>
        <x:v>1</x:v>
      </x:c>
    </x:row>
    <x:row r="310" s="48" customFormat="1" ht="12.5">
      <x:c r="A310" s="29" t="s">
        <x:v>710</x:v>
      </x:c>
      <x:c r="B310" s="47" t="s">
        <x:v>711</x:v>
      </x:c>
      <x:c r="C310" s="48" t="s">
        <x:v>63</x:v>
      </x:c>
      <x:c r="D310" s="47" t="s">
        <x:v>64</x:v>
      </x:c>
      <x:c r="E310" s="47" t="s">
        <x:v>65</x:v>
      </x:c>
      <x:c r="F310" s="48" t="str">
        <x:v>Jl. Mawar</x:v>
      </x:c>
      <x:c r="G310" s="48" t="str">
        <x:v>PT. KARYA TEKNIK KONSTRUKSI</x:v>
      </x:c>
      <x:c r="H310" s="48" t="str">
        <x:v>Rifky Pramana Putra</x:v>
      </x:c>
      <x:c r="I310" s="48" t="str">
        <x:v>Pengembang Indonesia (PI)</x:v>
      </x:c>
      <x:c r="J310" s="48" t="n">
        <x:v>2022</x:v>
      </x:c>
      <x:c r="K310" s="48">
        <x:v>58</x:v>
      </x:c>
      <x:c r="L310" s="47">
        <x:v>58</x:v>
      </x:c>
      <x:c r="M310" s="48">
        <x:v>0</x:v>
      </x:c>
      <x:c r="N310" s="48" t="s">
        <x:v>78</x:v>
      </x:c>
      <x:c r="O310" s="48"/>
      <x:c r="Q310" s="21" t="s">
        <x:v>67</x:v>
      </x:c>
      <x:c r="R310" s="48" t="s">
        <x:v>108</x:v>
      </x:c>
      <x:c r="S310" s="47"/>
      <x:c r="T310" s="47"/>
      <x:c r="U310" s="47"/>
      <x:c r="V310" s="76">
        <x:v>-2.1086290000000001</x:v>
      </x:c>
      <x:c r="W310" s="47">
        <x:v>106.080664</x:v>
      </x:c>
      <x:c r="X310" s="47"/>
      <x:c r="Y310" s="49"/>
      <x:c r="Z310" s="49"/>
      <x:c r="AA310" s="47"/>
      <x:c r="AB310" s="80"/>
      <x:c r="AC310" s="49"/>
      <x:c r="AD310" s="50">
        <x:f t="shared" si="22"/>
        <x:v>1</x:v>
      </x:c>
      <x:c r="AE310" s="50">
        <x:f t="shared" si="23"/>
        <x:v>0</x:v>
      </x:c>
    </x:row>
    <x:row r="311" s="48" customFormat="1" ht="12.5">
      <x:c r="A311" s="29" t="s">
        <x:v>712</x:v>
      </x:c>
      <x:c r="B311" s="47" t="s">
        <x:v>713</x:v>
      </x:c>
      <x:c r="C311" s="48" t="s">
        <x:v>63</x:v>
      </x:c>
      <x:c r="D311" s="47" t="s">
        <x:v>86</x:v>
      </x:c>
      <x:c r="E311" s="47" t="s">
        <x:v>87</x:v>
      </x:c>
      <x:c r="F311" s="48" t="str">
        <x:v>Jl. Pengembang Indonesia (PI)kas 1</x:v>
      </x:c>
      <x:c r="G311" s="48" t="str">
        <x:v>PT. KARYA TEKNIK KONSTRUKSI</x:v>
      </x:c>
      <x:c r="H311" s="48" t="str">
        <x:v>Tri Wibowo</x:v>
      </x:c>
      <x:c r="I311" s="48" t="str">
        <x:v>Pengembang Indonesia (PI)</x:v>
      </x:c>
      <x:c r="J311" s="48" t="n">
        <x:v>2022</x:v>
      </x:c>
      <x:c r="K311" s="48">
        <x:v>36</x:v>
      </x:c>
      <x:c r="L311" s="47">
        <x:v>33</x:v>
      </x:c>
      <x:c r="M311" s="48">
        <x:v>33</x:v>
      </x:c>
      <x:c r="N311" s="48" t="s">
        <x:v>78</x:v>
      </x:c>
      <x:c r="O311" s="48"/>
      <x:c r="Q311" s="21" t="s">
        <x:v>67</x:v>
      </x:c>
      <x:c r="S311" s="47"/>
      <x:c r="T311" s="47"/>
      <x:c r="U311" s="47"/>
      <x:c r="V311" s="76">
        <x:v>-2.1061350000000001</x:v>
      </x:c>
      <x:c r="W311" s="47">
        <x:v>106.102529</x:v>
      </x:c>
      <x:c r="X311" s="47"/>
      <x:c r="Y311" s="49"/>
      <x:c r="Z311" s="49"/>
      <x:c r="AA311" s="47"/>
      <x:c r="AB311" s="80"/>
      <x:c r="AC311" s="49"/>
      <x:c r="AD311" s="50">
        <x:f t="shared" si="22"/>
        <x:v>0.91666666666666663</x:v>
      </x:c>
      <x:c r="AE311" s="50">
        <x:f t="shared" si="23"/>
        <x:v>1</x:v>
      </x:c>
    </x:row>
    <x:row r="312" s="48" customFormat="1" ht="12.5">
      <x:c r="A312" s="29" t="s">
        <x:v>714</x:v>
      </x:c>
      <x:c r="B312" s="47" t="s">
        <x:v>715</x:v>
      </x:c>
      <x:c r="C312" s="48" t="s">
        <x:v>63</x:v>
      </x:c>
      <x:c r="D312" s="47" t="s">
        <x:v>64</x:v>
      </x:c>
      <x:c r="E312" s="47" t="s">
        <x:v>65</x:v>
      </x:c>
      <x:c r="F312" s="48" t="str">
        <x:v>Jl. Kampung Melayu</x:v>
      </x:c>
      <x:c r="G312" s="48" t="str">
        <x:v>PT. KARYA TEKNIK KONSTRUKSI</x:v>
      </x:c>
      <x:c r="H312" s="48" t="str">
        <x:v>Rifky Pramana Putra</x:v>
      </x:c>
      <x:c r="I312" s="48" t="str">
        <x:v>Pengembang Indonesia (PI)</x:v>
      </x:c>
      <x:c r="J312" s="48" t="n">
        <x:v>2023</x:v>
      </x:c>
      <x:c r="K312" s="48">
        <x:v>35</x:v>
      </x:c>
      <x:c r="L312" s="47">
        <x:v>29</x:v>
      </x:c>
      <x:c r="M312" s="48">
        <x:v>21</x:v>
      </x:c>
      <x:c r="N312" s="48" t="s">
        <x:v>78</x:v>
      </x:c>
      <x:c r="O312" s="48"/>
      <x:c r="Q312" s="21" t="s">
        <x:v>67</x:v>
      </x:c>
      <x:c r="R312" s="21" t="s">
        <x:v>108</x:v>
      </x:c>
      <x:c r="S312" s="47"/>
      <x:c r="T312" s="47"/>
      <x:c r="U312" s="47"/>
      <x:c r="V312" s="76">
        <x:v>-2.1097893000000001</x:v>
      </x:c>
      <x:c r="W312" s="47">
        <x:v>106.0797096</x:v>
      </x:c>
      <x:c r="X312" s="47"/>
      <x:c r="Y312" s="49"/>
      <x:c r="Z312" s="49"/>
      <x:c r="AA312" s="47"/>
      <x:c r="AB312" s="80"/>
      <x:c r="AC312" s="49"/>
      <x:c r="AD312" s="50">
        <x:f t="shared" si="22"/>
        <x:v>0.82857142857142863</x:v>
      </x:c>
      <x:c r="AE312" s="50">
        <x:f t="shared" si="23"/>
        <x:v>0.72413793103448276</x:v>
      </x:c>
    </x:row>
    <x:row r="313" s="48" customFormat="1" ht="12.5">
      <x:c r="A313" s="29" t="s">
        <x:v>716</x:v>
      </x:c>
      <x:c r="B313" s="47" t="s">
        <x:v>717</x:v>
      </x:c>
      <x:c r="C313" s="48" t="s">
        <x:v>63</x:v>
      </x:c>
      <x:c r="D313" s="47" t="s">
        <x:v>86</x:v>
      </x:c>
      <x:c r="E313" s="47" t="s">
        <x:v>86</x:v>
      </x:c>
      <x:c r="F313" s="48" t="str">
        <x:v>Jl. Stadion Dalam</x:v>
      </x:c>
      <x:c r="G313" s="48" t="str">
        <x:v>PT. KARYA TEKNIK KONSTRUKSI</x:v>
      </x:c>
      <x:c r="H313" s="48" t="str">
        <x:v>Rifky Pramana Putra</x:v>
      </x:c>
      <x:c r="I313" s="48" t="str">
        <x:v>Pengembang Indonesia (PI)</x:v>
      </x:c>
      <x:c r="J313" s="48" t="n">
        <x:v>2024</x:v>
      </x:c>
      <x:c r="K313" s="48">
        <x:v>62</x:v>
      </x:c>
      <x:c r="L313" s="47">
        <x:v>0</x:v>
      </x:c>
      <x:c r="M313" s="48">
        <x:v>0</x:v>
      </x:c>
      <x:c r="N313" s="48" t="s">
        <x:v>78</x:v>
      </x:c>
      <x:c r="O313" s="48"/>
      <x:c r="Q313" s="21" t="s">
        <x:v>67</x:v>
      </x:c>
      <x:c r="R313" s="48" t="s">
        <x:v>108</x:v>
      </x:c>
      <x:c r="S313" s="47"/>
      <x:c r="T313" s="47"/>
      <x:c r="U313" s="47"/>
      <x:c r="V313" s="76">
        <x:v>-2.10541</x:v>
      </x:c>
      <x:c r="W313" s="47">
        <x:v>106.107096</x:v>
      </x:c>
      <x:c r="X313" s="47"/>
      <x:c r="Y313" s="49"/>
      <x:c r="Z313" s="49"/>
      <x:c r="AA313" s="47"/>
      <x:c r="AB313" s="80"/>
      <x:c r="AC313" s="49"/>
      <x:c r="AD313" s="50">
        <x:f t="shared" si="22"/>
        <x:v>0</x:v>
      </x:c>
      <x:c r="AE313" s="50">
        <x:f t="shared" si="23"/>
        <x:v>0</x:v>
      </x:c>
    </x:row>
    <x:row r="314" s="48" customFormat="1" ht="12.5">
      <x:c r="A314" s="29" t="s">
        <x:v>718</x:v>
      </x:c>
      <x:c r="B314" s="47" t="s">
        <x:v>719</x:v>
      </x:c>
      <x:c r="C314" s="48" t="s">
        <x:v>63</x:v>
      </x:c>
      <x:c r="D314" s="47" t="s">
        <x:v>64</x:v>
      </x:c>
      <x:c r="E314" s="47" t="s">
        <x:v>152</x:v>
      </x:c>
      <x:c r="F314" s="48" t="str">
        <x:v>Jl. Fatmawati</x:v>
      </x:c>
      <x:c r="G314" s="48" t="str">
        <x:v>PT. KARYA TEKNIK KONSTRUKSI</x:v>
      </x:c>
      <x:c r="H314" s="48" t="str">
        <x:v>Tri Wibowo</x:v>
      </x:c>
      <x:c r="I314" s="48" t="str">
        <x:v>Pengembang Indonesia (PI)</x:v>
      </x:c>
      <x:c r="J314" s="48" t="n">
        <x:v>2019</x:v>
      </x:c>
      <x:c r="K314" s="48">
        <x:v>115</x:v>
      </x:c>
      <x:c r="L314" s="47">
        <x:v>115</x:v>
      </x:c>
      <x:c r="M314" s="48">
        <x:v>115</x:v>
      </x:c>
      <x:c r="N314" s="48" t="s">
        <x:v>78</x:v>
      </x:c>
      <x:c r="O314" s="48"/>
      <x:c r="Q314" s="21" t="s">
        <x:v>67</x:v>
      </x:c>
      <x:c r="S314" s="47"/>
      <x:c r="T314" s="47"/>
      <x:c r="U314" s="47"/>
      <x:c r="V314" s="76">
        <x:v>-2.1040869999999998</x:v>
      </x:c>
      <x:c r="W314" s="47">
        <x:v>106.09254199999999</x:v>
      </x:c>
      <x:c r="X314" s="47"/>
      <x:c r="Y314" s="49"/>
      <x:c r="Z314" s="49"/>
      <x:c r="AA314" s="47"/>
      <x:c r="AB314" s="80"/>
      <x:c r="AC314" s="49"/>
      <x:c r="AD314" s="50">
        <x:f t="shared" si="22"/>
        <x:v>1</x:v>
      </x:c>
      <x:c r="AE314" s="50">
        <x:f t="shared" si="23"/>
        <x:v>1</x:v>
      </x:c>
    </x:row>
    <x:row r="315" s="48" customFormat="1" ht="12.5">
      <x:c r="A315" s="29" t="s">
        <x:v>720</x:v>
      </x:c>
      <x:c r="B315" s="47" t="s">
        <x:v>721</x:v>
      </x:c>
      <x:c r="C315" s="48" t="s">
        <x:v>63</x:v>
      </x:c>
      <x:c r="D315" s="47" t="s">
        <x:v>64</x:v>
      </x:c>
      <x:c r="E315" s="47" t="s">
        <x:v>152</x:v>
      </x:c>
      <x:c r="F315" s="48" t="str">
        <x:v>Jl. Fatmawati</x:v>
      </x:c>
      <x:c r="G315" s="48" t="str">
        <x:v>PT. KARYA TEKNIK KONSTRUKSI</x:v>
      </x:c>
      <x:c r="H315" s="48" t="str">
        <x:v>Tri Wibowo</x:v>
      </x:c>
      <x:c r="I315" s="48" t="str">
        <x:v>Pengembang Indonesia (PI)</x:v>
      </x:c>
      <x:c r="J315" s="48" t="n">
        <x:v>2019</x:v>
      </x:c>
      <x:c r="K315" s="48">
        <x:v>83</x:v>
      </x:c>
      <x:c r="L315" s="47">
        <x:v>78</x:v>
      </x:c>
      <x:c r="M315" s="48">
        <x:v>78</x:v>
      </x:c>
      <x:c r="N315" s="48" t="s">
        <x:v>78</x:v>
      </x:c>
      <x:c r="O315" s="48"/>
      <x:c r="Q315" s="21" t="s">
        <x:v>67</x:v>
      </x:c>
      <x:c r="S315" s="47"/>
      <x:c r="T315" s="47"/>
      <x:c r="U315" s="47"/>
      <x:c r="V315" s="76">
        <x:v>-2.1046480000000001</x:v>
      </x:c>
      <x:c r="W315" s="47">
        <x:v>106.093439</x:v>
      </x:c>
      <x:c r="X315" s="47"/>
      <x:c r="Y315" s="49"/>
      <x:c r="Z315" s="49"/>
      <x:c r="AA315" s="47"/>
      <x:c r="AB315" s="80"/>
      <x:c r="AC315" s="49"/>
      <x:c r="AD315" s="50">
        <x:f t="shared" si="22"/>
        <x:v>0.93975903614457834</x:v>
      </x:c>
      <x:c r="AE315" s="50">
        <x:f t="shared" si="23"/>
        <x:v>1</x:v>
      </x:c>
    </x:row>
    <x:row r="316" s="48" customFormat="1" ht="12.5">
      <x:c r="A316" s="29" t="s">
        <x:v>722</x:v>
      </x:c>
      <x:c r="B316" s="47" t="s">
        <x:v>723</x:v>
      </x:c>
      <x:c r="C316" s="48" t="s">
        <x:v>179</x:v>
      </x:c>
      <x:c r="D316" s="47" t="s">
        <x:v>104</x:v>
      </x:c>
      <x:c r="E316" s="47" t="s">
        <x:v>209</x:v>
      </x:c>
      <x:c r="F316" s="48" t="str">
        <x:v>Jl. Pulad Bangka</x:v>
      </x:c>
      <x:c r="G316" s="48" t="str">
        <x:v>Belum Teridentifikasi</x:v>
      </x:c>
      <x:c r="H316" s="48" t="str">
        <x:v>Belum Teridentifikasi</x:v>
      </x:c>
      <x:c r="I316" s="48" t="str">
        <x:v>Belum Teridentifikasi</x:v>
      </x:c>
      <x:c r="J316" s="48"/>
      <x:c r="K316" s="48">
        <x:v>90</x:v>
      </x:c>
      <x:c r="L316" s="47">
        <x:v>0</x:v>
      </x:c>
      <x:c r="M316" s="48">
        <x:v>0</x:v>
      </x:c>
      <x:c r="N316" s="48" t="s">
        <x:v>78</x:v>
      </x:c>
      <x:c r="O316" s="48"/>
      <x:c r="Q316" s="48" t="s">
        <x:v>94</x:v>
      </x:c>
      <x:c r="S316" s="47"/>
      <x:c r="T316" s="47"/>
      <x:c r="U316" s="47"/>
      <x:c r="V316" s="76"/>
      <x:c r="W316" s="47"/>
      <x:c r="X316" s="47"/>
      <x:c r="Y316" s="49"/>
      <x:c r="Z316" s="49"/>
      <x:c r="AA316" s="47"/>
      <x:c r="AB316" s="80"/>
      <x:c r="AC316" s="49"/>
      <x:c r="AD316" s="50">
        <x:f t="shared" si="22"/>
        <x:v>0</x:v>
      </x:c>
      <x:c r="AE316" s="50">
        <x:f t="shared" si="23"/>
        <x:v>0</x:v>
      </x:c>
    </x:row>
    <x:row r="317" s="48" customFormat="1" ht="12.5">
      <x:c r="A317" s="29" t="s">
        <x:v>724</x:v>
      </x:c>
      <x:c r="B317" s="47" t="s">
        <x:v>725</x:v>
      </x:c>
      <x:c r="C317" s="48" t="s">
        <x:v>63</x:v>
      </x:c>
      <x:c r="D317" s="47" t="s">
        <x:v>64</x:v>
      </x:c>
      <x:c r="E317" s="47" t="s">
        <x:v>65</x:v>
      </x:c>
      <x:c r="F317" s="48" t="str">
        <x:v>Jl. Raya Tua Tunu</x:v>
      </x:c>
      <x:c r="G317" s="48" t="str">
        <x:v>PT. PARAHYANGAN DWI KARYA</x:v>
      </x:c>
      <x:c r="H317" s="48" t="str">
        <x:v>Hendrawan/Anugrah Wiyogo</x:v>
      </x:c>
      <x:c r="I317" s="48" t="str">
        <x:v>Real Estate Indonesia (REI)</x:v>
      </x:c>
      <x:c r="J317" s="48" t="n">
        <x:v>2015</x:v>
      </x:c>
      <x:c r="K317" s="48">
        <x:v>75</x:v>
      </x:c>
      <x:c r="L317" s="47">
        <x:v>43</x:v>
      </x:c>
      <x:c r="M317" s="48">
        <x:v>43</x:v>
      </x:c>
      <x:c r="N317" s="48" t="s">
        <x:v>78</x:v>
      </x:c>
      <x:c r="O317" s="48"/>
      <x:c r="Q317" s="21" t="s">
        <x:v>67</x:v>
      </x:c>
      <x:c r="R317" s="21" t="s">
        <x:v>108</x:v>
      </x:c>
      <x:c r="S317" s="47"/>
      <x:c r="T317" s="47"/>
      <x:c r="U317" s="47"/>
      <x:c r="V317" s="76"/>
      <x:c r="W317" s="47"/>
      <x:c r="X317" s="47"/>
      <x:c r="Y317" s="49"/>
      <x:c r="Z317" s="49"/>
      <x:c r="AA317" s="47"/>
      <x:c r="AB317" s="80"/>
      <x:c r="AC317" s="49"/>
      <x:c r="AD317" s="50">
        <x:f t="shared" si="22"/>
        <x:v>0.57333333333333336</x:v>
      </x:c>
      <x:c r="AE317" s="50">
        <x:f t="shared" si="23"/>
        <x:v>1</x:v>
      </x:c>
    </x:row>
    <x:row r="318" s="48" customFormat="1" ht="12.5">
      <x:c r="A318" s="29" t="s">
        <x:v>726</x:v>
      </x:c>
      <x:c r="B318" s="47" t="s">
        <x:v>727</x:v>
      </x:c>
      <x:c r="C318" s="48" t="s">
        <x:v>63</x:v>
      </x:c>
      <x:c r="D318" s="47" t="s">
        <x:v>64</x:v>
      </x:c>
      <x:c r="E318" s="47" t="s">
        <x:v>194</x:v>
      </x:c>
      <x:c r="F318" s="48" t="str">
        <x:v>Jl. Bukit Manggis</x:v>
      </x:c>
      <x:c r="G318" s="48" t="str">
        <x:v>PT. PARAHYANGAN DWI KARYA</x:v>
      </x:c>
      <x:c r="H318" s="48" t="str">
        <x:v>Hendrawan/Anugrah Wiyogo</x:v>
      </x:c>
      <x:c r="I318" s="48" t="str">
        <x:v>Real Estate Indonesia (REI)</x:v>
      </x:c>
      <x:c r="J318" s="48" t="n">
        <x:v>2018</x:v>
      </x:c>
      <x:c r="K318" s="48">
        <x:v>45</x:v>
      </x:c>
      <x:c r="L318" s="47">
        <x:v>43</x:v>
      </x:c>
      <x:c r="M318" s="48">
        <x:v>43</x:v>
      </x:c>
      <x:c r="N318" s="48" t="s">
        <x:v>78</x:v>
      </x:c>
      <x:c r="O318" s="48"/>
      <x:c r="Q318" s="21" t="s">
        <x:v>67</x:v>
      </x:c>
      <x:c r="S318" s="47"/>
      <x:c r="T318" s="47"/>
      <x:c r="U318" s="47"/>
      <x:c r="V318" s="76">
        <x:v>-2.1097419999999998</x:v>
      </x:c>
      <x:c r="W318" s="47">
        <x:v>106.090282</x:v>
      </x:c>
      <x:c r="X318" s="47"/>
      <x:c r="Y318" s="49"/>
      <x:c r="Z318" s="49"/>
      <x:c r="AA318" s="47"/>
      <x:c r="AB318" s="80"/>
      <x:c r="AC318" s="49"/>
      <x:c r="AD318" s="50">
        <x:f t="shared" si="22"/>
        <x:v>0.9555555555555556</x:v>
      </x:c>
      <x:c r="AE318" s="50">
        <x:f t="shared" si="23"/>
        <x:v>1</x:v>
      </x:c>
    </x:row>
    <x:row r="319" s="48" customFormat="1" ht="12.5">
      <x:c r="A319" s="29" t="s">
        <x:v>728</x:v>
      </x:c>
      <x:c r="B319" s="47" t="s">
        <x:v>729</x:v>
      </x:c>
      <x:c r="C319" s="48" t="s">
        <x:v>63</x:v>
      </x:c>
      <x:c r="D319" s="47" t="s">
        <x:v>64</x:v>
      </x:c>
      <x:c r="E319" s="47" t="s">
        <x:v>152</x:v>
      </x:c>
      <x:c r="F319" s="48" t="str">
        <x:v>Jl. Bukit Manggis</x:v>
      </x:c>
      <x:c r="G319" s="48" t="str">
        <x:v>PT. PARAHYANGAN DWIKARYA</x:v>
      </x:c>
      <x:c r="H319" s="48" t="str">
        <x:v>Hendrawan/Anugrah Wiyogo</x:v>
      </x:c>
      <x:c r="I319" s="48" t="str">
        <x:v>Real Estate Indonesia (REI)</x:v>
      </x:c>
      <x:c r="J319" s="48" t="n">
        <x:v>2018</x:v>
      </x:c>
      <x:c r="K319" s="48">
        <x:v>58</x:v>
      </x:c>
      <x:c r="L319" s="47">
        <x:v>0</x:v>
      </x:c>
      <x:c r="M319" s="48">
        <x:v>0</x:v>
      </x:c>
      <x:c r="N319" s="48" t="s">
        <x:v>78</x:v>
      </x:c>
      <x:c r="O319" s="48"/>
      <x:c r="Q319" s="21" t="s">
        <x:v>67</x:v>
      </x:c>
      <x:c r="S319" s="47"/>
      <x:c r="T319" s="47"/>
      <x:c r="U319" s="47"/>
      <x:c r="V319" s="76">
        <x:v>-2.1087570000000002</x:v>
      </x:c>
      <x:c r="W319" s="47">
        <x:v>106.08998630000001</x:v>
      </x:c>
      <x:c r="X319" s="47"/>
      <x:c r="Y319" s="49"/>
      <x:c r="Z319" s="49"/>
      <x:c r="AA319" s="47"/>
      <x:c r="AB319" s="80"/>
      <x:c r="AC319" s="49"/>
      <x:c r="AD319" s="50">
        <x:f t="shared" si="22"/>
        <x:v>0</x:v>
      </x:c>
      <x:c r="AE319" s="50">
        <x:f t="shared" si="23"/>
        <x:v>0</x:v>
      </x:c>
    </x:row>
    <x:row r="320" s="48" customFormat="1" ht="12.5">
      <x:c r="A320" s="29" t="s">
        <x:v>730</x:v>
      </x:c>
      <x:c r="B320" s="47" t="s">
        <x:v>731</x:v>
      </x:c>
      <x:c r="C320" s="48" t="s">
        <x:v>63</x:v>
      </x:c>
      <x:c r="D320" s="47" t="s">
        <x:v>104</x:v>
      </x:c>
      <x:c r="E320" s="47" t="s">
        <x:v>209</x:v>
      </x:c>
      <x:c r="F320" s="48" t="str">
        <x:v>Jl. Padang Lama</x:v>
      </x:c>
      <x:c r="G320" s="48" t="str">
        <x:v>PT. GITA PUTRI BANGKA</x:v>
      </x:c>
      <x:c r="H320" s="48" t="str">
        <x:v>Muhammad Ikhsan Suryaatmaja</x:v>
      </x:c>
      <x:c r="I320" s="48" t="str">
        <x:v>Real Estate Indonesia (REI)</x:v>
      </x:c>
      <x:c r="J320" s="48" t="n">
        <x:v>2021</x:v>
      </x:c>
      <x:c r="K320" s="48">
        <x:v>35</x:v>
      </x:c>
      <x:c r="L320" s="47">
        <x:v>19</x:v>
      </x:c>
      <x:c r="M320" s="48">
        <x:v>17</x:v>
      </x:c>
      <x:c r="N320" s="48" t="s">
        <x:v>78</x:v>
      </x:c>
      <x:c r="O320" s="48"/>
      <x:c r="Q320" s="21" t="s">
        <x:v>67</x:v>
      </x:c>
      <x:c r="R320" s="21" t="s">
        <x:v>108</x:v>
      </x:c>
      <x:c r="S320" s="47"/>
      <x:c r="T320" s="47"/>
      <x:c r="U320" s="47"/>
      <x:c r="V320" s="76">
        <x:v>-2.1572900000000002</x:v>
      </x:c>
      <x:c r="W320" s="47">
        <x:v>106.15357899999999</x:v>
      </x:c>
      <x:c r="X320" s="47"/>
      <x:c r="Y320" s="49"/>
      <x:c r="Z320" s="49"/>
      <x:c r="AA320" s="47"/>
      <x:c r="AB320" s="80">
        <x:v>46222</x:v>
      </x:c>
      <x:c r="AC320" s="49"/>
      <x:c r="AD320" s="50">
        <x:f t="shared" si="22"/>
        <x:v>0.54285714285714282</x:v>
      </x:c>
      <x:c r="AE320" s="50">
        <x:f t="shared" si="23"/>
        <x:v>0.89473684210526316</x:v>
      </x:c>
    </x:row>
    <x:row r="321" s="48" customFormat="1" ht="12.5">
      <x:c r="A321" s="29" t="s">
        <x:v>732</x:v>
      </x:c>
      <x:c r="B321" s="47" t="s">
        <x:v>733</x:v>
      </x:c>
      <x:c r="C321" s="48" t="s">
        <x:v>63</x:v>
      </x:c>
      <x:c r="D321" s="47" t="s">
        <x:v>86</x:v>
      </x:c>
      <x:c r="E321" s="47" t="s">
        <x:v>93</x:v>
      </x:c>
      <x:c r="F321" s="48" t="str">
        <x:v>Jl. Jebung Dalam</x:v>
      </x:c>
      <x:c r="G321" s="48" t="str">
        <x:v>CV. TAMAN PAPengembang Indonesia (PI)NKA</x:v>
      </x:c>
      <x:c r="H321" s="48" t="str">
        <x:v>Sri Devi Agustini</x:v>
      </x:c>
      <x:c r="I321" s="48" t="str">
        <x:v>Belum Teridentifikasi</x:v>
      </x:c>
      <x:c r="J321" s="48" t="n">
        <x:v>2017</x:v>
      </x:c>
      <x:c r="K321" s="48">
        <x:v>38</x:v>
      </x:c>
      <x:c r="L321" s="47">
        <x:v>29</x:v>
      </x:c>
      <x:c r="M321" s="48">
        <x:v>29</x:v>
      </x:c>
      <x:c r="N321" s="48" t="s">
        <x:v>78</x:v>
      </x:c>
      <x:c r="O321" s="48"/>
      <x:c r="Q321" s="21" t="s">
        <x:v>67</x:v>
      </x:c>
      <x:c r="S321" s="47"/>
      <x:c r="T321" s="47"/>
      <x:c r="U321" s="47"/>
      <x:c r="V321" s="76"/>
      <x:c r="W321" s="47"/>
      <x:c r="X321" s="47"/>
      <x:c r="Y321" s="49"/>
      <x:c r="Z321" s="49"/>
      <x:c r="AA321" s="47"/>
      <x:c r="AB321" s="80"/>
      <x:c r="AC321" s="49"/>
      <x:c r="AD321" s="50">
        <x:f t="shared" si="22"/>
        <x:v>0.76315789473684215</x:v>
      </x:c>
      <x:c r="AE321" s="50">
        <x:f t="shared" si="23"/>
        <x:v>1</x:v>
      </x:c>
    </x:row>
    <x:row r="322" s="48" customFormat="1" ht="12.5">
      <x:c r="A322" s="29" t="s">
        <x:v>734</x:v>
      </x:c>
      <x:c r="B322" s="47" t="s">
        <x:v>735</x:v>
      </x:c>
      <x:c r="C322" s="48" t="s">
        <x:v>63</x:v>
      </x:c>
      <x:c r="D322" s="47" t="s">
        <x:v>64</x:v>
      </x:c>
      <x:c r="E322" s="47" t="s">
        <x:v>65</x:v>
      </x:c>
      <x:c r="F322" s="48" t="str">
        <x:v>Jl. Fatmawati</x:v>
      </x:c>
      <x:c r="G322" s="48" t="str">
        <x:v>PT. ANGKASA RAYA MAS</x:v>
      </x:c>
      <x:c r="H322" s="48" t="str">
        <x:v>Daniel Surya Putra</x:v>
      </x:c>
      <x:c r="I322" s="48" t="str">
        <x:v>Pengembang Indonesia (PI)</x:v>
      </x:c>
      <x:c r="J322" s="48" t="n">
        <x:v>2017</x:v>
      </x:c>
      <x:c r="K322" s="48">
        <x:v>100</x:v>
      </x:c>
      <x:c r="L322" s="47">
        <x:v>98</x:v>
      </x:c>
      <x:c r="M322" s="48">
        <x:v>98</x:v>
      </x:c>
      <x:c r="N322" s="48" t="s">
        <x:v>78</x:v>
      </x:c>
      <x:c r="O322" s="48"/>
      <x:c r="Q322" s="21" t="s">
        <x:v>67</x:v>
      </x:c>
      <x:c r="R322" s="21" t="s">
        <x:v>108</x:v>
      </x:c>
      <x:c r="S322" s="47"/>
      <x:c r="T322" s="47"/>
      <x:c r="U322" s="47"/>
      <x:c r="V322" s="76">
        <x:v>-2.1049924</x:v>
      </x:c>
      <x:c r="W322" s="47">
        <x:v>106.0809118</x:v>
      </x:c>
      <x:c r="X322" s="47"/>
      <x:c r="Y322" s="49"/>
      <x:c r="Z322" s="49"/>
      <x:c r="AA322" s="47"/>
      <x:c r="AB322" s="80"/>
      <x:c r="AC322" s="49"/>
      <x:c r="AD322" s="50">
        <x:f t="shared" si="22"/>
        <x:v>0.98</x:v>
      </x:c>
      <x:c r="AE322" s="50">
        <x:f t="shared" si="23"/>
        <x:v>1</x:v>
      </x:c>
    </x:row>
    <x:row r="323" s="48" customFormat="1" ht="12.5">
      <x:c r="A323" s="29" t="s">
        <x:v>736</x:v>
      </x:c>
      <x:c r="B323" s="47" t="s">
        <x:v>737</x:v>
      </x:c>
      <x:c r="C323" s="48" t="s">
        <x:v>63</x:v>
      </x:c>
      <x:c r="D323" s="47" t="s">
        <x:v>314</x:v>
      </x:c>
      <x:c r="E323" s="47" t="s">
        <x:v>315</x:v>
      </x:c>
      <x:c r="F323" s="48" t="str">
        <x:v>Jl. Kubis</x:v>
      </x:c>
      <x:c r="G323" s="48" t="str">
        <x:v>Belum Teridentifikasi</x:v>
      </x:c>
      <x:c r="H323" s="48" t="str">
        <x:v>Belum Teridentifikasi</x:v>
      </x:c>
      <x:c r="I323" s="48" t="str">
        <x:v>Belum Teridentifikasi</x:v>
      </x:c>
      <x:c r="J323" s="48" t="n">
        <x:v>2016</x:v>
      </x:c>
      <x:c r="K323" s="48">
        <x:v>45</x:v>
      </x:c>
      <x:c r="L323" s="47">
        <x:v>45</x:v>
      </x:c>
      <x:c r="M323" s="48">
        <x:v>45</x:v>
      </x:c>
      <x:c r="N323" s="48" t="s">
        <x:v>78</x:v>
      </x:c>
      <x:c r="O323" s="48"/>
      <x:c r="Q323" s="21" t="s">
        <x:v>67</x:v>
      </x:c>
      <x:c r="R323" s="21" t="s">
        <x:v>108</x:v>
      </x:c>
      <x:c r="S323" s="47"/>
      <x:c r="T323" s="47"/>
      <x:c r="U323" s="47"/>
      <x:c r="V323" s="76"/>
      <x:c r="W323" s="47"/>
      <x:c r="X323" s="47"/>
      <x:c r="Y323" s="49"/>
      <x:c r="Z323" s="49"/>
      <x:c r="AA323" s="47"/>
      <x:c r="AB323" s="80"/>
      <x:c r="AC323" s="49"/>
      <x:c r="AD323" s="50">
        <x:f t="shared" si="22"/>
        <x:v>1</x:v>
      </x:c>
      <x:c r="AE323" s="50">
        <x:f t="shared" si="23"/>
        <x:v>1</x:v>
      </x:c>
    </x:row>
    <x:row r="324" s="48" customFormat="1" ht="12.5">
      <x:c r="A324" s="29" t="s">
        <x:v>738</x:v>
      </x:c>
      <x:c r="B324" s="47" t="s">
        <x:v>739</x:v>
      </x:c>
      <x:c r="C324" s="48" t="s">
        <x:v>63</x:v>
      </x:c>
      <x:c r="D324" s="47" t="s">
        <x:v>314</x:v>
      </x:c>
      <x:c r="E324" s="47" t="s">
        <x:v>315</x:v>
      </x:c>
      <x:c r="F324" s="48" t="str">
        <x:v>Jl. Kubis II</x:v>
      </x:c>
      <x:c r="G324" s="48" t="str">
        <x:v>Belum Teridentifikasi</x:v>
      </x:c>
      <x:c r="H324" s="48" t="str">
        <x:v>Belum Teridentifikasi</x:v>
      </x:c>
      <x:c r="I324" s="48" t="str">
        <x:v>Belum Teridentifikasi</x:v>
      </x:c>
      <x:c r="J324" s="48"/>
      <x:c r="K324" s="48">
        <x:v>18</x:v>
      </x:c>
      <x:c r="L324" s="47">
        <x:v>18</x:v>
      </x:c>
      <x:c r="M324" s="48">
        <x:v>18</x:v>
      </x:c>
      <x:c r="N324" s="48" t="s">
        <x:v>78</x:v>
      </x:c>
      <x:c r="O324" s="48"/>
      <x:c r="Q324" s="21" t="s">
        <x:v>67</x:v>
      </x:c>
      <x:c r="S324" s="47"/>
      <x:c r="T324" s="47"/>
      <x:c r="U324" s="47"/>
      <x:c r="V324" s="76">
        <x:v>-2.1483458</x:v>
      </x:c>
      <x:c r="W324" s="47">
        <x:v>106.1082993</x:v>
      </x:c>
      <x:c r="X324" s="47"/>
      <x:c r="Y324" s="49"/>
      <x:c r="Z324" s="49"/>
      <x:c r="AA324" s="47"/>
      <x:c r="AB324" s="80"/>
      <x:c r="AC324" s="49"/>
      <x:c r="AD324" s="50">
        <x:f t="shared" si="22"/>
        <x:v>1</x:v>
      </x:c>
      <x:c r="AE324" s="50">
        <x:f t="shared" si="23"/>
        <x:v>1</x:v>
      </x:c>
    </x:row>
    <x:row r="325" s="48" customFormat="1" ht="12.5">
      <x:c r="A325" s="29" t="s">
        <x:v>740</x:v>
      </x:c>
      <x:c r="B325" s="47" t="s">
        <x:v>741</x:v>
      </x:c>
      <x:c r="C325" s="48" t="s">
        <x:v>63</x:v>
      </x:c>
      <x:c r="D325" s="47" t="s">
        <x:v>64</x:v>
      </x:c>
      <x:c r="E325" s="47" t="s">
        <x:v>65</x:v>
      </x:c>
      <x:c r="F325" s="48" t="str">
        <x:v>Jl. Fatmawati Gg. Makmur</x:v>
      </x:c>
      <x:c r="G325" s="48" t="str">
        <x:v>PT. BANGKA RAYA JAYA</x:v>
      </x:c>
      <x:c r="H325" s="48" t="str">
        <x:v>Julu Wahyono</x:v>
      </x:c>
      <x:c r="I325" s="48" t="str">
        <x:v>Real Estate Indonesia (REI)</x:v>
      </x:c>
      <x:c r="J325" s="48" t="n">
        <x:v>2017</x:v>
      </x:c>
      <x:c r="K325" s="48">
        <x:v>101</x:v>
      </x:c>
      <x:c r="L325" s="47">
        <x:v>93</x:v>
      </x:c>
      <x:c r="M325" s="48">
        <x:v>92</x:v>
      </x:c>
      <x:c r="N325" s="48" t="s">
        <x:v>66</x:v>
      </x:c>
      <x:c r="O325" s="48" t="n">
        <x:v>2022</x:v>
      </x:c>
      <x:c r="Q325" s="21" t="s">
        <x:v>67</x:v>
      </x:c>
      <x:c r="S325" s="47"/>
      <x:c r="T325" s="47" t="s">
        <x:v>68</x:v>
      </x:c>
      <x:c r="U325" s="47"/>
      <x:c r="V325" s="76">
        <x:v>-2.1053109000000001</x:v>
      </x:c>
      <x:c r="W325" s="47">
        <x:v>106.0879218</x:v>
      </x:c>
      <x:c r="X325" s="47"/>
      <x:c r="Y325" s="49"/>
      <x:c r="Z325" s="49"/>
      <x:c r="AA325" s="47"/>
      <x:c r="AB325" s="80"/>
      <x:c r="AC325" s="49"/>
      <x:c r="AD325" s="50">
        <x:f t="shared" si="22"/>
        <x:v>0.92079207920792083</x:v>
      </x:c>
      <x:c r="AE325" s="50">
        <x:f t="shared" si="23"/>
        <x:v>0.989247311827957</x:v>
      </x:c>
    </x:row>
    <x:row r="326" s="48" customFormat="1" ht="12.5">
      <x:c r="A326" s="29" t="s">
        <x:v>742</x:v>
      </x:c>
      <x:c r="B326" s="47" t="s">
        <x:v>743</x:v>
      </x:c>
      <x:c r="C326" s="48" t="s">
        <x:v>63</x:v>
      </x:c>
      <x:c r="D326" s="47" t="s">
        <x:v>64</x:v>
      </x:c>
      <x:c r="E326" s="47" t="s">
        <x:v>65</x:v>
      </x:c>
      <x:c r="F326" s="48" t="str">
        <x:v>Jl. Kampak Gg. Haji Umar</x:v>
      </x:c>
      <x:c r="G326" s="48" t="str">
        <x:v>PT. ANGKASA RAYA MAS</x:v>
      </x:c>
      <x:c r="H326" s="48" t="str">
        <x:v>Daniel Surya Putra</x:v>
      </x:c>
      <x:c r="I326" s="48" t="str">
        <x:v>Pengembang Indonesia (PI)</x:v>
      </x:c>
      <x:c r="J326" s="48" t="n">
        <x:v>2016</x:v>
      </x:c>
      <x:c r="K326" s="48">
        <x:v>36</x:v>
      </x:c>
      <x:c r="L326" s="47">
        <x:v>36</x:v>
      </x:c>
      <x:c r="M326" s="48">
        <x:v>34</x:v>
      </x:c>
      <x:c r="N326" s="48" t="s">
        <x:v>66</x:v>
      </x:c>
      <x:c r="O326" s="48" t="n">
        <x:v>2023</x:v>
      </x:c>
      <x:c r="Q326" s="21" t="s">
        <x:v>67</x:v>
      </x:c>
      <x:c r="S326" s="47"/>
      <x:c r="T326" s="47"/>
      <x:c r="U326" s="47"/>
      <x:c r="V326" s="76">
        <x:v>-2.1001536000000001</x:v>
      </x:c>
      <x:c r="W326" s="47">
        <x:v>106.08345679999999</x:v>
      </x:c>
      <x:c r="X326" s="47"/>
      <x:c r="Y326" s="49"/>
      <x:c r="Z326" s="49"/>
      <x:c r="AA326" s="47"/>
      <x:c r="AB326" s="80"/>
      <x:c r="AC326" s="49"/>
      <x:c r="AD326" s="50">
        <x:f t="shared" si="22"/>
        <x:v>1</x:v>
      </x:c>
      <x:c r="AE326" s="50">
        <x:f t="shared" si="23"/>
        <x:v>0.94444444444444442</x:v>
      </x:c>
    </x:row>
    <x:row r="327" s="48" customFormat="1" ht="12.5">
      <x:c r="A327" s="29" t="s">
        <x:v>744</x:v>
      </x:c>
      <x:c r="B327" s="47" t="s">
        <x:v>745</x:v>
      </x:c>
      <x:c r="C327" s="48" t="s">
        <x:v>63</x:v>
      </x:c>
      <x:c r="D327" s="47" t="s">
        <x:v>64</x:v>
      </x:c>
      <x:c r="E327" s="47" t="s">
        <x:v>65</x:v>
      </x:c>
      <x:c r="F327" s="48" t="str">
        <x:v>Jl. Kampak</x:v>
      </x:c>
      <x:c r="G327" s="48" t="str">
        <x:v>PT. ANGKASA RAYA MAS</x:v>
      </x:c>
      <x:c r="H327" s="48" t="str">
        <x:v>Daniel Surya Putra</x:v>
      </x:c>
      <x:c r="I327" s="48" t="str">
        <x:v>Pengembang Indonesia (PI)</x:v>
      </x:c>
      <x:c r="J327" s="48" t="n">
        <x:v>2015</x:v>
      </x:c>
      <x:c r="K327" s="48">
        <x:v>22</x:v>
      </x:c>
      <x:c r="L327" s="47">
        <x:v>17</x:v>
      </x:c>
      <x:c r="M327" s="48">
        <x:v>17</x:v>
      </x:c>
      <x:c r="N327" s="48" t="s">
        <x:v>66</x:v>
      </x:c>
      <x:c r="O327" s="48" t="n">
        <x:v>2023</x:v>
      </x:c>
      <x:c r="Q327" s="21" t="s">
        <x:v>67</x:v>
      </x:c>
      <x:c r="S327" s="47"/>
      <x:c r="T327" s="47"/>
      <x:c r="U327" s="47"/>
      <x:c r="V327" s="76">
        <x:v>-2.1023559999999999</x:v>
      </x:c>
      <x:c r="W327" s="47">
        <x:v>106.083191</x:v>
      </x:c>
      <x:c r="X327" s="47"/>
      <x:c r="Y327" s="49"/>
      <x:c r="Z327" s="49"/>
      <x:c r="AA327" s="47"/>
      <x:c r="AB327" s="80"/>
      <x:c r="AC327" s="49"/>
      <x:c r="AD327" s="50">
        <x:f t="shared" si="22"/>
        <x:v>0.77272727272727271</x:v>
      </x:c>
      <x:c r="AE327" s="50">
        <x:f t="shared" si="23"/>
        <x:v>1</x:v>
      </x:c>
    </x:row>
    <x:row r="328" s="48" customFormat="1" ht="12.5">
      <x:c r="A328" s="29" t="s">
        <x:v>746</x:v>
      </x:c>
      <x:c r="B328" s="47" t="s">
        <x:v>747</x:v>
      </x:c>
      <x:c r="C328" s="48" t="s">
        <x:v>179</x:v>
      </x:c>
      <x:c r="D328" s="47" t="s">
        <x:v>104</x:v>
      </x:c>
      <x:c r="E328" s="47" t="s">
        <x:v>141</x:v>
      </x:c>
      <x:c r="F328" s="48" t="str">
        <x:v>Jl. Tanjung Bunga</x:v>
      </x:c>
      <x:c r="G328" s="48" t="str">
        <x:v>PT.CAHAYA INTAN ABADI SAKTI</x:v>
      </x:c>
      <x:c r="H328" s="48" t="str">
        <x:v>Welly Abdullah</x:v>
      </x:c>
      <x:c r="I328" s="48" t="str">
        <x:v>Real Estate Indonesia (REI)</x:v>
      </x:c>
      <x:c r="J328" s="48"/>
      <x:c r="K328" s="48">
        <x:v>378</x:v>
      </x:c>
      <x:c r="L328" s="47">
        <x:v>257</x:v>
      </x:c>
      <x:c r="M328" s="48">
        <x:v>174</x:v>
      </x:c>
      <x:c r="N328" s="48" t="s">
        <x:v>66</x:v>
      </x:c>
      <x:c r="O328" s="48" t="n">
        <x:v>2020</x:v>
      </x:c>
      <x:c r="Q328" s="48" t="s">
        <x:v>94</x:v>
      </x:c>
      <x:c r="R328" s="48" t="s">
        <x:v>81</x:v>
      </x:c>
      <x:c r="S328" s="47"/>
      <x:c r="T328" s="47"/>
      <x:c r="U328" s="47"/>
      <x:c r="V328" s="76"/>
      <x:c r="W328" s="47"/>
      <x:c r="X328" s="47"/>
      <x:c r="Y328" s="49"/>
      <x:c r="Z328" s="49"/>
      <x:c r="AA328" s="47"/>
      <x:c r="AB328" s="80"/>
      <x:c r="AC328" s="49"/>
      <x:c r="AD328" s="50">
        <x:f t="shared" si="22"/>
        <x:v>0.67989417989417988</x:v>
      </x:c>
      <x:c r="AE328" s="50">
        <x:f t="shared" si="23"/>
        <x:v>0.67704280155642027</x:v>
      </x:c>
    </x:row>
    <x:row r="329" s="48" customFormat="1" ht="12.5">
      <x:c r="A329" s="29" t="s">
        <x:v>748</x:v>
      </x:c>
      <x:c r="B329" s="47" t="s">
        <x:v>749</x:v>
      </x:c>
      <x:c r="C329" s="48" t="s">
        <x:v>63</x:v>
      </x:c>
      <x:c r="D329" s="47" t="s">
        <x:v>104</x:v>
      </x:c>
      <x:c r="E329" s="47" t="s">
        <x:v>141</x:v>
      </x:c>
      <x:c r="F329" s="48" t="str">
        <x:v>Jl. Perumahan Tanjung Bunga</x:v>
      </x:c>
      <x:c r="G329" s="48" t="str">
        <x:v>PT. CAHAYA INDAH ABADISAKTI</x:v>
      </x:c>
      <x:c r="H329" s="48" t="str">
        <x:v>Ferdinan</x:v>
      </x:c>
      <x:c r="I329" s="48" t="str">
        <x:v>Real Estate Indonesia (REI)</x:v>
      </x:c>
      <x:c r="J329" s="48" t="n">
        <x:v>2023</x:v>
      </x:c>
      <x:c r="K329" s="48">
        <x:v>111</x:v>
      </x:c>
      <x:c r="L329" s="47">
        <x:v>51</x:v>
      </x:c>
      <x:c r="M329" s="48">
        <x:v>41</x:v>
      </x:c>
      <x:c r="N329" s="48" t="s">
        <x:v>78</x:v>
      </x:c>
      <x:c r="O329" s="48"/>
      <x:c r="Q329" s="21" t="s">
        <x:v>67</x:v>
      </x:c>
      <x:c r="R329" s="48" t="s">
        <x:v>108</x:v>
      </x:c>
      <x:c r="S329" s="47"/>
      <x:c r="T329" s="47"/>
      <x:c r="U329" s="47"/>
      <x:c r="V329" s="76">
        <x:v>-2.1357955</x:v>
      </x:c>
      <x:c r="W329" s="47">
        <x:v>106.157904</x:v>
      </x:c>
      <x:c r="X329" s="47"/>
      <x:c r="Y329" s="49"/>
      <x:c r="Z329" s="49"/>
      <x:c r="AA329" s="47"/>
      <x:c r="AB329" s="80"/>
      <x:c r="AC329" s="49"/>
      <x:c r="AD329" s="50">
        <x:f t="shared" si="22"/>
        <x:v>0.45945945945945948</x:v>
      </x:c>
      <x:c r="AE329" s="50">
        <x:f t="shared" si="23"/>
        <x:v>0.80392156862745101</x:v>
      </x:c>
    </x:row>
    <x:row r="330" s="48" customFormat="1" ht="12.5">
      <x:c r="A330" s="29" t="s">
        <x:v>750</x:v>
      </x:c>
      <x:c r="B330" s="47" t="s">
        <x:v>751</x:v>
      </x:c>
      <x:c r="C330" s="48" t="s">
        <x:v>179</x:v>
      </x:c>
      <x:c r="D330" s="47" t="s">
        <x:v>104</x:v>
      </x:c>
      <x:c r="E330" s="47" t="s">
        <x:v>141</x:v>
      </x:c>
      <x:c r="F330" s="48" t="str">
        <x:v>Jl. Taman Indah No 212</x:v>
      </x:c>
      <x:c r="G330" s="48" t="str">
        <x:v>PT.CAHAYA INTAN ABADI SAKTI</x:v>
      </x:c>
      <x:c r="H330" s="48" t="str">
        <x:v>Welly Abdullah</x:v>
      </x:c>
      <x:c r="I330" s="48" t="str">
        <x:v>Real Estate Indonesia (REI)</x:v>
      </x:c>
      <x:c r="J330" s="48"/>
      <x:c r="K330" s="48">
        <x:v>313</x:v>
      </x:c>
      <x:c r="L330" s="47">
        <x:v>112</x:v>
      </x:c>
      <x:c r="M330" s="48">
        <x:v>70</x:v>
      </x:c>
      <x:c r="N330" s="48" t="s">
        <x:v>66</x:v>
      </x:c>
      <x:c r="O330" s="48" t="n">
        <x:v>2020</x:v>
      </x:c>
      <x:c r="Q330" s="48" t="s">
        <x:v>94</x:v>
      </x:c>
      <x:c r="R330" s="48" t="s">
        <x:v>81</x:v>
      </x:c>
      <x:c r="S330" s="47"/>
      <x:c r="T330" s="47"/>
      <x:c r="U330" s="47"/>
      <x:c r="V330" s="76">
        <x:v>-2.1391578999999998</x:v>
      </x:c>
      <x:c r="W330" s="47">
        <x:v>106.162323</x:v>
      </x:c>
      <x:c r="X330" s="47"/>
      <x:c r="Y330" s="49"/>
      <x:c r="Z330" s="49"/>
      <x:c r="AA330" s="47"/>
      <x:c r="AB330" s="80"/>
      <x:c r="AC330" s="49"/>
      <x:c r="AD330" s="50">
        <x:f t="shared" si="22"/>
        <x:v>0.35782747603833864</x:v>
      </x:c>
      <x:c r="AE330" s="50">
        <x:f t="shared" si="23"/>
        <x:v>0.625</x:v>
      </x:c>
    </x:row>
    <x:row r="331" s="48" customFormat="1" ht="12.5">
      <x:c r="A331" s="29" t="s">
        <x:v>752</x:v>
      </x:c>
      <x:c r="B331" s="47" t="s">
        <x:v>753</x:v>
      </x:c>
      <x:c r="C331" s="48" t="s">
        <x:v>179</x:v>
      </x:c>
      <x:c r="D331" s="47" t="s">
        <x:v>104</x:v>
      </x:c>
      <x:c r="E331" s="47" t="s">
        <x:v>117</x:v>
      </x:c>
      <x:c r="F331" s="48" t="str">
        <x:v>Jl. Depati Hamzah</x:v>
      </x:c>
      <x:c r="G331" s="48" t="str">
        <x:v>PT.CAHAYA INTAN ABADI SAKTI</x:v>
      </x:c>
      <x:c r="H331" s="48" t="str">
        <x:v>Welly Abdullah</x:v>
      </x:c>
      <x:c r="I331" s="48" t="str">
        <x:v>Real Estate Indonesia (REI)</x:v>
      </x:c>
      <x:c r="J331" s="48"/>
      <x:c r="K331" s="48">
        <x:v>200</x:v>
      </x:c>
      <x:c r="L331" s="47">
        <x:v>200</x:v>
      </x:c>
      <x:c r="M331" s="48">
        <x:v>200</x:v>
      </x:c>
      <x:c r="N331" s="48" t="s">
        <x:v>78</x:v>
      </x:c>
      <x:c r="O331" s="48"/>
      <x:c r="Q331" s="48" t="s">
        <x:v>94</x:v>
      </x:c>
      <x:c r="S331" s="47"/>
      <x:c r="T331" s="47"/>
      <x:c r="U331" s="47"/>
      <x:c r="V331" s="76"/>
      <x:c r="W331" s="47"/>
      <x:c r="X331" s="47"/>
      <x:c r="Y331" s="49"/>
      <x:c r="Z331" s="49"/>
      <x:c r="AA331" s="47"/>
      <x:c r="AB331" s="80"/>
      <x:c r="AC331" s="49"/>
      <x:c r="AD331" s="50">
        <x:f t="shared" si="22"/>
        <x:v>1</x:v>
      </x:c>
      <x:c r="AE331" s="50">
        <x:f t="shared" si="23"/>
        <x:v>1</x:v>
      </x:c>
    </x:row>
    <x:row r="332" s="48" customFormat="1" ht="12.5">
      <x:c r="A332" s="29" t="s">
        <x:v>754</x:v>
      </x:c>
      <x:c r="B332" s="47" t="s">
        <x:v>755</x:v>
      </x:c>
      <x:c r="C332" s="48" t="s">
        <x:v>63</x:v>
      </x:c>
      <x:c r="D332" s="47" t="s">
        <x:v>104</x:v>
      </x:c>
      <x:c r="E332" s="47" t="s">
        <x:v>117</x:v>
      </x:c>
      <x:c r="F332" s="48" t="str">
        <x:v>Jl. Depati Hamzah</x:v>
      </x:c>
      <x:c r="G332" s="48" t="str">
        <x:v>PT.CAHAYA INTAN ABADI SAKTI</x:v>
      </x:c>
      <x:c r="H332" s="48" t="str">
        <x:v>Welly Abdullah</x:v>
      </x:c>
      <x:c r="I332" s="48" t="str">
        <x:v>Real Estate Indonesia (REI)</x:v>
      </x:c>
      <x:c r="J332" s="48" t="n">
        <x:v>2016</x:v>
      </x:c>
      <x:c r="K332" s="48">
        <x:v>59</x:v>
      </x:c>
      <x:c r="L332" s="47">
        <x:v>59</x:v>
      </x:c>
      <x:c r="M332" s="48">
        <x:v>57</x:v>
      </x:c>
      <x:c r="N332" s="48" t="s">
        <x:v>66</x:v>
      </x:c>
      <x:c r="O332" s="48" t="n">
        <x:v>2020</x:v>
      </x:c>
      <x:c r="Q332" s="21" t="s">
        <x:v>67</x:v>
      </x:c>
      <x:c r="R332" s="48" t="s">
        <x:v>108</x:v>
      </x:c>
      <x:c r="S332" s="47"/>
      <x:c r="T332" s="47"/>
      <x:c r="U332" s="47"/>
      <x:c r="V332" s="76"/>
      <x:c r="W332" s="47"/>
      <x:c r="X332" s="47"/>
      <x:c r="Y332" s="49"/>
      <x:c r="Z332" s="49"/>
      <x:c r="AA332" s="47"/>
      <x:c r="AB332" s="80"/>
      <x:c r="AC332" s="49"/>
      <x:c r="AD332" s="50">
        <x:f t="shared" si="22"/>
        <x:v>1</x:v>
      </x:c>
      <x:c r="AE332" s="50">
        <x:f t="shared" si="23"/>
        <x:v>0.96610169491525422</x:v>
      </x:c>
    </x:row>
    <x:row r="333" s="48" customFormat="1" ht="12.5">
      <x:c r="A333" s="29" t="s">
        <x:v>756</x:v>
      </x:c>
      <x:c r="B333" s="47" t="s">
        <x:v>757</x:v>
      </x:c>
      <x:c r="C333" s="48" t="s">
        <x:v>63</x:v>
      </x:c>
      <x:c r="D333" s="47" t="s">
        <x:v>104</x:v>
      </x:c>
      <x:c r="E333" s="47" t="s">
        <x:v>209</x:v>
      </x:c>
      <x:c r="F333" s="48" t="str">
        <x:v>Jl. Taman Indah No 212</x:v>
      </x:c>
      <x:c r="G333" s="48" t="str">
        <x:v>PT.CAHAYA INTAN ABADI SAKTI</x:v>
      </x:c>
      <x:c r="H333" s="48" t="str">
        <x:v>Welly Abdullah</x:v>
      </x:c>
      <x:c r="I333" s="48" t="str">
        <x:v>Real Estate Indonesia (REI)</x:v>
      </x:c>
      <x:c r="J333" s="48" t="n">
        <x:v>2019</x:v>
      </x:c>
      <x:c r="K333" s="48">
        <x:v>305</x:v>
      </x:c>
      <x:c r="L333" s="47">
        <x:v>108</x:v>
      </x:c>
      <x:c r="M333" s="48">
        <x:v>102</x:v>
      </x:c>
      <x:c r="N333" s="48" t="s">
        <x:v>78</x:v>
      </x:c>
      <x:c r="O333" s="48"/>
      <x:c r="Q333" s="21" t="s">
        <x:v>67</x:v>
      </x:c>
      <x:c r="R333" s="48" t="s">
        <x:v>108</x:v>
      </x:c>
      <x:c r="S333" s="47"/>
      <x:c r="T333" s="47"/>
      <x:c r="U333" s="47"/>
      <x:c r="V333" s="76"/>
      <x:c r="W333" s="47"/>
      <x:c r="X333" s="47"/>
      <x:c r="Y333" s="49"/>
      <x:c r="Z333" s="49"/>
      <x:c r="AA333" s="47"/>
      <x:c r="AB333" s="80"/>
      <x:c r="AC333" s="49"/>
      <x:c r="AD333" s="50">
        <x:f t="shared" si="22"/>
        <x:v>0.35409836065573769</x:v>
      </x:c>
      <x:c r="AE333" s="50">
        <x:f t="shared" si="23"/>
        <x:v>0.94444444444444442</x:v>
      </x:c>
    </x:row>
    <x:row r="334" s="48" customFormat="1" ht="12.5">
      <x:c r="A334" s="29" t="s">
        <x:v>758</x:v>
      </x:c>
      <x:c r="B334" s="47" t="s">
        <x:v>759</x:v>
      </x:c>
      <x:c r="C334" s="48" t="s">
        <x:v>63</x:v>
      </x:c>
      <x:c r="D334" s="47" t="s">
        <x:v>86</x:v>
      </x:c>
      <x:c r="E334" s="47" t="s">
        <x:v>112</x:v>
      </x:c>
      <x:c r="F334" s="48" t="str">
        <x:v>Jl. Lintas Timur</x:v>
      </x:c>
      <x:c r="G334" s="48" t="str">
        <x:v>PT. BUSNI IPAH GEMA</x:v>
      </x:c>
      <x:c r="H334" s="48" t="str">
        <x:v>Harini</x:v>
      </x:c>
      <x:c r="I334" s="48" t="str">
        <x:v>ALIANSI PENGEMBANG PERUMAHAN NASIONAL JAYA (Aliansi Pengembang Perumahan Nasional Jaya (APPERNAS JAYA))</x:v>
      </x:c>
      <x:c r="J334" s="48" t="n">
        <x:v>2020</x:v>
      </x:c>
      <x:c r="K334" s="48">
        <x:v>68</x:v>
      </x:c>
      <x:c r="L334" s="47">
        <x:v>61</x:v>
      </x:c>
      <x:c r="M334" s="48">
        <x:v>12</x:v>
      </x:c>
      <x:c r="N334" s="48" t="s">
        <x:v>78</x:v>
      </x:c>
      <x:c r="O334" s="48"/>
      <x:c r="Q334" s="21" t="s">
        <x:v>67</x:v>
      </x:c>
      <x:c r="R334" s="21" t="s">
        <x:v>108</x:v>
      </x:c>
      <x:c r="S334" s="47"/>
      <x:c r="T334" s="47"/>
      <x:c r="U334" s="47"/>
      <x:c r="V334" s="76">
        <x:v>-2.0771199999999999</x:v>
      </x:c>
      <x:c r="W334" s="47">
        <x:v>106.1209532</x:v>
      </x:c>
      <x:c r="X334" s="47"/>
      <x:c r="Y334" s="49"/>
      <x:c r="Z334" s="49"/>
      <x:c r="AA334" s="47"/>
      <x:c r="AB334" s="80"/>
      <x:c r="AC334" s="49"/>
      <x:c r="AD334" s="50">
        <x:f t="shared" si="22"/>
        <x:v>0.8970588235294118</x:v>
      </x:c>
      <x:c r="AE334" s="50">
        <x:f t="shared" si="23"/>
        <x:v>0.19672131147540983</x:v>
      </x:c>
    </x:row>
    <x:row r="335" s="48" customFormat="1" ht="12.5">
      <x:c r="A335" s="29" t="s">
        <x:v>760</x:v>
      </x:c>
      <x:c r="B335" s="47" t="s">
        <x:v>761</x:v>
      </x:c>
      <x:c r="C335" s="48" t="s">
        <x:v>63</x:v>
      </x:c>
      <x:c r="D335" s="47" t="s">
        <x:v>86</x:v>
      </x:c>
      <x:c r="E335" s="47" t="s">
        <x:v>112</x:v>
      </x:c>
      <x:c r="F335" s="48" t="str">
        <x:v>Jl. Air Bebar</x:v>
      </x:c>
      <x:c r="G335" s="48" t="str">
        <x:v>PT. BUSNI IPAH GEMA</x:v>
      </x:c>
      <x:c r="H335" s="48" t="str">
        <x:v>Harini</x:v>
      </x:c>
      <x:c r="I335" s="48" t="str">
        <x:v>ALIANSI PENGEMBANG PERUMAHAN NASIONAL JAYA (Aliansi Pengembang Perumahan Nasional Jaya (APPERNAS JAYA))</x:v>
      </x:c>
      <x:c r="J335" s="48" t="n">
        <x:v>2023</x:v>
      </x:c>
      <x:c r="K335" s="48">
        <x:v>25</x:v>
      </x:c>
      <x:c r="L335" s="47">
        <x:v>6</x:v>
      </x:c>
      <x:c r="M335" s="48">
        <x:v>0</x:v>
      </x:c>
      <x:c r="N335" s="48" t="s">
        <x:v>78</x:v>
      </x:c>
      <x:c r="O335" s="48"/>
      <x:c r="Q335" s="21" t="s">
        <x:v>67</x:v>
      </x:c>
      <x:c r="R335" s="21" t="s">
        <x:v>108</x:v>
      </x:c>
      <x:c r="S335" s="47"/>
      <x:c r="T335" s="47"/>
      <x:c r="U335" s="47"/>
      <x:c r="V335" s="76">
        <x:v>-2.075809</x:v>
      </x:c>
      <x:c r="W335" s="47">
        <x:v>106.1217353</x:v>
      </x:c>
      <x:c r="X335" s="47"/>
      <x:c r="Y335" s="49"/>
      <x:c r="Z335" s="49"/>
      <x:c r="AA335" s="47"/>
      <x:c r="AB335" s="80"/>
      <x:c r="AC335" s="49"/>
      <x:c r="AD335" s="50">
        <x:f t="shared" si="22"/>
        <x:v>0.24</x:v>
      </x:c>
      <x:c r="AE335" s="50">
        <x:f t="shared" si="23"/>
        <x:v>0</x:v>
      </x:c>
    </x:row>
    <x:row r="336" s="48" customFormat="1" ht="12.5">
      <x:c r="A336" s="29" t="s">
        <x:v>762</x:v>
      </x:c>
      <x:c r="B336" s="47" t="s">
        <x:v>763</x:v>
      </x:c>
      <x:c r="C336" s="48" t="s">
        <x:v>63</x:v>
      </x:c>
      <x:c r="D336" s="47" t="s">
        <x:v>104</x:v>
      </x:c>
      <x:c r="E336" s="47" t="s">
        <x:v>209</x:v>
      </x:c>
      <x:c r="F336" s="48" t="str">
        <x:v>Jl. Pasir Padi</x:v>
      </x:c>
      <x:c r="G336" s="48" t="str">
        <x:v>PT. TJEMARA MENTARI</x:v>
      </x:c>
      <x:c r="H336" s="48" t="str">
        <x:v>Belum Teridentifikasi</x:v>
      </x:c>
      <x:c r="I336" s="48" t="str">
        <x:v>Belum Teridentifikasi</x:v>
      </x:c>
      <x:c r="J336" s="48" t="n">
        <x:v>2014</x:v>
      </x:c>
      <x:c r="K336" s="48">
        <x:v>123</x:v>
      </x:c>
      <x:c r="L336" s="47">
        <x:v>123</x:v>
      </x:c>
      <x:c r="M336" s="48">
        <x:v>123</x:v>
      </x:c>
      <x:c r="N336" s="48" t="s">
        <x:v>78</x:v>
      </x:c>
      <x:c r="O336" s="48"/>
      <x:c r="Q336" s="21" t="s">
        <x:v>67</x:v>
      </x:c>
      <x:c r="S336" s="47"/>
      <x:c r="T336" s="47"/>
      <x:c r="U336" s="47"/>
      <x:c r="V336" s="76"/>
      <x:c r="W336" s="47"/>
      <x:c r="X336" s="47"/>
      <x:c r="Y336" s="49"/>
      <x:c r="Z336" s="49"/>
      <x:c r="AA336" s="47"/>
      <x:c r="AB336" s="80"/>
      <x:c r="AC336" s="49"/>
      <x:c r="AD336" s="50">
        <x:f t="shared" si="22"/>
        <x:v>1</x:v>
      </x:c>
      <x:c r="AE336" s="50">
        <x:f t="shared" si="23"/>
        <x:v>1</x:v>
      </x:c>
    </x:row>
    <x:row r="337" s="48" customFormat="1" ht="12.5">
      <x:c r="A337" s="29" t="s">
        <x:v>764</x:v>
      </x:c>
      <x:c r="B337" s="47" t="s">
        <x:v>765</x:v>
      </x:c>
      <x:c r="C337" s="48" t="s">
        <x:v>63</x:v>
      </x:c>
      <x:c r="D337" s="47" t="s">
        <x:v>86</x:v>
      </x:c>
      <x:c r="E337" s="47" t="s">
        <x:v>112</x:v>
      </x:c>
      <x:c r="F337" s="48" t="str">
        <x:v>Jl. Tambak Udang</x:v>
      </x:c>
      <x:c r="G337" s="48" t="str">
        <x:v>PT. CAHAYA VIATINDO PRIMA</x:v>
      </x:c>
      <x:c r="H337" s="48" t="str">
        <x:v>Doddy Primananda</x:v>
      </x:c>
      <x:c r="I337" s="48" t="str">
        <x:v>Pengembang Indonesia (PI)</x:v>
      </x:c>
      <x:c r="J337" s="48" t="n">
        <x:v>2017</x:v>
      </x:c>
      <x:c r="K337" s="48">
        <x:v>18</x:v>
      </x:c>
      <x:c r="L337" s="47">
        <x:v>18</x:v>
      </x:c>
      <x:c r="M337" s="48">
        <x:v>18</x:v>
      </x:c>
      <x:c r="N337" s="48" t="s">
        <x:v>78</x:v>
      </x:c>
      <x:c r="O337" s="48"/>
      <x:c r="Q337" s="21" t="s">
        <x:v>67</x:v>
      </x:c>
      <x:c r="R337" s="21" t="s">
        <x:v>108</x:v>
      </x:c>
      <x:c r="S337" s="47"/>
      <x:c r="T337" s="47"/>
      <x:c r="U337" s="47"/>
      <x:c r="V337" s="76">
        <x:v>-2.080425</x:v>
      </x:c>
      <x:c r="W337" s="47">
        <x:v>106.12715</x:v>
      </x:c>
      <x:c r="X337" s="47"/>
      <x:c r="Y337" s="49"/>
      <x:c r="Z337" s="49"/>
      <x:c r="AA337" s="47"/>
      <x:c r="AB337" s="80"/>
      <x:c r="AC337" s="49"/>
      <x:c r="AD337" s="50">
        <x:f t="shared" si="22"/>
        <x:v>1</x:v>
      </x:c>
      <x:c r="AE337" s="50">
        <x:f t="shared" si="23"/>
        <x:v>1</x:v>
      </x:c>
    </x:row>
    <x:row r="338" s="48" customFormat="1" ht="12.5">
      <x:c r="A338" s="29" t="s">
        <x:v>766</x:v>
      </x:c>
      <x:c r="B338" s="47" t="s">
        <x:v>767</x:v>
      </x:c>
      <x:c r="C338" s="48" t="s">
        <x:v>63</x:v>
      </x:c>
      <x:c r="D338" s="47" t="s">
        <x:v>86</x:v>
      </x:c>
      <x:c r="E338" s="47" t="s">
        <x:v>112</x:v>
      </x:c>
      <x:c r="F338" s="48" t="str">
        <x:v>Belum Diketahui</x:v>
      </x:c>
      <x:c r="G338" s="48" t="str">
        <x:v>PT. CAHAYA VIATINDO PRIMA</x:v>
      </x:c>
      <x:c r="H338" s="48" t="str">
        <x:v>Belum Teridentifikasi</x:v>
      </x:c>
      <x:c r="I338" s="48" t="str">
        <x:v>Pengembang Indonesia (PI)</x:v>
      </x:c>
      <x:c r="J338" s="48"/>
      <x:c r="K338" s="48">
        <x:v>68</x:v>
      </x:c>
      <x:c r="L338" s="47">
        <x:v>68</x:v>
      </x:c>
      <x:c r="M338" s="48">
        <x:v>62</x:v>
      </x:c>
      <x:c r="N338" s="48" t="s">
        <x:v>78</x:v>
      </x:c>
      <x:c r="O338" s="48"/>
      <x:c r="Q338" s="21" t="s">
        <x:v>67</x:v>
      </x:c>
      <x:c r="S338" s="47"/>
      <x:c r="T338" s="47"/>
      <x:c r="U338" s="47"/>
      <x:c r="V338" s="76">
        <x:v>-2.0804089000000001</x:v>
      </x:c>
      <x:c r="W338" s="47">
        <x:v>106.1274526</x:v>
      </x:c>
      <x:c r="X338" s="47"/>
      <x:c r="Y338" s="49"/>
      <x:c r="Z338" s="49"/>
      <x:c r="AA338" s="47"/>
      <x:c r="AB338" s="80"/>
      <x:c r="AC338" s="49"/>
      <x:c r="AD338" s="50">
        <x:f t="shared" si="22"/>
        <x:v>1</x:v>
      </x:c>
      <x:c r="AE338" s="50">
        <x:f t="shared" si="23"/>
        <x:v>0.91176470588235292</x:v>
      </x:c>
    </x:row>
    <x:row r="339" s="48" customFormat="1" ht="12.5">
      <x:c r="A339" s="29" t="s">
        <x:v>768</x:v>
      </x:c>
      <x:c r="B339" s="47" t="s">
        <x:v>769</x:v>
      </x:c>
      <x:c r="C339" s="48" t="s">
        <x:v>63</x:v>
      </x:c>
      <x:c r="D339" s="47" t="s">
        <x:v>86</x:v>
      </x:c>
      <x:c r="E339" s="47" t="s">
        <x:v>112</x:v>
      </x:c>
      <x:c r="F339" s="48" t="str">
        <x:v>Jl. Lingkar Timur</x:v>
      </x:c>
      <x:c r="G339" s="48" t="str">
        <x:v>PT. CAHAYA VIATINDO PRIMA</x:v>
      </x:c>
      <x:c r="H339" s="48" t="str">
        <x:v>Efviar Said</x:v>
      </x:c>
      <x:c r="I339" s="48" t="str">
        <x:v>Pengembang Indonesia (PI)</x:v>
      </x:c>
      <x:c r="J339" s="48" t="n">
        <x:v>2018</x:v>
      </x:c>
      <x:c r="K339" s="48">
        <x:v>47</x:v>
      </x:c>
      <x:c r="L339" s="47">
        <x:v>24</x:v>
      </x:c>
      <x:c r="M339" s="48">
        <x:v>24</x:v>
      </x:c>
      <x:c r="N339" s="48" t="s">
        <x:v>78</x:v>
      </x:c>
      <x:c r="O339" s="48"/>
      <x:c r="Q339" s="21" t="s">
        <x:v>67</x:v>
      </x:c>
      <x:c r="R339" s="21" t="s">
        <x:v>108</x:v>
      </x:c>
      <x:c r="S339" s="47"/>
      <x:c r="T339" s="47"/>
      <x:c r="U339" s="47"/>
      <x:c r="V339" s="76">
        <x:v>-2.0781331999999999</x:v>
      </x:c>
      <x:c r="W339" s="47">
        <x:v>106.12577349999999</x:v>
      </x:c>
      <x:c r="X339" s="47"/>
      <x:c r="Y339" s="49"/>
      <x:c r="Z339" s="49"/>
      <x:c r="AA339" s="47"/>
      <x:c r="AB339" s="80"/>
      <x:c r="AC339" s="49"/>
      <x:c r="AD339" s="50">
        <x:f t="shared" si="22"/>
        <x:v>0.51063829787234039</x:v>
      </x:c>
      <x:c r="AE339" s="50">
        <x:f t="shared" si="23"/>
        <x:v>1</x:v>
      </x:c>
    </x:row>
    <x:row r="340" s="48" customFormat="1" ht="12.5">
      <x:c r="A340" s="29" t="s">
        <x:v>770</x:v>
      </x:c>
      <x:c r="B340" s="47" t="s">
        <x:v>771</x:v>
      </x:c>
      <x:c r="C340" s="48" t="s">
        <x:v>179</x:v>
      </x:c>
      <x:c r="D340" s="47" t="s">
        <x:v>86</x:v>
      </x:c>
      <x:c r="E340" s="47" t="s">
        <x:v>275</x:v>
      </x:c>
      <x:c r="F340" s="48" t="str">
        <x:v>Jl. Selindung Raya</x:v>
      </x:c>
      <x:c r="G340" s="48" t="str">
        <x:v>PT. MITRA ANUGRAH PERDANA</x:v>
      </x:c>
      <x:c r="H340" s="48" t="str">
        <x:v>Gunadi</x:v>
      </x:c>
      <x:c r="I340" s="48" t="str">
        <x:v>Real Estate Indonesia (REI)</x:v>
      </x:c>
      <x:c r="J340" s="48"/>
      <x:c r="K340" s="48">
        <x:v>468</x:v>
      </x:c>
      <x:c r="L340" s="47">
        <x:v>468</x:v>
      </x:c>
      <x:c r="M340" s="48">
        <x:v>468</x:v>
      </x:c>
      <x:c r="N340" s="48" t="s">
        <x:v>78</x:v>
      </x:c>
      <x:c r="O340" s="48"/>
      <x:c r="Q340" s="48" t="s">
        <x:v>94</x:v>
      </x:c>
      <x:c r="S340" s="47"/>
      <x:c r="T340" s="47"/>
      <x:c r="U340" s="47"/>
      <x:c r="V340" s="76">
        <x:v>-2.0850230000000001</x:v>
      </x:c>
      <x:c r="W340" s="47">
        <x:v>106.10572999999999</x:v>
      </x:c>
      <x:c r="X340" s="47"/>
      <x:c r="Y340" s="49"/>
      <x:c r="Z340" s="49"/>
      <x:c r="AA340" s="47"/>
      <x:c r="AB340" s="80"/>
      <x:c r="AC340" s="49"/>
      <x:c r="AD340" s="50">
        <x:f t="shared" si="22"/>
        <x:v>1</x:v>
      </x:c>
      <x:c r="AE340" s="50">
        <x:f t="shared" si="23"/>
        <x:v>1</x:v>
      </x:c>
    </x:row>
    <x:row r="341" s="48" customFormat="1" ht="12.5">
      <x:c r="A341" s="29" t="s">
        <x:v>772</x:v>
      </x:c>
      <x:c r="B341" s="47" t="s">
        <x:v>773</x:v>
      </x:c>
      <x:c r="C341" s="48" t="s">
        <x:v>63</x:v>
      </x:c>
      <x:c r="D341" s="47" t="s">
        <x:v>104</x:v>
      </x:c>
      <x:c r="E341" s="47" t="s">
        <x:v>141</x:v>
      </x:c>
      <x:c r="F341" s="48" t="str">
        <x:v>Jl. Perumahan Bhayangkara</x:v>
      </x:c>
      <x:c r="G341" s="48" t="str">
        <x:v>PT. BAPALINDO JAYA PROPERTI</x:v>
      </x:c>
      <x:c r="H341" s="48" t="str">
        <x:v>Zam Zami</x:v>
      </x:c>
      <x:c r="I341" s="48" t="str">
        <x:v>Aliansi Pengembang Perumahan Nasional Jaya (APPERNAS JAYA)</x:v>
      </x:c>
      <x:c r="J341" s="48" t="n">
        <x:v>2019</x:v>
      </x:c>
      <x:c r="K341" s="48">
        <x:v>63</x:v>
      </x:c>
      <x:c r="L341" s="47">
        <x:v>59</x:v>
      </x:c>
      <x:c r="M341" s="48">
        <x:v>59</x:v>
      </x:c>
      <x:c r="N341" s="48" t="s">
        <x:v>78</x:v>
      </x:c>
      <x:c r="O341" s="48"/>
      <x:c r="Q341" s="48" t="s">
        <x:v>94</x:v>
      </x:c>
      <x:c r="S341" s="47"/>
      <x:c r="T341" s="47"/>
      <x:c r="U341" s="47"/>
      <x:c r="V341" s="76">
        <x:v>-2.128768</x:v>
      </x:c>
      <x:c r="W341" s="47">
        <x:v>106.160301</x:v>
      </x:c>
      <x:c r="X341" s="47"/>
      <x:c r="Y341" s="49"/>
      <x:c r="Z341" s="49"/>
      <x:c r="AA341" s="47"/>
      <x:c r="AB341" s="80"/>
      <x:c r="AC341" s="49"/>
      <x:c r="AD341" s="50" t="n">
        <x:f t="shared" ref="AD341:AD348" si="24">IF(A341="","",IFERROR(L341/K341,0))</x:f>
        <x:v>0.9365079365079365</x:v>
      </x:c>
      <x:c r="AE341" s="50" t="n">
        <x:f t="shared" ref="AE341:AE348" si="25">IF(A341="","",IFERROR(M341/L341,0))</x:f>
        <x:v>1</x:v>
      </x:c>
    </x:row>
    <x:row r="342" s="48" customFormat="1" ht="12.5">
      <x:c r="A342" s="29" t="s">
        <x:v>774</x:v>
      </x:c>
      <x:c r="B342" s="47" t="s">
        <x:v>775</x:v>
      </x:c>
      <x:c r="C342" s="48" t="s">
        <x:v>63</x:v>
      </x:c>
      <x:c r="D342" s="47" t="s">
        <x:v>314</x:v>
      </x:c>
      <x:c r="E342" s="47" t="s">
        <x:v>315</x:v>
      </x:c>
      <x:c r="F342" s="48" t="str">
        <x:v>Jl. Basuki Rahmat Ujung</x:v>
      </x:c>
      <x:c r="G342" s="48" t="str">
        <x:v>Belum Teridentifikasi</x:v>
      </x:c>
      <x:c r="H342" s="48" t="str">
        <x:v>Asiong</x:v>
      </x:c>
      <x:c r="I342" s="48" t="str">
        <x:v>Belum Teridentifikasi</x:v>
      </x:c>
      <x:c r="J342" s="48" t="n">
        <x:v>2015</x:v>
      </x:c>
      <x:c r="K342" s="48">
        <x:v>78</x:v>
      </x:c>
      <x:c r="L342" s="47">
        <x:v>78</x:v>
      </x:c>
      <x:c r="M342" s="48">
        <x:v>76</x:v>
      </x:c>
      <x:c r="N342" s="48" t="s">
        <x:v>78</x:v>
      </x:c>
      <x:c r="O342" s="48"/>
      <x:c r="Q342" s="21" t="s">
        <x:v>67</x:v>
      </x:c>
      <x:c r="S342" s="47"/>
      <x:c r="T342" s="47"/>
      <x:c r="U342" s="47"/>
      <x:c r="V342" s="76">
        <x:v>-2.1533030000000002</x:v>
      </x:c>
      <x:c r="W342" s="47">
        <x:v>106.107823</x:v>
      </x:c>
      <x:c r="X342" s="47"/>
      <x:c r="Y342" s="49"/>
      <x:c r="Z342" s="49"/>
      <x:c r="AA342" s="47"/>
      <x:c r="AB342" s="80"/>
      <x:c r="AC342" s="49"/>
      <x:c r="AD342" s="50">
        <x:f t="shared" si="24"/>
        <x:v>1</x:v>
      </x:c>
      <x:c r="AE342" s="50">
        <x:f t="shared" si="25"/>
        <x:v>0.97435897435897434</x:v>
      </x:c>
    </x:row>
    <x:row r="343" s="48" customFormat="1" ht="12.5">
      <x:c r="A343" s="29" t="s">
        <x:v>776</x:v>
      </x:c>
      <x:c r="B343" s="47" t="s">
        <x:v>777</x:v>
      </x:c>
      <x:c r="C343" s="48" t="s">
        <x:v>63</x:v>
      </x:c>
      <x:c r="D343" s="47" t="s">
        <x:v>86</x:v>
      </x:c>
      <x:c r="E343" s="47" t="s">
        <x:v>112</x:v>
      </x:c>
      <x:c r="F343" s="48" t="str">
        <x:v>Jl. Kelompok</x:v>
      </x:c>
      <x:c r="G343" s="48" t="str">
        <x:v>PT. PERSLY DONNY SIREGAR</x:v>
      </x:c>
      <x:c r="H343" s="48" t="str">
        <x:v>Kristory Glorius S.</x:v>
      </x:c>
      <x:c r="I343" s="48" t="str">
        <x:v>Asosiasi Pengembang Perumahan dan Permukiman Seluruh Indonesia (APERSI)</x:v>
      </x:c>
      <x:c r="J343" s="48" t="n">
        <x:v>2015</x:v>
      </x:c>
      <x:c r="K343" s="48">
        <x:v>44</x:v>
      </x:c>
      <x:c r="L343" s="47">
        <x:v>44</x:v>
      </x:c>
      <x:c r="M343" s="48">
        <x:v>44</x:v>
      </x:c>
      <x:c r="N343" s="48" t="s">
        <x:v>78</x:v>
      </x:c>
      <x:c r="O343" s="48"/>
      <x:c r="Q343" s="21" t="s">
        <x:v>67</x:v>
      </x:c>
      <x:c r="S343" s="47"/>
      <x:c r="T343" s="47"/>
      <x:c r="U343" s="47"/>
      <x:c r="V343" s="76">
        <x:v>-2.0866501</x:v>
      </x:c>
      <x:c r="W343" s="47">
        <x:v>106.09902460000001</x:v>
      </x:c>
      <x:c r="X343" s="47"/>
      <x:c r="Y343" s="49"/>
      <x:c r="Z343" s="49"/>
      <x:c r="AA343" s="47"/>
      <x:c r="AB343" s="80"/>
      <x:c r="AC343" s="49"/>
      <x:c r="AD343" s="50">
        <x:f t="shared" si="24"/>
        <x:v>1</x:v>
      </x:c>
      <x:c r="AE343" s="50">
        <x:f t="shared" si="25"/>
        <x:v>1</x:v>
      </x:c>
    </x:row>
    <x:row r="344" s="48" customFormat="1" ht="12.5">
      <x:c r="A344" s="29" t="s">
        <x:v>778</x:v>
      </x:c>
      <x:c r="B344" s="47" t="s">
        <x:v>779</x:v>
      </x:c>
      <x:c r="C344" s="48" t="s">
        <x:v>63</x:v>
      </x:c>
      <x:c r="D344" s="47" t="s">
        <x:v>86</x:v>
      </x:c>
      <x:c r="E344" s="47" t="s">
        <x:v>93</x:v>
      </x:c>
      <x:c r="F344" s="48" t="str">
        <x:v>Jl. Lingkar Barat</x:v>
      </x:c>
      <x:c r="G344" s="48" t="str">
        <x:v>PT. PERSLY DONNY SIREGAR</x:v>
      </x:c>
      <x:c r="H344" s="48" t="str">
        <x:v>Kristory Glorius S.</x:v>
      </x:c>
      <x:c r="I344" s="48" t="str">
        <x:v>Asosiasi Pengembang Perumahan dan Permukiman Seluruh Indonesia (APERSI)</x:v>
      </x:c>
      <x:c r="J344" s="48" t="n">
        <x:v>2019</x:v>
      </x:c>
      <x:c r="K344" s="48">
        <x:v>39</x:v>
      </x:c>
      <x:c r="L344" s="47">
        <x:v>39</x:v>
      </x:c>
      <x:c r="M344" s="48">
        <x:v>39</x:v>
      </x:c>
      <x:c r="N344" s="48" t="s">
        <x:v>78</x:v>
      </x:c>
      <x:c r="O344" s="48"/>
      <x:c r="Q344" s="21" t="s">
        <x:v>67</x:v>
      </x:c>
      <x:c r="S344" s="47"/>
      <x:c r="T344" s="47"/>
      <x:c r="U344" s="47"/>
      <x:c r="V344" s="76">
        <x:v>-2.0910150000000001</x:v>
      </x:c>
      <x:c r="W344" s="47">
        <x:v>106.092673</x:v>
      </x:c>
      <x:c r="X344" s="47"/>
      <x:c r="Y344" s="49"/>
      <x:c r="Z344" s="49"/>
      <x:c r="AA344" s="47"/>
      <x:c r="AB344" s="80"/>
      <x:c r="AC344" s="49"/>
      <x:c r="AD344" s="50">
        <x:f t="shared" si="24"/>
        <x:v>1</x:v>
      </x:c>
      <x:c r="AE344" s="50">
        <x:f t="shared" si="25"/>
        <x:v>1</x:v>
      </x:c>
    </x:row>
    <x:row r="345" s="48" customFormat="1" ht="12.5">
      <x:c r="A345" s="29" t="s">
        <x:v>780</x:v>
      </x:c>
      <x:c r="B345" s="47" t="s">
        <x:v>781</x:v>
      </x:c>
      <x:c r="C345" s="48" t="s">
        <x:v>63</x:v>
      </x:c>
      <x:c r="D345" s="47" t="s">
        <x:v>64</x:v>
      </x:c>
      <x:c r="E345" s="47" t="s">
        <x:v>65</x:v>
      </x:c>
      <x:c r="F345" s="48" t="str">
        <x:v>Jl. Haji Umar</x:v>
      </x:c>
      <x:c r="G345" s="48" t="str">
        <x:v>PT. PERSLY DONNY SIREGAR</x:v>
      </x:c>
      <x:c r="H345" s="48" t="str">
        <x:v>Kristory Glorius S.</x:v>
      </x:c>
      <x:c r="I345" s="48" t="str">
        <x:v>Asosiasi Pengembang Perumahan dan Permukiman Seluruh Indonesia (APERSI)</x:v>
      </x:c>
      <x:c r="J345" s="48" t="n">
        <x:v>2018</x:v>
      </x:c>
      <x:c r="K345" s="48">
        <x:v>12</x:v>
      </x:c>
      <x:c r="L345" s="47">
        <x:v>12</x:v>
      </x:c>
      <x:c r="M345" s="48">
        <x:v>12</x:v>
      </x:c>
      <x:c r="N345" s="48" t="s">
        <x:v>78</x:v>
      </x:c>
      <x:c r="O345" s="48"/>
      <x:c r="Q345" s="21" t="s">
        <x:v>67</x:v>
      </x:c>
      <x:c r="S345" s="47"/>
      <x:c r="T345" s="47"/>
      <x:c r="U345" s="47"/>
      <x:c r="V345" s="76"/>
      <x:c r="W345" s="47"/>
      <x:c r="X345" s="47"/>
      <x:c r="Y345" s="49"/>
      <x:c r="Z345" s="49"/>
      <x:c r="AA345" s="47"/>
      <x:c r="AB345" s="80"/>
      <x:c r="AC345" s="49"/>
      <x:c r="AD345" s="50">
        <x:f t="shared" si="24"/>
        <x:v>1</x:v>
      </x:c>
      <x:c r="AE345" s="50">
        <x:f t="shared" si="25"/>
        <x:v>1</x:v>
      </x:c>
    </x:row>
    <x:row r="346" s="48" customFormat="1" ht="12.5">
      <x:c r="A346" s="29" t="s">
        <x:v>782</x:v>
      </x:c>
      <x:c r="B346" s="47" t="s">
        <x:v>783</x:v>
      </x:c>
      <x:c r="C346" s="48" t="s">
        <x:v>63</x:v>
      </x:c>
      <x:c r="D346" s="47" t="s">
        <x:v>104</x:v>
      </x:c>
      <x:c r="E346" s="47" t="s">
        <x:v>141</x:v>
      </x:c>
      <x:c r="F346" s="48" t="str">
        <x:v>Jl. Tanjung Bunga</x:v>
      </x:c>
      <x:c r="G346" s="48" t="str">
        <x:v>PT. PERSLY DONNY SIREGAR</x:v>
      </x:c>
      <x:c r="H346" s="48" t="str">
        <x:v>Kristory Glorius S.</x:v>
      </x:c>
      <x:c r="I346" s="48" t="str">
        <x:v>Asosiasi Pengembang Perumahan dan Permukiman Seluruh Indonesia (APERSI)</x:v>
      </x:c>
      <x:c r="J346" s="48" t="n">
        <x:v>2017</x:v>
      </x:c>
      <x:c r="K346" s="48">
        <x:v>21</x:v>
      </x:c>
      <x:c r="L346" s="47">
        <x:v>21</x:v>
      </x:c>
      <x:c r="M346" s="48">
        <x:v>21</x:v>
      </x:c>
      <x:c r="N346" s="48" t="s">
        <x:v>78</x:v>
      </x:c>
      <x:c r="O346" s="48"/>
      <x:c r="Q346" s="21" t="s">
        <x:v>67</x:v>
      </x:c>
      <x:c r="S346" s="47"/>
      <x:c r="T346" s="47"/>
      <x:c r="U346" s="47"/>
      <x:c r="V346" s="76">
        <x:v>-2.1389182999999998</x:v>
      </x:c>
      <x:c r="W346" s="47">
        <x:v>106.16784389999999</x:v>
      </x:c>
      <x:c r="X346" s="47"/>
      <x:c r="Y346" s="49"/>
      <x:c r="Z346" s="49"/>
      <x:c r="AA346" s="47"/>
      <x:c r="AB346" s="80"/>
      <x:c r="AC346" s="49"/>
      <x:c r="AD346" s="50">
        <x:f t="shared" si="24"/>
        <x:v>1</x:v>
      </x:c>
      <x:c r="AE346" s="50">
        <x:f t="shared" si="25"/>
        <x:v>1</x:v>
      </x:c>
    </x:row>
    <x:row r="347" s="48" customFormat="1" ht="12.5">
      <x:c r="A347" s="29" t="s">
        <x:v>784</x:v>
      </x:c>
      <x:c r="B347" s="47" t="s">
        <x:v>785</x:v>
      </x:c>
      <x:c r="C347" s="48" t="s">
        <x:v>111</x:v>
      </x:c>
      <x:c r="D347" s="47" t="s">
        <x:v>786</x:v>
      </x:c>
      <x:c r="E347" s="47" t="s">
        <x:v>787</x:v>
      </x:c>
      <x:c r="F347" s="48" t="str">
        <x:v>Jl. Jeruk</x:v>
      </x:c>
      <x:c r="G347" s="48" t="str">
        <x:v>PT. PRESTIGE LAND PROPERTI</x:v>
      </x:c>
      <x:c r="H347" s="48" t="str">
        <x:v>Warino</x:v>
      </x:c>
      <x:c r="I347" s="48" t="str">
        <x:v>Real Estate Indonesia (REI)</x:v>
      </x:c>
      <x:c r="J347" s="48" t="n">
        <x:v>2021</x:v>
      </x:c>
      <x:c r="K347" s="48">
        <x:v>50</x:v>
      </x:c>
      <x:c r="L347" s="47">
        <x:v>50</x:v>
      </x:c>
      <x:c r="M347" s="48">
        <x:v>50</x:v>
      </x:c>
      <x:c r="N347" s="48" t="s">
        <x:v>66</x:v>
      </x:c>
      <x:c r="O347" s="48" t="n">
        <x:v>2026</x:v>
      </x:c>
      <x:c r="Q347" s="21" t="s">
        <x:v>67</x:v>
      </x:c>
      <x:c r="S347" s="47"/>
      <x:c r="T347" s="47"/>
      <x:c r="U347" s="47"/>
      <x:c r="V347" s="76">
        <x:v>-2.1468946</x:v>
      </x:c>
      <x:c r="W347" s="47">
        <x:v>106.0942438</x:v>
      </x:c>
      <x:c r="X347" s="47"/>
      <x:c r="Y347" s="49"/>
      <x:c r="Z347" s="49"/>
      <x:c r="AA347" s="47"/>
      <x:c r="AB347" s="80"/>
      <x:c r="AC347" s="49"/>
      <x:c r="AD347" s="50">
        <x:f t="shared" si="24"/>
        <x:v>1</x:v>
      </x:c>
      <x:c r="AE347" s="50">
        <x:f t="shared" si="25"/>
        <x:v>1</x:v>
      </x:c>
    </x:row>
    <x:row r="348" s="48" customFormat="1" ht="12.5">
      <x:c r="A348" s="29" t="s">
        <x:v>788</x:v>
      </x:c>
      <x:c r="B348" s="47" t="s">
        <x:v>789</x:v>
      </x:c>
      <x:c r="C348" s="48" t="s">
        <x:v>63</x:v>
      </x:c>
      <x:c r="D348" s="47" t="s">
        <x:v>104</x:v>
      </x:c>
      <x:c r="E348" s="47" t="s">
        <x:v>300</x:v>
      </x:c>
      <x:c r="F348" s="48" t="str">
        <x:v>Jl. Swadaya</x:v>
      </x:c>
      <x:c r="G348" s="48" t="str">
        <x:v>PT. PRESTIGE LAND PROPERTI</x:v>
      </x:c>
      <x:c r="H348" s="48" t="str">
        <x:v>Warino</x:v>
      </x:c>
      <x:c r="I348" s="48" t="str">
        <x:v>Real Estate Indonesia (REI)</x:v>
      </x:c>
      <x:c r="J348" s="48" t="n">
        <x:v>2023</x:v>
      </x:c>
      <x:c r="K348" s="48">
        <x:v>170</x:v>
      </x:c>
      <x:c r="L348" s="47">
        <x:v>135</x:v>
      </x:c>
      <x:c r="M348" s="48">
        <x:v>135</x:v>
      </x:c>
      <x:c r="N348" s="48" t="s">
        <x:v>78</x:v>
      </x:c>
      <x:c r="O348" s="48"/>
      <x:c r="Q348" s="21" t="s">
        <x:v>67</x:v>
      </x:c>
      <x:c r="R348" s="48" t="s">
        <x:v>108</x:v>
      </x:c>
      <x:c r="S348" s="47"/>
      <x:c r="T348" s="47"/>
      <x:c r="U348" s="47"/>
      <x:c r="V348" s="76">
        <x:v>-2.1261269999999999</x:v>
      </x:c>
      <x:c r="W348" s="47">
        <x:v>106.14223749999999</x:v>
      </x:c>
      <x:c r="X348" s="47"/>
      <x:c r="Y348" s="49"/>
      <x:c r="Z348" s="49"/>
      <x:c r="AA348" s="47"/>
      <x:c r="AB348" s="80"/>
      <x:c r="AC348" s="49"/>
      <x:c r="AD348" s="50">
        <x:f t="shared" si="24"/>
        <x:v>0.79411764705882348</x:v>
      </x:c>
      <x:c r="AE348" s="50">
        <x:f t="shared" si="25"/>
        <x:v>1</x:v>
      </x:c>
    </x:row>
    <x:row r="349" s="48" customFormat="1" ht="12.5">
      <x:c r="A349" s="29" t="s">
        <x:v>790</x:v>
      </x:c>
      <x:c r="B349" s="47" t="s">
        <x:v>791</x:v>
      </x:c>
      <x:c r="C349" s="48" t="s">
        <x:v>63</x:v>
      </x:c>
      <x:c r="D349" s="47" t="s">
        <x:v>104</x:v>
      </x:c>
      <x:c r="E349" s="47" t="s">
        <x:v>300</x:v>
      </x:c>
      <x:c r="F349" s="48" t="str">
        <x:v>Jl. Tirta Darma 1</x:v>
      </x:c>
      <x:c r="G349" s="48" t="str">
        <x:v>PT. PRESTIGE LAND PROPERTI</x:v>
      </x:c>
      <x:c r="H349" s="48" t="str">
        <x:v>Warino</x:v>
      </x:c>
      <x:c r="I349" s="48" t="str">
        <x:v>Real Estate Indonesia (REI)</x:v>
      </x:c>
      <x:c r="J349" s="48" t="n">
        <x:v>2026</x:v>
      </x:c>
      <x:c r="K349" s="48">
        <x:v>48</x:v>
      </x:c>
      <x:c r="L349" s="47">
        <x:v>0</x:v>
      </x:c>
      <x:c r="M349" s="48">
        <x:v>0</x:v>
      </x:c>
      <x:c r="N349" s="48" t="s">
        <x:v>78</x:v>
      </x:c>
      <x:c r="O349" s="48"/>
      <x:c r="Q349" s="21" t="s">
        <x:v>67</x:v>
      </x:c>
      <x:c r="R349" s="48" t="s">
        <x:v>108</x:v>
      </x:c>
      <x:c r="S349" s="47"/>
      <x:c r="T349" s="47"/>
      <x:c r="U349" s="47"/>
      <x:c r="V349" s="76"/>
      <x:c r="W349" s="47"/>
      <x:c r="X349" s="47"/>
      <x:c r="Y349" s="49"/>
      <x:c r="Z349" s="49"/>
      <x:c r="AA349" s="47"/>
      <x:c r="AB349" s="80"/>
      <x:c r="AC349" s="49"/>
      <x:c r="AD349" s="50"/>
      <x:c r="AE349" s="50"/>
    </x:row>
    <x:row r="350" s="48" customFormat="1" ht="12.5">
      <x:c r="A350" s="29" t="s">
        <x:v>792</x:v>
      </x:c>
      <x:c r="B350" s="47" t="s">
        <x:v>793</x:v>
      </x:c>
      <x:c r="C350" s="48" t="s">
        <x:v>63</x:v>
      </x:c>
      <x:c r="D350" s="47" t="s">
        <x:v>64</x:v>
      </x:c>
      <x:c r="E350" s="47" t="s">
        <x:v>65</x:v>
      </x:c>
      <x:c r="F350" s="48" t="str">
        <x:v>Belum Diketahui</x:v>
      </x:c>
      <x:c r="G350" s="48" t="str">
        <x:v>Belum Teridentifikasi</x:v>
      </x:c>
      <x:c r="H350" s="48" t="str">
        <x:v>Belum Teridentifikasi</x:v>
      </x:c>
      <x:c r="I350" s="48" t="str">
        <x:v>Belum Teridentifikasi</x:v>
      </x:c>
      <x:c r="J350" s="48" t="n">
        <x:v>2018</x:v>
      </x:c>
      <x:c r="K350" s="48">
        <x:v>33</x:v>
      </x:c>
      <x:c r="L350" s="47">
        <x:v>33</x:v>
      </x:c>
      <x:c r="M350" s="48">
        <x:v>33</x:v>
      </x:c>
      <x:c r="N350" s="48" t="s">
        <x:v>78</x:v>
      </x:c>
      <x:c r="O350" s="48"/>
      <x:c r="Q350" s="21" t="s">
        <x:v>67</x:v>
      </x:c>
      <x:c r="R350" s="21" t="s">
        <x:v>108</x:v>
      </x:c>
      <x:c r="S350" s="47"/>
      <x:c r="T350" s="47"/>
      <x:c r="U350" s="47"/>
      <x:c r="V350" s="76">
        <x:v>-2.1123416000000002</x:v>
      </x:c>
      <x:c r="W350" s="47">
        <x:v>106.06992219999999</x:v>
      </x:c>
      <x:c r="X350" s="47"/>
      <x:c r="Y350" s="49"/>
      <x:c r="Z350" s="49"/>
      <x:c r="AA350" s="47"/>
      <x:c r="AB350" s="80"/>
      <x:c r="AC350" s="49"/>
      <x:c r="AD350" s="50" t="n">
        <x:f t="shared" ref="AD350:AD361" si="26">IF(A350="","",IFERROR(L350/K350,0))</x:f>
        <x:v>1</x:v>
      </x:c>
      <x:c r="AE350" s="50" t="n">
        <x:f t="shared" ref="AE350:AE361" si="27">IF(A350="","",IFERROR(M350/L350,0))</x:f>
        <x:v>1</x:v>
      </x:c>
    </x:row>
    <x:row r="351" s="48" customFormat="1" ht="12.5">
      <x:c r="A351" s="29" t="s">
        <x:v>794</x:v>
      </x:c>
      <x:c r="B351" s="47" t="s">
        <x:v>795</x:v>
      </x:c>
      <x:c r="C351" s="48" t="s">
        <x:v>63</x:v>
      </x:c>
      <x:c r="D351" s="47" t="s">
        <x:v>122</x:v>
      </x:c>
      <x:c r="E351" s="47" t="s">
        <x:v>796</x:v>
      </x:c>
      <x:c r="F351" s="48" t="str">
        <x:v>Jl. Teluk Bayur</x:v>
      </x:c>
      <x:c r="G351" s="48" t="str">
        <x:v>PT. HARMONI CITRA BANGKA</x:v>
      </x:c>
      <x:c r="H351" s="48" t="str">
        <x:v>Yurita Sari</x:v>
      </x:c>
      <x:c r="I351" s="48" t="str">
        <x:v>Asosiasi Pengembang Perumahan Indonesia (APPERINDO)</x:v>
      </x:c>
      <x:c r="J351" s="48" t="n">
        <x:v>2020</x:v>
      </x:c>
      <x:c r="K351" s="48">
        <x:v>62</x:v>
      </x:c>
      <x:c r="L351" s="47">
        <x:v>27</x:v>
      </x:c>
      <x:c r="M351" s="48">
        <x:v>27</x:v>
      </x:c>
      <x:c r="N351" s="48" t="s">
        <x:v>78</x:v>
      </x:c>
      <x:c r="O351" s="48"/>
      <x:c r="Q351" s="21" t="s">
        <x:v>67</x:v>
      </x:c>
      <x:c r="R351" s="21" t="s">
        <x:v>108</x:v>
      </x:c>
      <x:c r="S351" s="47"/>
      <x:c r="T351" s="47"/>
      <x:c r="U351" s="47"/>
      <x:c r="V351" s="76">
        <x:v>-2.1102194000000001</x:v>
      </x:c>
      <x:c r="W351" s="47">
        <x:v>106.123358</x:v>
      </x:c>
      <x:c r="X351" s="47"/>
      <x:c r="Y351" s="49"/>
      <x:c r="Z351" s="49"/>
      <x:c r="AA351" s="47"/>
      <x:c r="AB351" s="80"/>
      <x:c r="AC351" s="49"/>
      <x:c r="AD351" s="50">
        <x:f t="shared" si="26"/>
        <x:v>0.43548387096774194</x:v>
      </x:c>
      <x:c r="AE351" s="50">
        <x:f t="shared" si="27"/>
        <x:v>1</x:v>
      </x:c>
    </x:row>
    <x:row r="352" s="48" customFormat="1" ht="12.5">
      <x:c r="A352" s="29" t="s">
        <x:v>797</x:v>
      </x:c>
      <x:c r="B352" s="47" t="s">
        <x:v>798</x:v>
      </x:c>
      <x:c r="C352" s="48" t="s">
        <x:v>63</x:v>
      </x:c>
      <x:c r="D352" s="47" t="s">
        <x:v>86</x:v>
      </x:c>
      <x:c r="E352" s="47" t="s">
        <x:v>112</x:v>
      </x:c>
      <x:c r="F352" s="48" t="str">
        <x:v>Jl. Padat Karya Dalam</x:v>
      </x:c>
      <x:c r="G352" s="48" t="str">
        <x:v>PT. FARISLA JAYA MAKMUR</x:v>
      </x:c>
      <x:c r="H352" s="48" t="str">
        <x:v>Belum Teridentifikasi</x:v>
      </x:c>
      <x:c r="I352" s="48" t="str">
        <x:v>Himpunan Pengembang Permukiman dan Perumahan Rakyat (HIMPERRA)</x:v>
      </x:c>
      <x:c r="J352" s="48" t="n">
        <x:v>2017</x:v>
      </x:c>
      <x:c r="K352" s="48">
        <x:v>43</x:v>
      </x:c>
      <x:c r="L352" s="47">
        <x:v>40</x:v>
      </x:c>
      <x:c r="M352" s="48">
        <x:v>34</x:v>
      </x:c>
      <x:c r="N352" s="48" t="s">
        <x:v>78</x:v>
      </x:c>
      <x:c r="O352" s="48"/>
      <x:c r="Q352" s="21" t="s">
        <x:v>67</x:v>
      </x:c>
      <x:c r="R352" s="21" t="s">
        <x:v>108</x:v>
      </x:c>
      <x:c r="S352" s="47"/>
      <x:c r="T352" s="47"/>
      <x:c r="U352" s="47"/>
      <x:c r="V352" s="76">
        <x:v>-2.0877240000000001</x:v>
      </x:c>
      <x:c r="W352" s="47">
        <x:v>106.104771</x:v>
      </x:c>
      <x:c r="X352" s="47"/>
      <x:c r="Y352" s="49"/>
      <x:c r="Z352" s="49"/>
      <x:c r="AA352" s="47"/>
      <x:c r="AB352" s="80"/>
      <x:c r="AC352" s="49"/>
      <x:c r="AD352" s="50">
        <x:f t="shared" si="26"/>
        <x:v>0.93023255813953487</x:v>
      </x:c>
      <x:c r="AE352" s="50">
        <x:f t="shared" si="27"/>
        <x:v>0.85</x:v>
      </x:c>
    </x:row>
    <x:row r="353" s="48" customFormat="1" ht="12.5">
      <x:c r="A353" s="29" t="s">
        <x:v>799</x:v>
      </x:c>
      <x:c r="B353" s="47" t="s">
        <x:v>800</x:v>
      </x:c>
      <x:c r="C353" s="48" t="s">
        <x:v>63</x:v>
      </x:c>
      <x:c r="D353" s="47" t="s">
        <x:v>64</x:v>
      </x:c>
      <x:c r="E353" s="47" t="s">
        <x:v>65</x:v>
      </x:c>
      <x:c r="F353" s="48" t="str">
        <x:v>Jl. Tua Tunu Raya</x:v>
      </x:c>
      <x:c r="G353" s="48" t="str">
        <x:v>PT. BUMI CITRA LESTARI PROPERTINDO</x:v>
      </x:c>
      <x:c r="H353" s="48" t="str">
        <x:v>Feri Sardani</x:v>
      </x:c>
      <x:c r="I353" s="48" t="str">
        <x:v>Pengembang Indonesia (PI)</x:v>
      </x:c>
      <x:c r="J353" s="48" t="n">
        <x:v>2019</x:v>
      </x:c>
      <x:c r="K353" s="48">
        <x:v>44</x:v>
      </x:c>
      <x:c r="L353" s="47">
        <x:v>44</x:v>
      </x:c>
      <x:c r="M353" s="48">
        <x:v>44</x:v>
      </x:c>
      <x:c r="N353" s="48" t="s">
        <x:v>78</x:v>
      </x:c>
      <x:c r="O353" s="48"/>
      <x:c r="Q353" s="21" t="s">
        <x:v>67</x:v>
      </x:c>
      <x:c r="S353" s="47"/>
      <x:c r="T353" s="47"/>
      <x:c r="U353" s="47"/>
      <x:c r="V353" s="76">
        <x:v>-2.1144664</x:v>
      </x:c>
      <x:c r="W353" s="47">
        <x:v>106.07396660000001</x:v>
      </x:c>
      <x:c r="X353" s="47"/>
      <x:c r="Y353" s="49"/>
      <x:c r="Z353" s="49"/>
      <x:c r="AA353" s="47"/>
      <x:c r="AB353" s="80"/>
      <x:c r="AC353" s="49"/>
      <x:c r="AD353" s="50">
        <x:f t="shared" si="26"/>
        <x:v>1</x:v>
      </x:c>
      <x:c r="AE353" s="50">
        <x:f t="shared" si="27"/>
        <x:v>1</x:v>
      </x:c>
    </x:row>
    <x:row r="354" s="48" customFormat="1" ht="12.5">
      <x:c r="A354" s="29" t="s">
        <x:v>801</x:v>
      </x:c>
      <x:c r="B354" s="47" t="s">
        <x:v>802</x:v>
      </x:c>
      <x:c r="C354" s="48" t="s">
        <x:v>63</x:v>
      </x:c>
      <x:c r="D354" s="47" t="s">
        <x:v>122</x:v>
      </x:c>
      <x:c r="E354" s="47" t="s">
        <x:v>216</x:v>
      </x:c>
      <x:c r="F354" s="48" t="str">
        <x:v>Jl. Galanggang Kapal Selindung</x:v>
      </x:c>
      <x:c r="G354" s="48" t="str">
        <x:v>PD. DOK KARTINI</x:v>
      </x:c>
      <x:c r="H354" s="48" t="str">
        <x:v>Jibran Chairozi</x:v>
      </x:c>
      <x:c r="I354" s="48" t="str">
        <x:v>Himpunan Pengembang Permukiman dan Perumahan Rakyat (HIMPERRA)</x:v>
      </x:c>
      <x:c r="J354" s="48" t="n">
        <x:v>2017</x:v>
      </x:c>
      <x:c r="K354" s="48">
        <x:v>48</x:v>
      </x:c>
      <x:c r="L354" s="47">
        <x:v>42</x:v>
      </x:c>
      <x:c r="M354" s="48">
        <x:v>33</x:v>
      </x:c>
      <x:c r="N354" s="48" t="s">
        <x:v>78</x:v>
      </x:c>
      <x:c r="O354" s="48"/>
      <x:c r="Q354" s="21" t="s">
        <x:v>67</x:v>
      </x:c>
      <x:c r="R354" s="21" t="s">
        <x:v>108</x:v>
      </x:c>
      <x:c r="S354" s="47"/>
      <x:c r="T354" s="47"/>
      <x:c r="U354" s="47"/>
      <x:c r="V354" s="76">
        <x:v>-2.0870636999999999</x:v>
      </x:c>
      <x:c r="W354" s="47">
        <x:v>106.12246279999999</x:v>
      </x:c>
      <x:c r="X354" s="47"/>
      <x:c r="Y354" s="49"/>
      <x:c r="Z354" s="49"/>
      <x:c r="AA354" s="47"/>
      <x:c r="AB354" s="80"/>
      <x:c r="AC354" s="49"/>
      <x:c r="AD354" s="50">
        <x:f t="shared" si="26"/>
        <x:v>0.875</x:v>
      </x:c>
      <x:c r="AE354" s="50">
        <x:f t="shared" si="27"/>
        <x:v>0.7857142857142857</x:v>
      </x:c>
    </x:row>
    <x:row r="355" s="48" customFormat="1" ht="12.5">
      <x:c r="A355" s="29" t="s">
        <x:v>803</x:v>
      </x:c>
      <x:c r="B355" s="47" t="s">
        <x:v>804</x:v>
      </x:c>
      <x:c r="C355" s="48" t="s">
        <x:v>63</x:v>
      </x:c>
      <x:c r="D355" s="47" t="s">
        <x:v>86</x:v>
      </x:c>
      <x:c r="E355" s="47" t="s">
        <x:v>112</x:v>
      </x:c>
      <x:c r="F355" s="48" t="str">
        <x:v>Jl. Sembilang No. 2</x:v>
      </x:c>
      <x:c r="G355" s="48" t="str">
        <x:v>PT. MEGA SAPUTRA PERSADA</x:v>
      </x:c>
      <x:c r="H355" s="48" t="str">
        <x:v>Defri Hertanto</x:v>
      </x:c>
      <x:c r="I355" s="48" t="str">
        <x:v>Aliansi Pengembang Perumahan Nasional Jaya (APPERNAS JAYA)</x:v>
      </x:c>
      <x:c r="J355" s="48" t="n">
        <x:v>2016</x:v>
      </x:c>
      <x:c r="K355" s="48">
        <x:v>56</x:v>
      </x:c>
      <x:c r="L355" s="47">
        <x:v>56</x:v>
      </x:c>
      <x:c r="M355" s="48">
        <x:v>56</x:v>
      </x:c>
      <x:c r="N355" s="48" t="s">
        <x:v>78</x:v>
      </x:c>
      <x:c r="O355" s="48"/>
      <x:c r="Q355" s="21" t="s">
        <x:v>67</x:v>
      </x:c>
      <x:c r="S355" s="47"/>
      <x:c r="T355" s="47"/>
      <x:c r="U355" s="47"/>
      <x:c r="V355" s="76">
        <x:v>-2.0997509999999999</x:v>
      </x:c>
      <x:c r="W355" s="47">
        <x:v>106.108549</x:v>
      </x:c>
      <x:c r="X355" s="47"/>
      <x:c r="Y355" s="49"/>
      <x:c r="Z355" s="49"/>
      <x:c r="AA355" s="47"/>
      <x:c r="AB355" s="80"/>
      <x:c r="AC355" s="49"/>
      <x:c r="AD355" s="50">
        <x:f t="shared" si="26"/>
        <x:v>1</x:v>
      </x:c>
      <x:c r="AE355" s="50">
        <x:f t="shared" si="27"/>
        <x:v>1</x:v>
      </x:c>
    </x:row>
    <x:row r="356" s="48" customFormat="1" ht="12.5">
      <x:c r="A356" s="29" t="s">
        <x:v>805</x:v>
      </x:c>
      <x:c r="B356" s="47" t="s">
        <x:v>806</x:v>
      </x:c>
      <x:c r="C356" s="48" t="s">
        <x:v>63</x:v>
      </x:c>
      <x:c r="D356" s="47" t="s">
        <x:v>86</x:v>
      </x:c>
      <x:c r="E356" s="47" t="s">
        <x:v>93</x:v>
      </x:c>
      <x:c r="F356" s="48" t="str">
        <x:v>Jl. Puskesmas/Len 30</x:v>
      </x:c>
      <x:c r="G356" s="48" t="str">
        <x:v>PT. WAN JANNAH RIA</x:v>
      </x:c>
      <x:c r="H356" s="48" t="str">
        <x:v>Dahlia</x:v>
      </x:c>
      <x:c r="I356" s="48" t="str">
        <x:v>Belum Teridentifikasi</x:v>
      </x:c>
      <x:c r="J356" s="48" t="n">
        <x:v>2023</x:v>
      </x:c>
      <x:c r="K356" s="48">
        <x:v>77</x:v>
      </x:c>
      <x:c r="L356" s="47">
        <x:v>29</x:v>
      </x:c>
      <x:c r="M356" s="48">
        <x:v>24</x:v>
      </x:c>
      <x:c r="N356" s="48" t="s">
        <x:v>78</x:v>
      </x:c>
      <x:c r="O356" s="48"/>
      <x:c r="Q356" s="21" t="s">
        <x:v>67</x:v>
      </x:c>
      <x:c r="R356" s="21" t="s">
        <x:v>108</x:v>
      </x:c>
      <x:c r="S356" s="47"/>
      <x:c r="T356" s="47"/>
      <x:c r="U356" s="47"/>
      <x:c r="V356" s="76">
        <x:v>-2.0913586999999998</x:v>
      </x:c>
      <x:c r="W356" s="47">
        <x:v>106.0929603</x:v>
      </x:c>
      <x:c r="X356" s="47"/>
      <x:c r="Y356" s="49"/>
      <x:c r="Z356" s="49"/>
      <x:c r="AA356" s="47"/>
      <x:c r="AB356" s="80"/>
      <x:c r="AC356" s="49"/>
      <x:c r="AD356" s="50">
        <x:f t="shared" si="26"/>
        <x:v>0.37662337662337664</x:v>
      </x:c>
      <x:c r="AE356" s="50">
        <x:f t="shared" si="27"/>
        <x:v>0.82758620689655171</x:v>
      </x:c>
    </x:row>
    <x:row r="357" s="48" customFormat="1" ht="12.5">
      <x:c r="A357" s="29" t="s">
        <x:v>807</x:v>
      </x:c>
      <x:c r="B357" s="47" t="s">
        <x:v>808</x:v>
      </x:c>
      <x:c r="C357" s="48" t="s">
        <x:v>179</x:v>
      </x:c>
      <x:c r="D357" s="47" t="s">
        <x:v>786</x:v>
      </x:c>
      <x:c r="E357" s="47" t="s">
        <x:v>809</x:v>
      </x:c>
      <x:c r="F357" s="48" t="str">
        <x:v>Jl. Batin Iso No. 429</x:v>
      </x:c>
      <x:c r="G357" s="48" t="str">
        <x:v>Belum Teridentifikasi</x:v>
      </x:c>
      <x:c r="H357" s="48" t="str">
        <x:v>Belum Teridentifikasi</x:v>
      </x:c>
      <x:c r="I357" s="48" t="str">
        <x:v>Belum Teridentifikasi</x:v>
      </x:c>
      <x:c r="J357" s="48"/>
      <x:c r="K357" s="48">
        <x:v>4</x:v>
      </x:c>
      <x:c r="L357" s="47">
        <x:v>4</x:v>
      </x:c>
      <x:c r="M357" s="48">
        <x:v>4</x:v>
      </x:c>
      <x:c r="N357" s="48" t="s">
        <x:v>78</x:v>
      </x:c>
      <x:c r="O357" s="48"/>
      <x:c r="Q357" s="21" t="s">
        <x:v>67</x:v>
      </x:c>
      <x:c r="S357" s="47"/>
      <x:c r="T357" s="47"/>
      <x:c r="U357" s="47"/>
      <x:c r="V357" s="76">
        <x:v>-2.1322789200000001</x:v>
      </x:c>
      <x:c r="W357" s="47">
        <x:v>106.0984273</x:v>
      </x:c>
      <x:c r="X357" s="47"/>
      <x:c r="Y357" s="49"/>
      <x:c r="Z357" s="49"/>
      <x:c r="AA357" s="47"/>
      <x:c r="AB357" s="80"/>
      <x:c r="AC357" s="49"/>
      <x:c r="AD357" s="50">
        <x:f t="shared" si="26"/>
        <x:v>1</x:v>
      </x:c>
      <x:c r="AE357" s="50">
        <x:f t="shared" si="27"/>
        <x:v>1</x:v>
      </x:c>
    </x:row>
    <x:row r="358" s="48" customFormat="1" ht="12.5">
      <x:c r="A358" s="29" t="s">
        <x:v>810</x:v>
      </x:c>
      <x:c r="B358" s="47" t="s">
        <x:v>811</x:v>
      </x:c>
      <x:c r="C358" s="48" t="s">
        <x:v>63</x:v>
      </x:c>
      <x:c r="D358" s="47" t="s">
        <x:v>86</x:v>
      </x:c>
      <x:c r="E358" s="47" t="s">
        <x:v>112</x:v>
      </x:c>
      <x:c r="F358" s="48" t="str">
        <x:v>Jl. Lintas Timur</x:v>
      </x:c>
      <x:c r="G358" s="48" t="str">
        <x:v>PT. ROBIATUL RUBIEQA RABBANI</x:v>
      </x:c>
      <x:c r="H358" s="48" t="str">
        <x:v>Zikri</x:v>
      </x:c>
      <x:c r="I358" s="48" t="str">
        <x:v>Belum Teridentifikasi</x:v>
      </x:c>
      <x:c r="J358" s="48" t="n">
        <x:v>2018</x:v>
      </x:c>
      <x:c r="K358" s="48">
        <x:v>128</x:v>
      </x:c>
      <x:c r="L358" s="47">
        <x:v>128</x:v>
      </x:c>
      <x:c r="M358" s="48">
        <x:v>128</x:v>
      </x:c>
      <x:c r="N358" s="48" t="s">
        <x:v>78</x:v>
      </x:c>
      <x:c r="O358" s="48"/>
      <x:c r="Q358" s="21" t="s">
        <x:v>67</x:v>
      </x:c>
      <x:c r="S358" s="47"/>
      <x:c r="T358" s="47"/>
      <x:c r="U358" s="47"/>
      <x:c r="V358" s="76">
        <x:v>-2.0771069999999998</x:v>
      </x:c>
      <x:c r="W358" s="47">
        <x:v>106.115712</x:v>
      </x:c>
      <x:c r="X358" s="47"/>
      <x:c r="Y358" s="49"/>
      <x:c r="Z358" s="49"/>
      <x:c r="AA358" s="47"/>
      <x:c r="AB358" s="80"/>
      <x:c r="AC358" s="49"/>
      <x:c r="AD358" s="50">
        <x:f t="shared" si="26"/>
        <x:v>1</x:v>
      </x:c>
      <x:c r="AE358" s="50">
        <x:f t="shared" si="27"/>
        <x:v>1</x:v>
      </x:c>
    </x:row>
    <x:row r="359" s="48" customFormat="1" ht="12.5">
      <x:c r="A359" s="29" t="s">
        <x:v>812</x:v>
      </x:c>
      <x:c r="B359" s="47" t="s">
        <x:v>813</x:v>
      </x:c>
      <x:c r="C359" s="48" t="s">
        <x:v>63</x:v>
      </x:c>
      <x:c r="D359" s="47" t="s">
        <x:v>86</x:v>
      </x:c>
      <x:c r="E359" s="47" t="s">
        <x:v>112</x:v>
      </x:c>
      <x:c r="F359" s="48" t="str">
        <x:v>Jl. Lintas Timur</x:v>
      </x:c>
      <x:c r="G359" s="48" t="str">
        <x:v>PT. ROBIATUL RUBIEQA RABBANI</x:v>
      </x:c>
      <x:c r="H359" s="48" t="str">
        <x:v>Zikri</x:v>
      </x:c>
      <x:c r="I359" s="48" t="str">
        <x:v>Belum Teridentifikasi</x:v>
      </x:c>
      <x:c r="J359" s="48" t="n">
        <x:v>2018</x:v>
      </x:c>
      <x:c r="K359" s="48">
        <x:v>116</x:v>
      </x:c>
      <x:c r="L359" s="47">
        <x:v>59</x:v>
      </x:c>
      <x:c r="M359" s="48">
        <x:v>59</x:v>
      </x:c>
      <x:c r="N359" s="48" t="s">
        <x:v>78</x:v>
      </x:c>
      <x:c r="O359" s="48"/>
      <x:c r="Q359" s="21" t="s">
        <x:v>67</x:v>
      </x:c>
      <x:c r="S359" s="47"/>
      <x:c r="T359" s="47"/>
      <x:c r="U359" s="47"/>
      <x:c r="V359" s="76">
        <x:v>-2.0771069999999998</x:v>
      </x:c>
      <x:c r="W359" s="47">
        <x:v>106.115712</x:v>
      </x:c>
      <x:c r="X359" s="47"/>
      <x:c r="Y359" s="49"/>
      <x:c r="Z359" s="49"/>
      <x:c r="AA359" s="47"/>
      <x:c r="AB359" s="80"/>
      <x:c r="AC359" s="49"/>
      <x:c r="AD359" s="50">
        <x:f t="shared" si="26"/>
        <x:v>0.50862068965517238</x:v>
      </x:c>
      <x:c r="AE359" s="50">
        <x:f t="shared" si="27"/>
        <x:v>1</x:v>
      </x:c>
    </x:row>
    <x:row r="360" s="48" customFormat="1" ht="12.5">
      <x:c r="A360" s="29" t="s">
        <x:v>814</x:v>
      </x:c>
      <x:c r="B360" s="47" t="s">
        <x:v>815</x:v>
      </x:c>
      <x:c r="C360" s="48" t="s">
        <x:v>63</x:v>
      </x:c>
      <x:c r="D360" s="47" t="s">
        <x:v>86</x:v>
      </x:c>
      <x:c r="E360" s="47" t="s">
        <x:v>112</x:v>
      </x:c>
      <x:c r="F360" s="48" t="str">
        <x:v>Jl. Lintas Timur</x:v>
      </x:c>
      <x:c r="G360" s="48" t="str">
        <x:v>PT. ROBIATUL RUBIEQA RABBANI</x:v>
      </x:c>
      <x:c r="H360" s="48" t="str">
        <x:v>Zikri</x:v>
      </x:c>
      <x:c r="I360" s="48" t="str">
        <x:v>Belum Teridentifikasi</x:v>
      </x:c>
      <x:c r="J360" s="48" t="n">
        <x:v>2019</x:v>
      </x:c>
      <x:c r="K360" s="48">
        <x:v>105</x:v>
      </x:c>
      <x:c r="L360" s="47">
        <x:v>9</x:v>
      </x:c>
      <x:c r="M360" s="48">
        <x:v>9</x:v>
      </x:c>
      <x:c r="N360" s="48" t="s">
        <x:v>78</x:v>
      </x:c>
      <x:c r="O360" s="48"/>
      <x:c r="Q360" s="21" t="s">
        <x:v>67</x:v>
      </x:c>
      <x:c r="S360" s="47"/>
      <x:c r="T360" s="47"/>
      <x:c r="U360" s="47"/>
      <x:c r="V360" s="76">
        <x:v>-2.0771069999999998</x:v>
      </x:c>
      <x:c r="W360" s="47">
        <x:v>106.115712</x:v>
      </x:c>
      <x:c r="X360" s="47"/>
      <x:c r="Y360" s="49"/>
      <x:c r="Z360" s="49"/>
      <x:c r="AA360" s="47"/>
      <x:c r="AB360" s="80"/>
      <x:c r="AC360" s="49"/>
      <x:c r="AD360" s="50">
        <x:f t="shared" si="26"/>
        <x:v>8.5714285714285715E-2</x:v>
      </x:c>
      <x:c r="AE360" s="50">
        <x:f t="shared" si="27"/>
        <x:v>1</x:v>
      </x:c>
    </x:row>
    <x:row r="361" s="48" customFormat="1" ht="12.5">
      <x:c r="A361" s="29" t="s">
        <x:v>816</x:v>
      </x:c>
      <x:c r="B361" s="47" t="s">
        <x:v>817</x:v>
      </x:c>
      <x:c r="C361" s="48" t="s">
        <x:v>63</x:v>
      </x:c>
      <x:c r="D361" s="47" t="s">
        <x:v>86</x:v>
      </x:c>
      <x:c r="E361" s="47" t="s">
        <x:v>112</x:v>
      </x:c>
      <x:c r="F361" s="48" t="str">
        <x:v>Jl. Sungai Liat</x:v>
      </x:c>
      <x:c r="G361" s="48" t="str">
        <x:v>PT. ROBIATUL RUBIEQA RABBANI</x:v>
      </x:c>
      <x:c r="H361" s="48" t="str">
        <x:v>Zikri</x:v>
      </x:c>
      <x:c r="I361" s="48" t="str">
        <x:v>Belum Teridentifikasi</x:v>
      </x:c>
      <x:c r="J361" s="48" t="n">
        <x:v>2019</x:v>
      </x:c>
      <x:c r="K361" s="48">
        <x:v>43</x:v>
      </x:c>
      <x:c r="L361" s="47">
        <x:v>0</x:v>
      </x:c>
      <x:c r="M361" s="48">
        <x:v>0</x:v>
      </x:c>
      <x:c r="N361" s="48" t="s">
        <x:v>78</x:v>
      </x:c>
      <x:c r="O361" s="48"/>
      <x:c r="Q361" s="21" t="s">
        <x:v>67</x:v>
      </x:c>
      <x:c r="S361" s="47"/>
      <x:c r="T361" s="47"/>
      <x:c r="U361" s="47"/>
      <x:c r="V361" s="76">
        <x:v>-2.0771069999999998</x:v>
      </x:c>
      <x:c r="W361" s="47">
        <x:v>106.115712</x:v>
      </x:c>
      <x:c r="X361" s="47"/>
      <x:c r="Y361" s="49"/>
      <x:c r="Z361" s="49"/>
      <x:c r="AA361" s="47"/>
      <x:c r="AB361" s="80"/>
      <x:c r="AC361" s="49"/>
      <x:c r="AD361" s="50">
        <x:f t="shared" si="26"/>
        <x:v>0</x:v>
      </x:c>
      <x:c r="AE361" s="50">
        <x:f t="shared" si="27"/>
        <x:v>0</x:v>
      </x:c>
    </x:row>
  </x:sheetData>
  <x:mergeCells>
    <x:mergeCell ref="A1:AE1"/>
    <x:mergeCell ref="A2:AE2"/>
    <x:mergeCell ref="A3:AE3"/>
  </x:mergeCells>
  <x:conditionalFormatting sqref="AD6:AE361">
    <x:cfRule type="dataBar" priority="1">
      <x:dataBar>
        <x:cfvo type="min"/>
        <x:cfvo type="max"/>
        <x:color rgb="FF175B72"/>
      </x:dataBar>
    </x:cfRule>
    <x:cfRule type="dataBar" priority="2">
      <x:dataBar>
        <x:cfvo type="min"/>
        <x:cfvo type="max"/>
        <x:color rgb="FF175B72"/>
      </x:dataBar>
    </x:cfRule>
    <x:cfRule type="dataBar" priority="3">
      <x:dataBar>
        <x:cfvo type="min"/>
        <x:cfvo type="max"/>
        <x:color rgb="FF175B72"/>
      </x:dataBar>
    </x:cfRule>
    <x:cfRule type="dataBar" priority="4">
      <x:dataBar>
        <x:cfvo type="min"/>
        <x:cfvo type="max"/>
        <x:color rgb="FF175B72"/>
      </x:dataBar>
    </x:cfRule>
    <x:cfRule type="dataBar" priority="5">
      <x:dataBar>
        <x:cfvo type="min"/>
        <x:cfvo type="max"/>
        <x:color rgb="FF175B72"/>
      </x:dataBar>
      <x:extLst>
        <x:ext xmlns:x14="http://schemas.microsoft.com/office/spreadsheetml/2009/9/main" uri="{B025F937-C7B1-47D3-B67F-A62EFF666E3E}">
          <x14:id>{DF34E544-7FC4-FE13-C659-99D1A02A5B09}</x14:id>
        </x:ext>
      </x:extLst>
    </x:cfRule>
  </x:conditionalFormatting>
  <x:dataValidations count="8">
    <x:dataValidation type="list" sqref="C6:C361">
      <x:formula1>"Subsidi,Komersial,Campuran,Lainnya"</x:formula1>
    </x:dataValidation>
    <x:dataValidation type="list" sqref="D6:D361">
      <x:formula1>"Bukit Intan,Gabek,Gerunggang,Girimaya,Pangkal Balam,Rangkui,Taman Sari"</x:formula1>
    </x:dataValidation>
    <x:dataValidation type="list" sqref="N6:N361">
      <x:formula1>"SUDAH DISERAHKAN,BELUM DISERAHKAN,DALAM PROSES,TIDAK DIKETAHUI"</x:formula1>
    </x:dataValidation>
    <x:dataValidation type="list" sqref="Q6:Q361">
      <x:formula1>"RTH terbangun,RTH belum terbangun,RTH beralih fungsi,Tidak tersedia,Belum terdata"</x:formula1>
    </x:dataValidation>
    <x:dataValidation type="list" sqref="R6:R361">
      <x:formula1>"Jalan belum perkerasan,Jalan rusak ringan,Jalan rusak sedang,Jalan rusak berat"</x:formula1>
    </x:dataValidation>
    <x:dataValidation type="list" sqref="S6:S361">
      <x:formula1>"Pengembang tidak aktif"</x:formula1>
    </x:dataValidation>
    <x:dataValidation type="list" sqref="T6:T361">
      <x:formula1>"Titik rawan genangan dan banjir"</x:formula1>
    </x:dataValidation>
    <x:dataValidation type="list" sqref="AA6:AA361">
      <x:formula1>"Draft,Dalam Verifikasi,Terverifikasi,Perlu Perbaikan"</x:formula1>
    </x:dataValidation>
  </x:dataValidations>
  <x:pageMargins left="0.7" right="0.7" top="0.75" bottom="0.75" header="0.3" footer="0.3"/>
  <x:tableParts count="1">
    <x:tablePart xmlns:r="http://schemas.openxmlformats.org/officeDocument/2006/relationships" r:id="Raa1a0586bfff4c6c"/>
  </x:tableParts>
  <x:extLst>
    <x:ext xmlns:x14="http://schemas.microsoft.com/office/spreadsheetml/2009/9/main" xmlns:xm="http://schemas.microsoft.com/office/excel/2006/main" uri="{78C0D931-6437-407d-A8EE-F0AAD7539E65}">
      <x14:conditionalFormattings>
        <x14:conditionalFormatting>
          <x14:cfRule type="dataBar" priority="5" id="{DF34E544-7FC4-FE13-C659-99D1A02A5B09}">
            <x14:dataBar>
              <x14:cfvo type="min"/>
              <x14:cfvo type="max"/>
              <x14:fillColor rgb="FF175B72"/>
              <x14:negativeFillColor auto="1"/>
              <x14:axisColor auto="1"/>
            </x14:dataBar>
          </x14:cfRule>
          <xm:sqref>AD6:AE361</xm:sqref>
        </x14:conditionalFormatting>
      </x14:conditionalFormattings>
    </x:ext>
  </x:extLst>
</x:worksheet>
</file>

<file path=xl/worksheets/sheet3.xml><?xml version="1.0" encoding="utf-8"?>
<x:worksheet xmlns:x="http://schemas.openxmlformats.org/spreadsheetml/2006/main">
  <x:sheetFormatPr defaultRowHeight="14"/>
  <x:cols>
    <x:col min="1" max="1" width="14" customWidth="1"/>
    <x:col min="2" max="2" width="16" customWidth="1"/>
    <x:col min="3" max="3" width="21" customWidth="1"/>
    <x:col min="4" max="4" width="14" customWidth="1"/>
    <x:col min="5" max="6" width="15" customWidth="1"/>
    <x:col min="7" max="7" width="22" customWidth="1"/>
    <x:col min="8" max="8" width="14" customWidth="1"/>
    <x:col min="9" max="9" width="12" customWidth="1"/>
    <x:col min="10" max="12" width="19" customWidth="1"/>
    <x:col min="13" max="13" width="12" customWidth="1"/>
    <x:col min="14" max="14" width="28" customWidth="1"/>
    <x:col min="15" max="15" width="18" customWidth="1"/>
    <x:col min="16" max="16" width="16" customWidth="1"/>
    <x:col min="17" max="17" width="20" customWidth="1"/>
    <x:col min="18" max="18" width="30" customWidth="1"/>
  </x:cols>
  <x:sheetData>
    <x:row r="1" ht="23">
      <x:c r="A1" s="236" t="s">
        <x:v>818</x:v>
      </x:c>
      <x:c r="B1" s="236"/>
      <x:c r="C1" s="236"/>
      <x:c r="D1" s="236"/>
      <x:c r="E1" s="236"/>
      <x:c r="F1" s="236"/>
      <x:c r="G1" s="236"/>
      <x:c r="H1" s="236"/>
      <x:c r="I1" s="236"/>
      <x:c r="J1" s="236"/>
      <x:c r="K1" s="236"/>
      <x:c r="L1" s="237"/>
      <x:c r="M1" s="237"/>
      <x:c r="N1" s="237"/>
      <x:c r="O1" s="237"/>
      <x:c r="P1" s="237"/>
      <x:c r="Q1" s="237"/>
      <x:c r="R1" s="237"/>
    </x:row>
    <x:row r="2" ht="14.5" customHeight="1">
      <x:c r="A2" s="238" t="str">
        <x:v>Data per kecamatan dan total Kota Pangkal Pinang. Unit Hunian Terdata adalah jumlah rumah tangga menurut status tempat tinggal, bukan seluruh bangunan rumah yang ada.</x:v>
      </x:c>
      <x:c r="B2" s="238"/>
      <x:c r="C2" s="238"/>
      <x:c r="D2" s="238"/>
      <x:c r="E2" s="238"/>
      <x:c r="F2" s="238"/>
      <x:c r="G2" s="238"/>
      <x:c r="H2" s="238"/>
      <x:c r="I2" s="238"/>
      <x:c r="J2" s="238"/>
      <x:c r="K2" s="238"/>
      <x:c r="L2" s="239"/>
      <x:c r="M2" s="239"/>
      <x:c r="N2" s="239"/>
      <x:c r="O2" s="239"/>
      <x:c r="P2" s="239"/>
      <x:c r="Q2" s="239"/>
      <x:c r="R2" s="239"/>
    </x:row>
    <x:row r="3" ht="25.399999618530273" customHeight="1">
      <x:c r="A3" s="240" t="s">
        <x:v>819</x:v>
      </x:c>
      <x:c r="B3" s="240"/>
      <x:c r="C3" s="240"/>
      <x:c r="D3" s="240"/>
      <x:c r="E3" s="240"/>
      <x:c r="F3" s="240"/>
      <x:c r="G3" s="240"/>
      <x:c r="H3" s="240"/>
      <x:c r="I3" s="240"/>
      <x:c r="J3" s="240"/>
      <x:c r="K3" s="240"/>
      <x:c r="L3" s="241"/>
      <x:c r="M3" s="241"/>
      <x:c r="N3" s="241"/>
      <x:c r="O3" s="241"/>
      <x:c r="P3" s="241"/>
      <x:c r="Q3" s="241"/>
      <x:c r="R3" s="241"/>
    </x:row>
    <x:row r="5" ht="28">
      <x:c r="A5" s="89" t="s">
        <x:v>820</x:v>
      </x:c>
      <x:c r="B5" s="90" t="s">
        <x:v>821</x:v>
      </x:c>
      <x:c r="C5" s="90" t="s">
        <x:v>822</x:v>
      </x:c>
      <x:c r="D5" s="90" t="s">
        <x:v>823</x:v>
      </x:c>
      <x:c r="E5" s="90" t="s">
        <x:v>824</x:v>
      </x:c>
      <x:c r="F5" s="90" t="s">
        <x:v>825</x:v>
      </x:c>
      <x:c r="G5" s="90" t="s">
        <x:v>826</x:v>
      </x:c>
      <x:c r="H5" s="90" t="s">
        <x:v>827</x:v>
      </x:c>
      <x:c r="I5" s="90" t="s">
        <x:v>828</x:v>
      </x:c>
      <x:c r="J5" s="90" t="s">
        <x:v>829</x:v>
      </x:c>
      <x:c r="K5" s="91" t="s">
        <x:v>830</x:v>
      </x:c>
      <x:c r="L5" s="92" t="s">
        <x:v>831</x:v>
      </x:c>
      <x:c r="M5" s="92" t="s">
        <x:v>58</x:v>
      </x:c>
      <x:c r="N5" s="92" t="s">
        <x:v>59</x:v>
      </x:c>
      <x:c r="O5" s="92" t="s">
        <x:v>12</x:v>
      </x:c>
      <x:c r="P5" s="92" t="s">
        <x:v>15</x:v>
      </x:c>
      <x:c r="Q5" s="92" t="s">
        <x:v>16</x:v>
      </x:c>
      <x:c r="R5" s="93" t="s">
        <x:v>13</x:v>
      </x:c>
    </x:row>
    <x:row r="6" ht="28">
      <x:c r="A6" s="94" t="s">
        <x:v>832</x:v>
      </x:c>
      <x:c r="B6" s="95" t="s">
        <x:v>833</x:v>
      </x:c>
      <x:c r="C6" s="95" t="s">
        <x:v>104</x:v>
      </x:c>
      <x:c r="D6" s="96">
        <x:v>11467</x:v>
      </x:c>
      <x:c r="E6" s="96">
        <x:v>8016</x:v>
      </x:c>
      <x:c r="F6" s="96">
        <x:v>474</x:v>
      </x:c>
      <x:c r="G6" s="96">
        <x:v>946</x:v>
      </x:c>
      <x:c r="H6" s="96">
        <x:v>34</x:v>
      </x:c>
      <x:c r="I6" s="96">
        <x:v>30</x:v>
      </x:c>
      <x:c r="J6" s="97" t="n">
        <x:f t="shared" ref="J6:J12" si="0">SUM(E6:I6)</x:f>
        <x:v>9500</x:v>
      </x:c>
      <x:c r="K6" s="98" t="n">
        <x:f t="shared" ref="K6:K12" si="1">SUM(F6:I6)</x:f>
        <x:v>1484</x:v>
      </x:c>
      <x:c r="L6" s="99" t="n">
        <x:f t="shared" ref="L6:L12" si="2">D6-SUM(E6,F6,H6)</x:f>
        <x:v>2943</x:v>
      </x:c>
      <x:c r="M6" s="100">
        <x:v>2023</x:v>
      </x:c>
      <x:c r="N6" s="101" t="str">
        <x:v>BKKBN — diolah Dinas Perkim Kota Pangkal Pinang</x:v>
      </x:c>
      <x:c r="O6" s="101" t="s">
        <x:v>70</x:v>
      </x:c>
      <x:c r="P6" s="102"/>
      <x:c r="Q6" s="101"/>
      <x:c r="R6" s="101"/>
    </x:row>
    <x:row r="7" ht="28">
      <x:c r="A7" s="103" t="s">
        <x:v>834</x:v>
      </x:c>
      <x:c r="B7" s="104" t="s">
        <x:v>833</x:v>
      </x:c>
      <x:c r="C7" s="104" t="s">
        <x:v>835</x:v>
      </x:c>
      <x:c r="D7" s="105">
        <x:v>5264</x:v>
      </x:c>
      <x:c r="E7" s="105">
        <x:v>3173</x:v>
      </x:c>
      <x:c r="F7" s="105">
        <x:v>646</x:v>
      </x:c>
      <x:c r="G7" s="105">
        <x:v>925</x:v>
      </x:c>
      <x:c r="H7" s="105">
        <x:v>21</x:v>
      </x:c>
      <x:c r="I7" s="105">
        <x:v>40</x:v>
      </x:c>
      <x:c r="J7" s="106">
        <x:f t="shared" si="0"/>
        <x:v>4805</x:v>
      </x:c>
      <x:c r="K7" s="107">
        <x:f t="shared" si="1"/>
        <x:v>1632</x:v>
      </x:c>
      <x:c r="L7" s="99">
        <x:f t="shared" si="2"/>
        <x:v>1424</x:v>
      </x:c>
      <x:c r="M7" s="100">
        <x:v>2023</x:v>
      </x:c>
      <x:c r="N7" s="101" t="str">
        <x:v>BKKBN — diolah Dinas Perkim Kota Pangkal Pinang</x:v>
      </x:c>
      <x:c r="O7" s="101" t="s">
        <x:v>70</x:v>
      </x:c>
      <x:c r="P7" s="102"/>
      <x:c r="Q7" s="101"/>
      <x:c r="R7" s="101"/>
    </x:row>
    <x:row r="8" ht="28">
      <x:c r="A8" s="103" t="s">
        <x:v>836</x:v>
      </x:c>
      <x:c r="B8" s="104" t="s">
        <x:v>833</x:v>
      </x:c>
      <x:c r="C8" s="104" t="s">
        <x:v>122</x:v>
      </x:c>
      <x:c r="D8" s="105">
        <x:v>5982</x:v>
      </x:c>
      <x:c r="E8" s="105">
        <x:v>4318</x:v>
      </x:c>
      <x:c r="F8" s="105">
        <x:v>528</x:v>
      </x:c>
      <x:c r="G8" s="105">
        <x:v>922</x:v>
      </x:c>
      <x:c r="H8" s="105">
        <x:v>6</x:v>
      </x:c>
      <x:c r="I8" s="105">
        <x:v>15</x:v>
      </x:c>
      <x:c r="J8" s="106">
        <x:f t="shared" si="0"/>
        <x:v>5789</x:v>
      </x:c>
      <x:c r="K8" s="107">
        <x:f t="shared" si="1"/>
        <x:v>1471</x:v>
      </x:c>
      <x:c r="L8" s="99">
        <x:f t="shared" si="2"/>
        <x:v>1130</x:v>
      </x:c>
      <x:c r="M8" s="100">
        <x:v>2023</x:v>
      </x:c>
      <x:c r="N8" s="101" t="str">
        <x:v>BKKBN — diolah Dinas Perkim Kota Pangkal Pinang</x:v>
      </x:c>
      <x:c r="O8" s="101" t="s">
        <x:v>70</x:v>
      </x:c>
      <x:c r="P8" s="102"/>
      <x:c r="Q8" s="101"/>
      <x:c r="R8" s="101"/>
    </x:row>
    <x:row r="9" ht="28">
      <x:c r="A9" s="103" t="s">
        <x:v>837</x:v>
      </x:c>
      <x:c r="B9" s="104" t="s">
        <x:v>833</x:v>
      </x:c>
      <x:c r="C9" s="104" t="s">
        <x:v>786</x:v>
      </x:c>
      <x:c r="D9" s="105">
        <x:v>10299</x:v>
      </x:c>
      <x:c r="E9" s="105">
        <x:v>6419</x:v>
      </x:c>
      <x:c r="F9" s="105">
        <x:v>1740</x:v>
      </x:c>
      <x:c r="G9" s="105">
        <x:v>1344</x:v>
      </x:c>
      <x:c r="H9" s="105">
        <x:v>100</x:v>
      </x:c>
      <x:c r="I9" s="105">
        <x:v>76</x:v>
      </x:c>
      <x:c r="J9" s="106">
        <x:f t="shared" si="0"/>
        <x:v>9679</x:v>
      </x:c>
      <x:c r="K9" s="107">
        <x:f t="shared" si="1"/>
        <x:v>3260</x:v>
      </x:c>
      <x:c r="L9" s="99">
        <x:f t="shared" si="2"/>
        <x:v>2040</x:v>
      </x:c>
      <x:c r="M9" s="100">
        <x:v>2023</x:v>
      </x:c>
      <x:c r="N9" s="101" t="str">
        <x:v>BKKBN — diolah Dinas Perkim Kota Pangkal Pinang</x:v>
      </x:c>
      <x:c r="O9" s="101" t="s">
        <x:v>70</x:v>
      </x:c>
      <x:c r="P9" s="102"/>
      <x:c r="Q9" s="101"/>
      <x:c r="R9" s="101"/>
    </x:row>
    <x:row r="10" ht="28">
      <x:c r="A10" s="103" t="s">
        <x:v>838</x:v>
      </x:c>
      <x:c r="B10" s="104" t="s">
        <x:v>833</x:v>
      </x:c>
      <x:c r="C10" s="104" t="s">
        <x:v>64</x:v>
      </x:c>
      <x:c r="D10" s="105">
        <x:v>14299</x:v>
      </x:c>
      <x:c r="E10" s="105">
        <x:v>9897</x:v>
      </x:c>
      <x:c r="F10" s="105">
        <x:v>848</x:v>
      </x:c>
      <x:c r="G10" s="105">
        <x:v>1129</x:v>
      </x:c>
      <x:c r="H10" s="105">
        <x:v>164</x:v>
      </x:c>
      <x:c r="I10" s="105">
        <x:v>11</x:v>
      </x:c>
      <x:c r="J10" s="106">
        <x:f t="shared" si="0"/>
        <x:v>12049</x:v>
      </x:c>
      <x:c r="K10" s="107">
        <x:f t="shared" si="1"/>
        <x:v>2152</x:v>
      </x:c>
      <x:c r="L10" s="99">
        <x:f t="shared" si="2"/>
        <x:v>3390</x:v>
      </x:c>
      <x:c r="M10" s="100">
        <x:v>2023</x:v>
      </x:c>
      <x:c r="N10" s="101" t="str">
        <x:v>BKKBN — diolah Dinas Perkim Kota Pangkal Pinang</x:v>
      </x:c>
      <x:c r="O10" s="101" t="s">
        <x:v>70</x:v>
      </x:c>
      <x:c r="P10" s="102"/>
      <x:c r="Q10" s="101"/>
      <x:c r="R10" s="101"/>
    </x:row>
    <x:row r="11" ht="28">
      <x:c r="A11" s="103" t="s">
        <x:v>839</x:v>
      </x:c>
      <x:c r="B11" s="104" t="s">
        <x:v>833</x:v>
      </x:c>
      <x:c r="C11" s="104" t="s">
        <x:v>86</x:v>
      </x:c>
      <x:c r="D11" s="105">
        <x:v>10084</x:v>
      </x:c>
      <x:c r="E11" s="105">
        <x:v>7610</x:v>
      </x:c>
      <x:c r="F11" s="105">
        <x:v>757</x:v>
      </x:c>
      <x:c r="G11" s="105">
        <x:v>565</x:v>
      </x:c>
      <x:c r="H11" s="105">
        <x:v>36</x:v>
      </x:c>
      <x:c r="I11" s="105">
        <x:v>14</x:v>
      </x:c>
      <x:c r="J11" s="106">
        <x:f t="shared" si="0"/>
        <x:v>8982</x:v>
      </x:c>
      <x:c r="K11" s="107">
        <x:f t="shared" si="1"/>
        <x:v>1372</x:v>
      </x:c>
      <x:c r="L11" s="99">
        <x:f t="shared" si="2"/>
        <x:v>1681</x:v>
      </x:c>
      <x:c r="M11" s="100">
        <x:v>2023</x:v>
      </x:c>
      <x:c r="N11" s="101" t="str">
        <x:v>BKKBN — diolah Dinas Perkim Kota Pangkal Pinang</x:v>
      </x:c>
      <x:c r="O11" s="101" t="s">
        <x:v>70</x:v>
      </x:c>
      <x:c r="P11" s="102"/>
      <x:c r="Q11" s="101"/>
      <x:c r="R11" s="101"/>
    </x:row>
    <x:row r="12" ht="28.5">
      <x:c r="A12" s="103" t="s">
        <x:v>840</x:v>
      </x:c>
      <x:c r="B12" s="104" t="s">
        <x:v>833</x:v>
      </x:c>
      <x:c r="C12" s="104" t="s">
        <x:v>314</x:v>
      </x:c>
      <x:c r="D12" s="105">
        <x:v>5115</x:v>
      </x:c>
      <x:c r="E12" s="105">
        <x:v>3636</x:v>
      </x:c>
      <x:c r="F12" s="105">
        <x:v>527</x:v>
      </x:c>
      <x:c r="G12" s="105">
        <x:v>811</x:v>
      </x:c>
      <x:c r="H12" s="105">
        <x:v>4</x:v>
      </x:c>
      <x:c r="I12" s="105">
        <x:v>1</x:v>
      </x:c>
      <x:c r="J12" s="106">
        <x:f t="shared" si="0"/>
        <x:v>4979</x:v>
      </x:c>
      <x:c r="K12" s="107">
        <x:f t="shared" si="1"/>
        <x:v>1343</x:v>
      </x:c>
      <x:c r="L12" s="99">
        <x:f t="shared" si="2"/>
        <x:v>948</x:v>
      </x:c>
      <x:c r="M12" s="100">
        <x:v>2023</x:v>
      </x:c>
      <x:c r="N12" s="101" t="str">
        <x:v>BKKBN — diolah Dinas Perkim Kota Pangkal Pinang</x:v>
      </x:c>
      <x:c r="O12" s="101" t="s">
        <x:v>70</x:v>
      </x:c>
      <x:c r="P12" s="102"/>
      <x:c r="Q12" s="101"/>
      <x:c r="R12" s="101"/>
    </x:row>
    <x:row r="13" ht="28">
      <x:c r="A13" s="108" t="s">
        <x:v>841</x:v>
      </x:c>
      <x:c r="B13" s="109" t="s">
        <x:v>842</x:v>
      </x:c>
      <x:c r="C13" s="109" t="str">
        <x:v>Kota Pangkal Pinang</x:v>
      </x:c>
      <x:c r="D13" s="110" t="n">
        <x:f t="shared" ref="D13:L13" si="3">SUM(D6:D12)</x:f>
        <x:v>62510</x:v>
      </x:c>
      <x:c r="E13" s="110">
        <x:f t="shared" si="3"/>
        <x:v>43069</x:v>
      </x:c>
      <x:c r="F13" s="110">
        <x:f t="shared" si="3"/>
        <x:v>5520</x:v>
      </x:c>
      <x:c r="G13" s="110">
        <x:f t="shared" si="3"/>
        <x:v>6642</x:v>
      </x:c>
      <x:c r="H13" s="110">
        <x:f t="shared" si="3"/>
        <x:v>365</x:v>
      </x:c>
      <x:c r="I13" s="110">
        <x:f t="shared" si="3"/>
        <x:v>187</x:v>
      </x:c>
      <x:c r="J13" s="110">
        <x:f t="shared" si="3"/>
        <x:v>55783</x:v>
      </x:c>
      <x:c r="K13" s="111">
        <x:f t="shared" si="3"/>
        <x:v>12714</x:v>
      </x:c>
      <x:c r="L13" s="112">
        <x:f t="shared" si="3"/>
        <x:v>13556</x:v>
      </x:c>
      <x:c r="M13" s="113">
        <x:v>2023</x:v>
      </x:c>
      <x:c r="N13" s="114" t="str">
        <x:v>BKKBN — diolah Dinas Perkim Kota Pangkal Pinang</x:v>
      </x:c>
      <x:c r="O13" s="114" t="s">
        <x:v>70</x:v>
      </x:c>
      <x:c r="P13" s="115"/>
      <x:c r="Q13" s="114"/>
      <x:c r="R13" s="114" t="str">
        <x:v>Total Kota Pangkal Pinang</x:v>
      </x:c>
    </x:row>
    <x:row r="14" ht="4.400000095367432" customHeight="1">
      <x:c r="A14" s="116"/>
      <x:c r="B14" s="117"/>
      <x:c r="C14" s="117"/>
      <x:c r="D14" s="15"/>
      <x:c r="E14" s="15"/>
      <x:c r="F14" s="118"/>
      <x:c r="G14" s="117"/>
      <x:c r="H14" s="117"/>
      <x:c r="I14" s="119"/>
      <x:c r="J14" s="117"/>
      <x:c r="K14" s="120"/>
    </x:row>
    <x:row r="15" ht="4.400000095367432" customHeight="1">
      <x:c r="A15" s="116"/>
      <x:c r="B15" s="117"/>
      <x:c r="C15" s="117"/>
      <x:c r="D15" s="15"/>
      <x:c r="E15" s="15"/>
      <x:c r="F15" s="118"/>
      <x:c r="G15" s="117"/>
      <x:c r="H15" s="117"/>
      <x:c r="I15" s="119"/>
      <x:c r="J15" s="117"/>
      <x:c r="K15" s="120"/>
    </x:row>
    <x:row r="16" ht="4.400000095367432" customHeight="1">
      <x:c r="A16" s="125"/>
      <x:c r="B16" s="126"/>
      <x:c r="C16" s="126"/>
      <x:c r="D16" s="127"/>
      <x:c r="E16" s="127"/>
      <x:c r="F16" s="127"/>
      <x:c r="G16" s="126"/>
      <x:c r="H16" s="126"/>
      <x:c r="I16" s="128"/>
      <x:c r="J16" s="126"/>
      <x:c r="K16" s="129"/>
      <x:c r="L16" s="88"/>
      <x:c r="M16" s="88"/>
      <x:c r="N16" s="88"/>
      <x:c r="O16" s="88"/>
      <x:c r="P16" s="88"/>
      <x:c r="Q16" s="88"/>
      <x:c r="R16" s="88"/>
    </x:row>
    <x:row r="17" ht="4.400000095367432" customHeight="1">
      <x:c r="A17" s="116"/>
      <x:c r="B17" s="117"/>
      <x:c r="C17" s="117"/>
      <x:c r="D17" s="15"/>
      <x:c r="E17" s="15"/>
      <x:c r="F17" s="118"/>
      <x:c r="G17" s="117"/>
      <x:c r="H17" s="117"/>
      <x:c r="I17" s="119"/>
      <x:c r="J17" s="117"/>
      <x:c r="K17" s="120"/>
    </x:row>
    <x:row r="18" ht="20" customHeight="1">
      <x:c r="A18" s="130"/>
      <x:c r="B18" s="90"/>
      <x:c r="C18" s="131"/>
      <x:c r="D18" s="132"/>
      <x:c r="E18" s="132"/>
      <x:c r="F18" s="132"/>
      <x:c r="G18" s="90"/>
      <x:c r="H18" s="90"/>
      <x:c r="I18" s="133"/>
      <x:c r="J18" s="90"/>
      <x:c r="K18" s="91"/>
      <x:c r="L18" s="92"/>
      <x:c r="M18" s="92"/>
      <x:c r="N18" s="92"/>
      <x:c r="O18" s="92"/>
      <x:c r="P18" s="92"/>
      <x:c r="Q18" s="92"/>
      <x:c r="R18" s="93"/>
    </x:row>
    <x:row r="19" ht="34.650001525878906" customHeight="1">
      <x:c r="A19" s="134"/>
      <x:c r="B19" s="135"/>
      <x:c r="C19" s="135"/>
      <x:c r="D19" s="136"/>
      <x:c r="E19" s="136"/>
      <x:c r="F19" s="136"/>
      <x:c r="G19" s="135"/>
      <x:c r="H19" s="135"/>
      <x:c r="I19" s="137"/>
      <x:c r="J19" s="135"/>
      <x:c r="K19" s="138"/>
      <x:c r="L19" s="139"/>
      <x:c r="M19" s="139"/>
      <x:c r="N19" s="139"/>
      <x:c r="O19" s="139"/>
      <x:c r="P19" s="139"/>
      <x:c r="Q19" s="139"/>
      <x:c r="R19" s="139"/>
    </x:row>
    <x:row r="20" ht="34.650001525878906" customHeight="1">
      <x:c r="A20" s="134"/>
      <x:c r="B20" s="135"/>
      <x:c r="C20" s="135"/>
      <x:c r="D20" s="136"/>
      <x:c r="E20" s="136"/>
      <x:c r="F20" s="136"/>
      <x:c r="G20" s="135"/>
      <x:c r="H20" s="135"/>
      <x:c r="I20" s="137"/>
      <x:c r="J20" s="135"/>
      <x:c r="K20" s="138"/>
      <x:c r="L20" s="139"/>
      <x:c r="M20" s="139"/>
      <x:c r="N20" s="139"/>
      <x:c r="O20" s="139"/>
      <x:c r="P20" s="139"/>
      <x:c r="Q20" s="139"/>
      <x:c r="R20" s="139"/>
    </x:row>
    <x:row r="21" ht="34.650001525878906" customHeight="1">
      <x:c r="A21" s="134"/>
      <x:c r="B21" s="135"/>
      <x:c r="C21" s="135"/>
      <x:c r="D21" s="136"/>
      <x:c r="E21" s="136"/>
      <x:c r="F21" s="136"/>
      <x:c r="G21" s="135"/>
      <x:c r="H21" s="135"/>
      <x:c r="I21" s="137"/>
      <x:c r="J21" s="135"/>
      <x:c r="K21" s="138"/>
      <x:c r="L21" s="139"/>
      <x:c r="M21" s="139"/>
      <x:c r="N21" s="139"/>
      <x:c r="O21" s="139"/>
      <x:c r="P21" s="139"/>
      <x:c r="Q21" s="139"/>
      <x:c r="R21" s="139"/>
    </x:row>
    <x:row r="22" ht="34.650001525878906" customHeight="1">
      <x:c r="A22" s="134"/>
      <x:c r="B22" s="135"/>
      <x:c r="C22" s="135"/>
      <x:c r="D22" s="136"/>
      <x:c r="E22" s="136"/>
      <x:c r="F22" s="136"/>
      <x:c r="G22" s="135"/>
      <x:c r="H22" s="135"/>
      <x:c r="I22" s="137"/>
      <x:c r="J22" s="135"/>
      <x:c r="K22" s="138"/>
      <x:c r="L22" s="139"/>
      <x:c r="M22" s="139"/>
      <x:c r="N22" s="139"/>
      <x:c r="O22" s="139"/>
      <x:c r="P22" s="139"/>
      <x:c r="Q22" s="139"/>
      <x:c r="R22" s="139"/>
    </x:row>
    <x:row r="23" ht="4.400000095367432" customHeight="1">
      <x:c r="A23" s="116"/>
      <x:c r="B23" s="117"/>
      <x:c r="C23" s="117"/>
      <x:c r="D23" s="15"/>
      <x:c r="E23" s="15"/>
      <x:c r="F23" s="118"/>
      <x:c r="G23" s="117"/>
      <x:c r="H23" s="117"/>
      <x:c r="I23" s="119"/>
      <x:c r="J23" s="117"/>
      <x:c r="K23" s="120"/>
    </x:row>
    <x:row r="24" ht="4.400000095367432" customHeight="1">
      <x:c r="A24" s="116"/>
      <x:c r="B24" s="117"/>
      <x:c r="C24" s="117"/>
      <x:c r="D24" s="15"/>
      <x:c r="E24" s="15"/>
      <x:c r="F24" s="118"/>
      <x:c r="G24" s="117"/>
      <x:c r="H24" s="117"/>
      <x:c r="I24" s="119"/>
      <x:c r="J24" s="117"/>
      <x:c r="K24" s="120"/>
    </x:row>
    <x:row r="25" ht="4.400000095367432" customHeight="1">
      <x:c r="A25" s="116"/>
      <x:c r="B25" s="117"/>
      <x:c r="C25" s="117"/>
      <x:c r="D25" s="15"/>
      <x:c r="E25" s="15"/>
      <x:c r="F25" s="118"/>
      <x:c r="G25" s="117"/>
      <x:c r="H25" s="117"/>
      <x:c r="I25" s="119"/>
      <x:c r="J25" s="117"/>
      <x:c r="K25" s="120"/>
    </x:row>
    <x:row r="26" ht="4.400000095367432" customHeight="1">
      <x:c r="A26" s="116"/>
      <x:c r="B26" s="117"/>
      <x:c r="C26" s="117"/>
      <x:c r="D26" s="15"/>
      <x:c r="E26" s="15"/>
      <x:c r="F26" s="118"/>
      <x:c r="G26" s="117"/>
      <x:c r="H26" s="117"/>
      <x:c r="I26" s="119"/>
      <x:c r="J26" s="117"/>
      <x:c r="K26" s="120"/>
    </x:row>
    <x:row r="27" ht="4.400000095367432" customHeight="1">
      <x:c r="A27" s="116"/>
      <x:c r="B27" s="117"/>
      <x:c r="C27" s="117"/>
      <x:c r="D27" s="15"/>
      <x:c r="E27" s="15"/>
      <x:c r="F27" s="118"/>
      <x:c r="G27" s="117"/>
      <x:c r="H27" s="117"/>
      <x:c r="I27" s="119"/>
      <x:c r="J27" s="117"/>
      <x:c r="K27" s="120"/>
    </x:row>
    <x:row r="28" ht="4.400000095367432" customHeight="1">
      <x:c r="A28" s="116"/>
      <x:c r="B28" s="117"/>
      <x:c r="C28" s="117"/>
      <x:c r="D28" s="15"/>
      <x:c r="E28" s="15"/>
      <x:c r="F28" s="118"/>
      <x:c r="G28" s="117"/>
      <x:c r="H28" s="117"/>
      <x:c r="I28" s="119"/>
      <x:c r="J28" s="117"/>
      <x:c r="K28" s="120"/>
    </x:row>
    <x:row r="29" ht="4.400000095367432" customHeight="1">
      <x:c r="A29" s="116"/>
      <x:c r="B29" s="117"/>
      <x:c r="C29" s="117"/>
      <x:c r="D29" s="15"/>
      <x:c r="E29" s="15"/>
      <x:c r="F29" s="118"/>
      <x:c r="G29" s="117"/>
      <x:c r="H29" s="117"/>
      <x:c r="I29" s="119"/>
      <x:c r="J29" s="117"/>
      <x:c r="K29" s="120"/>
    </x:row>
    <x:row r="30" ht="4.400000095367432" customHeight="1">
      <x:c r="A30" s="116"/>
      <x:c r="B30" s="117"/>
      <x:c r="C30" s="117"/>
      <x:c r="D30" s="15"/>
      <x:c r="E30" s="15"/>
      <x:c r="F30" s="118"/>
      <x:c r="G30" s="117"/>
      <x:c r="H30" s="117"/>
      <x:c r="I30" s="119"/>
      <x:c r="J30" s="117"/>
      <x:c r="K30" s="120"/>
    </x:row>
    <x:row r="31" ht="4.400000095367432" customHeight="1">
      <x:c r="A31" s="116"/>
      <x:c r="B31" s="117"/>
      <x:c r="C31" s="117"/>
      <x:c r="D31" s="15"/>
      <x:c r="E31" s="15"/>
      <x:c r="F31" s="118"/>
      <x:c r="G31" s="117"/>
      <x:c r="H31" s="117"/>
      <x:c r="I31" s="119"/>
      <x:c r="J31" s="117"/>
      <x:c r="K31" s="120"/>
    </x:row>
    <x:row r="32" ht="4.400000095367432" customHeight="1">
      <x:c r="A32" s="116"/>
      <x:c r="B32" s="117"/>
      <x:c r="C32" s="117"/>
      <x:c r="D32" s="15"/>
      <x:c r="E32" s="15"/>
      <x:c r="F32" s="118"/>
      <x:c r="G32" s="117"/>
      <x:c r="H32" s="117"/>
      <x:c r="I32" s="119"/>
      <x:c r="J32" s="117"/>
      <x:c r="K32" s="120"/>
    </x:row>
    <x:row r="33" ht="4.400000095367432" customHeight="1">
      <x:c r="A33" s="116"/>
      <x:c r="B33" s="117"/>
      <x:c r="C33" s="117"/>
      <x:c r="D33" s="15"/>
      <x:c r="E33" s="15"/>
      <x:c r="F33" s="118"/>
      <x:c r="G33" s="117"/>
      <x:c r="H33" s="117"/>
      <x:c r="I33" s="119"/>
      <x:c r="J33" s="117"/>
      <x:c r="K33" s="120"/>
    </x:row>
    <x:row r="34" ht="4.400000095367432" customHeight="1">
      <x:c r="A34" s="116"/>
      <x:c r="B34" s="117"/>
      <x:c r="C34" s="117"/>
      <x:c r="D34" s="15"/>
      <x:c r="E34" s="15"/>
      <x:c r="F34" s="118"/>
      <x:c r="G34" s="117"/>
      <x:c r="H34" s="117"/>
      <x:c r="I34" s="119"/>
      <x:c r="J34" s="117"/>
      <x:c r="K34" s="120"/>
    </x:row>
    <x:row r="35" ht="4.400000095367432" customHeight="1">
      <x:c r="A35" s="116"/>
      <x:c r="B35" s="117"/>
      <x:c r="C35" s="117"/>
      <x:c r="D35" s="15"/>
      <x:c r="E35" s="15"/>
      <x:c r="F35" s="118"/>
      <x:c r="G35" s="117"/>
      <x:c r="H35" s="117"/>
      <x:c r="I35" s="119"/>
      <x:c r="J35" s="117"/>
      <x:c r="K35" s="120"/>
    </x:row>
    <x:row r="36" ht="4.400000095367432" customHeight="1">
      <x:c r="A36" s="116"/>
      <x:c r="B36" s="117"/>
      <x:c r="C36" s="117"/>
      <x:c r="D36" s="15"/>
      <x:c r="E36" s="15"/>
      <x:c r="F36" s="118"/>
      <x:c r="G36" s="117"/>
      <x:c r="H36" s="117"/>
      <x:c r="I36" s="119"/>
      <x:c r="J36" s="117"/>
      <x:c r="K36" s="120"/>
    </x:row>
    <x:row r="37" ht="4.400000095367432" customHeight="1">
      <x:c r="A37" s="116"/>
      <x:c r="B37" s="117"/>
      <x:c r="C37" s="117"/>
      <x:c r="D37" s="15"/>
      <x:c r="E37" s="15"/>
      <x:c r="F37" s="118"/>
      <x:c r="G37" s="117"/>
      <x:c r="H37" s="117"/>
      <x:c r="I37" s="119"/>
      <x:c r="J37" s="117"/>
      <x:c r="K37" s="120"/>
    </x:row>
    <x:row r="38" ht="4.400000095367432" customHeight="1">
      <x:c r="A38" s="116"/>
      <x:c r="B38" s="117"/>
      <x:c r="C38" s="117"/>
      <x:c r="D38" s="15"/>
      <x:c r="E38" s="15"/>
      <x:c r="F38" s="118"/>
      <x:c r="G38" s="117"/>
      <x:c r="H38" s="117"/>
      <x:c r="I38" s="119"/>
      <x:c r="J38" s="117"/>
      <x:c r="K38" s="120"/>
    </x:row>
    <x:row r="39" ht="4.400000095367432" customHeight="1">
      <x:c r="A39" s="116"/>
      <x:c r="B39" s="117"/>
      <x:c r="C39" s="117"/>
      <x:c r="D39" s="15"/>
      <x:c r="E39" s="15"/>
      <x:c r="F39" s="118"/>
      <x:c r="G39" s="117"/>
      <x:c r="H39" s="117"/>
      <x:c r="I39" s="119"/>
      <x:c r="J39" s="117"/>
      <x:c r="K39" s="120"/>
    </x:row>
    <x:row r="40" ht="4.400000095367432" customHeight="1">
      <x:c r="A40" s="116"/>
      <x:c r="B40" s="117"/>
      <x:c r="C40" s="117"/>
      <x:c r="D40" s="15"/>
      <x:c r="E40" s="15"/>
      <x:c r="F40" s="118"/>
      <x:c r="G40" s="117"/>
      <x:c r="H40" s="117"/>
      <x:c r="I40" s="119"/>
      <x:c r="J40" s="117"/>
      <x:c r="K40" s="120"/>
    </x:row>
    <x:row r="41" ht="4.400000095367432" customHeight="1">
      <x:c r="A41" s="116"/>
      <x:c r="B41" s="117"/>
      <x:c r="C41" s="117"/>
      <x:c r="D41" s="15"/>
      <x:c r="E41" s="15"/>
      <x:c r="F41" s="118"/>
      <x:c r="G41" s="117"/>
      <x:c r="H41" s="117"/>
      <x:c r="I41" s="119"/>
      <x:c r="J41" s="117"/>
      <x:c r="K41" s="120"/>
    </x:row>
    <x:row r="42" ht="4.400000095367432" customHeight="1">
      <x:c r="A42" s="116"/>
      <x:c r="B42" s="117"/>
      <x:c r="C42" s="117"/>
      <x:c r="D42" s="15"/>
      <x:c r="E42" s="15"/>
      <x:c r="F42" s="118"/>
      <x:c r="G42" s="117"/>
      <x:c r="H42" s="117"/>
      <x:c r="I42" s="119"/>
      <x:c r="J42" s="117"/>
      <x:c r="K42" s="120"/>
    </x:row>
    <x:row r="43" ht="4.400000095367432" customHeight="1">
      <x:c r="A43" s="116"/>
      <x:c r="B43" s="117"/>
      <x:c r="C43" s="117"/>
      <x:c r="D43" s="15"/>
      <x:c r="E43" s="15"/>
      <x:c r="F43" s="118"/>
      <x:c r="G43" s="117"/>
      <x:c r="H43" s="117"/>
      <x:c r="I43" s="119"/>
      <x:c r="J43" s="117"/>
      <x:c r="K43" s="120"/>
    </x:row>
    <x:row r="44" ht="4.400000095367432" customHeight="1">
      <x:c r="A44" s="116"/>
      <x:c r="B44" s="117"/>
      <x:c r="C44" s="117"/>
      <x:c r="D44" s="15"/>
      <x:c r="E44" s="15"/>
      <x:c r="F44" s="118"/>
      <x:c r="G44" s="117"/>
      <x:c r="H44" s="117"/>
      <x:c r="I44" s="119"/>
      <x:c r="J44" s="117"/>
      <x:c r="K44" s="120"/>
    </x:row>
    <x:row r="45" ht="4.400000095367432" customHeight="1">
      <x:c r="A45" s="116"/>
      <x:c r="B45" s="117"/>
      <x:c r="C45" s="117"/>
      <x:c r="D45" s="15"/>
      <x:c r="E45" s="15"/>
      <x:c r="F45" s="118"/>
      <x:c r="G45" s="117"/>
      <x:c r="H45" s="117"/>
      <x:c r="I45" s="119"/>
      <x:c r="J45" s="117"/>
      <x:c r="K45" s="120"/>
    </x:row>
    <x:row r="46" ht="4.400000095367432" customHeight="1">
      <x:c r="A46" s="116"/>
      <x:c r="B46" s="117"/>
      <x:c r="C46" s="117"/>
      <x:c r="D46" s="15"/>
      <x:c r="E46" s="15"/>
      <x:c r="F46" s="118"/>
      <x:c r="G46" s="117"/>
      <x:c r="H46" s="117"/>
      <x:c r="I46" s="119"/>
      <x:c r="J46" s="117"/>
      <x:c r="K46" s="120"/>
    </x:row>
    <x:row r="47" ht="4.400000095367432" customHeight="1">
      <x:c r="A47" s="116"/>
      <x:c r="B47" s="117"/>
      <x:c r="C47" s="117"/>
      <x:c r="D47" s="15"/>
      <x:c r="E47" s="15"/>
      <x:c r="F47" s="118"/>
      <x:c r="G47" s="117"/>
      <x:c r="H47" s="117"/>
      <x:c r="I47" s="119"/>
      <x:c r="J47" s="117"/>
      <x:c r="K47" s="120"/>
    </x:row>
    <x:row r="48" ht="4.400000095367432" customHeight="1">
      <x:c r="A48" s="116"/>
      <x:c r="B48" s="117"/>
      <x:c r="C48" s="117"/>
      <x:c r="D48" s="15"/>
      <x:c r="E48" s="15"/>
      <x:c r="F48" s="118"/>
      <x:c r="G48" s="117"/>
      <x:c r="H48" s="117"/>
      <x:c r="I48" s="119"/>
      <x:c r="J48" s="117"/>
      <x:c r="K48" s="120"/>
    </x:row>
    <x:row r="49" ht="4.400000095367432" customHeight="1">
      <x:c r="A49" s="116"/>
      <x:c r="B49" s="117"/>
      <x:c r="C49" s="117"/>
      <x:c r="D49" s="15"/>
      <x:c r="E49" s="15"/>
      <x:c r="F49" s="118"/>
      <x:c r="G49" s="117"/>
      <x:c r="H49" s="117"/>
      <x:c r="I49" s="119"/>
      <x:c r="J49" s="117"/>
      <x:c r="K49" s="120"/>
    </x:row>
    <x:row r="50" ht="4.400000095367432" customHeight="1">
      <x:c r="A50" s="116"/>
      <x:c r="B50" s="117"/>
      <x:c r="C50" s="117"/>
      <x:c r="D50" s="15"/>
      <x:c r="E50" s="15"/>
      <x:c r="F50" s="118"/>
      <x:c r="G50" s="117"/>
      <x:c r="H50" s="117"/>
      <x:c r="I50" s="119"/>
      <x:c r="J50" s="117"/>
      <x:c r="K50" s="120"/>
    </x:row>
    <x:row r="51" ht="4.400000095367432" customHeight="1">
      <x:c r="A51" s="116"/>
      <x:c r="B51" s="117"/>
      <x:c r="C51" s="117"/>
      <x:c r="D51" s="15"/>
      <x:c r="E51" s="15"/>
      <x:c r="F51" s="118"/>
      <x:c r="G51" s="117"/>
      <x:c r="H51" s="117"/>
      <x:c r="I51" s="119"/>
      <x:c r="J51" s="117"/>
      <x:c r="K51" s="120"/>
    </x:row>
    <x:row r="52" ht="4.400000095367432" customHeight="1">
      <x:c r="A52" s="116"/>
      <x:c r="B52" s="117"/>
      <x:c r="C52" s="117"/>
      <x:c r="D52" s="15"/>
      <x:c r="E52" s="15"/>
      <x:c r="F52" s="118"/>
      <x:c r="G52" s="117"/>
      <x:c r="H52" s="117"/>
      <x:c r="I52" s="119"/>
      <x:c r="J52" s="117"/>
      <x:c r="K52" s="120"/>
    </x:row>
    <x:row r="53" ht="4.400000095367432" customHeight="1">
      <x:c r="A53" s="116"/>
      <x:c r="B53" s="117"/>
      <x:c r="C53" s="117"/>
      <x:c r="D53" s="15"/>
      <x:c r="E53" s="15"/>
      <x:c r="F53" s="118"/>
      <x:c r="G53" s="117"/>
      <x:c r="H53" s="117"/>
      <x:c r="I53" s="119"/>
      <x:c r="J53" s="117"/>
      <x:c r="K53" s="120"/>
    </x:row>
    <x:row r="54" ht="4.400000095367432" customHeight="1">
      <x:c r="A54" s="116"/>
      <x:c r="B54" s="117"/>
      <x:c r="C54" s="117"/>
      <x:c r="D54" s="15"/>
      <x:c r="E54" s="15"/>
      <x:c r="F54" s="118"/>
      <x:c r="G54" s="117"/>
      <x:c r="H54" s="117"/>
      <x:c r="I54" s="119"/>
      <x:c r="J54" s="117"/>
      <x:c r="K54" s="120"/>
    </x:row>
    <x:row r="55" ht="4.400000095367432" customHeight="1">
      <x:c r="A55" s="121"/>
      <x:c r="B55" s="122"/>
      <x:c r="C55" s="122"/>
      <x:c r="D55" s="16"/>
      <x:c r="E55" s="16"/>
      <x:c r="F55" s="123"/>
      <x:c r="G55" s="122"/>
      <x:c r="H55" s="122"/>
      <x:c r="I55" s="124"/>
      <x:c r="J55" s="122"/>
      <x:c r="K55" s="7"/>
    </x:row>
  </x:sheetData>
  <x:mergeCells>
    <x:mergeCell ref="A1:R1"/>
    <x:mergeCell ref="A2:R2"/>
    <x:mergeCell ref="A3:R3"/>
  </x:mergeCells>
  <x:conditionalFormatting sqref="D6:E55">
    <x:cfRule type="dataBar" priority="1">
      <x:dataBar>
        <x:cfvo type="min"/>
        <x:cfvo type="max"/>
        <x:color rgb="FF175B72"/>
      </x:dataBar>
    </x:cfRule>
    <x:cfRule type="dataBar" priority="2">
      <x:dataBar>
        <x:cfvo type="min"/>
        <x:cfvo type="max"/>
        <x:color rgb="FF175B72"/>
      </x:dataBar>
    </x:cfRule>
    <x:cfRule type="dataBar" priority="3">
      <x:dataBar>
        <x:cfvo type="min"/>
        <x:cfvo type="max"/>
        <x:color rgb="FF175B72"/>
      </x:dataBar>
    </x:cfRule>
    <x:cfRule type="dataBar" priority="4">
      <x:dataBar>
        <x:cfvo type="min"/>
        <x:cfvo type="max"/>
        <x:color rgb="FF175B72"/>
      </x:dataBar>
    </x:cfRule>
    <x:cfRule type="dataBar" priority="7">
      <x:dataBar>
        <x:cfvo type="min"/>
        <x:cfvo type="max"/>
        <x:color rgb="FF175B72"/>
      </x:dataBar>
      <x:extLst>
        <x:ext xmlns:x14="http://schemas.microsoft.com/office/spreadsheetml/2009/9/main" uri="{B025F937-C7B1-47D3-B67F-A62EFF666E3E}">
          <x14:id>{587C0ACC-6C47-46C3-B70C-987EA79ECD8D}</x14:id>
        </x:ext>
      </x:extLst>
    </x:cfRule>
  </x:conditionalFormatting>
  <x:conditionalFormatting sqref="K6:K12">
    <x:cfRule type="dataBar" priority="5">
      <x:dataBar>
        <x:cfvo type="min"/>
        <x:cfvo type="max"/>
        <x:color rgb="FFEA580C"/>
      </x:dataBar>
    </x:cfRule>
    <x:cfRule type="dataBar" priority="8">
      <x:dataBar>
        <x:cfvo type="min"/>
        <x:cfvo type="max"/>
        <x:color rgb="FFEA580C"/>
      </x:dataBar>
      <x:extLst>
        <x:ext xmlns:x14="http://schemas.microsoft.com/office/spreadsheetml/2009/9/main" uri="{B025F937-C7B1-47D3-B67F-A62EFF666E3E}">
          <x14:id>{7635EF3B-EAF9-4DCC-B2D3-2AB02FBD6767}</x14:id>
        </x:ext>
      </x:extLst>
    </x:cfRule>
  </x:conditionalFormatting>
  <x:conditionalFormatting sqref="L6:L12">
    <x:cfRule type="dataBar" priority="6">
      <x:dataBar>
        <x:cfvo type="min"/>
        <x:cfvo type="max"/>
        <x:color rgb="FFDC2626"/>
      </x:dataBar>
    </x:cfRule>
    <x:cfRule type="dataBar" priority="9">
      <x:dataBar>
        <x:cfvo type="min"/>
        <x:cfvo type="max"/>
        <x:color rgb="FFDC2626"/>
      </x:dataBar>
      <x:extLst>
        <x:ext xmlns:x14="http://schemas.microsoft.com/office/spreadsheetml/2009/9/main" uri="{B025F937-C7B1-47D3-B67F-A62EFF666E3E}">
          <x14:id>{6845B95F-11F2-4177-B582-C26A1677EEB0}</x14:id>
        </x:ext>
      </x:extLst>
    </x:cfRule>
  </x:conditionalFormatting>
  <x:dataValidations count="4">
    <x:dataValidation type="list" sqref="O6:O13">
      <x:formula1>"Belum Diverifikasi,Terverifikasi"</x:formula1>
    </x:dataValidation>
    <x:dataValidation type="list" sqref="H6:H55">
      <x:formula1>"Draft,Dalam Verifikasi,Terverifikasi,Perlu Perbaikan"</x:formula1>
    </x:dataValidation>
    <x:dataValidation type="list" sqref="C6:C55">
      <x:formula1>"Bukit Intan,Gabek,Gerunggang,Girimaya,Pangkal Balam,Rangkui,Taman Sari,Kota Pangkalpinang"</x:formula1>
    </x:dataValidation>
    <x:dataValidation type="list" sqref="B6:B55">
      <x:formula1>"Kecamatan,Kota"</x:formula1>
    </x:dataValidation>
  </x:dataValidations>
  <x:pageMargins left="0.7" right="0.7" top="0.75" bottom="0.75" header="0.3" footer="0.3"/>
  <x:tableParts count="1">
    <x:tablePart xmlns:r="http://schemas.openxmlformats.org/officeDocument/2006/relationships" r:id="Rbfa9cab6076348d9"/>
  </x:tableParts>
  <x:extLst>
    <x:ext xmlns:x14="http://schemas.microsoft.com/office/spreadsheetml/2009/9/main" xmlns:xm="http://schemas.microsoft.com/office/excel/2006/main" uri="{78C0D931-6437-407d-A8EE-F0AAD7539E65}">
      <x14:conditionalFormattings>
        <x14:conditionalFormatting>
          <x14:cfRule type="dataBar" priority="7" id="{587C0ACC-6C47-46C3-B70C-987EA79ECD8D}">
            <x14:dataBar>
              <x14:cfvo type="min"/>
              <x14:cfvo type="max"/>
              <x14:fillColor rgb="FF175B72"/>
              <x14:negativeFillColor auto="1"/>
              <x14:axisColor auto="1"/>
            </x14:dataBar>
          </x14:cfRule>
          <xm:sqref>D6:E55</xm:sqref>
        </x14:conditionalFormatting>
        <x14:conditionalFormatting>
          <x14:cfRule type="dataBar" priority="8" id="{7635EF3B-EAF9-4DCC-B2D3-2AB02FBD6767}">
            <x14:dataBar>
              <x14:cfvo type="min"/>
              <x14:cfvo type="max"/>
              <x14:fillColor rgb="FFEA580C"/>
              <x14:negativeFillColor auto="1"/>
              <x14:axisColor auto="1"/>
            </x14:dataBar>
          </x14:cfRule>
          <xm:sqref>K6:K12</xm:sqref>
        </x14:conditionalFormatting>
        <x14:conditionalFormatting>
          <x14:cfRule type="dataBar" priority="9" id="{6845B95F-11F2-4177-B582-C26A1677EEB0}">
            <x14:dataBar>
              <x14:cfvo type="min"/>
              <x14:cfvo type="max"/>
              <x14:fillColor rgb="FFDC2626"/>
              <x14:negativeFillColor auto="1"/>
              <x14:axisColor auto="1"/>
            </x14:dataBar>
          </x14:cfRule>
          <xm:sqref>L6:L12</xm:sqref>
        </x14:conditionalFormatting>
      </x14:conditionalFormattings>
    </x:ext>
  </x:extLst>
</x:worksheet>
</file>

<file path=xl/worksheets/sheet4.xml><?xml version="1.0" encoding="utf-8"?>
<x:worksheet xmlns:x="http://schemas.openxmlformats.org/spreadsheetml/2006/main">
  <x:sheetFormatPr defaultRowHeight="14"/>
  <x:cols>
    <x:col min="1" max="1" width="16" customWidth="1"/>
    <x:col min="2" max="2" width="20" customWidth="1"/>
    <x:col min="3" max="3" width="17" customWidth="1"/>
    <x:col min="4" max="5" width="12" customWidth="1"/>
    <x:col min="6" max="6" width="18" customWidth="1"/>
    <x:col min="7" max="7" width="13" customWidth="1"/>
    <x:col min="8" max="8" width="34" customWidth="1"/>
    <x:col min="9" max="9" width="20" customWidth="1"/>
    <x:col min="10" max="10" width="16" customWidth="1"/>
    <x:col min="11" max="11" width="20" customWidth="1"/>
  </x:cols>
  <x:sheetData>
    <x:row r="1" ht="23">
      <x:c r="A1" s="228" t="s">
        <x:v>843</x:v>
      </x:c>
      <x:c r="B1" s="228"/>
      <x:c r="C1" s="228"/>
      <x:c r="D1" s="228"/>
      <x:c r="E1" s="228"/>
      <x:c r="F1" s="228"/>
      <x:c r="G1" s="228"/>
      <x:c r="H1" s="228"/>
      <x:c r="I1" s="228"/>
      <x:c r="J1" s="228"/>
      <x:c r="K1" s="228"/>
    </x:row>
    <x:row r="2">
      <x:c r="A2" s="229" t="s">
        <x:v>844</x:v>
      </x:c>
      <x:c r="B2" s="229"/>
      <x:c r="C2" s="229"/>
      <x:c r="D2" s="229"/>
      <x:c r="E2" s="229"/>
      <x:c r="F2" s="229"/>
      <x:c r="G2" s="229"/>
      <x:c r="H2" s="229"/>
      <x:c r="I2" s="229"/>
      <x:c r="J2" s="229"/>
      <x:c r="K2" s="229"/>
    </x:row>
    <x:row r="3">
      <x:c r="A3" s="230" t="s">
        <x:v>845</x:v>
      </x:c>
      <x:c r="B3" s="230"/>
      <x:c r="C3" s="230"/>
      <x:c r="D3" s="230"/>
      <x:c r="E3" s="230"/>
      <x:c r="F3" s="230"/>
      <x:c r="G3" s="230"/>
      <x:c r="H3" s="230"/>
      <x:c r="I3" s="230"/>
      <x:c r="J3" s="230"/>
      <x:c r="K3" s="230"/>
    </x:row>
    <x:row r="5" ht="26">
      <x:c r="A5" s="1" t="s">
        <x:v>846</x:v>
      </x:c>
      <x:c r="B5" s="2" t="s">
        <x:v>37</x:v>
      </x:c>
      <x:c r="C5" s="2" t="s">
        <x:v>847</x:v>
      </x:c>
      <x:c r="D5" s="2" t="s">
        <x:v>848</x:v>
      </x:c>
      <x:c r="E5" s="2" t="s">
        <x:v>849</x:v>
      </x:c>
      <x:c r="F5" s="2" t="s">
        <x:v>850</x:v>
      </x:c>
      <x:c r="G5" s="2" t="s">
        <x:v>58</x:v>
      </x:c>
      <x:c r="H5" s="2" t="s">
        <x:v>59</x:v>
      </x:c>
      <x:c r="I5" s="2" t="s">
        <x:v>12</x:v>
      </x:c>
      <x:c r="J5" s="2" t="s">
        <x:v>15</x:v>
      </x:c>
      <x:c r="K5" s="3" t="s">
        <x:v>16</x:v>
      </x:c>
    </x:row>
    <x:row r="6">
      <x:c r="A6" s="29" t="s">
        <x:v>851</x:v>
      </x:c>
      <x:c r="B6" s="8" t="s">
        <x:v>64</x:v>
      </x:c>
      <x:c r="C6" s="17">
        <x:v>12049</x:v>
      </x:c>
      <x:c r="D6" s="183" t="n">
        <x:f>424-32</x:f>
        <x:v>392</x:v>
      </x:c>
      <x:c r="E6" s="35" t="n">
        <x:f t="shared" ref="E6:E37" si="0">IF(A6="","",MAX(C6-D6,0))</x:f>
        <x:v>11657</x:v>
      </x:c>
      <x:c r="F6" s="23" t="n">
        <x:f t="shared" ref="F6:F37" si="1">IF(A6="","",IFERROR(D6/C6,0))</x:f>
        <x:v>0.03253382023404432</x:v>
      </x:c>
      <x:c r="G6" s="17">
        <x:v>2023</x:v>
      </x:c>
      <x:c r="H6" s="8" t="s">
        <x:v>852</x:v>
      </x:c>
      <x:c r="I6" s="8" t="s">
        <x:v>70</x:v>
      </x:c>
      <x:c r="J6" s="11"/>
      <x:c r="K6" s="32"/>
    </x:row>
    <x:row r="7">
      <x:c r="A7" s="30" t="s">
        <x:v>853</x:v>
      </x:c>
      <x:c r="B7" s="9" t="s">
        <x:v>104</x:v>
      </x:c>
      <x:c r="C7" s="18">
        <x:v>9500</x:v>
      </x:c>
      <x:c r="D7" s="118" t="n">
        <x:f>655-3</x:f>
        <x:v>652</x:v>
      </x:c>
      <x:c r="E7" s="36">
        <x:f t="shared" si="0"/>
        <x:v>8848</x:v>
      </x:c>
      <x:c r="F7" s="24">
        <x:f t="shared" si="1"/>
        <x:v>6.8631578947368418E-2</x:v>
      </x:c>
      <x:c r="G7" s="18">
        <x:v>2023</x:v>
      </x:c>
      <x:c r="H7" s="9" t="s">
        <x:v>852</x:v>
      </x:c>
      <x:c r="I7" s="9" t="s">
        <x:v>70</x:v>
      </x:c>
      <x:c r="J7" s="12"/>
      <x:c r="K7" s="33"/>
    </x:row>
    <x:row r="8">
      <x:c r="A8" s="30" t="s">
        <x:v>854</x:v>
      </x:c>
      <x:c r="B8" s="9" t="s">
        <x:v>835</x:v>
      </x:c>
      <x:c r="C8" s="18">
        <x:v>4805</x:v>
      </x:c>
      <x:c r="D8" s="118" t="n">
        <x:f>183-11</x:f>
        <x:v>172</x:v>
      </x:c>
      <x:c r="E8" s="36">
        <x:f t="shared" si="0"/>
        <x:v>4633</x:v>
      </x:c>
      <x:c r="F8" s="24">
        <x:f t="shared" si="1"/>
        <x:v>3.5796045785639961E-2</x:v>
      </x:c>
      <x:c r="G8" s="18">
        <x:v>2023</x:v>
      </x:c>
      <x:c r="H8" s="9" t="s">
        <x:v>852</x:v>
      </x:c>
      <x:c r="I8" s="9" t="s">
        <x:v>70</x:v>
      </x:c>
      <x:c r="J8" s="12"/>
      <x:c r="K8" s="33"/>
    </x:row>
    <x:row r="9">
      <x:c r="A9" s="30" t="s">
        <x:v>855</x:v>
      </x:c>
      <x:c r="B9" s="9" t="s">
        <x:v>86</x:v>
      </x:c>
      <x:c r="C9" s="18">
        <x:v>8982</x:v>
      </x:c>
      <x:c r="D9" s="118">
        <x:v>568</x:v>
      </x:c>
      <x:c r="E9" s="36">
        <x:f t="shared" si="0"/>
        <x:v>8414</x:v>
      </x:c>
      <x:c r="F9" s="24">
        <x:f t="shared" si="1"/>
        <x:v>6.3237586283678468E-2</x:v>
      </x:c>
      <x:c r="G9" s="18">
        <x:v>2023</x:v>
      </x:c>
      <x:c r="H9" s="9" t="s">
        <x:v>852</x:v>
      </x:c>
      <x:c r="I9" s="9" t="s">
        <x:v>70</x:v>
      </x:c>
      <x:c r="J9" s="12"/>
      <x:c r="K9" s="33"/>
    </x:row>
    <x:row r="10">
      <x:c r="A10" s="30" t="s">
        <x:v>856</x:v>
      </x:c>
      <x:c r="B10" s="9" t="s">
        <x:v>786</x:v>
      </x:c>
      <x:c r="C10" s="18">
        <x:v>9679</x:v>
      </x:c>
      <x:c r="D10" s="118" t="n">
        <x:f>362-12</x:f>
        <x:v>350</x:v>
      </x:c>
      <x:c r="E10" s="36">
        <x:f t="shared" si="0"/>
        <x:v>9329</x:v>
      </x:c>
      <x:c r="F10" s="24">
        <x:f t="shared" si="1"/>
        <x:v>3.6160760409133172E-2</x:v>
      </x:c>
      <x:c r="G10" s="18">
        <x:v>2023</x:v>
      </x:c>
      <x:c r="H10" s="9" t="s">
        <x:v>852</x:v>
      </x:c>
      <x:c r="I10" s="9" t="s">
        <x:v>70</x:v>
      </x:c>
      <x:c r="J10" s="12"/>
      <x:c r="K10" s="33"/>
    </x:row>
    <x:row r="11">
      <x:c r="A11" s="30" t="s">
        <x:v>857</x:v>
      </x:c>
      <x:c r="B11" s="9" t="s">
        <x:v>122</x:v>
      </x:c>
      <x:c r="C11" s="18">
        <x:v>5789</x:v>
      </x:c>
      <x:c r="D11" s="118">
        <x:v>757</x:v>
      </x:c>
      <x:c r="E11" s="36">
        <x:f t="shared" si="0"/>
        <x:v>5032</x:v>
      </x:c>
      <x:c r="F11" s="24">
        <x:f t="shared" si="1"/>
        <x:v>0.13076524442908966</x:v>
      </x:c>
      <x:c r="G11" s="18">
        <x:v>2023</x:v>
      </x:c>
      <x:c r="H11" s="9" t="s">
        <x:v>852</x:v>
      </x:c>
      <x:c r="I11" s="9" t="s">
        <x:v>70</x:v>
      </x:c>
      <x:c r="J11" s="12"/>
      <x:c r="K11" s="33"/>
    </x:row>
    <x:row r="12">
      <x:c r="A12" s="30" t="s">
        <x:v>858</x:v>
      </x:c>
      <x:c r="B12" s="9" t="s">
        <x:v>314</x:v>
      </x:c>
      <x:c r="C12" s="18">
        <x:v>4979</x:v>
      </x:c>
      <x:c r="D12" s="118" t="n">
        <x:f>49-3</x:f>
        <x:v>46</x:v>
      </x:c>
      <x:c r="E12" s="36">
        <x:f t="shared" si="0"/>
        <x:v>4933</x:v>
      </x:c>
      <x:c r="F12" s="24">
        <x:f t="shared" si="1"/>
        <x:v>9.2388029724844341E-3</x:v>
      </x:c>
      <x:c r="G12" s="18">
        <x:v>2023</x:v>
      </x:c>
      <x:c r="H12" s="9" t="s">
        <x:v>852</x:v>
      </x:c>
      <x:c r="I12" s="9" t="s">
        <x:v>70</x:v>
      </x:c>
      <x:c r="J12" s="12"/>
      <x:c r="K12" s="33"/>
    </x:row>
    <x:row r="13">
      <x:c r="A13" s="30"/>
      <x:c r="B13" s="9"/>
      <x:c r="C13" s="18"/>
      <x:c r="D13" s="18"/>
      <x:c r="E13" s="36" t="str">
        <x:f t="shared" si="0"/>
      </x:c>
      <x:c r="F13" s="24" t="str">
        <x:f t="shared" si="1"/>
      </x:c>
      <x:c r="G13" s="18"/>
      <x:c r="H13" s="9"/>
      <x:c r="I13" s="9"/>
      <x:c r="J13" s="12"/>
      <x:c r="K13" s="33"/>
    </x:row>
    <x:row r="14">
      <x:c r="A14" s="30"/>
      <x:c r="B14" s="9"/>
      <x:c r="C14" s="18"/>
      <x:c r="D14" s="18"/>
      <x:c r="E14" s="36" t="str">
        <x:f t="shared" si="0"/>
      </x:c>
      <x:c r="F14" s="24" t="str">
        <x:f t="shared" si="1"/>
      </x:c>
      <x:c r="G14" s="18"/>
      <x:c r="H14" s="9"/>
      <x:c r="I14" s="9"/>
      <x:c r="J14" s="12"/>
      <x:c r="K14" s="33"/>
    </x:row>
    <x:row r="15">
      <x:c r="A15" s="30"/>
      <x:c r="B15" s="9"/>
      <x:c r="C15" s="18"/>
      <x:c r="D15" s="18"/>
      <x:c r="E15" s="36" t="str">
        <x:f t="shared" si="0"/>
      </x:c>
      <x:c r="F15" s="24" t="str">
        <x:f t="shared" si="1"/>
      </x:c>
      <x:c r="G15" s="18"/>
      <x:c r="H15" s="9"/>
      <x:c r="I15" s="9"/>
      <x:c r="J15" s="12"/>
      <x:c r="K15" s="33"/>
    </x:row>
    <x:row r="16">
      <x:c r="A16" s="30"/>
      <x:c r="B16" s="9"/>
      <x:c r="C16" s="18"/>
      <x:c r="D16" s="18"/>
      <x:c r="E16" s="36" t="str">
        <x:f t="shared" si="0"/>
      </x:c>
      <x:c r="F16" s="24" t="str">
        <x:f t="shared" si="1"/>
      </x:c>
      <x:c r="G16" s="18"/>
      <x:c r="H16" s="9"/>
      <x:c r="I16" s="9"/>
      <x:c r="J16" s="12"/>
      <x:c r="K16" s="33"/>
    </x:row>
    <x:row r="17">
      <x:c r="A17" s="30"/>
      <x:c r="B17" s="9"/>
      <x:c r="C17" s="18"/>
      <x:c r="D17" s="18"/>
      <x:c r="E17" s="36" t="str">
        <x:f t="shared" si="0"/>
      </x:c>
      <x:c r="F17" s="24" t="str">
        <x:f t="shared" si="1"/>
      </x:c>
      <x:c r="G17" s="18"/>
      <x:c r="H17" s="9"/>
      <x:c r="I17" s="9"/>
      <x:c r="J17" s="12"/>
      <x:c r="K17" s="33"/>
    </x:row>
    <x:row r="18">
      <x:c r="A18" s="30"/>
      <x:c r="B18" s="9"/>
      <x:c r="C18" s="18"/>
      <x:c r="D18" s="18"/>
      <x:c r="E18" s="36" t="str">
        <x:f t="shared" si="0"/>
      </x:c>
      <x:c r="F18" s="24" t="str">
        <x:f t="shared" si="1"/>
      </x:c>
      <x:c r="G18" s="18"/>
      <x:c r="H18" s="9"/>
      <x:c r="I18" s="9"/>
      <x:c r="J18" s="12"/>
      <x:c r="K18" s="33"/>
    </x:row>
    <x:row r="19">
      <x:c r="A19" s="30"/>
      <x:c r="B19" s="9"/>
      <x:c r="C19" s="18"/>
      <x:c r="D19" s="18"/>
      <x:c r="E19" s="36" t="str">
        <x:f t="shared" si="0"/>
      </x:c>
      <x:c r="F19" s="24" t="str">
        <x:f t="shared" si="1"/>
      </x:c>
      <x:c r="G19" s="18"/>
      <x:c r="H19" s="9"/>
      <x:c r="I19" s="9"/>
      <x:c r="J19" s="12"/>
      <x:c r="K19" s="33"/>
    </x:row>
    <x:row r="20">
      <x:c r="A20" s="30"/>
      <x:c r="B20" s="9"/>
      <x:c r="C20" s="18"/>
      <x:c r="D20" s="18"/>
      <x:c r="E20" s="36" t="str">
        <x:f t="shared" si="0"/>
      </x:c>
      <x:c r="F20" s="24" t="str">
        <x:f t="shared" si="1"/>
      </x:c>
      <x:c r="G20" s="18"/>
      <x:c r="H20" s="9"/>
      <x:c r="I20" s="9"/>
      <x:c r="J20" s="12"/>
      <x:c r="K20" s="33"/>
    </x:row>
    <x:row r="21">
      <x:c r="A21" s="30"/>
      <x:c r="B21" s="9"/>
      <x:c r="C21" s="18"/>
      <x:c r="D21" s="18"/>
      <x:c r="E21" s="36" t="str">
        <x:f t="shared" si="0"/>
      </x:c>
      <x:c r="F21" s="24" t="str">
        <x:f t="shared" si="1"/>
      </x:c>
      <x:c r="G21" s="18"/>
      <x:c r="H21" s="9"/>
      <x:c r="I21" s="9"/>
      <x:c r="J21" s="12"/>
      <x:c r="K21" s="33"/>
    </x:row>
    <x:row r="22">
      <x:c r="A22" s="30"/>
      <x:c r="B22" s="9"/>
      <x:c r="C22" s="18"/>
      <x:c r="D22" s="18"/>
      <x:c r="E22" s="36" t="str">
        <x:f t="shared" si="0"/>
      </x:c>
      <x:c r="F22" s="24" t="str">
        <x:f t="shared" si="1"/>
      </x:c>
      <x:c r="G22" s="18"/>
      <x:c r="H22" s="9"/>
      <x:c r="I22" s="9"/>
      <x:c r="J22" s="12"/>
      <x:c r="K22" s="33"/>
    </x:row>
    <x:row r="23">
      <x:c r="A23" s="30"/>
      <x:c r="B23" s="9"/>
      <x:c r="C23" s="18"/>
      <x:c r="D23" s="18"/>
      <x:c r="E23" s="36" t="str">
        <x:f t="shared" si="0"/>
      </x:c>
      <x:c r="F23" s="24" t="str">
        <x:f t="shared" si="1"/>
      </x:c>
      <x:c r="G23" s="18"/>
      <x:c r="H23" s="9"/>
      <x:c r="I23" s="9"/>
      <x:c r="J23" s="12"/>
      <x:c r="K23" s="33"/>
    </x:row>
    <x:row r="24">
      <x:c r="A24" s="30"/>
      <x:c r="B24" s="9"/>
      <x:c r="C24" s="18"/>
      <x:c r="D24" s="18"/>
      <x:c r="E24" s="36" t="str">
        <x:f t="shared" si="0"/>
      </x:c>
      <x:c r="F24" s="24" t="str">
        <x:f t="shared" si="1"/>
      </x:c>
      <x:c r="G24" s="18"/>
      <x:c r="H24" s="9"/>
      <x:c r="I24" s="9"/>
      <x:c r="J24" s="12"/>
      <x:c r="K24" s="33"/>
    </x:row>
    <x:row r="25">
      <x:c r="A25" s="30"/>
      <x:c r="B25" s="9"/>
      <x:c r="C25" s="18"/>
      <x:c r="D25" s="18"/>
      <x:c r="E25" s="36" t="str">
        <x:f t="shared" si="0"/>
      </x:c>
      <x:c r="F25" s="24" t="str">
        <x:f t="shared" si="1"/>
      </x:c>
      <x:c r="G25" s="18"/>
      <x:c r="H25" s="9"/>
      <x:c r="I25" s="9"/>
      <x:c r="J25" s="12"/>
      <x:c r="K25" s="33"/>
    </x:row>
    <x:row r="26">
      <x:c r="A26" s="30"/>
      <x:c r="B26" s="9"/>
      <x:c r="C26" s="18"/>
      <x:c r="D26" s="18"/>
      <x:c r="E26" s="36" t="str">
        <x:f t="shared" si="0"/>
      </x:c>
      <x:c r="F26" s="24" t="str">
        <x:f t="shared" si="1"/>
      </x:c>
      <x:c r="G26" s="18"/>
      <x:c r="H26" s="9"/>
      <x:c r="I26" s="9"/>
      <x:c r="J26" s="12"/>
      <x:c r="K26" s="33"/>
    </x:row>
    <x:row r="27">
      <x:c r="A27" s="30"/>
      <x:c r="B27" s="9"/>
      <x:c r="C27" s="18"/>
      <x:c r="D27" s="18"/>
      <x:c r="E27" s="36" t="str">
        <x:f t="shared" si="0"/>
      </x:c>
      <x:c r="F27" s="24" t="str">
        <x:f t="shared" si="1"/>
      </x:c>
      <x:c r="G27" s="18"/>
      <x:c r="H27" s="9"/>
      <x:c r="I27" s="9"/>
      <x:c r="J27" s="12"/>
      <x:c r="K27" s="33"/>
    </x:row>
    <x:row r="28">
      <x:c r="A28" s="30"/>
      <x:c r="B28" s="9"/>
      <x:c r="C28" s="18"/>
      <x:c r="D28" s="18"/>
      <x:c r="E28" s="36" t="str">
        <x:f t="shared" si="0"/>
      </x:c>
      <x:c r="F28" s="24" t="str">
        <x:f t="shared" si="1"/>
      </x:c>
      <x:c r="G28" s="18"/>
      <x:c r="H28" s="9"/>
      <x:c r="I28" s="9"/>
      <x:c r="J28" s="12"/>
      <x:c r="K28" s="33"/>
    </x:row>
    <x:row r="29">
      <x:c r="A29" s="30"/>
      <x:c r="B29" s="9"/>
      <x:c r="C29" s="18"/>
      <x:c r="D29" s="18"/>
      <x:c r="E29" s="36" t="str">
        <x:f t="shared" si="0"/>
      </x:c>
      <x:c r="F29" s="24" t="str">
        <x:f t="shared" si="1"/>
      </x:c>
      <x:c r="G29" s="18"/>
      <x:c r="H29" s="9"/>
      <x:c r="I29" s="9"/>
      <x:c r="J29" s="12"/>
      <x:c r="K29" s="33"/>
    </x:row>
    <x:row r="30">
      <x:c r="A30" s="30"/>
      <x:c r="B30" s="9"/>
      <x:c r="C30" s="18"/>
      <x:c r="D30" s="18"/>
      <x:c r="E30" s="36" t="str">
        <x:f t="shared" si="0"/>
      </x:c>
      <x:c r="F30" s="24" t="str">
        <x:f t="shared" si="1"/>
      </x:c>
      <x:c r="G30" s="18"/>
      <x:c r="H30" s="9"/>
      <x:c r="I30" s="9"/>
      <x:c r="J30" s="12"/>
      <x:c r="K30" s="33"/>
    </x:row>
    <x:row r="31">
      <x:c r="A31" s="30"/>
      <x:c r="B31" s="9"/>
      <x:c r="C31" s="18"/>
      <x:c r="D31" s="18"/>
      <x:c r="E31" s="36" t="str">
        <x:f t="shared" si="0"/>
      </x:c>
      <x:c r="F31" s="24" t="str">
        <x:f t="shared" si="1"/>
      </x:c>
      <x:c r="G31" s="18"/>
      <x:c r="H31" s="9"/>
      <x:c r="I31" s="9"/>
      <x:c r="J31" s="12"/>
      <x:c r="K31" s="33"/>
    </x:row>
    <x:row r="32">
      <x:c r="A32" s="30"/>
      <x:c r="B32" s="9"/>
      <x:c r="C32" s="18"/>
      <x:c r="D32" s="18"/>
      <x:c r="E32" s="36" t="str">
        <x:f t="shared" si="0"/>
      </x:c>
      <x:c r="F32" s="24" t="str">
        <x:f t="shared" si="1"/>
      </x:c>
      <x:c r="G32" s="18"/>
      <x:c r="H32" s="9"/>
      <x:c r="I32" s="9"/>
      <x:c r="J32" s="12"/>
      <x:c r="K32" s="33"/>
    </x:row>
    <x:row r="33">
      <x:c r="A33" s="30"/>
      <x:c r="B33" s="9"/>
      <x:c r="C33" s="18"/>
      <x:c r="D33" s="18"/>
      <x:c r="E33" s="36" t="str">
        <x:f t="shared" si="0"/>
      </x:c>
      <x:c r="F33" s="24" t="str">
        <x:f t="shared" si="1"/>
      </x:c>
      <x:c r="G33" s="18"/>
      <x:c r="H33" s="9"/>
      <x:c r="I33" s="9"/>
      <x:c r="J33" s="12"/>
      <x:c r="K33" s="33"/>
    </x:row>
    <x:row r="34">
      <x:c r="A34" s="30"/>
      <x:c r="B34" s="9"/>
      <x:c r="C34" s="18"/>
      <x:c r="D34" s="18"/>
      <x:c r="E34" s="36" t="str">
        <x:f t="shared" si="0"/>
      </x:c>
      <x:c r="F34" s="24" t="str">
        <x:f t="shared" si="1"/>
      </x:c>
      <x:c r="G34" s="18"/>
      <x:c r="H34" s="9"/>
      <x:c r="I34" s="9"/>
      <x:c r="J34" s="12"/>
      <x:c r="K34" s="33"/>
    </x:row>
    <x:row r="35">
      <x:c r="A35" s="30"/>
      <x:c r="B35" s="9"/>
      <x:c r="C35" s="18"/>
      <x:c r="D35" s="18"/>
      <x:c r="E35" s="36" t="str">
        <x:f t="shared" si="0"/>
      </x:c>
      <x:c r="F35" s="24" t="str">
        <x:f t="shared" si="1"/>
      </x:c>
      <x:c r="G35" s="18"/>
      <x:c r="H35" s="9"/>
      <x:c r="I35" s="9"/>
      <x:c r="J35" s="12"/>
      <x:c r="K35" s="33"/>
    </x:row>
    <x:row r="36">
      <x:c r="A36" s="30"/>
      <x:c r="B36" s="9"/>
      <x:c r="C36" s="18"/>
      <x:c r="D36" s="18"/>
      <x:c r="E36" s="36" t="str">
        <x:f t="shared" si="0"/>
      </x:c>
      <x:c r="F36" s="24" t="str">
        <x:f t="shared" si="1"/>
      </x:c>
      <x:c r="G36" s="18"/>
      <x:c r="H36" s="9"/>
      <x:c r="I36" s="9"/>
      <x:c r="J36" s="12"/>
      <x:c r="K36" s="33"/>
    </x:row>
    <x:row r="37">
      <x:c r="A37" s="30"/>
      <x:c r="B37" s="9"/>
      <x:c r="C37" s="18"/>
      <x:c r="D37" s="18"/>
      <x:c r="E37" s="36" t="str">
        <x:f t="shared" si="0"/>
      </x:c>
      <x:c r="F37" s="24" t="str">
        <x:f t="shared" si="1"/>
      </x:c>
      <x:c r="G37" s="18"/>
      <x:c r="H37" s="9"/>
      <x:c r="I37" s="9"/>
      <x:c r="J37" s="12"/>
      <x:c r="K37" s="33"/>
    </x:row>
    <x:row r="38">
      <x:c r="A38" s="30"/>
      <x:c r="B38" s="9"/>
      <x:c r="C38" s="18"/>
      <x:c r="D38" s="18"/>
      <x:c r="E38" s="36" t="str">
        <x:f t="shared" ref="E38:E55" si="2">IF(A38="","",MAX(C38-D38,0))</x:f>
      </x:c>
      <x:c r="F38" s="24" t="str">
        <x:f t="shared" ref="F38:F55" si="3">IF(A38="","",IFERROR(D38/C38,0))</x:f>
      </x:c>
      <x:c r="G38" s="18"/>
      <x:c r="H38" s="9"/>
      <x:c r="I38" s="9"/>
      <x:c r="J38" s="12"/>
      <x:c r="K38" s="33"/>
    </x:row>
    <x:row r="39">
      <x:c r="A39" s="30"/>
      <x:c r="B39" s="9"/>
      <x:c r="C39" s="18"/>
      <x:c r="D39" s="18"/>
      <x:c r="E39" s="36" t="str">
        <x:f t="shared" si="2"/>
      </x:c>
      <x:c r="F39" s="24" t="str">
        <x:f t="shared" si="3"/>
      </x:c>
      <x:c r="G39" s="18"/>
      <x:c r="H39" s="9"/>
      <x:c r="I39" s="9"/>
      <x:c r="J39" s="12"/>
      <x:c r="K39" s="33"/>
    </x:row>
    <x:row r="40">
      <x:c r="A40" s="30"/>
      <x:c r="B40" s="9"/>
      <x:c r="C40" s="18"/>
      <x:c r="D40" s="18"/>
      <x:c r="E40" s="36" t="str">
        <x:f t="shared" si="2"/>
      </x:c>
      <x:c r="F40" s="24" t="str">
        <x:f t="shared" si="3"/>
      </x:c>
      <x:c r="G40" s="18"/>
      <x:c r="H40" s="9"/>
      <x:c r="I40" s="9"/>
      <x:c r="J40" s="12"/>
      <x:c r="K40" s="33"/>
    </x:row>
    <x:row r="41">
      <x:c r="A41" s="30"/>
      <x:c r="B41" s="9"/>
      <x:c r="C41" s="18"/>
      <x:c r="D41" s="18"/>
      <x:c r="E41" s="36" t="str">
        <x:f t="shared" si="2"/>
      </x:c>
      <x:c r="F41" s="24" t="str">
        <x:f t="shared" si="3"/>
      </x:c>
      <x:c r="G41" s="18"/>
      <x:c r="H41" s="9"/>
      <x:c r="I41" s="9"/>
      <x:c r="J41" s="12"/>
      <x:c r="K41" s="33"/>
    </x:row>
    <x:row r="42">
      <x:c r="A42" s="30"/>
      <x:c r="B42" s="9"/>
      <x:c r="C42" s="18"/>
      <x:c r="D42" s="18"/>
      <x:c r="E42" s="36" t="str">
        <x:f t="shared" si="2"/>
      </x:c>
      <x:c r="F42" s="24" t="str">
        <x:f t="shared" si="3"/>
      </x:c>
      <x:c r="G42" s="18"/>
      <x:c r="H42" s="9"/>
      <x:c r="I42" s="9"/>
      <x:c r="J42" s="12"/>
      <x:c r="K42" s="33"/>
    </x:row>
    <x:row r="43">
      <x:c r="A43" s="30"/>
      <x:c r="B43" s="9"/>
      <x:c r="C43" s="18"/>
      <x:c r="D43" s="18"/>
      <x:c r="E43" s="36" t="str">
        <x:f t="shared" si="2"/>
      </x:c>
      <x:c r="F43" s="24" t="str">
        <x:f t="shared" si="3"/>
      </x:c>
      <x:c r="G43" s="18"/>
      <x:c r="H43" s="9"/>
      <x:c r="I43" s="9"/>
      <x:c r="J43" s="12"/>
      <x:c r="K43" s="33"/>
    </x:row>
    <x:row r="44">
      <x:c r="A44" s="30"/>
      <x:c r="B44" s="9"/>
      <x:c r="C44" s="18"/>
      <x:c r="D44" s="18"/>
      <x:c r="E44" s="36" t="str">
        <x:f t="shared" si="2"/>
      </x:c>
      <x:c r="F44" s="24" t="str">
        <x:f t="shared" si="3"/>
      </x:c>
      <x:c r="G44" s="18"/>
      <x:c r="H44" s="9"/>
      <x:c r="I44" s="9"/>
      <x:c r="J44" s="12"/>
      <x:c r="K44" s="33"/>
    </x:row>
    <x:row r="45">
      <x:c r="A45" s="30"/>
      <x:c r="B45" s="9"/>
      <x:c r="C45" s="18"/>
      <x:c r="D45" s="18"/>
      <x:c r="E45" s="36" t="str">
        <x:f t="shared" si="2"/>
      </x:c>
      <x:c r="F45" s="24" t="str">
        <x:f t="shared" si="3"/>
      </x:c>
      <x:c r="G45" s="18"/>
      <x:c r="H45" s="9"/>
      <x:c r="I45" s="9"/>
      <x:c r="J45" s="12"/>
      <x:c r="K45" s="33"/>
    </x:row>
    <x:row r="46">
      <x:c r="A46" s="30"/>
      <x:c r="B46" s="9"/>
      <x:c r="C46" s="18"/>
      <x:c r="D46" s="18"/>
      <x:c r="E46" s="36" t="str">
        <x:f t="shared" si="2"/>
      </x:c>
      <x:c r="F46" s="24" t="str">
        <x:f t="shared" si="3"/>
      </x:c>
      <x:c r="G46" s="18"/>
      <x:c r="H46" s="9"/>
      <x:c r="I46" s="9"/>
      <x:c r="J46" s="12"/>
      <x:c r="K46" s="33"/>
    </x:row>
    <x:row r="47">
      <x:c r="A47" s="30"/>
      <x:c r="B47" s="9"/>
      <x:c r="C47" s="18"/>
      <x:c r="D47" s="18"/>
      <x:c r="E47" s="36" t="str">
        <x:f t="shared" si="2"/>
      </x:c>
      <x:c r="F47" s="24" t="str">
        <x:f t="shared" si="3"/>
      </x:c>
      <x:c r="G47" s="18"/>
      <x:c r="H47" s="9"/>
      <x:c r="I47" s="9"/>
      <x:c r="J47" s="12"/>
      <x:c r="K47" s="33"/>
    </x:row>
    <x:row r="48">
      <x:c r="A48" s="30"/>
      <x:c r="B48" s="9"/>
      <x:c r="C48" s="18"/>
      <x:c r="D48" s="18"/>
      <x:c r="E48" s="36" t="str">
        <x:f t="shared" si="2"/>
      </x:c>
      <x:c r="F48" s="24" t="str">
        <x:f t="shared" si="3"/>
      </x:c>
      <x:c r="G48" s="18"/>
      <x:c r="H48" s="9"/>
      <x:c r="I48" s="9"/>
      <x:c r="J48" s="12"/>
      <x:c r="K48" s="33"/>
    </x:row>
    <x:row r="49">
      <x:c r="A49" s="30"/>
      <x:c r="B49" s="9"/>
      <x:c r="C49" s="18"/>
      <x:c r="D49" s="18"/>
      <x:c r="E49" s="36" t="str">
        <x:f t="shared" si="2"/>
      </x:c>
      <x:c r="F49" s="24" t="str">
        <x:f t="shared" si="3"/>
      </x:c>
      <x:c r="G49" s="18"/>
      <x:c r="H49" s="9"/>
      <x:c r="I49" s="9"/>
      <x:c r="J49" s="12"/>
      <x:c r="K49" s="33"/>
    </x:row>
    <x:row r="50">
      <x:c r="A50" s="30"/>
      <x:c r="B50" s="9"/>
      <x:c r="C50" s="18"/>
      <x:c r="D50" s="18"/>
      <x:c r="E50" s="36" t="str">
        <x:f t="shared" si="2"/>
      </x:c>
      <x:c r="F50" s="24" t="str">
        <x:f t="shared" si="3"/>
      </x:c>
      <x:c r="G50" s="18"/>
      <x:c r="H50" s="9"/>
      <x:c r="I50" s="9"/>
      <x:c r="J50" s="12"/>
      <x:c r="K50" s="33"/>
    </x:row>
    <x:row r="51">
      <x:c r="A51" s="30"/>
      <x:c r="B51" s="9"/>
      <x:c r="C51" s="18"/>
      <x:c r="D51" s="18"/>
      <x:c r="E51" s="36" t="str">
        <x:f t="shared" si="2"/>
      </x:c>
      <x:c r="F51" s="24" t="str">
        <x:f t="shared" si="3"/>
      </x:c>
      <x:c r="G51" s="18"/>
      <x:c r="H51" s="9"/>
      <x:c r="I51" s="9"/>
      <x:c r="J51" s="12"/>
      <x:c r="K51" s="33"/>
    </x:row>
    <x:row r="52">
      <x:c r="A52" s="30"/>
      <x:c r="B52" s="9"/>
      <x:c r="C52" s="18"/>
      <x:c r="D52" s="18"/>
      <x:c r="E52" s="36" t="str">
        <x:f t="shared" si="2"/>
      </x:c>
      <x:c r="F52" s="24" t="str">
        <x:f t="shared" si="3"/>
      </x:c>
      <x:c r="G52" s="18"/>
      <x:c r="H52" s="9"/>
      <x:c r="I52" s="9"/>
      <x:c r="J52" s="12"/>
      <x:c r="K52" s="33"/>
    </x:row>
    <x:row r="53">
      <x:c r="A53" s="30"/>
      <x:c r="B53" s="9"/>
      <x:c r="C53" s="18"/>
      <x:c r="D53" s="18"/>
      <x:c r="E53" s="36" t="str">
        <x:f t="shared" si="2"/>
      </x:c>
      <x:c r="F53" s="24" t="str">
        <x:f t="shared" si="3"/>
      </x:c>
      <x:c r="G53" s="18"/>
      <x:c r="H53" s="9"/>
      <x:c r="I53" s="9"/>
      <x:c r="J53" s="12"/>
      <x:c r="K53" s="33"/>
    </x:row>
    <x:row r="54">
      <x:c r="A54" s="30"/>
      <x:c r="B54" s="9"/>
      <x:c r="C54" s="18"/>
      <x:c r="D54" s="18"/>
      <x:c r="E54" s="36" t="str">
        <x:f t="shared" si="2"/>
      </x:c>
      <x:c r="F54" s="24" t="str">
        <x:f t="shared" si="3"/>
      </x:c>
      <x:c r="G54" s="18"/>
      <x:c r="H54" s="9"/>
      <x:c r="I54" s="9"/>
      <x:c r="J54" s="12"/>
      <x:c r="K54" s="33"/>
    </x:row>
    <x:row r="55">
      <x:c r="A55" s="31"/>
      <x:c r="B55" s="10"/>
      <x:c r="C55" s="19"/>
      <x:c r="D55" s="19"/>
      <x:c r="E55" s="37" t="str">
        <x:f t="shared" si="2"/>
      </x:c>
      <x:c r="F55" s="25" t="str">
        <x:f t="shared" si="3"/>
      </x:c>
      <x:c r="G55" s="19"/>
      <x:c r="H55" s="10"/>
      <x:c r="I55" s="10"/>
      <x:c r="J55" s="13"/>
      <x:c r="K55" s="34"/>
    </x:row>
  </x:sheetData>
  <x:mergeCells>
    <x:mergeCell ref="A1:K1"/>
    <x:mergeCell ref="A2:K2"/>
    <x:mergeCell ref="A3:K3"/>
  </x:mergeCells>
  <x:conditionalFormatting sqref="F6:F55">
    <x:cfRule type="colorScale" priority="1">
      <x:colorScale>
        <x:cfvo type="min"/>
        <x:cfvo type="percentile" val="50"/>
        <x:cfvo type="max"/>
        <x:color rgb="FFE8F5EE"/>
        <x:color rgb="FFF6F1DA"/>
        <x:color rgb="FFFDECEC"/>
      </x:colorScale>
    </x:cfRule>
  </x:conditionalFormatting>
  <x:dataValidations count="2">
    <x:dataValidation type="list" sqref="B6:B55">
      <x:formula1>"Bukit Intan,Gabek,Gerunggang,Girimaya,Pangkal Balam,Rangkui,Taman Sari"</x:formula1>
    </x:dataValidation>
    <x:dataValidation type="list" sqref="I6:I55">
      <x:formula1>"Draft,Dalam Verifikasi,Terverifikasi,Perlu Perbaikan"</x:formula1>
    </x:dataValidation>
  </x:dataValidations>
  <x:pageMargins left="0.7" right="0.7" top="0.75" bottom="0.75" header="0.3" footer="0.3"/>
  <x:tableParts count="1">
    <x:tablePart xmlns:r="http://schemas.openxmlformats.org/officeDocument/2006/relationships" r:id="R5711ff3ea24c4b57"/>
  </x:tableParts>
</x:worksheet>
</file>

<file path=xl/worksheets/sheet5.xml><?xml version="1.0" encoding="utf-8"?>
<x:worksheet xmlns:x="http://schemas.openxmlformats.org/spreadsheetml/2006/main">
  <x:sheetFormatPr defaultRowHeight="14"/>
  <x:cols>
    <x:col min="1" max="1" width="15" customWidth="1"/>
    <x:col min="2" max="2" width="27.75" customWidth="1"/>
    <x:col min="3" max="3" width="22.83203125" customWidth="1"/>
    <x:col min="4" max="4" width="39.08203125" customWidth="1"/>
    <x:col min="5" max="5" width="34" customWidth="1"/>
    <x:col min="6" max="7" width="18" customWidth="1"/>
    <x:col min="8" max="8" width="22" customWidth="1"/>
    <x:col min="9" max="9" width="42" hidden="1" customWidth="1"/>
    <x:col min="10" max="10" width="22.33203125" customWidth="1"/>
    <x:col min="11" max="11" width="22" customWidth="1"/>
    <x:col min="12" max="12" width="18" customWidth="1"/>
    <x:col min="13" max="13" width="31" customWidth="1"/>
    <x:col min="14" max="14" width="18" customWidth="1"/>
    <x:col min="15" max="15" width="21" customWidth="1"/>
    <x:col min="16" max="16" width="18" customWidth="1"/>
    <x:col min="17" max="17" width="30" customWidth="1"/>
    <x:col min="18" max="18" width="17.08203125" customWidth="1"/>
    <x:col min="19" max="19" width="24.08203125" customWidth="1"/>
    <x:col min="20" max="20" width="28.58203125" customWidth="1"/>
    <x:col min="21" max="21" width="17.75" customWidth="1"/>
    <x:col min="22" max="22" width="28" customWidth="1"/>
    <x:col min="23" max="23" width="36" hidden="1" customWidth="1"/>
    <x:col min="24" max="24" width="48" customWidth="1"/>
    <x:col min="25" max="25" width="25" customWidth="1"/>
    <x:col min="26" max="26" width="12" customWidth="1"/>
    <x:col min="27" max="27" width="16" customWidth="1"/>
    <x:col min="28" max="28" width="18" customWidth="1"/>
    <x:col min="29" max="29" width="26" customWidth="1"/>
    <x:col min="30" max="30" width="29" customWidth="1"/>
    <x:col min="31" max="31" width="30" customWidth="1"/>
    <x:col min="32" max="32" width="27" customWidth="1"/>
    <x:col min="33" max="33" width="26" customWidth="1"/>
    <x:col min="34" max="34" width="27" customWidth="1"/>
    <x:col min="35" max="35" width="26.33203125" customWidth="1"/>
    <x:col min="36" max="36" width="27" customWidth="1"/>
    <x:col min="37" max="37" width="24" customWidth="1"/>
    <x:col min="38" max="38" width="35" hidden="1" customWidth="1"/>
    <x:col min="39" max="39" width="25.5" hidden="1" customWidth="1"/>
    <x:col min="40" max="40" width="56" customWidth="1"/>
    <x:col min="41" max="41" width="25" customWidth="1"/>
    <x:col min="42" max="42" width="38" hidden="1" customWidth="1"/>
    <x:col min="43" max="43" width="15" customWidth="1"/>
    <x:col min="44" max="44" width="14" customWidth="1"/>
    <x:col min="45" max="45" width="16" customWidth="1"/>
    <x:col min="46" max="46" width="21" customWidth="1"/>
    <x:col min="47" max="47" width="19" customWidth="1"/>
    <x:col min="48" max="49" width="21" customWidth="1"/>
    <x:col min="50" max="50" width="18" customWidth="1"/>
    <x:col min="51" max="51" width="16" customWidth="1"/>
    <x:col min="52" max="52" width="24" customWidth="1"/>
    <x:col min="53" max="53" width="18" customWidth="1"/>
    <x:col min="54" max="54" width="16" customWidth="1"/>
    <x:col min="55" max="55" width="13" customWidth="1"/>
    <x:col min="56" max="56" width="30" customWidth="1"/>
    <x:col min="57" max="57" width="16" customWidth="1"/>
    <x:col min="58" max="58" width="28" customWidth="1"/>
    <x:col min="60" max="77" width="25" customWidth="1"/>
  </x:cols>
  <x:sheetData>
    <x:row r="1">
      <x:c r="A1" s="237" t="s">
        <x:v>859</x:v>
      </x:c>
      <x:c r="B1" s="237"/>
      <x:c r="C1" s="237"/>
      <x:c r="D1" s="237"/>
      <x:c r="E1" s="237"/>
      <x:c r="F1" s="237"/>
      <x:c r="G1" s="237"/>
      <x:c r="H1" s="237"/>
      <x:c r="I1" s="237"/>
      <x:c r="J1" s="237"/>
      <x:c r="K1" s="237"/>
      <x:c r="L1" s="237"/>
      <x:c r="M1" s="237"/>
      <x:c r="N1" s="237"/>
      <x:c r="O1" s="237"/>
      <x:c r="P1" s="237"/>
      <x:c r="Q1" s="237"/>
      <x:c r="R1" s="237"/>
      <x:c r="S1" s="237"/>
      <x:c r="T1" s="237"/>
      <x:c r="U1" s="237"/>
      <x:c r="V1" s="237"/>
      <x:c r="W1" s="237"/>
      <x:c r="X1" s="237"/>
      <x:c r="Y1" s="237"/>
      <x:c r="Z1" s="237"/>
      <x:c r="AA1" s="237"/>
      <x:c r="AB1" s="237"/>
      <x:c r="AC1" s="237"/>
      <x:c r="AD1" s="237"/>
      <x:c r="AE1" s="237"/>
      <x:c r="AF1" s="237"/>
      <x:c r="AG1" s="237"/>
      <x:c r="AH1" s="237"/>
      <x:c r="AI1" s="237"/>
      <x:c r="AJ1" s="237"/>
      <x:c r="AK1" s="237"/>
      <x:c r="AL1" s="237"/>
      <x:c r="AM1" s="237"/>
      <x:c r="AN1" s="237"/>
      <x:c r="AO1" s="237"/>
      <x:c r="AP1" s="237"/>
      <x:c r="AQ1" s="237"/>
      <x:c r="AR1" s="237"/>
      <x:c r="AS1" s="237"/>
      <x:c r="AT1" s="237"/>
      <x:c r="AU1" s="237"/>
      <x:c r="AV1" s="237"/>
      <x:c r="AW1" s="237"/>
      <x:c r="AX1" s="237"/>
      <x:c r="AY1" s="237"/>
      <x:c r="AZ1" s="237"/>
      <x:c r="BA1" s="237"/>
      <x:c r="BB1" s="237"/>
      <x:c r="BC1" s="237"/>
      <x:c r="BD1" s="237"/>
      <x:c r="BE1" s="237"/>
      <x:c r="BF1" s="237"/>
      <x:c r="BH1" s="69" t="s">
        <x:v>860</x:v>
      </x:c>
      <x:c r="BI1" s="69" t="s">
        <x:v>861</x:v>
      </x:c>
      <x:c r="BJ1" s="69" t="s">
        <x:v>862</x:v>
      </x:c>
      <x:c r="BK1" s="69" t="s">
        <x:v>863</x:v>
      </x:c>
      <x:c r="BL1" s="69" t="s">
        <x:v>864</x:v>
      </x:c>
      <x:c r="BM1" s="69" t="s">
        <x:v>865</x:v>
      </x:c>
      <x:c r="BN1" s="69" t="s">
        <x:v>866</x:v>
      </x:c>
      <x:c r="BO1" s="69" t="s">
        <x:v>867</x:v>
      </x:c>
      <x:c r="BP1" s="69" t="s">
        <x:v>868</x:v>
      </x:c>
      <x:c r="BQ1" s="69" t="s">
        <x:v>869</x:v>
      </x:c>
      <x:c r="BR1" s="69" t="s">
        <x:v>870</x:v>
      </x:c>
      <x:c r="BS1" s="69" t="s">
        <x:v>871</x:v>
      </x:c>
      <x:c r="BT1" s="69" t="s">
        <x:v>872</x:v>
      </x:c>
      <x:c r="BU1" s="69" t="s">
        <x:v>873</x:v>
      </x:c>
      <x:c r="BV1" s="69" t="s">
        <x:v>874</x:v>
      </x:c>
      <x:c r="BW1" s="69" t="s">
        <x:v>875</x:v>
      </x:c>
      <x:c r="BX1" s="69" t="s">
        <x:v>876</x:v>
      </x:c>
      <x:c r="BY1" s="69" t="s">
        <x:v>14</x:v>
      </x:c>
    </x:row>
    <x:row r="2" ht="14.5">
      <x:c r="A2" s="242" t="s">
        <x:v>877</x:v>
      </x:c>
      <x:c r="B2" s="242"/>
      <x:c r="C2" s="242"/>
      <x:c r="D2" s="242"/>
      <x:c r="E2" s="242"/>
      <x:c r="F2" s="242"/>
      <x:c r="G2" s="242"/>
      <x:c r="H2" s="242"/>
      <x:c r="I2" s="242"/>
      <x:c r="J2" s="242"/>
      <x:c r="K2" s="242"/>
      <x:c r="L2" s="242"/>
      <x:c r="M2" s="242"/>
      <x:c r="N2" s="242"/>
      <x:c r="O2" s="242"/>
      <x:c r="P2" s="242"/>
      <x:c r="Q2" s="242"/>
      <x:c r="R2" s="242"/>
      <x:c r="S2" s="242"/>
      <x:c r="T2" s="242"/>
      <x:c r="U2" s="242"/>
      <x:c r="V2" s="242"/>
      <x:c r="W2" s="242"/>
      <x:c r="X2" s="242"/>
      <x:c r="Y2" s="242"/>
      <x:c r="Z2" s="242"/>
      <x:c r="AA2" s="242"/>
      <x:c r="AB2" s="242"/>
      <x:c r="AC2" s="242"/>
      <x:c r="AD2" s="242"/>
      <x:c r="AE2" s="242"/>
      <x:c r="AF2" s="242"/>
      <x:c r="AG2" s="242"/>
      <x:c r="AH2" s="242"/>
      <x:c r="AI2" s="242"/>
      <x:c r="AJ2" s="242"/>
      <x:c r="AK2" s="242"/>
      <x:c r="AL2" s="242"/>
      <x:c r="AM2" s="242"/>
      <x:c r="AN2" s="242"/>
      <x:c r="AO2" s="242"/>
      <x:c r="AP2" s="242"/>
      <x:c r="AQ2" s="242"/>
      <x:c r="AR2" s="242"/>
      <x:c r="AS2" s="242"/>
      <x:c r="AT2" s="242"/>
      <x:c r="AU2" s="242"/>
      <x:c r="AV2" s="242"/>
      <x:c r="AW2" s="242"/>
      <x:c r="AX2" s="242"/>
      <x:c r="AY2" s="242"/>
      <x:c r="AZ2" s="242"/>
      <x:c r="BA2" s="242"/>
      <x:c r="BB2" s="242"/>
      <x:c r="BC2" s="242"/>
      <x:c r="BD2" s="242"/>
      <x:c r="BE2" s="242"/>
      <x:c r="BF2" s="242"/>
      <x:c r="BH2" t="s">
        <x:v>104</x:v>
      </x:c>
      <x:c r="BI2" t="s">
        <x:v>878</x:v>
      </x:c>
      <x:c r="BJ2" t="s">
        <x:v>879</x:v>
      </x:c>
      <x:c r="BK2" t="s">
        <x:v>880</x:v>
      </x:c>
      <x:c r="BL2" t="s">
        <x:v>881</x:v>
      </x:c>
      <x:c r="BM2" t="s">
        <x:v>882</x:v>
      </x:c>
      <x:c r="BN2" t="s">
        <x:v>881</x:v>
      </x:c>
      <x:c r="BO2" t="s">
        <x:v>883</x:v>
      </x:c>
      <x:c r="BP2" t="s">
        <x:v>881</x:v>
      </x:c>
      <x:c r="BQ2" t="s">
        <x:v>884</x:v>
      </x:c>
      <x:c r="BR2" t="s">
        <x:v>885</x:v>
      </x:c>
      <x:c r="BS2" t="s">
        <x:v>886</x:v>
      </x:c>
      <x:c r="BT2" t="s">
        <x:v>887</x:v>
      </x:c>
      <x:c r="BU2" t="s">
        <x:v>888</x:v>
      </x:c>
      <x:c r="BV2" t="s">
        <x:v>889</x:v>
      </x:c>
      <x:c r="BW2" t="s">
        <x:v>890</x:v>
      </x:c>
      <x:c r="BX2" t="s">
        <x:v>891</x:v>
      </x:c>
      <x:c r="BY2" t="s">
        <x:v>892</x:v>
      </x:c>
    </x:row>
    <x:row r="3">
      <x:c r="A3" s="243" t="s">
        <x:v>893</x:v>
      </x:c>
      <x:c r="B3" s="243"/>
      <x:c r="C3" s="243"/>
      <x:c r="D3" s="243"/>
      <x:c r="E3" s="243"/>
      <x:c r="F3" s="243"/>
      <x:c r="G3" s="243"/>
      <x:c r="H3" s="243"/>
      <x:c r="I3" s="243"/>
      <x:c r="J3" s="243"/>
      <x:c r="K3" s="243"/>
      <x:c r="L3" s="243"/>
      <x:c r="M3" s="243"/>
      <x:c r="N3" s="243"/>
      <x:c r="O3" s="243"/>
      <x:c r="P3" s="243"/>
      <x:c r="Q3" s="243"/>
      <x:c r="R3" s="243"/>
      <x:c r="S3" s="243"/>
      <x:c r="T3" s="243"/>
      <x:c r="U3" s="243"/>
      <x:c r="V3" s="243"/>
      <x:c r="W3" s="243"/>
      <x:c r="X3" s="243"/>
      <x:c r="Y3" s="243"/>
      <x:c r="Z3" s="243"/>
      <x:c r="AA3" s="243"/>
      <x:c r="AB3" s="243"/>
      <x:c r="AC3" s="243"/>
      <x:c r="AD3" s="243"/>
      <x:c r="AE3" s="243"/>
      <x:c r="AF3" s="243"/>
      <x:c r="AG3" s="243"/>
      <x:c r="AH3" s="243"/>
      <x:c r="AI3" s="243"/>
      <x:c r="AJ3" s="243"/>
      <x:c r="AK3" s="243"/>
      <x:c r="AL3" s="243"/>
      <x:c r="AM3" s="243"/>
      <x:c r="AN3" s="243"/>
      <x:c r="AO3" s="243"/>
      <x:c r="AP3" s="243"/>
      <x:c r="AQ3" s="243"/>
      <x:c r="AR3" s="243"/>
      <x:c r="AS3" s="243"/>
      <x:c r="AT3" s="243"/>
      <x:c r="AU3" s="243"/>
      <x:c r="AV3" s="243"/>
      <x:c r="AW3" s="243"/>
      <x:c r="AX3" s="243"/>
      <x:c r="AY3" s="243"/>
      <x:c r="AZ3" s="243"/>
      <x:c r="BA3" s="243"/>
      <x:c r="BB3" s="243"/>
      <x:c r="BC3" s="243"/>
      <x:c r="BD3" s="243"/>
      <x:c r="BE3" s="243"/>
      <x:c r="BF3" s="243"/>
      <x:c r="BH3" t="s">
        <x:v>86</x:v>
      </x:c>
      <x:c r="BI3" t="s">
        <x:v>894</x:v>
      </x:c>
      <x:c r="BJ3" t="s">
        <x:v>895</x:v>
      </x:c>
      <x:c r="BK3" t="s">
        <x:v>896</x:v>
      </x:c>
      <x:c r="BL3" t="s">
        <x:v>897</x:v>
      </x:c>
      <x:c r="BM3" t="s">
        <x:v>898</x:v>
      </x:c>
      <x:c r="BN3" t="s">
        <x:v>897</x:v>
      </x:c>
      <x:c r="BO3" t="s">
        <x:v>899</x:v>
      </x:c>
      <x:c r="BP3" t="s">
        <x:v>897</x:v>
      </x:c>
      <x:c r="BQ3" t="s">
        <x:v>900</x:v>
      </x:c>
      <x:c r="BR3" t="s">
        <x:v>901</x:v>
      </x:c>
      <x:c r="BS3" t="s">
        <x:v>902</x:v>
      </x:c>
      <x:c r="BT3" t="s">
        <x:v>903</x:v>
      </x:c>
      <x:c r="BU3" t="s">
        <x:v>904</x:v>
      </x:c>
      <x:c r="BV3" t="s">
        <x:v>905</x:v>
      </x:c>
      <x:c r="BW3" t="s">
        <x:v>906</x:v>
      </x:c>
      <x:c r="BX3" t="s">
        <x:v>907</x:v>
      </x:c>
      <x:c r="BY3" t="s">
        <x:v>908</x:v>
      </x:c>
    </x:row>
    <x:row r="4">
      <x:c r="BH4" t="s">
        <x:v>64</x:v>
      </x:c>
      <x:c r="BI4" t="s">
        <x:v>909</x:v>
      </x:c>
      <x:c r="BJ4" t="s">
        <x:v>910</x:v>
      </x:c>
      <x:c r="BK4" t="s">
        <x:v>911</x:v>
      </x:c>
      <x:c r="BL4" t="s">
        <x:v>912</x:v>
      </x:c>
      <x:c r="BM4" t="s">
        <x:v>913</x:v>
      </x:c>
      <x:c r="BN4" t="s">
        <x:v>912</x:v>
      </x:c>
      <x:c r="BO4" t="s">
        <x:v>914</x:v>
      </x:c>
      <x:c r="BP4" t="s">
        <x:v>912</x:v>
      </x:c>
      <x:c r="BQ4" t="s">
        <x:v>915</x:v>
      </x:c>
      <x:c r="BR4" t="s">
        <x:v>916</x:v>
      </x:c>
      <x:c r="BS4" t="s">
        <x:v>916</x:v>
      </x:c>
      <x:c r="BV4" t="s">
        <x:v>917</x:v>
      </x:c>
      <x:c r="BW4" t="s">
        <x:v>918</x:v>
      </x:c>
      <x:c r="BX4" t="s">
        <x:v>919</x:v>
      </x:c>
      <x:c r="BY4" t="s">
        <x:v>920</x:v>
      </x:c>
    </x:row>
    <x:row r="5" s="87" customFormat="1" ht="53.5" customHeight="1">
      <x:c r="A5" s="86" t="s">
        <x:v>921</x:v>
      </x:c>
      <x:c r="B5" s="86" t="s">
        <x:v>922</x:v>
      </x:c>
      <x:c r="C5" s="86" t="s">
        <x:v>923</x:v>
      </x:c>
      <x:c r="D5" s="86" t="s">
        <x:v>924</x:v>
      </x:c>
      <x:c r="E5" s="86" t="s">
        <x:v>925</x:v>
      </x:c>
      <x:c r="F5" s="86" t="s">
        <x:v>38</x:v>
      </x:c>
      <x:c r="G5" s="86" t="s">
        <x:v>37</x:v>
      </x:c>
      <x:c r="H5" s="86" t="s">
        <x:v>926</x:v>
      </x:c>
      <x:c r="I5" s="86" t="s">
        <x:v>927</x:v>
      </x:c>
      <x:c r="J5" s="86" t="s">
        <x:v>928</x:v>
      </x:c>
      <x:c r="K5" s="86" t="s">
        <x:v>863</x:v>
      </x:c>
      <x:c r="L5" s="86" t="s">
        <x:v>864</x:v>
      </x:c>
      <x:c r="M5" s="86" t="s">
        <x:v>865</x:v>
      </x:c>
      <x:c r="N5" s="86" t="s">
        <x:v>866</x:v>
      </x:c>
      <x:c r="O5" s="86" t="s">
        <x:v>867</x:v>
      </x:c>
      <x:c r="P5" s="86" t="s">
        <x:v>868</x:v>
      </x:c>
      <x:c r="Q5" s="86" t="s">
        <x:v>929</x:v>
      </x:c>
      <x:c r="R5" s="86" t="s">
        <x:v>930</x:v>
      </x:c>
      <x:c r="S5" s="86" t="s">
        <x:v>931</x:v>
      </x:c>
      <x:c r="T5" s="86" t="s">
        <x:v>932</x:v>
      </x:c>
      <x:c r="U5" s="86" t="s">
        <x:v>933</x:v>
      </x:c>
      <x:c r="V5" s="86" t="s">
        <x:v>934</x:v>
      </x:c>
      <x:c r="W5" s="86" t="s">
        <x:v>935</x:v>
      </x:c>
      <x:c r="X5" s="86" t="s">
        <x:v>936</x:v>
      </x:c>
      <x:c r="Y5" s="86" t="s">
        <x:v>937</x:v>
      </x:c>
      <x:c r="Z5" s="86" t="s">
        <x:v>938</x:v>
      </x:c>
      <x:c r="AA5" s="86" t="s">
        <x:v>939</x:v>
      </x:c>
      <x:c r="AB5" s="86" t="s">
        <x:v>940</x:v>
      </x:c>
      <x:c r="AC5" s="86" t="s">
        <x:v>941</x:v>
      </x:c>
      <x:c r="AD5" s="86" t="s">
        <x:v>942</x:v>
      </x:c>
      <x:c r="AE5" s="86" t="s">
        <x:v>943</x:v>
      </x:c>
      <x:c r="AF5" s="86" t="s">
        <x:v>944</x:v>
      </x:c>
      <x:c r="AG5" s="86" t="s">
        <x:v>945</x:v>
      </x:c>
      <x:c r="AH5" s="86" t="s">
        <x:v>946</x:v>
      </x:c>
      <x:c r="AI5" s="86" t="s">
        <x:v>947</x:v>
      </x:c>
      <x:c r="AJ5" s="86" t="s">
        <x:v>948</x:v>
      </x:c>
      <x:c r="AK5" s="86" t="s">
        <x:v>949</x:v>
      </x:c>
      <x:c r="AL5" s="86" t="s">
        <x:v>950</x:v>
      </x:c>
      <x:c r="AM5" s="86" t="s">
        <x:v>871</x:v>
      </x:c>
      <x:c r="AN5" s="86" t="s">
        <x:v>951</x:v>
      </x:c>
      <x:c r="AO5" s="86" t="s">
        <x:v>952</x:v>
      </x:c>
      <x:c r="AP5" s="86" t="s">
        <x:v>953</x:v>
      </x:c>
      <x:c r="AQ5" s="86" t="s">
        <x:v>954</x:v>
      </x:c>
      <x:c r="AR5" s="86" t="s">
        <x:v>955</x:v>
      </x:c>
      <x:c r="AS5" s="86" t="s">
        <x:v>956</x:v>
      </x:c>
      <x:c r="AT5" s="86" t="s">
        <x:v>957</x:v>
      </x:c>
      <x:c r="AU5" s="86" t="s">
        <x:v>958</x:v>
      </x:c>
      <x:c r="AV5" s="86" t="s">
        <x:v>12</x:v>
      </x:c>
      <x:c r="AW5" s="86" t="s">
        <x:v>959</x:v>
      </x:c>
      <x:c r="AX5" s="86" t="s">
        <x:v>875</x:v>
      </x:c>
      <x:c r="AY5" s="86" t="s">
        <x:v>960</x:v>
      </x:c>
      <x:c r="AZ5" s="86" t="s">
        <x:v>876</x:v>
      </x:c>
      <x:c r="BA5" s="86" t="s">
        <x:v>961</x:v>
      </x:c>
      <x:c r="BB5" s="86" t="s">
        <x:v>962</x:v>
      </x:c>
      <x:c r="BC5" s="86" t="s">
        <x:v>58</x:v>
      </x:c>
      <x:c r="BD5" s="86" t="s">
        <x:v>59</x:v>
      </x:c>
      <x:c r="BE5" s="86" t="s">
        <x:v>15</x:v>
      </x:c>
      <x:c r="BF5" s="86" t="s">
        <x:v>16</x:v>
      </x:c>
      <x:c r="BH5" s="87" t="s">
        <x:v>314</x:v>
      </x:c>
      <x:c r="BI5" s="87" t="s">
        <x:v>963</x:v>
      </x:c>
      <x:c r="BJ5" s="87" t="s">
        <x:v>964</x:v>
      </x:c>
      <x:c r="BK5" s="87" t="s">
        <x:v>965</x:v>
      </x:c>
      <x:c r="BL5" s="87" t="s">
        <x:v>966</x:v>
      </x:c>
      <x:c r="BM5" s="87" t="s">
        <x:v>967</x:v>
      </x:c>
      <x:c r="BN5" s="87" t="s">
        <x:v>966</x:v>
      </x:c>
      <x:c r="BO5" s="87" t="s">
        <x:v>968</x:v>
      </x:c>
      <x:c r="BP5" s="87" t="s">
        <x:v>966</x:v>
      </x:c>
      <x:c r="BQ5" s="87" t="s">
        <x:v>916</x:v>
      </x:c>
      <x:c r="BV5" s="87" t="s">
        <x:v>969</x:v>
      </x:c>
      <x:c r="BW5" s="87" t="s">
        <x:v>970</x:v>
      </x:c>
      <x:c r="BX5" s="87" t="s">
        <x:v>971</x:v>
      </x:c>
      <x:c r="BY5" s="87" t="s">
        <x:v>972</x:v>
      </x:c>
    </x:row>
    <x:row r="6" ht="24" customHeight="1">
      <x:c r="A6" s="65" t="s">
        <x:v>973</x:v>
      </x:c>
      <x:c r="B6" s="65" t="s">
        <x:v>974</x:v>
      </x:c>
      <x:c r="C6" s="65"/>
      <x:c r="D6" s="65"/>
      <x:c r="E6" s="65" t="s">
        <x:v>975</x:v>
      </x:c>
      <x:c r="F6" s="65" t="s">
        <x:v>976</x:v>
      </x:c>
      <x:c r="G6" s="65" t="s">
        <x:v>977</x:v>
      </x:c>
      <x:c r="H6" s="65" t="s">
        <x:v>878</x:v>
      </x:c>
      <x:c r="I6" s="65" t="s">
        <x:v>978</x:v>
      </x:c>
      <x:c r="J6" s="65" t="s">
        <x:v>895</x:v>
      </x:c>
      <x:c r="K6" s="65" t="s">
        <x:v>911</x:v>
      </x:c>
      <x:c r="L6" s="65" t="s">
        <x:v>897</x:v>
      </x:c>
      <x:c r="M6" s="65" t="s">
        <x:v>979</x:v>
      </x:c>
      <x:c r="N6" s="65" t="s">
        <x:v>897</x:v>
      </x:c>
      <x:c r="O6" s="65" t="s">
        <x:v>914</x:v>
      </x:c>
      <x:c r="P6" s="65" t="s">
        <x:v>897</x:v>
      </x:c>
      <x:c r="Q6" s="85" t="s">
        <x:v>884</x:v>
      </x:c>
      <x:c r="R6" s="85" t="s">
        <x:v>901</x:v>
      </x:c>
      <x:c r="S6" s="85" t="s">
        <x:v>901</x:v>
      </x:c>
      <x:c r="T6" s="85" t="s">
        <x:v>901</x:v>
      </x:c>
      <x:c r="U6" s="85" t="s">
        <x:v>901</x:v>
      </x:c>
      <x:c r="V6" s="85" t="s">
        <x:v>916</x:v>
      </x:c>
      <x:c r="W6" s="66"/>
      <x:c r="X6" s="83" t="str">
        <x:f t="shared" ref="X6:X69" si="0">IF(COUNTIF(R6:V6,"Belum Dinilai")&gt;0,"Belum Dinilai",IF(COUNTIF(R6:V6,"Ya")=0,"Tidak ada faktor rentan",IF(R6="Ya","Lansia; ","")&amp;IF(S6="Ya","Penyandang disabilitas; ","")&amp;IF(T6="Ya","Kepala keluarga perempuan; ","")&amp;IF(U6="Ya","Balita; ","")&amp;IF(V6="Ya","Anggota keluarga dengan ketergantungan tinggi; ","")))</x:f>
        <x:v>Belum Dinilai</x:v>
      </x:c>
      <x:c r="Y6" s="83" t="str">
        <x:f t="shared" ref="Y6:Y69" si="1">IF(COUNTIF(R6:V6,"Belum Dinilai")&gt;0,"Belum Dinilai",IF(COUNTIF(R6:V6,"Ya")=0,"Tidak Ada Faktor Rentan",IF(COUNTIF(R6:V6,"Ya")=1,"1 Faktor Rentan","2 atau Lebih Faktor Rentan")))</x:f>
        <x:v>Belum Dinilai</x:v>
      </x:c>
      <x:c r="Z6" s="84" t="n">
        <x:f t="shared" ref="Z6:Z69" si="2">IF(OR(Q6="",Q6="Belum Dinilai"),"",IF(Q6="Terverifikasi DTKS/P3KE/MBR",10,IF(Q6="Diusulkan, Belum Terverifikasi",5,0)))</x:f>
        <x:v>10</x:v>
      </x:c>
      <x:c r="AA6" s="84" t="str">
        <x:f t="shared" ref="AA6:AA69" si="3">IF(COUNTIF(R6:V6,"Belum Dinilai")&gt;0,"",IF(COUNTIF(R6:V6,"Ya")=0,0,IF(COUNTIF(R6:V6,"Ya")=1,5,10)))</x:f>
      </x:c>
      <x:c r="AB6" s="84" t="str">
        <x:f t="shared" ref="AB6:AB69" si="4">IF(OR(Z6="",AA6=""),"",Z6+AA6)</x:f>
      </x:c>
      <x:c r="AC6" s="67" t="s">
        <x:v>901</x:v>
      </x:c>
      <x:c r="AD6" s="67" t="s">
        <x:v>901</x:v>
      </x:c>
      <x:c r="AE6" s="67" t="s">
        <x:v>901</x:v>
      </x:c>
      <x:c r="AF6" s="67" t="s">
        <x:v>901</x:v>
      </x:c>
      <x:c r="AG6" s="67" t="s">
        <x:v>901</x:v>
      </x:c>
      <x:c r="AH6" s="67" t="s">
        <x:v>885</x:v>
      </x:c>
      <x:c r="AI6" s="67" t="s">
        <x:v>885</x:v>
      </x:c>
      <x:c r="AJ6" s="67" t="s">
        <x:v>901</x:v>
      </x:c>
      <x:c r="AK6" s="67" t="s">
        <x:v>916</x:v>
      </x:c>
      <x:c r="AL6" s="67"/>
      <x:c r="AM6" s="67" t="s">
        <x:v>916</x:v>
      </x:c>
      <x:c r="AN6" s="83" t="str">
        <x: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x:f>
        <x:v>Instalasi listrik berbahaya; Komponen bangunan lepas atau lapuk; </x:v>
      </x:c>
      <x:c r="AO6" s="83" t="str">
        <x:f t="shared" ref="AO6:AO69" si="6">IF(AR6="","Belum Dinilai",IF(AR6=10,"Risiko Tinggi/Darurat",IF(AR6=5,"Risiko Sedang","Tidak Ada Risiko Khusus")))</x:f>
        <x:v>Risiko Tinggi/Darurat</x:v>
      </x:c>
      <x:c r="AP6" s="67"/>
      <x:c r="AQ6" s="70" t="n">
        <x: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x:f>
        <x:v>22</x:v>
      </x:c>
      <x:c r="AR6" s="70" t="n">
        <x: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x:f>
        <x:v>10</x:v>
      </x:c>
      <x:c r="AS6" s="70" t="str">
        <x:f t="shared" ref="AS6:AS69" si="9">IF(OR(AQ6="",AB6="",AR6=""),"",AQ6+AB6+AR6)</x:f>
      </x:c>
      <x:c r="AT6" s="68" t="str">
        <x:f t="shared" ref="AT6:AT69" si="10">IF(AS6="","Belum Dapat Ditentukan",IF(AS6&gt;=80,"Sangat Tinggi",IF(OR(AO6="Risiko Tinggi/Darurat",(IF(L6="Rusak Berat",1,0)+IF(L6="Tidak Ada/Terbuka",1,0)+IF(N6="Rusak Berat",1,0)+IF(N6="Tidak Ada/Terbuka",1,0)+IF(P6="Rusak Berat",1,0)+IF(P6="Tidak Layak",1,0))&gt;=2),"Tinggi",IF(AS6&gt;=65,"Tinggi",IF(AS6&gt;=50,"Sedang","Rendah")))))</x:f>
        <x:v>Belum Dapat Ditentukan</x:v>
      </x:c>
      <x:c r="AU6" s="65" t="s">
        <x:v>887</x:v>
      </x:c>
      <x:c r="AV6" s="65" t="s">
        <x:v>904</x:v>
      </x:c>
      <x:c r="AW6" s="65" t="s">
        <x:v>889</x:v>
      </x:c>
      <x:c r="AX6" s="65" t="s">
        <x:v>890</x:v>
      </x:c>
      <x:c r="AY6" s="65"/>
      <x:c r="AZ6" s="65" t="s">
        <x:v>888</x:v>
      </x:c>
      <x:c r="BA6" s="65"/>
      <x:c r="BB6" s="177"/>
      <x:c r="BC6" s="71">
        <x:v>2026</x:v>
      </x:c>
      <x:c r="BD6" s="65"/>
      <x:c r="BE6" s="177"/>
      <x:c r="BF6" s="65" t="str">
        <x:v>Dinas Perkim Kota Pangkal Pinang</x:v>
      </x:c>
      <x:c r="BH6" t="s">
        <x:v>122</x:v>
      </x:c>
      <x:c r="BK6" t="s">
        <x:v>980</x:v>
      </x:c>
      <x:c r="BL6" t="s">
        <x:v>981</x:v>
      </x:c>
      <x:c r="BM6" t="s">
        <x:v>968</x:v>
      </x:c>
      <x:c r="BN6" t="s">
        <x:v>981</x:v>
      </x:c>
      <x:c r="BO6" t="s">
        <x:v>982</x:v>
      </x:c>
      <x:c r="BP6" t="s">
        <x:v>983</x:v>
      </x:c>
      <x:c r="BW6" t="s">
        <x:v>984</x:v>
      </x:c>
      <x:c r="BX6" t="s">
        <x:v>888</x:v>
      </x:c>
      <x:c r="BY6" t="s">
        <x:v>985</x:v>
      </x:c>
    </x:row>
    <x:row r="7" ht="26.25" customHeight="1">
      <x:c r="A7" s="65" t="s">
        <x:v>986</x:v>
      </x:c>
      <x:c r="B7" s="65" t="s">
        <x:v>987</x:v>
      </x:c>
      <x:c r="C7" s="65"/>
      <x:c r="D7" s="65"/>
      <x:c r="E7" s="65" t="s">
        <x:v>988</x:v>
      </x:c>
      <x:c r="F7" s="65" t="s">
        <x:v>989</x:v>
      </x:c>
      <x:c r="G7" s="65" t="s">
        <x:v>990</x:v>
      </x:c>
      <x:c r="H7" s="65" t="s">
        <x:v>878</x:v>
      </x:c>
      <x:c r="I7" s="65" t="s">
        <x:v>991</x:v>
      </x:c>
      <x:c r="J7" s="65" t="s">
        <x:v>910</x:v>
      </x:c>
      <x:c r="K7" s="65" t="s">
        <x:v>911</x:v>
      </x:c>
      <x:c r="L7" s="65" t="s">
        <x:v>897</x:v>
      </x:c>
      <x:c r="M7" s="65" t="s">
        <x:v>968</x:v>
      </x:c>
      <x:c r="N7" s="65" t="s">
        <x:v>897</x:v>
      </x:c>
      <x:c r="O7" s="65" t="s">
        <x:v>914</x:v>
      </x:c>
      <x:c r="P7" s="65" t="s">
        <x:v>897</x:v>
      </x:c>
      <x:c r="Q7" s="85" t="s">
        <x:v>884</x:v>
      </x:c>
      <x:c r="R7" s="85" t="s">
        <x:v>901</x:v>
      </x:c>
      <x:c r="S7" s="85" t="s">
        <x:v>901</x:v>
      </x:c>
      <x:c r="T7" s="85" t="s">
        <x:v>901</x:v>
      </x:c>
      <x:c r="U7" s="85" t="s">
        <x:v>885</x:v>
      </x:c>
      <x:c r="V7" s="85" t="s">
        <x:v>916</x:v>
      </x:c>
      <x:c r="W7" s="66"/>
      <x:c r="X7" s="83" t="str">
        <x:f t="shared" si="0"/>
        <x:v>Belum Dinilai</x:v>
      </x:c>
      <x:c r="Y7" s="83" t="str">
        <x:f t="shared" si="1"/>
        <x:v>Belum Dinilai</x:v>
      </x:c>
      <x:c r="Z7" s="84">
        <x:f t="shared" si="2"/>
        <x:v>10</x:v>
      </x:c>
      <x:c r="AA7" s="84" t="str">
        <x:f t="shared" si="3"/>
      </x:c>
      <x:c r="AB7" s="84" t="str">
        <x:f t="shared" si="4"/>
      </x:c>
      <x:c r="AC7" s="67" t="s">
        <x:v>901</x:v>
      </x:c>
      <x:c r="AD7" s="67" t="s">
        <x:v>901</x:v>
      </x:c>
      <x:c r="AE7" s="67" t="s">
        <x:v>901</x:v>
      </x:c>
      <x:c r="AF7" s="67" t="s">
        <x:v>901</x:v>
      </x:c>
      <x:c r="AG7" s="67" t="s">
        <x:v>901</x:v>
      </x:c>
      <x:c r="AH7" s="67" t="s">
        <x:v>885</x:v>
      </x:c>
      <x:c r="AI7" s="67" t="s">
        <x:v>885</x:v>
      </x:c>
      <x:c r="AJ7" s="67" t="s">
        <x:v>901</x:v>
      </x:c>
      <x:c r="AK7" s="67" t="s">
        <x:v>901</x:v>
      </x:c>
      <x:c r="AL7" s="67"/>
      <x:c r="AM7" s="67" t="s">
        <x:v>916</x:v>
      </x:c>
      <x:c r="AN7" s="83" t="str">
        <x:f t="shared" si="5"/>
        <x:v>Instalasi listrik berbahaya; Komponen bangunan lepas atau lapuk; </x:v>
      </x:c>
      <x:c r="AO7" s="83" t="str">
        <x:f t="shared" si="6"/>
        <x:v>Risiko Tinggi/Darurat</x:v>
      </x:c>
      <x:c r="AP7" s="67"/>
      <x:c r="AQ7" s="70">
        <x:f t="shared" si="7"/>
        <x:v>29</x:v>
      </x:c>
      <x:c r="AR7" s="70">
        <x:f t="shared" si="8"/>
        <x:v>10</x:v>
      </x:c>
      <x:c r="AS7" s="70" t="str">
        <x:f t="shared" si="9"/>
      </x:c>
      <x:c r="AT7" s="68" t="str">
        <x:f t="shared" si="10"/>
        <x:v>Belum Dapat Ditentukan</x:v>
      </x:c>
      <x:c r="AU7" s="65" t="s">
        <x:v>887</x:v>
      </x:c>
      <x:c r="AV7" s="65" t="s">
        <x:v>904</x:v>
      </x:c>
      <x:c r="AW7" s="65" t="s">
        <x:v>889</x:v>
      </x:c>
      <x:c r="AX7" s="65" t="s">
        <x:v>890</x:v>
      </x:c>
      <x:c r="AY7" s="65"/>
      <x:c r="AZ7" s="65" t="s">
        <x:v>888</x:v>
      </x:c>
      <x:c r="BA7" s="65"/>
      <x:c r="BB7" s="177"/>
      <x:c r="BC7" s="71">
        <x:v>2026</x:v>
      </x:c>
      <x:c r="BD7" s="65"/>
      <x:c r="BE7" s="177"/>
      <x:c r="BF7" s="65" t="str">
        <x:v>Dinas Perkim Kota Pangkal Pinang</x:v>
      </x:c>
      <x:c r="BH7" t="s">
        <x:v>786</x:v>
      </x:c>
      <x:c r="BK7" t="s">
        <x:v>992</x:v>
      </x:c>
      <x:c r="BL7" t="s">
        <x:v>916</x:v>
      </x:c>
      <x:c r="BM7" t="s">
        <x:v>993</x:v>
      </x:c>
      <x:c r="BN7" t="s">
        <x:v>916</x:v>
      </x:c>
      <x:c r="BO7" t="s">
        <x:v>994</x:v>
      </x:c>
      <x:c r="BP7" t="s">
        <x:v>916</x:v>
      </x:c>
      <x:c r="BW7" t="s">
        <x:v>995</x:v>
      </x:c>
    </x:row>
    <x:row r="8" ht="28">
      <x:c r="A8" s="65" t="s">
        <x:v>996</x:v>
      </x:c>
      <x:c r="B8" s="65" t="s">
        <x:v>997</x:v>
      </x:c>
      <x:c r="C8" s="65"/>
      <x:c r="D8" s="65"/>
      <x:c r="E8" s="65" t="s">
        <x:v>998</x:v>
      </x:c>
      <x:c r="F8" s="65" t="s">
        <x:v>989</x:v>
      </x:c>
      <x:c r="G8" s="65" t="s">
        <x:v>990</x:v>
      </x:c>
      <x:c r="H8" s="65" t="s">
        <x:v>878</x:v>
      </x:c>
      <x:c r="I8" s="65" t="s">
        <x:v>999</x:v>
      </x:c>
      <x:c r="J8" s="65" t="s">
        <x:v>910</x:v>
      </x:c>
      <x:c r="K8" s="65" t="s">
        <x:v>896</x:v>
      </x:c>
      <x:c r="L8" s="65" t="s">
        <x:v>912</x:v>
      </x:c>
      <x:c r="M8" s="65" t="s">
        <x:v>968</x:v>
      </x:c>
      <x:c r="N8" s="65" t="s">
        <x:v>912</x:v>
      </x:c>
      <x:c r="O8" s="65" t="s">
        <x:v>1000</x:v>
      </x:c>
      <x:c r="P8" s="65" t="s">
        <x:v>916</x:v>
      </x:c>
      <x:c r="Q8" s="85" t="s">
        <x:v>916</x:v>
      </x:c>
      <x:c r="R8" s="85" t="s">
        <x:v>916</x:v>
      </x:c>
      <x:c r="S8" s="85" t="s">
        <x:v>916</x:v>
      </x:c>
      <x:c r="T8" s="85" t="s">
        <x:v>916</x:v>
      </x:c>
      <x:c r="U8" s="85" t="s">
        <x:v>916</x:v>
      </x:c>
      <x:c r="V8" s="85" t="s">
        <x:v>916</x:v>
      </x:c>
      <x:c r="W8" s="66"/>
      <x:c r="X8" s="83" t="str">
        <x:f t="shared" si="0"/>
        <x:v>Belum Dinilai</x:v>
      </x:c>
      <x:c r="Y8" s="83" t="str">
        <x:f t="shared" si="1"/>
        <x:v>Belum Dinilai</x:v>
      </x:c>
      <x:c r="Z8" s="84" t="str">
        <x:f t="shared" si="2"/>
      </x:c>
      <x:c r="AA8" s="84" t="str">
        <x:f t="shared" si="3"/>
      </x:c>
      <x:c r="AB8" s="84" t="str">
        <x:f t="shared" si="4"/>
      </x:c>
      <x:c r="AC8" s="67" t="s">
        <x:v>916</x:v>
      </x:c>
      <x:c r="AD8" s="67" t="s">
        <x:v>916</x:v>
      </x:c>
      <x:c r="AE8" s="67" t="s">
        <x:v>916</x:v>
      </x:c>
      <x:c r="AF8" s="67" t="s">
        <x:v>916</x:v>
      </x:c>
      <x:c r="AG8" s="67" t="s">
        <x:v>916</x:v>
      </x:c>
      <x:c r="AH8" s="67" t="s">
        <x:v>916</x:v>
      </x:c>
      <x:c r="AI8" s="67" t="s">
        <x:v>916</x:v>
      </x:c>
      <x:c r="AJ8" s="67" t="s">
        <x:v>916</x:v>
      </x:c>
      <x:c r="AK8" s="67" t="s">
        <x:v>916</x:v>
      </x:c>
      <x:c r="AL8" s="67"/>
      <x:c r="AM8" s="67" t="s">
        <x:v>916</x:v>
      </x:c>
      <x:c r="AN8" s="83" t="str">
        <x:f t="shared" si="5"/>
        <x:v>Belum Dinilai</x:v>
      </x:c>
      <x:c r="AO8" s="83" t="str">
        <x:f t="shared" si="6"/>
        <x:v>Belum Dinilai</x:v>
      </x:c>
      <x:c r="AP8" s="67"/>
      <x:c r="AQ8" s="70" t="str">
        <x:f t="shared" si="7"/>
      </x:c>
      <x:c r="AR8" s="70" t="str">
        <x:f t="shared" si="8"/>
      </x:c>
      <x:c r="AS8" s="70" t="str">
        <x:f t="shared" si="9"/>
      </x:c>
      <x:c r="AT8" s="68" t="str">
        <x:f t="shared" si="10"/>
        <x:v>Belum Dapat Ditentukan</x:v>
      </x:c>
      <x:c r="AU8" s="65" t="s">
        <x:v>887</x:v>
      </x:c>
      <x:c r="AV8" s="65" t="s">
        <x:v>904</x:v>
      </x:c>
      <x:c r="AW8" s="65" t="s">
        <x:v>1001</x:v>
      </x:c>
      <x:c r="AX8" s="65" t="s">
        <x:v>906</x:v>
      </x:c>
      <x:c r="AY8" s="65">
        <x:v>2023</x:v>
      </x:c>
      <x:c r="AZ8" s="65" t="s">
        <x:v>888</x:v>
      </x:c>
      <x:c r="BA8" s="65"/>
      <x:c r="BB8" s="177"/>
      <x:c r="BC8" s="71">
        <x:v>2026</x:v>
      </x:c>
      <x:c r="BD8" s="65"/>
      <x:c r="BE8" s="177"/>
      <x:c r="BF8" s="65" t="str">
        <x:v>Dinas Perkim Kota Pangkal Pinang</x:v>
      </x:c>
      <x:c r="BH8" t="s">
        <x:v>1002</x:v>
      </x:c>
      <x:c r="BK8" t="s">
        <x:v>994</x:v>
      </x:c>
      <x:c r="BM8" t="s">
        <x:v>979</x:v>
      </x:c>
      <x:c r="BO8" t="s">
        <x:v>985</x:v>
      </x:c>
      <x:c r="BW8" t="s">
        <x:v>985</x:v>
      </x:c>
    </x:row>
    <x:row r="9" ht="28">
      <x:c r="A9" s="65" t="s">
        <x:v>1003</x:v>
      </x:c>
      <x:c r="B9" s="65" t="s">
        <x:v>1004</x:v>
      </x:c>
      <x:c r="C9" s="65"/>
      <x:c r="D9" s="65"/>
      <x:c r="E9" s="65" t="s">
        <x:v>1005</x:v>
      </x:c>
      <x:c r="F9" s="65" t="s">
        <x:v>1006</x:v>
      </x:c>
      <x:c r="G9" s="65" t="s">
        <x:v>977</x:v>
      </x:c>
      <x:c r="H9" s="65" t="s">
        <x:v>878</x:v>
      </x:c>
      <x:c r="I9" s="65" t="s">
        <x:v>1007</x:v>
      </x:c>
      <x:c r="J9" s="65" t="s">
        <x:v>895</x:v>
      </x:c>
      <x:c r="K9" s="65" t="s">
        <x:v>896</x:v>
      </x:c>
      <x:c r="L9" s="65" t="s">
        <x:v>897</x:v>
      </x:c>
      <x:c r="M9" s="65" t="s">
        <x:v>968</x:v>
      </x:c>
      <x:c r="N9" s="65" t="s">
        <x:v>897</x:v>
      </x:c>
      <x:c r="O9" s="65" t="s">
        <x:v>1000</x:v>
      </x:c>
      <x:c r="P9" s="65" t="s">
        <x:v>916</x:v>
      </x:c>
      <x:c r="Q9" s="85" t="s">
        <x:v>916</x:v>
      </x:c>
      <x:c r="R9" s="85" t="s">
        <x:v>916</x:v>
      </x:c>
      <x:c r="S9" s="85" t="s">
        <x:v>916</x:v>
      </x:c>
      <x:c r="T9" s="85" t="s">
        <x:v>916</x:v>
      </x:c>
      <x:c r="U9" s="85" t="s">
        <x:v>916</x:v>
      </x:c>
      <x:c r="V9" s="85" t="s">
        <x:v>916</x:v>
      </x:c>
      <x:c r="W9" s="66"/>
      <x:c r="X9" s="83" t="str">
        <x:f t="shared" si="0"/>
        <x:v>Belum Dinilai</x:v>
      </x:c>
      <x:c r="Y9" s="83" t="str">
        <x:f t="shared" si="1"/>
        <x:v>Belum Dinilai</x:v>
      </x:c>
      <x:c r="Z9" s="84" t="str">
        <x:f t="shared" si="2"/>
      </x:c>
      <x:c r="AA9" s="84" t="str">
        <x:f t="shared" si="3"/>
      </x:c>
      <x:c r="AB9" s="84" t="str">
        <x:f t="shared" si="4"/>
      </x:c>
      <x:c r="AC9" s="67" t="s">
        <x:v>916</x:v>
      </x:c>
      <x:c r="AD9" s="67" t="s">
        <x:v>916</x:v>
      </x:c>
      <x:c r="AE9" s="67" t="s">
        <x:v>916</x:v>
      </x:c>
      <x:c r="AF9" s="67" t="s">
        <x:v>916</x:v>
      </x:c>
      <x:c r="AG9" s="67" t="s">
        <x:v>916</x:v>
      </x:c>
      <x:c r="AH9" s="67" t="s">
        <x:v>916</x:v>
      </x:c>
      <x:c r="AI9" s="67" t="s">
        <x:v>916</x:v>
      </x:c>
      <x:c r="AJ9" s="67" t="s">
        <x:v>916</x:v>
      </x:c>
      <x:c r="AK9" s="67" t="s">
        <x:v>916</x:v>
      </x:c>
      <x:c r="AL9" s="67"/>
      <x:c r="AM9" s="67" t="s">
        <x:v>916</x:v>
      </x:c>
      <x:c r="AN9" s="83" t="str">
        <x:f t="shared" si="5"/>
        <x:v>Belum Dinilai</x:v>
      </x:c>
      <x:c r="AO9" s="83" t="str">
        <x:f t="shared" si="6"/>
        <x:v>Belum Dinilai</x:v>
      </x:c>
      <x:c r="AP9" s="67"/>
      <x:c r="AQ9" s="70" t="str">
        <x:f t="shared" si="7"/>
      </x:c>
      <x:c r="AR9" s="70" t="str">
        <x:f t="shared" si="8"/>
      </x:c>
      <x:c r="AS9" s="70" t="str">
        <x:f t="shared" si="9"/>
      </x:c>
      <x:c r="AT9" s="68" t="str">
        <x:f t="shared" si="10"/>
        <x:v>Belum Dapat Ditentukan</x:v>
      </x:c>
      <x:c r="AU9" s="65" t="s">
        <x:v>903</x:v>
      </x:c>
      <x:c r="AV9" s="65" t="s">
        <x:v>904</x:v>
      </x:c>
      <x:c r="AW9" s="65" t="s">
        <x:v>889</x:v>
      </x:c>
      <x:c r="AX9" s="65" t="s">
        <x:v>890</x:v>
      </x:c>
      <x:c r="AY9" s="65"/>
      <x:c r="AZ9" s="65" t="s">
        <x:v>888</x:v>
      </x:c>
      <x:c r="BA9" s="65"/>
      <x:c r="BB9" s="177"/>
      <x:c r="BC9" s="71">
        <x:v>2026</x:v>
      </x:c>
      <x:c r="BD9" s="65"/>
      <x:c r="BE9" s="177"/>
      <x:c r="BF9" s="65" t="str">
        <x:v>Dinas Perkim Kota Pangkal Pinang</x:v>
      </x:c>
      <x:c r="BK9" t="s">
        <x:v>1000</x:v>
      </x:c>
      <x:c r="BM9" t="s">
        <x:v>985</x:v>
      </x:c>
    </x:row>
    <x:row r="10" ht="42">
      <x:c r="A10" s="65" t="s">
        <x:v>1008</x:v>
      </x:c>
      <x:c r="B10" s="65" t="s">
        <x:v>1009</x:v>
      </x:c>
      <x:c r="C10" s="65"/>
      <x:c r="D10" s="65"/>
      <x:c r="E10" s="65" t="s">
        <x:v>1010</x:v>
      </x:c>
      <x:c r="F10" s="65" t="s">
        <x:v>1011</x:v>
      </x:c>
      <x:c r="G10" s="65" t="s">
        <x:v>1012</x:v>
      </x:c>
      <x:c r="H10" s="65" t="s">
        <x:v>894</x:v>
      </x:c>
      <x:c r="I10" s="65" t="s">
        <x:v>1013</x:v>
      </x:c>
      <x:c r="J10" s="65" t="s">
        <x:v>879</x:v>
      </x:c>
      <x:c r="K10" s="65" t="s">
        <x:v>1000</x:v>
      </x:c>
      <x:c r="L10" s="65" t="s">
        <x:v>916</x:v>
      </x:c>
      <x:c r="M10" s="65" t="s">
        <x:v>967</x:v>
      </x:c>
      <x:c r="N10" s="65" t="s">
        <x:v>916</x:v>
      </x:c>
      <x:c r="O10" s="65" t="s">
        <x:v>1000</x:v>
      </x:c>
      <x:c r="P10" s="65" t="s">
        <x:v>916</x:v>
      </x:c>
      <x:c r="Q10" s="85" t="s">
        <x:v>916</x:v>
      </x:c>
      <x:c r="R10" s="85" t="s">
        <x:v>916</x:v>
      </x:c>
      <x:c r="S10" s="85" t="s">
        <x:v>916</x:v>
      </x:c>
      <x:c r="T10" s="85" t="s">
        <x:v>916</x:v>
      </x:c>
      <x:c r="U10" s="85" t="s">
        <x:v>916</x:v>
      </x:c>
      <x:c r="V10" s="85" t="s">
        <x:v>916</x:v>
      </x:c>
      <x:c r="W10" s="66"/>
      <x:c r="X10" s="83" t="str">
        <x:f t="shared" si="0"/>
        <x:v>Belum Dinilai</x:v>
      </x:c>
      <x:c r="Y10" s="83" t="str">
        <x:f t="shared" si="1"/>
        <x:v>Belum Dinilai</x:v>
      </x:c>
      <x:c r="Z10" s="84" t="str">
        <x:f t="shared" si="2"/>
      </x:c>
      <x:c r="AA10" s="84" t="str">
        <x:f t="shared" si="3"/>
      </x:c>
      <x:c r="AB10" s="84" t="str">
        <x:f t="shared" si="4"/>
      </x:c>
      <x:c r="AC10" s="67" t="s">
        <x:v>916</x:v>
      </x:c>
      <x:c r="AD10" s="67" t="s">
        <x:v>916</x:v>
      </x:c>
      <x:c r="AE10" s="67" t="s">
        <x:v>916</x:v>
      </x:c>
      <x:c r="AF10" s="67" t="s">
        <x:v>916</x:v>
      </x:c>
      <x:c r="AG10" s="67" t="s">
        <x:v>916</x:v>
      </x:c>
      <x:c r="AH10" s="67" t="s">
        <x:v>916</x:v>
      </x:c>
      <x:c r="AI10" s="67" t="s">
        <x:v>916</x:v>
      </x:c>
      <x:c r="AJ10" s="67" t="s">
        <x:v>916</x:v>
      </x:c>
      <x:c r="AK10" s="67" t="s">
        <x:v>916</x:v>
      </x:c>
      <x:c r="AL10" s="67"/>
      <x:c r="AM10" s="67" t="s">
        <x:v>916</x:v>
      </x:c>
      <x:c r="AN10" s="83" t="str">
        <x:f t="shared" si="5"/>
        <x:v>Belum Dinilai</x:v>
      </x:c>
      <x:c r="AO10" s="83" t="str">
        <x:f t="shared" si="6"/>
        <x:v>Belum Dinilai</x:v>
      </x:c>
      <x:c r="AP10" s="67"/>
      <x:c r="AQ10" s="70" t="str">
        <x:f t="shared" si="7"/>
      </x:c>
      <x:c r="AR10" s="70" t="str">
        <x:f t="shared" si="8"/>
      </x:c>
      <x:c r="AS10" s="70" t="str">
        <x:f t="shared" si="9"/>
      </x:c>
      <x:c r="AT10" s="68" t="str">
        <x:f t="shared" si="10"/>
        <x:v>Belum Dapat Ditentukan</x:v>
      </x:c>
      <x:c r="AU10" s="65" t="s">
        <x:v>887</x:v>
      </x:c>
      <x:c r="AV10" s="65" t="s">
        <x:v>904</x:v>
      </x:c>
      <x:c r="AW10" s="65" t="s">
        <x:v>889</x:v>
      </x:c>
      <x:c r="AX10" s="65" t="s">
        <x:v>890</x:v>
      </x:c>
      <x:c r="AY10" s="65"/>
      <x:c r="AZ10" s="65" t="s">
        <x:v>888</x:v>
      </x:c>
      <x:c r="BA10" s="65"/>
      <x:c r="BB10" s="177"/>
      <x:c r="BC10" s="71">
        <x:v>2026</x:v>
      </x:c>
      <x:c r="BD10" s="65"/>
      <x:c r="BE10" s="177"/>
      <x:c r="BF10" s="65" t="str">
        <x:v>Dinas Perkim Kota Pangkal Pinang</x:v>
      </x:c>
      <x:c r="BM10" t="s">
        <x:v>1000</x:v>
      </x:c>
    </x:row>
    <x:row r="11" ht="42">
      <x:c r="A11" s="65" t="s">
        <x:v>1014</x:v>
      </x:c>
      <x:c r="B11" s="65" t="s">
        <x:v>1015</x:v>
      </x:c>
      <x:c r="C11" s="65"/>
      <x:c r="D11" s="65"/>
      <x:c r="E11" s="65" t="s">
        <x:v>1016</x:v>
      </x:c>
      <x:c r="F11" s="65" t="s">
        <x:v>1017</x:v>
      </x:c>
      <x:c r="G11" s="65" t="s">
        <x:v>990</x:v>
      </x:c>
      <x:c r="H11" s="65" t="s">
        <x:v>878</x:v>
      </x:c>
      <x:c r="I11" s="65" t="s">
        <x:v>978</x:v>
      </x:c>
      <x:c r="J11" s="65" t="s">
        <x:v>895</x:v>
      </x:c>
      <x:c r="K11" s="65" t="s">
        <x:v>911</x:v>
      </x:c>
      <x:c r="L11" s="65" t="s">
        <x:v>916</x:v>
      </x:c>
      <x:c r="M11" s="65" t="s">
        <x:v>968</x:v>
      </x:c>
      <x:c r="N11" s="65" t="s">
        <x:v>916</x:v>
      </x:c>
      <x:c r="O11" s="65" t="s">
        <x:v>1000</x:v>
      </x:c>
      <x:c r="P11" s="65" t="s">
        <x:v>916</x:v>
      </x:c>
      <x:c r="Q11" s="85" t="s">
        <x:v>916</x:v>
      </x:c>
      <x:c r="R11" s="85" t="s">
        <x:v>916</x:v>
      </x:c>
      <x:c r="S11" s="85" t="s">
        <x:v>916</x:v>
      </x:c>
      <x:c r="T11" s="85" t="s">
        <x:v>916</x:v>
      </x:c>
      <x:c r="U11" s="85" t="s">
        <x:v>916</x:v>
      </x:c>
      <x:c r="V11" s="85" t="s">
        <x:v>916</x:v>
      </x:c>
      <x:c r="W11" s="66"/>
      <x:c r="X11" s="83" t="str">
        <x:f t="shared" si="0"/>
        <x:v>Belum Dinilai</x:v>
      </x:c>
      <x:c r="Y11" s="83" t="str">
        <x:f t="shared" si="1"/>
        <x:v>Belum Dinilai</x:v>
      </x:c>
      <x:c r="Z11" s="84" t="str">
        <x:f t="shared" si="2"/>
      </x:c>
      <x:c r="AA11" s="84" t="str">
        <x:f t="shared" si="3"/>
      </x:c>
      <x:c r="AB11" s="84" t="str">
        <x:f t="shared" si="4"/>
      </x:c>
      <x:c r="AC11" s="67" t="s">
        <x:v>916</x:v>
      </x:c>
      <x:c r="AD11" s="67" t="s">
        <x:v>916</x:v>
      </x:c>
      <x:c r="AE11" s="67" t="s">
        <x:v>916</x:v>
      </x:c>
      <x:c r="AF11" s="67" t="s">
        <x:v>916</x:v>
      </x:c>
      <x:c r="AG11" s="67" t="s">
        <x:v>916</x:v>
      </x:c>
      <x:c r="AH11" s="67" t="s">
        <x:v>916</x:v>
      </x:c>
      <x:c r="AI11" s="67" t="s">
        <x:v>916</x:v>
      </x:c>
      <x:c r="AJ11" s="67" t="s">
        <x:v>916</x:v>
      </x:c>
      <x:c r="AK11" s="67" t="s">
        <x:v>916</x:v>
      </x:c>
      <x:c r="AL11" s="67"/>
      <x:c r="AM11" s="67" t="s">
        <x:v>916</x:v>
      </x:c>
      <x:c r="AN11" s="83" t="str">
        <x:f t="shared" si="5"/>
        <x:v>Belum Dinilai</x:v>
      </x:c>
      <x:c r="AO11" s="83" t="str">
        <x:f t="shared" si="6"/>
        <x:v>Belum Dinilai</x:v>
      </x:c>
      <x:c r="AP11" s="67"/>
      <x:c r="AQ11" s="70" t="str">
        <x:f t="shared" si="7"/>
      </x:c>
      <x:c r="AR11" s="70" t="str">
        <x:f t="shared" si="8"/>
      </x:c>
      <x:c r="AS11" s="70" t="str">
        <x:f t="shared" si="9"/>
      </x:c>
      <x:c r="AT11" s="68" t="str">
        <x:f t="shared" si="10"/>
        <x:v>Belum Dapat Ditentukan</x:v>
      </x:c>
      <x:c r="AU11" s="65" t="s">
        <x:v>887</x:v>
      </x:c>
      <x:c r="AV11" s="65" t="s">
        <x:v>904</x:v>
      </x:c>
      <x:c r="AW11" s="65" t="s">
        <x:v>1001</x:v>
      </x:c>
      <x:c r="AX11" s="65" t="s">
        <x:v>906</x:v>
      </x:c>
      <x:c r="AY11" s="65">
        <x:v>2023</x:v>
      </x:c>
      <x:c r="AZ11" s="65" t="s">
        <x:v>888</x:v>
      </x:c>
      <x:c r="BA11" s="65"/>
      <x:c r="BB11" s="177"/>
      <x:c r="BC11" s="71">
        <x:v>2026</x:v>
      </x:c>
      <x:c r="BD11" s="65"/>
      <x:c r="BE11" s="177"/>
      <x:c r="BF11" s="65" t="str">
        <x:v>Dinas Perkim Kota Pangkal Pinang</x:v>
      </x:c>
    </x:row>
    <x:row r="12" ht="28">
      <x:c r="A12" s="65" t="s">
        <x:v>1018</x:v>
      </x:c>
      <x:c r="B12" s="65" t="s">
        <x:v>1019</x:v>
      </x:c>
      <x:c r="C12" s="65"/>
      <x:c r="D12" s="65"/>
      <x:c r="E12" s="65" t="s">
        <x:v>1020</x:v>
      </x:c>
      <x:c r="F12" s="65" t="s">
        <x:v>1021</x:v>
      </x:c>
      <x:c r="G12" s="65" t="s">
        <x:v>990</x:v>
      </x:c>
      <x:c r="H12" s="65" t="s">
        <x:v>878</x:v>
      </x:c>
      <x:c r="I12" s="65" t="s">
        <x:v>1022</x:v>
      </x:c>
      <x:c r="J12" s="65" t="s">
        <x:v>964</x:v>
      </x:c>
      <x:c r="K12" s="65" t="s">
        <x:v>1000</x:v>
      </x:c>
      <x:c r="L12" s="65" t="s">
        <x:v>916</x:v>
      </x:c>
      <x:c r="M12" s="65" t="s">
        <x:v>1000</x:v>
      </x:c>
      <x:c r="N12" s="65" t="s">
        <x:v>916</x:v>
      </x:c>
      <x:c r="O12" s="65" t="s">
        <x:v>1000</x:v>
      </x:c>
      <x:c r="P12" s="65" t="s">
        <x:v>916</x:v>
      </x:c>
      <x:c r="Q12" s="85" t="s">
        <x:v>916</x:v>
      </x:c>
      <x:c r="R12" s="85" t="s">
        <x:v>916</x:v>
      </x:c>
      <x:c r="S12" s="85" t="s">
        <x:v>916</x:v>
      </x:c>
      <x:c r="T12" s="85" t="s">
        <x:v>916</x:v>
      </x:c>
      <x:c r="U12" s="85" t="s">
        <x:v>916</x:v>
      </x:c>
      <x:c r="V12" s="85" t="s">
        <x:v>916</x:v>
      </x:c>
      <x:c r="W12" s="66"/>
      <x:c r="X12" s="83" t="str">
        <x:f t="shared" si="0"/>
        <x:v>Belum Dinilai</x:v>
      </x:c>
      <x:c r="Y12" s="83" t="str">
        <x:f t="shared" si="1"/>
        <x:v>Belum Dinilai</x:v>
      </x:c>
      <x:c r="Z12" s="84" t="str">
        <x:f t="shared" si="2"/>
      </x:c>
      <x:c r="AA12" s="84" t="str">
        <x:f t="shared" si="3"/>
      </x:c>
      <x:c r="AB12" s="84" t="str">
        <x:f t="shared" si="4"/>
      </x:c>
      <x:c r="AC12" s="67" t="s">
        <x:v>916</x:v>
      </x:c>
      <x:c r="AD12" s="67" t="s">
        <x:v>916</x:v>
      </x:c>
      <x:c r="AE12" s="67" t="s">
        <x:v>916</x:v>
      </x:c>
      <x:c r="AF12" s="67" t="s">
        <x:v>916</x:v>
      </x:c>
      <x:c r="AG12" s="67" t="s">
        <x:v>916</x:v>
      </x:c>
      <x:c r="AH12" s="67" t="s">
        <x:v>916</x:v>
      </x:c>
      <x:c r="AI12" s="67" t="s">
        <x:v>916</x:v>
      </x:c>
      <x:c r="AJ12" s="67" t="s">
        <x:v>916</x:v>
      </x:c>
      <x:c r="AK12" s="67" t="s">
        <x:v>916</x:v>
      </x:c>
      <x:c r="AL12" s="67"/>
      <x:c r="AM12" s="67" t="s">
        <x:v>916</x:v>
      </x:c>
      <x:c r="AN12" s="83" t="str">
        <x:f t="shared" si="5"/>
        <x:v>Belum Dinilai</x:v>
      </x:c>
      <x:c r="AO12" s="83" t="str">
        <x:f t="shared" si="6"/>
        <x:v>Belum Dinilai</x:v>
      </x:c>
      <x:c r="AP12" s="67"/>
      <x:c r="AQ12" s="70" t="str">
        <x:f t="shared" si="7"/>
      </x:c>
      <x:c r="AR12" s="70" t="str">
        <x:f t="shared" si="8"/>
      </x:c>
      <x:c r="AS12" s="70" t="str">
        <x:f t="shared" si="9"/>
      </x:c>
      <x:c r="AT12" s="68" t="str">
        <x:f t="shared" si="10"/>
        <x:v>Belum Dapat Ditentukan</x:v>
      </x:c>
      <x:c r="AU12" s="65" t="s">
        <x:v>887</x:v>
      </x:c>
      <x:c r="AV12" s="65" t="s">
        <x:v>904</x:v>
      </x:c>
      <x:c r="AW12" s="65" t="s">
        <x:v>889</x:v>
      </x:c>
      <x:c r="AX12" s="65" t="s">
        <x:v>890</x:v>
      </x:c>
      <x:c r="AY12" s="65"/>
      <x:c r="AZ12" s="65" t="s">
        <x:v>888</x:v>
      </x:c>
      <x:c r="BA12" s="65"/>
      <x:c r="BB12" s="177"/>
      <x:c r="BC12" s="71">
        <x:v>2026</x:v>
      </x:c>
      <x:c r="BD12" s="65"/>
      <x:c r="BE12" s="177"/>
      <x:c r="BF12" s="65" t="str">
        <x:v>Dinas Perkim Kota Pangkal Pinang</x:v>
      </x:c>
    </x:row>
    <x:row r="13" ht="28">
      <x:c r="A13" s="65" t="s">
        <x:v>1023</x:v>
      </x:c>
      <x:c r="B13" s="65" t="s">
        <x:v>1024</x:v>
      </x:c>
      <x:c r="C13" s="65"/>
      <x:c r="D13" s="65"/>
      <x:c r="E13" s="65" t="s">
        <x:v>1025</x:v>
      </x:c>
      <x:c r="F13" s="65" t="s">
        <x:v>1026</x:v>
      </x:c>
      <x:c r="G13" s="65" t="s">
        <x:v>1027</x:v>
      </x:c>
      <x:c r="H13" s="65" t="s">
        <x:v>878</x:v>
      </x:c>
      <x:c r="I13" s="65" t="s">
        <x:v>1028</x:v>
      </x:c>
      <x:c r="J13" s="65" t="s">
        <x:v>964</x:v>
      </x:c>
      <x:c r="K13" s="65" t="s">
        <x:v>1000</x:v>
      </x:c>
      <x:c r="L13" s="65" t="s">
        <x:v>966</x:v>
      </x:c>
      <x:c r="M13" s="65" t="s">
        <x:v>1000</x:v>
      </x:c>
      <x:c r="N13" s="65" t="s">
        <x:v>966</x:v>
      </x:c>
      <x:c r="O13" s="65" t="s">
        <x:v>1000</x:v>
      </x:c>
      <x:c r="P13" s="65" t="s">
        <x:v>916</x:v>
      </x:c>
      <x:c r="Q13" s="85" t="s">
        <x:v>916</x:v>
      </x:c>
      <x:c r="R13" s="85" t="s">
        <x:v>916</x:v>
      </x:c>
      <x:c r="S13" s="85" t="s">
        <x:v>916</x:v>
      </x:c>
      <x:c r="T13" s="85" t="s">
        <x:v>916</x:v>
      </x:c>
      <x:c r="U13" s="85" t="s">
        <x:v>916</x:v>
      </x:c>
      <x:c r="V13" s="85" t="s">
        <x:v>916</x:v>
      </x:c>
      <x:c r="W13" s="66"/>
      <x:c r="X13" s="83" t="str">
        <x:f t="shared" si="0"/>
        <x:v>Belum Dinilai</x:v>
      </x:c>
      <x:c r="Y13" s="83" t="str">
        <x:f t="shared" si="1"/>
        <x:v>Belum Dinilai</x:v>
      </x:c>
      <x:c r="Z13" s="84" t="str">
        <x:f t="shared" si="2"/>
      </x:c>
      <x:c r="AA13" s="84" t="str">
        <x:f t="shared" si="3"/>
      </x:c>
      <x:c r="AB13" s="84" t="str">
        <x:f t="shared" si="4"/>
      </x:c>
      <x:c r="AC13" s="67" t="s">
        <x:v>916</x:v>
      </x:c>
      <x:c r="AD13" s="67" t="s">
        <x:v>916</x:v>
      </x:c>
      <x:c r="AE13" s="67" t="s">
        <x:v>916</x:v>
      </x:c>
      <x:c r="AF13" s="67" t="s">
        <x:v>916</x:v>
      </x:c>
      <x:c r="AG13" s="67" t="s">
        <x:v>916</x:v>
      </x:c>
      <x:c r="AH13" s="67" t="s">
        <x:v>916</x:v>
      </x:c>
      <x:c r="AI13" s="67" t="s">
        <x:v>916</x:v>
      </x:c>
      <x:c r="AJ13" s="67" t="s">
        <x:v>916</x:v>
      </x:c>
      <x:c r="AK13" s="67" t="s">
        <x:v>916</x:v>
      </x:c>
      <x:c r="AL13" s="67"/>
      <x:c r="AM13" s="67" t="s">
        <x:v>916</x:v>
      </x:c>
      <x:c r="AN13" s="83" t="str">
        <x:f t="shared" si="5"/>
        <x:v>Belum Dinilai</x:v>
      </x:c>
      <x:c r="AO13" s="83" t="str">
        <x:f t="shared" si="6"/>
        <x:v>Belum Dinilai</x:v>
      </x:c>
      <x:c r="AP13" s="67"/>
      <x:c r="AQ13" s="70" t="str">
        <x:f t="shared" si="7"/>
      </x:c>
      <x:c r="AR13" s="70" t="str">
        <x:f t="shared" si="8"/>
      </x:c>
      <x:c r="AS13" s="70" t="str">
        <x:f t="shared" si="9"/>
      </x:c>
      <x:c r="AT13" s="68" t="str">
        <x:f t="shared" si="10"/>
        <x:v>Belum Dapat Ditentukan</x:v>
      </x:c>
      <x:c r="AU13" s="65" t="s">
        <x:v>887</x:v>
      </x:c>
      <x:c r="AV13" s="65" t="s">
        <x:v>904</x:v>
      </x:c>
      <x:c r="AW13" s="65" t="s">
        <x:v>889</x:v>
      </x:c>
      <x:c r="AX13" s="65" t="s">
        <x:v>890</x:v>
      </x:c>
      <x:c r="AY13" s="65"/>
      <x:c r="AZ13" s="65" t="s">
        <x:v>888</x:v>
      </x:c>
      <x:c r="BA13" s="65"/>
      <x:c r="BB13" s="177"/>
      <x:c r="BC13" s="71">
        <x:v>2026</x:v>
      </x:c>
      <x:c r="BD13" s="65"/>
      <x:c r="BE13" s="177"/>
      <x:c r="BF13" s="65" t="str">
        <x:v>Dinas Perkim Kota Pangkal Pinang</x:v>
      </x:c>
    </x:row>
    <x:row r="14" ht="28">
      <x:c r="A14" s="65" t="s">
        <x:v>1029</x:v>
      </x:c>
      <x:c r="B14" s="65" t="s">
        <x:v>1030</x:v>
      </x:c>
      <x:c r="C14" s="65"/>
      <x:c r="D14" s="65"/>
      <x:c r="E14" s="65" t="s">
        <x:v>1031</x:v>
      </x:c>
      <x:c r="F14" s="65" t="s">
        <x:v>1032</x:v>
      </x:c>
      <x:c r="G14" s="65" t="s">
        <x:v>1033</x:v>
      </x:c>
      <x:c r="H14" s="65" t="s">
        <x:v>878</x:v>
      </x:c>
      <x:c r="I14" s="65" t="s">
        <x:v>1034</x:v>
      </x:c>
      <x:c r="J14" s="65" t="s">
        <x:v>964</x:v>
      </x:c>
      <x:c r="K14" s="65" t="s">
        <x:v>1000</x:v>
      </x:c>
      <x:c r="L14" s="65" t="s">
        <x:v>916</x:v>
      </x:c>
      <x:c r="M14" s="65" t="s">
        <x:v>1000</x:v>
      </x:c>
      <x:c r="N14" s="65" t="s">
        <x:v>916</x:v>
      </x:c>
      <x:c r="O14" s="65" t="s">
        <x:v>1000</x:v>
      </x:c>
      <x:c r="P14" s="65" t="s">
        <x:v>916</x:v>
      </x:c>
      <x:c r="Q14" s="85" t="s">
        <x:v>916</x:v>
      </x:c>
      <x:c r="R14" s="85" t="s">
        <x:v>916</x:v>
      </x:c>
      <x:c r="S14" s="85" t="s">
        <x:v>916</x:v>
      </x:c>
      <x:c r="T14" s="85" t="s">
        <x:v>916</x:v>
      </x:c>
      <x:c r="U14" s="85" t="s">
        <x:v>916</x:v>
      </x:c>
      <x:c r="V14" s="85" t="s">
        <x:v>916</x:v>
      </x:c>
      <x:c r="W14" s="66"/>
      <x:c r="X14" s="83" t="str">
        <x:f t="shared" si="0"/>
        <x:v>Belum Dinilai</x:v>
      </x:c>
      <x:c r="Y14" s="83" t="str">
        <x:f t="shared" si="1"/>
        <x:v>Belum Dinilai</x:v>
      </x:c>
      <x:c r="Z14" s="84" t="str">
        <x:f t="shared" si="2"/>
      </x:c>
      <x:c r="AA14" s="84" t="str">
        <x:f t="shared" si="3"/>
      </x:c>
      <x:c r="AB14" s="84" t="str">
        <x:f t="shared" si="4"/>
      </x:c>
      <x:c r="AC14" s="67" t="s">
        <x:v>916</x:v>
      </x:c>
      <x:c r="AD14" s="67" t="s">
        <x:v>916</x:v>
      </x:c>
      <x:c r="AE14" s="67" t="s">
        <x:v>916</x:v>
      </x:c>
      <x:c r="AF14" s="67" t="s">
        <x:v>916</x:v>
      </x:c>
      <x:c r="AG14" s="67" t="s">
        <x:v>916</x:v>
      </x:c>
      <x:c r="AH14" s="67" t="s">
        <x:v>916</x:v>
      </x:c>
      <x:c r="AI14" s="67" t="s">
        <x:v>916</x:v>
      </x:c>
      <x:c r="AJ14" s="67" t="s">
        <x:v>916</x:v>
      </x:c>
      <x:c r="AK14" s="67" t="s">
        <x:v>916</x:v>
      </x:c>
      <x:c r="AL14" s="67"/>
      <x:c r="AM14" s="67" t="s">
        <x:v>916</x:v>
      </x:c>
      <x:c r="AN14" s="83" t="str">
        <x:f t="shared" si="5"/>
        <x:v>Belum Dinilai</x:v>
      </x:c>
      <x:c r="AO14" s="83" t="str">
        <x:f t="shared" si="6"/>
        <x:v>Belum Dinilai</x:v>
      </x:c>
      <x:c r="AP14" s="67"/>
      <x:c r="AQ14" s="70" t="str">
        <x:f t="shared" si="7"/>
      </x:c>
      <x:c r="AR14" s="70" t="str">
        <x:f t="shared" si="8"/>
      </x:c>
      <x:c r="AS14" s="70" t="str">
        <x:f t="shared" si="9"/>
      </x:c>
      <x:c r="AT14" s="68" t="str">
        <x:f t="shared" si="10"/>
        <x:v>Belum Dapat Ditentukan</x:v>
      </x:c>
      <x:c r="AU14" s="65" t="s">
        <x:v>887</x:v>
      </x:c>
      <x:c r="AV14" s="65" t="s">
        <x:v>904</x:v>
      </x:c>
      <x:c r="AW14" s="65" t="s">
        <x:v>889</x:v>
      </x:c>
      <x:c r="AX14" s="65" t="s">
        <x:v>890</x:v>
      </x:c>
      <x:c r="AY14" s="65"/>
      <x:c r="AZ14" s="65" t="s">
        <x:v>888</x:v>
      </x:c>
      <x:c r="BA14" s="65"/>
      <x:c r="BB14" s="177"/>
      <x:c r="BC14" s="71">
        <x:v>2026</x:v>
      </x:c>
      <x:c r="BD14" s="65"/>
      <x:c r="BE14" s="177"/>
      <x:c r="BF14" s="65" t="str">
        <x:v>Dinas Perkim Kota Pangkal Pinang</x:v>
      </x:c>
    </x:row>
    <x:row r="15" ht="28">
      <x:c r="A15" s="65" t="s">
        <x:v>1035</x:v>
      </x:c>
      <x:c r="B15" s="65" t="s">
        <x:v>1036</x:v>
      </x:c>
      <x:c r="C15" s="65"/>
      <x:c r="D15" s="65"/>
      <x:c r="E15" s="65" t="s">
        <x:v>1037</x:v>
      </x:c>
      <x:c r="F15" s="65" t="s">
        <x:v>1038</x:v>
      </x:c>
      <x:c r="G15" s="65" t="s">
        <x:v>1033</x:v>
      </x:c>
      <x:c r="H15" s="65" t="s">
        <x:v>878</x:v>
      </x:c>
      <x:c r="I15" s="65" t="s">
        <x:v>1039</x:v>
      </x:c>
      <x:c r="J15" s="65" t="s">
        <x:v>964</x:v>
      </x:c>
      <x:c r="K15" s="65" t="s">
        <x:v>1000</x:v>
      </x:c>
      <x:c r="L15" s="65" t="s">
        <x:v>966</x:v>
      </x:c>
      <x:c r="M15" s="65" t="s">
        <x:v>1000</x:v>
      </x:c>
      <x:c r="N15" s="65" t="s">
        <x:v>916</x:v>
      </x:c>
      <x:c r="O15" s="65" t="s">
        <x:v>1000</x:v>
      </x:c>
      <x:c r="P15" s="65" t="s">
        <x:v>916</x:v>
      </x:c>
      <x:c r="Q15" s="85" t="s">
        <x:v>916</x:v>
      </x:c>
      <x:c r="R15" s="85" t="s">
        <x:v>916</x:v>
      </x:c>
      <x:c r="S15" s="85" t="s">
        <x:v>916</x:v>
      </x:c>
      <x:c r="T15" s="85" t="s">
        <x:v>916</x:v>
      </x:c>
      <x:c r="U15" s="85" t="s">
        <x:v>916</x:v>
      </x:c>
      <x:c r="V15" s="85" t="s">
        <x:v>916</x:v>
      </x:c>
      <x:c r="W15" s="66"/>
      <x:c r="X15" s="83" t="str">
        <x:f t="shared" si="0"/>
        <x:v>Belum Dinilai</x:v>
      </x:c>
      <x:c r="Y15" s="83" t="str">
        <x:f t="shared" si="1"/>
        <x:v>Belum Dinilai</x:v>
      </x:c>
      <x:c r="Z15" s="84" t="str">
        <x:f t="shared" si="2"/>
      </x:c>
      <x:c r="AA15" s="84" t="str">
        <x:f t="shared" si="3"/>
      </x:c>
      <x:c r="AB15" s="84" t="str">
        <x:f t="shared" si="4"/>
      </x:c>
      <x:c r="AC15" s="67" t="s">
        <x:v>916</x:v>
      </x:c>
      <x:c r="AD15" s="67" t="s">
        <x:v>916</x:v>
      </x:c>
      <x:c r="AE15" s="67" t="s">
        <x:v>916</x:v>
      </x:c>
      <x:c r="AF15" s="67" t="s">
        <x:v>916</x:v>
      </x:c>
      <x:c r="AG15" s="67" t="s">
        <x:v>916</x:v>
      </x:c>
      <x:c r="AH15" s="67" t="s">
        <x:v>916</x:v>
      </x:c>
      <x:c r="AI15" s="67" t="s">
        <x:v>916</x:v>
      </x:c>
      <x:c r="AJ15" s="67" t="s">
        <x:v>916</x:v>
      </x:c>
      <x:c r="AK15" s="67" t="s">
        <x:v>916</x:v>
      </x:c>
      <x:c r="AL15" s="67"/>
      <x:c r="AM15" s="67" t="s">
        <x:v>916</x:v>
      </x:c>
      <x:c r="AN15" s="83" t="str">
        <x:f t="shared" si="5"/>
        <x:v>Belum Dinilai</x:v>
      </x:c>
      <x:c r="AO15" s="83" t="str">
        <x:f t="shared" si="6"/>
        <x:v>Belum Dinilai</x:v>
      </x:c>
      <x:c r="AP15" s="67"/>
      <x:c r="AQ15" s="70" t="str">
        <x:f t="shared" si="7"/>
      </x:c>
      <x:c r="AR15" s="70" t="str">
        <x:f t="shared" si="8"/>
      </x:c>
      <x:c r="AS15" s="70" t="str">
        <x:f t="shared" si="9"/>
      </x:c>
      <x:c r="AT15" s="68" t="str">
        <x:f t="shared" si="10"/>
        <x:v>Belum Dapat Ditentukan</x:v>
      </x:c>
      <x:c r="AU15" s="65" t="s">
        <x:v>887</x:v>
      </x:c>
      <x:c r="AV15" s="65" t="s">
        <x:v>904</x:v>
      </x:c>
      <x:c r="AW15" s="65" t="s">
        <x:v>889</x:v>
      </x:c>
      <x:c r="AX15" s="65" t="s">
        <x:v>890</x:v>
      </x:c>
      <x:c r="AY15" s="65"/>
      <x:c r="AZ15" s="65" t="s">
        <x:v>888</x:v>
      </x:c>
      <x:c r="BA15" s="65"/>
      <x:c r="BB15" s="177"/>
      <x:c r="BC15" s="71">
        <x:v>2026</x:v>
      </x:c>
      <x:c r="BD15" s="65"/>
      <x:c r="BE15" s="177"/>
      <x:c r="BF15" s="65" t="str">
        <x:v>Dinas Perkim Kota Pangkal Pinang</x:v>
      </x:c>
    </x:row>
    <x:row r="16" ht="28">
      <x:c r="A16" s="65" t="s">
        <x:v>1040</x:v>
      </x:c>
      <x:c r="B16" s="65" t="s">
        <x:v>1041</x:v>
      </x:c>
      <x:c r="C16" s="65"/>
      <x:c r="D16" s="65"/>
      <x:c r="E16" s="65" t="s">
        <x:v>1042</x:v>
      </x:c>
      <x:c r="F16" s="65" t="s">
        <x:v>1043</x:v>
      </x:c>
      <x:c r="G16" s="65" t="s">
        <x:v>1033</x:v>
      </x:c>
      <x:c r="H16" s="65" t="s">
        <x:v>878</x:v>
      </x:c>
      <x:c r="I16" s="65" t="s">
        <x:v>1044</x:v>
      </x:c>
      <x:c r="J16" s="65" t="s">
        <x:v>964</x:v>
      </x:c>
      <x:c r="K16" s="65" t="s">
        <x:v>1000</x:v>
      </x:c>
      <x:c r="L16" s="65" t="s">
        <x:v>916</x:v>
      </x:c>
      <x:c r="M16" s="65" t="s">
        <x:v>1000</x:v>
      </x:c>
      <x:c r="N16" s="65" t="s">
        <x:v>916</x:v>
      </x:c>
      <x:c r="O16" s="65" t="s">
        <x:v>1000</x:v>
      </x:c>
      <x:c r="P16" s="65" t="s">
        <x:v>916</x:v>
      </x:c>
      <x:c r="Q16" s="85" t="s">
        <x:v>916</x:v>
      </x:c>
      <x:c r="R16" s="85" t="s">
        <x:v>916</x:v>
      </x:c>
      <x:c r="S16" s="85" t="s">
        <x:v>916</x:v>
      </x:c>
      <x:c r="T16" s="85" t="s">
        <x:v>916</x:v>
      </x:c>
      <x:c r="U16" s="85" t="s">
        <x:v>916</x:v>
      </x:c>
      <x:c r="V16" s="85" t="s">
        <x:v>916</x:v>
      </x:c>
      <x:c r="W16" s="66"/>
      <x:c r="X16" s="83" t="str">
        <x:f t="shared" si="0"/>
        <x:v>Belum Dinilai</x:v>
      </x:c>
      <x:c r="Y16" s="83" t="str">
        <x:f t="shared" si="1"/>
        <x:v>Belum Dinilai</x:v>
      </x:c>
      <x:c r="Z16" s="84" t="str">
        <x:f t="shared" si="2"/>
      </x:c>
      <x:c r="AA16" s="84" t="str">
        <x:f t="shared" si="3"/>
      </x:c>
      <x:c r="AB16" s="84" t="str">
        <x:f t="shared" si="4"/>
      </x:c>
      <x:c r="AC16" s="67" t="s">
        <x:v>916</x:v>
      </x:c>
      <x:c r="AD16" s="67" t="s">
        <x:v>916</x:v>
      </x:c>
      <x:c r="AE16" s="67" t="s">
        <x:v>916</x:v>
      </x:c>
      <x:c r="AF16" s="67" t="s">
        <x:v>916</x:v>
      </x:c>
      <x:c r="AG16" s="67" t="s">
        <x:v>916</x:v>
      </x:c>
      <x:c r="AH16" s="67" t="s">
        <x:v>916</x:v>
      </x:c>
      <x:c r="AI16" s="67" t="s">
        <x:v>916</x:v>
      </x:c>
      <x:c r="AJ16" s="67" t="s">
        <x:v>916</x:v>
      </x:c>
      <x:c r="AK16" s="67" t="s">
        <x:v>916</x:v>
      </x:c>
      <x:c r="AL16" s="67"/>
      <x:c r="AM16" s="67" t="s">
        <x:v>916</x:v>
      </x:c>
      <x:c r="AN16" s="83" t="str">
        <x:f t="shared" si="5"/>
        <x:v>Belum Dinilai</x:v>
      </x:c>
      <x:c r="AO16" s="83" t="str">
        <x:f t="shared" si="6"/>
        <x:v>Belum Dinilai</x:v>
      </x:c>
      <x:c r="AP16" s="67"/>
      <x:c r="AQ16" s="70" t="str">
        <x:f t="shared" si="7"/>
      </x:c>
      <x:c r="AR16" s="70" t="str">
        <x:f t="shared" si="8"/>
      </x:c>
      <x:c r="AS16" s="70" t="str">
        <x:f t="shared" si="9"/>
      </x:c>
      <x:c r="AT16" s="68" t="str">
        <x:f t="shared" si="10"/>
        <x:v>Belum Dapat Ditentukan</x:v>
      </x:c>
      <x:c r="AU16" s="65" t="s">
        <x:v>887</x:v>
      </x:c>
      <x:c r="AV16" s="65" t="s">
        <x:v>904</x:v>
      </x:c>
      <x:c r="AW16" s="65" t="s">
        <x:v>889</x:v>
      </x:c>
      <x:c r="AX16" s="65" t="s">
        <x:v>890</x:v>
      </x:c>
      <x:c r="AY16" s="65"/>
      <x:c r="AZ16" s="65" t="s">
        <x:v>888</x:v>
      </x:c>
      <x:c r="BA16" s="65"/>
      <x:c r="BB16" s="177"/>
      <x:c r="BC16" s="71">
        <x:v>2026</x:v>
      </x:c>
      <x:c r="BD16" s="65"/>
      <x:c r="BE16" s="177"/>
      <x:c r="BF16" s="65" t="str">
        <x:v>Dinas Perkim Kota Pangkal Pinang</x:v>
      </x:c>
    </x:row>
    <x:row r="17" ht="28">
      <x:c r="A17" s="65" t="s">
        <x:v>1045</x:v>
      </x:c>
      <x:c r="B17" s="65" t="s">
        <x:v>1046</x:v>
      </x:c>
      <x:c r="C17" s="65"/>
      <x:c r="D17" s="65"/>
      <x:c r="E17" s="65" t="s">
        <x:v>1047</x:v>
      </x:c>
      <x:c r="F17" s="65" t="s">
        <x:v>1002</x:v>
      </x:c>
      <x:c r="G17" s="65" t="s">
        <x:v>1027</x:v>
      </x:c>
      <x:c r="H17" s="65" t="s">
        <x:v>878</x:v>
      </x:c>
      <x:c r="I17" s="65" t="s">
        <x:v>1048</x:v>
      </x:c>
      <x:c r="J17" s="65" t="s">
        <x:v>964</x:v>
      </x:c>
      <x:c r="K17" s="65" t="s">
        <x:v>1000</x:v>
      </x:c>
      <x:c r="L17" s="65" t="s">
        <x:v>966</x:v>
      </x:c>
      <x:c r="M17" s="65" t="s">
        <x:v>1000</x:v>
      </x:c>
      <x:c r="N17" s="65" t="s">
        <x:v>966</x:v>
      </x:c>
      <x:c r="O17" s="65" t="s">
        <x:v>1000</x:v>
      </x:c>
      <x:c r="P17" s="65" t="s">
        <x:v>916</x:v>
      </x:c>
      <x:c r="Q17" s="85" t="s">
        <x:v>916</x:v>
      </x:c>
      <x:c r="R17" s="85" t="s">
        <x:v>916</x:v>
      </x:c>
      <x:c r="S17" s="85" t="s">
        <x:v>916</x:v>
      </x:c>
      <x:c r="T17" s="85" t="s">
        <x:v>916</x:v>
      </x:c>
      <x:c r="U17" s="85" t="s">
        <x:v>916</x:v>
      </x:c>
      <x:c r="V17" s="85" t="s">
        <x:v>916</x:v>
      </x:c>
      <x:c r="W17" s="66"/>
      <x:c r="X17" s="83" t="str">
        <x:f t="shared" si="0"/>
        <x:v>Belum Dinilai</x:v>
      </x:c>
      <x:c r="Y17" s="83" t="str">
        <x:f t="shared" si="1"/>
        <x:v>Belum Dinilai</x:v>
      </x:c>
      <x:c r="Z17" s="84" t="str">
        <x:f t="shared" si="2"/>
      </x:c>
      <x:c r="AA17" s="84" t="str">
        <x:f t="shared" si="3"/>
      </x:c>
      <x:c r="AB17" s="84" t="str">
        <x:f t="shared" si="4"/>
      </x:c>
      <x:c r="AC17" s="67" t="s">
        <x:v>916</x:v>
      </x:c>
      <x:c r="AD17" s="67" t="s">
        <x:v>916</x:v>
      </x:c>
      <x:c r="AE17" s="67" t="s">
        <x:v>916</x:v>
      </x:c>
      <x:c r="AF17" s="67" t="s">
        <x:v>916</x:v>
      </x:c>
      <x:c r="AG17" s="67" t="s">
        <x:v>916</x:v>
      </x:c>
      <x:c r="AH17" s="67" t="s">
        <x:v>916</x:v>
      </x:c>
      <x:c r="AI17" s="67" t="s">
        <x:v>916</x:v>
      </x:c>
      <x:c r="AJ17" s="67" t="s">
        <x:v>916</x:v>
      </x:c>
      <x:c r="AK17" s="67" t="s">
        <x:v>916</x:v>
      </x:c>
      <x:c r="AL17" s="67"/>
      <x:c r="AM17" s="67" t="s">
        <x:v>916</x:v>
      </x:c>
      <x:c r="AN17" s="83" t="str">
        <x:f t="shared" si="5"/>
        <x:v>Belum Dinilai</x:v>
      </x:c>
      <x:c r="AO17" s="83" t="str">
        <x:f t="shared" si="6"/>
        <x:v>Belum Dinilai</x:v>
      </x:c>
      <x:c r="AP17" s="67"/>
      <x:c r="AQ17" s="70" t="str">
        <x:f t="shared" si="7"/>
      </x:c>
      <x:c r="AR17" s="70" t="str">
        <x:f t="shared" si="8"/>
      </x:c>
      <x:c r="AS17" s="70" t="str">
        <x:f t="shared" si="9"/>
      </x:c>
      <x:c r="AT17" s="68" t="str">
        <x:f t="shared" si="10"/>
        <x:v>Belum Dapat Ditentukan</x:v>
      </x:c>
      <x:c r="AU17" s="65" t="s">
        <x:v>903</x:v>
      </x:c>
      <x:c r="AV17" s="65" t="s">
        <x:v>904</x:v>
      </x:c>
      <x:c r="AW17" s="65" t="s">
        <x:v>889</x:v>
      </x:c>
      <x:c r="AX17" s="65" t="s">
        <x:v>890</x:v>
      </x:c>
      <x:c r="AY17" s="65"/>
      <x:c r="AZ17" s="65" t="s">
        <x:v>888</x:v>
      </x:c>
      <x:c r="BA17" s="65"/>
      <x:c r="BB17" s="177"/>
      <x:c r="BC17" s="71">
        <x:v>2026</x:v>
      </x:c>
      <x:c r="BD17" s="65"/>
      <x:c r="BE17" s="177"/>
      <x:c r="BF17" s="65" t="str">
        <x:v>Dinas Perkim Kota Pangkal Pinang</x:v>
      </x:c>
    </x:row>
    <x:row r="18" ht="28">
      <x:c r="A18" s="65" t="s">
        <x:v>1049</x:v>
      </x:c>
      <x:c r="B18" s="65" t="s">
        <x:v>1050</x:v>
      </x:c>
      <x:c r="C18" s="65"/>
      <x:c r="D18" s="65"/>
      <x:c r="E18" s="65" t="s">
        <x:v>1051</x:v>
      </x:c>
      <x:c r="F18" s="65" t="s">
        <x:v>1052</x:v>
      </x:c>
      <x:c r="G18" s="65" t="s">
        <x:v>1053</x:v>
      </x:c>
      <x:c r="H18" s="65" t="s">
        <x:v>894</x:v>
      </x:c>
      <x:c r="I18" s="65" t="s">
        <x:v>1054</x:v>
      </x:c>
      <x:c r="J18" s="65" t="s">
        <x:v>964</x:v>
      </x:c>
      <x:c r="K18" s="65" t="s">
        <x:v>1000</x:v>
      </x:c>
      <x:c r="L18" s="65" t="s">
        <x:v>966</x:v>
      </x:c>
      <x:c r="M18" s="65" t="s">
        <x:v>1000</x:v>
      </x:c>
      <x:c r="N18" s="65" t="s">
        <x:v>916</x:v>
      </x:c>
      <x:c r="O18" s="65" t="s">
        <x:v>1000</x:v>
      </x:c>
      <x:c r="P18" s="65" t="s">
        <x:v>916</x:v>
      </x:c>
      <x:c r="Q18" s="85" t="s">
        <x:v>916</x:v>
      </x:c>
      <x:c r="R18" s="85" t="s">
        <x:v>916</x:v>
      </x:c>
      <x:c r="S18" s="85" t="s">
        <x:v>916</x:v>
      </x:c>
      <x:c r="T18" s="85" t="s">
        <x:v>916</x:v>
      </x:c>
      <x:c r="U18" s="85" t="s">
        <x:v>916</x:v>
      </x:c>
      <x:c r="V18" s="85" t="s">
        <x:v>916</x:v>
      </x:c>
      <x:c r="W18" s="66"/>
      <x:c r="X18" s="83" t="str">
        <x:f t="shared" si="0"/>
        <x:v>Belum Dinilai</x:v>
      </x:c>
      <x:c r="Y18" s="83" t="str">
        <x:f t="shared" si="1"/>
        <x:v>Belum Dinilai</x:v>
      </x:c>
      <x:c r="Z18" s="84" t="str">
        <x:f t="shared" si="2"/>
      </x:c>
      <x:c r="AA18" s="84" t="str">
        <x:f t="shared" si="3"/>
      </x:c>
      <x:c r="AB18" s="84" t="str">
        <x:f t="shared" si="4"/>
      </x:c>
      <x:c r="AC18" s="67" t="s">
        <x:v>916</x:v>
      </x:c>
      <x:c r="AD18" s="67" t="s">
        <x:v>916</x:v>
      </x:c>
      <x:c r="AE18" s="67" t="s">
        <x:v>916</x:v>
      </x:c>
      <x:c r="AF18" s="67" t="s">
        <x:v>916</x:v>
      </x:c>
      <x:c r="AG18" s="67" t="s">
        <x:v>916</x:v>
      </x:c>
      <x:c r="AH18" s="67" t="s">
        <x:v>916</x:v>
      </x:c>
      <x:c r="AI18" s="67" t="s">
        <x:v>916</x:v>
      </x:c>
      <x:c r="AJ18" s="67" t="s">
        <x:v>916</x:v>
      </x:c>
      <x:c r="AK18" s="67" t="s">
        <x:v>916</x:v>
      </x:c>
      <x:c r="AL18" s="67"/>
      <x:c r="AM18" s="67" t="s">
        <x:v>916</x:v>
      </x:c>
      <x:c r="AN18" s="83" t="str">
        <x:f t="shared" si="5"/>
        <x:v>Belum Dinilai</x:v>
      </x:c>
      <x:c r="AO18" s="83" t="str">
        <x:f t="shared" si="6"/>
        <x:v>Belum Dinilai</x:v>
      </x:c>
      <x:c r="AP18" s="67"/>
      <x:c r="AQ18" s="70" t="str">
        <x:f t="shared" si="7"/>
      </x:c>
      <x:c r="AR18" s="70" t="str">
        <x:f t="shared" si="8"/>
      </x:c>
      <x:c r="AS18" s="70" t="str">
        <x:f t="shared" si="9"/>
      </x:c>
      <x:c r="AT18" s="68" t="str">
        <x:f t="shared" si="10"/>
        <x:v>Belum Dapat Ditentukan</x:v>
      </x:c>
      <x:c r="AU18" s="65" t="s">
        <x:v>887</x:v>
      </x:c>
      <x:c r="AV18" s="65" t="s">
        <x:v>904</x:v>
      </x:c>
      <x:c r="AW18" s="65" t="s">
        <x:v>889</x:v>
      </x:c>
      <x:c r="AX18" s="65" t="s">
        <x:v>890</x:v>
      </x:c>
      <x:c r="AY18" s="65"/>
      <x:c r="AZ18" s="65" t="s">
        <x:v>888</x:v>
      </x:c>
      <x:c r="BA18" s="65"/>
      <x:c r="BB18" s="177"/>
      <x:c r="BC18" s="71">
        <x:v>2026</x:v>
      </x:c>
      <x:c r="BD18" s="65"/>
      <x:c r="BE18" s="177"/>
      <x:c r="BF18" s="65" t="str">
        <x:v>Dinas Perkim Kota Pangkal Pinang</x:v>
      </x:c>
    </x:row>
    <x:row r="19" ht="28">
      <x:c r="A19" s="65" t="s">
        <x:v>1055</x:v>
      </x:c>
      <x:c r="B19" s="65" t="s">
        <x:v>1056</x:v>
      </x:c>
      <x:c r="C19" s="65"/>
      <x:c r="D19" s="65"/>
      <x:c r="E19" s="65" t="s">
        <x:v>1057</x:v>
      </x:c>
      <x:c r="F19" s="65" t="s">
        <x:v>1058</x:v>
      </x:c>
      <x:c r="G19" s="65" t="s">
        <x:v>990</x:v>
      </x:c>
      <x:c r="H19" s="65" t="s">
        <x:v>878</x:v>
      </x:c>
      <x:c r="I19" s="65" t="s">
        <x:v>991</x:v>
      </x:c>
      <x:c r="J19" s="65" t="s">
        <x:v>910</x:v>
      </x:c>
      <x:c r="K19" s="65" t="s">
        <x:v>911</x:v>
      </x:c>
      <x:c r="L19" s="65" t="s">
        <x:v>897</x:v>
      </x:c>
      <x:c r="M19" s="65" t="s">
        <x:v>968</x:v>
      </x:c>
      <x:c r="N19" s="65" t="s">
        <x:v>897</x:v>
      </x:c>
      <x:c r="O19" s="65" t="s">
        <x:v>914</x:v>
      </x:c>
      <x:c r="P19" s="65" t="s">
        <x:v>897</x:v>
      </x:c>
      <x:c r="Q19" s="85" t="s">
        <x:v>884</x:v>
      </x:c>
      <x:c r="R19" s="85" t="s">
        <x:v>885</x:v>
      </x:c>
      <x:c r="S19" s="85" t="s">
        <x:v>901</x:v>
      </x:c>
      <x:c r="T19" s="85" t="s">
        <x:v>885</x:v>
      </x:c>
      <x:c r="U19" s="85" t="s">
        <x:v>901</x:v>
      </x:c>
      <x:c r="V19" s="85" t="s">
        <x:v>901</x:v>
      </x:c>
      <x:c r="W19" s="66"/>
      <x:c r="X19" s="83" t="str">
        <x:f t="shared" si="0"/>
        <x:v>Lansia; Kepala keluarga perempuan; </x:v>
      </x:c>
      <x:c r="Y19" s="83" t="str">
        <x:f t="shared" si="1"/>
        <x:v>2 atau Lebih Faktor Rentan</x:v>
      </x:c>
      <x:c r="Z19" s="84">
        <x:f t="shared" si="2"/>
        <x:v>10</x:v>
      </x:c>
      <x:c r="AA19" s="84">
        <x:f t="shared" si="3"/>
        <x:v>10</x:v>
      </x:c>
      <x:c r="AB19" s="84">
        <x:f t="shared" si="4"/>
        <x:v>20</x:v>
      </x:c>
      <x:c r="AC19" s="67" t="s">
        <x:v>901</x:v>
      </x:c>
      <x:c r="AD19" s="67" t="s">
        <x:v>901</x:v>
      </x:c>
      <x:c r="AE19" s="67" t="s">
        <x:v>901</x:v>
      </x:c>
      <x:c r="AF19" s="67" t="s">
        <x:v>901</x:v>
      </x:c>
      <x:c r="AG19" s="67" t="s">
        <x:v>885</x:v>
      </x:c>
      <x:c r="AH19" s="67" t="s">
        <x:v>885</x:v>
      </x:c>
      <x:c r="AI19" s="67" t="s">
        <x:v>885</x:v>
      </x:c>
      <x:c r="AJ19" s="67" t="s">
        <x:v>901</x:v>
      </x:c>
      <x:c r="AK19" s="67" t="s">
        <x:v>901</x:v>
      </x:c>
      <x:c r="AL19" s="67"/>
      <x:c r="AM19" s="67" t="s">
        <x:v>916</x:v>
      </x:c>
      <x:c r="AN19" s="83" t="str">
        <x:f t="shared" si="5"/>
        <x:v>Struktur rumah tidak stabil; Instalasi listrik berbahaya; Komponen bangunan lepas atau lapuk; </x:v>
      </x:c>
      <x:c r="AO19" s="83" t="str">
        <x:f t="shared" si="6"/>
        <x:v>Risiko Tinggi/Darurat</x:v>
      </x:c>
      <x:c r="AP19" s="67"/>
      <x:c r="AQ19" s="70">
        <x:f t="shared" si="7"/>
        <x:v>29</x:v>
      </x:c>
      <x:c r="AR19" s="70">
        <x:f t="shared" si="8"/>
        <x:v>10</x:v>
      </x:c>
      <x:c r="AS19" s="70">
        <x:f t="shared" si="9"/>
        <x:v>59</x:v>
      </x:c>
      <x:c r="AT19" s="68" t="str">
        <x:f t="shared" si="10"/>
        <x:v>Tinggi</x:v>
      </x:c>
      <x:c r="AU19" s="65" t="s">
        <x:v>887</x:v>
      </x:c>
      <x:c r="AV19" s="65" t="s">
        <x:v>904</x:v>
      </x:c>
      <x:c r="AW19" s="65" t="s">
        <x:v>905</x:v>
      </x:c>
      <x:c r="AX19" s="65" t="s">
        <x:v>984</x:v>
      </x:c>
      <x:c r="AY19" s="65">
        <x:v>2026</x:v>
      </x:c>
      <x:c r="AZ19" s="65" t="s">
        <x:v>891</x:v>
      </x:c>
      <x:c r="BA19" s="65"/>
      <x:c r="BB19" s="177"/>
      <x:c r="BC19" s="71">
        <x:v>2026</x:v>
      </x:c>
      <x:c r="BD19" s="65" t="s">
        <x:v>920</x:v>
      </x:c>
      <x:c r="BE19" s="177"/>
      <x:c r="BF19" s="65" t="str">
        <x:v>Dinas Perkim Kota Pangkal Pinang</x:v>
      </x:c>
    </x:row>
    <x:row r="20" ht="28">
      <x:c r="A20" s="65" t="s">
        <x:v>1059</x:v>
      </x:c>
      <x:c r="B20" s="65" t="s">
        <x:v>1060</x:v>
      </x:c>
      <x:c r="C20" s="65"/>
      <x:c r="D20" s="65"/>
      <x:c r="E20" s="65" t="s">
        <x:v>1061</x:v>
      </x:c>
      <x:c r="F20" s="65" t="s">
        <x:v>1062</x:v>
      </x:c>
      <x:c r="G20" s="65" t="s">
        <x:v>1063</x:v>
      </x:c>
      <x:c r="H20" s="65" t="s">
        <x:v>878</x:v>
      </x:c>
      <x:c r="I20" s="65" t="s">
        <x:v>1064</x:v>
      </x:c>
      <x:c r="J20" s="65" t="s">
        <x:v>910</x:v>
      </x:c>
      <x:c r="K20" s="65" t="s">
        <x:v>911</x:v>
      </x:c>
      <x:c r="L20" s="65" t="s">
        <x:v>916</x:v>
      </x:c>
      <x:c r="M20" s="65" t="s">
        <x:v>968</x:v>
      </x:c>
      <x:c r="N20" s="65" t="s">
        <x:v>916</x:v>
      </x:c>
      <x:c r="O20" s="65" t="s">
        <x:v>914</x:v>
      </x:c>
      <x:c r="P20" s="65" t="s">
        <x:v>916</x:v>
      </x:c>
      <x:c r="Q20" s="85" t="s">
        <x:v>916</x:v>
      </x:c>
      <x:c r="R20" s="85" t="s">
        <x:v>916</x:v>
      </x:c>
      <x:c r="S20" s="85" t="s">
        <x:v>916</x:v>
      </x:c>
      <x:c r="T20" s="85" t="s">
        <x:v>916</x:v>
      </x:c>
      <x:c r="U20" s="85" t="s">
        <x:v>916</x:v>
      </x:c>
      <x:c r="V20" s="85" t="s">
        <x:v>916</x:v>
      </x:c>
      <x:c r="W20" s="66"/>
      <x:c r="X20" s="83" t="str">
        <x:f t="shared" si="0"/>
        <x:v>Belum Dinilai</x:v>
      </x:c>
      <x:c r="Y20" s="83" t="str">
        <x:f t="shared" si="1"/>
        <x:v>Belum Dinilai</x:v>
      </x:c>
      <x:c r="Z20" s="84" t="str">
        <x:f t="shared" si="2"/>
      </x:c>
      <x:c r="AA20" s="84" t="str">
        <x:f t="shared" si="3"/>
      </x:c>
      <x:c r="AB20" s="84" t="str">
        <x:f t="shared" si="4"/>
      </x:c>
      <x:c r="AC20" s="67" t="s">
        <x:v>916</x:v>
      </x:c>
      <x:c r="AD20" s="67" t="s">
        <x:v>916</x:v>
      </x:c>
      <x:c r="AE20" s="67" t="s">
        <x:v>916</x:v>
      </x:c>
      <x:c r="AF20" s="67" t="s">
        <x:v>916</x:v>
      </x:c>
      <x:c r="AG20" s="67" t="s">
        <x:v>916</x:v>
      </x:c>
      <x:c r="AH20" s="67" t="s">
        <x:v>916</x:v>
      </x:c>
      <x:c r="AI20" s="67" t="s">
        <x:v>916</x:v>
      </x:c>
      <x:c r="AJ20" s="67" t="s">
        <x:v>916</x:v>
      </x:c>
      <x:c r="AK20" s="67" t="s">
        <x:v>916</x:v>
      </x:c>
      <x:c r="AL20" s="67"/>
      <x:c r="AM20" s="67" t="s">
        <x:v>916</x:v>
      </x:c>
      <x:c r="AN20" s="83" t="str">
        <x:f t="shared" si="5"/>
        <x:v>Belum Dinilai</x:v>
      </x:c>
      <x:c r="AO20" s="83" t="str">
        <x:f t="shared" si="6"/>
        <x:v>Belum Dinilai</x:v>
      </x:c>
      <x:c r="AP20" s="67"/>
      <x:c r="AQ20" s="70" t="str">
        <x:f t="shared" si="7"/>
      </x:c>
      <x:c r="AR20" s="70" t="str">
        <x:f t="shared" si="8"/>
      </x:c>
      <x:c r="AS20" s="70" t="str">
        <x:f t="shared" si="9"/>
      </x:c>
      <x:c r="AT20" s="68" t="str">
        <x:f t="shared" si="10"/>
        <x:v>Belum Dapat Ditentukan</x:v>
      </x:c>
      <x:c r="AU20" s="65" t="s">
        <x:v>903</x:v>
      </x:c>
      <x:c r="AV20" s="65" t="s">
        <x:v>904</x:v>
      </x:c>
      <x:c r="AW20" s="65" t="s">
        <x:v>1001</x:v>
      </x:c>
      <x:c r="AX20" s="65" t="s">
        <x:v>970</x:v>
      </x:c>
      <x:c r="AY20" s="65">
        <x:v>2024</x:v>
      </x:c>
      <x:c r="AZ20" s="65" t="s">
        <x:v>891</x:v>
      </x:c>
      <x:c r="BA20" s="65"/>
      <x:c r="BB20" s="177"/>
      <x:c r="BC20" s="71">
        <x:v>2026</x:v>
      </x:c>
      <x:c r="BD20" s="65"/>
      <x:c r="BE20" s="177"/>
      <x:c r="BF20" s="65" t="str">
        <x:v>Dinas Perkim Kota Pangkal Pinang</x:v>
      </x:c>
    </x:row>
    <x:row r="21" ht="28">
      <x:c r="A21" s="65" t="s">
        <x:v>1065</x:v>
      </x:c>
      <x:c r="B21" s="65" t="s">
        <x:v>1066</x:v>
      </x:c>
      <x:c r="C21" s="65"/>
      <x:c r="D21" s="65"/>
      <x:c r="E21" s="65" t="s">
        <x:v>1067</x:v>
      </x:c>
      <x:c r="F21" s="65" t="s">
        <x:v>1068</x:v>
      </x:c>
      <x:c r="G21" s="65" t="s">
        <x:v>1063</x:v>
      </x:c>
      <x:c r="H21" s="65" t="s">
        <x:v>878</x:v>
      </x:c>
      <x:c r="I21" s="65" t="s">
        <x:v>1069</x:v>
      </x:c>
      <x:c r="J21" s="65" t="s">
        <x:v>910</x:v>
      </x:c>
      <x:c r="K21" s="65" t="s">
        <x:v>911</x:v>
      </x:c>
      <x:c r="L21" s="65" t="s">
        <x:v>916</x:v>
      </x:c>
      <x:c r="M21" s="65" t="s">
        <x:v>968</x:v>
      </x:c>
      <x:c r="N21" s="65" t="s">
        <x:v>916</x:v>
      </x:c>
      <x:c r="O21" s="65" t="s">
        <x:v>1000</x:v>
      </x:c>
      <x:c r="P21" s="65" t="s">
        <x:v>916</x:v>
      </x:c>
      <x:c r="Q21" s="85" t="s">
        <x:v>916</x:v>
      </x:c>
      <x:c r="R21" s="85" t="s">
        <x:v>916</x:v>
      </x:c>
      <x:c r="S21" s="85" t="s">
        <x:v>916</x:v>
      </x:c>
      <x:c r="T21" s="85" t="s">
        <x:v>916</x:v>
      </x:c>
      <x:c r="U21" s="85" t="s">
        <x:v>916</x:v>
      </x:c>
      <x:c r="V21" s="85" t="s">
        <x:v>916</x:v>
      </x:c>
      <x:c r="W21" s="66"/>
      <x:c r="X21" s="83" t="str">
        <x:f t="shared" si="0"/>
        <x:v>Belum Dinilai</x:v>
      </x:c>
      <x:c r="Y21" s="83" t="str">
        <x:f t="shared" si="1"/>
        <x:v>Belum Dinilai</x:v>
      </x:c>
      <x:c r="Z21" s="84" t="str">
        <x:f t="shared" si="2"/>
      </x:c>
      <x:c r="AA21" s="84" t="str">
        <x:f t="shared" si="3"/>
      </x:c>
      <x:c r="AB21" s="84" t="str">
        <x:f t="shared" si="4"/>
      </x:c>
      <x:c r="AC21" s="67" t="s">
        <x:v>916</x:v>
      </x:c>
      <x:c r="AD21" s="67" t="s">
        <x:v>916</x:v>
      </x:c>
      <x:c r="AE21" s="67" t="s">
        <x:v>916</x:v>
      </x:c>
      <x:c r="AF21" s="67" t="s">
        <x:v>916</x:v>
      </x:c>
      <x:c r="AG21" s="67" t="s">
        <x:v>916</x:v>
      </x:c>
      <x:c r="AH21" s="67" t="s">
        <x:v>916</x:v>
      </x:c>
      <x:c r="AI21" s="67" t="s">
        <x:v>916</x:v>
      </x:c>
      <x:c r="AJ21" s="67" t="s">
        <x:v>916</x:v>
      </x:c>
      <x:c r="AK21" s="67" t="s">
        <x:v>916</x:v>
      </x:c>
      <x:c r="AL21" s="67"/>
      <x:c r="AM21" s="67" t="s">
        <x:v>916</x:v>
      </x:c>
      <x:c r="AN21" s="83" t="str">
        <x:f t="shared" si="5"/>
        <x:v>Belum Dinilai</x:v>
      </x:c>
      <x:c r="AO21" s="83" t="str">
        <x:f t="shared" si="6"/>
        <x:v>Belum Dinilai</x:v>
      </x:c>
      <x:c r="AP21" s="67"/>
      <x:c r="AQ21" s="70" t="str">
        <x:f t="shared" si="7"/>
      </x:c>
      <x:c r="AR21" s="70" t="str">
        <x:f t="shared" si="8"/>
      </x:c>
      <x:c r="AS21" s="70" t="str">
        <x:f t="shared" si="9"/>
      </x:c>
      <x:c r="AT21" s="68" t="str">
        <x:f t="shared" si="10"/>
        <x:v>Belum Dapat Ditentukan</x:v>
      </x:c>
      <x:c r="AU21" s="65" t="s">
        <x:v>887</x:v>
      </x:c>
      <x:c r="AV21" s="65" t="s">
        <x:v>904</x:v>
      </x:c>
      <x:c r="AW21" s="65" t="s">
        <x:v>889</x:v>
      </x:c>
      <x:c r="AX21" s="65" t="s">
        <x:v>890</x:v>
      </x:c>
      <x:c r="AY21" s="65"/>
      <x:c r="AZ21" s="65" t="s">
        <x:v>888</x:v>
      </x:c>
      <x:c r="BA21" s="65"/>
      <x:c r="BB21" s="177"/>
      <x:c r="BC21" s="71">
        <x:v>2026</x:v>
      </x:c>
      <x:c r="BD21" s="65"/>
      <x:c r="BE21" s="177"/>
      <x:c r="BF21" s="65" t="str">
        <x:v>Dinas Perkim Kota Pangkal Pinang</x:v>
      </x:c>
    </x:row>
    <x:row r="22" ht="56">
      <x:c r="A22" s="65" t="s">
        <x:v>1070</x:v>
      </x:c>
      <x:c r="B22" s="65" t="s">
        <x:v>1071</x:v>
      </x:c>
      <x:c r="C22" s="65"/>
      <x:c r="D22" s="65"/>
      <x:c r="E22" s="65" t="s">
        <x:v>1072</x:v>
      </x:c>
      <x:c r="F22" s="65" t="s">
        <x:v>1021</x:v>
      </x:c>
      <x:c r="G22" s="65" t="s">
        <x:v>990</x:v>
      </x:c>
      <x:c r="H22" s="65" t="s">
        <x:v>878</x:v>
      </x:c>
      <x:c r="I22" s="65" t="s">
        <x:v>1073</x:v>
      </x:c>
      <x:c r="J22" s="65" t="s">
        <x:v>910</x:v>
      </x:c>
      <x:c r="K22" s="65" t="s">
        <x:v>994</x:v>
      </x:c>
      <x:c r="L22" s="65" t="s">
        <x:v>916</x:v>
      </x:c>
      <x:c r="M22" s="65" t="s">
        <x:v>968</x:v>
      </x:c>
      <x:c r="N22" s="65" t="s">
        <x:v>966</x:v>
      </x:c>
      <x:c r="O22" s="65" t="s">
        <x:v>914</x:v>
      </x:c>
      <x:c r="P22" s="65" t="s">
        <x:v>966</x:v>
      </x:c>
      <x:c r="Q22" s="85" t="s">
        <x:v>916</x:v>
      </x:c>
      <x:c r="R22" s="85" t="s">
        <x:v>916</x:v>
      </x:c>
      <x:c r="S22" s="85" t="s">
        <x:v>916</x:v>
      </x:c>
      <x:c r="T22" s="85" t="s">
        <x:v>916</x:v>
      </x:c>
      <x:c r="U22" s="85" t="s">
        <x:v>916</x:v>
      </x:c>
      <x:c r="V22" s="85" t="s">
        <x:v>916</x:v>
      </x:c>
      <x:c r="W22" s="66"/>
      <x:c r="X22" s="83" t="str">
        <x:f t="shared" si="0"/>
        <x:v>Belum Dinilai</x:v>
      </x:c>
      <x:c r="Y22" s="83" t="str">
        <x:f t="shared" si="1"/>
        <x:v>Belum Dinilai</x:v>
      </x:c>
      <x:c r="Z22" s="84" t="str">
        <x:f t="shared" si="2"/>
      </x:c>
      <x:c r="AA22" s="84" t="str">
        <x:f t="shared" si="3"/>
      </x:c>
      <x:c r="AB22" s="84" t="str">
        <x:f t="shared" si="4"/>
      </x:c>
      <x:c r="AC22" s="67" t="s">
        <x:v>916</x:v>
      </x:c>
      <x:c r="AD22" s="67" t="s">
        <x:v>916</x:v>
      </x:c>
      <x:c r="AE22" s="67" t="s">
        <x:v>916</x:v>
      </x:c>
      <x:c r="AF22" s="67" t="s">
        <x:v>916</x:v>
      </x:c>
      <x:c r="AG22" s="67" t="s">
        <x:v>916</x:v>
      </x:c>
      <x:c r="AH22" s="67" t="s">
        <x:v>916</x:v>
      </x:c>
      <x:c r="AI22" s="67" t="s">
        <x:v>916</x:v>
      </x:c>
      <x:c r="AJ22" s="67" t="s">
        <x:v>916</x:v>
      </x:c>
      <x:c r="AK22" s="67" t="s">
        <x:v>916</x:v>
      </x:c>
      <x:c r="AL22" s="67"/>
      <x:c r="AM22" s="67" t="s">
        <x:v>916</x:v>
      </x:c>
      <x:c r="AN22" s="83" t="str">
        <x:f t="shared" si="5"/>
        <x:v>Belum Dinilai</x:v>
      </x:c>
      <x:c r="AO22" s="83" t="str">
        <x:f t="shared" si="6"/>
        <x:v>Belum Dinilai</x:v>
      </x:c>
      <x:c r="AP22" s="67"/>
      <x:c r="AQ22" s="70" t="str">
        <x:f t="shared" si="7"/>
      </x:c>
      <x:c r="AR22" s="70" t="str">
        <x:f t="shared" si="8"/>
      </x:c>
      <x:c r="AS22" s="70" t="str">
        <x:f t="shared" si="9"/>
      </x:c>
      <x:c r="AT22" s="68" t="str">
        <x:f t="shared" si="10"/>
        <x:v>Belum Dapat Ditentukan</x:v>
      </x:c>
      <x:c r="AU22" s="65" t="s">
        <x:v>887</x:v>
      </x:c>
      <x:c r="AV22" s="65" t="s">
        <x:v>904</x:v>
      </x:c>
      <x:c r="AW22" s="65" t="s">
        <x:v>889</x:v>
      </x:c>
      <x:c r="AX22" s="65" t="s">
        <x:v>890</x:v>
      </x:c>
      <x:c r="AY22" s="65"/>
      <x:c r="AZ22" s="65" t="s">
        <x:v>888</x:v>
      </x:c>
      <x:c r="BA22" s="65"/>
      <x:c r="BB22" s="177"/>
      <x:c r="BC22" s="71">
        <x:v>2026</x:v>
      </x:c>
      <x:c r="BD22" s="65"/>
      <x:c r="BE22" s="177"/>
      <x:c r="BF22" s="65" t="str">
        <x:v>Dinas Perkim Kota Pangkal Pinang</x:v>
      </x:c>
    </x:row>
    <x:row r="23" ht="28">
      <x:c r="A23" s="65" t="s">
        <x:v>1074</x:v>
      </x:c>
      <x:c r="B23" s="65" t="s">
        <x:v>1075</x:v>
      </x:c>
      <x:c r="C23" s="65"/>
      <x:c r="D23" s="65"/>
      <x:c r="E23" s="65" t="s">
        <x:v>1076</x:v>
      </x:c>
      <x:c r="F23" s="65" t="s">
        <x:v>1058</x:v>
      </x:c>
      <x:c r="G23" s="65" t="s">
        <x:v>990</x:v>
      </x:c>
      <x:c r="H23" s="65" t="s">
        <x:v>878</x:v>
      </x:c>
      <x:c r="I23" s="65" t="s">
        <x:v>1077</x:v>
      </x:c>
      <x:c r="J23" s="65" t="s">
        <x:v>910</x:v>
      </x:c>
      <x:c r="K23" s="65" t="s">
        <x:v>896</x:v>
      </x:c>
      <x:c r="L23" s="65" t="s">
        <x:v>912</x:v>
      </x:c>
      <x:c r="M23" s="65" t="s">
        <x:v>968</x:v>
      </x:c>
      <x:c r="N23" s="65" t="s">
        <x:v>912</x:v>
      </x:c>
      <x:c r="O23" s="65" t="s">
        <x:v>914</x:v>
      </x:c>
      <x:c r="P23" s="65" t="s">
        <x:v>912</x:v>
      </x:c>
      <x:c r="Q23" s="85" t="s">
        <x:v>916</x:v>
      </x:c>
      <x:c r="R23" s="85" t="s">
        <x:v>916</x:v>
      </x:c>
      <x:c r="S23" s="85" t="s">
        <x:v>916</x:v>
      </x:c>
      <x:c r="T23" s="85" t="s">
        <x:v>916</x:v>
      </x:c>
      <x:c r="U23" s="85" t="s">
        <x:v>916</x:v>
      </x:c>
      <x:c r="V23" s="85" t="s">
        <x:v>916</x:v>
      </x:c>
      <x:c r="W23" s="66"/>
      <x:c r="X23" s="83" t="str">
        <x:f t="shared" si="0"/>
        <x:v>Belum Dinilai</x:v>
      </x:c>
      <x:c r="Y23" s="83" t="str">
        <x:f t="shared" si="1"/>
        <x:v>Belum Dinilai</x:v>
      </x:c>
      <x:c r="Z23" s="84" t="str">
        <x:f t="shared" si="2"/>
      </x:c>
      <x:c r="AA23" s="84" t="str">
        <x:f t="shared" si="3"/>
      </x:c>
      <x:c r="AB23" s="84" t="str">
        <x:f t="shared" si="4"/>
      </x:c>
      <x:c r="AC23" s="67" t="s">
        <x:v>916</x:v>
      </x:c>
      <x:c r="AD23" s="67" t="s">
        <x:v>916</x:v>
      </x:c>
      <x:c r="AE23" s="67" t="s">
        <x:v>916</x:v>
      </x:c>
      <x:c r="AF23" s="67" t="s">
        <x:v>916</x:v>
      </x:c>
      <x:c r="AG23" s="67" t="s">
        <x:v>916</x:v>
      </x:c>
      <x:c r="AH23" s="67" t="s">
        <x:v>916</x:v>
      </x:c>
      <x:c r="AI23" s="67" t="s">
        <x:v>916</x:v>
      </x:c>
      <x:c r="AJ23" s="67" t="s">
        <x:v>916</x:v>
      </x:c>
      <x:c r="AK23" s="67" t="s">
        <x:v>916</x:v>
      </x:c>
      <x:c r="AL23" s="67"/>
      <x:c r="AM23" s="67" t="s">
        <x:v>916</x:v>
      </x:c>
      <x:c r="AN23" s="83" t="str">
        <x:f t="shared" si="5"/>
        <x:v>Belum Dinilai</x:v>
      </x:c>
      <x:c r="AO23" s="83" t="str">
        <x:f t="shared" si="6"/>
        <x:v>Belum Dinilai</x:v>
      </x:c>
      <x:c r="AP23" s="67"/>
      <x:c r="AQ23" s="70">
        <x:f t="shared" si="7"/>
        <x:v>43</x:v>
      </x:c>
      <x:c r="AR23" s="70" t="str">
        <x:f t="shared" si="8"/>
      </x:c>
      <x:c r="AS23" s="70" t="str">
        <x:f t="shared" si="9"/>
      </x:c>
      <x:c r="AT23" s="68" t="str">
        <x:f t="shared" si="10"/>
        <x:v>Belum Dapat Ditentukan</x:v>
      </x:c>
      <x:c r="AU23" s="65" t="s">
        <x:v>887</x:v>
      </x:c>
      <x:c r="AV23" s="65" t="s">
        <x:v>904</x:v>
      </x:c>
      <x:c r="AW23" s="65" t="s">
        <x:v>889</x:v>
      </x:c>
      <x:c r="AX23" s="65" t="s">
        <x:v>890</x:v>
      </x:c>
      <x:c r="AY23" s="65"/>
      <x:c r="AZ23" s="65" t="s">
        <x:v>888</x:v>
      </x:c>
      <x:c r="BA23" s="65"/>
      <x:c r="BB23" s="177"/>
      <x:c r="BC23" s="71">
        <x:v>2026</x:v>
      </x:c>
      <x:c r="BD23" s="65"/>
      <x:c r="BE23" s="177"/>
      <x:c r="BF23" s="65" t="str">
        <x:v>Dinas Perkim Kota Pangkal Pinang</x:v>
      </x:c>
    </x:row>
    <x:row r="24" ht="42">
      <x:c r="A24" s="65" t="s">
        <x:v>1078</x:v>
      </x:c>
      <x:c r="B24" s="65" t="s">
        <x:v>1079</x:v>
      </x:c>
      <x:c r="C24" s="65"/>
      <x:c r="D24" s="65"/>
      <x:c r="E24" s="65" t="s">
        <x:v>1080</x:v>
      </x:c>
      <x:c r="F24" s="65" t="s">
        <x:v>1081</x:v>
      </x:c>
      <x:c r="G24" s="65" t="s">
        <x:v>990</x:v>
      </x:c>
      <x:c r="H24" s="65" t="s">
        <x:v>894</x:v>
      </x:c>
      <x:c r="I24" s="65" t="s">
        <x:v>1082</x:v>
      </x:c>
      <x:c r="J24" s="65" t="s">
        <x:v>895</x:v>
      </x:c>
      <x:c r="K24" s="65" t="s">
        <x:v>896</x:v>
      </x:c>
      <x:c r="L24" s="65" t="s">
        <x:v>916</x:v>
      </x:c>
      <x:c r="M24" s="65" t="s">
        <x:v>968</x:v>
      </x:c>
      <x:c r="N24" s="65" t="s">
        <x:v>916</x:v>
      </x:c>
      <x:c r="O24" s="65" t="s">
        <x:v>1000</x:v>
      </x:c>
      <x:c r="P24" s="65" t="s">
        <x:v>916</x:v>
      </x:c>
      <x:c r="Q24" s="85" t="s">
        <x:v>916</x:v>
      </x:c>
      <x:c r="R24" s="85" t="s">
        <x:v>916</x:v>
      </x:c>
      <x:c r="S24" s="85" t="s">
        <x:v>916</x:v>
      </x:c>
      <x:c r="T24" s="85" t="s">
        <x:v>916</x:v>
      </x:c>
      <x:c r="U24" s="85" t="s">
        <x:v>916</x:v>
      </x:c>
      <x:c r="V24" s="85" t="s">
        <x:v>916</x:v>
      </x:c>
      <x:c r="W24" s="66"/>
      <x:c r="X24" s="83" t="str">
        <x:f t="shared" si="0"/>
        <x:v>Belum Dinilai</x:v>
      </x:c>
      <x:c r="Y24" s="83" t="str">
        <x:f t="shared" si="1"/>
        <x:v>Belum Dinilai</x:v>
      </x:c>
      <x:c r="Z24" s="84" t="str">
        <x:f t="shared" si="2"/>
      </x:c>
      <x:c r="AA24" s="84" t="str">
        <x:f t="shared" si="3"/>
      </x:c>
      <x:c r="AB24" s="84" t="str">
        <x:f t="shared" si="4"/>
      </x:c>
      <x:c r="AC24" s="67" t="s">
        <x:v>916</x:v>
      </x:c>
      <x:c r="AD24" s="67" t="s">
        <x:v>916</x:v>
      </x:c>
      <x:c r="AE24" s="67" t="s">
        <x:v>916</x:v>
      </x:c>
      <x:c r="AF24" s="67" t="s">
        <x:v>916</x:v>
      </x:c>
      <x:c r="AG24" s="67" t="s">
        <x:v>916</x:v>
      </x:c>
      <x:c r="AH24" s="67" t="s">
        <x:v>916</x:v>
      </x:c>
      <x:c r="AI24" s="67" t="s">
        <x:v>916</x:v>
      </x:c>
      <x:c r="AJ24" s="67" t="s">
        <x:v>916</x:v>
      </x:c>
      <x:c r="AK24" s="67" t="s">
        <x:v>916</x:v>
      </x:c>
      <x:c r="AL24" s="67"/>
      <x:c r="AM24" s="67" t="s">
        <x:v>916</x:v>
      </x:c>
      <x:c r="AN24" s="83" t="str">
        <x:f t="shared" si="5"/>
        <x:v>Belum Dinilai</x:v>
      </x:c>
      <x:c r="AO24" s="83" t="str">
        <x:f t="shared" si="6"/>
        <x:v>Belum Dinilai</x:v>
      </x:c>
      <x:c r="AP24" s="67"/>
      <x:c r="AQ24" s="70" t="str">
        <x:f t="shared" si="7"/>
      </x:c>
      <x:c r="AR24" s="70" t="str">
        <x:f t="shared" si="8"/>
      </x:c>
      <x:c r="AS24" s="70" t="str">
        <x:f t="shared" si="9"/>
      </x:c>
      <x:c r="AT24" s="68" t="str">
        <x:f t="shared" si="10"/>
        <x:v>Belum Dapat Ditentukan</x:v>
      </x:c>
      <x:c r="AU24" s="65" t="s">
        <x:v>903</x:v>
      </x:c>
      <x:c r="AV24" s="65" t="s">
        <x:v>904</x:v>
      </x:c>
      <x:c r="AW24" s="65" t="s">
        <x:v>889</x:v>
      </x:c>
      <x:c r="AX24" s="65" t="s">
        <x:v>890</x:v>
      </x:c>
      <x:c r="AY24" s="65"/>
      <x:c r="AZ24" s="65" t="s">
        <x:v>888</x:v>
      </x:c>
      <x:c r="BA24" s="65"/>
      <x:c r="BB24" s="177"/>
      <x:c r="BC24" s="71">
        <x:v>2026</x:v>
      </x:c>
      <x:c r="BD24" s="65"/>
      <x:c r="BE24" s="177"/>
      <x:c r="BF24" s="65" t="str">
        <x:v>Dinas Perkim Kota Pangkal Pinang</x:v>
      </x:c>
    </x:row>
    <x:row r="25" ht="28">
      <x:c r="A25" s="65" t="s">
        <x:v>1083</x:v>
      </x:c>
      <x:c r="B25" s="65" t="s">
        <x:v>1084</x:v>
      </x:c>
      <x:c r="C25" s="65"/>
      <x:c r="D25" s="65"/>
      <x:c r="E25" s="65" t="s">
        <x:v>1085</x:v>
      </x:c>
      <x:c r="F25" s="65" t="s">
        <x:v>1086</x:v>
      </x:c>
      <x:c r="G25" s="65" t="s">
        <x:v>977</x:v>
      </x:c>
      <x:c r="H25" s="65" t="s">
        <x:v>894</x:v>
      </x:c>
      <x:c r="I25" s="65" t="s">
        <x:v>1087</x:v>
      </x:c>
      <x:c r="J25" s="65" t="s">
        <x:v>879</x:v>
      </x:c>
      <x:c r="K25" s="65" t="s">
        <x:v>1000</x:v>
      </x:c>
      <x:c r="L25" s="65" t="s">
        <x:v>897</x:v>
      </x:c>
      <x:c r="M25" s="65" t="s">
        <x:v>967</x:v>
      </x:c>
      <x:c r="N25" s="65" t="s">
        <x:v>916</x:v>
      </x:c>
      <x:c r="O25" s="65" t="s">
        <x:v>1000</x:v>
      </x:c>
      <x:c r="P25" s="65" t="s">
        <x:v>916</x:v>
      </x:c>
      <x:c r="Q25" s="85" t="s">
        <x:v>916</x:v>
      </x:c>
      <x:c r="R25" s="85" t="s">
        <x:v>916</x:v>
      </x:c>
      <x:c r="S25" s="85" t="s">
        <x:v>916</x:v>
      </x:c>
      <x:c r="T25" s="85" t="s">
        <x:v>916</x:v>
      </x:c>
      <x:c r="U25" s="85" t="s">
        <x:v>916</x:v>
      </x:c>
      <x:c r="V25" s="85" t="s">
        <x:v>916</x:v>
      </x:c>
      <x:c r="W25" s="66"/>
      <x:c r="X25" s="83" t="str">
        <x:f t="shared" si="0"/>
        <x:v>Belum Dinilai</x:v>
      </x:c>
      <x:c r="Y25" s="83" t="str">
        <x:f t="shared" si="1"/>
        <x:v>Belum Dinilai</x:v>
      </x:c>
      <x:c r="Z25" s="84" t="str">
        <x:f t="shared" si="2"/>
      </x:c>
      <x:c r="AA25" s="84" t="str">
        <x:f t="shared" si="3"/>
      </x:c>
      <x:c r="AB25" s="84" t="str">
        <x:f t="shared" si="4"/>
      </x:c>
      <x:c r="AC25" s="67" t="s">
        <x:v>916</x:v>
      </x:c>
      <x:c r="AD25" s="67" t="s">
        <x:v>916</x:v>
      </x:c>
      <x:c r="AE25" s="67" t="s">
        <x:v>916</x:v>
      </x:c>
      <x:c r="AF25" s="67" t="s">
        <x:v>916</x:v>
      </x:c>
      <x:c r="AG25" s="67" t="s">
        <x:v>916</x:v>
      </x:c>
      <x:c r="AH25" s="67" t="s">
        <x:v>916</x:v>
      </x:c>
      <x:c r="AI25" s="67" t="s">
        <x:v>916</x:v>
      </x:c>
      <x:c r="AJ25" s="67" t="s">
        <x:v>916</x:v>
      </x:c>
      <x:c r="AK25" s="67" t="s">
        <x:v>916</x:v>
      </x:c>
      <x:c r="AL25" s="67"/>
      <x:c r="AM25" s="67" t="s">
        <x:v>916</x:v>
      </x:c>
      <x:c r="AN25" s="83" t="str">
        <x:f t="shared" si="5"/>
        <x:v>Belum Dinilai</x:v>
      </x:c>
      <x:c r="AO25" s="83" t="str">
        <x:f t="shared" si="6"/>
        <x:v>Belum Dinilai</x:v>
      </x:c>
      <x:c r="AP25" s="67"/>
      <x:c r="AQ25" s="70" t="str">
        <x:f t="shared" si="7"/>
      </x:c>
      <x:c r="AR25" s="70" t="str">
        <x:f t="shared" si="8"/>
      </x:c>
      <x:c r="AS25" s="70" t="str">
        <x:f t="shared" si="9"/>
      </x:c>
      <x:c r="AT25" s="68" t="str">
        <x:f t="shared" si="10"/>
        <x:v>Belum Dapat Ditentukan</x:v>
      </x:c>
      <x:c r="AU25" s="65" t="s">
        <x:v>903</x:v>
      </x:c>
      <x:c r="AV25" s="65" t="s">
        <x:v>904</x:v>
      </x:c>
      <x:c r="AW25" s="65" t="s">
        <x:v>889</x:v>
      </x:c>
      <x:c r="AX25" s="65" t="s">
        <x:v>890</x:v>
      </x:c>
      <x:c r="AY25" s="65"/>
      <x:c r="AZ25" s="65" t="s">
        <x:v>888</x:v>
      </x:c>
      <x:c r="BA25" s="65"/>
      <x:c r="BB25" s="177"/>
      <x:c r="BC25" s="71">
        <x:v>2026</x:v>
      </x:c>
      <x:c r="BD25" s="65"/>
      <x:c r="BE25" s="177"/>
      <x:c r="BF25" s="65" t="str">
        <x:v>Dinas Perkim Kota Pangkal Pinang</x:v>
      </x:c>
    </x:row>
    <x:row r="26" ht="28">
      <x:c r="A26" s="65" t="s">
        <x:v>1088</x:v>
      </x:c>
      <x:c r="B26" s="65" t="s">
        <x:v>1089</x:v>
      </x:c>
      <x:c r="C26" s="65"/>
      <x:c r="D26" s="65"/>
      <x:c r="E26" s="65" t="s">
        <x:v>1090</x:v>
      </x:c>
      <x:c r="F26" s="65" t="s">
        <x:v>1091</x:v>
      </x:c>
      <x:c r="G26" s="65" t="s">
        <x:v>990</x:v>
      </x:c>
      <x:c r="H26" s="65" t="s">
        <x:v>894</x:v>
      </x:c>
      <x:c r="I26" s="65" t="s">
        <x:v>1092</x:v>
      </x:c>
      <x:c r="J26" s="65" t="s">
        <x:v>879</x:v>
      </x:c>
      <x:c r="K26" s="65" t="s">
        <x:v>1000</x:v>
      </x:c>
      <x:c r="L26" s="65" t="s">
        <x:v>916</x:v>
      </x:c>
      <x:c r="M26" s="65" t="s">
        <x:v>913</x:v>
      </x:c>
      <x:c r="N26" s="65" t="s">
        <x:v>916</x:v>
      </x:c>
      <x:c r="O26" s="65" t="s">
        <x:v>1000</x:v>
      </x:c>
      <x:c r="P26" s="65" t="s">
        <x:v>916</x:v>
      </x:c>
      <x:c r="Q26" s="85" t="s">
        <x:v>916</x:v>
      </x:c>
      <x:c r="R26" s="85" t="s">
        <x:v>916</x:v>
      </x:c>
      <x:c r="S26" s="85" t="s">
        <x:v>916</x:v>
      </x:c>
      <x:c r="T26" s="85" t="s">
        <x:v>916</x:v>
      </x:c>
      <x:c r="U26" s="85" t="s">
        <x:v>916</x:v>
      </x:c>
      <x:c r="V26" s="85" t="s">
        <x:v>916</x:v>
      </x:c>
      <x:c r="W26" s="66"/>
      <x:c r="X26" s="83" t="str">
        <x:f t="shared" si="0"/>
        <x:v>Belum Dinilai</x:v>
      </x:c>
      <x:c r="Y26" s="83" t="str">
        <x:f t="shared" si="1"/>
        <x:v>Belum Dinilai</x:v>
      </x:c>
      <x:c r="Z26" s="84" t="str">
        <x:f t="shared" si="2"/>
      </x:c>
      <x:c r="AA26" s="84" t="str">
        <x:f t="shared" si="3"/>
      </x:c>
      <x:c r="AB26" s="84" t="str">
        <x:f t="shared" si="4"/>
      </x:c>
      <x:c r="AC26" s="67" t="s">
        <x:v>916</x:v>
      </x:c>
      <x:c r="AD26" s="67" t="s">
        <x:v>916</x:v>
      </x:c>
      <x:c r="AE26" s="67" t="s">
        <x:v>916</x:v>
      </x:c>
      <x:c r="AF26" s="67" t="s">
        <x:v>916</x:v>
      </x:c>
      <x:c r="AG26" s="67" t="s">
        <x:v>916</x:v>
      </x:c>
      <x:c r="AH26" s="67" t="s">
        <x:v>916</x:v>
      </x:c>
      <x:c r="AI26" s="67" t="s">
        <x:v>916</x:v>
      </x:c>
      <x:c r="AJ26" s="67" t="s">
        <x:v>916</x:v>
      </x:c>
      <x:c r="AK26" s="67" t="s">
        <x:v>916</x:v>
      </x:c>
      <x:c r="AL26" s="67"/>
      <x:c r="AM26" s="67" t="s">
        <x:v>916</x:v>
      </x:c>
      <x:c r="AN26" s="83" t="str">
        <x:f t="shared" si="5"/>
        <x:v>Belum Dinilai</x:v>
      </x:c>
      <x:c r="AO26" s="83" t="str">
        <x:f t="shared" si="6"/>
        <x:v>Belum Dinilai</x:v>
      </x:c>
      <x:c r="AP26" s="67"/>
      <x:c r="AQ26" s="70" t="str">
        <x:f t="shared" si="7"/>
      </x:c>
      <x:c r="AR26" s="70" t="str">
        <x:f t="shared" si="8"/>
      </x:c>
      <x:c r="AS26" s="70" t="str">
        <x:f t="shared" si="9"/>
      </x:c>
      <x:c r="AT26" s="68" t="str">
        <x:f t="shared" si="10"/>
        <x:v>Belum Dapat Ditentukan</x:v>
      </x:c>
      <x:c r="AU26" s="65" t="s">
        <x:v>887</x:v>
      </x:c>
      <x:c r="AV26" s="65" t="s">
        <x:v>904</x:v>
      </x:c>
      <x:c r="AW26" s="65" t="s">
        <x:v>889</x:v>
      </x:c>
      <x:c r="AX26" s="65" t="s">
        <x:v>890</x:v>
      </x:c>
      <x:c r="AY26" s="65"/>
      <x:c r="AZ26" s="65" t="s">
        <x:v>888</x:v>
      </x:c>
      <x:c r="BA26" s="65"/>
      <x:c r="BB26" s="177"/>
      <x:c r="BC26" s="71">
        <x:v>2026</x:v>
      </x:c>
      <x:c r="BD26" s="65"/>
      <x:c r="BE26" s="177"/>
      <x:c r="BF26" s="65" t="str">
        <x:v>Dinas Perkim Kota Pangkal Pinang</x:v>
      </x:c>
    </x:row>
    <x:row r="27" ht="42">
      <x:c r="A27" s="65" t="s">
        <x:v>1093</x:v>
      </x:c>
      <x:c r="B27" s="65" t="s">
        <x:v>1094</x:v>
      </x:c>
      <x:c r="C27" s="65"/>
      <x:c r="D27" s="65"/>
      <x:c r="E27" s="65" t="s">
        <x:v>1095</x:v>
      </x:c>
      <x:c r="F27" s="65" t="s">
        <x:v>1096</x:v>
      </x:c>
      <x:c r="G27" s="65" t="s">
        <x:v>1063</x:v>
      </x:c>
      <x:c r="H27" s="65" t="s">
        <x:v>878</x:v>
      </x:c>
      <x:c r="I27" s="65" t="s">
        <x:v>1097</x:v>
      </x:c>
      <x:c r="J27" s="65" t="s">
        <x:v>910</x:v>
      </x:c>
      <x:c r="K27" s="65" t="s">
        <x:v>896</x:v>
      </x:c>
      <x:c r="L27" s="65" t="s">
        <x:v>912</x:v>
      </x:c>
      <x:c r="M27" s="65" t="s">
        <x:v>968</x:v>
      </x:c>
      <x:c r="N27" s="65" t="s">
        <x:v>912</x:v>
      </x:c>
      <x:c r="O27" s="65" t="s">
        <x:v>914</x:v>
      </x:c>
      <x:c r="P27" s="65" t="s">
        <x:v>912</x:v>
      </x:c>
      <x:c r="Q27" s="85" t="s">
        <x:v>916</x:v>
      </x:c>
      <x:c r="R27" s="85" t="s">
        <x:v>916</x:v>
      </x:c>
      <x:c r="S27" s="85" t="s">
        <x:v>916</x:v>
      </x:c>
      <x:c r="T27" s="85" t="s">
        <x:v>916</x:v>
      </x:c>
      <x:c r="U27" s="85" t="s">
        <x:v>916</x:v>
      </x:c>
      <x:c r="V27" s="85" t="s">
        <x:v>916</x:v>
      </x:c>
      <x:c r="W27" s="66"/>
      <x:c r="X27" s="83" t="str">
        <x:f t="shared" si="0"/>
        <x:v>Belum Dinilai</x:v>
      </x:c>
      <x:c r="Y27" s="83" t="str">
        <x:f t="shared" si="1"/>
        <x:v>Belum Dinilai</x:v>
      </x:c>
      <x:c r="Z27" s="84" t="str">
        <x:f t="shared" si="2"/>
      </x:c>
      <x:c r="AA27" s="84" t="str">
        <x:f t="shared" si="3"/>
      </x:c>
      <x:c r="AB27" s="84" t="str">
        <x:f t="shared" si="4"/>
      </x:c>
      <x:c r="AC27" s="67" t="s">
        <x:v>916</x:v>
      </x:c>
      <x:c r="AD27" s="67" t="s">
        <x:v>916</x:v>
      </x:c>
      <x:c r="AE27" s="67" t="s">
        <x:v>916</x:v>
      </x:c>
      <x:c r="AF27" s="67" t="s">
        <x:v>916</x:v>
      </x:c>
      <x:c r="AG27" s="67" t="s">
        <x:v>916</x:v>
      </x:c>
      <x:c r="AH27" s="67" t="s">
        <x:v>916</x:v>
      </x:c>
      <x:c r="AI27" s="67" t="s">
        <x:v>916</x:v>
      </x:c>
      <x:c r="AJ27" s="67" t="s">
        <x:v>916</x:v>
      </x:c>
      <x:c r="AK27" s="67" t="s">
        <x:v>916</x:v>
      </x:c>
      <x:c r="AL27" s="67"/>
      <x:c r="AM27" s="67" t="s">
        <x:v>916</x:v>
      </x:c>
      <x:c r="AN27" s="83" t="str">
        <x:f t="shared" si="5"/>
        <x:v>Belum Dinilai</x:v>
      </x:c>
      <x:c r="AO27" s="83" t="str">
        <x:f t="shared" si="6"/>
        <x:v>Belum Dinilai</x:v>
      </x:c>
      <x:c r="AP27" s="67"/>
      <x:c r="AQ27" s="70">
        <x:f t="shared" si="7"/>
        <x:v>43</x:v>
      </x:c>
      <x:c r="AR27" s="70" t="str">
        <x:f t="shared" si="8"/>
      </x:c>
      <x:c r="AS27" s="70" t="str">
        <x:f t="shared" si="9"/>
      </x:c>
      <x:c r="AT27" s="68" t="str">
        <x:f t="shared" si="10"/>
        <x:v>Belum Dapat Ditentukan</x:v>
      </x:c>
      <x:c r="AU27" s="65" t="s">
        <x:v>887</x:v>
      </x:c>
      <x:c r="AV27" s="65" t="s">
        <x:v>904</x:v>
      </x:c>
      <x:c r="AW27" s="65" t="s">
        <x:v>889</x:v>
      </x:c>
      <x:c r="AX27" s="65" t="s">
        <x:v>890</x:v>
      </x:c>
      <x:c r="AY27" s="65"/>
      <x:c r="AZ27" s="65" t="s">
        <x:v>888</x:v>
      </x:c>
      <x:c r="BA27" s="65"/>
      <x:c r="BB27" s="177"/>
      <x:c r="BC27" s="71">
        <x:v>2026</x:v>
      </x:c>
      <x:c r="BD27" s="65"/>
      <x:c r="BE27" s="177"/>
      <x:c r="BF27" s="65" t="str">
        <x:v>Dinas Perkim Kota Pangkal Pinang</x:v>
      </x:c>
    </x:row>
    <x:row r="28" ht="28">
      <x:c r="A28" s="65" t="s">
        <x:v>1098</x:v>
      </x:c>
      <x:c r="B28" s="65" t="s">
        <x:v>1099</x:v>
      </x:c>
      <x:c r="C28" s="65"/>
      <x:c r="D28" s="65"/>
      <x:c r="E28" s="65" t="s">
        <x:v>1100</x:v>
      </x:c>
      <x:c r="F28" s="65" t="s">
        <x:v>1101</x:v>
      </x:c>
      <x:c r="G28" s="65" t="s">
        <x:v>1063</x:v>
      </x:c>
      <x:c r="H28" s="65" t="s">
        <x:v>894</x:v>
      </x:c>
      <x:c r="I28" s="65" t="s">
        <x:v>1102</x:v>
      </x:c>
      <x:c r="J28" s="65" t="s">
        <x:v>879</x:v>
      </x:c>
      <x:c r="K28" s="65" t="s">
        <x:v>1000</x:v>
      </x:c>
      <x:c r="L28" s="65" t="s">
        <x:v>897</x:v>
      </x:c>
      <x:c r="M28" s="65" t="s">
        <x:v>967</x:v>
      </x:c>
      <x:c r="N28" s="65" t="s">
        <x:v>916</x:v>
      </x:c>
      <x:c r="O28" s="65" t="s">
        <x:v>1000</x:v>
      </x:c>
      <x:c r="P28" s="65" t="s">
        <x:v>916</x:v>
      </x:c>
      <x:c r="Q28" s="85" t="s">
        <x:v>916</x:v>
      </x:c>
      <x:c r="R28" s="85" t="s">
        <x:v>916</x:v>
      </x:c>
      <x:c r="S28" s="85" t="s">
        <x:v>916</x:v>
      </x:c>
      <x:c r="T28" s="85" t="s">
        <x:v>916</x:v>
      </x:c>
      <x:c r="U28" s="85" t="s">
        <x:v>916</x:v>
      </x:c>
      <x:c r="V28" s="85" t="s">
        <x:v>916</x:v>
      </x:c>
      <x:c r="W28" s="66"/>
      <x:c r="X28" s="83" t="str">
        <x:f t="shared" si="0"/>
        <x:v>Belum Dinilai</x:v>
      </x:c>
      <x:c r="Y28" s="83" t="str">
        <x:f t="shared" si="1"/>
        <x:v>Belum Dinilai</x:v>
      </x:c>
      <x:c r="Z28" s="84" t="str">
        <x:f t="shared" si="2"/>
      </x:c>
      <x:c r="AA28" s="84" t="str">
        <x:f t="shared" si="3"/>
      </x:c>
      <x:c r="AB28" s="84" t="str">
        <x:f t="shared" si="4"/>
      </x:c>
      <x:c r="AC28" s="67" t="s">
        <x:v>916</x:v>
      </x:c>
      <x:c r="AD28" s="67" t="s">
        <x:v>916</x:v>
      </x:c>
      <x:c r="AE28" s="67" t="s">
        <x:v>916</x:v>
      </x:c>
      <x:c r="AF28" s="67" t="s">
        <x:v>916</x:v>
      </x:c>
      <x:c r="AG28" s="67" t="s">
        <x:v>916</x:v>
      </x:c>
      <x:c r="AH28" s="67" t="s">
        <x:v>916</x:v>
      </x:c>
      <x:c r="AI28" s="67" t="s">
        <x:v>916</x:v>
      </x:c>
      <x:c r="AJ28" s="67" t="s">
        <x:v>916</x:v>
      </x:c>
      <x:c r="AK28" s="67" t="s">
        <x:v>916</x:v>
      </x:c>
      <x:c r="AL28" s="67"/>
      <x:c r="AM28" s="67" t="s">
        <x:v>916</x:v>
      </x:c>
      <x:c r="AN28" s="83" t="str">
        <x:f t="shared" si="5"/>
        <x:v>Belum Dinilai</x:v>
      </x:c>
      <x:c r="AO28" s="83" t="str">
        <x:f t="shared" si="6"/>
        <x:v>Belum Dinilai</x:v>
      </x:c>
      <x:c r="AP28" s="67"/>
      <x:c r="AQ28" s="70" t="str">
        <x:f t="shared" si="7"/>
      </x:c>
      <x:c r="AR28" s="70" t="str">
        <x:f t="shared" si="8"/>
      </x:c>
      <x:c r="AS28" s="70" t="str">
        <x:f t="shared" si="9"/>
      </x:c>
      <x:c r="AT28" s="68" t="str">
        <x:f t="shared" si="10"/>
        <x:v>Belum Dapat Ditentukan</x:v>
      </x:c>
      <x:c r="AU28" s="65" t="s">
        <x:v>887</x:v>
      </x:c>
      <x:c r="AV28" s="65" t="s">
        <x:v>904</x:v>
      </x:c>
      <x:c r="AW28" s="65" t="s">
        <x:v>889</x:v>
      </x:c>
      <x:c r="AX28" s="65" t="s">
        <x:v>890</x:v>
      </x:c>
      <x:c r="AY28" s="65"/>
      <x:c r="AZ28" s="65" t="s">
        <x:v>888</x:v>
      </x:c>
      <x:c r="BA28" s="65"/>
      <x:c r="BB28" s="177"/>
      <x:c r="BC28" s="71">
        <x:v>2026</x:v>
      </x:c>
      <x:c r="BD28" s="65"/>
      <x:c r="BE28" s="177"/>
      <x:c r="BF28" s="65" t="str">
        <x:v>Dinas Perkim Kota Pangkal Pinang</x:v>
      </x:c>
    </x:row>
    <x:row r="29" ht="42">
      <x:c r="A29" s="65" t="s">
        <x:v>1103</x:v>
      </x:c>
      <x:c r="B29" s="65" t="s">
        <x:v>1104</x:v>
      </x:c>
      <x:c r="C29" s="65"/>
      <x:c r="D29" s="65"/>
      <x:c r="E29" s="65" t="s">
        <x:v>1105</x:v>
      </x:c>
      <x:c r="F29" s="65" t="s">
        <x:v>1106</x:v>
      </x:c>
      <x:c r="G29" s="65" t="s">
        <x:v>1063</x:v>
      </x:c>
      <x:c r="H29" s="65" t="s">
        <x:v>878</x:v>
      </x:c>
      <x:c r="I29" s="65" t="s">
        <x:v>1097</x:v>
      </x:c>
      <x:c r="J29" s="65" t="s">
        <x:v>910</x:v>
      </x:c>
      <x:c r="K29" s="65" t="s">
        <x:v>896</x:v>
      </x:c>
      <x:c r="L29" s="65" t="s">
        <x:v>912</x:v>
      </x:c>
      <x:c r="M29" s="65" t="s">
        <x:v>968</x:v>
      </x:c>
      <x:c r="N29" s="65" t="s">
        <x:v>912</x:v>
      </x:c>
      <x:c r="O29" s="65" t="s">
        <x:v>914</x:v>
      </x:c>
      <x:c r="P29" s="65" t="s">
        <x:v>912</x:v>
      </x:c>
      <x:c r="Q29" s="85" t="s">
        <x:v>916</x:v>
      </x:c>
      <x:c r="R29" s="85" t="s">
        <x:v>916</x:v>
      </x:c>
      <x:c r="S29" s="85" t="s">
        <x:v>916</x:v>
      </x:c>
      <x:c r="T29" s="85" t="s">
        <x:v>916</x:v>
      </x:c>
      <x:c r="U29" s="85" t="s">
        <x:v>916</x:v>
      </x:c>
      <x:c r="V29" s="85" t="s">
        <x:v>916</x:v>
      </x:c>
      <x:c r="W29" s="66"/>
      <x:c r="X29" s="83" t="str">
        <x:f t="shared" si="0"/>
        <x:v>Belum Dinilai</x:v>
      </x:c>
      <x:c r="Y29" s="83" t="str">
        <x:f t="shared" si="1"/>
        <x:v>Belum Dinilai</x:v>
      </x:c>
      <x:c r="Z29" s="84" t="str">
        <x:f t="shared" si="2"/>
      </x:c>
      <x:c r="AA29" s="84" t="str">
        <x:f t="shared" si="3"/>
      </x:c>
      <x:c r="AB29" s="84" t="str">
        <x:f t="shared" si="4"/>
      </x:c>
      <x:c r="AC29" s="67" t="s">
        <x:v>916</x:v>
      </x:c>
      <x:c r="AD29" s="67" t="s">
        <x:v>916</x:v>
      </x:c>
      <x:c r="AE29" s="67" t="s">
        <x:v>916</x:v>
      </x:c>
      <x:c r="AF29" s="67" t="s">
        <x:v>916</x:v>
      </x:c>
      <x:c r="AG29" s="67" t="s">
        <x:v>916</x:v>
      </x:c>
      <x:c r="AH29" s="67" t="s">
        <x:v>916</x:v>
      </x:c>
      <x:c r="AI29" s="67" t="s">
        <x:v>916</x:v>
      </x:c>
      <x:c r="AJ29" s="67" t="s">
        <x:v>916</x:v>
      </x:c>
      <x:c r="AK29" s="67" t="s">
        <x:v>916</x:v>
      </x:c>
      <x:c r="AL29" s="67"/>
      <x:c r="AM29" s="67" t="s">
        <x:v>916</x:v>
      </x:c>
      <x:c r="AN29" s="83" t="str">
        <x:f t="shared" si="5"/>
        <x:v>Belum Dinilai</x:v>
      </x:c>
      <x:c r="AO29" s="83" t="str">
        <x:f t="shared" si="6"/>
        <x:v>Belum Dinilai</x:v>
      </x:c>
      <x:c r="AP29" s="67"/>
      <x:c r="AQ29" s="70">
        <x:f t="shared" si="7"/>
        <x:v>43</x:v>
      </x:c>
      <x:c r="AR29" s="70" t="str">
        <x:f t="shared" si="8"/>
      </x:c>
      <x:c r="AS29" s="70" t="str">
        <x:f t="shared" si="9"/>
      </x:c>
      <x:c r="AT29" s="68" t="str">
        <x:f t="shared" si="10"/>
        <x:v>Belum Dapat Ditentukan</x:v>
      </x:c>
      <x:c r="AU29" s="65" t="s">
        <x:v>887</x:v>
      </x:c>
      <x:c r="AV29" s="65" t="s">
        <x:v>904</x:v>
      </x:c>
      <x:c r="AW29" s="65" t="s">
        <x:v>889</x:v>
      </x:c>
      <x:c r="AX29" s="65" t="s">
        <x:v>890</x:v>
      </x:c>
      <x:c r="AY29" s="65"/>
      <x:c r="AZ29" s="65" t="s">
        <x:v>888</x:v>
      </x:c>
      <x:c r="BA29" s="65"/>
      <x:c r="BB29" s="177"/>
      <x:c r="BC29" s="71">
        <x:v>2026</x:v>
      </x:c>
      <x:c r="BD29" s="65"/>
      <x:c r="BE29" s="177"/>
      <x:c r="BF29" s="65" t="str">
        <x:v>Dinas Perkim Kota Pangkal Pinang</x:v>
      </x:c>
    </x:row>
    <x:row r="30" ht="42">
      <x:c r="A30" s="65" t="s">
        <x:v>1107</x:v>
      </x:c>
      <x:c r="B30" s="65" t="s">
        <x:v>1108</x:v>
      </x:c>
      <x:c r="C30" s="65"/>
      <x:c r="D30" s="65"/>
      <x:c r="E30" s="65" t="s">
        <x:v>1109</x:v>
      </x:c>
      <x:c r="F30" s="65" t="s">
        <x:v>1106</x:v>
      </x:c>
      <x:c r="G30" s="65" t="s">
        <x:v>1063</x:v>
      </x:c>
      <x:c r="H30" s="65" t="s">
        <x:v>878</x:v>
      </x:c>
      <x:c r="I30" s="65" t="s">
        <x:v>1110</x:v>
      </x:c>
      <x:c r="J30" s="65" t="s">
        <x:v>895</x:v>
      </x:c>
      <x:c r="K30" s="65" t="s">
        <x:v>911</x:v>
      </x:c>
      <x:c r="L30" s="65" t="s">
        <x:v>897</x:v>
      </x:c>
      <x:c r="M30" s="65" t="s">
        <x:v>968</x:v>
      </x:c>
      <x:c r="N30" s="65" t="s">
        <x:v>897</x:v>
      </x:c>
      <x:c r="O30" s="65" t="s">
        <x:v>914</x:v>
      </x:c>
      <x:c r="P30" s="65" t="s">
        <x:v>897</x:v>
      </x:c>
      <x:c r="Q30" s="85" t="s">
        <x:v>916</x:v>
      </x:c>
      <x:c r="R30" s="85" t="s">
        <x:v>916</x:v>
      </x:c>
      <x:c r="S30" s="85" t="s">
        <x:v>916</x:v>
      </x:c>
      <x:c r="T30" s="85" t="s">
        <x:v>916</x:v>
      </x:c>
      <x:c r="U30" s="85" t="s">
        <x:v>916</x:v>
      </x:c>
      <x:c r="V30" s="85" t="s">
        <x:v>916</x:v>
      </x:c>
      <x:c r="W30" s="66"/>
      <x:c r="X30" s="83" t="str">
        <x:f t="shared" si="0"/>
        <x:v>Belum Dinilai</x:v>
      </x:c>
      <x:c r="Y30" s="83" t="str">
        <x:f t="shared" si="1"/>
        <x:v>Belum Dinilai</x:v>
      </x:c>
      <x:c r="Z30" s="84" t="str">
        <x:f t="shared" si="2"/>
      </x:c>
      <x:c r="AA30" s="84" t="str">
        <x:f t="shared" si="3"/>
      </x:c>
      <x:c r="AB30" s="84" t="str">
        <x:f t="shared" si="4"/>
      </x:c>
      <x:c r="AC30" s="67" t="s">
        <x:v>916</x:v>
      </x:c>
      <x:c r="AD30" s="67" t="s">
        <x:v>916</x:v>
      </x:c>
      <x:c r="AE30" s="67" t="s">
        <x:v>916</x:v>
      </x:c>
      <x:c r="AF30" s="67" t="s">
        <x:v>916</x:v>
      </x:c>
      <x:c r="AG30" s="67" t="s">
        <x:v>916</x:v>
      </x:c>
      <x:c r="AH30" s="67" t="s">
        <x:v>916</x:v>
      </x:c>
      <x:c r="AI30" s="67" t="s">
        <x:v>916</x:v>
      </x:c>
      <x:c r="AJ30" s="67" t="s">
        <x:v>916</x:v>
      </x:c>
      <x:c r="AK30" s="67" t="s">
        <x:v>916</x:v>
      </x:c>
      <x:c r="AL30" s="67"/>
      <x:c r="AM30" s="67" t="s">
        <x:v>916</x:v>
      </x:c>
      <x:c r="AN30" s="83" t="str">
        <x:f t="shared" si="5"/>
        <x:v>Belum Dinilai</x:v>
      </x:c>
      <x:c r="AO30" s="83" t="str">
        <x:f t="shared" si="6"/>
        <x:v>Belum Dinilai</x:v>
      </x:c>
      <x:c r="AP30" s="67"/>
      <x:c r="AQ30" s="70">
        <x:f t="shared" si="7"/>
        <x:v>22</x:v>
      </x:c>
      <x:c r="AR30" s="70" t="str">
        <x:f t="shared" si="8"/>
      </x:c>
      <x:c r="AS30" s="70" t="str">
        <x:f t="shared" si="9"/>
      </x:c>
      <x:c r="AT30" s="68" t="str">
        <x:f t="shared" si="10"/>
        <x:v>Belum Dapat Ditentukan</x:v>
      </x:c>
      <x:c r="AU30" s="65" t="s">
        <x:v>887</x:v>
      </x:c>
      <x:c r="AV30" s="65" t="s">
        <x:v>904</x:v>
      </x:c>
      <x:c r="AW30" s="65" t="s">
        <x:v>889</x:v>
      </x:c>
      <x:c r="AX30" s="65" t="s">
        <x:v>890</x:v>
      </x:c>
      <x:c r="AY30" s="65"/>
      <x:c r="AZ30" s="65" t="s">
        <x:v>888</x:v>
      </x:c>
      <x:c r="BA30" s="65"/>
      <x:c r="BB30" s="177"/>
      <x:c r="BC30" s="71">
        <x:v>2026</x:v>
      </x:c>
      <x:c r="BD30" s="65"/>
      <x:c r="BE30" s="177"/>
      <x:c r="BF30" s="65" t="str">
        <x:v>Dinas Perkim Kota Pangkal Pinang</x:v>
      </x:c>
    </x:row>
    <x:row r="31" ht="28">
      <x:c r="A31" s="65" t="s">
        <x:v>1111</x:v>
      </x:c>
      <x:c r="B31" s="65" t="s">
        <x:v>1112</x:v>
      </x:c>
      <x:c r="C31" s="65"/>
      <x:c r="D31" s="65"/>
      <x:c r="E31" s="65" t="s">
        <x:v>1113</x:v>
      </x:c>
      <x:c r="F31" s="65" t="s">
        <x:v>1114</x:v>
      </x:c>
      <x:c r="G31" s="65" t="s">
        <x:v>1063</x:v>
      </x:c>
      <x:c r="H31" s="65" t="s">
        <x:v>894</x:v>
      </x:c>
      <x:c r="I31" s="65" t="s">
        <x:v>1115</x:v>
      </x:c>
      <x:c r="J31" s="65" t="s">
        <x:v>879</x:v>
      </x:c>
      <x:c r="K31" s="65" t="s">
        <x:v>1000</x:v>
      </x:c>
      <x:c r="L31" s="65" t="s">
        <x:v>916</x:v>
      </x:c>
      <x:c r="M31" s="65" t="s">
        <x:v>967</x:v>
      </x:c>
      <x:c r="N31" s="65" t="s">
        <x:v>916</x:v>
      </x:c>
      <x:c r="O31" s="65" t="s">
        <x:v>1000</x:v>
      </x:c>
      <x:c r="P31" s="65" t="s">
        <x:v>916</x:v>
      </x:c>
      <x:c r="Q31" s="85" t="s">
        <x:v>916</x:v>
      </x:c>
      <x:c r="R31" s="85" t="s">
        <x:v>916</x:v>
      </x:c>
      <x:c r="S31" s="85" t="s">
        <x:v>916</x:v>
      </x:c>
      <x:c r="T31" s="85" t="s">
        <x:v>916</x:v>
      </x:c>
      <x:c r="U31" s="85" t="s">
        <x:v>916</x:v>
      </x:c>
      <x:c r="V31" s="85" t="s">
        <x:v>916</x:v>
      </x:c>
      <x:c r="W31" s="66"/>
      <x:c r="X31" s="83" t="str">
        <x:f t="shared" si="0"/>
        <x:v>Belum Dinilai</x:v>
      </x:c>
      <x:c r="Y31" s="83" t="str">
        <x:f t="shared" si="1"/>
        <x:v>Belum Dinilai</x:v>
      </x:c>
      <x:c r="Z31" s="84" t="str">
        <x:f t="shared" si="2"/>
      </x:c>
      <x:c r="AA31" s="84" t="str">
        <x:f t="shared" si="3"/>
      </x:c>
      <x:c r="AB31" s="84" t="str">
        <x:f t="shared" si="4"/>
      </x:c>
      <x:c r="AC31" s="67" t="s">
        <x:v>916</x:v>
      </x:c>
      <x:c r="AD31" s="67" t="s">
        <x:v>916</x:v>
      </x:c>
      <x:c r="AE31" s="67" t="s">
        <x:v>916</x:v>
      </x:c>
      <x:c r="AF31" s="67" t="s">
        <x:v>916</x:v>
      </x:c>
      <x:c r="AG31" s="67" t="s">
        <x:v>916</x:v>
      </x:c>
      <x:c r="AH31" s="67" t="s">
        <x:v>916</x:v>
      </x:c>
      <x:c r="AI31" s="67" t="s">
        <x:v>916</x:v>
      </x:c>
      <x:c r="AJ31" s="67" t="s">
        <x:v>916</x:v>
      </x:c>
      <x:c r="AK31" s="67" t="s">
        <x:v>916</x:v>
      </x:c>
      <x:c r="AL31" s="67"/>
      <x:c r="AM31" s="67" t="s">
        <x:v>916</x:v>
      </x:c>
      <x:c r="AN31" s="83" t="str">
        <x:f t="shared" si="5"/>
        <x:v>Belum Dinilai</x:v>
      </x:c>
      <x:c r="AO31" s="83" t="str">
        <x:f t="shared" si="6"/>
        <x:v>Belum Dinilai</x:v>
      </x:c>
      <x:c r="AP31" s="67"/>
      <x:c r="AQ31" s="70" t="str">
        <x:f t="shared" si="7"/>
      </x:c>
      <x:c r="AR31" s="70" t="str">
        <x:f t="shared" si="8"/>
      </x:c>
      <x:c r="AS31" s="70" t="str">
        <x:f t="shared" si="9"/>
      </x:c>
      <x:c r="AT31" s="68" t="str">
        <x:f t="shared" si="10"/>
        <x:v>Belum Dapat Ditentukan</x:v>
      </x:c>
      <x:c r="AU31" s="65" t="s">
        <x:v>903</x:v>
      </x:c>
      <x:c r="AV31" s="65" t="s">
        <x:v>904</x:v>
      </x:c>
      <x:c r="AW31" s="65" t="s">
        <x:v>889</x:v>
      </x:c>
      <x:c r="AX31" s="65" t="s">
        <x:v>890</x:v>
      </x:c>
      <x:c r="AY31" s="65"/>
      <x:c r="AZ31" s="65" t="s">
        <x:v>888</x:v>
      </x:c>
      <x:c r="BA31" s="65"/>
      <x:c r="BB31" s="177"/>
      <x:c r="BC31" s="71">
        <x:v>2026</x:v>
      </x:c>
      <x:c r="BD31" s="65"/>
      <x:c r="BE31" s="177"/>
      <x:c r="BF31" s="65" t="str">
        <x:v>Dinas Perkim Kota Pangkal Pinang</x:v>
      </x:c>
    </x:row>
    <x:row r="32" ht="28">
      <x:c r="A32" s="65" t="s">
        <x:v>1116</x:v>
      </x:c>
      <x:c r="B32" s="65" t="s">
        <x:v>1117</x:v>
      </x:c>
      <x:c r="C32" s="65"/>
      <x:c r="D32" s="65"/>
      <x:c r="E32" s="65" t="s">
        <x:v>1118</x:v>
      </x:c>
      <x:c r="F32" s="65" t="s">
        <x:v>1114</x:v>
      </x:c>
      <x:c r="G32" s="65" t="s">
        <x:v>1063</x:v>
      </x:c>
      <x:c r="H32" s="65" t="s">
        <x:v>894</x:v>
      </x:c>
      <x:c r="I32" s="65" t="s">
        <x:v>1115</x:v>
      </x:c>
      <x:c r="J32" s="65" t="s">
        <x:v>879</x:v>
      </x:c>
      <x:c r="K32" s="65" t="s">
        <x:v>1000</x:v>
      </x:c>
      <x:c r="L32" s="65" t="s">
        <x:v>916</x:v>
      </x:c>
      <x:c r="M32" s="65" t="s">
        <x:v>967</x:v>
      </x:c>
      <x:c r="N32" s="65" t="s">
        <x:v>916</x:v>
      </x:c>
      <x:c r="O32" s="65" t="s">
        <x:v>1000</x:v>
      </x:c>
      <x:c r="P32" s="65" t="s">
        <x:v>916</x:v>
      </x:c>
      <x:c r="Q32" s="85" t="s">
        <x:v>916</x:v>
      </x:c>
      <x:c r="R32" s="85" t="s">
        <x:v>916</x:v>
      </x:c>
      <x:c r="S32" s="85" t="s">
        <x:v>916</x:v>
      </x:c>
      <x:c r="T32" s="85" t="s">
        <x:v>916</x:v>
      </x:c>
      <x:c r="U32" s="85" t="s">
        <x:v>916</x:v>
      </x:c>
      <x:c r="V32" s="85" t="s">
        <x:v>916</x:v>
      </x:c>
      <x:c r="W32" s="66"/>
      <x:c r="X32" s="83" t="str">
        <x:f t="shared" si="0"/>
        <x:v>Belum Dinilai</x:v>
      </x:c>
      <x:c r="Y32" s="83" t="str">
        <x:f t="shared" si="1"/>
        <x:v>Belum Dinilai</x:v>
      </x:c>
      <x:c r="Z32" s="84" t="str">
        <x:f t="shared" si="2"/>
      </x:c>
      <x:c r="AA32" s="84" t="str">
        <x:f t="shared" si="3"/>
      </x:c>
      <x:c r="AB32" s="84" t="str">
        <x:f t="shared" si="4"/>
      </x:c>
      <x:c r="AC32" s="67" t="s">
        <x:v>916</x:v>
      </x:c>
      <x:c r="AD32" s="67" t="s">
        <x:v>916</x:v>
      </x:c>
      <x:c r="AE32" s="67" t="s">
        <x:v>916</x:v>
      </x:c>
      <x:c r="AF32" s="67" t="s">
        <x:v>916</x:v>
      </x:c>
      <x:c r="AG32" s="67" t="s">
        <x:v>916</x:v>
      </x:c>
      <x:c r="AH32" s="67" t="s">
        <x:v>916</x:v>
      </x:c>
      <x:c r="AI32" s="67" t="s">
        <x:v>916</x:v>
      </x:c>
      <x:c r="AJ32" s="67" t="s">
        <x:v>916</x:v>
      </x:c>
      <x:c r="AK32" s="67" t="s">
        <x:v>916</x:v>
      </x:c>
      <x:c r="AL32" s="67"/>
      <x:c r="AM32" s="67" t="s">
        <x:v>916</x:v>
      </x:c>
      <x:c r="AN32" s="83" t="str">
        <x:f t="shared" si="5"/>
        <x:v>Belum Dinilai</x:v>
      </x:c>
      <x:c r="AO32" s="83" t="str">
        <x:f t="shared" si="6"/>
        <x:v>Belum Dinilai</x:v>
      </x:c>
      <x:c r="AP32" s="67"/>
      <x:c r="AQ32" s="70" t="str">
        <x:f t="shared" si="7"/>
      </x:c>
      <x:c r="AR32" s="70" t="str">
        <x:f t="shared" si="8"/>
      </x:c>
      <x:c r="AS32" s="70" t="str">
        <x:f t="shared" si="9"/>
      </x:c>
      <x:c r="AT32" s="68" t="str">
        <x:f t="shared" si="10"/>
        <x:v>Belum Dapat Ditentukan</x:v>
      </x:c>
      <x:c r="AU32" s="65" t="s">
        <x:v>887</x:v>
      </x:c>
      <x:c r="AV32" s="65" t="s">
        <x:v>904</x:v>
      </x:c>
      <x:c r="AW32" s="65" t="s">
        <x:v>889</x:v>
      </x:c>
      <x:c r="AX32" s="65" t="s">
        <x:v>890</x:v>
      </x:c>
      <x:c r="AY32" s="65"/>
      <x:c r="AZ32" s="65" t="s">
        <x:v>888</x:v>
      </x:c>
      <x:c r="BA32" s="65"/>
      <x:c r="BB32" s="177"/>
      <x:c r="BC32" s="71">
        <x:v>2026</x:v>
      </x:c>
      <x:c r="BD32" s="65"/>
      <x:c r="BE32" s="177"/>
      <x:c r="BF32" s="65" t="str">
        <x:v>Dinas Perkim Kota Pangkal Pinang</x:v>
      </x:c>
    </x:row>
    <x:row r="33" ht="42">
      <x:c r="A33" s="65" t="s">
        <x:v>1119</x:v>
      </x:c>
      <x:c r="B33" s="65" t="s">
        <x:v>1120</x:v>
      </x:c>
      <x:c r="C33" s="65"/>
      <x:c r="D33" s="65"/>
      <x:c r="E33" s="65" t="s">
        <x:v>1121</x:v>
      </x:c>
      <x:c r="F33" s="65" t="s">
        <x:v>1114</x:v>
      </x:c>
      <x:c r="G33" s="65" t="s">
        <x:v>1063</x:v>
      </x:c>
      <x:c r="H33" s="65" t="s">
        <x:v>878</x:v>
      </x:c>
      <x:c r="I33" s="65" t="s">
        <x:v>1097</x:v>
      </x:c>
      <x:c r="J33" s="65" t="s">
        <x:v>910</x:v>
      </x:c>
      <x:c r="K33" s="65" t="s">
        <x:v>896</x:v>
      </x:c>
      <x:c r="L33" s="65" t="s">
        <x:v>912</x:v>
      </x:c>
      <x:c r="M33" s="65" t="s">
        <x:v>968</x:v>
      </x:c>
      <x:c r="N33" s="65" t="s">
        <x:v>912</x:v>
      </x:c>
      <x:c r="O33" s="65" t="s">
        <x:v>914</x:v>
      </x:c>
      <x:c r="P33" s="65" t="s">
        <x:v>912</x:v>
      </x:c>
      <x:c r="Q33" s="85" t="s">
        <x:v>916</x:v>
      </x:c>
      <x:c r="R33" s="85" t="s">
        <x:v>916</x:v>
      </x:c>
      <x:c r="S33" s="85" t="s">
        <x:v>916</x:v>
      </x:c>
      <x:c r="T33" s="85" t="s">
        <x:v>916</x:v>
      </x:c>
      <x:c r="U33" s="85" t="s">
        <x:v>916</x:v>
      </x:c>
      <x:c r="V33" s="85" t="s">
        <x:v>916</x:v>
      </x:c>
      <x:c r="W33" s="66"/>
      <x:c r="X33" s="83" t="str">
        <x:f t="shared" si="0"/>
        <x:v>Belum Dinilai</x:v>
      </x:c>
      <x:c r="Y33" s="83" t="str">
        <x:f t="shared" si="1"/>
        <x:v>Belum Dinilai</x:v>
      </x:c>
      <x:c r="Z33" s="84" t="str">
        <x:f t="shared" si="2"/>
      </x:c>
      <x:c r="AA33" s="84" t="str">
        <x:f t="shared" si="3"/>
      </x:c>
      <x:c r="AB33" s="84" t="str">
        <x:f t="shared" si="4"/>
      </x:c>
      <x:c r="AC33" s="67" t="s">
        <x:v>916</x:v>
      </x:c>
      <x:c r="AD33" s="67" t="s">
        <x:v>916</x:v>
      </x:c>
      <x:c r="AE33" s="67" t="s">
        <x:v>916</x:v>
      </x:c>
      <x:c r="AF33" s="67" t="s">
        <x:v>916</x:v>
      </x:c>
      <x:c r="AG33" s="67" t="s">
        <x:v>916</x:v>
      </x:c>
      <x:c r="AH33" s="67" t="s">
        <x:v>916</x:v>
      </x:c>
      <x:c r="AI33" s="67" t="s">
        <x:v>916</x:v>
      </x:c>
      <x:c r="AJ33" s="67" t="s">
        <x:v>916</x:v>
      </x:c>
      <x:c r="AK33" s="67" t="s">
        <x:v>916</x:v>
      </x:c>
      <x:c r="AL33" s="67"/>
      <x:c r="AM33" s="67" t="s">
        <x:v>916</x:v>
      </x:c>
      <x:c r="AN33" s="83" t="str">
        <x:f t="shared" si="5"/>
        <x:v>Belum Dinilai</x:v>
      </x:c>
      <x:c r="AO33" s="83" t="str">
        <x:f t="shared" si="6"/>
        <x:v>Belum Dinilai</x:v>
      </x:c>
      <x:c r="AP33" s="67"/>
      <x:c r="AQ33" s="70">
        <x:f t="shared" si="7"/>
        <x:v>43</x:v>
      </x:c>
      <x:c r="AR33" s="70" t="str">
        <x:f t="shared" si="8"/>
      </x:c>
      <x:c r="AS33" s="70" t="str">
        <x:f t="shared" si="9"/>
      </x:c>
      <x:c r="AT33" s="68" t="str">
        <x:f t="shared" si="10"/>
        <x:v>Belum Dapat Ditentukan</x:v>
      </x:c>
      <x:c r="AU33" s="65" t="s">
        <x:v>887</x:v>
      </x:c>
      <x:c r="AV33" s="65" t="s">
        <x:v>904</x:v>
      </x:c>
      <x:c r="AW33" s="65" t="s">
        <x:v>889</x:v>
      </x:c>
      <x:c r="AX33" s="65" t="s">
        <x:v>890</x:v>
      </x:c>
      <x:c r="AY33" s="65"/>
      <x:c r="AZ33" s="65" t="s">
        <x:v>888</x:v>
      </x:c>
      <x:c r="BA33" s="65"/>
      <x:c r="BB33" s="177"/>
      <x:c r="BC33" s="71">
        <x:v>2026</x:v>
      </x:c>
      <x:c r="BD33" s="65"/>
      <x:c r="BE33" s="177"/>
      <x:c r="BF33" s="65" t="str">
        <x:v>Dinas Perkim Kota Pangkal Pinang</x:v>
      </x:c>
    </x:row>
    <x:row r="34" ht="42">
      <x:c r="A34" s="65" t="s">
        <x:v>1122</x:v>
      </x:c>
      <x:c r="B34" s="65" t="s">
        <x:v>1123</x:v>
      </x:c>
      <x:c r="C34" s="65"/>
      <x:c r="D34" s="65"/>
      <x:c r="E34" s="65" t="s">
        <x:v>1002</x:v>
      </x:c>
      <x:c r="F34" s="65" t="s">
        <x:v>1002</x:v>
      </x:c>
      <x:c r="G34" s="65" t="s">
        <x:v>1002</x:v>
      </x:c>
      <x:c r="H34" s="65" t="s">
        <x:v>878</x:v>
      </x:c>
      <x:c r="I34" s="65" t="s">
        <x:v>1097</x:v>
      </x:c>
      <x:c r="J34" s="65" t="s">
        <x:v>910</x:v>
      </x:c>
      <x:c r="K34" s="65" t="s">
        <x:v>896</x:v>
      </x:c>
      <x:c r="L34" s="65" t="s">
        <x:v>912</x:v>
      </x:c>
      <x:c r="M34" s="65" t="s">
        <x:v>968</x:v>
      </x:c>
      <x:c r="N34" s="65" t="s">
        <x:v>912</x:v>
      </x:c>
      <x:c r="O34" s="65" t="s">
        <x:v>914</x:v>
      </x:c>
      <x:c r="P34" s="65" t="s">
        <x:v>912</x:v>
      </x:c>
      <x:c r="Q34" s="85" t="s">
        <x:v>916</x:v>
      </x:c>
      <x:c r="R34" s="85" t="s">
        <x:v>916</x:v>
      </x:c>
      <x:c r="S34" s="85" t="s">
        <x:v>916</x:v>
      </x:c>
      <x:c r="T34" s="85" t="s">
        <x:v>916</x:v>
      </x:c>
      <x:c r="U34" s="85" t="s">
        <x:v>916</x:v>
      </x:c>
      <x:c r="V34" s="85" t="s">
        <x:v>916</x:v>
      </x:c>
      <x:c r="W34" s="66"/>
      <x:c r="X34" s="83" t="str">
        <x:f t="shared" si="0"/>
        <x:v>Belum Dinilai</x:v>
      </x:c>
      <x:c r="Y34" s="83" t="str">
        <x:f t="shared" si="1"/>
        <x:v>Belum Dinilai</x:v>
      </x:c>
      <x:c r="Z34" s="84" t="str">
        <x:f t="shared" si="2"/>
      </x:c>
      <x:c r="AA34" s="84" t="str">
        <x:f t="shared" si="3"/>
      </x:c>
      <x:c r="AB34" s="84" t="str">
        <x:f t="shared" si="4"/>
      </x:c>
      <x:c r="AC34" s="67" t="s">
        <x:v>916</x:v>
      </x:c>
      <x:c r="AD34" s="67" t="s">
        <x:v>916</x:v>
      </x:c>
      <x:c r="AE34" s="67" t="s">
        <x:v>916</x:v>
      </x:c>
      <x:c r="AF34" s="67" t="s">
        <x:v>916</x:v>
      </x:c>
      <x:c r="AG34" s="67" t="s">
        <x:v>916</x:v>
      </x:c>
      <x:c r="AH34" s="67" t="s">
        <x:v>916</x:v>
      </x:c>
      <x:c r="AI34" s="67" t="s">
        <x:v>916</x:v>
      </x:c>
      <x:c r="AJ34" s="67" t="s">
        <x:v>916</x:v>
      </x:c>
      <x:c r="AK34" s="67" t="s">
        <x:v>916</x:v>
      </x:c>
      <x:c r="AL34" s="67"/>
      <x:c r="AM34" s="67" t="s">
        <x:v>916</x:v>
      </x:c>
      <x:c r="AN34" s="83" t="str">
        <x:f t="shared" si="5"/>
        <x:v>Belum Dinilai</x:v>
      </x:c>
      <x:c r="AO34" s="83" t="str">
        <x:f t="shared" si="6"/>
        <x:v>Belum Dinilai</x:v>
      </x:c>
      <x:c r="AP34" s="67"/>
      <x:c r="AQ34" s="70">
        <x:f t="shared" si="7"/>
        <x:v>43</x:v>
      </x:c>
      <x:c r="AR34" s="70" t="str">
        <x:f t="shared" si="8"/>
      </x:c>
      <x:c r="AS34" s="70" t="str">
        <x:f t="shared" si="9"/>
      </x:c>
      <x:c r="AT34" s="68" t="str">
        <x:f t="shared" si="10"/>
        <x:v>Belum Dapat Ditentukan</x:v>
      </x:c>
      <x:c r="AU34" s="65" t="s">
        <x:v>903</x:v>
      </x:c>
      <x:c r="AV34" s="65" t="s">
        <x:v>904</x:v>
      </x:c>
      <x:c r="AW34" s="65" t="s">
        <x:v>889</x:v>
      </x:c>
      <x:c r="AX34" s="65" t="s">
        <x:v>890</x:v>
      </x:c>
      <x:c r="AY34" s="65"/>
      <x:c r="AZ34" s="65" t="s">
        <x:v>888</x:v>
      </x:c>
      <x:c r="BA34" s="65"/>
      <x:c r="BB34" s="177"/>
      <x:c r="BC34" s="71">
        <x:v>2026</x:v>
      </x:c>
      <x:c r="BD34" s="65"/>
      <x:c r="BE34" s="177"/>
      <x:c r="BF34" s="65" t="str">
        <x:v>Dinas Perkim Kota Pangkal Pinang</x:v>
      </x:c>
    </x:row>
    <x:row r="35" ht="28">
      <x:c r="A35" s="65" t="s">
        <x:v>1124</x:v>
      </x:c>
      <x:c r="B35" s="65" t="s">
        <x:v>1125</x:v>
      </x:c>
      <x:c r="C35" s="82" t="s">
        <x:v>1126</x:v>
      </x:c>
      <x:c r="D35" s="82" t="s">
        <x:v>1127</x:v>
      </x:c>
      <x:c r="E35" s="65" t="s">
        <x:v>1128</x:v>
      </x:c>
      <x:c r="F35" s="65" t="s">
        <x:v>1129</x:v>
      </x:c>
      <x:c r="G35" s="65" t="s">
        <x:v>786</x:v>
      </x:c>
      <x:c r="H35" s="65" t="s">
        <x:v>878</x:v>
      </x:c>
      <x:c r="I35" s="65"/>
      <x:c r="J35" s="65" t="s">
        <x:v>910</x:v>
      </x:c>
      <x:c r="K35" s="65" t="s">
        <x:v>896</x:v>
      </x:c>
      <x:c r="L35" s="65" t="s">
        <x:v>966</x:v>
      </x:c>
      <x:c r="M35" s="65" t="s">
        <x:v>968</x:v>
      </x:c>
      <x:c r="N35" s="65" t="s">
        <x:v>912</x:v>
      </x:c>
      <x:c r="O35" s="65" t="s">
        <x:v>968</x:v>
      </x:c>
      <x:c r="P35" s="65" t="s">
        <x:v>966</x:v>
      </x:c>
      <x:c r="Q35" s="85" t="s">
        <x:v>884</x:v>
      </x:c>
      <x:c r="R35" s="85" t="s">
        <x:v>885</x:v>
      </x:c>
      <x:c r="S35" s="85" t="s">
        <x:v>901</x:v>
      </x:c>
      <x:c r="T35" s="85" t="s">
        <x:v>885</x:v>
      </x:c>
      <x:c r="U35" s="85" t="s">
        <x:v>901</x:v>
      </x:c>
      <x:c r="V35" s="85" t="s">
        <x:v>901</x:v>
      </x:c>
      <x:c r="W35" s="66"/>
      <x:c r="X35" s="83" t="str">
        <x:f t="shared" si="0"/>
        <x:v>Lansia; Kepala keluarga perempuan; </x:v>
      </x:c>
      <x:c r="Y35" s="83" t="str">
        <x:f t="shared" si="1"/>
        <x:v>2 atau Lebih Faktor Rentan</x:v>
      </x:c>
      <x:c r="Z35" s="84">
        <x:f t="shared" si="2"/>
        <x:v>10</x:v>
      </x:c>
      <x:c r="AA35" s="84">
        <x:f t="shared" si="3"/>
        <x:v>10</x:v>
      </x:c>
      <x:c r="AB35" s="84">
        <x:f t="shared" si="4"/>
        <x:v>20</x:v>
      </x:c>
      <x:c r="AC35" s="67" t="s">
        <x:v>901</x:v>
      </x:c>
      <x:c r="AD35" s="67" t="s">
        <x:v>901</x:v>
      </x:c>
      <x:c r="AE35" s="67" t="s">
        <x:v>885</x:v>
      </x:c>
      <x:c r="AF35" s="67" t="s">
        <x:v>901</x:v>
      </x:c>
      <x:c r="AG35" s="67" t="s">
        <x:v>885</x:v>
      </x:c>
      <x:c r="AH35" s="67" t="s">
        <x:v>885</x:v>
      </x:c>
      <x:c r="AI35" s="67" t="s">
        <x:v>885</x:v>
      </x:c>
      <x:c r="AJ35" s="67" t="s">
        <x:v>901</x:v>
      </x:c>
      <x:c r="AK35" s="67" t="s">
        <x:v>901</x:v>
      </x:c>
      <x:c r="AL35" s="67"/>
      <x:c r="AM35" s="67" t="s">
        <x:v>916</x:v>
      </x:c>
      <x:c r="AN35" s="83" t="str">
        <x:f t="shared" si="5"/>
        <x:v>Atap atau dinding utama hampir runtuh; Struktur rumah tidak stabil; Instalasi listrik berbahaya; Komponen bangunan lepas atau lapuk; </x:v>
      </x:c>
      <x:c r="AO35" s="83" t="str">
        <x:f t="shared" si="6"/>
        <x:v>Risiko Tinggi/Darurat</x:v>
      </x:c>
      <x:c r="AP35" s="67"/>
      <x:c r="AQ35" s="70">
        <x:f t="shared" si="7"/>
        <x:v>52</x:v>
      </x:c>
      <x:c r="AR35" s="70">
        <x:f t="shared" si="8"/>
        <x:v>10</x:v>
      </x:c>
      <x:c r="AS35" s="70">
        <x:f t="shared" si="9"/>
        <x:v>82</x:v>
      </x:c>
      <x:c r="AT35" s="68" t="str">
        <x:f t="shared" si="10"/>
        <x:v>Sangat Tinggi</x:v>
      </x:c>
      <x:c r="AU35" s="65" t="s">
        <x:v>887</x:v>
      </x:c>
      <x:c r="AV35" s="65" t="s">
        <x:v>904</x:v>
      </x:c>
      <x:c r="AW35" s="65" t="s">
        <x:v>905</x:v>
      </x:c>
      <x:c r="AX35" s="65" t="s">
        <x:v>984</x:v>
      </x:c>
      <x:c r="AY35" s="65">
        <x:v>2026</x:v>
      </x:c>
      <x:c r="AZ35" s="65" t="s">
        <x:v>891</x:v>
      </x:c>
      <x:c r="BA35" s="65"/>
      <x:c r="BB35" s="177"/>
      <x:c r="BC35" s="71"/>
      <x:c r="BD35" s="65" t="s">
        <x:v>908</x:v>
      </x:c>
      <x:c r="BE35" s="177"/>
      <x:c r="BF35" s="65" t="str">
        <x:v>Dinas Perkim Kota Pangkal Pinang</x:v>
      </x:c>
    </x:row>
    <x:row r="36" ht="56">
      <x:c r="A36" s="65" t="s">
        <x:v>1130</x:v>
      </x:c>
      <x:c r="B36" s="65" t="s">
        <x:v>1131</x:v>
      </x:c>
      <x:c r="C36" s="65"/>
      <x:c r="D36" s="65"/>
      <x:c r="E36" s="65" t="s">
        <x:v>1132</x:v>
      </x:c>
      <x:c r="F36" s="65" t="s">
        <x:v>1133</x:v>
      </x:c>
      <x:c r="G36" s="65" t="s">
        <x:v>1012</x:v>
      </x:c>
      <x:c r="H36" s="65" t="s">
        <x:v>878</x:v>
      </x:c>
      <x:c r="I36" s="65" t="s">
        <x:v>1134</x:v>
      </x:c>
      <x:c r="J36" s="65" t="s">
        <x:v>910</x:v>
      </x:c>
      <x:c r="K36" s="65" t="s">
        <x:v>896</x:v>
      </x:c>
      <x:c r="L36" s="65" t="s">
        <x:v>966</x:v>
      </x:c>
      <x:c r="M36" s="65" t="s">
        <x:v>968</x:v>
      </x:c>
      <x:c r="N36" s="65" t="s">
        <x:v>966</x:v>
      </x:c>
      <x:c r="O36" s="65" t="s">
        <x:v>968</x:v>
      </x:c>
      <x:c r="P36" s="65" t="s">
        <x:v>966</x:v>
      </x:c>
      <x:c r="Q36" s="85" t="s">
        <x:v>916</x:v>
      </x:c>
      <x:c r="R36" s="85" t="s">
        <x:v>916</x:v>
      </x:c>
      <x:c r="S36" s="85" t="s">
        <x:v>916</x:v>
      </x:c>
      <x:c r="T36" s="85" t="s">
        <x:v>916</x:v>
      </x:c>
      <x:c r="U36" s="85" t="s">
        <x:v>916</x:v>
      </x:c>
      <x:c r="V36" s="85" t="s">
        <x:v>916</x:v>
      </x:c>
      <x:c r="W36" s="66"/>
      <x:c r="X36" s="83" t="str">
        <x:f t="shared" si="0"/>
        <x:v>Belum Dinilai</x:v>
      </x:c>
      <x:c r="Y36" s="83" t="str">
        <x:f t="shared" si="1"/>
        <x:v>Belum Dinilai</x:v>
      </x:c>
      <x:c r="Z36" s="84" t="str">
        <x:f t="shared" si="2"/>
      </x:c>
      <x:c r="AA36" s="84" t="str">
        <x:f t="shared" si="3"/>
      </x:c>
      <x:c r="AB36" s="84" t="str">
        <x:f t="shared" si="4"/>
      </x:c>
      <x:c r="AC36" s="67" t="s">
        <x:v>916</x:v>
      </x:c>
      <x:c r="AD36" s="67" t="s">
        <x:v>916</x:v>
      </x:c>
      <x:c r="AE36" s="67" t="s">
        <x:v>916</x:v>
      </x:c>
      <x:c r="AF36" s="67" t="s">
        <x:v>916</x:v>
      </x:c>
      <x:c r="AG36" s="67" t="s">
        <x:v>916</x:v>
      </x:c>
      <x:c r="AH36" s="67" t="s">
        <x:v>916</x:v>
      </x:c>
      <x:c r="AI36" s="67" t="s">
        <x:v>916</x:v>
      </x:c>
      <x:c r="AJ36" s="67" t="s">
        <x:v>916</x:v>
      </x:c>
      <x:c r="AK36" s="67" t="s">
        <x:v>916</x:v>
      </x:c>
      <x:c r="AL36" s="67"/>
      <x:c r="AM36" s="67" t="s">
        <x:v>916</x:v>
      </x:c>
      <x:c r="AN36" s="83" t="str">
        <x:f t="shared" si="5"/>
        <x:v>Belum Dinilai</x:v>
      </x:c>
      <x:c r="AO36" s="83" t="str">
        <x:f t="shared" si="6"/>
        <x:v>Belum Dinilai</x:v>
      </x:c>
      <x:c r="AP36" s="67"/>
      <x:c r="AQ36" s="70">
        <x:f t="shared" si="7"/>
        <x:v>57</x:v>
      </x:c>
      <x:c r="AR36" s="70" t="str">
        <x:f t="shared" si="8"/>
      </x:c>
      <x:c r="AS36" s="70" t="str">
        <x:f t="shared" si="9"/>
      </x:c>
      <x:c r="AT36" s="68" t="str">
        <x:f t="shared" si="10"/>
        <x:v>Belum Dapat Ditentukan</x:v>
      </x:c>
      <x:c r="AU36" s="65" t="s">
        <x:v>887</x:v>
      </x:c>
      <x:c r="AV36" s="65" t="s">
        <x:v>904</x:v>
      </x:c>
      <x:c r="AW36" s="65" t="s">
        <x:v>1001</x:v>
      </x:c>
      <x:c r="AX36" s="65" t="s">
        <x:v>906</x:v>
      </x:c>
      <x:c r="AY36" s="65">
        <x:v>2023</x:v>
      </x:c>
      <x:c r="AZ36" s="65" t="s">
        <x:v>888</x:v>
      </x:c>
      <x:c r="BA36" s="65"/>
      <x:c r="BB36" s="177"/>
      <x:c r="BC36" s="71">
        <x:v>2026</x:v>
      </x:c>
      <x:c r="BD36" s="65"/>
      <x:c r="BE36" s="177"/>
      <x:c r="BF36" s="65" t="str">
        <x:v>Dinas Perkim Kota Pangkal Pinang</x:v>
      </x:c>
    </x:row>
    <x:row r="37" ht="28">
      <x:c r="A37" s="65" t="s">
        <x:v>1135</x:v>
      </x:c>
      <x:c r="B37" s="65" t="s">
        <x:v>1136</x:v>
      </x:c>
      <x:c r="C37" s="65"/>
      <x:c r="D37" s="65"/>
      <x:c r="E37" s="65" t="s">
        <x:v>1002</x:v>
      </x:c>
      <x:c r="F37" s="65" t="s">
        <x:v>1133</x:v>
      </x:c>
      <x:c r="G37" s="65" t="s">
        <x:v>1012</x:v>
      </x:c>
      <x:c r="H37" s="65" t="s">
        <x:v>878</x:v>
      </x:c>
      <x:c r="I37" s="65" t="s">
        <x:v>1137</x:v>
      </x:c>
      <x:c r="J37" s="65" t="s">
        <x:v>910</x:v>
      </x:c>
      <x:c r="K37" s="65" t="s">
        <x:v>911</x:v>
      </x:c>
      <x:c r="L37" s="65" t="s">
        <x:v>897</x:v>
      </x:c>
      <x:c r="M37" s="65" t="s">
        <x:v>968</x:v>
      </x:c>
      <x:c r="N37" s="65" t="s">
        <x:v>897</x:v>
      </x:c>
      <x:c r="O37" s="65" t="s">
        <x:v>914</x:v>
      </x:c>
      <x:c r="P37" s="65" t="s">
        <x:v>897</x:v>
      </x:c>
      <x:c r="Q37" s="85" t="s">
        <x:v>916</x:v>
      </x:c>
      <x:c r="R37" s="85" t="s">
        <x:v>916</x:v>
      </x:c>
      <x:c r="S37" s="85" t="s">
        <x:v>916</x:v>
      </x:c>
      <x:c r="T37" s="85" t="s">
        <x:v>916</x:v>
      </x:c>
      <x:c r="U37" s="85" t="s">
        <x:v>916</x:v>
      </x:c>
      <x:c r="V37" s="85" t="s">
        <x:v>916</x:v>
      </x:c>
      <x:c r="W37" s="66"/>
      <x:c r="X37" s="83" t="str">
        <x:f t="shared" si="0"/>
        <x:v>Belum Dinilai</x:v>
      </x:c>
      <x:c r="Y37" s="83" t="str">
        <x:f t="shared" si="1"/>
        <x:v>Belum Dinilai</x:v>
      </x:c>
      <x:c r="Z37" s="84" t="str">
        <x:f t="shared" si="2"/>
      </x:c>
      <x:c r="AA37" s="84" t="str">
        <x:f t="shared" si="3"/>
      </x:c>
      <x:c r="AB37" s="84" t="str">
        <x:f t="shared" si="4"/>
      </x:c>
      <x:c r="AC37" s="67" t="s">
        <x:v>916</x:v>
      </x:c>
      <x:c r="AD37" s="67" t="s">
        <x:v>916</x:v>
      </x:c>
      <x:c r="AE37" s="67" t="s">
        <x:v>916</x:v>
      </x:c>
      <x:c r="AF37" s="67" t="s">
        <x:v>916</x:v>
      </x:c>
      <x:c r="AG37" s="67" t="s">
        <x:v>916</x:v>
      </x:c>
      <x:c r="AH37" s="67" t="s">
        <x:v>916</x:v>
      </x:c>
      <x:c r="AI37" s="67" t="s">
        <x:v>916</x:v>
      </x:c>
      <x:c r="AJ37" s="67" t="s">
        <x:v>916</x:v>
      </x:c>
      <x:c r="AK37" s="67" t="s">
        <x:v>916</x:v>
      </x:c>
      <x:c r="AL37" s="67"/>
      <x:c r="AM37" s="67" t="s">
        <x:v>916</x:v>
      </x:c>
      <x:c r="AN37" s="83" t="str">
        <x:f t="shared" si="5"/>
        <x:v>Belum Dinilai</x:v>
      </x:c>
      <x:c r="AO37" s="83" t="str">
        <x:f t="shared" si="6"/>
        <x:v>Belum Dinilai</x:v>
      </x:c>
      <x:c r="AP37" s="67"/>
      <x:c r="AQ37" s="70">
        <x:f t="shared" si="7"/>
        <x:v>29</x:v>
      </x:c>
      <x:c r="AR37" s="70" t="str">
        <x:f t="shared" si="8"/>
      </x:c>
      <x:c r="AS37" s="70" t="str">
        <x:f t="shared" si="9"/>
      </x:c>
      <x:c r="AT37" s="68" t="str">
        <x:f t="shared" si="10"/>
        <x:v>Belum Dapat Ditentukan</x:v>
      </x:c>
      <x:c r="AU37" s="65" t="s">
        <x:v>903</x:v>
      </x:c>
      <x:c r="AV37" s="65" t="s">
        <x:v>904</x:v>
      </x:c>
      <x:c r="AW37" s="65" t="s">
        <x:v>889</x:v>
      </x:c>
      <x:c r="AX37" s="65" t="s">
        <x:v>890</x:v>
      </x:c>
      <x:c r="AY37" s="65"/>
      <x:c r="AZ37" s="65" t="s">
        <x:v>888</x:v>
      </x:c>
      <x:c r="BA37" s="65"/>
      <x:c r="BB37" s="177"/>
      <x:c r="BC37" s="71">
        <x:v>2026</x:v>
      </x:c>
      <x:c r="BD37" s="65"/>
      <x:c r="BE37" s="177"/>
      <x:c r="BF37" s="65" t="str">
        <x:v>Dinas Perkim Kota Pangkal Pinang</x:v>
      </x:c>
    </x:row>
    <x:row r="38" ht="56">
      <x:c r="A38" s="65" t="s">
        <x:v>1138</x:v>
      </x:c>
      <x:c r="B38" s="65" t="s">
        <x:v>1139</x:v>
      </x:c>
      <x:c r="C38" s="65"/>
      <x:c r="D38" s="65"/>
      <x:c r="E38" s="65" t="s">
        <x:v>1140</x:v>
      </x:c>
      <x:c r="F38" s="65" t="s">
        <x:v>1133</x:v>
      </x:c>
      <x:c r="G38" s="65" t="s">
        <x:v>1012</x:v>
      </x:c>
      <x:c r="H38" s="65" t="s">
        <x:v>878</x:v>
      </x:c>
      <x:c r="I38" s="65" t="s">
        <x:v>1141</x:v>
      </x:c>
      <x:c r="J38" s="65" t="s">
        <x:v>910</x:v>
      </x:c>
      <x:c r="K38" s="65" t="s">
        <x:v>896</x:v>
      </x:c>
      <x:c r="L38" s="65" t="s">
        <x:v>897</x:v>
      </x:c>
      <x:c r="M38" s="65" t="s">
        <x:v>968</x:v>
      </x:c>
      <x:c r="N38" s="65" t="s">
        <x:v>897</x:v>
      </x:c>
      <x:c r="O38" s="65" t="s">
        <x:v>914</x:v>
      </x:c>
      <x:c r="P38" s="65" t="s">
        <x:v>897</x:v>
      </x:c>
      <x:c r="Q38" s="85" t="s">
        <x:v>916</x:v>
      </x:c>
      <x:c r="R38" s="85" t="s">
        <x:v>916</x:v>
      </x:c>
      <x:c r="S38" s="85" t="s">
        <x:v>916</x:v>
      </x:c>
      <x:c r="T38" s="85" t="s">
        <x:v>916</x:v>
      </x:c>
      <x:c r="U38" s="85" t="s">
        <x:v>916</x:v>
      </x:c>
      <x:c r="V38" s="85" t="s">
        <x:v>916</x:v>
      </x:c>
      <x:c r="W38" s="66"/>
      <x:c r="X38" s="83" t="str">
        <x:f t="shared" si="0"/>
        <x:v>Belum Dinilai</x:v>
      </x:c>
      <x:c r="Y38" s="83" t="str">
        <x:f t="shared" si="1"/>
        <x:v>Belum Dinilai</x:v>
      </x:c>
      <x:c r="Z38" s="84" t="str">
        <x:f t="shared" si="2"/>
      </x:c>
      <x:c r="AA38" s="84" t="str">
        <x:f t="shared" si="3"/>
      </x:c>
      <x:c r="AB38" s="84" t="str">
        <x:f t="shared" si="4"/>
      </x:c>
      <x:c r="AC38" s="67" t="s">
        <x:v>916</x:v>
      </x:c>
      <x:c r="AD38" s="67" t="s">
        <x:v>916</x:v>
      </x:c>
      <x:c r="AE38" s="67" t="s">
        <x:v>916</x:v>
      </x:c>
      <x:c r="AF38" s="67" t="s">
        <x:v>916</x:v>
      </x:c>
      <x:c r="AG38" s="67" t="s">
        <x:v>916</x:v>
      </x:c>
      <x:c r="AH38" s="67" t="s">
        <x:v>916</x:v>
      </x:c>
      <x:c r="AI38" s="67" t="s">
        <x:v>916</x:v>
      </x:c>
      <x:c r="AJ38" s="67" t="s">
        <x:v>916</x:v>
      </x:c>
      <x:c r="AK38" s="67" t="s">
        <x:v>916</x:v>
      </x:c>
      <x:c r="AL38" s="67"/>
      <x:c r="AM38" s="67" t="s">
        <x:v>916</x:v>
      </x:c>
      <x:c r="AN38" s="83" t="str">
        <x:f t="shared" si="5"/>
        <x:v>Belum Dinilai</x:v>
      </x:c>
      <x:c r="AO38" s="83" t="str">
        <x:f t="shared" si="6"/>
        <x:v>Belum Dinilai</x:v>
      </x:c>
      <x:c r="AP38" s="67"/>
      <x:c r="AQ38" s="70">
        <x:f t="shared" si="7"/>
        <x:v>29</x:v>
      </x:c>
      <x:c r="AR38" s="70" t="str">
        <x:f t="shared" si="8"/>
      </x:c>
      <x:c r="AS38" s="70" t="str">
        <x:f t="shared" si="9"/>
      </x:c>
      <x:c r="AT38" s="68" t="str">
        <x:f t="shared" si="10"/>
        <x:v>Belum Dapat Ditentukan</x:v>
      </x:c>
      <x:c r="AU38" s="65" t="s">
        <x:v>887</x:v>
      </x:c>
      <x:c r="AV38" s="65" t="s">
        <x:v>904</x:v>
      </x:c>
      <x:c r="AW38" s="65" t="s">
        <x:v>1001</x:v>
      </x:c>
      <x:c r="AX38" s="65" t="s">
        <x:v>970</x:v>
      </x:c>
      <x:c r="AY38" s="65">
        <x:v>2023</x:v>
      </x:c>
      <x:c r="AZ38" s="65" t="s">
        <x:v>907</x:v>
      </x:c>
      <x:c r="BA38" s="65"/>
      <x:c r="BB38" s="177"/>
      <x:c r="BC38" s="71">
        <x:v>2026</x:v>
      </x:c>
      <x:c r="BD38" s="65"/>
      <x:c r="BE38" s="177"/>
      <x:c r="BF38" s="65" t="str">
        <x:v>Dinas Perkim Kota Pangkal Pinang</x:v>
      </x:c>
    </x:row>
    <x:row r="39" ht="56">
      <x:c r="A39" s="65" t="s">
        <x:v>1142</x:v>
      </x:c>
      <x:c r="B39" s="65" t="s">
        <x:v>1143</x:v>
      </x:c>
      <x:c r="C39" s="65"/>
      <x:c r="D39" s="65"/>
      <x:c r="E39" s="65" t="s">
        <x:v>1140</x:v>
      </x:c>
      <x:c r="F39" s="65" t="s">
        <x:v>1133</x:v>
      </x:c>
      <x:c r="G39" s="65" t="s">
        <x:v>1012</x:v>
      </x:c>
      <x:c r="H39" s="65" t="s">
        <x:v>878</x:v>
      </x:c>
      <x:c r="I39" s="65" t="s">
        <x:v>1141</x:v>
      </x:c>
      <x:c r="J39" s="65" t="s">
        <x:v>910</x:v>
      </x:c>
      <x:c r="K39" s="65" t="s">
        <x:v>896</x:v>
      </x:c>
      <x:c r="L39" s="65" t="s">
        <x:v>897</x:v>
      </x:c>
      <x:c r="M39" s="65" t="s">
        <x:v>968</x:v>
      </x:c>
      <x:c r="N39" s="65" t="s">
        <x:v>897</x:v>
      </x:c>
      <x:c r="O39" s="65" t="s">
        <x:v>914</x:v>
      </x:c>
      <x:c r="P39" s="65" t="s">
        <x:v>897</x:v>
      </x:c>
      <x:c r="Q39" s="85" t="s">
        <x:v>916</x:v>
      </x:c>
      <x:c r="R39" s="85" t="s">
        <x:v>916</x:v>
      </x:c>
      <x:c r="S39" s="85" t="s">
        <x:v>916</x:v>
      </x:c>
      <x:c r="T39" s="85" t="s">
        <x:v>916</x:v>
      </x:c>
      <x:c r="U39" s="85" t="s">
        <x:v>916</x:v>
      </x:c>
      <x:c r="V39" s="85" t="s">
        <x:v>916</x:v>
      </x:c>
      <x:c r="W39" s="66"/>
      <x:c r="X39" s="83" t="str">
        <x:f t="shared" si="0"/>
        <x:v>Belum Dinilai</x:v>
      </x:c>
      <x:c r="Y39" s="83" t="str">
        <x:f t="shared" si="1"/>
        <x:v>Belum Dinilai</x:v>
      </x:c>
      <x:c r="Z39" s="84" t="str">
        <x:f t="shared" si="2"/>
      </x:c>
      <x:c r="AA39" s="84" t="str">
        <x:f t="shared" si="3"/>
      </x:c>
      <x:c r="AB39" s="84" t="str">
        <x:f t="shared" si="4"/>
      </x:c>
      <x:c r="AC39" s="67" t="s">
        <x:v>916</x:v>
      </x:c>
      <x:c r="AD39" s="67" t="s">
        <x:v>916</x:v>
      </x:c>
      <x:c r="AE39" s="67" t="s">
        <x:v>916</x:v>
      </x:c>
      <x:c r="AF39" s="67" t="s">
        <x:v>916</x:v>
      </x:c>
      <x:c r="AG39" s="67" t="s">
        <x:v>916</x:v>
      </x:c>
      <x:c r="AH39" s="67" t="s">
        <x:v>916</x:v>
      </x:c>
      <x:c r="AI39" s="67" t="s">
        <x:v>916</x:v>
      </x:c>
      <x:c r="AJ39" s="67" t="s">
        <x:v>916</x:v>
      </x:c>
      <x:c r="AK39" s="67" t="s">
        <x:v>916</x:v>
      </x:c>
      <x:c r="AL39" s="67"/>
      <x:c r="AM39" s="67" t="s">
        <x:v>916</x:v>
      </x:c>
      <x:c r="AN39" s="83" t="str">
        <x:f t="shared" si="5"/>
        <x:v>Belum Dinilai</x:v>
      </x:c>
      <x:c r="AO39" s="83" t="str">
        <x:f t="shared" si="6"/>
        <x:v>Belum Dinilai</x:v>
      </x:c>
      <x:c r="AP39" s="67"/>
      <x:c r="AQ39" s="70">
        <x:f t="shared" si="7"/>
        <x:v>29</x:v>
      </x:c>
      <x:c r="AR39" s="70" t="str">
        <x:f t="shared" si="8"/>
      </x:c>
      <x:c r="AS39" s="70" t="str">
        <x:f t="shared" si="9"/>
      </x:c>
      <x:c r="AT39" s="68" t="str">
        <x:f t="shared" si="10"/>
        <x:v>Belum Dapat Ditentukan</x:v>
      </x:c>
      <x:c r="AU39" s="65" t="s">
        <x:v>887</x:v>
      </x:c>
      <x:c r="AV39" s="65" t="s">
        <x:v>904</x:v>
      </x:c>
      <x:c r="AW39" s="65" t="s">
        <x:v>1001</x:v>
      </x:c>
      <x:c r="AX39" s="65" t="s">
        <x:v>906</x:v>
      </x:c>
      <x:c r="AY39" s="65">
        <x:v>2024</x:v>
      </x:c>
      <x:c r="AZ39" s="65" t="s">
        <x:v>907</x:v>
      </x:c>
      <x:c r="BA39" s="65"/>
      <x:c r="BB39" s="177"/>
      <x:c r="BC39" s="71">
        <x:v>2026</x:v>
      </x:c>
      <x:c r="BD39" s="65"/>
      <x:c r="BE39" s="177"/>
      <x:c r="BF39" s="65" t="str">
        <x:v>Dinas Perkim Kota Pangkal Pinang</x:v>
      </x:c>
    </x:row>
    <x:row r="40" ht="42">
      <x:c r="A40" s="65" t="s">
        <x:v>1144</x:v>
      </x:c>
      <x:c r="B40" s="65" t="s">
        <x:v>1145</x:v>
      </x:c>
      <x:c r="C40" s="65"/>
      <x:c r="D40" s="65"/>
      <x:c r="E40" s="65" t="s">
        <x:v>1146</x:v>
      </x:c>
      <x:c r="F40" s="65" t="s">
        <x:v>1133</x:v>
      </x:c>
      <x:c r="G40" s="65" t="s">
        <x:v>1012</x:v>
      </x:c>
      <x:c r="H40" s="65" t="s">
        <x:v>894</x:v>
      </x:c>
      <x:c r="I40" s="65" t="s">
        <x:v>1147</x:v>
      </x:c>
      <x:c r="J40" s="65" t="s">
        <x:v>895</x:v>
      </x:c>
      <x:c r="K40" s="65" t="s">
        <x:v>896</x:v>
      </x:c>
      <x:c r="L40" s="65" t="s">
        <x:v>912</x:v>
      </x:c>
      <x:c r="M40" s="65" t="s">
        <x:v>979</x:v>
      </x:c>
      <x:c r="N40" s="65" t="s">
        <x:v>912</x:v>
      </x:c>
      <x:c r="O40" s="65" t="s">
        <x:v>883</x:v>
      </x:c>
      <x:c r="P40" s="65" t="s">
        <x:v>912</x:v>
      </x:c>
      <x:c r="Q40" s="85" t="s">
        <x:v>916</x:v>
      </x:c>
      <x:c r="R40" s="85" t="s">
        <x:v>916</x:v>
      </x:c>
      <x:c r="S40" s="85" t="s">
        <x:v>916</x:v>
      </x:c>
      <x:c r="T40" s="85" t="s">
        <x:v>916</x:v>
      </x:c>
      <x:c r="U40" s="85" t="s">
        <x:v>916</x:v>
      </x:c>
      <x:c r="V40" s="85" t="s">
        <x:v>916</x:v>
      </x:c>
      <x:c r="W40" s="66"/>
      <x:c r="X40" s="83" t="str">
        <x:f t="shared" si="0"/>
        <x:v>Belum Dinilai</x:v>
      </x:c>
      <x:c r="Y40" s="83" t="str">
        <x:f t="shared" si="1"/>
        <x:v>Belum Dinilai</x:v>
      </x:c>
      <x:c r="Z40" s="84" t="str">
        <x:f t="shared" si="2"/>
      </x:c>
      <x:c r="AA40" s="84" t="str">
        <x:f t="shared" si="3"/>
      </x:c>
      <x:c r="AB40" s="84" t="str">
        <x:f t="shared" si="4"/>
      </x:c>
      <x:c r="AC40" s="67" t="s">
        <x:v>916</x:v>
      </x:c>
      <x:c r="AD40" s="67" t="s">
        <x:v>916</x:v>
      </x:c>
      <x:c r="AE40" s="67" t="s">
        <x:v>916</x:v>
      </x:c>
      <x:c r="AF40" s="67" t="s">
        <x:v>916</x:v>
      </x:c>
      <x:c r="AG40" s="67" t="s">
        <x:v>916</x:v>
      </x:c>
      <x:c r="AH40" s="67" t="s">
        <x:v>916</x:v>
      </x:c>
      <x:c r="AI40" s="67" t="s">
        <x:v>916</x:v>
      </x:c>
      <x:c r="AJ40" s="67" t="s">
        <x:v>916</x:v>
      </x:c>
      <x:c r="AK40" s="67" t="s">
        <x:v>916</x:v>
      </x:c>
      <x:c r="AL40" s="67"/>
      <x:c r="AM40" s="67" t="s">
        <x:v>916</x:v>
      </x:c>
      <x:c r="AN40" s="83" t="str">
        <x:f t="shared" si="5"/>
        <x:v>Belum Dinilai</x:v>
      </x:c>
      <x:c r="AO40" s="83" t="str">
        <x:f t="shared" si="6"/>
        <x:v>Belum Dinilai</x:v>
      </x:c>
      <x:c r="AP40" s="67"/>
      <x:c r="AQ40" s="70">
        <x:f t="shared" si="7"/>
        <x:v>36</x:v>
      </x:c>
      <x:c r="AR40" s="70" t="str">
        <x:f t="shared" si="8"/>
      </x:c>
      <x:c r="AS40" s="70" t="str">
        <x:f t="shared" si="9"/>
      </x:c>
      <x:c r="AT40" s="68" t="str">
        <x:f t="shared" si="10"/>
        <x:v>Belum Dapat Ditentukan</x:v>
      </x:c>
      <x:c r="AU40" s="65" t="s">
        <x:v>903</x:v>
      </x:c>
      <x:c r="AV40" s="65" t="s">
        <x:v>904</x:v>
      </x:c>
      <x:c r="AW40" s="65" t="s">
        <x:v>1001</x:v>
      </x:c>
      <x:c r="AX40" s="65" t="s">
        <x:v>970</x:v>
      </x:c>
      <x:c r="AY40" s="65">
        <x:v>2023</x:v>
      </x:c>
      <x:c r="AZ40" s="65" t="s">
        <x:v>888</x:v>
      </x:c>
      <x:c r="BA40" s="65"/>
      <x:c r="BB40" s="177"/>
      <x:c r="BC40" s="71">
        <x:v>2026</x:v>
      </x:c>
      <x:c r="BD40" s="65"/>
      <x:c r="BE40" s="177"/>
      <x:c r="BF40" s="65" t="str">
        <x:v>Dinas Perkim Kota Pangkal Pinang</x:v>
      </x:c>
    </x:row>
    <x:row r="41" ht="42">
      <x:c r="A41" s="65" t="s">
        <x:v>1148</x:v>
      </x:c>
      <x:c r="B41" s="65" t="s">
        <x:v>1149</x:v>
      </x:c>
      <x:c r="C41" s="65"/>
      <x:c r="D41" s="65"/>
      <x:c r="E41" s="65" t="s">
        <x:v>1150</x:v>
      </x:c>
      <x:c r="F41" s="65" t="s">
        <x:v>1133</x:v>
      </x:c>
      <x:c r="G41" s="65" t="s">
        <x:v>1012</x:v>
      </x:c>
      <x:c r="H41" s="65" t="s">
        <x:v>878</x:v>
      </x:c>
      <x:c r="I41" s="65" t="s">
        <x:v>1151</x:v>
      </x:c>
      <x:c r="J41" s="65" t="s">
        <x:v>895</x:v>
      </x:c>
      <x:c r="K41" s="65" t="s">
        <x:v>880</x:v>
      </x:c>
      <x:c r="L41" s="65" t="s">
        <x:v>966</x:v>
      </x:c>
      <x:c r="M41" s="65" t="s">
        <x:v>968</x:v>
      </x:c>
      <x:c r="N41" s="65" t="s">
        <x:v>966</x:v>
      </x:c>
      <x:c r="O41" s="65" t="s">
        <x:v>914</x:v>
      </x:c>
      <x:c r="P41" s="65" t="s">
        <x:v>966</x:v>
      </x:c>
      <x:c r="Q41" s="85" t="s">
        <x:v>884</x:v>
      </x:c>
      <x:c r="R41" s="85" t="s">
        <x:v>901</x:v>
      </x:c>
      <x:c r="S41" s="85" t="s">
        <x:v>901</x:v>
      </x:c>
      <x:c r="T41" s="85" t="s">
        <x:v>901</x:v>
      </x:c>
      <x:c r="U41" s="85" t="s">
        <x:v>901</x:v>
      </x:c>
      <x:c r="V41" s="85" t="s">
        <x:v>901</x:v>
      </x:c>
      <x:c r="W41" s="66"/>
      <x:c r="X41" s="83" t="str">
        <x:f t="shared" si="0"/>
        <x:v>Tidak ada faktor rentan</x:v>
      </x:c>
      <x:c r="Y41" s="83" t="str">
        <x:f t="shared" si="1"/>
        <x:v>Tidak Ada Faktor Rentan</x:v>
      </x:c>
      <x:c r="Z41" s="84">
        <x:f t="shared" si="2"/>
        <x:v>10</x:v>
      </x:c>
      <x:c r="AA41" s="84">
        <x:f t="shared" si="3"/>
        <x:v>0</x:v>
      </x:c>
      <x:c r="AB41" s="84">
        <x:f t="shared" si="4"/>
        <x:v>10</x:v>
      </x:c>
      <x:c r="AC41" s="67" t="s">
        <x:v>885</x:v>
      </x:c>
      <x:c r="AD41" s="67" t="s">
        <x:v>901</x:v>
      </x:c>
      <x:c r="AE41" s="67" t="s">
        <x:v>916</x:v>
      </x:c>
      <x:c r="AF41" s="67" t="s">
        <x:v>901</x:v>
      </x:c>
      <x:c r="AG41" s="67" t="s">
        <x:v>885</x:v>
      </x:c>
      <x:c r="AH41" s="67" t="s">
        <x:v>885</x:v>
      </x:c>
      <x:c r="AI41" s="67" t="s">
        <x:v>885</x:v>
      </x:c>
      <x:c r="AJ41" s="67" t="s">
        <x:v>885</x:v>
      </x:c>
      <x:c r="AK41" s="67" t="s">
        <x:v>901</x:v>
      </x:c>
      <x:c r="AL41" s="67"/>
      <x:c r="AM41" s="67" t="s">
        <x:v>916</x:v>
      </x:c>
      <x:c r="AN41" s="83" t="str">
        <x:f t="shared" si="5"/>
        <x:v>Bangunan berpotensi roboh; Struktur rumah tidak stabil; Instalasi listrik berbahaya; Komponen bangunan lepas atau lapuk; Akses keluar atau evakuasi terbatas; </x:v>
      </x:c>
      <x:c r="AO41" s="83" t="str">
        <x:f t="shared" si="6"/>
        <x:v>Risiko Tinggi/Darurat</x:v>
      </x:c>
      <x:c r="AP41" s="67"/>
      <x:c r="AQ41" s="70">
        <x:f t="shared" si="7"/>
        <x:v>50</x:v>
      </x:c>
      <x:c r="AR41" s="70">
        <x:f t="shared" si="8"/>
        <x:v>10</x:v>
      </x:c>
      <x:c r="AS41" s="70">
        <x:f t="shared" si="9"/>
        <x:v>70</x:v>
      </x:c>
      <x:c r="AT41" s="68" t="str">
        <x:f t="shared" si="10"/>
        <x:v>Tinggi</x:v>
      </x:c>
      <x:c r="AU41" s="65" t="s">
        <x:v>903</x:v>
      </x:c>
      <x:c r="AV41" s="65" t="s">
        <x:v>904</x:v>
      </x:c>
      <x:c r="AW41" s="65" t="s">
        <x:v>1001</x:v>
      </x:c>
      <x:c r="AX41" s="65" t="s">
        <x:v>970</x:v>
      </x:c>
      <x:c r="AY41" s="65">
        <x:v>2023</x:v>
      </x:c>
      <x:c r="AZ41" s="65" t="s">
        <x:v>888</x:v>
      </x:c>
      <x:c r="BA41" s="65"/>
      <x:c r="BB41" s="177"/>
      <x:c r="BC41" s="71">
        <x:v>2026</x:v>
      </x:c>
      <x:c r="BD41" s="65"/>
      <x:c r="BE41" s="177"/>
      <x:c r="BF41" s="65" t="str">
        <x:v>Dinas Perkim Kota Pangkal Pinang</x:v>
      </x:c>
    </x:row>
    <x:row r="42" ht="42">
      <x:c r="A42" s="65" t="s">
        <x:v>1152</x:v>
      </x:c>
      <x:c r="B42" s="65" t="s">
        <x:v>1153</x:v>
      </x:c>
      <x:c r="C42" s="65"/>
      <x:c r="D42" s="65"/>
      <x:c r="E42" s="65" t="s">
        <x:v>1154</x:v>
      </x:c>
      <x:c r="F42" s="65" t="s">
        <x:v>1129</x:v>
      </x:c>
      <x:c r="G42" s="65" t="s">
        <x:v>1012</x:v>
      </x:c>
      <x:c r="H42" s="65" t="s">
        <x:v>894</x:v>
      </x:c>
      <x:c r="I42" s="65" t="s">
        <x:v>1155</x:v>
      </x:c>
      <x:c r="J42" s="65" t="s">
        <x:v>879</x:v>
      </x:c>
      <x:c r="K42" s="65" t="s">
        <x:v>896</x:v>
      </x:c>
      <x:c r="L42" s="65" t="s">
        <x:v>916</x:v>
      </x:c>
      <x:c r="M42" s="65" t="s">
        <x:v>967</x:v>
      </x:c>
      <x:c r="N42" s="65" t="s">
        <x:v>916</x:v>
      </x:c>
      <x:c r="O42" s="65" t="s">
        <x:v>914</x:v>
      </x:c>
      <x:c r="P42" s="65" t="s">
        <x:v>916</x:v>
      </x:c>
      <x:c r="Q42" s="85" t="s">
        <x:v>916</x:v>
      </x:c>
      <x:c r="R42" s="85" t="s">
        <x:v>916</x:v>
      </x:c>
      <x:c r="S42" s="85" t="s">
        <x:v>916</x:v>
      </x:c>
      <x:c r="T42" s="85" t="s">
        <x:v>916</x:v>
      </x:c>
      <x:c r="U42" s="85" t="s">
        <x:v>916</x:v>
      </x:c>
      <x:c r="V42" s="85" t="s">
        <x:v>916</x:v>
      </x:c>
      <x:c r="W42" s="66"/>
      <x:c r="X42" s="83" t="str">
        <x:f t="shared" si="0"/>
        <x:v>Belum Dinilai</x:v>
      </x:c>
      <x:c r="Y42" s="83" t="str">
        <x:f t="shared" si="1"/>
        <x:v>Belum Dinilai</x:v>
      </x:c>
      <x:c r="Z42" s="84" t="str">
        <x:f t="shared" si="2"/>
      </x:c>
      <x:c r="AA42" s="84" t="str">
        <x:f t="shared" si="3"/>
      </x:c>
      <x:c r="AB42" s="84" t="str">
        <x:f t="shared" si="4"/>
      </x:c>
      <x:c r="AC42" s="67" t="s">
        <x:v>916</x:v>
      </x:c>
      <x:c r="AD42" s="67" t="s">
        <x:v>916</x:v>
      </x:c>
      <x:c r="AE42" s="67" t="s">
        <x:v>916</x:v>
      </x:c>
      <x:c r="AF42" s="67" t="s">
        <x:v>916</x:v>
      </x:c>
      <x:c r="AG42" s="67" t="s">
        <x:v>916</x:v>
      </x:c>
      <x:c r="AH42" s="67" t="s">
        <x:v>916</x:v>
      </x:c>
      <x:c r="AI42" s="67" t="s">
        <x:v>916</x:v>
      </x:c>
      <x:c r="AJ42" s="67" t="s">
        <x:v>916</x:v>
      </x:c>
      <x:c r="AK42" s="67" t="s">
        <x:v>916</x:v>
      </x:c>
      <x:c r="AL42" s="67"/>
      <x:c r="AM42" s="67" t="s">
        <x:v>916</x:v>
      </x:c>
      <x:c r="AN42" s="83" t="str">
        <x:f t="shared" si="5"/>
        <x:v>Belum Dinilai</x:v>
      </x:c>
      <x:c r="AO42" s="83" t="str">
        <x:f t="shared" si="6"/>
        <x:v>Belum Dinilai</x:v>
      </x:c>
      <x:c r="AP42" s="67"/>
      <x:c r="AQ42" s="70" t="str">
        <x:f t="shared" si="7"/>
      </x:c>
      <x:c r="AR42" s="70" t="str">
        <x:f t="shared" si="8"/>
      </x:c>
      <x:c r="AS42" s="70" t="str">
        <x:f t="shared" si="9"/>
      </x:c>
      <x:c r="AT42" s="68" t="str">
        <x:f t="shared" si="10"/>
        <x:v>Belum Dapat Ditentukan</x:v>
      </x:c>
      <x:c r="AU42" s="65" t="s">
        <x:v>887</x:v>
      </x:c>
      <x:c r="AV42" s="65" t="s">
        <x:v>904</x:v>
      </x:c>
      <x:c r="AW42" s="65" t="s">
        <x:v>1001</x:v>
      </x:c>
      <x:c r="AX42" s="65" t="s">
        <x:v>970</x:v>
      </x:c>
      <x:c r="AY42" s="65">
        <x:v>2024</x:v>
      </x:c>
      <x:c r="AZ42" s="65" t="s">
        <x:v>888</x:v>
      </x:c>
      <x:c r="BA42" s="65"/>
      <x:c r="BB42" s="177"/>
      <x:c r="BC42" s="71">
        <x:v>2026</x:v>
      </x:c>
      <x:c r="BD42" s="65"/>
      <x:c r="BE42" s="177"/>
      <x:c r="BF42" s="65" t="str">
        <x:v>Dinas Perkim Kota Pangkal Pinang</x:v>
      </x:c>
    </x:row>
    <x:row r="43" ht="42">
      <x:c r="A43" s="65" t="s">
        <x:v>1156</x:v>
      </x:c>
      <x:c r="B43" s="65" t="s">
        <x:v>1157</x:v>
      </x:c>
      <x:c r="C43" s="65"/>
      <x:c r="D43" s="65"/>
      <x:c r="E43" s="65" t="s">
        <x:v>1158</x:v>
      </x:c>
      <x:c r="F43" s="65" t="s">
        <x:v>1159</x:v>
      </x:c>
      <x:c r="G43" s="65" t="s">
        <x:v>1012</x:v>
      </x:c>
      <x:c r="H43" s="65" t="s">
        <x:v>878</x:v>
      </x:c>
      <x:c r="I43" s="65" t="s">
        <x:v>1160</x:v>
      </x:c>
      <x:c r="J43" s="65" t="s">
        <x:v>910</x:v>
      </x:c>
      <x:c r="K43" s="65" t="s">
        <x:v>880</x:v>
      </x:c>
      <x:c r="L43" s="65" t="s">
        <x:v>912</x:v>
      </x:c>
      <x:c r="M43" s="65" t="s">
        <x:v>968</x:v>
      </x:c>
      <x:c r="N43" s="65" t="s">
        <x:v>912</x:v>
      </x:c>
      <x:c r="O43" s="65" t="s">
        <x:v>1000</x:v>
      </x:c>
      <x:c r="P43" s="65" t="s">
        <x:v>916</x:v>
      </x:c>
      <x:c r="Q43" s="85" t="s">
        <x:v>916</x:v>
      </x:c>
      <x:c r="R43" s="85" t="s">
        <x:v>916</x:v>
      </x:c>
      <x:c r="S43" s="85" t="s">
        <x:v>916</x:v>
      </x:c>
      <x:c r="T43" s="85" t="s">
        <x:v>916</x:v>
      </x:c>
      <x:c r="U43" s="85" t="s">
        <x:v>916</x:v>
      </x:c>
      <x:c r="V43" s="85" t="s">
        <x:v>916</x:v>
      </x:c>
      <x:c r="W43" s="66"/>
      <x:c r="X43" s="83" t="str">
        <x:f t="shared" si="0"/>
        <x:v>Belum Dinilai</x:v>
      </x:c>
      <x:c r="Y43" s="83" t="str">
        <x:f t="shared" si="1"/>
        <x:v>Belum Dinilai</x:v>
      </x:c>
      <x:c r="Z43" s="84" t="str">
        <x:f t="shared" si="2"/>
      </x:c>
      <x:c r="AA43" s="84" t="str">
        <x:f t="shared" si="3"/>
      </x:c>
      <x:c r="AB43" s="84" t="str">
        <x:f t="shared" si="4"/>
      </x:c>
      <x:c r="AC43" s="67" t="s">
        <x:v>916</x:v>
      </x:c>
      <x:c r="AD43" s="67" t="s">
        <x:v>916</x:v>
      </x:c>
      <x:c r="AE43" s="67" t="s">
        <x:v>916</x:v>
      </x:c>
      <x:c r="AF43" s="67" t="s">
        <x:v>916</x:v>
      </x:c>
      <x:c r="AG43" s="67" t="s">
        <x:v>916</x:v>
      </x:c>
      <x:c r="AH43" s="67" t="s">
        <x:v>916</x:v>
      </x:c>
      <x:c r="AI43" s="67" t="s">
        <x:v>916</x:v>
      </x:c>
      <x:c r="AJ43" s="67" t="s">
        <x:v>916</x:v>
      </x:c>
      <x:c r="AK43" s="67" t="s">
        <x:v>916</x:v>
      </x:c>
      <x:c r="AL43" s="67"/>
      <x:c r="AM43" s="67" t="s">
        <x:v>916</x:v>
      </x:c>
      <x:c r="AN43" s="83" t="str">
        <x:f t="shared" si="5"/>
        <x:v>Belum Dinilai</x:v>
      </x:c>
      <x:c r="AO43" s="83" t="str">
        <x:f t="shared" si="6"/>
        <x:v>Belum Dinilai</x:v>
      </x:c>
      <x:c r="AP43" s="67"/>
      <x:c r="AQ43" s="70" t="str">
        <x:f t="shared" si="7"/>
      </x:c>
      <x:c r="AR43" s="70" t="str">
        <x:f t="shared" si="8"/>
      </x:c>
      <x:c r="AS43" s="70" t="str">
        <x:f t="shared" si="9"/>
      </x:c>
      <x:c r="AT43" s="68" t="str">
        <x:f t="shared" si="10"/>
        <x:v>Belum Dapat Ditentukan</x:v>
      </x:c>
      <x:c r="AU43" s="65" t="s">
        <x:v>887</x:v>
      </x:c>
      <x:c r="AV43" s="65" t="s">
        <x:v>904</x:v>
      </x:c>
      <x:c r="AW43" s="65" t="s">
        <x:v>1001</x:v>
      </x:c>
      <x:c r="AX43" s="65" t="s">
        <x:v>906</x:v>
      </x:c>
      <x:c r="AY43" s="65">
        <x:v>2023</x:v>
      </x:c>
      <x:c r="AZ43" s="65" t="s">
        <x:v>888</x:v>
      </x:c>
      <x:c r="BA43" s="65"/>
      <x:c r="BB43" s="177"/>
      <x:c r="BC43" s="71">
        <x:v>2026</x:v>
      </x:c>
      <x:c r="BD43" s="65"/>
      <x:c r="BE43" s="177"/>
      <x:c r="BF43" s="65" t="str">
        <x:v>Dinas Perkim Kota Pangkal Pinang</x:v>
      </x:c>
    </x:row>
    <x:row r="44" ht="42">
      <x:c r="A44" s="65" t="s">
        <x:v>1161</x:v>
      </x:c>
      <x:c r="B44" s="65" t="s">
        <x:v>1162</x:v>
      </x:c>
      <x:c r="C44" s="65"/>
      <x:c r="D44" s="65"/>
      <x:c r="E44" s="65" t="s">
        <x:v>1163</x:v>
      </x:c>
      <x:c r="F44" s="65" t="s">
        <x:v>1129</x:v>
      </x:c>
      <x:c r="G44" s="65" t="s">
        <x:v>1012</x:v>
      </x:c>
      <x:c r="H44" s="65" t="s">
        <x:v>1164</x:v>
      </x:c>
      <x:c r="I44" s="65" t="s">
        <x:v>1165</x:v>
      </x:c>
      <x:c r="J44" s="65" t="s">
        <x:v>895</x:v>
      </x:c>
      <x:c r="K44" s="65" t="s">
        <x:v>896</x:v>
      </x:c>
      <x:c r="L44" s="65" t="s">
        <x:v>897</x:v>
      </x:c>
      <x:c r="M44" s="65" t="s">
        <x:v>968</x:v>
      </x:c>
      <x:c r="N44" s="65" t="s">
        <x:v>897</x:v>
      </x:c>
      <x:c r="O44" s="65" t="s">
        <x:v>883</x:v>
      </x:c>
      <x:c r="P44" s="65" t="s">
        <x:v>897</x:v>
      </x:c>
      <x:c r="Q44" s="85" t="s">
        <x:v>916</x:v>
      </x:c>
      <x:c r="R44" s="85" t="s">
        <x:v>916</x:v>
      </x:c>
      <x:c r="S44" s="85" t="s">
        <x:v>916</x:v>
      </x:c>
      <x:c r="T44" s="85" t="s">
        <x:v>916</x:v>
      </x:c>
      <x:c r="U44" s="85" t="s">
        <x:v>916</x:v>
      </x:c>
      <x:c r="V44" s="85" t="s">
        <x:v>916</x:v>
      </x:c>
      <x:c r="W44" s="66"/>
      <x:c r="X44" s="83" t="str">
        <x:f t="shared" si="0"/>
        <x:v>Belum Dinilai</x:v>
      </x:c>
      <x:c r="Y44" s="83" t="str">
        <x:f t="shared" si="1"/>
        <x:v>Belum Dinilai</x:v>
      </x:c>
      <x:c r="Z44" s="84" t="str">
        <x:f t="shared" si="2"/>
      </x:c>
      <x:c r="AA44" s="84" t="str">
        <x:f t="shared" si="3"/>
      </x:c>
      <x:c r="AB44" s="84" t="str">
        <x:f t="shared" si="4"/>
      </x:c>
      <x:c r="AC44" s="67" t="s">
        <x:v>916</x:v>
      </x:c>
      <x:c r="AD44" s="67" t="s">
        <x:v>916</x:v>
      </x:c>
      <x:c r="AE44" s="67" t="s">
        <x:v>916</x:v>
      </x:c>
      <x:c r="AF44" s="67" t="s">
        <x:v>916</x:v>
      </x:c>
      <x:c r="AG44" s="67" t="s">
        <x:v>916</x:v>
      </x:c>
      <x:c r="AH44" s="67" t="s">
        <x:v>916</x:v>
      </x:c>
      <x:c r="AI44" s="67" t="s">
        <x:v>916</x:v>
      </x:c>
      <x:c r="AJ44" s="67" t="s">
        <x:v>916</x:v>
      </x:c>
      <x:c r="AK44" s="67" t="s">
        <x:v>916</x:v>
      </x:c>
      <x:c r="AL44" s="67"/>
      <x:c r="AM44" s="67" t="s">
        <x:v>916</x:v>
      </x:c>
      <x:c r="AN44" s="83" t="str">
        <x:f t="shared" si="5"/>
        <x:v>Belum Dinilai</x:v>
      </x:c>
      <x:c r="AO44" s="83" t="str">
        <x:f t="shared" si="6"/>
        <x:v>Belum Dinilai</x:v>
      </x:c>
      <x:c r="AP44" s="67"/>
      <x:c r="AQ44" s="70">
        <x:f t="shared" si="7"/>
        <x:v>22</x:v>
      </x:c>
      <x:c r="AR44" s="70" t="str">
        <x:f t="shared" si="8"/>
      </x:c>
      <x:c r="AS44" s="70" t="str">
        <x:f t="shared" si="9"/>
      </x:c>
      <x:c r="AT44" s="68" t="str">
        <x:f t="shared" si="10"/>
        <x:v>Belum Dapat Ditentukan</x:v>
      </x:c>
      <x:c r="AU44" s="65" t="s">
        <x:v>887</x:v>
      </x:c>
      <x:c r="AV44" s="65" t="s">
        <x:v>904</x:v>
      </x:c>
      <x:c r="AW44" s="65" t="s">
        <x:v>1001</x:v>
      </x:c>
      <x:c r="AX44" s="65" t="s">
        <x:v>970</x:v>
      </x:c>
      <x:c r="AY44" s="65">
        <x:v>2024</x:v>
      </x:c>
      <x:c r="AZ44" s="65" t="s">
        <x:v>888</x:v>
      </x:c>
      <x:c r="BA44" s="65"/>
      <x:c r="BB44" s="177"/>
      <x:c r="BC44" s="71">
        <x:v>2026</x:v>
      </x:c>
      <x:c r="BD44" s="65"/>
      <x:c r="BE44" s="177"/>
      <x:c r="BF44" s="65" t="str">
        <x:v>Dinas Perkim Kota Pangkal Pinang</x:v>
      </x:c>
    </x:row>
    <x:row r="45" ht="28">
      <x:c r="A45" s="65" t="s">
        <x:v>1166</x:v>
      </x:c>
      <x:c r="B45" s="65" t="s">
        <x:v>1167</x:v>
      </x:c>
      <x:c r="C45" s="65"/>
      <x:c r="D45" s="65"/>
      <x:c r="E45" s="65" t="s">
        <x:v>1163</x:v>
      </x:c>
      <x:c r="F45" s="65" t="s">
        <x:v>1129</x:v>
      </x:c>
      <x:c r="G45" s="65" t="s">
        <x:v>1012</x:v>
      </x:c>
      <x:c r="H45" s="65" t="s">
        <x:v>1164</x:v>
      </x:c>
      <x:c r="I45" s="65" t="s">
        <x:v>1168</x:v>
      </x:c>
      <x:c r="J45" s="65" t="s">
        <x:v>879</x:v>
      </x:c>
      <x:c r="K45" s="65" t="s">
        <x:v>896</x:v>
      </x:c>
      <x:c r="L45" s="65" t="s">
        <x:v>916</x:v>
      </x:c>
      <x:c r="M45" s="65" t="s">
        <x:v>967</x:v>
      </x:c>
      <x:c r="N45" s="65" t="s">
        <x:v>916</x:v>
      </x:c>
      <x:c r="O45" s="65" t="s">
        <x:v>914</x:v>
      </x:c>
      <x:c r="P45" s="65" t="s">
        <x:v>916</x:v>
      </x:c>
      <x:c r="Q45" s="85" t="s">
        <x:v>916</x:v>
      </x:c>
      <x:c r="R45" s="85" t="s">
        <x:v>916</x:v>
      </x:c>
      <x:c r="S45" s="85" t="s">
        <x:v>916</x:v>
      </x:c>
      <x:c r="T45" s="85" t="s">
        <x:v>916</x:v>
      </x:c>
      <x:c r="U45" s="85" t="s">
        <x:v>916</x:v>
      </x:c>
      <x:c r="V45" s="85" t="s">
        <x:v>916</x:v>
      </x:c>
      <x:c r="W45" s="66"/>
      <x:c r="X45" s="83" t="str">
        <x:f t="shared" si="0"/>
        <x:v>Belum Dinilai</x:v>
      </x:c>
      <x:c r="Y45" s="83" t="str">
        <x:f t="shared" si="1"/>
        <x:v>Belum Dinilai</x:v>
      </x:c>
      <x:c r="Z45" s="84" t="str">
        <x:f t="shared" si="2"/>
      </x:c>
      <x:c r="AA45" s="84" t="str">
        <x:f t="shared" si="3"/>
      </x:c>
      <x:c r="AB45" s="84" t="str">
        <x:f t="shared" si="4"/>
      </x:c>
      <x:c r="AC45" s="67" t="s">
        <x:v>916</x:v>
      </x:c>
      <x:c r="AD45" s="67" t="s">
        <x:v>916</x:v>
      </x:c>
      <x:c r="AE45" s="67" t="s">
        <x:v>916</x:v>
      </x:c>
      <x:c r="AF45" s="67" t="s">
        <x:v>916</x:v>
      </x:c>
      <x:c r="AG45" s="67" t="s">
        <x:v>916</x:v>
      </x:c>
      <x:c r="AH45" s="67" t="s">
        <x:v>916</x:v>
      </x:c>
      <x:c r="AI45" s="67" t="s">
        <x:v>916</x:v>
      </x:c>
      <x:c r="AJ45" s="67" t="s">
        <x:v>916</x:v>
      </x:c>
      <x:c r="AK45" s="67" t="s">
        <x:v>916</x:v>
      </x:c>
      <x:c r="AL45" s="67"/>
      <x:c r="AM45" s="67" t="s">
        <x:v>916</x:v>
      </x:c>
      <x:c r="AN45" s="83" t="str">
        <x:f t="shared" si="5"/>
        <x:v>Belum Dinilai</x:v>
      </x:c>
      <x:c r="AO45" s="83" t="str">
        <x:f t="shared" si="6"/>
        <x:v>Belum Dinilai</x:v>
      </x:c>
      <x:c r="AP45" s="67"/>
      <x:c r="AQ45" s="70" t="str">
        <x:f t="shared" si="7"/>
      </x:c>
      <x:c r="AR45" s="70" t="str">
        <x:f t="shared" si="8"/>
      </x:c>
      <x:c r="AS45" s="70" t="str">
        <x:f t="shared" si="9"/>
      </x:c>
      <x:c r="AT45" s="68" t="str">
        <x:f t="shared" si="10"/>
        <x:v>Belum Dapat Ditentukan</x:v>
      </x:c>
      <x:c r="AU45" s="65" t="s">
        <x:v>887</x:v>
      </x:c>
      <x:c r="AV45" s="65" t="s">
        <x:v>904</x:v>
      </x:c>
      <x:c r="AW45" s="65" t="s">
        <x:v>889</x:v>
      </x:c>
      <x:c r="AX45" s="65" t="s">
        <x:v>890</x:v>
      </x:c>
      <x:c r="AY45" s="65"/>
      <x:c r="AZ45" s="65" t="s">
        <x:v>888</x:v>
      </x:c>
      <x:c r="BA45" s="65"/>
      <x:c r="BB45" s="177"/>
      <x:c r="BC45" s="71">
        <x:v>2026</x:v>
      </x:c>
      <x:c r="BD45" s="65"/>
      <x:c r="BE45" s="177"/>
      <x:c r="BF45" s="65" t="str">
        <x:v>Dinas Perkim Kota Pangkal Pinang</x:v>
      </x:c>
    </x:row>
    <x:row r="46" ht="28">
      <x:c r="A46" s="65" t="s">
        <x:v>1169</x:v>
      </x:c>
      <x:c r="B46" s="65" t="s">
        <x:v>1170</x:v>
      </x:c>
      <x:c r="C46" s="65"/>
      <x:c r="D46" s="65"/>
      <x:c r="E46" s="65" t="s">
        <x:v>1002</x:v>
      </x:c>
      <x:c r="F46" s="65" t="s">
        <x:v>1129</x:v>
      </x:c>
      <x:c r="G46" s="65" t="s">
        <x:v>1012</x:v>
      </x:c>
      <x:c r="H46" s="65" t="s">
        <x:v>878</x:v>
      </x:c>
      <x:c r="I46" s="65" t="s">
        <x:v>991</x:v>
      </x:c>
      <x:c r="J46" s="65" t="s">
        <x:v>910</x:v>
      </x:c>
      <x:c r="K46" s="65" t="s">
        <x:v>1000</x:v>
      </x:c>
      <x:c r="L46" s="65" t="s">
        <x:v>916</x:v>
      </x:c>
      <x:c r="M46" s="65" t="s">
        <x:v>968</x:v>
      </x:c>
      <x:c r="N46" s="65" t="s">
        <x:v>916</x:v>
      </x:c>
      <x:c r="O46" s="65" t="s">
        <x:v>1000</x:v>
      </x:c>
      <x:c r="P46" s="65" t="s">
        <x:v>916</x:v>
      </x:c>
      <x:c r="Q46" s="85" t="s">
        <x:v>916</x:v>
      </x:c>
      <x:c r="R46" s="85" t="s">
        <x:v>916</x:v>
      </x:c>
      <x:c r="S46" s="85" t="s">
        <x:v>916</x:v>
      </x:c>
      <x:c r="T46" s="85" t="s">
        <x:v>916</x:v>
      </x:c>
      <x:c r="U46" s="85" t="s">
        <x:v>916</x:v>
      </x:c>
      <x:c r="V46" s="85" t="s">
        <x:v>916</x:v>
      </x:c>
      <x:c r="W46" s="66"/>
      <x:c r="X46" s="83" t="str">
        <x:f t="shared" si="0"/>
        <x:v>Belum Dinilai</x:v>
      </x:c>
      <x:c r="Y46" s="83" t="str">
        <x:f t="shared" si="1"/>
        <x:v>Belum Dinilai</x:v>
      </x:c>
      <x:c r="Z46" s="84" t="str">
        <x:f t="shared" si="2"/>
      </x:c>
      <x:c r="AA46" s="84" t="str">
        <x:f t="shared" si="3"/>
      </x:c>
      <x:c r="AB46" s="84" t="str">
        <x:f t="shared" si="4"/>
      </x:c>
      <x:c r="AC46" s="67" t="s">
        <x:v>916</x:v>
      </x:c>
      <x:c r="AD46" s="67" t="s">
        <x:v>916</x:v>
      </x:c>
      <x:c r="AE46" s="67" t="s">
        <x:v>916</x:v>
      </x:c>
      <x:c r="AF46" s="67" t="s">
        <x:v>916</x:v>
      </x:c>
      <x:c r="AG46" s="67" t="s">
        <x:v>916</x:v>
      </x:c>
      <x:c r="AH46" s="67" t="s">
        <x:v>916</x:v>
      </x:c>
      <x:c r="AI46" s="67" t="s">
        <x:v>916</x:v>
      </x:c>
      <x:c r="AJ46" s="67" t="s">
        <x:v>916</x:v>
      </x:c>
      <x:c r="AK46" s="67" t="s">
        <x:v>916</x:v>
      </x:c>
      <x:c r="AL46" s="67"/>
      <x:c r="AM46" s="67" t="s">
        <x:v>916</x:v>
      </x:c>
      <x:c r="AN46" s="83" t="str">
        <x:f t="shared" si="5"/>
        <x:v>Belum Dinilai</x:v>
      </x:c>
      <x:c r="AO46" s="83" t="str">
        <x:f t="shared" si="6"/>
        <x:v>Belum Dinilai</x:v>
      </x:c>
      <x:c r="AP46" s="67"/>
      <x:c r="AQ46" s="70" t="str">
        <x:f t="shared" si="7"/>
      </x:c>
      <x:c r="AR46" s="70" t="str">
        <x:f t="shared" si="8"/>
      </x:c>
      <x:c r="AS46" s="70" t="str">
        <x:f t="shared" si="9"/>
      </x:c>
      <x:c r="AT46" s="68" t="str">
        <x:f t="shared" si="10"/>
        <x:v>Belum Dapat Ditentukan</x:v>
      </x:c>
      <x:c r="AU46" s="65" t="s">
        <x:v>887</x:v>
      </x:c>
      <x:c r="AV46" s="65" t="s">
        <x:v>904</x:v>
      </x:c>
      <x:c r="AW46" s="65" t="s">
        <x:v>1001</x:v>
      </x:c>
      <x:c r="AX46" s="65" t="s">
        <x:v>970</x:v>
      </x:c>
      <x:c r="AY46" s="65">
        <x:v>2024</x:v>
      </x:c>
      <x:c r="AZ46" s="65" t="s">
        <x:v>888</x:v>
      </x:c>
      <x:c r="BA46" s="65"/>
      <x:c r="BB46" s="177"/>
      <x:c r="BC46" s="71">
        <x:v>2026</x:v>
      </x:c>
      <x:c r="BD46" s="65"/>
      <x:c r="BE46" s="177"/>
      <x:c r="BF46" s="65" t="str">
        <x:v>Dinas Perkim Kota Pangkal Pinang</x:v>
      </x:c>
    </x:row>
    <x:row r="47" ht="42">
      <x:c r="A47" s="65" t="s">
        <x:v>1171</x:v>
      </x:c>
      <x:c r="B47" s="65" t="s">
        <x:v>1172</x:v>
      </x:c>
      <x:c r="C47" s="65"/>
      <x:c r="D47" s="65"/>
      <x:c r="E47" s="65" t="s">
        <x:v>1002</x:v>
      </x:c>
      <x:c r="F47" s="65" t="s">
        <x:v>1173</x:v>
      </x:c>
      <x:c r="G47" s="65" t="s">
        <x:v>1012</x:v>
      </x:c>
      <x:c r="H47" s="65" t="s">
        <x:v>878</x:v>
      </x:c>
      <x:c r="I47" s="65" t="s">
        <x:v>1174</x:v>
      </x:c>
      <x:c r="J47" s="65" t="s">
        <x:v>910</x:v>
      </x:c>
      <x:c r="K47" s="65" t="s">
        <x:v>896</x:v>
      </x:c>
      <x:c r="L47" s="65" t="s">
        <x:v>966</x:v>
      </x:c>
      <x:c r="M47" s="65" t="s">
        <x:v>968</x:v>
      </x:c>
      <x:c r="N47" s="65" t="s">
        <x:v>966</x:v>
      </x:c>
      <x:c r="O47" s="65" t="s">
        <x:v>914</x:v>
      </x:c>
      <x:c r="P47" s="65" t="s">
        <x:v>966</x:v>
      </x:c>
      <x:c r="Q47" s="85" t="s">
        <x:v>916</x:v>
      </x:c>
      <x:c r="R47" s="85" t="s">
        <x:v>916</x:v>
      </x:c>
      <x:c r="S47" s="85" t="s">
        <x:v>916</x:v>
      </x:c>
      <x:c r="T47" s="85" t="s">
        <x:v>916</x:v>
      </x:c>
      <x:c r="U47" s="85" t="s">
        <x:v>916</x:v>
      </x:c>
      <x:c r="V47" s="85" t="s">
        <x:v>916</x:v>
      </x:c>
      <x:c r="W47" s="66"/>
      <x:c r="X47" s="83" t="str">
        <x:f t="shared" si="0"/>
        <x:v>Belum Dinilai</x:v>
      </x:c>
      <x:c r="Y47" s="83" t="str">
        <x:f t="shared" si="1"/>
        <x:v>Belum Dinilai</x:v>
      </x:c>
      <x:c r="Z47" s="84" t="str">
        <x:f t="shared" si="2"/>
      </x:c>
      <x:c r="AA47" s="84" t="str">
        <x:f t="shared" si="3"/>
      </x:c>
      <x:c r="AB47" s="84" t="str">
        <x:f t="shared" si="4"/>
      </x:c>
      <x:c r="AC47" s="67" t="s">
        <x:v>916</x:v>
      </x:c>
      <x:c r="AD47" s="67" t="s">
        <x:v>916</x:v>
      </x:c>
      <x:c r="AE47" s="67" t="s">
        <x:v>916</x:v>
      </x:c>
      <x:c r="AF47" s="67" t="s">
        <x:v>916</x:v>
      </x:c>
      <x:c r="AG47" s="67" t="s">
        <x:v>916</x:v>
      </x:c>
      <x:c r="AH47" s="67" t="s">
        <x:v>916</x:v>
      </x:c>
      <x:c r="AI47" s="67" t="s">
        <x:v>916</x:v>
      </x:c>
      <x:c r="AJ47" s="67" t="s">
        <x:v>916</x:v>
      </x:c>
      <x:c r="AK47" s="67" t="s">
        <x:v>916</x:v>
      </x:c>
      <x:c r="AL47" s="67"/>
      <x:c r="AM47" s="67" t="s">
        <x:v>916</x:v>
      </x:c>
      <x:c r="AN47" s="83" t="str">
        <x:f t="shared" si="5"/>
        <x:v>Belum Dinilai</x:v>
      </x:c>
      <x:c r="AO47" s="83" t="str">
        <x:f t="shared" si="6"/>
        <x:v>Belum Dinilai</x:v>
      </x:c>
      <x:c r="AP47" s="67"/>
      <x:c r="AQ47" s="70">
        <x:f t="shared" si="7"/>
        <x:v>57</x:v>
      </x:c>
      <x:c r="AR47" s="70" t="str">
        <x:f t="shared" si="8"/>
      </x:c>
      <x:c r="AS47" s="70" t="str">
        <x:f t="shared" si="9"/>
      </x:c>
      <x:c r="AT47" s="68" t="str">
        <x:f t="shared" si="10"/>
        <x:v>Belum Dapat Ditentukan</x:v>
      </x:c>
      <x:c r="AU47" s="65" t="s">
        <x:v>887</x:v>
      </x:c>
      <x:c r="AV47" s="65" t="s">
        <x:v>904</x:v>
      </x:c>
      <x:c r="AW47" s="65" t="s">
        <x:v>1001</x:v>
      </x:c>
      <x:c r="AX47" s="65" t="s">
        <x:v>970</x:v>
      </x:c>
      <x:c r="AY47" s="65">
        <x:v>2023</x:v>
      </x:c>
      <x:c r="AZ47" s="65" t="s">
        <x:v>888</x:v>
      </x:c>
      <x:c r="BA47" s="65"/>
      <x:c r="BB47" s="177"/>
      <x:c r="BC47" s="71">
        <x:v>2026</x:v>
      </x:c>
      <x:c r="BD47" s="65"/>
      <x:c r="BE47" s="177"/>
      <x:c r="BF47" s="65" t="str">
        <x:v>Dinas Perkim Kota Pangkal Pinang</x:v>
      </x:c>
    </x:row>
    <x:row r="48" ht="56">
      <x:c r="A48" s="65" t="s">
        <x:v>1175</x:v>
      </x:c>
      <x:c r="B48" s="65" t="s">
        <x:v>1176</x:v>
      </x:c>
      <x:c r="C48" s="65"/>
      <x:c r="D48" s="65"/>
      <x:c r="E48" s="65" t="s">
        <x:v>1177</x:v>
      </x:c>
      <x:c r="F48" s="65" t="s">
        <x:v>1173</x:v>
      </x:c>
      <x:c r="G48" s="65" t="s">
        <x:v>1012</x:v>
      </x:c>
      <x:c r="H48" s="65" t="s">
        <x:v>1164</x:v>
      </x:c>
      <x:c r="I48" s="65" t="s">
        <x:v>1178</x:v>
      </x:c>
      <x:c r="J48" s="65" t="s">
        <x:v>895</x:v>
      </x:c>
      <x:c r="K48" s="65" t="s">
        <x:v>880</x:v>
      </x:c>
      <x:c r="L48" s="65" t="s">
        <x:v>916</x:v>
      </x:c>
      <x:c r="M48" s="65" t="s">
        <x:v>979</x:v>
      </x:c>
      <x:c r="N48" s="65" t="s">
        <x:v>916</x:v>
      </x:c>
      <x:c r="O48" s="65" t="s">
        <x:v>914</x:v>
      </x:c>
      <x:c r="P48" s="65" t="s">
        <x:v>916</x:v>
      </x:c>
      <x:c r="Q48" s="85" t="s">
        <x:v>916</x:v>
      </x:c>
      <x:c r="R48" s="85" t="s">
        <x:v>916</x:v>
      </x:c>
      <x:c r="S48" s="85" t="s">
        <x:v>916</x:v>
      </x:c>
      <x:c r="T48" s="85" t="s">
        <x:v>916</x:v>
      </x:c>
      <x:c r="U48" s="85" t="s">
        <x:v>916</x:v>
      </x:c>
      <x:c r="V48" s="85" t="s">
        <x:v>916</x:v>
      </x:c>
      <x:c r="W48" s="66"/>
      <x:c r="X48" s="83" t="str">
        <x:f t="shared" si="0"/>
        <x:v>Belum Dinilai</x:v>
      </x:c>
      <x:c r="Y48" s="83" t="str">
        <x:f t="shared" si="1"/>
        <x:v>Belum Dinilai</x:v>
      </x:c>
      <x:c r="Z48" s="84" t="str">
        <x:f t="shared" si="2"/>
      </x:c>
      <x:c r="AA48" s="84" t="str">
        <x:f t="shared" si="3"/>
      </x:c>
      <x:c r="AB48" s="84" t="str">
        <x:f t="shared" si="4"/>
      </x:c>
      <x:c r="AC48" s="67" t="s">
        <x:v>916</x:v>
      </x:c>
      <x:c r="AD48" s="67" t="s">
        <x:v>916</x:v>
      </x:c>
      <x:c r="AE48" s="67" t="s">
        <x:v>916</x:v>
      </x:c>
      <x:c r="AF48" s="67" t="s">
        <x:v>916</x:v>
      </x:c>
      <x:c r="AG48" s="67" t="s">
        <x:v>916</x:v>
      </x:c>
      <x:c r="AH48" s="67" t="s">
        <x:v>916</x:v>
      </x:c>
      <x:c r="AI48" s="67" t="s">
        <x:v>916</x:v>
      </x:c>
      <x:c r="AJ48" s="67" t="s">
        <x:v>916</x:v>
      </x:c>
      <x:c r="AK48" s="67" t="s">
        <x:v>916</x:v>
      </x:c>
      <x:c r="AL48" s="67"/>
      <x:c r="AM48" s="67" t="s">
        <x:v>916</x:v>
      </x:c>
      <x:c r="AN48" s="83" t="str">
        <x:f t="shared" si="5"/>
        <x:v>Belum Dinilai</x:v>
      </x:c>
      <x:c r="AO48" s="83" t="str">
        <x:f t="shared" si="6"/>
        <x:v>Belum Dinilai</x:v>
      </x:c>
      <x:c r="AP48" s="67"/>
      <x:c r="AQ48" s="70" t="str">
        <x:f t="shared" si="7"/>
      </x:c>
      <x:c r="AR48" s="70" t="str">
        <x:f t="shared" si="8"/>
      </x:c>
      <x:c r="AS48" s="70" t="str">
        <x:f t="shared" si="9"/>
      </x:c>
      <x:c r="AT48" s="68" t="str">
        <x:f t="shared" si="10"/>
        <x:v>Belum Dapat Ditentukan</x:v>
      </x:c>
      <x:c r="AU48" s="65" t="s">
        <x:v>887</x:v>
      </x:c>
      <x:c r="AV48" s="65" t="s">
        <x:v>904</x:v>
      </x:c>
      <x:c r="AW48" s="65" t="s">
        <x:v>1001</x:v>
      </x:c>
      <x:c r="AX48" s="65" t="s">
        <x:v>918</x:v>
      </x:c>
      <x:c r="AY48" s="65">
        <x:v>2023</x:v>
      </x:c>
      <x:c r="AZ48" s="65" t="s">
        <x:v>888</x:v>
      </x:c>
      <x:c r="BA48" s="65"/>
      <x:c r="BB48" s="177"/>
      <x:c r="BC48" s="71">
        <x:v>2026</x:v>
      </x:c>
      <x:c r="BD48" s="65"/>
      <x:c r="BE48" s="177"/>
      <x:c r="BF48" s="65" t="str">
        <x:v>Dinas Perkim Kota Pangkal Pinang</x:v>
      </x:c>
    </x:row>
    <x:row r="49" ht="56">
      <x:c r="A49" s="65" t="s">
        <x:v>1179</x:v>
      </x:c>
      <x:c r="B49" s="65" t="s">
        <x:v>1180</x:v>
      </x:c>
      <x:c r="C49" s="65"/>
      <x:c r="D49" s="65"/>
      <x:c r="E49" s="65" t="s">
        <x:v>1181</x:v>
      </x:c>
      <x:c r="F49" s="65" t="s">
        <x:v>1173</x:v>
      </x:c>
      <x:c r="G49" s="65" t="s">
        <x:v>1012</x:v>
      </x:c>
      <x:c r="H49" s="65" t="s">
        <x:v>878</x:v>
      </x:c>
      <x:c r="I49" s="65" t="s">
        <x:v>1182</x:v>
      </x:c>
      <x:c r="J49" s="65" t="s">
        <x:v>895</x:v>
      </x:c>
      <x:c r="K49" s="65" t="s">
        <x:v>911</x:v>
      </x:c>
      <x:c r="L49" s="65" t="s">
        <x:v>897</x:v>
      </x:c>
      <x:c r="M49" s="65" t="s">
        <x:v>968</x:v>
      </x:c>
      <x:c r="N49" s="65" t="s">
        <x:v>897</x:v>
      </x:c>
      <x:c r="O49" s="65" t="s">
        <x:v>914</x:v>
      </x:c>
      <x:c r="P49" s="65" t="s">
        <x:v>897</x:v>
      </x:c>
      <x:c r="Q49" s="85" t="s">
        <x:v>916</x:v>
      </x:c>
      <x:c r="R49" s="85" t="s">
        <x:v>916</x:v>
      </x:c>
      <x:c r="S49" s="85" t="s">
        <x:v>916</x:v>
      </x:c>
      <x:c r="T49" s="85" t="s">
        <x:v>916</x:v>
      </x:c>
      <x:c r="U49" s="85" t="s">
        <x:v>916</x:v>
      </x:c>
      <x:c r="V49" s="85" t="s">
        <x:v>916</x:v>
      </x:c>
      <x:c r="W49" s="66"/>
      <x:c r="X49" s="83" t="str">
        <x:f t="shared" si="0"/>
        <x:v>Belum Dinilai</x:v>
      </x:c>
      <x:c r="Y49" s="83" t="str">
        <x:f t="shared" si="1"/>
        <x:v>Belum Dinilai</x:v>
      </x:c>
      <x:c r="Z49" s="84" t="str">
        <x:f t="shared" si="2"/>
      </x:c>
      <x:c r="AA49" s="84" t="str">
        <x:f t="shared" si="3"/>
      </x:c>
      <x:c r="AB49" s="84" t="str">
        <x:f t="shared" si="4"/>
      </x:c>
      <x:c r="AC49" s="67" t="s">
        <x:v>916</x:v>
      </x:c>
      <x:c r="AD49" s="67" t="s">
        <x:v>916</x:v>
      </x:c>
      <x:c r="AE49" s="67" t="s">
        <x:v>916</x:v>
      </x:c>
      <x:c r="AF49" s="67" t="s">
        <x:v>916</x:v>
      </x:c>
      <x:c r="AG49" s="67" t="s">
        <x:v>916</x:v>
      </x:c>
      <x:c r="AH49" s="67" t="s">
        <x:v>916</x:v>
      </x:c>
      <x:c r="AI49" s="67" t="s">
        <x:v>916</x:v>
      </x:c>
      <x:c r="AJ49" s="67" t="s">
        <x:v>916</x:v>
      </x:c>
      <x:c r="AK49" s="67" t="s">
        <x:v>916</x:v>
      </x:c>
      <x:c r="AL49" s="67"/>
      <x:c r="AM49" s="67" t="s">
        <x:v>916</x:v>
      </x:c>
      <x:c r="AN49" s="83" t="str">
        <x:f t="shared" si="5"/>
        <x:v>Belum Dinilai</x:v>
      </x:c>
      <x:c r="AO49" s="83" t="str">
        <x:f t="shared" si="6"/>
        <x:v>Belum Dinilai</x:v>
      </x:c>
      <x:c r="AP49" s="67"/>
      <x:c r="AQ49" s="70">
        <x:f t="shared" si="7"/>
        <x:v>22</x:v>
      </x:c>
      <x:c r="AR49" s="70" t="str">
        <x:f t="shared" si="8"/>
      </x:c>
      <x:c r="AS49" s="70" t="str">
        <x:f t="shared" si="9"/>
      </x:c>
      <x:c r="AT49" s="68" t="str">
        <x:f t="shared" si="10"/>
        <x:v>Belum Dapat Ditentukan</x:v>
      </x:c>
      <x:c r="AU49" s="65" t="s">
        <x:v>887</x:v>
      </x:c>
      <x:c r="AV49" s="65" t="s">
        <x:v>904</x:v>
      </x:c>
      <x:c r="AW49" s="65" t="s">
        <x:v>1001</x:v>
      </x:c>
      <x:c r="AX49" s="65" t="s">
        <x:v>906</x:v>
      </x:c>
      <x:c r="AY49" s="65">
        <x:v>2023</x:v>
      </x:c>
      <x:c r="AZ49" s="65" t="s">
        <x:v>888</x:v>
      </x:c>
      <x:c r="BA49" s="65"/>
      <x:c r="BB49" s="177"/>
      <x:c r="BC49" s="71">
        <x:v>2026</x:v>
      </x:c>
      <x:c r="BD49" s="65"/>
      <x:c r="BE49" s="177"/>
      <x:c r="BF49" s="65" t="str">
        <x:v>Dinas Perkim Kota Pangkal Pinang</x:v>
      </x:c>
    </x:row>
    <x:row r="50" ht="42">
      <x:c r="A50" s="65" t="s">
        <x:v>1183</x:v>
      </x:c>
      <x:c r="B50" s="65" t="s">
        <x:v>1184</x:v>
      </x:c>
      <x:c r="C50" s="65"/>
      <x:c r="D50" s="65"/>
      <x:c r="E50" s="65" t="s">
        <x:v>1185</x:v>
      </x:c>
      <x:c r="F50" s="65" t="s">
        <x:v>1017</x:v>
      </x:c>
      <x:c r="G50" s="65" t="s">
        <x:v>990</x:v>
      </x:c>
      <x:c r="H50" s="65" t="s">
        <x:v>878</x:v>
      </x:c>
      <x:c r="I50" s="65" t="s">
        <x:v>1186</x:v>
      </x:c>
      <x:c r="J50" s="65" t="s">
        <x:v>910</x:v>
      </x:c>
      <x:c r="K50" s="65" t="s">
        <x:v>880</x:v>
      </x:c>
      <x:c r="L50" s="65" t="s">
        <x:v>966</x:v>
      </x:c>
      <x:c r="M50" s="65" t="s">
        <x:v>968</x:v>
      </x:c>
      <x:c r="N50" s="65" t="s">
        <x:v>966</x:v>
      </x:c>
      <x:c r="O50" s="65" t="s">
        <x:v>914</x:v>
      </x:c>
      <x:c r="P50" s="65" t="s">
        <x:v>966</x:v>
      </x:c>
      <x:c r="Q50" s="85" t="s">
        <x:v>916</x:v>
      </x:c>
      <x:c r="R50" s="85" t="s">
        <x:v>916</x:v>
      </x:c>
      <x:c r="S50" s="85" t="s">
        <x:v>916</x:v>
      </x:c>
      <x:c r="T50" s="85" t="s">
        <x:v>916</x:v>
      </x:c>
      <x:c r="U50" s="85" t="s">
        <x:v>916</x:v>
      </x:c>
      <x:c r="V50" s="85" t="s">
        <x:v>916</x:v>
      </x:c>
      <x:c r="W50" s="66"/>
      <x:c r="X50" s="83" t="str">
        <x:f t="shared" si="0"/>
        <x:v>Belum Dinilai</x:v>
      </x:c>
      <x:c r="Y50" s="83" t="str">
        <x:f t="shared" si="1"/>
        <x:v>Belum Dinilai</x:v>
      </x:c>
      <x:c r="Z50" s="84" t="str">
        <x:f t="shared" si="2"/>
      </x:c>
      <x:c r="AA50" s="84" t="str">
        <x:f t="shared" si="3"/>
      </x:c>
      <x:c r="AB50" s="84" t="str">
        <x:f t="shared" si="4"/>
      </x:c>
      <x:c r="AC50" s="67" t="s">
        <x:v>916</x:v>
      </x:c>
      <x:c r="AD50" s="67" t="s">
        <x:v>916</x:v>
      </x:c>
      <x:c r="AE50" s="67" t="s">
        <x:v>916</x:v>
      </x:c>
      <x:c r="AF50" s="67" t="s">
        <x:v>916</x:v>
      </x:c>
      <x:c r="AG50" s="67" t="s">
        <x:v>916</x:v>
      </x:c>
      <x:c r="AH50" s="67" t="s">
        <x:v>916</x:v>
      </x:c>
      <x:c r="AI50" s="67" t="s">
        <x:v>916</x:v>
      </x:c>
      <x:c r="AJ50" s="67" t="s">
        <x:v>916</x:v>
      </x:c>
      <x:c r="AK50" s="67" t="s">
        <x:v>916</x:v>
      </x:c>
      <x:c r="AL50" s="67"/>
      <x:c r="AM50" s="67" t="s">
        <x:v>916</x:v>
      </x:c>
      <x:c r="AN50" s="83" t="str">
        <x:f t="shared" si="5"/>
        <x:v>Belum Dinilai</x:v>
      </x:c>
      <x:c r="AO50" s="83" t="str">
        <x:f t="shared" si="6"/>
        <x:v>Belum Dinilai</x:v>
      </x:c>
      <x:c r="AP50" s="67"/>
      <x:c r="AQ50" s="70">
        <x:f t="shared" si="7"/>
        <x:v>57</x:v>
      </x:c>
      <x:c r="AR50" s="70" t="str">
        <x:f t="shared" si="8"/>
      </x:c>
      <x:c r="AS50" s="70" t="str">
        <x:f t="shared" si="9"/>
      </x:c>
      <x:c r="AT50" s="68" t="str">
        <x:f t="shared" si="10"/>
        <x:v>Belum Dapat Ditentukan</x:v>
      </x:c>
      <x:c r="AU50" s="65" t="s">
        <x:v>887</x:v>
      </x:c>
      <x:c r="AV50" s="65" t="s">
        <x:v>904</x:v>
      </x:c>
      <x:c r="AW50" s="65" t="s">
        <x:v>1001</x:v>
      </x:c>
      <x:c r="AX50" s="65" t="s">
        <x:v>918</x:v>
      </x:c>
      <x:c r="AY50" s="65"/>
      <x:c r="AZ50" s="65" t="s">
        <x:v>888</x:v>
      </x:c>
      <x:c r="BA50" s="65"/>
      <x:c r="BB50" s="177"/>
      <x:c r="BC50" s="71">
        <x:v>2026</x:v>
      </x:c>
      <x:c r="BD50" s="65"/>
      <x:c r="BE50" s="177"/>
      <x:c r="BF50" s="65" t="str">
        <x:v>Dinas Perkim Kota Pangkal Pinang</x:v>
      </x:c>
    </x:row>
    <x:row r="51" ht="28">
      <x:c r="A51" s="65" t="s">
        <x:v>1187</x:v>
      </x:c>
      <x:c r="B51" s="65" t="s">
        <x:v>1188</x:v>
      </x:c>
      <x:c r="C51" s="65"/>
      <x:c r="D51" s="65"/>
      <x:c r="E51" s="65" t="s">
        <x:v>1189</x:v>
      </x:c>
      <x:c r="F51" s="65" t="s">
        <x:v>989</x:v>
      </x:c>
      <x:c r="G51" s="65" t="s">
        <x:v>990</x:v>
      </x:c>
      <x:c r="H51" s="65" t="s">
        <x:v>878</x:v>
      </x:c>
      <x:c r="I51" s="65" t="s">
        <x:v>991</x:v>
      </x:c>
      <x:c r="J51" s="65" t="s">
        <x:v>910</x:v>
      </x:c>
      <x:c r="K51" s="65" t="s">
        <x:v>1000</x:v>
      </x:c>
      <x:c r="L51" s="65" t="s">
        <x:v>916</x:v>
      </x:c>
      <x:c r="M51" s="65" t="s">
        <x:v>968</x:v>
      </x:c>
      <x:c r="N51" s="65" t="s">
        <x:v>916</x:v>
      </x:c>
      <x:c r="O51" s="65" t="s">
        <x:v>1000</x:v>
      </x:c>
      <x:c r="P51" s="65" t="s">
        <x:v>916</x:v>
      </x:c>
      <x:c r="Q51" s="85" t="s">
        <x:v>916</x:v>
      </x:c>
      <x:c r="R51" s="85" t="s">
        <x:v>916</x:v>
      </x:c>
      <x:c r="S51" s="85" t="s">
        <x:v>916</x:v>
      </x:c>
      <x:c r="T51" s="85" t="s">
        <x:v>916</x:v>
      </x:c>
      <x:c r="U51" s="85" t="s">
        <x:v>916</x:v>
      </x:c>
      <x:c r="V51" s="85" t="s">
        <x:v>916</x:v>
      </x:c>
      <x:c r="W51" s="66"/>
      <x:c r="X51" s="83" t="str">
        <x:f t="shared" si="0"/>
        <x:v>Belum Dinilai</x:v>
      </x:c>
      <x:c r="Y51" s="83" t="str">
        <x:f t="shared" si="1"/>
        <x:v>Belum Dinilai</x:v>
      </x:c>
      <x:c r="Z51" s="84" t="str">
        <x:f t="shared" si="2"/>
      </x:c>
      <x:c r="AA51" s="84" t="str">
        <x:f t="shared" si="3"/>
      </x:c>
      <x:c r="AB51" s="84" t="str">
        <x:f t="shared" si="4"/>
      </x:c>
      <x:c r="AC51" s="67" t="s">
        <x:v>916</x:v>
      </x:c>
      <x:c r="AD51" s="67" t="s">
        <x:v>916</x:v>
      </x:c>
      <x:c r="AE51" s="67" t="s">
        <x:v>916</x:v>
      </x:c>
      <x:c r="AF51" s="67" t="s">
        <x:v>916</x:v>
      </x:c>
      <x:c r="AG51" s="67" t="s">
        <x:v>916</x:v>
      </x:c>
      <x:c r="AH51" s="67" t="s">
        <x:v>916</x:v>
      </x:c>
      <x:c r="AI51" s="67" t="s">
        <x:v>916</x:v>
      </x:c>
      <x:c r="AJ51" s="67" t="s">
        <x:v>916</x:v>
      </x:c>
      <x:c r="AK51" s="67" t="s">
        <x:v>916</x:v>
      </x:c>
      <x:c r="AL51" s="67"/>
      <x:c r="AM51" s="67" t="s">
        <x:v>916</x:v>
      </x:c>
      <x:c r="AN51" s="83" t="str">
        <x:f t="shared" si="5"/>
        <x:v>Belum Dinilai</x:v>
      </x:c>
      <x:c r="AO51" s="83" t="str">
        <x:f t="shared" si="6"/>
        <x:v>Belum Dinilai</x:v>
      </x:c>
      <x:c r="AP51" s="67"/>
      <x:c r="AQ51" s="70" t="str">
        <x:f t="shared" si="7"/>
      </x:c>
      <x:c r="AR51" s="70" t="str">
        <x:f t="shared" si="8"/>
      </x:c>
      <x:c r="AS51" s="70" t="str">
        <x:f t="shared" si="9"/>
      </x:c>
      <x:c r="AT51" s="68" t="str">
        <x:f t="shared" si="10"/>
        <x:v>Belum Dapat Ditentukan</x:v>
      </x:c>
      <x:c r="AU51" s="65" t="s">
        <x:v>887</x:v>
      </x:c>
      <x:c r="AV51" s="65" t="s">
        <x:v>904</x:v>
      </x:c>
      <x:c r="AW51" s="65" t="s">
        <x:v>1001</x:v>
      </x:c>
      <x:c r="AX51" s="65" t="s">
        <x:v>906</x:v>
      </x:c>
      <x:c r="AY51" s="65">
        <x:v>2023</x:v>
      </x:c>
      <x:c r="AZ51" s="65" t="s">
        <x:v>888</x:v>
      </x:c>
      <x:c r="BA51" s="65"/>
      <x:c r="BB51" s="177"/>
      <x:c r="BC51" s="71">
        <x:v>2026</x:v>
      </x:c>
      <x:c r="BD51" s="65"/>
      <x:c r="BE51" s="177"/>
      <x:c r="BF51" s="65" t="str">
        <x:v>Dinas Perkim Kota Pangkal Pinang</x:v>
      </x:c>
    </x:row>
    <x:row r="52" ht="42">
      <x:c r="A52" s="65" t="s">
        <x:v>1190</x:v>
      </x:c>
      <x:c r="B52" s="65" t="s">
        <x:v>1191</x:v>
      </x:c>
      <x:c r="C52" s="65"/>
      <x:c r="D52" s="65"/>
      <x:c r="E52" s="65" t="s">
        <x:v>1192</x:v>
      </x:c>
      <x:c r="F52" s="65" t="s">
        <x:v>1058</x:v>
      </x:c>
      <x:c r="G52" s="65" t="s">
        <x:v>990</x:v>
      </x:c>
      <x:c r="H52" s="65" t="s">
        <x:v>878</x:v>
      </x:c>
      <x:c r="I52" s="65" t="s">
        <x:v>1193</x:v>
      </x:c>
      <x:c r="J52" s="65" t="s">
        <x:v>895</x:v>
      </x:c>
      <x:c r="K52" s="65" t="s">
        <x:v>911</x:v>
      </x:c>
      <x:c r="L52" s="65" t="s">
        <x:v>916</x:v>
      </x:c>
      <x:c r="M52" s="65" t="s">
        <x:v>968</x:v>
      </x:c>
      <x:c r="N52" s="65" t="s">
        <x:v>916</x:v>
      </x:c>
      <x:c r="O52" s="65" t="s">
        <x:v>914</x:v>
      </x:c>
      <x:c r="P52" s="65" t="s">
        <x:v>916</x:v>
      </x:c>
      <x:c r="Q52" s="85" t="s">
        <x:v>916</x:v>
      </x:c>
      <x:c r="R52" s="85" t="s">
        <x:v>916</x:v>
      </x:c>
      <x:c r="S52" s="85" t="s">
        <x:v>916</x:v>
      </x:c>
      <x:c r="T52" s="85" t="s">
        <x:v>916</x:v>
      </x:c>
      <x:c r="U52" s="85" t="s">
        <x:v>916</x:v>
      </x:c>
      <x:c r="V52" s="85" t="s">
        <x:v>916</x:v>
      </x:c>
      <x:c r="W52" s="66"/>
      <x:c r="X52" s="83" t="str">
        <x:f t="shared" si="0"/>
        <x:v>Belum Dinilai</x:v>
      </x:c>
      <x:c r="Y52" s="83" t="str">
        <x:f t="shared" si="1"/>
        <x:v>Belum Dinilai</x:v>
      </x:c>
      <x:c r="Z52" s="84" t="str">
        <x:f t="shared" si="2"/>
      </x:c>
      <x:c r="AA52" s="84" t="str">
        <x:f t="shared" si="3"/>
      </x:c>
      <x:c r="AB52" s="84" t="str">
        <x:f t="shared" si="4"/>
      </x:c>
      <x:c r="AC52" s="67" t="s">
        <x:v>916</x:v>
      </x:c>
      <x:c r="AD52" s="67" t="s">
        <x:v>916</x:v>
      </x:c>
      <x:c r="AE52" s="67" t="s">
        <x:v>916</x:v>
      </x:c>
      <x:c r="AF52" s="67" t="s">
        <x:v>916</x:v>
      </x:c>
      <x:c r="AG52" s="67" t="s">
        <x:v>916</x:v>
      </x:c>
      <x:c r="AH52" s="67" t="s">
        <x:v>916</x:v>
      </x:c>
      <x:c r="AI52" s="67" t="s">
        <x:v>916</x:v>
      </x:c>
      <x:c r="AJ52" s="67" t="s">
        <x:v>916</x:v>
      </x:c>
      <x:c r="AK52" s="67" t="s">
        <x:v>916</x:v>
      </x:c>
      <x:c r="AL52" s="67"/>
      <x:c r="AM52" s="67" t="s">
        <x:v>916</x:v>
      </x:c>
      <x:c r="AN52" s="83" t="str">
        <x:f t="shared" si="5"/>
        <x:v>Belum Dinilai</x:v>
      </x:c>
      <x:c r="AO52" s="83" t="str">
        <x:f t="shared" si="6"/>
        <x:v>Belum Dinilai</x:v>
      </x:c>
      <x:c r="AP52" s="67"/>
      <x:c r="AQ52" s="70" t="str">
        <x:f t="shared" si="7"/>
      </x:c>
      <x:c r="AR52" s="70" t="str">
        <x:f t="shared" si="8"/>
      </x:c>
      <x:c r="AS52" s="70" t="str">
        <x:f t="shared" si="9"/>
      </x:c>
      <x:c r="AT52" s="68" t="str">
        <x:f t="shared" si="10"/>
        <x:v>Belum Dapat Ditentukan</x:v>
      </x:c>
      <x:c r="AU52" s="65" t="s">
        <x:v>903</x:v>
      </x:c>
      <x:c r="AV52" s="65" t="s">
        <x:v>904</x:v>
      </x:c>
      <x:c r="AW52" s="65" t="s">
        <x:v>889</x:v>
      </x:c>
      <x:c r="AX52" s="65" t="s">
        <x:v>890</x:v>
      </x:c>
      <x:c r="AY52" s="65"/>
      <x:c r="AZ52" s="65" t="s">
        <x:v>888</x:v>
      </x:c>
      <x:c r="BA52" s="65"/>
      <x:c r="BB52" s="177"/>
      <x:c r="BC52" s="71">
        <x:v>2026</x:v>
      </x:c>
      <x:c r="BD52" s="65"/>
      <x:c r="BE52" s="177"/>
      <x:c r="BF52" s="65" t="str">
        <x:v>Dinas Perkim Kota Pangkal Pinang</x:v>
      </x:c>
    </x:row>
    <x:row r="53" ht="28">
      <x:c r="A53" s="65" t="s">
        <x:v>1194</x:v>
      </x:c>
      <x:c r="B53" s="65" t="s">
        <x:v>1195</x:v>
      </x:c>
      <x:c r="C53" s="65"/>
      <x:c r="D53" s="65"/>
      <x:c r="E53" s="65" t="s">
        <x:v>1196</x:v>
      </x:c>
      <x:c r="F53" s="65" t="s">
        <x:v>1058</x:v>
      </x:c>
      <x:c r="G53" s="65" t="s">
        <x:v>990</x:v>
      </x:c>
      <x:c r="H53" s="65" t="s">
        <x:v>894</x:v>
      </x:c>
      <x:c r="I53" s="65" t="s">
        <x:v>1197</x:v>
      </x:c>
      <x:c r="J53" s="65" t="s">
        <x:v>964</x:v>
      </x:c>
      <x:c r="K53" s="65" t="s">
        <x:v>1000</x:v>
      </x:c>
      <x:c r="L53" s="65" t="s">
        <x:v>916</x:v>
      </x:c>
      <x:c r="M53" s="65" t="s">
        <x:v>1000</x:v>
      </x:c>
      <x:c r="N53" s="65" t="s">
        <x:v>916</x:v>
      </x:c>
      <x:c r="O53" s="65" t="s">
        <x:v>1000</x:v>
      </x:c>
      <x:c r="P53" s="65" t="s">
        <x:v>916</x:v>
      </x:c>
      <x:c r="Q53" s="85" t="s">
        <x:v>916</x:v>
      </x:c>
      <x:c r="R53" s="85" t="s">
        <x:v>916</x:v>
      </x:c>
      <x:c r="S53" s="85" t="s">
        <x:v>916</x:v>
      </x:c>
      <x:c r="T53" s="85" t="s">
        <x:v>916</x:v>
      </x:c>
      <x:c r="U53" s="85" t="s">
        <x:v>916</x:v>
      </x:c>
      <x:c r="V53" s="85" t="s">
        <x:v>916</x:v>
      </x:c>
      <x:c r="W53" s="66"/>
      <x:c r="X53" s="83" t="str">
        <x:f t="shared" si="0"/>
        <x:v>Belum Dinilai</x:v>
      </x:c>
      <x:c r="Y53" s="83" t="str">
        <x:f t="shared" si="1"/>
        <x:v>Belum Dinilai</x:v>
      </x:c>
      <x:c r="Z53" s="84" t="str">
        <x:f t="shared" si="2"/>
      </x:c>
      <x:c r="AA53" s="84" t="str">
        <x:f t="shared" si="3"/>
      </x:c>
      <x:c r="AB53" s="84" t="str">
        <x:f t="shared" si="4"/>
      </x:c>
      <x:c r="AC53" s="67" t="s">
        <x:v>916</x:v>
      </x:c>
      <x:c r="AD53" s="67" t="s">
        <x:v>916</x:v>
      </x:c>
      <x:c r="AE53" s="67" t="s">
        <x:v>916</x:v>
      </x:c>
      <x:c r="AF53" s="67" t="s">
        <x:v>916</x:v>
      </x:c>
      <x:c r="AG53" s="67" t="s">
        <x:v>916</x:v>
      </x:c>
      <x:c r="AH53" s="67" t="s">
        <x:v>916</x:v>
      </x:c>
      <x:c r="AI53" s="67" t="s">
        <x:v>916</x:v>
      </x:c>
      <x:c r="AJ53" s="67" t="s">
        <x:v>916</x:v>
      </x:c>
      <x:c r="AK53" s="67" t="s">
        <x:v>916</x:v>
      </x:c>
      <x:c r="AL53" s="67"/>
      <x:c r="AM53" s="67" t="s">
        <x:v>916</x:v>
      </x:c>
      <x:c r="AN53" s="83" t="str">
        <x:f t="shared" si="5"/>
        <x:v>Belum Dinilai</x:v>
      </x:c>
      <x:c r="AO53" s="83" t="str">
        <x:f t="shared" si="6"/>
        <x:v>Belum Dinilai</x:v>
      </x:c>
      <x:c r="AP53" s="67"/>
      <x:c r="AQ53" s="70" t="str">
        <x:f t="shared" si="7"/>
      </x:c>
      <x:c r="AR53" s="70" t="str">
        <x:f t="shared" si="8"/>
      </x:c>
      <x:c r="AS53" s="70" t="str">
        <x:f t="shared" si="9"/>
      </x:c>
      <x:c r="AT53" s="68" t="str">
        <x:f t="shared" si="10"/>
        <x:v>Belum Dapat Ditentukan</x:v>
      </x:c>
      <x:c r="AU53" s="65" t="s">
        <x:v>903</x:v>
      </x:c>
      <x:c r="AV53" s="65" t="s">
        <x:v>904</x:v>
      </x:c>
      <x:c r="AW53" s="65" t="s">
        <x:v>889</x:v>
      </x:c>
      <x:c r="AX53" s="65" t="s">
        <x:v>890</x:v>
      </x:c>
      <x:c r="AY53" s="65"/>
      <x:c r="AZ53" s="65" t="s">
        <x:v>888</x:v>
      </x:c>
      <x:c r="BA53" s="65"/>
      <x:c r="BB53" s="177"/>
      <x:c r="BC53" s="71">
        <x:v>2026</x:v>
      </x:c>
      <x:c r="BD53" s="65"/>
      <x:c r="BE53" s="177"/>
      <x:c r="BF53" s="65" t="str">
        <x:v>Dinas Perkim Kota Pangkal Pinang</x:v>
      </x:c>
    </x:row>
    <x:row r="54" ht="28">
      <x:c r="A54" s="65" t="s">
        <x:v>1198</x:v>
      </x:c>
      <x:c r="B54" s="65" t="s">
        <x:v>1199</x:v>
      </x:c>
      <x:c r="C54" s="65"/>
      <x:c r="D54" s="65"/>
      <x:c r="E54" s="65" t="s">
        <x:v>1200</x:v>
      </x:c>
      <x:c r="F54" s="65" t="s">
        <x:v>1081</x:v>
      </x:c>
      <x:c r="G54" s="65" t="s">
        <x:v>990</x:v>
      </x:c>
      <x:c r="H54" s="65" t="s">
        <x:v>878</x:v>
      </x:c>
      <x:c r="I54" s="65" t="s">
        <x:v>1201</x:v>
      </x:c>
      <x:c r="J54" s="65" t="s">
        <x:v>964</x:v>
      </x:c>
      <x:c r="K54" s="65" t="s">
        <x:v>994</x:v>
      </x:c>
      <x:c r="L54" s="65" t="s">
        <x:v>916</x:v>
      </x:c>
      <x:c r="M54" s="65" t="s">
        <x:v>1000</x:v>
      </x:c>
      <x:c r="N54" s="65" t="s">
        <x:v>916</x:v>
      </x:c>
      <x:c r="O54" s="65" t="s">
        <x:v>914</x:v>
      </x:c>
      <x:c r="P54" s="65" t="s">
        <x:v>916</x:v>
      </x:c>
      <x:c r="Q54" s="85" t="s">
        <x:v>916</x:v>
      </x:c>
      <x:c r="R54" s="85" t="s">
        <x:v>916</x:v>
      </x:c>
      <x:c r="S54" s="85" t="s">
        <x:v>916</x:v>
      </x:c>
      <x:c r="T54" s="85" t="s">
        <x:v>916</x:v>
      </x:c>
      <x:c r="U54" s="85" t="s">
        <x:v>916</x:v>
      </x:c>
      <x:c r="V54" s="85" t="s">
        <x:v>916</x:v>
      </x:c>
      <x:c r="W54" s="66"/>
      <x:c r="X54" s="83" t="str">
        <x:f t="shared" si="0"/>
        <x:v>Belum Dinilai</x:v>
      </x:c>
      <x:c r="Y54" s="83" t="str">
        <x:f t="shared" si="1"/>
        <x:v>Belum Dinilai</x:v>
      </x:c>
      <x:c r="Z54" s="84" t="str">
        <x:f t="shared" si="2"/>
      </x:c>
      <x:c r="AA54" s="84" t="str">
        <x:f t="shared" si="3"/>
      </x:c>
      <x:c r="AB54" s="84" t="str">
        <x:f t="shared" si="4"/>
      </x:c>
      <x:c r="AC54" s="67" t="s">
        <x:v>916</x:v>
      </x:c>
      <x:c r="AD54" s="67" t="s">
        <x:v>916</x:v>
      </x:c>
      <x:c r="AE54" s="67" t="s">
        <x:v>916</x:v>
      </x:c>
      <x:c r="AF54" s="67" t="s">
        <x:v>916</x:v>
      </x:c>
      <x:c r="AG54" s="67" t="s">
        <x:v>916</x:v>
      </x:c>
      <x:c r="AH54" s="67" t="s">
        <x:v>916</x:v>
      </x:c>
      <x:c r="AI54" s="67" t="s">
        <x:v>916</x:v>
      </x:c>
      <x:c r="AJ54" s="67" t="s">
        <x:v>916</x:v>
      </x:c>
      <x:c r="AK54" s="67" t="s">
        <x:v>916</x:v>
      </x:c>
      <x:c r="AL54" s="67"/>
      <x:c r="AM54" s="67" t="s">
        <x:v>916</x:v>
      </x:c>
      <x:c r="AN54" s="83" t="str">
        <x:f t="shared" si="5"/>
        <x:v>Belum Dinilai</x:v>
      </x:c>
      <x:c r="AO54" s="83" t="str">
        <x:f t="shared" si="6"/>
        <x:v>Belum Dinilai</x:v>
      </x:c>
      <x:c r="AP54" s="67"/>
      <x:c r="AQ54" s="70" t="str">
        <x:f t="shared" si="7"/>
      </x:c>
      <x:c r="AR54" s="70" t="str">
        <x:f t="shared" si="8"/>
      </x:c>
      <x:c r="AS54" s="70" t="str">
        <x:f t="shared" si="9"/>
      </x:c>
      <x:c r="AT54" s="68" t="str">
        <x:f t="shared" si="10"/>
        <x:v>Belum Dapat Ditentukan</x:v>
      </x:c>
      <x:c r="AU54" s="65" t="s">
        <x:v>903</x:v>
      </x:c>
      <x:c r="AV54" s="65" t="s">
        <x:v>904</x:v>
      </x:c>
      <x:c r="AW54" s="65" t="s">
        <x:v>889</x:v>
      </x:c>
      <x:c r="AX54" s="65" t="s">
        <x:v>890</x:v>
      </x:c>
      <x:c r="AY54" s="65"/>
      <x:c r="AZ54" s="65" t="s">
        <x:v>888</x:v>
      </x:c>
      <x:c r="BA54" s="65"/>
      <x:c r="BB54" s="177"/>
      <x:c r="BC54" s="71">
        <x:v>2026</x:v>
      </x:c>
      <x:c r="BD54" s="65"/>
      <x:c r="BE54" s="177"/>
      <x:c r="BF54" s="65" t="str">
        <x:v>Dinas Perkim Kota Pangkal Pinang</x:v>
      </x:c>
    </x:row>
    <x:row r="55" ht="28">
      <x:c r="A55" s="65" t="s">
        <x:v>1202</x:v>
      </x:c>
      <x:c r="B55" s="65" t="s">
        <x:v>1203</x:v>
      </x:c>
      <x:c r="C55" s="65"/>
      <x:c r="D55" s="65"/>
      <x:c r="E55" s="65" t="s">
        <x:v>1204</x:v>
      </x:c>
      <x:c r="F55" s="65" t="s">
        <x:v>1205</x:v>
      </x:c>
      <x:c r="G55" s="65" t="s">
        <x:v>990</x:v>
      </x:c>
      <x:c r="H55" s="65" t="s">
        <x:v>894</x:v>
      </x:c>
      <x:c r="I55" s="65" t="s">
        <x:v>1206</x:v>
      </x:c>
      <x:c r="J55" s="65" t="s">
        <x:v>879</x:v>
      </x:c>
      <x:c r="K55" s="65" t="s">
        <x:v>1000</x:v>
      </x:c>
      <x:c r="L55" s="65" t="s">
        <x:v>916</x:v>
      </x:c>
      <x:c r="M55" s="65" t="s">
        <x:v>967</x:v>
      </x:c>
      <x:c r="N55" s="65" t="s">
        <x:v>916</x:v>
      </x:c>
      <x:c r="O55" s="65" t="s">
        <x:v>1000</x:v>
      </x:c>
      <x:c r="P55" s="65" t="s">
        <x:v>916</x:v>
      </x:c>
      <x:c r="Q55" s="85" t="s">
        <x:v>916</x:v>
      </x:c>
      <x:c r="R55" s="85" t="s">
        <x:v>916</x:v>
      </x:c>
      <x:c r="S55" s="85" t="s">
        <x:v>916</x:v>
      </x:c>
      <x:c r="T55" s="85" t="s">
        <x:v>916</x:v>
      </x:c>
      <x:c r="U55" s="85" t="s">
        <x:v>916</x:v>
      </x:c>
      <x:c r="V55" s="85" t="s">
        <x:v>916</x:v>
      </x:c>
      <x:c r="W55" s="66"/>
      <x:c r="X55" s="83" t="str">
        <x:f t="shared" si="0"/>
        <x:v>Belum Dinilai</x:v>
      </x:c>
      <x:c r="Y55" s="83" t="str">
        <x:f t="shared" si="1"/>
        <x:v>Belum Dinilai</x:v>
      </x:c>
      <x:c r="Z55" s="84" t="str">
        <x:f t="shared" si="2"/>
      </x:c>
      <x:c r="AA55" s="84" t="str">
        <x:f t="shared" si="3"/>
      </x:c>
      <x:c r="AB55" s="84" t="str">
        <x:f t="shared" si="4"/>
      </x:c>
      <x:c r="AC55" s="67" t="s">
        <x:v>916</x:v>
      </x:c>
      <x:c r="AD55" s="67" t="s">
        <x:v>916</x:v>
      </x:c>
      <x:c r="AE55" s="67" t="s">
        <x:v>916</x:v>
      </x:c>
      <x:c r="AF55" s="67" t="s">
        <x:v>916</x:v>
      </x:c>
      <x:c r="AG55" s="67" t="s">
        <x:v>916</x:v>
      </x:c>
      <x:c r="AH55" s="67" t="s">
        <x:v>916</x:v>
      </x:c>
      <x:c r="AI55" s="67" t="s">
        <x:v>916</x:v>
      </x:c>
      <x:c r="AJ55" s="67" t="s">
        <x:v>916</x:v>
      </x:c>
      <x:c r="AK55" s="67" t="s">
        <x:v>916</x:v>
      </x:c>
      <x:c r="AL55" s="67"/>
      <x:c r="AM55" s="67" t="s">
        <x:v>916</x:v>
      </x:c>
      <x:c r="AN55" s="83" t="str">
        <x:f t="shared" si="5"/>
        <x:v>Belum Dinilai</x:v>
      </x:c>
      <x:c r="AO55" s="83" t="str">
        <x:f t="shared" si="6"/>
        <x:v>Belum Dinilai</x:v>
      </x:c>
      <x:c r="AP55" s="67"/>
      <x:c r="AQ55" s="70" t="str">
        <x:f t="shared" si="7"/>
      </x:c>
      <x:c r="AR55" s="70" t="str">
        <x:f t="shared" si="8"/>
      </x:c>
      <x:c r="AS55" s="70" t="str">
        <x:f t="shared" si="9"/>
      </x:c>
      <x:c r="AT55" s="68" t="str">
        <x:f t="shared" si="10"/>
        <x:v>Belum Dapat Ditentukan</x:v>
      </x:c>
      <x:c r="AU55" s="65" t="s">
        <x:v>903</x:v>
      </x:c>
      <x:c r="AV55" s="65" t="s">
        <x:v>904</x:v>
      </x:c>
      <x:c r="AW55" s="65" t="s">
        <x:v>889</x:v>
      </x:c>
      <x:c r="AX55" s="65" t="s">
        <x:v>890</x:v>
      </x:c>
      <x:c r="AY55" s="65"/>
      <x:c r="AZ55" s="65" t="s">
        <x:v>888</x:v>
      </x:c>
      <x:c r="BA55" s="65"/>
      <x:c r="BB55" s="177"/>
      <x:c r="BC55" s="71">
        <x:v>2026</x:v>
      </x:c>
      <x:c r="BD55" s="65"/>
      <x:c r="BE55" s="177"/>
      <x:c r="BF55" s="65" t="str">
        <x:v>Dinas Perkim Kota Pangkal Pinang</x:v>
      </x:c>
    </x:row>
    <x:row r="56" ht="42">
      <x:c r="A56" s="65" t="s">
        <x:v>1207</x:v>
      </x:c>
      <x:c r="B56" s="65" t="s">
        <x:v>1208</x:v>
      </x:c>
      <x:c r="C56" s="65"/>
      <x:c r="D56" s="65"/>
      <x:c r="E56" s="65" t="s">
        <x:v>1209</x:v>
      </x:c>
      <x:c r="F56" s="65" t="s">
        <x:v>1205</x:v>
      </x:c>
      <x:c r="G56" s="65" t="s">
        <x:v>990</x:v>
      </x:c>
      <x:c r="H56" s="65" t="s">
        <x:v>894</x:v>
      </x:c>
      <x:c r="I56" s="65" t="s">
        <x:v>1210</x:v>
      </x:c>
      <x:c r="J56" s="65" t="s">
        <x:v>895</x:v>
      </x:c>
      <x:c r="K56" s="65" t="s">
        <x:v>880</x:v>
      </x:c>
      <x:c r="L56" s="65" t="s">
        <x:v>912</x:v>
      </x:c>
      <x:c r="M56" s="65" t="s">
        <x:v>968</x:v>
      </x:c>
      <x:c r="N56" s="65" t="s">
        <x:v>912</x:v>
      </x:c>
      <x:c r="O56" s="65" t="s">
        <x:v>914</x:v>
      </x:c>
      <x:c r="P56" s="65" t="s">
        <x:v>897</x:v>
      </x:c>
      <x:c r="Q56" s="85" t="s">
        <x:v>916</x:v>
      </x:c>
      <x:c r="R56" s="85" t="s">
        <x:v>916</x:v>
      </x:c>
      <x:c r="S56" s="85" t="s">
        <x:v>916</x:v>
      </x:c>
      <x:c r="T56" s="85" t="s">
        <x:v>916</x:v>
      </x:c>
      <x:c r="U56" s="85" t="s">
        <x:v>916</x:v>
      </x:c>
      <x:c r="V56" s="85" t="s">
        <x:v>916</x:v>
      </x:c>
      <x:c r="W56" s="66"/>
      <x:c r="X56" s="83" t="str">
        <x:f t="shared" si="0"/>
        <x:v>Belum Dinilai</x:v>
      </x:c>
      <x:c r="Y56" s="83" t="str">
        <x:f t="shared" si="1"/>
        <x:v>Belum Dinilai</x:v>
      </x:c>
      <x:c r="Z56" s="84" t="str">
        <x:f t="shared" si="2"/>
      </x:c>
      <x:c r="AA56" s="84" t="str">
        <x:f t="shared" si="3"/>
      </x:c>
      <x:c r="AB56" s="84" t="str">
        <x:f t="shared" si="4"/>
      </x:c>
      <x:c r="AC56" s="67" t="s">
        <x:v>916</x:v>
      </x:c>
      <x:c r="AD56" s="67" t="s">
        <x:v>916</x:v>
      </x:c>
      <x:c r="AE56" s="67" t="s">
        <x:v>916</x:v>
      </x:c>
      <x:c r="AF56" s="67" t="s">
        <x:v>916</x:v>
      </x:c>
      <x:c r="AG56" s="67" t="s">
        <x:v>916</x:v>
      </x:c>
      <x:c r="AH56" s="67" t="s">
        <x:v>916</x:v>
      </x:c>
      <x:c r="AI56" s="67" t="s">
        <x:v>916</x:v>
      </x:c>
      <x:c r="AJ56" s="67" t="s">
        <x:v>916</x:v>
      </x:c>
      <x:c r="AK56" s="67" t="s">
        <x:v>916</x:v>
      </x:c>
      <x:c r="AL56" s="67"/>
      <x:c r="AM56" s="67" t="s">
        <x:v>916</x:v>
      </x:c>
      <x:c r="AN56" s="83" t="str">
        <x:f t="shared" si="5"/>
        <x:v>Belum Dinilai</x:v>
      </x:c>
      <x:c r="AO56" s="83" t="str">
        <x:f t="shared" si="6"/>
        <x:v>Belum Dinilai</x:v>
      </x:c>
      <x:c r="AP56" s="67"/>
      <x:c r="AQ56" s="70">
        <x:f t="shared" si="7"/>
        <x:v>32</x:v>
      </x:c>
      <x:c r="AR56" s="70" t="str">
        <x:f t="shared" si="8"/>
      </x:c>
      <x:c r="AS56" s="70" t="str">
        <x:f t="shared" si="9"/>
      </x:c>
      <x:c r="AT56" s="68" t="str">
        <x:f t="shared" si="10"/>
        <x:v>Belum Dapat Ditentukan</x:v>
      </x:c>
      <x:c r="AU56" s="65" t="s">
        <x:v>887</x:v>
      </x:c>
      <x:c r="AV56" s="65" t="s">
        <x:v>904</x:v>
      </x:c>
      <x:c r="AW56" s="65" t="s">
        <x:v>889</x:v>
      </x:c>
      <x:c r="AX56" s="65" t="s">
        <x:v>890</x:v>
      </x:c>
      <x:c r="AY56" s="65"/>
      <x:c r="AZ56" s="65" t="s">
        <x:v>888</x:v>
      </x:c>
      <x:c r="BA56" s="65"/>
      <x:c r="BB56" s="177"/>
      <x:c r="BC56" s="71">
        <x:v>2026</x:v>
      </x:c>
      <x:c r="BD56" s="65"/>
      <x:c r="BE56" s="177"/>
      <x:c r="BF56" s="65" t="str">
        <x:v>Dinas Perkim Kota Pangkal Pinang</x:v>
      </x:c>
    </x:row>
    <x:row r="57" ht="56">
      <x:c r="A57" s="65" t="s">
        <x:v>1211</x:v>
      </x:c>
      <x:c r="B57" s="65" t="s">
        <x:v>1212</x:v>
      </x:c>
      <x:c r="C57" s="65"/>
      <x:c r="D57" s="65"/>
      <x:c r="E57" s="65" t="s">
        <x:v>1204</x:v>
      </x:c>
      <x:c r="F57" s="65" t="s">
        <x:v>1205</x:v>
      </x:c>
      <x:c r="G57" s="65" t="s">
        <x:v>990</x:v>
      </x:c>
      <x:c r="H57" s="65" t="s">
        <x:v>878</x:v>
      </x:c>
      <x:c r="I57" s="65" t="s">
        <x:v>1213</x:v>
      </x:c>
      <x:c r="J57" s="65" t="s">
        <x:v>895</x:v>
      </x:c>
      <x:c r="K57" s="65" t="s">
        <x:v>896</x:v>
      </x:c>
      <x:c r="L57" s="65" t="s">
        <x:v>912</x:v>
      </x:c>
      <x:c r="M57" s="65" t="s">
        <x:v>968</x:v>
      </x:c>
      <x:c r="N57" s="65" t="s">
        <x:v>912</x:v>
      </x:c>
      <x:c r="O57" s="65" t="s">
        <x:v>994</x:v>
      </x:c>
      <x:c r="P57" s="65" t="s">
        <x:v>912</x:v>
      </x:c>
      <x:c r="Q57" s="85" t="s">
        <x:v>916</x:v>
      </x:c>
      <x:c r="R57" s="85" t="s">
        <x:v>916</x:v>
      </x:c>
      <x:c r="S57" s="85" t="s">
        <x:v>916</x:v>
      </x:c>
      <x:c r="T57" s="85" t="s">
        <x:v>916</x:v>
      </x:c>
      <x:c r="U57" s="85" t="s">
        <x:v>916</x:v>
      </x:c>
      <x:c r="V57" s="85" t="s">
        <x:v>916</x:v>
      </x:c>
      <x:c r="W57" s="66"/>
      <x:c r="X57" s="83" t="str">
        <x:f t="shared" si="0"/>
        <x:v>Belum Dinilai</x:v>
      </x:c>
      <x:c r="Y57" s="83" t="str">
        <x:f t="shared" si="1"/>
        <x:v>Belum Dinilai</x:v>
      </x:c>
      <x:c r="Z57" s="84" t="str">
        <x:f t="shared" si="2"/>
      </x:c>
      <x:c r="AA57" s="84" t="str">
        <x:f t="shared" si="3"/>
      </x:c>
      <x:c r="AB57" s="84" t="str">
        <x:f t="shared" si="4"/>
      </x:c>
      <x:c r="AC57" s="67" t="s">
        <x:v>916</x:v>
      </x:c>
      <x:c r="AD57" s="67" t="s">
        <x:v>916</x:v>
      </x:c>
      <x:c r="AE57" s="67" t="s">
        <x:v>916</x:v>
      </x:c>
      <x:c r="AF57" s="67" t="s">
        <x:v>916</x:v>
      </x:c>
      <x:c r="AG57" s="67" t="s">
        <x:v>916</x:v>
      </x:c>
      <x:c r="AH57" s="67" t="s">
        <x:v>916</x:v>
      </x:c>
      <x:c r="AI57" s="67" t="s">
        <x:v>916</x:v>
      </x:c>
      <x:c r="AJ57" s="67" t="s">
        <x:v>916</x:v>
      </x:c>
      <x:c r="AK57" s="67" t="s">
        <x:v>916</x:v>
      </x:c>
      <x:c r="AL57" s="67"/>
      <x:c r="AM57" s="67" t="s">
        <x:v>916</x:v>
      </x:c>
      <x:c r="AN57" s="83" t="str">
        <x:f t="shared" si="5"/>
        <x:v>Belum Dinilai</x:v>
      </x:c>
      <x:c r="AO57" s="83" t="str">
        <x:f t="shared" si="6"/>
        <x:v>Belum Dinilai</x:v>
      </x:c>
      <x:c r="AP57" s="67"/>
      <x:c r="AQ57" s="70">
        <x:f t="shared" si="7"/>
        <x:v>36</x:v>
      </x:c>
      <x:c r="AR57" s="70" t="str">
        <x:f t="shared" si="8"/>
      </x:c>
      <x:c r="AS57" s="70" t="str">
        <x:f t="shared" si="9"/>
      </x:c>
      <x:c r="AT57" s="68" t="str">
        <x:f t="shared" si="10"/>
        <x:v>Belum Dapat Ditentukan</x:v>
      </x:c>
      <x:c r="AU57" s="65" t="s">
        <x:v>903</x:v>
      </x:c>
      <x:c r="AV57" s="65" t="s">
        <x:v>904</x:v>
      </x:c>
      <x:c r="AW57" s="65" t="s">
        <x:v>889</x:v>
      </x:c>
      <x:c r="AX57" s="65" t="s">
        <x:v>890</x:v>
      </x:c>
      <x:c r="AY57" s="65"/>
      <x:c r="AZ57" s="65" t="s">
        <x:v>888</x:v>
      </x:c>
      <x:c r="BA57" s="65"/>
      <x:c r="BB57" s="177"/>
      <x:c r="BC57" s="71">
        <x:v>2026</x:v>
      </x:c>
      <x:c r="BD57" s="65"/>
      <x:c r="BE57" s="177"/>
      <x:c r="BF57" s="65" t="str">
        <x:v>Dinas Perkim Kota Pangkal Pinang</x:v>
      </x:c>
    </x:row>
    <x:row r="58" ht="42">
      <x:c r="A58" s="65" t="s">
        <x:v>1214</x:v>
      </x:c>
      <x:c r="B58" s="65" t="s">
        <x:v>1215</x:v>
      </x:c>
      <x:c r="C58" s="65"/>
      <x:c r="D58" s="65"/>
      <x:c r="E58" s="65" t="s">
        <x:v>1002</x:v>
      </x:c>
      <x:c r="F58" s="65" t="s">
        <x:v>1205</x:v>
      </x:c>
      <x:c r="G58" s="65" t="s">
        <x:v>990</x:v>
      </x:c>
      <x:c r="H58" s="65" t="s">
        <x:v>878</x:v>
      </x:c>
      <x:c r="I58" s="65" t="s">
        <x:v>1216</x:v>
      </x:c>
      <x:c r="J58" s="65" t="s">
        <x:v>895</x:v>
      </x:c>
      <x:c r="K58" s="65" t="s">
        <x:v>911</x:v>
      </x:c>
      <x:c r="L58" s="65" t="s">
        <x:v>912</x:v>
      </x:c>
      <x:c r="M58" s="65" t="s">
        <x:v>968</x:v>
      </x:c>
      <x:c r="N58" s="65" t="s">
        <x:v>912</x:v>
      </x:c>
      <x:c r="O58" s="65" t="s">
        <x:v>1000</x:v>
      </x:c>
      <x:c r="P58" s="65" t="s">
        <x:v>916</x:v>
      </x:c>
      <x:c r="Q58" s="85" t="s">
        <x:v>916</x:v>
      </x:c>
      <x:c r="R58" s="85" t="s">
        <x:v>916</x:v>
      </x:c>
      <x:c r="S58" s="85" t="s">
        <x:v>916</x:v>
      </x:c>
      <x:c r="T58" s="85" t="s">
        <x:v>916</x:v>
      </x:c>
      <x:c r="U58" s="85" t="s">
        <x:v>916</x:v>
      </x:c>
      <x:c r="V58" s="85" t="s">
        <x:v>916</x:v>
      </x:c>
      <x:c r="W58" s="66"/>
      <x:c r="X58" s="83" t="str">
        <x:f t="shared" si="0"/>
        <x:v>Belum Dinilai</x:v>
      </x:c>
      <x:c r="Y58" s="83" t="str">
        <x:f t="shared" si="1"/>
        <x:v>Belum Dinilai</x:v>
      </x:c>
      <x:c r="Z58" s="84" t="str">
        <x:f t="shared" si="2"/>
      </x:c>
      <x:c r="AA58" s="84" t="str">
        <x:f t="shared" si="3"/>
      </x:c>
      <x:c r="AB58" s="84" t="str">
        <x:f t="shared" si="4"/>
      </x:c>
      <x:c r="AC58" s="67" t="s">
        <x:v>916</x:v>
      </x:c>
      <x:c r="AD58" s="67" t="s">
        <x:v>916</x:v>
      </x:c>
      <x:c r="AE58" s="67" t="s">
        <x:v>916</x:v>
      </x:c>
      <x:c r="AF58" s="67" t="s">
        <x:v>916</x:v>
      </x:c>
      <x:c r="AG58" s="67" t="s">
        <x:v>916</x:v>
      </x:c>
      <x:c r="AH58" s="67" t="s">
        <x:v>916</x:v>
      </x:c>
      <x:c r="AI58" s="67" t="s">
        <x:v>916</x:v>
      </x:c>
      <x:c r="AJ58" s="67" t="s">
        <x:v>916</x:v>
      </x:c>
      <x:c r="AK58" s="67" t="s">
        <x:v>916</x:v>
      </x:c>
      <x:c r="AL58" s="67"/>
      <x:c r="AM58" s="67" t="s">
        <x:v>916</x:v>
      </x:c>
      <x:c r="AN58" s="83" t="str">
        <x:f t="shared" si="5"/>
        <x:v>Belum Dinilai</x:v>
      </x:c>
      <x:c r="AO58" s="83" t="str">
        <x:f t="shared" si="6"/>
        <x:v>Belum Dinilai</x:v>
      </x:c>
      <x:c r="AP58" s="67"/>
      <x:c r="AQ58" s="70" t="str">
        <x:f t="shared" si="7"/>
      </x:c>
      <x:c r="AR58" s="70" t="str">
        <x:f t="shared" si="8"/>
      </x:c>
      <x:c r="AS58" s="70" t="str">
        <x:f t="shared" si="9"/>
      </x:c>
      <x:c r="AT58" s="68" t="str">
        <x:f t="shared" si="10"/>
        <x:v>Belum Dapat Ditentukan</x:v>
      </x:c>
      <x:c r="AU58" s="65" t="s">
        <x:v>903</x:v>
      </x:c>
      <x:c r="AV58" s="65" t="s">
        <x:v>904</x:v>
      </x:c>
      <x:c r="AW58" s="65" t="s">
        <x:v>889</x:v>
      </x:c>
      <x:c r="AX58" s="65" t="s">
        <x:v>890</x:v>
      </x:c>
      <x:c r="AY58" s="65"/>
      <x:c r="AZ58" s="65" t="s">
        <x:v>888</x:v>
      </x:c>
      <x:c r="BA58" s="65"/>
      <x:c r="BB58" s="177"/>
      <x:c r="BC58" s="71">
        <x:v>2026</x:v>
      </x:c>
      <x:c r="BD58" s="65"/>
      <x:c r="BE58" s="177"/>
      <x:c r="BF58" s="65" t="str">
        <x:v>Dinas Perkim Kota Pangkal Pinang</x:v>
      </x:c>
    </x:row>
    <x:row r="59" ht="28">
      <x:c r="A59" s="65" t="s">
        <x:v>1217</x:v>
      </x:c>
      <x:c r="B59" s="65" t="s">
        <x:v>1218</x:v>
      </x:c>
      <x:c r="C59" s="65"/>
      <x:c r="D59" s="65"/>
      <x:c r="E59" s="65" t="s">
        <x:v>1219</x:v>
      </x:c>
      <x:c r="F59" s="65" t="s">
        <x:v>1220</x:v>
      </x:c>
      <x:c r="G59" s="65" t="s">
        <x:v>1027</x:v>
      </x:c>
      <x:c r="H59" s="65" t="s">
        <x:v>894</x:v>
      </x:c>
      <x:c r="I59" s="65" t="s">
        <x:v>1221</x:v>
      </x:c>
      <x:c r="J59" s="65" t="s">
        <x:v>964</x:v>
      </x:c>
      <x:c r="K59" s="65" t="s">
        <x:v>911</x:v>
      </x:c>
      <x:c r="L59" s="65" t="s">
        <x:v>916</x:v>
      </x:c>
      <x:c r="M59" s="65" t="s">
        <x:v>1000</x:v>
      </x:c>
      <x:c r="N59" s="65" t="s">
        <x:v>916</x:v>
      </x:c>
      <x:c r="O59" s="65" t="s">
        <x:v>1000</x:v>
      </x:c>
      <x:c r="P59" s="65" t="s">
        <x:v>916</x:v>
      </x:c>
      <x:c r="Q59" s="85" t="s">
        <x:v>916</x:v>
      </x:c>
      <x:c r="R59" s="85" t="s">
        <x:v>916</x:v>
      </x:c>
      <x:c r="S59" s="85" t="s">
        <x:v>916</x:v>
      </x:c>
      <x:c r="T59" s="85" t="s">
        <x:v>916</x:v>
      </x:c>
      <x:c r="U59" s="85" t="s">
        <x:v>916</x:v>
      </x:c>
      <x:c r="V59" s="85" t="s">
        <x:v>916</x:v>
      </x:c>
      <x:c r="W59" s="66"/>
      <x:c r="X59" s="83" t="str">
        <x:f t="shared" si="0"/>
        <x:v>Belum Dinilai</x:v>
      </x:c>
      <x:c r="Y59" s="83" t="str">
        <x:f t="shared" si="1"/>
        <x:v>Belum Dinilai</x:v>
      </x:c>
      <x:c r="Z59" s="84" t="str">
        <x:f t="shared" si="2"/>
      </x:c>
      <x:c r="AA59" s="84" t="str">
        <x:f t="shared" si="3"/>
      </x:c>
      <x:c r="AB59" s="84" t="str">
        <x:f t="shared" si="4"/>
      </x:c>
      <x:c r="AC59" s="67" t="s">
        <x:v>916</x:v>
      </x:c>
      <x:c r="AD59" s="67" t="s">
        <x:v>916</x:v>
      </x:c>
      <x:c r="AE59" s="67" t="s">
        <x:v>916</x:v>
      </x:c>
      <x:c r="AF59" s="67" t="s">
        <x:v>916</x:v>
      </x:c>
      <x:c r="AG59" s="67" t="s">
        <x:v>916</x:v>
      </x:c>
      <x:c r="AH59" s="67" t="s">
        <x:v>916</x:v>
      </x:c>
      <x:c r="AI59" s="67" t="s">
        <x:v>916</x:v>
      </x:c>
      <x:c r="AJ59" s="67" t="s">
        <x:v>916</x:v>
      </x:c>
      <x:c r="AK59" s="67" t="s">
        <x:v>916</x:v>
      </x:c>
      <x:c r="AL59" s="67"/>
      <x:c r="AM59" s="67" t="s">
        <x:v>916</x:v>
      </x:c>
      <x:c r="AN59" s="83" t="str">
        <x:f t="shared" si="5"/>
        <x:v>Belum Dinilai</x:v>
      </x:c>
      <x:c r="AO59" s="83" t="str">
        <x:f t="shared" si="6"/>
        <x:v>Belum Dinilai</x:v>
      </x:c>
      <x:c r="AP59" s="67"/>
      <x:c r="AQ59" s="70" t="str">
        <x:f t="shared" si="7"/>
      </x:c>
      <x:c r="AR59" s="70" t="str">
        <x:f t="shared" si="8"/>
      </x:c>
      <x:c r="AS59" s="70" t="str">
        <x:f t="shared" si="9"/>
      </x:c>
      <x:c r="AT59" s="68" t="str">
        <x:f t="shared" si="10"/>
        <x:v>Belum Dapat Ditentukan</x:v>
      </x:c>
      <x:c r="AU59" s="65" t="s">
        <x:v>903</x:v>
      </x:c>
      <x:c r="AV59" s="65" t="s">
        <x:v>904</x:v>
      </x:c>
      <x:c r="AW59" s="65" t="s">
        <x:v>889</x:v>
      </x:c>
      <x:c r="AX59" s="65" t="s">
        <x:v>890</x:v>
      </x:c>
      <x:c r="AY59" s="65"/>
      <x:c r="AZ59" s="65" t="s">
        <x:v>888</x:v>
      </x:c>
      <x:c r="BA59" s="65"/>
      <x:c r="BB59" s="177"/>
      <x:c r="BC59" s="71">
        <x:v>2026</x:v>
      </x:c>
      <x:c r="BD59" s="65"/>
      <x:c r="BE59" s="177"/>
      <x:c r="BF59" s="65" t="str">
        <x:v>Dinas Perkim Kota Pangkal Pinang</x:v>
      </x:c>
    </x:row>
    <x:row r="60" ht="28">
      <x:c r="A60" s="65" t="s">
        <x:v>1222</x:v>
      </x:c>
      <x:c r="B60" s="65" t="s">
        <x:v>1223</x:v>
      </x:c>
      <x:c r="C60" s="65"/>
      <x:c r="D60" s="65"/>
      <x:c r="E60" s="65" t="s">
        <x:v>1224</x:v>
      </x:c>
      <x:c r="F60" s="65" t="s">
        <x:v>1114</x:v>
      </x:c>
      <x:c r="G60" s="65" t="s">
        <x:v>1063</x:v>
      </x:c>
      <x:c r="H60" s="65" t="s">
        <x:v>894</x:v>
      </x:c>
      <x:c r="I60" s="65" t="s">
        <x:v>1225</x:v>
      </x:c>
      <x:c r="J60" s="65" t="s">
        <x:v>964</x:v>
      </x:c>
      <x:c r="K60" s="65" t="s">
        <x:v>911</x:v>
      </x:c>
      <x:c r="L60" s="65" t="s">
        <x:v>966</x:v>
      </x:c>
      <x:c r="M60" s="65" t="s">
        <x:v>1000</x:v>
      </x:c>
      <x:c r="N60" s="65" t="s">
        <x:v>966</x:v>
      </x:c>
      <x:c r="O60" s="65" t="s">
        <x:v>1000</x:v>
      </x:c>
      <x:c r="P60" s="65" t="s">
        <x:v>916</x:v>
      </x:c>
      <x:c r="Q60" s="85" t="s">
        <x:v>916</x:v>
      </x:c>
      <x:c r="R60" s="85" t="s">
        <x:v>916</x:v>
      </x:c>
      <x:c r="S60" s="85" t="s">
        <x:v>916</x:v>
      </x:c>
      <x:c r="T60" s="85" t="s">
        <x:v>916</x:v>
      </x:c>
      <x:c r="U60" s="85" t="s">
        <x:v>916</x:v>
      </x:c>
      <x:c r="V60" s="85" t="s">
        <x:v>916</x:v>
      </x:c>
      <x:c r="W60" s="66"/>
      <x:c r="X60" s="83" t="str">
        <x:f t="shared" si="0"/>
        <x:v>Belum Dinilai</x:v>
      </x:c>
      <x:c r="Y60" s="83" t="str">
        <x:f t="shared" si="1"/>
        <x:v>Belum Dinilai</x:v>
      </x:c>
      <x:c r="Z60" s="84" t="str">
        <x:f t="shared" si="2"/>
      </x:c>
      <x:c r="AA60" s="84" t="str">
        <x:f t="shared" si="3"/>
      </x:c>
      <x:c r="AB60" s="84" t="str">
        <x:f t="shared" si="4"/>
      </x:c>
      <x:c r="AC60" s="67" t="s">
        <x:v>916</x:v>
      </x:c>
      <x:c r="AD60" s="67" t="s">
        <x:v>916</x:v>
      </x:c>
      <x:c r="AE60" s="67" t="s">
        <x:v>916</x:v>
      </x:c>
      <x:c r="AF60" s="67" t="s">
        <x:v>916</x:v>
      </x:c>
      <x:c r="AG60" s="67" t="s">
        <x:v>916</x:v>
      </x:c>
      <x:c r="AH60" s="67" t="s">
        <x:v>916</x:v>
      </x:c>
      <x:c r="AI60" s="67" t="s">
        <x:v>916</x:v>
      </x:c>
      <x:c r="AJ60" s="67" t="s">
        <x:v>916</x:v>
      </x:c>
      <x:c r="AK60" s="67" t="s">
        <x:v>916</x:v>
      </x:c>
      <x:c r="AL60" s="67"/>
      <x:c r="AM60" s="67" t="s">
        <x:v>916</x:v>
      </x:c>
      <x:c r="AN60" s="83" t="str">
        <x:f t="shared" si="5"/>
        <x:v>Belum Dinilai</x:v>
      </x:c>
      <x:c r="AO60" s="83" t="str">
        <x:f t="shared" si="6"/>
        <x:v>Belum Dinilai</x:v>
      </x:c>
      <x:c r="AP60" s="67"/>
      <x:c r="AQ60" s="70" t="str">
        <x:f t="shared" si="7"/>
      </x:c>
      <x:c r="AR60" s="70" t="str">
        <x:f t="shared" si="8"/>
      </x:c>
      <x:c r="AS60" s="70" t="str">
        <x:f t="shared" si="9"/>
      </x:c>
      <x:c r="AT60" s="68" t="str">
        <x:f t="shared" si="10"/>
        <x:v>Belum Dapat Ditentukan</x:v>
      </x:c>
      <x:c r="AU60" s="65" t="s">
        <x:v>903</x:v>
      </x:c>
      <x:c r="AV60" s="65" t="s">
        <x:v>904</x:v>
      </x:c>
      <x:c r="AW60" s="65" t="s">
        <x:v>1001</x:v>
      </x:c>
      <x:c r="AX60" s="65" t="s">
        <x:v>906</x:v>
      </x:c>
      <x:c r="AY60" s="65">
        <x:v>2024</x:v>
      </x:c>
      <x:c r="AZ60" s="65" t="s">
        <x:v>888</x:v>
      </x:c>
      <x:c r="BA60" s="65"/>
      <x:c r="BB60" s="177"/>
      <x:c r="BC60" s="71">
        <x:v>2026</x:v>
      </x:c>
      <x:c r="BD60" s="65"/>
      <x:c r="BE60" s="177"/>
      <x:c r="BF60" s="65" t="str">
        <x:v>Dinas Perkim Kota Pangkal Pinang</x:v>
      </x:c>
    </x:row>
    <x:row r="61" ht="28">
      <x:c r="A61" s="65" t="s">
        <x:v>1226</x:v>
      </x:c>
      <x:c r="B61" s="65" t="s">
        <x:v>1227</x:v>
      </x:c>
      <x:c r="C61" s="65"/>
      <x:c r="D61" s="65"/>
      <x:c r="E61" s="65" t="s">
        <x:v>1228</x:v>
      </x:c>
      <x:c r="F61" s="65" t="s">
        <x:v>1173</x:v>
      </x:c>
      <x:c r="G61" s="65" t="s">
        <x:v>1012</x:v>
      </x:c>
      <x:c r="H61" s="65" t="s">
        <x:v>878</x:v>
      </x:c>
      <x:c r="I61" s="65" t="s">
        <x:v>1229</x:v>
      </x:c>
      <x:c r="J61" s="65" t="s">
        <x:v>964</x:v>
      </x:c>
      <x:c r="K61" s="65" t="s">
        <x:v>994</x:v>
      </x:c>
      <x:c r="L61" s="65" t="s">
        <x:v>916</x:v>
      </x:c>
      <x:c r="M61" s="65" t="s">
        <x:v>896</x:v>
      </x:c>
      <x:c r="N61" s="65" t="s">
        <x:v>916</x:v>
      </x:c>
      <x:c r="O61" s="65" t="s">
        <x:v>1000</x:v>
      </x:c>
      <x:c r="P61" s="65" t="s">
        <x:v>916</x:v>
      </x:c>
      <x:c r="Q61" s="85" t="s">
        <x:v>916</x:v>
      </x:c>
      <x:c r="R61" s="85" t="s">
        <x:v>916</x:v>
      </x:c>
      <x:c r="S61" s="85" t="s">
        <x:v>916</x:v>
      </x:c>
      <x:c r="T61" s="85" t="s">
        <x:v>916</x:v>
      </x:c>
      <x:c r="U61" s="85" t="s">
        <x:v>916</x:v>
      </x:c>
      <x:c r="V61" s="85" t="s">
        <x:v>916</x:v>
      </x:c>
      <x:c r="W61" s="66"/>
      <x:c r="X61" s="83" t="str">
        <x:f t="shared" si="0"/>
        <x:v>Belum Dinilai</x:v>
      </x:c>
      <x:c r="Y61" s="83" t="str">
        <x:f t="shared" si="1"/>
        <x:v>Belum Dinilai</x:v>
      </x:c>
      <x:c r="Z61" s="84" t="str">
        <x:f t="shared" si="2"/>
      </x:c>
      <x:c r="AA61" s="84" t="str">
        <x:f t="shared" si="3"/>
      </x:c>
      <x:c r="AB61" s="84" t="str">
        <x:f t="shared" si="4"/>
      </x:c>
      <x:c r="AC61" s="67" t="s">
        <x:v>916</x:v>
      </x:c>
      <x:c r="AD61" s="67" t="s">
        <x:v>916</x:v>
      </x:c>
      <x:c r="AE61" s="67" t="s">
        <x:v>916</x:v>
      </x:c>
      <x:c r="AF61" s="67" t="s">
        <x:v>916</x:v>
      </x:c>
      <x:c r="AG61" s="67" t="s">
        <x:v>916</x:v>
      </x:c>
      <x:c r="AH61" s="67" t="s">
        <x:v>916</x:v>
      </x:c>
      <x:c r="AI61" s="67" t="s">
        <x:v>916</x:v>
      </x:c>
      <x:c r="AJ61" s="67" t="s">
        <x:v>916</x:v>
      </x:c>
      <x:c r="AK61" s="67" t="s">
        <x:v>916</x:v>
      </x:c>
      <x:c r="AL61" s="67"/>
      <x:c r="AM61" s="67" t="s">
        <x:v>916</x:v>
      </x:c>
      <x:c r="AN61" s="83" t="str">
        <x:f t="shared" si="5"/>
        <x:v>Belum Dinilai</x:v>
      </x:c>
      <x:c r="AO61" s="83" t="str">
        <x:f t="shared" si="6"/>
        <x:v>Belum Dinilai</x:v>
      </x:c>
      <x:c r="AP61" s="67"/>
      <x:c r="AQ61" s="70" t="str">
        <x:f t="shared" si="7"/>
      </x:c>
      <x:c r="AR61" s="70" t="str">
        <x:f t="shared" si="8"/>
      </x:c>
      <x:c r="AS61" s="70" t="str">
        <x:f t="shared" si="9"/>
      </x:c>
      <x:c r="AT61" s="68" t="str">
        <x:f t="shared" si="10"/>
        <x:v>Belum Dapat Ditentukan</x:v>
      </x:c>
      <x:c r="AU61" s="65" t="s">
        <x:v>903</x:v>
      </x:c>
      <x:c r="AV61" s="65" t="s">
        <x:v>904</x:v>
      </x:c>
      <x:c r="AW61" s="65" t="s">
        <x:v>889</x:v>
      </x:c>
      <x:c r="AX61" s="65" t="s">
        <x:v>890</x:v>
      </x:c>
      <x:c r="AY61" s="65"/>
      <x:c r="AZ61" s="65" t="s">
        <x:v>888</x:v>
      </x:c>
      <x:c r="BA61" s="65"/>
      <x:c r="BB61" s="177"/>
      <x:c r="BC61" s="71">
        <x:v>2026</x:v>
      </x:c>
      <x:c r="BD61" s="65"/>
      <x:c r="BE61" s="177"/>
      <x:c r="BF61" s="65" t="str">
        <x:v>Dinas Perkim Kota Pangkal Pinang</x:v>
      </x:c>
    </x:row>
    <x:row r="62" ht="28">
      <x:c r="A62" s="65" t="s">
        <x:v>1230</x:v>
      </x:c>
      <x:c r="B62" s="65" t="s">
        <x:v>1231</x:v>
      </x:c>
      <x:c r="C62" s="65"/>
      <x:c r="D62" s="65"/>
      <x:c r="E62" s="65" t="s">
        <x:v>1232</x:v>
      </x:c>
      <x:c r="F62" s="65" t="s">
        <x:v>1233</x:v>
      </x:c>
      <x:c r="G62" s="65" t="s">
        <x:v>1053</x:v>
      </x:c>
      <x:c r="H62" s="65" t="s">
        <x:v>894</x:v>
      </x:c>
      <x:c r="I62" s="65" t="s">
        <x:v>1234</x:v>
      </x:c>
      <x:c r="J62" s="65" t="s">
        <x:v>964</x:v>
      </x:c>
      <x:c r="K62" s="65" t="s">
        <x:v>1000</x:v>
      </x:c>
      <x:c r="L62" s="65" t="s">
        <x:v>916</x:v>
      </x:c>
      <x:c r="M62" s="65" t="s">
        <x:v>1000</x:v>
      </x:c>
      <x:c r="N62" s="65" t="s">
        <x:v>916</x:v>
      </x:c>
      <x:c r="O62" s="65" t="s">
        <x:v>1000</x:v>
      </x:c>
      <x:c r="P62" s="65" t="s">
        <x:v>916</x:v>
      </x:c>
      <x:c r="Q62" s="85" t="s">
        <x:v>916</x:v>
      </x:c>
      <x:c r="R62" s="85" t="s">
        <x:v>916</x:v>
      </x:c>
      <x:c r="S62" s="85" t="s">
        <x:v>916</x:v>
      </x:c>
      <x:c r="T62" s="85" t="s">
        <x:v>916</x:v>
      </x:c>
      <x:c r="U62" s="85" t="s">
        <x:v>916</x:v>
      </x:c>
      <x:c r="V62" s="85" t="s">
        <x:v>916</x:v>
      </x:c>
      <x:c r="W62" s="66"/>
      <x:c r="X62" s="83" t="str">
        <x:f t="shared" si="0"/>
        <x:v>Belum Dinilai</x:v>
      </x:c>
      <x:c r="Y62" s="83" t="str">
        <x:f t="shared" si="1"/>
        <x:v>Belum Dinilai</x:v>
      </x:c>
      <x:c r="Z62" s="84" t="str">
        <x:f t="shared" si="2"/>
      </x:c>
      <x:c r="AA62" s="84" t="str">
        <x:f t="shared" si="3"/>
      </x:c>
      <x:c r="AB62" s="84" t="str">
        <x:f t="shared" si="4"/>
      </x:c>
      <x:c r="AC62" s="67" t="s">
        <x:v>916</x:v>
      </x:c>
      <x:c r="AD62" s="67" t="s">
        <x:v>916</x:v>
      </x:c>
      <x:c r="AE62" s="67" t="s">
        <x:v>916</x:v>
      </x:c>
      <x:c r="AF62" s="67" t="s">
        <x:v>916</x:v>
      </x:c>
      <x:c r="AG62" s="67" t="s">
        <x:v>916</x:v>
      </x:c>
      <x:c r="AH62" s="67" t="s">
        <x:v>916</x:v>
      </x:c>
      <x:c r="AI62" s="67" t="s">
        <x:v>916</x:v>
      </x:c>
      <x:c r="AJ62" s="67" t="s">
        <x:v>916</x:v>
      </x:c>
      <x:c r="AK62" s="67" t="s">
        <x:v>916</x:v>
      </x:c>
      <x:c r="AL62" s="67"/>
      <x:c r="AM62" s="67" t="s">
        <x:v>916</x:v>
      </x:c>
      <x:c r="AN62" s="83" t="str">
        <x:f t="shared" si="5"/>
        <x:v>Belum Dinilai</x:v>
      </x:c>
      <x:c r="AO62" s="83" t="str">
        <x:f t="shared" si="6"/>
        <x:v>Belum Dinilai</x:v>
      </x:c>
      <x:c r="AP62" s="67"/>
      <x:c r="AQ62" s="70" t="str">
        <x:f t="shared" si="7"/>
      </x:c>
      <x:c r="AR62" s="70" t="str">
        <x:f t="shared" si="8"/>
      </x:c>
      <x:c r="AS62" s="70" t="str">
        <x:f t="shared" si="9"/>
      </x:c>
      <x:c r="AT62" s="68" t="str">
        <x:f t="shared" si="10"/>
        <x:v>Belum Dapat Ditentukan</x:v>
      </x:c>
      <x:c r="AU62" s="65" t="s">
        <x:v>903</x:v>
      </x:c>
      <x:c r="AV62" s="65" t="s">
        <x:v>904</x:v>
      </x:c>
      <x:c r="AW62" s="65" t="s">
        <x:v>889</x:v>
      </x:c>
      <x:c r="AX62" s="65" t="s">
        <x:v>890</x:v>
      </x:c>
      <x:c r="AY62" s="65"/>
      <x:c r="AZ62" s="65" t="s">
        <x:v>888</x:v>
      </x:c>
      <x:c r="BA62" s="65"/>
      <x:c r="BB62" s="177"/>
      <x:c r="BC62" s="71">
        <x:v>2026</x:v>
      </x:c>
      <x:c r="BD62" s="65"/>
      <x:c r="BE62" s="177"/>
      <x:c r="BF62" s="65" t="str">
        <x:v>Dinas Perkim Kota Pangkal Pinang</x:v>
      </x:c>
    </x:row>
    <x:row r="63" ht="28">
      <x:c r="A63" s="65" t="s">
        <x:v>1235</x:v>
      </x:c>
      <x:c r="B63" s="65" t="s">
        <x:v>1236</x:v>
      </x:c>
      <x:c r="C63" s="65"/>
      <x:c r="D63" s="65"/>
      <x:c r="E63" s="65" t="s">
        <x:v>1237</x:v>
      </x:c>
      <x:c r="F63" s="65" t="s">
        <x:v>1238</x:v>
      </x:c>
      <x:c r="G63" s="65" t="s">
        <x:v>1053</x:v>
      </x:c>
      <x:c r="H63" s="65" t="s">
        <x:v>894</x:v>
      </x:c>
      <x:c r="I63" s="65" t="s">
        <x:v>1234</x:v>
      </x:c>
      <x:c r="J63" s="65" t="s">
        <x:v>964</x:v>
      </x:c>
      <x:c r="K63" s="65" t="s">
        <x:v>1000</x:v>
      </x:c>
      <x:c r="L63" s="65" t="s">
        <x:v>916</x:v>
      </x:c>
      <x:c r="M63" s="65" t="s">
        <x:v>1000</x:v>
      </x:c>
      <x:c r="N63" s="65" t="s">
        <x:v>916</x:v>
      </x:c>
      <x:c r="O63" s="65" t="s">
        <x:v>1000</x:v>
      </x:c>
      <x:c r="P63" s="65" t="s">
        <x:v>916</x:v>
      </x:c>
      <x:c r="Q63" s="85" t="s">
        <x:v>916</x:v>
      </x:c>
      <x:c r="R63" s="85" t="s">
        <x:v>916</x:v>
      </x:c>
      <x:c r="S63" s="85" t="s">
        <x:v>916</x:v>
      </x:c>
      <x:c r="T63" s="85" t="s">
        <x:v>916</x:v>
      </x:c>
      <x:c r="U63" s="85" t="s">
        <x:v>916</x:v>
      </x:c>
      <x:c r="V63" s="85" t="s">
        <x:v>916</x:v>
      </x:c>
      <x:c r="W63" s="66"/>
      <x:c r="X63" s="83" t="str">
        <x:f t="shared" si="0"/>
        <x:v>Belum Dinilai</x:v>
      </x:c>
      <x:c r="Y63" s="83" t="str">
        <x:f t="shared" si="1"/>
        <x:v>Belum Dinilai</x:v>
      </x:c>
      <x:c r="Z63" s="84" t="str">
        <x:f t="shared" si="2"/>
      </x:c>
      <x:c r="AA63" s="84" t="str">
        <x:f t="shared" si="3"/>
      </x:c>
      <x:c r="AB63" s="84" t="str">
        <x:f t="shared" si="4"/>
      </x:c>
      <x:c r="AC63" s="67" t="s">
        <x:v>916</x:v>
      </x:c>
      <x:c r="AD63" s="67" t="s">
        <x:v>916</x:v>
      </x:c>
      <x:c r="AE63" s="67" t="s">
        <x:v>916</x:v>
      </x:c>
      <x:c r="AF63" s="67" t="s">
        <x:v>916</x:v>
      </x:c>
      <x:c r="AG63" s="67" t="s">
        <x:v>916</x:v>
      </x:c>
      <x:c r="AH63" s="67" t="s">
        <x:v>916</x:v>
      </x:c>
      <x:c r="AI63" s="67" t="s">
        <x:v>916</x:v>
      </x:c>
      <x:c r="AJ63" s="67" t="s">
        <x:v>916</x:v>
      </x:c>
      <x:c r="AK63" s="67" t="s">
        <x:v>916</x:v>
      </x:c>
      <x:c r="AL63" s="67"/>
      <x:c r="AM63" s="67" t="s">
        <x:v>916</x:v>
      </x:c>
      <x:c r="AN63" s="83" t="str">
        <x:f t="shared" si="5"/>
        <x:v>Belum Dinilai</x:v>
      </x:c>
      <x:c r="AO63" s="83" t="str">
        <x:f t="shared" si="6"/>
        <x:v>Belum Dinilai</x:v>
      </x:c>
      <x:c r="AP63" s="67"/>
      <x:c r="AQ63" s="70" t="str">
        <x:f t="shared" si="7"/>
      </x:c>
      <x:c r="AR63" s="70" t="str">
        <x:f t="shared" si="8"/>
      </x:c>
      <x:c r="AS63" s="70" t="str">
        <x:f t="shared" si="9"/>
      </x:c>
      <x:c r="AT63" s="68" t="str">
        <x:f t="shared" si="10"/>
        <x:v>Belum Dapat Ditentukan</x:v>
      </x:c>
      <x:c r="AU63" s="65" t="s">
        <x:v>903</x:v>
      </x:c>
      <x:c r="AV63" s="65" t="s">
        <x:v>904</x:v>
      </x:c>
      <x:c r="AW63" s="65" t="s">
        <x:v>889</x:v>
      </x:c>
      <x:c r="AX63" s="65" t="s">
        <x:v>890</x:v>
      </x:c>
      <x:c r="AY63" s="65"/>
      <x:c r="AZ63" s="65" t="s">
        <x:v>888</x:v>
      </x:c>
      <x:c r="BA63" s="65"/>
      <x:c r="BB63" s="177"/>
      <x:c r="BC63" s="71">
        <x:v>2026</x:v>
      </x:c>
      <x:c r="BD63" s="65"/>
      <x:c r="BE63" s="177"/>
      <x:c r="BF63" s="65" t="str">
        <x:v>Dinas Perkim Kota Pangkal Pinang</x:v>
      </x:c>
    </x:row>
    <x:row r="64" ht="28">
      <x:c r="A64" s="65" t="s">
        <x:v>1239</x:v>
      </x:c>
      <x:c r="B64" s="65" t="s">
        <x:v>1240</x:v>
      </x:c>
      <x:c r="C64" s="65"/>
      <x:c r="D64" s="65"/>
      <x:c r="E64" s="65" t="s">
        <x:v>1237</x:v>
      </x:c>
      <x:c r="F64" s="65" t="s">
        <x:v>1238</x:v>
      </x:c>
      <x:c r="G64" s="65" t="s">
        <x:v>1053</x:v>
      </x:c>
      <x:c r="H64" s="65" t="s">
        <x:v>894</x:v>
      </x:c>
      <x:c r="I64" s="65" t="s">
        <x:v>1234</x:v>
      </x:c>
      <x:c r="J64" s="65" t="s">
        <x:v>964</x:v>
      </x:c>
      <x:c r="K64" s="65" t="s">
        <x:v>1000</x:v>
      </x:c>
      <x:c r="L64" s="65" t="s">
        <x:v>916</x:v>
      </x:c>
      <x:c r="M64" s="65" t="s">
        <x:v>1000</x:v>
      </x:c>
      <x:c r="N64" s="65" t="s">
        <x:v>916</x:v>
      </x:c>
      <x:c r="O64" s="65" t="s">
        <x:v>1000</x:v>
      </x:c>
      <x:c r="P64" s="65" t="s">
        <x:v>916</x:v>
      </x:c>
      <x:c r="Q64" s="85" t="s">
        <x:v>916</x:v>
      </x:c>
      <x:c r="R64" s="85" t="s">
        <x:v>916</x:v>
      </x:c>
      <x:c r="S64" s="85" t="s">
        <x:v>916</x:v>
      </x:c>
      <x:c r="T64" s="85" t="s">
        <x:v>916</x:v>
      </x:c>
      <x:c r="U64" s="85" t="s">
        <x:v>916</x:v>
      </x:c>
      <x:c r="V64" s="85" t="s">
        <x:v>916</x:v>
      </x:c>
      <x:c r="W64" s="66"/>
      <x:c r="X64" s="83" t="str">
        <x:f t="shared" si="0"/>
        <x:v>Belum Dinilai</x:v>
      </x:c>
      <x:c r="Y64" s="83" t="str">
        <x:f t="shared" si="1"/>
        <x:v>Belum Dinilai</x:v>
      </x:c>
      <x:c r="Z64" s="84" t="str">
        <x:f t="shared" si="2"/>
      </x:c>
      <x:c r="AA64" s="84" t="str">
        <x:f t="shared" si="3"/>
      </x:c>
      <x:c r="AB64" s="84" t="str">
        <x:f t="shared" si="4"/>
      </x:c>
      <x:c r="AC64" s="67" t="s">
        <x:v>916</x:v>
      </x:c>
      <x:c r="AD64" s="67" t="s">
        <x:v>916</x:v>
      </x:c>
      <x:c r="AE64" s="67" t="s">
        <x:v>916</x:v>
      </x:c>
      <x:c r="AF64" s="67" t="s">
        <x:v>916</x:v>
      </x:c>
      <x:c r="AG64" s="67" t="s">
        <x:v>916</x:v>
      </x:c>
      <x:c r="AH64" s="67" t="s">
        <x:v>916</x:v>
      </x:c>
      <x:c r="AI64" s="67" t="s">
        <x:v>916</x:v>
      </x:c>
      <x:c r="AJ64" s="67" t="s">
        <x:v>916</x:v>
      </x:c>
      <x:c r="AK64" s="67" t="s">
        <x:v>916</x:v>
      </x:c>
      <x:c r="AL64" s="67"/>
      <x:c r="AM64" s="67" t="s">
        <x:v>916</x:v>
      </x:c>
      <x:c r="AN64" s="83" t="str">
        <x:f t="shared" si="5"/>
        <x:v>Belum Dinilai</x:v>
      </x:c>
      <x:c r="AO64" s="83" t="str">
        <x:f t="shared" si="6"/>
        <x:v>Belum Dinilai</x:v>
      </x:c>
      <x:c r="AP64" s="67"/>
      <x:c r="AQ64" s="70" t="str">
        <x:f t="shared" si="7"/>
      </x:c>
      <x:c r="AR64" s="70" t="str">
        <x:f t="shared" si="8"/>
      </x:c>
      <x:c r="AS64" s="70" t="str">
        <x:f t="shared" si="9"/>
      </x:c>
      <x:c r="AT64" s="68" t="str">
        <x:f t="shared" si="10"/>
        <x:v>Belum Dapat Ditentukan</x:v>
      </x:c>
      <x:c r="AU64" s="65" t="s">
        <x:v>903</x:v>
      </x:c>
      <x:c r="AV64" s="65" t="s">
        <x:v>904</x:v>
      </x:c>
      <x:c r="AW64" s="65" t="s">
        <x:v>889</x:v>
      </x:c>
      <x:c r="AX64" s="65" t="s">
        <x:v>890</x:v>
      </x:c>
      <x:c r="AY64" s="65"/>
      <x:c r="AZ64" s="65" t="s">
        <x:v>888</x:v>
      </x:c>
      <x:c r="BA64" s="65"/>
      <x:c r="BB64" s="177"/>
      <x:c r="BC64" s="71">
        <x:v>2026</x:v>
      </x:c>
      <x:c r="BD64" s="65"/>
      <x:c r="BE64" s="177"/>
      <x:c r="BF64" s="65" t="str">
        <x:v>Dinas Perkim Kota Pangkal Pinang</x:v>
      </x:c>
    </x:row>
    <x:row r="65" ht="42">
      <x:c r="A65" s="65" t="s">
        <x:v>1241</x:v>
      </x:c>
      <x:c r="B65" s="65" t="s">
        <x:v>1242</x:v>
      </x:c>
      <x:c r="C65" s="65"/>
      <x:c r="D65" s="65"/>
      <x:c r="E65" s="65" t="s">
        <x:v>1243</x:v>
      </x:c>
      <x:c r="F65" s="65" t="s">
        <x:v>1026</x:v>
      </x:c>
      <x:c r="G65" s="65" t="s">
        <x:v>1027</x:v>
      </x:c>
      <x:c r="H65" s="65" t="s">
        <x:v>894</x:v>
      </x:c>
      <x:c r="I65" s="65" t="s">
        <x:v>1244</x:v>
      </x:c>
      <x:c r="J65" s="65" t="s">
        <x:v>879</x:v>
      </x:c>
      <x:c r="K65" s="65" t="s">
        <x:v>880</x:v>
      </x:c>
      <x:c r="L65" s="65" t="s">
        <x:v>916</x:v>
      </x:c>
      <x:c r="M65" s="65" t="s">
        <x:v>882</x:v>
      </x:c>
      <x:c r="N65" s="65" t="s">
        <x:v>916</x:v>
      </x:c>
      <x:c r="O65" s="65" t="s">
        <x:v>1000</x:v>
      </x:c>
      <x:c r="P65" s="65" t="s">
        <x:v>916</x:v>
      </x:c>
      <x:c r="Q65" s="85" t="s">
        <x:v>916</x:v>
      </x:c>
      <x:c r="R65" s="85" t="s">
        <x:v>916</x:v>
      </x:c>
      <x:c r="S65" s="85" t="s">
        <x:v>916</x:v>
      </x:c>
      <x:c r="T65" s="85" t="s">
        <x:v>916</x:v>
      </x:c>
      <x:c r="U65" s="85" t="s">
        <x:v>916</x:v>
      </x:c>
      <x:c r="V65" s="85" t="s">
        <x:v>916</x:v>
      </x:c>
      <x:c r="W65" s="66"/>
      <x:c r="X65" s="83" t="str">
        <x:f t="shared" si="0"/>
        <x:v>Belum Dinilai</x:v>
      </x:c>
      <x:c r="Y65" s="83" t="str">
        <x:f t="shared" si="1"/>
        <x:v>Belum Dinilai</x:v>
      </x:c>
      <x:c r="Z65" s="84" t="str">
        <x:f t="shared" si="2"/>
      </x:c>
      <x:c r="AA65" s="84" t="str">
        <x:f t="shared" si="3"/>
      </x:c>
      <x:c r="AB65" s="84" t="str">
        <x:f t="shared" si="4"/>
      </x:c>
      <x:c r="AC65" s="67" t="s">
        <x:v>916</x:v>
      </x:c>
      <x:c r="AD65" s="67" t="s">
        <x:v>916</x:v>
      </x:c>
      <x:c r="AE65" s="67" t="s">
        <x:v>916</x:v>
      </x:c>
      <x:c r="AF65" s="67" t="s">
        <x:v>916</x:v>
      </x:c>
      <x:c r="AG65" s="67" t="s">
        <x:v>916</x:v>
      </x:c>
      <x:c r="AH65" s="67" t="s">
        <x:v>916</x:v>
      </x:c>
      <x:c r="AI65" s="67" t="s">
        <x:v>916</x:v>
      </x:c>
      <x:c r="AJ65" s="67" t="s">
        <x:v>916</x:v>
      </x:c>
      <x:c r="AK65" s="67" t="s">
        <x:v>916</x:v>
      </x:c>
      <x:c r="AL65" s="67"/>
      <x:c r="AM65" s="67" t="s">
        <x:v>916</x:v>
      </x:c>
      <x:c r="AN65" s="83" t="str">
        <x:f t="shared" si="5"/>
        <x:v>Belum Dinilai</x:v>
      </x:c>
      <x:c r="AO65" s="83" t="str">
        <x:f t="shared" si="6"/>
        <x:v>Belum Dinilai</x:v>
      </x:c>
      <x:c r="AP65" s="67"/>
      <x:c r="AQ65" s="70" t="str">
        <x:f t="shared" si="7"/>
      </x:c>
      <x:c r="AR65" s="70" t="str">
        <x:f t="shared" si="8"/>
      </x:c>
      <x:c r="AS65" s="70" t="str">
        <x:f t="shared" si="9"/>
      </x:c>
      <x:c r="AT65" s="68" t="str">
        <x:f t="shared" si="10"/>
        <x:v>Belum Dapat Ditentukan</x:v>
      </x:c>
      <x:c r="AU65" s="65" t="s">
        <x:v>887</x:v>
      </x:c>
      <x:c r="AV65" s="65" t="s">
        <x:v>904</x:v>
      </x:c>
      <x:c r="AW65" s="65" t="s">
        <x:v>889</x:v>
      </x:c>
      <x:c r="AX65" s="65" t="s">
        <x:v>890</x:v>
      </x:c>
      <x:c r="AY65" s="65"/>
      <x:c r="AZ65" s="65" t="s">
        <x:v>888</x:v>
      </x:c>
      <x:c r="BA65" s="65"/>
      <x:c r="BB65" s="177"/>
      <x:c r="BC65" s="71">
        <x:v>2026</x:v>
      </x:c>
      <x:c r="BD65" s="65"/>
      <x:c r="BE65" s="177"/>
      <x:c r="BF65" s="65" t="str">
        <x:v>Dinas Perkim Kota Pangkal Pinang</x:v>
      </x:c>
    </x:row>
    <x:row r="66" ht="28">
      <x:c r="A66" s="65" t="s">
        <x:v>1245</x:v>
      </x:c>
      <x:c r="B66" s="65" t="s">
        <x:v>1246</x:v>
      </x:c>
      <x:c r="C66" s="65"/>
      <x:c r="D66" s="65"/>
      <x:c r="E66" s="65" t="s">
        <x:v>1247</x:v>
      </x:c>
      <x:c r="F66" s="65" t="s">
        <x:v>1026</x:v>
      </x:c>
      <x:c r="G66" s="65" t="s">
        <x:v>1027</x:v>
      </x:c>
      <x:c r="H66" s="65" t="s">
        <x:v>894</x:v>
      </x:c>
      <x:c r="I66" s="65" t="s">
        <x:v>1248</x:v>
      </x:c>
      <x:c r="J66" s="65" t="s">
        <x:v>879</x:v>
      </x:c>
      <x:c r="K66" s="65" t="s">
        <x:v>880</x:v>
      </x:c>
      <x:c r="L66" s="65" t="s">
        <x:v>916</x:v>
      </x:c>
      <x:c r="M66" s="65" t="s">
        <x:v>882</x:v>
      </x:c>
      <x:c r="N66" s="65" t="s">
        <x:v>916</x:v>
      </x:c>
      <x:c r="O66" s="65" t="s">
        <x:v>1000</x:v>
      </x:c>
      <x:c r="P66" s="65" t="s">
        <x:v>916</x:v>
      </x:c>
      <x:c r="Q66" s="85" t="s">
        <x:v>916</x:v>
      </x:c>
      <x:c r="R66" s="85" t="s">
        <x:v>916</x:v>
      </x:c>
      <x:c r="S66" s="85" t="s">
        <x:v>916</x:v>
      </x:c>
      <x:c r="T66" s="85" t="s">
        <x:v>916</x:v>
      </x:c>
      <x:c r="U66" s="85" t="s">
        <x:v>916</x:v>
      </x:c>
      <x:c r="V66" s="85" t="s">
        <x:v>916</x:v>
      </x:c>
      <x:c r="W66" s="66"/>
      <x:c r="X66" s="83" t="str">
        <x:f t="shared" si="0"/>
        <x:v>Belum Dinilai</x:v>
      </x:c>
      <x:c r="Y66" s="83" t="str">
        <x:f t="shared" si="1"/>
        <x:v>Belum Dinilai</x:v>
      </x:c>
      <x:c r="Z66" s="84" t="str">
        <x:f t="shared" si="2"/>
      </x:c>
      <x:c r="AA66" s="84" t="str">
        <x:f t="shared" si="3"/>
      </x:c>
      <x:c r="AB66" s="84" t="str">
        <x:f t="shared" si="4"/>
      </x:c>
      <x:c r="AC66" s="67" t="s">
        <x:v>916</x:v>
      </x:c>
      <x:c r="AD66" s="67" t="s">
        <x:v>916</x:v>
      </x:c>
      <x:c r="AE66" s="67" t="s">
        <x:v>916</x:v>
      </x:c>
      <x:c r="AF66" s="67" t="s">
        <x:v>916</x:v>
      </x:c>
      <x:c r="AG66" s="67" t="s">
        <x:v>916</x:v>
      </x:c>
      <x:c r="AH66" s="67" t="s">
        <x:v>916</x:v>
      </x:c>
      <x:c r="AI66" s="67" t="s">
        <x:v>916</x:v>
      </x:c>
      <x:c r="AJ66" s="67" t="s">
        <x:v>916</x:v>
      </x:c>
      <x:c r="AK66" s="67" t="s">
        <x:v>916</x:v>
      </x:c>
      <x:c r="AL66" s="67"/>
      <x:c r="AM66" s="67" t="s">
        <x:v>916</x:v>
      </x:c>
      <x:c r="AN66" s="83" t="str">
        <x:f t="shared" si="5"/>
        <x:v>Belum Dinilai</x:v>
      </x:c>
      <x:c r="AO66" s="83" t="str">
        <x:f t="shared" si="6"/>
        <x:v>Belum Dinilai</x:v>
      </x:c>
      <x:c r="AP66" s="67"/>
      <x:c r="AQ66" s="70" t="str">
        <x:f t="shared" si="7"/>
      </x:c>
      <x:c r="AR66" s="70" t="str">
        <x:f t="shared" si="8"/>
      </x:c>
      <x:c r="AS66" s="70" t="str">
        <x:f t="shared" si="9"/>
      </x:c>
      <x:c r="AT66" s="68" t="str">
        <x:f t="shared" si="10"/>
        <x:v>Belum Dapat Ditentukan</x:v>
      </x:c>
      <x:c r="AU66" s="65" t="s">
        <x:v>887</x:v>
      </x:c>
      <x:c r="AV66" s="65" t="s">
        <x:v>904</x:v>
      </x:c>
      <x:c r="AW66" s="65" t="s">
        <x:v>889</x:v>
      </x:c>
      <x:c r="AX66" s="65" t="s">
        <x:v>890</x:v>
      </x:c>
      <x:c r="AY66" s="65"/>
      <x:c r="AZ66" s="65" t="s">
        <x:v>888</x:v>
      </x:c>
      <x:c r="BA66" s="65"/>
      <x:c r="BB66" s="177"/>
      <x:c r="BC66" s="71">
        <x:v>2026</x:v>
      </x:c>
      <x:c r="BD66" s="65"/>
      <x:c r="BE66" s="177"/>
      <x:c r="BF66" s="65" t="str">
        <x:v>Dinas Perkim Kota Pangkal Pinang</x:v>
      </x:c>
    </x:row>
    <x:row r="67" ht="28">
      <x:c r="A67" s="65" t="s">
        <x:v>1249</x:v>
      </x:c>
      <x:c r="B67" s="65" t="s">
        <x:v>1250</x:v>
      </x:c>
      <x:c r="C67" s="65"/>
      <x:c r="D67" s="65"/>
      <x:c r="E67" s="65" t="s">
        <x:v>1251</x:v>
      </x:c>
      <x:c r="F67" s="65" t="s">
        <x:v>1252</x:v>
      </x:c>
      <x:c r="G67" s="65" t="s">
        <x:v>1027</x:v>
      </x:c>
      <x:c r="H67" s="65" t="s">
        <x:v>894</x:v>
      </x:c>
      <x:c r="I67" s="65" t="s">
        <x:v>1253</x:v>
      </x:c>
      <x:c r="J67" s="65" t="s">
        <x:v>910</x:v>
      </x:c>
      <x:c r="K67" s="65" t="s">
        <x:v>896</x:v>
      </x:c>
      <x:c r="L67" s="65" t="s">
        <x:v>916</x:v>
      </x:c>
      <x:c r="M67" s="65" t="s">
        <x:v>968</x:v>
      </x:c>
      <x:c r="N67" s="65" t="s">
        <x:v>912</x:v>
      </x:c>
      <x:c r="O67" s="65" t="s">
        <x:v>1000</x:v>
      </x:c>
      <x:c r="P67" s="65" t="s">
        <x:v>912</x:v>
      </x:c>
      <x:c r="Q67" s="85" t="s">
        <x:v>916</x:v>
      </x:c>
      <x:c r="R67" s="85" t="s">
        <x:v>916</x:v>
      </x:c>
      <x:c r="S67" s="85" t="s">
        <x:v>916</x:v>
      </x:c>
      <x:c r="T67" s="85" t="s">
        <x:v>916</x:v>
      </x:c>
      <x:c r="U67" s="85" t="s">
        <x:v>916</x:v>
      </x:c>
      <x:c r="V67" s="85" t="s">
        <x:v>916</x:v>
      </x:c>
      <x:c r="W67" s="66"/>
      <x:c r="X67" s="83" t="str">
        <x:f t="shared" si="0"/>
        <x:v>Belum Dinilai</x:v>
      </x:c>
      <x:c r="Y67" s="83" t="str">
        <x:f t="shared" si="1"/>
        <x:v>Belum Dinilai</x:v>
      </x:c>
      <x:c r="Z67" s="84" t="str">
        <x:f t="shared" si="2"/>
      </x:c>
      <x:c r="AA67" s="84" t="str">
        <x:f t="shared" si="3"/>
      </x:c>
      <x:c r="AB67" s="84" t="str">
        <x:f t="shared" si="4"/>
      </x:c>
      <x:c r="AC67" s="67" t="s">
        <x:v>916</x:v>
      </x:c>
      <x:c r="AD67" s="67" t="s">
        <x:v>916</x:v>
      </x:c>
      <x:c r="AE67" s="67" t="s">
        <x:v>916</x:v>
      </x:c>
      <x:c r="AF67" s="67" t="s">
        <x:v>916</x:v>
      </x:c>
      <x:c r="AG67" s="67" t="s">
        <x:v>916</x:v>
      </x:c>
      <x:c r="AH67" s="67" t="s">
        <x:v>916</x:v>
      </x:c>
      <x:c r="AI67" s="67" t="s">
        <x:v>916</x:v>
      </x:c>
      <x:c r="AJ67" s="67" t="s">
        <x:v>916</x:v>
      </x:c>
      <x:c r="AK67" s="67" t="s">
        <x:v>916</x:v>
      </x:c>
      <x:c r="AL67" s="67"/>
      <x:c r="AM67" s="67" t="s">
        <x:v>916</x:v>
      </x:c>
      <x:c r="AN67" s="83" t="str">
        <x:f t="shared" si="5"/>
        <x:v>Belum Dinilai</x:v>
      </x:c>
      <x:c r="AO67" s="83" t="str">
        <x:f t="shared" si="6"/>
        <x:v>Belum Dinilai</x:v>
      </x:c>
      <x:c r="AP67" s="67"/>
      <x:c r="AQ67" s="70" t="str">
        <x:f t="shared" si="7"/>
      </x:c>
      <x:c r="AR67" s="70" t="str">
        <x:f t="shared" si="8"/>
      </x:c>
      <x:c r="AS67" s="70" t="str">
        <x:f t="shared" si="9"/>
      </x:c>
      <x:c r="AT67" s="68" t="str">
        <x:f t="shared" si="10"/>
        <x:v>Belum Dapat Ditentukan</x:v>
      </x:c>
      <x:c r="AU67" s="65" t="s">
        <x:v>887</x:v>
      </x:c>
      <x:c r="AV67" s="65" t="s">
        <x:v>904</x:v>
      </x:c>
      <x:c r="AW67" s="65" t="s">
        <x:v>1001</x:v>
      </x:c>
      <x:c r="AX67" s="65" t="s">
        <x:v>906</x:v>
      </x:c>
      <x:c r="AY67" s="65">
        <x:v>2024</x:v>
      </x:c>
      <x:c r="AZ67" s="65" t="s">
        <x:v>888</x:v>
      </x:c>
      <x:c r="BA67" s="65"/>
      <x:c r="BB67" s="177"/>
      <x:c r="BC67" s="71">
        <x:v>2026</x:v>
      </x:c>
      <x:c r="BD67" s="65"/>
      <x:c r="BE67" s="177"/>
      <x:c r="BF67" s="65" t="str">
        <x:v>Dinas Perkim Kota Pangkal Pinang</x:v>
      </x:c>
    </x:row>
    <x:row r="68" ht="28">
      <x:c r="A68" s="65" t="s">
        <x:v>1254</x:v>
      </x:c>
      <x:c r="B68" s="65" t="s">
        <x:v>1255</x:v>
      </x:c>
      <x:c r="C68" s="65"/>
      <x:c r="D68" s="65"/>
      <x:c r="E68" s="65" t="s">
        <x:v>1256</x:v>
      </x:c>
      <x:c r="F68" s="65" t="s">
        <x:v>1052</x:v>
      </x:c>
      <x:c r="G68" s="65" t="s">
        <x:v>1053</x:v>
      </x:c>
      <x:c r="H68" s="65" t="s">
        <x:v>894</x:v>
      </x:c>
      <x:c r="I68" s="65" t="s">
        <x:v>1257</x:v>
      </x:c>
      <x:c r="J68" s="65" t="s">
        <x:v>879</x:v>
      </x:c>
      <x:c r="K68" s="65" t="s">
        <x:v>896</x:v>
      </x:c>
      <x:c r="L68" s="65" t="s">
        <x:v>912</x:v>
      </x:c>
      <x:c r="M68" s="65" t="s">
        <x:v>913</x:v>
      </x:c>
      <x:c r="N68" s="65" t="s">
        <x:v>912</x:v>
      </x:c>
      <x:c r="O68" s="65" t="s">
        <x:v>1000</x:v>
      </x:c>
      <x:c r="P68" s="65" t="s">
        <x:v>912</x:v>
      </x:c>
      <x:c r="Q68" s="85" t="s">
        <x:v>916</x:v>
      </x:c>
      <x:c r="R68" s="85" t="s">
        <x:v>916</x:v>
      </x:c>
      <x:c r="S68" s="85" t="s">
        <x:v>916</x:v>
      </x:c>
      <x:c r="T68" s="85" t="s">
        <x:v>916</x:v>
      </x:c>
      <x:c r="U68" s="85" t="s">
        <x:v>916</x:v>
      </x:c>
      <x:c r="V68" s="85" t="s">
        <x:v>916</x:v>
      </x:c>
      <x:c r="W68" s="66"/>
      <x:c r="X68" s="83" t="str">
        <x:f t="shared" si="0"/>
        <x:v>Belum Dinilai</x:v>
      </x:c>
      <x:c r="Y68" s="83" t="str">
        <x:f t="shared" si="1"/>
        <x:v>Belum Dinilai</x:v>
      </x:c>
      <x:c r="Z68" s="84" t="str">
        <x:f t="shared" si="2"/>
      </x:c>
      <x:c r="AA68" s="84" t="str">
        <x:f t="shared" si="3"/>
      </x:c>
      <x:c r="AB68" s="84" t="str">
        <x:f t="shared" si="4"/>
      </x:c>
      <x:c r="AC68" s="67" t="s">
        <x:v>916</x:v>
      </x:c>
      <x:c r="AD68" s="67" t="s">
        <x:v>916</x:v>
      </x:c>
      <x:c r="AE68" s="67" t="s">
        <x:v>916</x:v>
      </x:c>
      <x:c r="AF68" s="67" t="s">
        <x:v>916</x:v>
      </x:c>
      <x:c r="AG68" s="67" t="s">
        <x:v>916</x:v>
      </x:c>
      <x:c r="AH68" s="67" t="s">
        <x:v>916</x:v>
      </x:c>
      <x:c r="AI68" s="67" t="s">
        <x:v>916</x:v>
      </x:c>
      <x:c r="AJ68" s="67" t="s">
        <x:v>916</x:v>
      </x:c>
      <x:c r="AK68" s="67" t="s">
        <x:v>916</x:v>
      </x:c>
      <x:c r="AL68" s="67"/>
      <x:c r="AM68" s="67" t="s">
        <x:v>916</x:v>
      </x:c>
      <x:c r="AN68" s="83" t="str">
        <x:f t="shared" si="5"/>
        <x:v>Belum Dinilai</x:v>
      </x:c>
      <x:c r="AO68" s="83" t="str">
        <x:f t="shared" si="6"/>
        <x:v>Belum Dinilai</x:v>
      </x:c>
      <x:c r="AP68" s="67"/>
      <x:c r="AQ68" s="70">
        <x:f t="shared" si="7"/>
        <x:v>28</x:v>
      </x:c>
      <x:c r="AR68" s="70" t="str">
        <x:f t="shared" si="8"/>
      </x:c>
      <x:c r="AS68" s="70" t="str">
        <x:f t="shared" si="9"/>
      </x:c>
      <x:c r="AT68" s="68" t="str">
        <x:f t="shared" si="10"/>
        <x:v>Belum Dapat Ditentukan</x:v>
      </x:c>
      <x:c r="AU68" s="65" t="s">
        <x:v>887</x:v>
      </x:c>
      <x:c r="AV68" s="65" t="s">
        <x:v>904</x:v>
      </x:c>
      <x:c r="AW68" s="65" t="s">
        <x:v>889</x:v>
      </x:c>
      <x:c r="AX68" s="65" t="s">
        <x:v>890</x:v>
      </x:c>
      <x:c r="AY68" s="65"/>
      <x:c r="AZ68" s="65" t="s">
        <x:v>888</x:v>
      </x:c>
      <x:c r="BA68" s="65"/>
      <x:c r="BB68" s="177"/>
      <x:c r="BC68" s="71">
        <x:v>2026</x:v>
      </x:c>
      <x:c r="BD68" s="65"/>
      <x:c r="BE68" s="177"/>
      <x:c r="BF68" s="65" t="str">
        <x:v>Dinas Perkim Kota Pangkal Pinang</x:v>
      </x:c>
    </x:row>
    <x:row r="69" ht="56">
      <x:c r="A69" s="65" t="s">
        <x:v>1258</x:v>
      </x:c>
      <x:c r="B69" s="65" t="s">
        <x:v>1259</x:v>
      </x:c>
      <x:c r="C69" s="65"/>
      <x:c r="D69" s="65"/>
      <x:c r="E69" s="65" t="s">
        <x:v>1260</x:v>
      </x:c>
      <x:c r="F69" s="65" t="s">
        <x:v>1261</x:v>
      </x:c>
      <x:c r="G69" s="65" t="s">
        <x:v>977</x:v>
      </x:c>
      <x:c r="H69" s="65" t="s">
        <x:v>894</x:v>
      </x:c>
      <x:c r="I69" s="65" t="s">
        <x:v>1262</x:v>
      </x:c>
      <x:c r="J69" s="65" t="s">
        <x:v>964</x:v>
      </x:c>
      <x:c r="K69" s="65" t="s">
        <x:v>1000</x:v>
      </x:c>
      <x:c r="L69" s="65" t="s">
        <x:v>897</x:v>
      </x:c>
      <x:c r="M69" s="65" t="s">
        <x:v>1000</x:v>
      </x:c>
      <x:c r="N69" s="65" t="s">
        <x:v>916</x:v>
      </x:c>
      <x:c r="O69" s="65" t="s">
        <x:v>914</x:v>
      </x:c>
      <x:c r="P69" s="65" t="s">
        <x:v>916</x:v>
      </x:c>
      <x:c r="Q69" s="85" t="s">
        <x:v>916</x:v>
      </x:c>
      <x:c r="R69" s="85" t="s">
        <x:v>916</x:v>
      </x:c>
      <x:c r="S69" s="85" t="s">
        <x:v>916</x:v>
      </x:c>
      <x:c r="T69" s="85" t="s">
        <x:v>916</x:v>
      </x:c>
      <x:c r="U69" s="85" t="s">
        <x:v>916</x:v>
      </x:c>
      <x:c r="V69" s="85" t="s">
        <x:v>916</x:v>
      </x:c>
      <x:c r="W69" s="66"/>
      <x:c r="X69" s="83" t="str">
        <x:f t="shared" si="0"/>
        <x:v>Belum Dinilai</x:v>
      </x:c>
      <x:c r="Y69" s="83" t="str">
        <x:f t="shared" si="1"/>
        <x:v>Belum Dinilai</x:v>
      </x:c>
      <x:c r="Z69" s="84" t="str">
        <x:f t="shared" si="2"/>
      </x:c>
      <x:c r="AA69" s="84" t="str">
        <x:f t="shared" si="3"/>
      </x:c>
      <x:c r="AB69" s="84" t="str">
        <x:f t="shared" si="4"/>
      </x:c>
      <x:c r="AC69" s="67" t="s">
        <x:v>916</x:v>
      </x:c>
      <x:c r="AD69" s="67" t="s">
        <x:v>916</x:v>
      </x:c>
      <x:c r="AE69" s="67" t="s">
        <x:v>916</x:v>
      </x:c>
      <x:c r="AF69" s="67" t="s">
        <x:v>916</x:v>
      </x:c>
      <x:c r="AG69" s="67" t="s">
        <x:v>916</x:v>
      </x:c>
      <x:c r="AH69" s="67" t="s">
        <x:v>916</x:v>
      </x:c>
      <x:c r="AI69" s="67" t="s">
        <x:v>916</x:v>
      </x:c>
      <x:c r="AJ69" s="67" t="s">
        <x:v>916</x:v>
      </x:c>
      <x:c r="AK69" s="67" t="s">
        <x:v>916</x:v>
      </x:c>
      <x:c r="AL69" s="67"/>
      <x:c r="AM69" s="67" t="s">
        <x:v>916</x:v>
      </x:c>
      <x:c r="AN69" s="83" t="str">
        <x:f t="shared" si="5"/>
        <x:v>Belum Dinilai</x:v>
      </x:c>
      <x:c r="AO69" s="83" t="str">
        <x:f t="shared" si="6"/>
        <x:v>Belum Dinilai</x:v>
      </x:c>
      <x:c r="AP69" s="67"/>
      <x:c r="AQ69" s="70" t="str">
        <x:f t="shared" si="7"/>
      </x:c>
      <x:c r="AR69" s="70" t="str">
        <x:f t="shared" si="8"/>
      </x:c>
      <x:c r="AS69" s="70" t="str">
        <x:f t="shared" si="9"/>
      </x:c>
      <x:c r="AT69" s="68" t="str">
        <x:f t="shared" si="10"/>
        <x:v>Belum Dapat Ditentukan</x:v>
      </x:c>
      <x:c r="AU69" s="65" t="s">
        <x:v>887</x:v>
      </x:c>
      <x:c r="AV69" s="65" t="s">
        <x:v>904</x:v>
      </x:c>
      <x:c r="AW69" s="65" t="s">
        <x:v>889</x:v>
      </x:c>
      <x:c r="AX69" s="65" t="s">
        <x:v>890</x:v>
      </x:c>
      <x:c r="AY69" s="65"/>
      <x:c r="AZ69" s="65" t="s">
        <x:v>907</x:v>
      </x:c>
      <x:c r="BA69" s="65"/>
      <x:c r="BB69" s="177"/>
      <x:c r="BC69" s="71">
        <x:v>2026</x:v>
      </x:c>
      <x:c r="BD69" s="65"/>
      <x:c r="BE69" s="177"/>
      <x:c r="BF69" s="65" t="str">
        <x:v>Dinas Perkim Kota Pangkal Pinang</x:v>
      </x:c>
    </x:row>
    <x:row r="70" ht="42">
      <x:c r="A70" s="65" t="s">
        <x:v>1263</x:v>
      </x:c>
      <x:c r="B70" s="65" t="s">
        <x:v>1264</x:v>
      </x:c>
      <x:c r="C70" s="65"/>
      <x:c r="D70" s="65"/>
      <x:c r="E70" s="65" t="s">
        <x:v>1265</x:v>
      </x:c>
      <x:c r="F70" s="65" t="s">
        <x:v>976</x:v>
      </x:c>
      <x:c r="G70" s="65" t="s">
        <x:v>977</x:v>
      </x:c>
      <x:c r="H70" s="65" t="s">
        <x:v>878</x:v>
      </x:c>
      <x:c r="I70" s="65" t="s">
        <x:v>1266</x:v>
      </x:c>
      <x:c r="J70" s="65" t="s">
        <x:v>910</x:v>
      </x:c>
      <x:c r="K70" s="65" t="s">
        <x:v>896</x:v>
      </x:c>
      <x:c r="L70" s="65" t="s">
        <x:v>966</x:v>
      </x:c>
      <x:c r="M70" s="65" t="s">
        <x:v>968</x:v>
      </x:c>
      <x:c r="N70" s="65" t="s">
        <x:v>966</x:v>
      </x:c>
      <x:c r="O70" s="65" t="s">
        <x:v>1000</x:v>
      </x:c>
      <x:c r="P70" s="65" t="s">
        <x:v>916</x:v>
      </x:c>
      <x:c r="Q70" s="85" t="s">
        <x:v>916</x:v>
      </x:c>
      <x:c r="R70" s="85" t="s">
        <x:v>916</x:v>
      </x:c>
      <x:c r="S70" s="85" t="s">
        <x:v>916</x:v>
      </x:c>
      <x:c r="T70" s="85" t="s">
        <x:v>916</x:v>
      </x:c>
      <x:c r="U70" s="85" t="s">
        <x:v>916</x:v>
      </x:c>
      <x:c r="V70" s="85" t="s">
        <x:v>916</x:v>
      </x:c>
      <x:c r="W70" s="66"/>
      <x:c r="X70" s="83" t="str">
        <x:f t="shared" ref="X70:X133" si="11">IF(COUNTIF(R70:V70,"Belum Dinilai")&gt;0,"Belum Dinilai",IF(COUNTIF(R70:V70,"Ya")=0,"Tidak ada faktor rentan",IF(R70="Ya","Lansia; ","")&amp;IF(S70="Ya","Penyandang disabilitas; ","")&amp;IF(T70="Ya","Kepala keluarga perempuan; ","")&amp;IF(U70="Ya","Balita; ","")&amp;IF(V70="Ya","Anggota keluarga dengan ketergantungan tinggi; ","")))</x:f>
        <x:v>Belum Dinilai</x:v>
      </x:c>
      <x:c r="Y70" s="83" t="str">
        <x:f t="shared" ref="Y70:Y133" si="12">IF(COUNTIF(R70:V70,"Belum Dinilai")&gt;0,"Belum Dinilai",IF(COUNTIF(R70:V70,"Ya")=0,"Tidak Ada Faktor Rentan",IF(COUNTIF(R70:V70,"Ya")=1,"1 Faktor Rentan","2 atau Lebih Faktor Rentan")))</x:f>
        <x:v>Belum Dinilai</x:v>
      </x:c>
      <x:c r="Z70" s="84" t="str">
        <x:f t="shared" ref="Z70:Z133" si="13">IF(OR(Q70="",Q70="Belum Dinilai"),"",IF(Q70="Terverifikasi DTKS/P3KE/MBR",10,IF(Q70="Diusulkan, Belum Terverifikasi",5,0)))</x:f>
      </x:c>
      <x:c r="AA70" s="84" t="str">
        <x:f t="shared" ref="AA70:AA133" si="14">IF(COUNTIF(R70:V70,"Belum Dinilai")&gt;0,"",IF(COUNTIF(R70:V70,"Ya")=0,0,IF(COUNTIF(R70:V70,"Ya")=1,5,10)))</x:f>
      </x:c>
      <x:c r="AB70" s="84" t="str">
        <x:f t="shared" ref="AB70:AB133" si="15">IF(OR(Z70="",AA70=""),"",Z70+AA70)</x:f>
      </x:c>
      <x:c r="AC70" s="67" t="s">
        <x:v>916</x:v>
      </x:c>
      <x:c r="AD70" s="67" t="s">
        <x:v>916</x:v>
      </x:c>
      <x:c r="AE70" s="67" t="s">
        <x:v>916</x:v>
      </x:c>
      <x:c r="AF70" s="67" t="s">
        <x:v>916</x:v>
      </x:c>
      <x:c r="AG70" s="67" t="s">
        <x:v>916</x:v>
      </x:c>
      <x:c r="AH70" s="67" t="s">
        <x:v>916</x:v>
      </x:c>
      <x:c r="AI70" s="67" t="s">
        <x:v>916</x:v>
      </x:c>
      <x:c r="AJ70" s="67" t="s">
        <x:v>916</x:v>
      </x:c>
      <x:c r="AK70" s="67" t="s">
        <x:v>916</x:v>
      </x:c>
      <x:c r="AL70" s="67"/>
      <x:c r="AM70" s="67" t="s">
        <x:v>916</x:v>
      </x:c>
      <x:c r="AN70" s="83" t="str">
        <x: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x:f>
        <x:v>Belum Dinilai</x:v>
      </x:c>
      <x:c r="AO70" s="83" t="str">
        <x:f t="shared" ref="AO70:AO133" si="17">IF(AR70="","Belum Dinilai",IF(AR70=10,"Risiko Tinggi/Darurat",IF(AR70=5,"Risiko Sedang","Tidak Ada Risiko Khusus")))</x:f>
        <x:v>Belum Dinilai</x:v>
      </x:c>
      <x:c r="AP70" s="67"/>
      <x:c r="AQ70" s="70" t="str">
        <x: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x:f>
      </x:c>
      <x:c r="AR70" s="70" t="str">
        <x: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x:f>
      </x:c>
      <x:c r="AS70" s="70" t="str">
        <x:f t="shared" ref="AS70:AS133" si="20">IF(OR(AQ70="",AB70="",AR70=""),"",AQ70+AB70+AR70)</x:f>
      </x:c>
      <x:c r="AT70" s="68" t="str">
        <x:f t="shared" ref="AT70:AT133" si="21">IF(AS70="","Belum Dapat Ditentukan",IF(AS70&gt;=80,"Sangat Tinggi",IF(OR(AO70="Risiko Tinggi/Darurat",(IF(L70="Rusak Berat",1,0)+IF(L70="Tidak Ada/Terbuka",1,0)+IF(N70="Rusak Berat",1,0)+IF(N70="Tidak Ada/Terbuka",1,0)+IF(P70="Rusak Berat",1,0)+IF(P70="Tidak Layak",1,0))&gt;=2),"Tinggi",IF(AS70&gt;=65,"Tinggi",IF(AS70&gt;=50,"Sedang","Rendah")))))</x:f>
        <x:v>Belum Dapat Ditentukan</x:v>
      </x:c>
      <x:c r="AU70" s="65" t="s">
        <x:v>887</x:v>
      </x:c>
      <x:c r="AV70" s="65" t="s">
        <x:v>904</x:v>
      </x:c>
      <x:c r="AW70" s="65" t="s">
        <x:v>889</x:v>
      </x:c>
      <x:c r="AX70" s="65" t="s">
        <x:v>890</x:v>
      </x:c>
      <x:c r="AY70" s="65"/>
      <x:c r="AZ70" s="65" t="s">
        <x:v>907</x:v>
      </x:c>
      <x:c r="BA70" s="65"/>
      <x:c r="BB70" s="177"/>
      <x:c r="BC70" s="71">
        <x:v>2026</x:v>
      </x:c>
      <x:c r="BD70" s="65"/>
      <x:c r="BE70" s="177"/>
      <x:c r="BF70" s="65" t="str">
        <x:v>Dinas Perkim Kota Pangkal Pinang</x:v>
      </x:c>
    </x:row>
    <x:row r="71" ht="56">
      <x:c r="A71" s="65" t="s">
        <x:v>1267</x:v>
      </x:c>
      <x:c r="B71" s="65" t="s">
        <x:v>1268</x:v>
      </x:c>
      <x:c r="C71" s="65"/>
      <x:c r="D71" s="65"/>
      <x:c r="E71" s="65" t="s">
        <x:v>1269</x:v>
      </x:c>
      <x:c r="F71" s="65" t="s">
        <x:v>1086</x:v>
      </x:c>
      <x:c r="G71" s="65" t="s">
        <x:v>977</x:v>
      </x:c>
      <x:c r="H71" s="65" t="s">
        <x:v>878</x:v>
      </x:c>
      <x:c r="I71" s="65" t="s">
        <x:v>1270</x:v>
      </x:c>
      <x:c r="J71" s="65" t="s">
        <x:v>895</x:v>
      </x:c>
      <x:c r="K71" s="65" t="s">
        <x:v>880</x:v>
      </x:c>
      <x:c r="L71" s="65" t="s">
        <x:v>912</x:v>
      </x:c>
      <x:c r="M71" s="65" t="s">
        <x:v>979</x:v>
      </x:c>
      <x:c r="N71" s="65" t="s">
        <x:v>916</x:v>
      </x:c>
      <x:c r="O71" s="65" t="s">
        <x:v>914</x:v>
      </x:c>
      <x:c r="P71" s="65" t="s">
        <x:v>912</x:v>
      </x:c>
      <x:c r="Q71" s="85" t="s">
        <x:v>916</x:v>
      </x:c>
      <x:c r="R71" s="85" t="s">
        <x:v>916</x:v>
      </x:c>
      <x:c r="S71" s="85" t="s">
        <x:v>916</x:v>
      </x:c>
      <x:c r="T71" s="85" t="s">
        <x:v>916</x:v>
      </x:c>
      <x:c r="U71" s="85" t="s">
        <x:v>916</x:v>
      </x:c>
      <x:c r="V71" s="85" t="s">
        <x:v>916</x:v>
      </x:c>
      <x:c r="W71" s="66"/>
      <x:c r="X71" s="83" t="str">
        <x:f t="shared" si="11"/>
        <x:v>Belum Dinilai</x:v>
      </x:c>
      <x:c r="Y71" s="83" t="str">
        <x:f t="shared" si="12"/>
        <x:v>Belum Dinilai</x:v>
      </x:c>
      <x:c r="Z71" s="84" t="str">
        <x:f t="shared" si="13"/>
      </x:c>
      <x:c r="AA71" s="84" t="str">
        <x:f t="shared" si="14"/>
      </x:c>
      <x:c r="AB71" s="84" t="str">
        <x:f t="shared" si="15"/>
      </x:c>
      <x:c r="AC71" s="67" t="s">
        <x:v>916</x:v>
      </x:c>
      <x:c r="AD71" s="67" t="s">
        <x:v>916</x:v>
      </x:c>
      <x:c r="AE71" s="67" t="s">
        <x:v>916</x:v>
      </x:c>
      <x:c r="AF71" s="67" t="s">
        <x:v>916</x:v>
      </x:c>
      <x:c r="AG71" s="67" t="s">
        <x:v>916</x:v>
      </x:c>
      <x:c r="AH71" s="67" t="s">
        <x:v>916</x:v>
      </x:c>
      <x:c r="AI71" s="67" t="s">
        <x:v>916</x:v>
      </x:c>
      <x:c r="AJ71" s="67" t="s">
        <x:v>916</x:v>
      </x:c>
      <x:c r="AK71" s="67" t="s">
        <x:v>916</x:v>
      </x:c>
      <x:c r="AL71" s="67"/>
      <x:c r="AM71" s="67" t="s">
        <x:v>916</x:v>
      </x:c>
      <x:c r="AN71" s="83" t="str">
        <x:f t="shared" si="16"/>
        <x:v>Belum Dinilai</x:v>
      </x:c>
      <x:c r="AO71" s="83" t="str">
        <x:f t="shared" si="17"/>
        <x:v>Belum Dinilai</x:v>
      </x:c>
      <x:c r="AP71" s="67"/>
      <x:c r="AQ71" s="70" t="str">
        <x:f t="shared" si="18"/>
      </x:c>
      <x:c r="AR71" s="70" t="str">
        <x:f t="shared" si="19"/>
      </x:c>
      <x:c r="AS71" s="70" t="str">
        <x:f t="shared" si="20"/>
      </x:c>
      <x:c r="AT71" s="68" t="str">
        <x:f t="shared" si="21"/>
        <x:v>Belum Dapat Ditentukan</x:v>
      </x:c>
      <x:c r="AU71" s="65" t="s">
        <x:v>887</x:v>
      </x:c>
      <x:c r="AV71" s="65" t="s">
        <x:v>904</x:v>
      </x:c>
      <x:c r="AW71" s="65" t="s">
        <x:v>889</x:v>
      </x:c>
      <x:c r="AX71" s="65" t="s">
        <x:v>890</x:v>
      </x:c>
      <x:c r="AY71" s="65"/>
      <x:c r="AZ71" s="65" t="s">
        <x:v>907</x:v>
      </x:c>
      <x:c r="BA71" s="65"/>
      <x:c r="BB71" s="177"/>
      <x:c r="BC71" s="71">
        <x:v>2026</x:v>
      </x:c>
      <x:c r="BD71" s="65"/>
      <x:c r="BE71" s="177"/>
      <x:c r="BF71" s="65" t="str">
        <x:v>Dinas Perkim Kota Pangkal Pinang</x:v>
      </x:c>
    </x:row>
    <x:row r="72" ht="56">
      <x:c r="A72" s="65" t="s">
        <x:v>1271</x:v>
      </x:c>
      <x:c r="B72" s="65" t="s">
        <x:v>1272</x:v>
      </x:c>
      <x:c r="C72" s="65"/>
      <x:c r="D72" s="65"/>
      <x:c r="E72" s="65" t="s">
        <x:v>1273</x:v>
      </x:c>
      <x:c r="F72" s="65" t="s">
        <x:v>1086</x:v>
      </x:c>
      <x:c r="G72" s="65" t="s">
        <x:v>977</x:v>
      </x:c>
      <x:c r="H72" s="65" t="s">
        <x:v>878</x:v>
      </x:c>
      <x:c r="I72" s="65" t="s">
        <x:v>1270</x:v>
      </x:c>
      <x:c r="J72" s="65" t="s">
        <x:v>895</x:v>
      </x:c>
      <x:c r="K72" s="65" t="s">
        <x:v>880</x:v>
      </x:c>
      <x:c r="L72" s="65" t="s">
        <x:v>912</x:v>
      </x:c>
      <x:c r="M72" s="65" t="s">
        <x:v>979</x:v>
      </x:c>
      <x:c r="N72" s="65" t="s">
        <x:v>916</x:v>
      </x:c>
      <x:c r="O72" s="65" t="s">
        <x:v>914</x:v>
      </x:c>
      <x:c r="P72" s="65" t="s">
        <x:v>912</x:v>
      </x:c>
      <x:c r="Q72" s="85" t="s">
        <x:v>916</x:v>
      </x:c>
      <x:c r="R72" s="85" t="s">
        <x:v>916</x:v>
      </x:c>
      <x:c r="S72" s="85" t="s">
        <x:v>916</x:v>
      </x:c>
      <x:c r="T72" s="85" t="s">
        <x:v>916</x:v>
      </x:c>
      <x:c r="U72" s="85" t="s">
        <x:v>916</x:v>
      </x:c>
      <x:c r="V72" s="85" t="s">
        <x:v>916</x:v>
      </x:c>
      <x:c r="W72" s="66"/>
      <x:c r="X72" s="83" t="str">
        <x:f t="shared" si="11"/>
        <x:v>Belum Dinilai</x:v>
      </x:c>
      <x:c r="Y72" s="83" t="str">
        <x:f t="shared" si="12"/>
        <x:v>Belum Dinilai</x:v>
      </x:c>
      <x:c r="Z72" s="84" t="str">
        <x:f t="shared" si="13"/>
      </x:c>
      <x:c r="AA72" s="84" t="str">
        <x:f t="shared" si="14"/>
      </x:c>
      <x:c r="AB72" s="84" t="str">
        <x:f t="shared" si="15"/>
      </x:c>
      <x:c r="AC72" s="67" t="s">
        <x:v>916</x:v>
      </x:c>
      <x:c r="AD72" s="67" t="s">
        <x:v>916</x:v>
      </x:c>
      <x:c r="AE72" s="67" t="s">
        <x:v>916</x:v>
      </x:c>
      <x:c r="AF72" s="67" t="s">
        <x:v>916</x:v>
      </x:c>
      <x:c r="AG72" s="67" t="s">
        <x:v>916</x:v>
      </x:c>
      <x:c r="AH72" s="67" t="s">
        <x:v>916</x:v>
      </x:c>
      <x:c r="AI72" s="67" t="s">
        <x:v>916</x:v>
      </x:c>
      <x:c r="AJ72" s="67" t="s">
        <x:v>916</x:v>
      </x:c>
      <x:c r="AK72" s="67" t="s">
        <x:v>916</x:v>
      </x:c>
      <x:c r="AL72" s="67"/>
      <x:c r="AM72" s="67" t="s">
        <x:v>916</x:v>
      </x:c>
      <x:c r="AN72" s="83" t="str">
        <x:f t="shared" si="16"/>
        <x:v>Belum Dinilai</x:v>
      </x:c>
      <x:c r="AO72" s="83" t="str">
        <x:f t="shared" si="17"/>
        <x:v>Belum Dinilai</x:v>
      </x:c>
      <x:c r="AP72" s="67"/>
      <x:c r="AQ72" s="70" t="str">
        <x:f t="shared" si="18"/>
      </x:c>
      <x:c r="AR72" s="70" t="str">
        <x:f t="shared" si="19"/>
      </x:c>
      <x:c r="AS72" s="70" t="str">
        <x:f t="shared" si="20"/>
      </x:c>
      <x:c r="AT72" s="68" t="str">
        <x:f t="shared" si="21"/>
        <x:v>Belum Dapat Ditentukan</x:v>
      </x:c>
      <x:c r="AU72" s="65" t="s">
        <x:v>887</x:v>
      </x:c>
      <x:c r="AV72" s="65" t="s">
        <x:v>904</x:v>
      </x:c>
      <x:c r="AW72" s="65" t="s">
        <x:v>1001</x:v>
      </x:c>
      <x:c r="AX72" s="65" t="s">
        <x:v>906</x:v>
      </x:c>
      <x:c r="AY72" s="65">
        <x:v>2024</x:v>
      </x:c>
      <x:c r="AZ72" s="65" t="s">
        <x:v>907</x:v>
      </x:c>
      <x:c r="BA72" s="65"/>
      <x:c r="BB72" s="177"/>
      <x:c r="BC72" s="71">
        <x:v>2026</x:v>
      </x:c>
      <x:c r="BD72" s="65"/>
      <x:c r="BE72" s="177"/>
      <x:c r="BF72" s="65" t="str">
        <x:v>Dinas Perkim Kota Pangkal Pinang</x:v>
      </x:c>
    </x:row>
    <x:row r="73" ht="42">
      <x:c r="A73" s="65" t="s">
        <x:v>1274</x:v>
      </x:c>
      <x:c r="B73" s="65" t="s">
        <x:v>1275</x:v>
      </x:c>
      <x:c r="C73" s="65"/>
      <x:c r="D73" s="65"/>
      <x:c r="E73" s="65" t="s">
        <x:v>1276</x:v>
      </x:c>
      <x:c r="F73" s="65" t="s">
        <x:v>976</x:v>
      </x:c>
      <x:c r="G73" s="65" t="s">
        <x:v>977</x:v>
      </x:c>
      <x:c r="H73" s="65" t="s">
        <x:v>894</x:v>
      </x:c>
      <x:c r="I73" s="65" t="s">
        <x:v>1277</x:v>
      </x:c>
      <x:c r="J73" s="65" t="s">
        <x:v>879</x:v>
      </x:c>
      <x:c r="K73" s="65" t="s">
        <x:v>896</x:v>
      </x:c>
      <x:c r="L73" s="65" t="s">
        <x:v>912</x:v>
      </x:c>
      <x:c r="M73" s="65" t="s">
        <x:v>967</x:v>
      </x:c>
      <x:c r="N73" s="65" t="s">
        <x:v>916</x:v>
      </x:c>
      <x:c r="O73" s="65" t="s">
        <x:v>1000</x:v>
      </x:c>
      <x:c r="P73" s="65" t="s">
        <x:v>912</x:v>
      </x:c>
      <x:c r="Q73" s="85" t="s">
        <x:v>916</x:v>
      </x:c>
      <x:c r="R73" s="85" t="s">
        <x:v>916</x:v>
      </x:c>
      <x:c r="S73" s="85" t="s">
        <x:v>916</x:v>
      </x:c>
      <x:c r="T73" s="85" t="s">
        <x:v>916</x:v>
      </x:c>
      <x:c r="U73" s="85" t="s">
        <x:v>916</x:v>
      </x:c>
      <x:c r="V73" s="85" t="s">
        <x:v>916</x:v>
      </x:c>
      <x:c r="W73" s="66"/>
      <x:c r="X73" s="83" t="str">
        <x:f t="shared" si="11"/>
        <x:v>Belum Dinilai</x:v>
      </x:c>
      <x:c r="Y73" s="83" t="str">
        <x:f t="shared" si="12"/>
        <x:v>Belum Dinilai</x:v>
      </x:c>
      <x:c r="Z73" s="84" t="str">
        <x:f t="shared" si="13"/>
      </x:c>
      <x:c r="AA73" s="84" t="str">
        <x:f t="shared" si="14"/>
      </x:c>
      <x:c r="AB73" s="84" t="str">
        <x:f t="shared" si="15"/>
      </x:c>
      <x:c r="AC73" s="67" t="s">
        <x:v>916</x:v>
      </x:c>
      <x:c r="AD73" s="67" t="s">
        <x:v>916</x:v>
      </x:c>
      <x:c r="AE73" s="67" t="s">
        <x:v>916</x:v>
      </x:c>
      <x:c r="AF73" s="67" t="s">
        <x:v>916</x:v>
      </x:c>
      <x:c r="AG73" s="67" t="s">
        <x:v>916</x:v>
      </x:c>
      <x:c r="AH73" s="67" t="s">
        <x:v>916</x:v>
      </x:c>
      <x:c r="AI73" s="67" t="s">
        <x:v>916</x:v>
      </x:c>
      <x:c r="AJ73" s="67" t="s">
        <x:v>916</x:v>
      </x:c>
      <x:c r="AK73" s="67" t="s">
        <x:v>916</x:v>
      </x:c>
      <x:c r="AL73" s="67"/>
      <x:c r="AM73" s="67" t="s">
        <x:v>916</x:v>
      </x:c>
      <x:c r="AN73" s="83" t="str">
        <x:f t="shared" si="16"/>
        <x:v>Belum Dinilai</x:v>
      </x:c>
      <x:c r="AO73" s="83" t="str">
        <x:f t="shared" si="17"/>
        <x:v>Belum Dinilai</x:v>
      </x:c>
      <x:c r="AP73" s="67"/>
      <x:c r="AQ73" s="70" t="str">
        <x:f t="shared" si="18"/>
      </x:c>
      <x:c r="AR73" s="70" t="str">
        <x:f t="shared" si="19"/>
      </x:c>
      <x:c r="AS73" s="70" t="str">
        <x:f t="shared" si="20"/>
      </x:c>
      <x:c r="AT73" s="68" t="str">
        <x:f t="shared" si="21"/>
        <x:v>Belum Dapat Ditentukan</x:v>
      </x:c>
      <x:c r="AU73" s="65" t="s">
        <x:v>887</x:v>
      </x:c>
      <x:c r="AV73" s="65" t="s">
        <x:v>904</x:v>
      </x:c>
      <x:c r="AW73" s="65" t="s">
        <x:v>889</x:v>
      </x:c>
      <x:c r="AX73" s="65" t="s">
        <x:v>890</x:v>
      </x:c>
      <x:c r="AY73" s="65"/>
      <x:c r="AZ73" s="65" t="s">
        <x:v>888</x:v>
      </x:c>
      <x:c r="BA73" s="65"/>
      <x:c r="BB73" s="177"/>
      <x:c r="BC73" s="71">
        <x:v>2026</x:v>
      </x:c>
      <x:c r="BD73" s="65"/>
      <x:c r="BE73" s="177"/>
      <x:c r="BF73" s="65" t="str">
        <x:v>Dinas Perkim Kota Pangkal Pinang</x:v>
      </x:c>
    </x:row>
    <x:row r="74" ht="28">
      <x:c r="A74" s="65" t="s">
        <x:v>1278</x:v>
      </x:c>
      <x:c r="B74" s="65" t="s">
        <x:v>1279</x:v>
      </x:c>
      <x:c r="C74" s="65"/>
      <x:c r="D74" s="65"/>
      <x:c r="E74" s="65" t="s">
        <x:v>1280</x:v>
      </x:c>
      <x:c r="F74" s="65" t="s">
        <x:v>1058</x:v>
      </x:c>
      <x:c r="G74" s="65" t="s">
        <x:v>990</x:v>
      </x:c>
      <x:c r="H74" s="65" t="s">
        <x:v>894</x:v>
      </x:c>
      <x:c r="I74" s="65" t="s">
        <x:v>1281</x:v>
      </x:c>
      <x:c r="J74" s="65" t="s">
        <x:v>879</x:v>
      </x:c>
      <x:c r="K74" s="65" t="s">
        <x:v>1000</x:v>
      </x:c>
      <x:c r="L74" s="65" t="s">
        <x:v>916</x:v>
      </x:c>
      <x:c r="M74" s="65" t="s">
        <x:v>967</x:v>
      </x:c>
      <x:c r="N74" s="65" t="s">
        <x:v>916</x:v>
      </x:c>
      <x:c r="O74" s="65" t="s">
        <x:v>1000</x:v>
      </x:c>
      <x:c r="P74" s="65" t="s">
        <x:v>916</x:v>
      </x:c>
      <x:c r="Q74" s="85" t="s">
        <x:v>916</x:v>
      </x:c>
      <x:c r="R74" s="85" t="s">
        <x:v>916</x:v>
      </x:c>
      <x:c r="S74" s="85" t="s">
        <x:v>916</x:v>
      </x:c>
      <x:c r="T74" s="85" t="s">
        <x:v>916</x:v>
      </x:c>
      <x:c r="U74" s="85" t="s">
        <x:v>916</x:v>
      </x:c>
      <x:c r="V74" s="85" t="s">
        <x:v>916</x:v>
      </x:c>
      <x:c r="W74" s="66"/>
      <x:c r="X74" s="83" t="str">
        <x:f t="shared" si="11"/>
        <x:v>Belum Dinilai</x:v>
      </x:c>
      <x:c r="Y74" s="83" t="str">
        <x:f t="shared" si="12"/>
        <x:v>Belum Dinilai</x:v>
      </x:c>
      <x:c r="Z74" s="84" t="str">
        <x:f t="shared" si="13"/>
      </x:c>
      <x:c r="AA74" s="84" t="str">
        <x:f t="shared" si="14"/>
      </x:c>
      <x:c r="AB74" s="84" t="str">
        <x:f t="shared" si="15"/>
      </x:c>
      <x:c r="AC74" s="67" t="s">
        <x:v>916</x:v>
      </x:c>
      <x:c r="AD74" s="67" t="s">
        <x:v>916</x:v>
      </x:c>
      <x:c r="AE74" s="67" t="s">
        <x:v>916</x:v>
      </x:c>
      <x:c r="AF74" s="67" t="s">
        <x:v>916</x:v>
      </x:c>
      <x:c r="AG74" s="67" t="s">
        <x:v>916</x:v>
      </x:c>
      <x:c r="AH74" s="67" t="s">
        <x:v>916</x:v>
      </x:c>
      <x:c r="AI74" s="67" t="s">
        <x:v>916</x:v>
      </x:c>
      <x:c r="AJ74" s="67" t="s">
        <x:v>916</x:v>
      </x:c>
      <x:c r="AK74" s="67" t="s">
        <x:v>916</x:v>
      </x:c>
      <x:c r="AL74" s="67"/>
      <x:c r="AM74" s="67" t="s">
        <x:v>916</x:v>
      </x:c>
      <x:c r="AN74" s="83" t="str">
        <x:f t="shared" si="16"/>
        <x:v>Belum Dinilai</x:v>
      </x:c>
      <x:c r="AO74" s="83" t="str">
        <x:f t="shared" si="17"/>
        <x:v>Belum Dinilai</x:v>
      </x:c>
      <x:c r="AP74" s="67"/>
      <x:c r="AQ74" s="70" t="str">
        <x:f t="shared" si="18"/>
      </x:c>
      <x:c r="AR74" s="70" t="str">
        <x:f t="shared" si="19"/>
      </x:c>
      <x:c r="AS74" s="70" t="str">
        <x:f t="shared" si="20"/>
      </x:c>
      <x:c r="AT74" s="68" t="str">
        <x:f t="shared" si="21"/>
        <x:v>Belum Dapat Ditentukan</x:v>
      </x:c>
      <x:c r="AU74" s="65" t="s">
        <x:v>887</x:v>
      </x:c>
      <x:c r="AV74" s="65" t="s">
        <x:v>904</x:v>
      </x:c>
      <x:c r="AW74" s="65" t="s">
        <x:v>889</x:v>
      </x:c>
      <x:c r="AX74" s="65" t="s">
        <x:v>890</x:v>
      </x:c>
      <x:c r="AY74" s="65"/>
      <x:c r="AZ74" s="65" t="s">
        <x:v>888</x:v>
      </x:c>
      <x:c r="BA74" s="65"/>
      <x:c r="BB74" s="177"/>
      <x:c r="BC74" s="71">
        <x:v>2026</x:v>
      </x:c>
      <x:c r="BD74" s="65"/>
      <x:c r="BE74" s="177"/>
      <x:c r="BF74" s="65" t="str">
        <x:v>Dinas Perkim Kota Pangkal Pinang</x:v>
      </x:c>
    </x:row>
    <x:row r="75" ht="28">
      <x:c r="A75" s="65" t="s">
        <x:v>1282</x:v>
      </x:c>
      <x:c r="B75" s="65" t="s">
        <x:v>1283</x:v>
      </x:c>
      <x:c r="C75" s="65"/>
      <x:c r="D75" s="65"/>
      <x:c r="E75" s="65" t="s">
        <x:v>1284</x:v>
      </x:c>
      <x:c r="F75" s="65" t="s">
        <x:v>1058</x:v>
      </x:c>
      <x:c r="G75" s="65" t="s">
        <x:v>990</x:v>
      </x:c>
      <x:c r="H75" s="65" t="s">
        <x:v>878</x:v>
      </x:c>
      <x:c r="I75" s="65" t="s">
        <x:v>1285</x:v>
      </x:c>
      <x:c r="J75" s="65" t="s">
        <x:v>910</x:v>
      </x:c>
      <x:c r="K75" s="65" t="s">
        <x:v>911</x:v>
      </x:c>
      <x:c r="L75" s="65" t="s">
        <x:v>966</x:v>
      </x:c>
      <x:c r="M75" s="65" t="s">
        <x:v>968</x:v>
      </x:c>
      <x:c r="N75" s="65" t="s">
        <x:v>966</x:v>
      </x:c>
      <x:c r="O75" s="65" t="s">
        <x:v>1000</x:v>
      </x:c>
      <x:c r="P75" s="65" t="s">
        <x:v>916</x:v>
      </x:c>
      <x:c r="Q75" s="85" t="s">
        <x:v>916</x:v>
      </x:c>
      <x:c r="R75" s="85" t="s">
        <x:v>916</x:v>
      </x:c>
      <x:c r="S75" s="85" t="s">
        <x:v>916</x:v>
      </x:c>
      <x:c r="T75" s="85" t="s">
        <x:v>916</x:v>
      </x:c>
      <x:c r="U75" s="85" t="s">
        <x:v>916</x:v>
      </x:c>
      <x:c r="V75" s="85" t="s">
        <x:v>916</x:v>
      </x:c>
      <x:c r="W75" s="66"/>
      <x:c r="X75" s="83" t="str">
        <x:f t="shared" si="11"/>
        <x:v>Belum Dinilai</x:v>
      </x:c>
      <x:c r="Y75" s="83" t="str">
        <x:f t="shared" si="12"/>
        <x:v>Belum Dinilai</x:v>
      </x:c>
      <x:c r="Z75" s="84" t="str">
        <x:f t="shared" si="13"/>
      </x:c>
      <x:c r="AA75" s="84" t="str">
        <x:f t="shared" si="14"/>
      </x:c>
      <x:c r="AB75" s="84" t="str">
        <x:f t="shared" si="15"/>
      </x:c>
      <x:c r="AC75" s="67" t="s">
        <x:v>916</x:v>
      </x:c>
      <x:c r="AD75" s="67" t="s">
        <x:v>916</x:v>
      </x:c>
      <x:c r="AE75" s="67" t="s">
        <x:v>916</x:v>
      </x:c>
      <x:c r="AF75" s="67" t="s">
        <x:v>916</x:v>
      </x:c>
      <x:c r="AG75" s="67" t="s">
        <x:v>916</x:v>
      </x:c>
      <x:c r="AH75" s="67" t="s">
        <x:v>916</x:v>
      </x:c>
      <x:c r="AI75" s="67" t="s">
        <x:v>916</x:v>
      </x:c>
      <x:c r="AJ75" s="67" t="s">
        <x:v>916</x:v>
      </x:c>
      <x:c r="AK75" s="67" t="s">
        <x:v>916</x:v>
      </x:c>
      <x:c r="AL75" s="67"/>
      <x:c r="AM75" s="67" t="s">
        <x:v>916</x:v>
      </x:c>
      <x:c r="AN75" s="83" t="str">
        <x:f t="shared" si="16"/>
        <x:v>Belum Dinilai</x:v>
      </x:c>
      <x:c r="AO75" s="83" t="str">
        <x:f t="shared" si="17"/>
        <x:v>Belum Dinilai</x:v>
      </x:c>
      <x:c r="AP75" s="67"/>
      <x:c r="AQ75" s="70" t="str">
        <x:f t="shared" si="18"/>
      </x:c>
      <x:c r="AR75" s="70" t="str">
        <x:f t="shared" si="19"/>
      </x:c>
      <x:c r="AS75" s="70" t="str">
        <x:f t="shared" si="20"/>
      </x:c>
      <x:c r="AT75" s="68" t="str">
        <x:f t="shared" si="21"/>
        <x:v>Belum Dapat Ditentukan</x:v>
      </x:c>
      <x:c r="AU75" s="65" t="s">
        <x:v>887</x:v>
      </x:c>
      <x:c r="AV75" s="65" t="s">
        <x:v>904</x:v>
      </x:c>
      <x:c r="AW75" s="65" t="s">
        <x:v>889</x:v>
      </x:c>
      <x:c r="AX75" s="65" t="s">
        <x:v>890</x:v>
      </x:c>
      <x:c r="AY75" s="65"/>
      <x:c r="AZ75" s="65" t="s">
        <x:v>888</x:v>
      </x:c>
      <x:c r="BA75" s="65"/>
      <x:c r="BB75" s="177"/>
      <x:c r="BC75" s="71">
        <x:v>2026</x:v>
      </x:c>
      <x:c r="BD75" s="65"/>
      <x:c r="BE75" s="177"/>
      <x:c r="BF75" s="65" t="str">
        <x:v>Dinas Perkim Kota Pangkal Pinang</x:v>
      </x:c>
    </x:row>
    <x:row r="76" ht="28">
      <x:c r="A76" s="65" t="s">
        <x:v>1286</x:v>
      </x:c>
      <x:c r="B76" s="65" t="s">
        <x:v>1287</x:v>
      </x:c>
      <x:c r="C76" s="82" t="s">
        <x:v>1288</x:v>
      </x:c>
      <x:c r="D76" s="82" t="s">
        <x:v>1289</x:v>
      </x:c>
      <x:c r="E76" s="65" t="s">
        <x:v>1290</x:v>
      </x:c>
      <x:c r="F76" s="65" t="s">
        <x:v>1058</x:v>
      </x:c>
      <x:c r="G76" s="65" t="s">
        <x:v>104</x:v>
      </x:c>
      <x:c r="H76" s="65" t="s">
        <x:v>878</x:v>
      </x:c>
      <x:c r="I76" s="65"/>
      <x:c r="J76" s="65" t="s">
        <x:v>910</x:v>
      </x:c>
      <x:c r="K76" s="65" t="s">
        <x:v>911</x:v>
      </x:c>
      <x:c r="L76" s="65" t="s">
        <x:v>897</x:v>
      </x:c>
      <x:c r="M76" s="65" t="s">
        <x:v>968</x:v>
      </x:c>
      <x:c r="N76" s="65" t="s">
        <x:v>897</x:v>
      </x:c>
      <x:c r="O76" s="65" t="s">
        <x:v>914</x:v>
      </x:c>
      <x:c r="P76" s="65" t="s">
        <x:v>897</x:v>
      </x:c>
      <x:c r="Q76" s="85" t="s">
        <x:v>884</x:v>
      </x:c>
      <x:c r="R76" s="85" t="s">
        <x:v>901</x:v>
      </x:c>
      <x:c r="S76" s="85" t="s">
        <x:v>901</x:v>
      </x:c>
      <x:c r="T76" s="85" t="s">
        <x:v>901</x:v>
      </x:c>
      <x:c r="U76" s="85" t="s">
        <x:v>901</x:v>
      </x:c>
      <x:c r="V76" s="85" t="s">
        <x:v>916</x:v>
      </x:c>
      <x:c r="W76" s="66"/>
      <x:c r="X76" s="83" t="str">
        <x:f t="shared" si="11"/>
        <x:v>Belum Dinilai</x:v>
      </x:c>
      <x:c r="Y76" s="83" t="str">
        <x:f t="shared" si="12"/>
        <x:v>Belum Dinilai</x:v>
      </x:c>
      <x:c r="Z76" s="84">
        <x:f t="shared" si="13"/>
        <x:v>10</x:v>
      </x:c>
      <x:c r="AA76" s="84" t="str">
        <x:f t="shared" si="14"/>
      </x:c>
      <x:c r="AB76" s="84" t="str">
        <x:f t="shared" si="15"/>
      </x:c>
      <x:c r="AC76" s="67" t="s">
        <x:v>916</x:v>
      </x:c>
      <x:c r="AD76" s="67" t="s">
        <x:v>901</x:v>
      </x:c>
      <x:c r="AE76" s="67" t="s">
        <x:v>916</x:v>
      </x:c>
      <x:c r="AF76" s="67" t="s">
        <x:v>916</x:v>
      </x:c>
      <x:c r="AG76" s="67" t="s">
        <x:v>916</x:v>
      </x:c>
      <x:c r="AH76" s="67" t="s">
        <x:v>885</x:v>
      </x:c>
      <x:c r="AI76" s="67" t="s">
        <x:v>885</x:v>
      </x:c>
      <x:c r="AJ76" s="67" t="s">
        <x:v>916</x:v>
      </x:c>
      <x:c r="AK76" s="67" t="s">
        <x:v>916</x:v>
      </x:c>
      <x:c r="AL76" s="67"/>
      <x:c r="AM76" s="67" t="s">
        <x:v>916</x:v>
      </x:c>
      <x:c r="AN76" s="83" t="str">
        <x:f t="shared" si="16"/>
        <x:v>Instalasi listrik berbahaya; Komponen bangunan lepas atau lapuk; </x:v>
      </x:c>
      <x:c r="AO76" s="83" t="str">
        <x:f t="shared" si="17"/>
        <x:v>Risiko Tinggi/Darurat</x:v>
      </x:c>
      <x:c r="AP76" s="67"/>
      <x:c r="AQ76" s="70">
        <x:f t="shared" si="18"/>
        <x:v>29</x:v>
      </x:c>
      <x:c r="AR76" s="70">
        <x:f t="shared" si="19"/>
        <x:v>10</x:v>
      </x:c>
      <x:c r="AS76" s="70" t="str">
        <x:f t="shared" si="20"/>
      </x:c>
      <x:c r="AT76" s="68" t="str">
        <x:f t="shared" si="21"/>
        <x:v>Belum Dapat Ditentukan</x:v>
      </x:c>
      <x:c r="AU76" s="65"/>
      <x:c r="AV76" s="65"/>
      <x:c r="AW76" s="65" t="s">
        <x:v>889</x:v>
      </x:c>
      <x:c r="AX76" s="65" t="s">
        <x:v>890</x:v>
      </x:c>
      <x:c r="AY76" s="65"/>
      <x:c r="AZ76" s="65" t="s">
        <x:v>891</x:v>
      </x:c>
      <x:c r="BA76" s="65"/>
      <x:c r="BB76" s="177"/>
      <x:c r="BC76" s="71"/>
      <x:c r="BD76" s="65"/>
      <x:c r="BE76" s="177"/>
      <x:c r="BF76" s="65"/>
    </x:row>
    <x:row r="77" ht="42">
      <x:c r="A77" s="65" t="s">
        <x:v>1291</x:v>
      </x:c>
      <x:c r="B77" s="65" t="s">
        <x:v>1292</x:v>
      </x:c>
      <x:c r="C77" s="65"/>
      <x:c r="D77" s="65"/>
      <x:c r="E77" s="65" t="s">
        <x:v>1293</x:v>
      </x:c>
      <x:c r="F77" s="65" t="s">
        <x:v>1233</x:v>
      </x:c>
      <x:c r="G77" s="65" t="s">
        <x:v>1053</x:v>
      </x:c>
      <x:c r="H77" s="65" t="s">
        <x:v>878</x:v>
      </x:c>
      <x:c r="I77" s="65" t="s">
        <x:v>1294</x:v>
      </x:c>
      <x:c r="J77" s="65" t="s">
        <x:v>910</x:v>
      </x:c>
      <x:c r="K77" s="65" t="s">
        <x:v>880</x:v>
      </x:c>
      <x:c r="L77" s="65" t="s">
        <x:v>916</x:v>
      </x:c>
      <x:c r="M77" s="65" t="s">
        <x:v>968</x:v>
      </x:c>
      <x:c r="N77" s="65" t="s">
        <x:v>916</x:v>
      </x:c>
      <x:c r="O77" s="65" t="s">
        <x:v>914</x:v>
      </x:c>
      <x:c r="P77" s="65" t="s">
        <x:v>912</x:v>
      </x:c>
      <x:c r="Q77" s="85" t="s">
        <x:v>916</x:v>
      </x:c>
      <x:c r="R77" s="85" t="s">
        <x:v>916</x:v>
      </x:c>
      <x:c r="S77" s="85" t="s">
        <x:v>916</x:v>
      </x:c>
      <x:c r="T77" s="85" t="s">
        <x:v>916</x:v>
      </x:c>
      <x:c r="U77" s="85" t="s">
        <x:v>916</x:v>
      </x:c>
      <x:c r="V77" s="85" t="s">
        <x:v>916</x:v>
      </x:c>
      <x:c r="W77" s="66"/>
      <x:c r="X77" s="83" t="str">
        <x:f t="shared" si="11"/>
        <x:v>Belum Dinilai</x:v>
      </x:c>
      <x:c r="Y77" s="83" t="str">
        <x:f t="shared" si="12"/>
        <x:v>Belum Dinilai</x:v>
      </x:c>
      <x:c r="Z77" s="84" t="str">
        <x:f t="shared" si="13"/>
      </x:c>
      <x:c r="AA77" s="84" t="str">
        <x:f t="shared" si="14"/>
      </x:c>
      <x:c r="AB77" s="84" t="str">
        <x:f t="shared" si="15"/>
      </x:c>
      <x:c r="AC77" s="67" t="s">
        <x:v>916</x:v>
      </x:c>
      <x:c r="AD77" s="67" t="s">
        <x:v>916</x:v>
      </x:c>
      <x:c r="AE77" s="67" t="s">
        <x:v>916</x:v>
      </x:c>
      <x:c r="AF77" s="67" t="s">
        <x:v>916</x:v>
      </x:c>
      <x:c r="AG77" s="67" t="s">
        <x:v>916</x:v>
      </x:c>
      <x:c r="AH77" s="67" t="s">
        <x:v>916</x:v>
      </x:c>
      <x:c r="AI77" s="67" t="s">
        <x:v>916</x:v>
      </x:c>
      <x:c r="AJ77" s="67" t="s">
        <x:v>916</x:v>
      </x:c>
      <x:c r="AK77" s="67" t="s">
        <x:v>916</x:v>
      </x:c>
      <x:c r="AL77" s="67"/>
      <x:c r="AM77" s="67" t="s">
        <x:v>916</x:v>
      </x:c>
      <x:c r="AN77" s="83" t="str">
        <x:f t="shared" si="16"/>
        <x:v>Belum Dinilai</x:v>
      </x:c>
      <x:c r="AO77" s="83" t="str">
        <x:f t="shared" si="17"/>
        <x:v>Belum Dinilai</x:v>
      </x:c>
      <x:c r="AP77" s="67"/>
      <x:c r="AQ77" s="70" t="str">
        <x:f t="shared" si="18"/>
      </x:c>
      <x:c r="AR77" s="70" t="str">
        <x:f t="shared" si="19"/>
      </x:c>
      <x:c r="AS77" s="70" t="str">
        <x:f t="shared" si="20"/>
      </x:c>
      <x:c r="AT77" s="68" t="str">
        <x:f t="shared" si="21"/>
        <x:v>Belum Dapat Ditentukan</x:v>
      </x:c>
      <x:c r="AU77" s="65" t="s">
        <x:v>887</x:v>
      </x:c>
      <x:c r="AV77" s="65" t="s">
        <x:v>904</x:v>
      </x:c>
      <x:c r="AW77" s="65" t="s">
        <x:v>889</x:v>
      </x:c>
      <x:c r="AX77" s="65" t="s">
        <x:v>890</x:v>
      </x:c>
      <x:c r="AY77" s="65"/>
      <x:c r="AZ77" s="65" t="s">
        <x:v>888</x:v>
      </x:c>
      <x:c r="BA77" s="65"/>
      <x:c r="BB77" s="177"/>
      <x:c r="BC77" s="71">
        <x:v>2026</x:v>
      </x:c>
      <x:c r="BD77" s="65"/>
      <x:c r="BE77" s="177"/>
      <x:c r="BF77" s="65" t="str">
        <x:v>Dinas Perkim Kota Pangkal Pinang</x:v>
      </x:c>
    </x:row>
    <x:row r="78" ht="28">
      <x:c r="A78" s="65" t="s">
        <x:v>1295</x:v>
      </x:c>
      <x:c r="B78" s="65" t="s">
        <x:v>1296</x:v>
      </x:c>
      <x:c r="C78" s="82" t="s">
        <x:v>1297</x:v>
      </x:c>
      <x:c r="D78" s="82" t="s">
        <x:v>1298</x:v>
      </x:c>
      <x:c r="E78" s="65" t="s">
        <x:v>1299</x:v>
      </x:c>
      <x:c r="F78" s="65" t="s">
        <x:v>1300</x:v>
      </x:c>
      <x:c r="G78" s="65" t="s">
        <x:v>1027</x:v>
      </x:c>
      <x:c r="H78" s="65" t="s">
        <x:v>878</x:v>
      </x:c>
      <x:c r="I78" s="65" t="s">
        <x:v>1301</x:v>
      </x:c>
      <x:c r="J78" s="65" t="s">
        <x:v>910</x:v>
      </x:c>
      <x:c r="K78" s="65" t="s">
        <x:v>911</x:v>
      </x:c>
      <x:c r="L78" s="65" t="s">
        <x:v>912</x:v>
      </x:c>
      <x:c r="M78" s="65" t="s">
        <x:v>968</x:v>
      </x:c>
      <x:c r="N78" s="65" t="s">
        <x:v>897</x:v>
      </x:c>
      <x:c r="O78" s="65" t="s">
        <x:v>914</x:v>
      </x:c>
      <x:c r="P78" s="65" t="s">
        <x:v>897</x:v>
      </x:c>
      <x:c r="Q78" s="85" t="s">
        <x:v>884</x:v>
      </x:c>
      <x:c r="R78" s="85" t="s">
        <x:v>885</x:v>
      </x:c>
      <x:c r="S78" s="85" t="s">
        <x:v>901</x:v>
      </x:c>
      <x:c r="T78" s="85" t="s">
        <x:v>901</x:v>
      </x:c>
      <x:c r="U78" s="85" t="s">
        <x:v>901</x:v>
      </x:c>
      <x:c r="V78" s="85" t="s">
        <x:v>901</x:v>
      </x:c>
      <x:c r="W78" s="66"/>
      <x:c r="X78" s="83" t="str">
        <x:f t="shared" si="11"/>
        <x:v>Lansia; </x:v>
      </x:c>
      <x:c r="Y78" s="83" t="str">
        <x:f t="shared" si="12"/>
        <x:v>1 Faktor Rentan</x:v>
      </x:c>
      <x:c r="Z78" s="84">
        <x:f t="shared" si="13"/>
        <x:v>10</x:v>
      </x:c>
      <x:c r="AA78" s="84">
        <x:f t="shared" si="14"/>
        <x:v>5</x:v>
      </x:c>
      <x:c r="AB78" s="84">
        <x:f t="shared" si="15"/>
        <x:v>15</x:v>
      </x:c>
      <x:c r="AC78" s="67" t="s">
        <x:v>901</x:v>
      </x:c>
      <x:c r="AD78" s="67" t="s">
        <x:v>901</x:v>
      </x:c>
      <x:c r="AE78" s="67" t="s">
        <x:v>885</x:v>
      </x:c>
      <x:c r="AF78" s="67" t="s">
        <x:v>901</x:v>
      </x:c>
      <x:c r="AG78" s="67" t="s">
        <x:v>885</x:v>
      </x:c>
      <x:c r="AH78" s="67" t="s">
        <x:v>885</x:v>
      </x:c>
      <x:c r="AI78" s="67" t="s">
        <x:v>885</x:v>
      </x:c>
      <x:c r="AJ78" s="67" t="s">
        <x:v>901</x:v>
      </x:c>
      <x:c r="AK78" s="67" t="s">
        <x:v>901</x:v>
      </x:c>
      <x:c r="AL78" s="67"/>
      <x:c r="AM78" s="67" t="s">
        <x:v>916</x:v>
      </x:c>
      <x:c r="AN78" s="83" t="str">
        <x:f t="shared" si="16"/>
        <x:v>Atap atau dinding utama hampir runtuh; Struktur rumah tidak stabil; Instalasi listrik berbahaya; Komponen bangunan lepas atau lapuk; </x:v>
      </x:c>
      <x:c r="AO78" s="83" t="str">
        <x:f t="shared" si="17"/>
        <x:v>Risiko Tinggi/Darurat</x:v>
      </x:c>
      <x:c r="AP78" s="67"/>
      <x:c r="AQ78" s="70">
        <x:f t="shared" si="18"/>
        <x:v>34</x:v>
      </x:c>
      <x:c r="AR78" s="70">
        <x:f t="shared" si="19"/>
        <x:v>10</x:v>
      </x:c>
      <x:c r="AS78" s="70">
        <x:f t="shared" si="20"/>
        <x:v>59</x:v>
      </x:c>
      <x:c r="AT78" s="68" t="str">
        <x:f t="shared" si="21"/>
        <x:v>Tinggi</x:v>
      </x:c>
      <x:c r="AU78" s="65" t="s">
        <x:v>887</x:v>
      </x:c>
      <x:c r="AV78" s="65" t="s">
        <x:v>904</x:v>
      </x:c>
      <x:c r="AW78" s="65" t="s">
        <x:v>905</x:v>
      </x:c>
      <x:c r="AX78" s="65" t="s">
        <x:v>984</x:v>
      </x:c>
      <x:c r="AY78" s="65">
        <x:v>2026</x:v>
      </x:c>
      <x:c r="AZ78" s="65" t="s">
        <x:v>888</x:v>
      </x:c>
      <x:c r="BA78" s="65"/>
      <x:c r="BB78" s="177"/>
      <x:c r="BC78" s="71">
        <x:v>2026</x:v>
      </x:c>
      <x:c r="BD78" s="65"/>
      <x:c r="BE78" s="177"/>
      <x:c r="BF78" s="65" t="str">
        <x:v>Dinas Perkim Kota Pangkal Pinang</x:v>
      </x:c>
    </x:row>
    <x:row r="79" ht="28">
      <x:c r="A79" s="65" t="s">
        <x:v>1302</x:v>
      </x:c>
      <x:c r="B79" s="65" t="s">
        <x:v>1303</x:v>
      </x:c>
      <x:c r="C79" s="65"/>
      <x:c r="D79" s="65"/>
      <x:c r="E79" s="65" t="s">
        <x:v>1304</x:v>
      </x:c>
      <x:c r="F79" s="65" t="s">
        <x:v>1300</x:v>
      </x:c>
      <x:c r="G79" s="65" t="s">
        <x:v>1027</x:v>
      </x:c>
      <x:c r="H79" s="65" t="s">
        <x:v>894</x:v>
      </x:c>
      <x:c r="I79" s="65" t="s">
        <x:v>1305</x:v>
      </x:c>
      <x:c r="J79" s="65" t="s">
        <x:v>964</x:v>
      </x:c>
      <x:c r="K79" s="65" t="s">
        <x:v>1000</x:v>
      </x:c>
      <x:c r="L79" s="65" t="s">
        <x:v>916</x:v>
      </x:c>
      <x:c r="M79" s="65" t="s">
        <x:v>1000</x:v>
      </x:c>
      <x:c r="N79" s="65" t="s">
        <x:v>916</x:v>
      </x:c>
      <x:c r="O79" s="65" t="s">
        <x:v>1000</x:v>
      </x:c>
      <x:c r="P79" s="65" t="s">
        <x:v>916</x:v>
      </x:c>
      <x:c r="Q79" s="85" t="s">
        <x:v>916</x:v>
      </x:c>
      <x:c r="R79" s="85" t="s">
        <x:v>916</x:v>
      </x:c>
      <x:c r="S79" s="85" t="s">
        <x:v>916</x:v>
      </x:c>
      <x:c r="T79" s="85" t="s">
        <x:v>916</x:v>
      </x:c>
      <x:c r="U79" s="85" t="s">
        <x:v>916</x:v>
      </x:c>
      <x:c r="V79" s="85" t="s">
        <x:v>916</x:v>
      </x:c>
      <x:c r="W79" s="66"/>
      <x:c r="X79" s="83" t="str">
        <x:f t="shared" si="11"/>
        <x:v>Belum Dinilai</x:v>
      </x:c>
      <x:c r="Y79" s="83" t="str">
        <x:f t="shared" si="12"/>
        <x:v>Belum Dinilai</x:v>
      </x:c>
      <x:c r="Z79" s="84" t="str">
        <x:f t="shared" si="13"/>
      </x:c>
      <x:c r="AA79" s="84" t="str">
        <x:f t="shared" si="14"/>
      </x:c>
      <x:c r="AB79" s="84" t="str">
        <x:f t="shared" si="15"/>
      </x:c>
      <x:c r="AC79" s="67" t="s">
        <x:v>916</x:v>
      </x:c>
      <x:c r="AD79" s="67" t="s">
        <x:v>916</x:v>
      </x:c>
      <x:c r="AE79" s="67" t="s">
        <x:v>916</x:v>
      </x:c>
      <x:c r="AF79" s="67" t="s">
        <x:v>916</x:v>
      </x:c>
      <x:c r="AG79" s="67" t="s">
        <x:v>916</x:v>
      </x:c>
      <x:c r="AH79" s="67" t="s">
        <x:v>916</x:v>
      </x:c>
      <x:c r="AI79" s="67" t="s">
        <x:v>916</x:v>
      </x:c>
      <x:c r="AJ79" s="67" t="s">
        <x:v>916</x:v>
      </x:c>
      <x:c r="AK79" s="67" t="s">
        <x:v>916</x:v>
      </x:c>
      <x:c r="AL79" s="67"/>
      <x:c r="AM79" s="67" t="s">
        <x:v>916</x:v>
      </x:c>
      <x:c r="AN79" s="83" t="str">
        <x:f t="shared" si="16"/>
        <x:v>Belum Dinilai</x:v>
      </x:c>
      <x:c r="AO79" s="83" t="str">
        <x:f t="shared" si="17"/>
        <x:v>Belum Dinilai</x:v>
      </x:c>
      <x:c r="AP79" s="67"/>
      <x:c r="AQ79" s="70" t="str">
        <x:f t="shared" si="18"/>
      </x:c>
      <x:c r="AR79" s="70" t="str">
        <x:f t="shared" si="19"/>
      </x:c>
      <x:c r="AS79" s="70" t="str">
        <x:f t="shared" si="20"/>
      </x:c>
      <x:c r="AT79" s="68" t="str">
        <x:f t="shared" si="21"/>
        <x:v>Belum Dapat Ditentukan</x:v>
      </x:c>
      <x:c r="AU79" s="65" t="s">
        <x:v>887</x:v>
      </x:c>
      <x:c r="AV79" s="65" t="s">
        <x:v>904</x:v>
      </x:c>
      <x:c r="AW79" s="65" t="s">
        <x:v>889</x:v>
      </x:c>
      <x:c r="AX79" s="65" t="s">
        <x:v>890</x:v>
      </x:c>
      <x:c r="AY79" s="65"/>
      <x:c r="AZ79" s="65" t="s">
        <x:v>888</x:v>
      </x:c>
      <x:c r="BA79" s="65"/>
      <x:c r="BB79" s="177"/>
      <x:c r="BC79" s="71">
        <x:v>2026</x:v>
      </x:c>
      <x:c r="BD79" s="65"/>
      <x:c r="BE79" s="177"/>
      <x:c r="BF79" s="65" t="str">
        <x:v>Dinas Perkim Kota Pangkal Pinang</x:v>
      </x:c>
    </x:row>
    <x:row r="80" ht="28">
      <x:c r="A80" s="65" t="s">
        <x:v>1306</x:v>
      </x:c>
      <x:c r="B80" s="65" t="s">
        <x:v>1307</x:v>
      </x:c>
      <x:c r="C80" s="65"/>
      <x:c r="D80" s="65"/>
      <x:c r="E80" s="65" t="s">
        <x:v>1308</x:v>
      </x:c>
      <x:c r="F80" s="65" t="s">
        <x:v>1309</x:v>
      </x:c>
      <x:c r="G80" s="65" t="s">
        <x:v>1027</x:v>
      </x:c>
      <x:c r="H80" s="65" t="s">
        <x:v>878</x:v>
      </x:c>
      <x:c r="I80" s="65" t="s">
        <x:v>1310</x:v>
      </x:c>
      <x:c r="J80" s="65" t="s">
        <x:v>964</x:v>
      </x:c>
      <x:c r="K80" s="65" t="s">
        <x:v>994</x:v>
      </x:c>
      <x:c r="L80" s="65" t="s">
        <x:v>916</x:v>
      </x:c>
      <x:c r="M80" s="65" t="s">
        <x:v>1000</x:v>
      </x:c>
      <x:c r="N80" s="65" t="s">
        <x:v>916</x:v>
      </x:c>
      <x:c r="O80" s="65" t="s">
        <x:v>1000</x:v>
      </x:c>
      <x:c r="P80" s="65" t="s">
        <x:v>916</x:v>
      </x:c>
      <x:c r="Q80" s="85" t="s">
        <x:v>916</x:v>
      </x:c>
      <x:c r="R80" s="85" t="s">
        <x:v>916</x:v>
      </x:c>
      <x:c r="S80" s="85" t="s">
        <x:v>916</x:v>
      </x:c>
      <x:c r="T80" s="85" t="s">
        <x:v>916</x:v>
      </x:c>
      <x:c r="U80" s="85" t="s">
        <x:v>916</x:v>
      </x:c>
      <x:c r="V80" s="85" t="s">
        <x:v>916</x:v>
      </x:c>
      <x:c r="W80" s="66"/>
      <x:c r="X80" s="83" t="str">
        <x:f t="shared" si="11"/>
        <x:v>Belum Dinilai</x:v>
      </x:c>
      <x:c r="Y80" s="83" t="str">
        <x:f t="shared" si="12"/>
        <x:v>Belum Dinilai</x:v>
      </x:c>
      <x:c r="Z80" s="84" t="str">
        <x:f t="shared" si="13"/>
      </x:c>
      <x:c r="AA80" s="84" t="str">
        <x:f t="shared" si="14"/>
      </x:c>
      <x:c r="AB80" s="84" t="str">
        <x:f t="shared" si="15"/>
      </x:c>
      <x:c r="AC80" s="67" t="s">
        <x:v>916</x:v>
      </x:c>
      <x:c r="AD80" s="67" t="s">
        <x:v>916</x:v>
      </x:c>
      <x:c r="AE80" s="67" t="s">
        <x:v>916</x:v>
      </x:c>
      <x:c r="AF80" s="67" t="s">
        <x:v>916</x:v>
      </x:c>
      <x:c r="AG80" s="67" t="s">
        <x:v>916</x:v>
      </x:c>
      <x:c r="AH80" s="67" t="s">
        <x:v>916</x:v>
      </x:c>
      <x:c r="AI80" s="67" t="s">
        <x:v>916</x:v>
      </x:c>
      <x:c r="AJ80" s="67" t="s">
        <x:v>916</x:v>
      </x:c>
      <x:c r="AK80" s="67" t="s">
        <x:v>916</x:v>
      </x:c>
      <x:c r="AL80" s="67"/>
      <x:c r="AM80" s="67" t="s">
        <x:v>916</x:v>
      </x:c>
      <x:c r="AN80" s="83" t="str">
        <x:f t="shared" si="16"/>
        <x:v>Belum Dinilai</x:v>
      </x:c>
      <x:c r="AO80" s="83" t="str">
        <x:f t="shared" si="17"/>
        <x:v>Belum Dinilai</x:v>
      </x:c>
      <x:c r="AP80" s="67"/>
      <x:c r="AQ80" s="70" t="str">
        <x:f t="shared" si="18"/>
      </x:c>
      <x:c r="AR80" s="70" t="str">
        <x:f t="shared" si="19"/>
      </x:c>
      <x:c r="AS80" s="70" t="str">
        <x:f t="shared" si="20"/>
      </x:c>
      <x:c r="AT80" s="68" t="str">
        <x:f t="shared" si="21"/>
        <x:v>Belum Dapat Ditentukan</x:v>
      </x:c>
      <x:c r="AU80" s="65" t="s">
        <x:v>903</x:v>
      </x:c>
      <x:c r="AV80" s="65" t="s">
        <x:v>904</x:v>
      </x:c>
      <x:c r="AW80" s="65" t="s">
        <x:v>1001</x:v>
      </x:c>
      <x:c r="AX80" s="65" t="s">
        <x:v>984</x:v>
      </x:c>
      <x:c r="AY80" s="65">
        <x:v>2024</x:v>
      </x:c>
      <x:c r="AZ80" s="65" t="s">
        <x:v>888</x:v>
      </x:c>
      <x:c r="BA80" s="65"/>
      <x:c r="BB80" s="177"/>
      <x:c r="BC80" s="71">
        <x:v>2026</x:v>
      </x:c>
      <x:c r="BD80" s="65"/>
      <x:c r="BE80" s="177"/>
      <x:c r="BF80" s="65" t="str">
        <x:v>Dinas Perkim Kota Pangkal Pinang</x:v>
      </x:c>
    </x:row>
    <x:row r="81" ht="28">
      <x:c r="A81" s="65" t="s">
        <x:v>1311</x:v>
      </x:c>
      <x:c r="B81" s="65" t="s">
        <x:v>1312</x:v>
      </x:c>
      <x:c r="C81" s="65"/>
      <x:c r="D81" s="65"/>
      <x:c r="E81" s="65" t="s">
        <x:v>1228</x:v>
      </x:c>
      <x:c r="F81" s="65" t="s">
        <x:v>1173</x:v>
      </x:c>
      <x:c r="G81" s="65" t="s">
        <x:v>1012</x:v>
      </x:c>
      <x:c r="H81" s="65" t="s">
        <x:v>894</x:v>
      </x:c>
      <x:c r="I81" s="65" t="s">
        <x:v>1313</x:v>
      </x:c>
      <x:c r="J81" s="65" t="s">
        <x:v>964</x:v>
      </x:c>
      <x:c r="K81" s="65" t="s">
        <x:v>1000</x:v>
      </x:c>
      <x:c r="L81" s="65" t="s">
        <x:v>916</x:v>
      </x:c>
      <x:c r="M81" s="65" t="s">
        <x:v>1000</x:v>
      </x:c>
      <x:c r="N81" s="65" t="s">
        <x:v>916</x:v>
      </x:c>
      <x:c r="O81" s="65" t="s">
        <x:v>883</x:v>
      </x:c>
      <x:c r="P81" s="65" t="s">
        <x:v>916</x:v>
      </x:c>
      <x:c r="Q81" s="85" t="s">
        <x:v>916</x:v>
      </x:c>
      <x:c r="R81" s="85" t="s">
        <x:v>916</x:v>
      </x:c>
      <x:c r="S81" s="85" t="s">
        <x:v>916</x:v>
      </x:c>
      <x:c r="T81" s="85" t="s">
        <x:v>916</x:v>
      </x:c>
      <x:c r="U81" s="85" t="s">
        <x:v>916</x:v>
      </x:c>
      <x:c r="V81" s="85" t="s">
        <x:v>916</x:v>
      </x:c>
      <x:c r="W81" s="66"/>
      <x:c r="X81" s="83" t="str">
        <x:f t="shared" si="11"/>
        <x:v>Belum Dinilai</x:v>
      </x:c>
      <x:c r="Y81" s="83" t="str">
        <x:f t="shared" si="12"/>
        <x:v>Belum Dinilai</x:v>
      </x:c>
      <x:c r="Z81" s="84" t="str">
        <x:f t="shared" si="13"/>
      </x:c>
      <x:c r="AA81" s="84" t="str">
        <x:f t="shared" si="14"/>
      </x:c>
      <x:c r="AB81" s="84" t="str">
        <x:f t="shared" si="15"/>
      </x:c>
      <x:c r="AC81" s="67" t="s">
        <x:v>916</x:v>
      </x:c>
      <x:c r="AD81" s="67" t="s">
        <x:v>916</x:v>
      </x:c>
      <x:c r="AE81" s="67" t="s">
        <x:v>916</x:v>
      </x:c>
      <x:c r="AF81" s="67" t="s">
        <x:v>916</x:v>
      </x:c>
      <x:c r="AG81" s="67" t="s">
        <x:v>916</x:v>
      </x:c>
      <x:c r="AH81" s="67" t="s">
        <x:v>916</x:v>
      </x:c>
      <x:c r="AI81" s="67" t="s">
        <x:v>916</x:v>
      </x:c>
      <x:c r="AJ81" s="67" t="s">
        <x:v>916</x:v>
      </x:c>
      <x:c r="AK81" s="67" t="s">
        <x:v>916</x:v>
      </x:c>
      <x:c r="AL81" s="67"/>
      <x:c r="AM81" s="67" t="s">
        <x:v>916</x:v>
      </x:c>
      <x:c r="AN81" s="83" t="str">
        <x:f t="shared" si="16"/>
        <x:v>Belum Dinilai</x:v>
      </x:c>
      <x:c r="AO81" s="83" t="str">
        <x:f t="shared" si="17"/>
        <x:v>Belum Dinilai</x:v>
      </x:c>
      <x:c r="AP81" s="67"/>
      <x:c r="AQ81" s="70" t="str">
        <x:f t="shared" si="18"/>
      </x:c>
      <x:c r="AR81" s="70" t="str">
        <x:f t="shared" si="19"/>
      </x:c>
      <x:c r="AS81" s="70" t="str">
        <x:f t="shared" si="20"/>
      </x:c>
      <x:c r="AT81" s="68" t="str">
        <x:f t="shared" si="21"/>
        <x:v>Belum Dapat Ditentukan</x:v>
      </x:c>
      <x:c r="AU81" s="65" t="s">
        <x:v>887</x:v>
      </x:c>
      <x:c r="AV81" s="65" t="s">
        <x:v>904</x:v>
      </x:c>
      <x:c r="AW81" s="65" t="s">
        <x:v>889</x:v>
      </x:c>
      <x:c r="AX81" s="65" t="s">
        <x:v>890</x:v>
      </x:c>
      <x:c r="AY81" s="65"/>
      <x:c r="AZ81" s="65" t="s">
        <x:v>888</x:v>
      </x:c>
      <x:c r="BA81" s="65"/>
      <x:c r="BB81" s="177"/>
      <x:c r="BC81" s="71">
        <x:v>2026</x:v>
      </x:c>
      <x:c r="BD81" s="65"/>
      <x:c r="BE81" s="177"/>
      <x:c r="BF81" s="65" t="str">
        <x:v>Dinas Perkim Kota Pangkal Pinang</x:v>
      </x:c>
    </x:row>
    <x:row r="82" ht="28">
      <x:c r="A82" s="65" t="s">
        <x:v>1314</x:v>
      </x:c>
      <x:c r="B82" s="65" t="s">
        <x:v>1315</x:v>
      </x:c>
      <x:c r="C82" s="65"/>
      <x:c r="D82" s="65"/>
      <x:c r="E82" s="65" t="s">
        <x:v>1316</x:v>
      </x:c>
      <x:c r="F82" s="65" t="s">
        <x:v>1173</x:v>
      </x:c>
      <x:c r="G82" s="65" t="s">
        <x:v>1012</x:v>
      </x:c>
      <x:c r="H82" s="65" t="s">
        <x:v>894</x:v>
      </x:c>
      <x:c r="I82" s="65" t="s">
        <x:v>1317</x:v>
      </x:c>
      <x:c r="J82" s="65" t="s">
        <x:v>879</x:v>
      </x:c>
      <x:c r="K82" s="65" t="s">
        <x:v>1000</x:v>
      </x:c>
      <x:c r="L82" s="65" t="s">
        <x:v>916</x:v>
      </x:c>
      <x:c r="M82" s="65" t="s">
        <x:v>913</x:v>
      </x:c>
      <x:c r="N82" s="65" t="s">
        <x:v>916</x:v>
      </x:c>
      <x:c r="O82" s="65" t="s">
        <x:v>914</x:v>
      </x:c>
      <x:c r="P82" s="65" t="s">
        <x:v>916</x:v>
      </x:c>
      <x:c r="Q82" s="85" t="s">
        <x:v>916</x:v>
      </x:c>
      <x:c r="R82" s="85" t="s">
        <x:v>916</x:v>
      </x:c>
      <x:c r="S82" s="85" t="s">
        <x:v>916</x:v>
      </x:c>
      <x:c r="T82" s="85" t="s">
        <x:v>916</x:v>
      </x:c>
      <x:c r="U82" s="85" t="s">
        <x:v>916</x:v>
      </x:c>
      <x:c r="V82" s="85" t="s">
        <x:v>916</x:v>
      </x:c>
      <x:c r="W82" s="66"/>
      <x:c r="X82" s="83" t="str">
        <x:f t="shared" si="11"/>
        <x:v>Belum Dinilai</x:v>
      </x:c>
      <x:c r="Y82" s="83" t="str">
        <x:f t="shared" si="12"/>
        <x:v>Belum Dinilai</x:v>
      </x:c>
      <x:c r="Z82" s="84" t="str">
        <x:f t="shared" si="13"/>
      </x:c>
      <x:c r="AA82" s="84" t="str">
        <x:f t="shared" si="14"/>
      </x:c>
      <x:c r="AB82" s="84" t="str">
        <x:f t="shared" si="15"/>
      </x:c>
      <x:c r="AC82" s="67" t="s">
        <x:v>916</x:v>
      </x:c>
      <x:c r="AD82" s="67" t="s">
        <x:v>916</x:v>
      </x:c>
      <x:c r="AE82" s="67" t="s">
        <x:v>916</x:v>
      </x:c>
      <x:c r="AF82" s="67" t="s">
        <x:v>916</x:v>
      </x:c>
      <x:c r="AG82" s="67" t="s">
        <x:v>916</x:v>
      </x:c>
      <x:c r="AH82" s="67" t="s">
        <x:v>916</x:v>
      </x:c>
      <x:c r="AI82" s="67" t="s">
        <x:v>916</x:v>
      </x:c>
      <x:c r="AJ82" s="67" t="s">
        <x:v>916</x:v>
      </x:c>
      <x:c r="AK82" s="67" t="s">
        <x:v>916</x:v>
      </x:c>
      <x:c r="AL82" s="67"/>
      <x:c r="AM82" s="67" t="s">
        <x:v>916</x:v>
      </x:c>
      <x:c r="AN82" s="83" t="str">
        <x:f t="shared" si="16"/>
        <x:v>Belum Dinilai</x:v>
      </x:c>
      <x:c r="AO82" s="83" t="str">
        <x:f t="shared" si="17"/>
        <x:v>Belum Dinilai</x:v>
      </x:c>
      <x:c r="AP82" s="67"/>
      <x:c r="AQ82" s="70" t="str">
        <x:f t="shared" si="18"/>
      </x:c>
      <x:c r="AR82" s="70" t="str">
        <x:f t="shared" si="19"/>
      </x:c>
      <x:c r="AS82" s="70" t="str">
        <x:f t="shared" si="20"/>
      </x:c>
      <x:c r="AT82" s="68" t="str">
        <x:f t="shared" si="21"/>
        <x:v>Belum Dapat Ditentukan</x:v>
      </x:c>
      <x:c r="AU82" s="65" t="s">
        <x:v>887</x:v>
      </x:c>
      <x:c r="AV82" s="65" t="s">
        <x:v>904</x:v>
      </x:c>
      <x:c r="AW82" s="65" t="s">
        <x:v>889</x:v>
      </x:c>
      <x:c r="AX82" s="65" t="s">
        <x:v>890</x:v>
      </x:c>
      <x:c r="AY82" s="65"/>
      <x:c r="AZ82" s="65" t="s">
        <x:v>888</x:v>
      </x:c>
      <x:c r="BA82" s="65"/>
      <x:c r="BB82" s="177"/>
      <x:c r="BC82" s="71">
        <x:v>2026</x:v>
      </x:c>
      <x:c r="BD82" s="65"/>
      <x:c r="BE82" s="177"/>
      <x:c r="BF82" s="65" t="str">
        <x:v>Dinas Perkim Kota Pangkal Pinang</x:v>
      </x:c>
    </x:row>
    <x:row r="83" ht="28">
      <x:c r="A83" s="65" t="s">
        <x:v>1318</x:v>
      </x:c>
      <x:c r="B83" s="65" t="s">
        <x:v>1066</x:v>
      </x:c>
      <x:c r="C83" s="65"/>
      <x:c r="D83" s="65"/>
      <x:c r="E83" s="65" t="s">
        <x:v>1316</x:v>
      </x:c>
      <x:c r="F83" s="65" t="s">
        <x:v>1173</x:v>
      </x:c>
      <x:c r="G83" s="65" t="s">
        <x:v>1012</x:v>
      </x:c>
      <x:c r="H83" s="65" t="s">
        <x:v>878</x:v>
      </x:c>
      <x:c r="I83" s="65" t="s">
        <x:v>1319</x:v>
      </x:c>
      <x:c r="J83" s="65" t="s">
        <x:v>910</x:v>
      </x:c>
      <x:c r="K83" s="65" t="s">
        <x:v>1000</x:v>
      </x:c>
      <x:c r="L83" s="65" t="s">
        <x:v>966</x:v>
      </x:c>
      <x:c r="M83" s="65" t="s">
        <x:v>968</x:v>
      </x:c>
      <x:c r="N83" s="65" t="s">
        <x:v>966</x:v>
      </x:c>
      <x:c r="O83" s="65" t="s">
        <x:v>914</x:v>
      </x:c>
      <x:c r="P83" s="65" t="s">
        <x:v>966</x:v>
      </x:c>
      <x:c r="Q83" s="85" t="s">
        <x:v>916</x:v>
      </x:c>
      <x:c r="R83" s="85" t="s">
        <x:v>916</x:v>
      </x:c>
      <x:c r="S83" s="85" t="s">
        <x:v>916</x:v>
      </x:c>
      <x:c r="T83" s="85" t="s">
        <x:v>916</x:v>
      </x:c>
      <x:c r="U83" s="85" t="s">
        <x:v>916</x:v>
      </x:c>
      <x:c r="V83" s="85" t="s">
        <x:v>916</x:v>
      </x:c>
      <x:c r="W83" s="66"/>
      <x:c r="X83" s="83" t="str">
        <x:f t="shared" si="11"/>
        <x:v>Belum Dinilai</x:v>
      </x:c>
      <x:c r="Y83" s="83" t="str">
        <x:f t="shared" si="12"/>
        <x:v>Belum Dinilai</x:v>
      </x:c>
      <x:c r="Z83" s="84" t="str">
        <x:f t="shared" si="13"/>
      </x:c>
      <x:c r="AA83" s="84" t="str">
        <x:f t="shared" si="14"/>
      </x:c>
      <x:c r="AB83" s="84" t="str">
        <x:f t="shared" si="15"/>
      </x:c>
      <x:c r="AC83" s="67" t="s">
        <x:v>916</x:v>
      </x:c>
      <x:c r="AD83" s="67" t="s">
        <x:v>916</x:v>
      </x:c>
      <x:c r="AE83" s="67" t="s">
        <x:v>916</x:v>
      </x:c>
      <x:c r="AF83" s="67" t="s">
        <x:v>916</x:v>
      </x:c>
      <x:c r="AG83" s="67" t="s">
        <x:v>916</x:v>
      </x:c>
      <x:c r="AH83" s="67" t="s">
        <x:v>916</x:v>
      </x:c>
      <x:c r="AI83" s="67" t="s">
        <x:v>916</x:v>
      </x:c>
      <x:c r="AJ83" s="67" t="s">
        <x:v>916</x:v>
      </x:c>
      <x:c r="AK83" s="67" t="s">
        <x:v>916</x:v>
      </x:c>
      <x:c r="AL83" s="67"/>
      <x:c r="AM83" s="67" t="s">
        <x:v>916</x:v>
      </x:c>
      <x:c r="AN83" s="83" t="str">
        <x:f t="shared" si="16"/>
        <x:v>Belum Dinilai</x:v>
      </x:c>
      <x:c r="AO83" s="83" t="str">
        <x:f t="shared" si="17"/>
        <x:v>Belum Dinilai</x:v>
      </x:c>
      <x:c r="AP83" s="67"/>
      <x:c r="AQ83" s="70">
        <x:f t="shared" si="18"/>
        <x:v>57</x:v>
      </x:c>
      <x:c r="AR83" s="70" t="str">
        <x:f t="shared" si="19"/>
      </x:c>
      <x:c r="AS83" s="70" t="str">
        <x:f t="shared" si="20"/>
      </x:c>
      <x:c r="AT83" s="68" t="str">
        <x:f t="shared" si="21"/>
        <x:v>Belum Dapat Ditentukan</x:v>
      </x:c>
      <x:c r="AU83" s="65" t="s">
        <x:v>887</x:v>
      </x:c>
      <x:c r="AV83" s="65" t="s">
        <x:v>904</x:v>
      </x:c>
      <x:c r="AW83" s="65" t="s">
        <x:v>1001</x:v>
      </x:c>
      <x:c r="AX83" s="65" t="s">
        <x:v>918</x:v>
      </x:c>
      <x:c r="AY83" s="65">
        <x:v>2023</x:v>
      </x:c>
      <x:c r="AZ83" s="65" t="s">
        <x:v>888</x:v>
      </x:c>
      <x:c r="BA83" s="65"/>
      <x:c r="BB83" s="177"/>
      <x:c r="BC83" s="71">
        <x:v>2026</x:v>
      </x:c>
      <x:c r="BD83" s="65"/>
      <x:c r="BE83" s="177"/>
      <x:c r="BF83" s="65" t="str">
        <x:v>Dinas Perkim Kota Pangkal Pinang</x:v>
      </x:c>
    </x:row>
    <x:row r="84" ht="28">
      <x:c r="A84" s="65" t="s">
        <x:v>1320</x:v>
      </x:c>
      <x:c r="B84" s="65" t="s">
        <x:v>1321</x:v>
      </x:c>
      <x:c r="C84" s="65"/>
      <x:c r="D84" s="65"/>
      <x:c r="E84" s="65" t="s">
        <x:v>1322</x:v>
      </x:c>
      <x:c r="F84" s="65" t="s">
        <x:v>1173</x:v>
      </x:c>
      <x:c r="G84" s="65" t="s">
        <x:v>1012</x:v>
      </x:c>
      <x:c r="H84" s="65" t="s">
        <x:v>878</x:v>
      </x:c>
      <x:c r="I84" s="65" t="s">
        <x:v>1323</x:v>
      </x:c>
      <x:c r="J84" s="65" t="s">
        <x:v>910</x:v>
      </x:c>
      <x:c r="K84" s="65" t="s">
        <x:v>1000</x:v>
      </x:c>
      <x:c r="L84" s="65" t="s">
        <x:v>916</x:v>
      </x:c>
      <x:c r="M84" s="65" t="s">
        <x:v>968</x:v>
      </x:c>
      <x:c r="N84" s="65" t="s">
        <x:v>966</x:v>
      </x:c>
      <x:c r="O84" s="65" t="s">
        <x:v>914</x:v>
      </x:c>
      <x:c r="P84" s="65" t="s">
        <x:v>966</x:v>
      </x:c>
      <x:c r="Q84" s="85" t="s">
        <x:v>916</x:v>
      </x:c>
      <x:c r="R84" s="85" t="s">
        <x:v>916</x:v>
      </x:c>
      <x:c r="S84" s="85" t="s">
        <x:v>916</x:v>
      </x:c>
      <x:c r="T84" s="85" t="s">
        <x:v>916</x:v>
      </x:c>
      <x:c r="U84" s="85" t="s">
        <x:v>916</x:v>
      </x:c>
      <x:c r="V84" s="85" t="s">
        <x:v>916</x:v>
      </x:c>
      <x:c r="W84" s="66"/>
      <x:c r="X84" s="83" t="str">
        <x:f t="shared" si="11"/>
        <x:v>Belum Dinilai</x:v>
      </x:c>
      <x:c r="Y84" s="83" t="str">
        <x:f t="shared" si="12"/>
        <x:v>Belum Dinilai</x:v>
      </x:c>
      <x:c r="Z84" s="84" t="str">
        <x:f t="shared" si="13"/>
      </x:c>
      <x:c r="AA84" s="84" t="str">
        <x:f t="shared" si="14"/>
      </x:c>
      <x:c r="AB84" s="84" t="str">
        <x:f t="shared" si="15"/>
      </x:c>
      <x:c r="AC84" s="67" t="s">
        <x:v>916</x:v>
      </x:c>
      <x:c r="AD84" s="67" t="s">
        <x:v>916</x:v>
      </x:c>
      <x:c r="AE84" s="67" t="s">
        <x:v>916</x:v>
      </x:c>
      <x:c r="AF84" s="67" t="s">
        <x:v>916</x:v>
      </x:c>
      <x:c r="AG84" s="67" t="s">
        <x:v>916</x:v>
      </x:c>
      <x:c r="AH84" s="67" t="s">
        <x:v>916</x:v>
      </x:c>
      <x:c r="AI84" s="67" t="s">
        <x:v>916</x:v>
      </x:c>
      <x:c r="AJ84" s="67" t="s">
        <x:v>916</x:v>
      </x:c>
      <x:c r="AK84" s="67" t="s">
        <x:v>916</x:v>
      </x:c>
      <x:c r="AL84" s="67"/>
      <x:c r="AM84" s="67" t="s">
        <x:v>916</x:v>
      </x:c>
      <x:c r="AN84" s="83" t="str">
        <x:f t="shared" si="16"/>
        <x:v>Belum Dinilai</x:v>
      </x:c>
      <x:c r="AO84" s="83" t="str">
        <x:f t="shared" si="17"/>
        <x:v>Belum Dinilai</x:v>
      </x:c>
      <x:c r="AP84" s="67"/>
      <x:c r="AQ84" s="70" t="str">
        <x:f t="shared" si="18"/>
      </x:c>
      <x:c r="AR84" s="70" t="str">
        <x:f t="shared" si="19"/>
      </x:c>
      <x:c r="AS84" s="70" t="str">
        <x:f t="shared" si="20"/>
      </x:c>
      <x:c r="AT84" s="68" t="str">
        <x:f t="shared" si="21"/>
        <x:v>Belum Dapat Ditentukan</x:v>
      </x:c>
      <x:c r="AU84" s="65" t="s">
        <x:v>887</x:v>
      </x:c>
      <x:c r="AV84" s="65" t="s">
        <x:v>904</x:v>
      </x:c>
      <x:c r="AW84" s="65" t="s">
        <x:v>889</x:v>
      </x:c>
      <x:c r="AX84" s="65" t="s">
        <x:v>890</x:v>
      </x:c>
      <x:c r="AY84" s="65"/>
      <x:c r="AZ84" s="65" t="s">
        <x:v>888</x:v>
      </x:c>
      <x:c r="BA84" s="65"/>
      <x:c r="BB84" s="177"/>
      <x:c r="BC84" s="71">
        <x:v>2026</x:v>
      </x:c>
      <x:c r="BD84" s="65"/>
      <x:c r="BE84" s="177"/>
      <x:c r="BF84" s="65" t="str">
        <x:v>Dinas Perkim Kota Pangkal Pinang</x:v>
      </x:c>
    </x:row>
    <x:row r="85" ht="28">
      <x:c r="A85" s="65" t="s">
        <x:v>1324</x:v>
      </x:c>
      <x:c r="B85" s="65" t="s">
        <x:v>1325</x:v>
      </x:c>
      <x:c r="C85" s="65"/>
      <x:c r="D85" s="65"/>
      <x:c r="E85" s="65" t="s">
        <x:v>1326</x:v>
      </x:c>
      <x:c r="F85" s="65" t="s">
        <x:v>1327</x:v>
      </x:c>
      <x:c r="G85" s="65" t="s">
        <x:v>1012</x:v>
      </x:c>
      <x:c r="H85" s="65" t="s">
        <x:v>878</x:v>
      </x:c>
      <x:c r="I85" s="65" t="s">
        <x:v>1323</x:v>
      </x:c>
      <x:c r="J85" s="65" t="s">
        <x:v>910</x:v>
      </x:c>
      <x:c r="K85" s="65" t="s">
        <x:v>1000</x:v>
      </x:c>
      <x:c r="L85" s="65" t="s">
        <x:v>916</x:v>
      </x:c>
      <x:c r="M85" s="65" t="s">
        <x:v>968</x:v>
      </x:c>
      <x:c r="N85" s="65" t="s">
        <x:v>966</x:v>
      </x:c>
      <x:c r="O85" s="65" t="s">
        <x:v>914</x:v>
      </x:c>
      <x:c r="P85" s="65" t="s">
        <x:v>966</x:v>
      </x:c>
      <x:c r="Q85" s="85" t="s">
        <x:v>916</x:v>
      </x:c>
      <x:c r="R85" s="85" t="s">
        <x:v>916</x:v>
      </x:c>
      <x:c r="S85" s="85" t="s">
        <x:v>916</x:v>
      </x:c>
      <x:c r="T85" s="85" t="s">
        <x:v>916</x:v>
      </x:c>
      <x:c r="U85" s="85" t="s">
        <x:v>916</x:v>
      </x:c>
      <x:c r="V85" s="85" t="s">
        <x:v>916</x:v>
      </x:c>
      <x:c r="W85" s="66"/>
      <x:c r="X85" s="83" t="str">
        <x:f t="shared" si="11"/>
        <x:v>Belum Dinilai</x:v>
      </x:c>
      <x:c r="Y85" s="83" t="str">
        <x:f t="shared" si="12"/>
        <x:v>Belum Dinilai</x:v>
      </x:c>
      <x:c r="Z85" s="84" t="str">
        <x:f t="shared" si="13"/>
      </x:c>
      <x:c r="AA85" s="84" t="str">
        <x:f t="shared" si="14"/>
      </x:c>
      <x:c r="AB85" s="84" t="str">
        <x:f t="shared" si="15"/>
      </x:c>
      <x:c r="AC85" s="67" t="s">
        <x:v>916</x:v>
      </x:c>
      <x:c r="AD85" s="67" t="s">
        <x:v>916</x:v>
      </x:c>
      <x:c r="AE85" s="67" t="s">
        <x:v>916</x:v>
      </x:c>
      <x:c r="AF85" s="67" t="s">
        <x:v>916</x:v>
      </x:c>
      <x:c r="AG85" s="67" t="s">
        <x:v>916</x:v>
      </x:c>
      <x:c r="AH85" s="67" t="s">
        <x:v>916</x:v>
      </x:c>
      <x:c r="AI85" s="67" t="s">
        <x:v>916</x:v>
      </x:c>
      <x:c r="AJ85" s="67" t="s">
        <x:v>916</x:v>
      </x:c>
      <x:c r="AK85" s="67" t="s">
        <x:v>916</x:v>
      </x:c>
      <x:c r="AL85" s="67"/>
      <x:c r="AM85" s="67" t="s">
        <x:v>916</x:v>
      </x:c>
      <x:c r="AN85" s="83" t="str">
        <x:f t="shared" si="16"/>
        <x:v>Belum Dinilai</x:v>
      </x:c>
      <x:c r="AO85" s="83" t="str">
        <x:f t="shared" si="17"/>
        <x:v>Belum Dinilai</x:v>
      </x:c>
      <x:c r="AP85" s="67"/>
      <x:c r="AQ85" s="70" t="str">
        <x:f t="shared" si="18"/>
      </x:c>
      <x:c r="AR85" s="70" t="str">
        <x:f t="shared" si="19"/>
      </x:c>
      <x:c r="AS85" s="70" t="str">
        <x:f t="shared" si="20"/>
      </x:c>
      <x:c r="AT85" s="68" t="str">
        <x:f t="shared" si="21"/>
        <x:v>Belum Dapat Ditentukan</x:v>
      </x:c>
      <x:c r="AU85" s="65" t="s">
        <x:v>887</x:v>
      </x:c>
      <x:c r="AV85" s="65" t="s">
        <x:v>904</x:v>
      </x:c>
      <x:c r="AW85" s="65" t="s">
        <x:v>1001</x:v>
      </x:c>
      <x:c r="AX85" s="65" t="s">
        <x:v>906</x:v>
      </x:c>
      <x:c r="AY85" s="65">
        <x:v>2021</x:v>
      </x:c>
      <x:c r="AZ85" s="65" t="s">
        <x:v>888</x:v>
      </x:c>
      <x:c r="BA85" s="65"/>
      <x:c r="BB85" s="177"/>
      <x:c r="BC85" s="71">
        <x:v>2026</x:v>
      </x:c>
      <x:c r="BD85" s="65"/>
      <x:c r="BE85" s="177"/>
      <x:c r="BF85" s="65" t="str">
        <x:v>Dinas Perkim Kota Pangkal Pinang</x:v>
      </x:c>
    </x:row>
    <x:row r="86" ht="28">
      <x:c r="A86" s="65" t="s">
        <x:v>1328</x:v>
      </x:c>
      <x:c r="B86" s="65" t="s">
        <x:v>1329</x:v>
      </x:c>
      <x:c r="C86" s="65"/>
      <x:c r="D86" s="65"/>
      <x:c r="E86" s="65" t="s">
        <x:v>1330</x:v>
      </x:c>
      <x:c r="F86" s="65" t="s">
        <x:v>1327</x:v>
      </x:c>
      <x:c r="G86" s="65" t="s">
        <x:v>1012</x:v>
      </x:c>
      <x:c r="H86" s="65" t="s">
        <x:v>878</x:v>
      </x:c>
      <x:c r="I86" s="65" t="s">
        <x:v>1323</x:v>
      </x:c>
      <x:c r="J86" s="65" t="s">
        <x:v>910</x:v>
      </x:c>
      <x:c r="K86" s="65" t="s">
        <x:v>1000</x:v>
      </x:c>
      <x:c r="L86" s="65" t="s">
        <x:v>916</x:v>
      </x:c>
      <x:c r="M86" s="65" t="s">
        <x:v>968</x:v>
      </x:c>
      <x:c r="N86" s="65" t="s">
        <x:v>966</x:v>
      </x:c>
      <x:c r="O86" s="65" t="s">
        <x:v>914</x:v>
      </x:c>
      <x:c r="P86" s="65" t="s">
        <x:v>966</x:v>
      </x:c>
      <x:c r="Q86" s="85" t="s">
        <x:v>916</x:v>
      </x:c>
      <x:c r="R86" s="85" t="s">
        <x:v>916</x:v>
      </x:c>
      <x:c r="S86" s="85" t="s">
        <x:v>916</x:v>
      </x:c>
      <x:c r="T86" s="85" t="s">
        <x:v>916</x:v>
      </x:c>
      <x:c r="U86" s="85" t="s">
        <x:v>916</x:v>
      </x:c>
      <x:c r="V86" s="85" t="s">
        <x:v>916</x:v>
      </x:c>
      <x:c r="W86" s="66"/>
      <x:c r="X86" s="83" t="str">
        <x:f t="shared" si="11"/>
        <x:v>Belum Dinilai</x:v>
      </x:c>
      <x:c r="Y86" s="83" t="str">
        <x:f t="shared" si="12"/>
        <x:v>Belum Dinilai</x:v>
      </x:c>
      <x:c r="Z86" s="84" t="str">
        <x:f t="shared" si="13"/>
      </x:c>
      <x:c r="AA86" s="84" t="str">
        <x:f t="shared" si="14"/>
      </x:c>
      <x:c r="AB86" s="84" t="str">
        <x:f t="shared" si="15"/>
      </x:c>
      <x:c r="AC86" s="67" t="s">
        <x:v>916</x:v>
      </x:c>
      <x:c r="AD86" s="67" t="s">
        <x:v>916</x:v>
      </x:c>
      <x:c r="AE86" s="67" t="s">
        <x:v>916</x:v>
      </x:c>
      <x:c r="AF86" s="67" t="s">
        <x:v>916</x:v>
      </x:c>
      <x:c r="AG86" s="67" t="s">
        <x:v>916</x:v>
      </x:c>
      <x:c r="AH86" s="67" t="s">
        <x:v>916</x:v>
      </x:c>
      <x:c r="AI86" s="67" t="s">
        <x:v>916</x:v>
      </x:c>
      <x:c r="AJ86" s="67" t="s">
        <x:v>916</x:v>
      </x:c>
      <x:c r="AK86" s="67" t="s">
        <x:v>916</x:v>
      </x:c>
      <x:c r="AL86" s="67"/>
      <x:c r="AM86" s="67" t="s">
        <x:v>916</x:v>
      </x:c>
      <x:c r="AN86" s="83" t="str">
        <x:f t="shared" si="16"/>
        <x:v>Belum Dinilai</x:v>
      </x:c>
      <x:c r="AO86" s="83" t="str">
        <x:f t="shared" si="17"/>
        <x:v>Belum Dinilai</x:v>
      </x:c>
      <x:c r="AP86" s="67"/>
      <x:c r="AQ86" s="70" t="str">
        <x:f t="shared" si="18"/>
      </x:c>
      <x:c r="AR86" s="70" t="str">
        <x:f t="shared" si="19"/>
      </x:c>
      <x:c r="AS86" s="70" t="str">
        <x:f t="shared" si="20"/>
      </x:c>
      <x:c r="AT86" s="68" t="str">
        <x:f t="shared" si="21"/>
        <x:v>Belum Dapat Ditentukan</x:v>
      </x:c>
      <x:c r="AU86" s="65" t="s">
        <x:v>887</x:v>
      </x:c>
      <x:c r="AV86" s="65" t="s">
        <x:v>904</x:v>
      </x:c>
      <x:c r="AW86" s="65" t="s">
        <x:v>1001</x:v>
      </x:c>
      <x:c r="AX86" s="65" t="s">
        <x:v>906</x:v>
      </x:c>
      <x:c r="AY86" s="65">
        <x:v>2022</x:v>
      </x:c>
      <x:c r="AZ86" s="65" t="s">
        <x:v>888</x:v>
      </x:c>
      <x:c r="BA86" s="65"/>
      <x:c r="BB86" s="177"/>
      <x:c r="BC86" s="71">
        <x:v>2026</x:v>
      </x:c>
      <x:c r="BD86" s="65"/>
      <x:c r="BE86" s="177"/>
      <x:c r="BF86" s="65" t="str">
        <x:v>Dinas Perkim Kota Pangkal Pinang</x:v>
      </x:c>
    </x:row>
    <x:row r="87" ht="28">
      <x:c r="A87" s="65" t="s">
        <x:v>1331</x:v>
      </x:c>
      <x:c r="B87" s="65" t="s">
        <x:v>1332</x:v>
      </x:c>
      <x:c r="C87" s="65"/>
      <x:c r="D87" s="65"/>
      <x:c r="E87" s="65" t="s">
        <x:v>1333</x:v>
      </x:c>
      <x:c r="F87" s="65" t="s">
        <x:v>1327</x:v>
      </x:c>
      <x:c r="G87" s="65" t="s">
        <x:v>1012</x:v>
      </x:c>
      <x:c r="H87" s="65" t="s">
        <x:v>878</x:v>
      </x:c>
      <x:c r="I87" s="65" t="s">
        <x:v>1334</x:v>
      </x:c>
      <x:c r="J87" s="65" t="s">
        <x:v>910</x:v>
      </x:c>
      <x:c r="K87" s="65" t="s">
        <x:v>1000</x:v>
      </x:c>
      <x:c r="L87" s="65" t="s">
        <x:v>916</x:v>
      </x:c>
      <x:c r="M87" s="65" t="s">
        <x:v>968</x:v>
      </x:c>
      <x:c r="N87" s="65" t="s">
        <x:v>916</x:v>
      </x:c>
      <x:c r="O87" s="65" t="s">
        <x:v>982</x:v>
      </x:c>
      <x:c r="P87" s="65" t="s">
        <x:v>983</x:v>
      </x:c>
      <x:c r="Q87" s="85" t="s">
        <x:v>916</x:v>
      </x:c>
      <x:c r="R87" s="85" t="s">
        <x:v>916</x:v>
      </x:c>
      <x:c r="S87" s="85" t="s">
        <x:v>916</x:v>
      </x:c>
      <x:c r="T87" s="85" t="s">
        <x:v>916</x:v>
      </x:c>
      <x:c r="U87" s="85" t="s">
        <x:v>916</x:v>
      </x:c>
      <x:c r="V87" s="85" t="s">
        <x:v>916</x:v>
      </x:c>
      <x:c r="W87" s="66"/>
      <x:c r="X87" s="83" t="str">
        <x:f t="shared" si="11"/>
        <x:v>Belum Dinilai</x:v>
      </x:c>
      <x:c r="Y87" s="83" t="str">
        <x:f t="shared" si="12"/>
        <x:v>Belum Dinilai</x:v>
      </x:c>
      <x:c r="Z87" s="84" t="str">
        <x:f t="shared" si="13"/>
      </x:c>
      <x:c r="AA87" s="84" t="str">
        <x:f t="shared" si="14"/>
      </x:c>
      <x:c r="AB87" s="84" t="str">
        <x:f t="shared" si="15"/>
      </x:c>
      <x:c r="AC87" s="67" t="s">
        <x:v>916</x:v>
      </x:c>
      <x:c r="AD87" s="67" t="s">
        <x:v>916</x:v>
      </x:c>
      <x:c r="AE87" s="67" t="s">
        <x:v>916</x:v>
      </x:c>
      <x:c r="AF87" s="67" t="s">
        <x:v>916</x:v>
      </x:c>
      <x:c r="AG87" s="67" t="s">
        <x:v>916</x:v>
      </x:c>
      <x:c r="AH87" s="67" t="s">
        <x:v>916</x:v>
      </x:c>
      <x:c r="AI87" s="67" t="s">
        <x:v>916</x:v>
      </x:c>
      <x:c r="AJ87" s="67" t="s">
        <x:v>916</x:v>
      </x:c>
      <x:c r="AK87" s="67" t="s">
        <x:v>916</x:v>
      </x:c>
      <x:c r="AL87" s="67"/>
      <x:c r="AM87" s="67" t="s">
        <x:v>916</x:v>
      </x:c>
      <x:c r="AN87" s="83" t="str">
        <x:f t="shared" si="16"/>
        <x:v>Belum Dinilai</x:v>
      </x:c>
      <x:c r="AO87" s="83" t="str">
        <x:f t="shared" si="17"/>
        <x:v>Belum Dinilai</x:v>
      </x:c>
      <x:c r="AP87" s="67"/>
      <x:c r="AQ87" s="70" t="str">
        <x:f t="shared" si="18"/>
      </x:c>
      <x:c r="AR87" s="70" t="str">
        <x:f t="shared" si="19"/>
      </x:c>
      <x:c r="AS87" s="70" t="str">
        <x:f t="shared" si="20"/>
      </x:c>
      <x:c r="AT87" s="68" t="str">
        <x:f t="shared" si="21"/>
        <x:v>Belum Dapat Ditentukan</x:v>
      </x:c>
      <x:c r="AU87" s="65" t="s">
        <x:v>887</x:v>
      </x:c>
      <x:c r="AV87" s="65" t="s">
        <x:v>904</x:v>
      </x:c>
      <x:c r="AW87" s="65" t="s">
        <x:v>1001</x:v>
      </x:c>
      <x:c r="AX87" s="65" t="s">
        <x:v>906</x:v>
      </x:c>
      <x:c r="AY87" s="65">
        <x:v>2022</x:v>
      </x:c>
      <x:c r="AZ87" s="65" t="s">
        <x:v>888</x:v>
      </x:c>
      <x:c r="BA87" s="65"/>
      <x:c r="BB87" s="177"/>
      <x:c r="BC87" s="71">
        <x:v>2026</x:v>
      </x:c>
      <x:c r="BD87" s="65"/>
      <x:c r="BE87" s="177"/>
      <x:c r="BF87" s="65" t="str">
        <x:v>Dinas Perkim Kota Pangkal Pinang</x:v>
      </x:c>
    </x:row>
    <x:row r="88" ht="28">
      <x:c r="A88" s="65" t="s">
        <x:v>1335</x:v>
      </x:c>
      <x:c r="B88" s="65" t="s">
        <x:v>1336</x:v>
      </x:c>
      <x:c r="C88" s="65"/>
      <x:c r="D88" s="65"/>
      <x:c r="E88" s="65" t="s">
        <x:v>1337</x:v>
      </x:c>
      <x:c r="F88" s="65" t="s">
        <x:v>1327</x:v>
      </x:c>
      <x:c r="G88" s="65" t="s">
        <x:v>1012</x:v>
      </x:c>
      <x:c r="H88" s="65" t="s">
        <x:v>878</x:v>
      </x:c>
      <x:c r="I88" s="65" t="s">
        <x:v>991</x:v>
      </x:c>
      <x:c r="J88" s="65" t="s">
        <x:v>910</x:v>
      </x:c>
      <x:c r="K88" s="65" t="s">
        <x:v>1000</x:v>
      </x:c>
      <x:c r="L88" s="65" t="s">
        <x:v>916</x:v>
      </x:c>
      <x:c r="M88" s="65" t="s">
        <x:v>968</x:v>
      </x:c>
      <x:c r="N88" s="65" t="s">
        <x:v>916</x:v>
      </x:c>
      <x:c r="O88" s="65" t="s">
        <x:v>1000</x:v>
      </x:c>
      <x:c r="P88" s="65" t="s">
        <x:v>916</x:v>
      </x:c>
      <x:c r="Q88" s="85" t="s">
        <x:v>916</x:v>
      </x:c>
      <x:c r="R88" s="85" t="s">
        <x:v>916</x:v>
      </x:c>
      <x:c r="S88" s="85" t="s">
        <x:v>916</x:v>
      </x:c>
      <x:c r="T88" s="85" t="s">
        <x:v>916</x:v>
      </x:c>
      <x:c r="U88" s="85" t="s">
        <x:v>916</x:v>
      </x:c>
      <x:c r="V88" s="85" t="s">
        <x:v>916</x:v>
      </x:c>
      <x:c r="W88" s="66"/>
      <x:c r="X88" s="83" t="str">
        <x:f t="shared" si="11"/>
        <x:v>Belum Dinilai</x:v>
      </x:c>
      <x:c r="Y88" s="83" t="str">
        <x:f t="shared" si="12"/>
        <x:v>Belum Dinilai</x:v>
      </x:c>
      <x:c r="Z88" s="84" t="str">
        <x:f t="shared" si="13"/>
      </x:c>
      <x:c r="AA88" s="84" t="str">
        <x:f t="shared" si="14"/>
      </x:c>
      <x:c r="AB88" s="84" t="str">
        <x:f t="shared" si="15"/>
      </x:c>
      <x:c r="AC88" s="67" t="s">
        <x:v>916</x:v>
      </x:c>
      <x:c r="AD88" s="67" t="s">
        <x:v>916</x:v>
      </x:c>
      <x:c r="AE88" s="67" t="s">
        <x:v>916</x:v>
      </x:c>
      <x:c r="AF88" s="67" t="s">
        <x:v>916</x:v>
      </x:c>
      <x:c r="AG88" s="67" t="s">
        <x:v>916</x:v>
      </x:c>
      <x:c r="AH88" s="67" t="s">
        <x:v>916</x:v>
      </x:c>
      <x:c r="AI88" s="67" t="s">
        <x:v>916</x:v>
      </x:c>
      <x:c r="AJ88" s="67" t="s">
        <x:v>916</x:v>
      </x:c>
      <x:c r="AK88" s="67" t="s">
        <x:v>916</x:v>
      </x:c>
      <x:c r="AL88" s="67"/>
      <x:c r="AM88" s="67" t="s">
        <x:v>916</x:v>
      </x:c>
      <x:c r="AN88" s="83" t="str">
        <x:f t="shared" si="16"/>
        <x:v>Belum Dinilai</x:v>
      </x:c>
      <x:c r="AO88" s="83" t="str">
        <x:f t="shared" si="17"/>
        <x:v>Belum Dinilai</x:v>
      </x:c>
      <x:c r="AP88" s="67"/>
      <x:c r="AQ88" s="70" t="str">
        <x:f t="shared" si="18"/>
      </x:c>
      <x:c r="AR88" s="70" t="str">
        <x:f t="shared" si="19"/>
      </x:c>
      <x:c r="AS88" s="70" t="str">
        <x:f t="shared" si="20"/>
      </x:c>
      <x:c r="AT88" s="68" t="str">
        <x:f t="shared" si="21"/>
        <x:v>Belum Dapat Ditentukan</x:v>
      </x:c>
      <x:c r="AU88" s="65" t="s">
        <x:v>887</x:v>
      </x:c>
      <x:c r="AV88" s="65" t="s">
        <x:v>904</x:v>
      </x:c>
      <x:c r="AW88" s="65" t="s">
        <x:v>889</x:v>
      </x:c>
      <x:c r="AX88" s="65" t="s">
        <x:v>890</x:v>
      </x:c>
      <x:c r="AY88" s="65"/>
      <x:c r="AZ88" s="65" t="s">
        <x:v>888</x:v>
      </x:c>
      <x:c r="BA88" s="65"/>
      <x:c r="BB88" s="177"/>
      <x:c r="BC88" s="71">
        <x:v>2026</x:v>
      </x:c>
      <x:c r="BD88" s="65"/>
      <x:c r="BE88" s="177"/>
      <x:c r="BF88" s="65" t="str">
        <x:v>Dinas Perkim Kota Pangkal Pinang</x:v>
      </x:c>
    </x:row>
    <x:row r="89" ht="28">
      <x:c r="A89" s="65" t="s">
        <x:v>1338</x:v>
      </x:c>
      <x:c r="B89" s="65" t="s">
        <x:v>1339</x:v>
      </x:c>
      <x:c r="C89" s="65"/>
      <x:c r="D89" s="65"/>
      <x:c r="E89" s="65" t="s">
        <x:v>1340</x:v>
      </x:c>
      <x:c r="F89" s="65" t="s">
        <x:v>1129</x:v>
      </x:c>
      <x:c r="G89" s="65" t="s">
        <x:v>1012</x:v>
      </x:c>
      <x:c r="H89" s="65" t="s">
        <x:v>894</x:v>
      </x:c>
      <x:c r="I89" s="65" t="s">
        <x:v>1341</x:v>
      </x:c>
      <x:c r="J89" s="65" t="s">
        <x:v>879</x:v>
      </x:c>
      <x:c r="K89" s="65" t="s">
        <x:v>1000</x:v>
      </x:c>
      <x:c r="L89" s="65" t="s">
        <x:v>916</x:v>
      </x:c>
      <x:c r="M89" s="65" t="s">
        <x:v>913</x:v>
      </x:c>
      <x:c r="N89" s="65" t="s">
        <x:v>916</x:v>
      </x:c>
      <x:c r="O89" s="65" t="s">
        <x:v>1000</x:v>
      </x:c>
      <x:c r="P89" s="65" t="s">
        <x:v>916</x:v>
      </x:c>
      <x:c r="Q89" s="85" t="s">
        <x:v>916</x:v>
      </x:c>
      <x:c r="R89" s="85" t="s">
        <x:v>916</x:v>
      </x:c>
      <x:c r="S89" s="85" t="s">
        <x:v>916</x:v>
      </x:c>
      <x:c r="T89" s="85" t="s">
        <x:v>916</x:v>
      </x:c>
      <x:c r="U89" s="85" t="s">
        <x:v>916</x:v>
      </x:c>
      <x:c r="V89" s="85" t="s">
        <x:v>916</x:v>
      </x:c>
      <x:c r="W89" s="66"/>
      <x:c r="X89" s="83" t="str">
        <x:f t="shared" si="11"/>
        <x:v>Belum Dinilai</x:v>
      </x:c>
      <x:c r="Y89" s="83" t="str">
        <x:f t="shared" si="12"/>
        <x:v>Belum Dinilai</x:v>
      </x:c>
      <x:c r="Z89" s="84" t="str">
        <x:f t="shared" si="13"/>
      </x:c>
      <x:c r="AA89" s="84" t="str">
        <x:f t="shared" si="14"/>
      </x:c>
      <x:c r="AB89" s="84" t="str">
        <x:f t="shared" si="15"/>
      </x:c>
      <x:c r="AC89" s="67" t="s">
        <x:v>916</x:v>
      </x:c>
      <x:c r="AD89" s="67" t="s">
        <x:v>916</x:v>
      </x:c>
      <x:c r="AE89" s="67" t="s">
        <x:v>916</x:v>
      </x:c>
      <x:c r="AF89" s="67" t="s">
        <x:v>916</x:v>
      </x:c>
      <x:c r="AG89" s="67" t="s">
        <x:v>916</x:v>
      </x:c>
      <x:c r="AH89" s="67" t="s">
        <x:v>916</x:v>
      </x:c>
      <x:c r="AI89" s="67" t="s">
        <x:v>916</x:v>
      </x:c>
      <x:c r="AJ89" s="67" t="s">
        <x:v>916</x:v>
      </x:c>
      <x:c r="AK89" s="67" t="s">
        <x:v>916</x:v>
      </x:c>
      <x:c r="AL89" s="67"/>
      <x:c r="AM89" s="67" t="s">
        <x:v>916</x:v>
      </x:c>
      <x:c r="AN89" s="83" t="str">
        <x:f t="shared" si="16"/>
        <x:v>Belum Dinilai</x:v>
      </x:c>
      <x:c r="AO89" s="83" t="str">
        <x:f t="shared" si="17"/>
        <x:v>Belum Dinilai</x:v>
      </x:c>
      <x:c r="AP89" s="67"/>
      <x:c r="AQ89" s="70" t="str">
        <x:f t="shared" si="18"/>
      </x:c>
      <x:c r="AR89" s="70" t="str">
        <x:f t="shared" si="19"/>
      </x:c>
      <x:c r="AS89" s="70" t="str">
        <x:f t="shared" si="20"/>
      </x:c>
      <x:c r="AT89" s="68" t="str">
        <x:f t="shared" si="21"/>
        <x:v>Belum Dapat Ditentukan</x:v>
      </x:c>
      <x:c r="AU89" s="65" t="s">
        <x:v>887</x:v>
      </x:c>
      <x:c r="AV89" s="65" t="s">
        <x:v>904</x:v>
      </x:c>
      <x:c r="AW89" s="65" t="s">
        <x:v>889</x:v>
      </x:c>
      <x:c r="AX89" s="65" t="s">
        <x:v>970</x:v>
      </x:c>
      <x:c r="AY89" s="65"/>
      <x:c r="AZ89" s="65" t="s">
        <x:v>888</x:v>
      </x:c>
      <x:c r="BA89" s="65"/>
      <x:c r="BB89" s="177"/>
      <x:c r="BC89" s="71">
        <x:v>2026</x:v>
      </x:c>
      <x:c r="BD89" s="65"/>
      <x:c r="BE89" s="177"/>
      <x:c r="BF89" s="65" t="str">
        <x:v>Dinas Perkim Kota Pangkal Pinang</x:v>
      </x:c>
    </x:row>
    <x:row r="90" ht="42">
      <x:c r="A90" s="65" t="s">
        <x:v>1342</x:v>
      </x:c>
      <x:c r="B90" s="65" t="s">
        <x:v>1343</x:v>
      </x:c>
      <x:c r="C90" s="65"/>
      <x:c r="D90" s="65"/>
      <x:c r="E90" s="65" t="s">
        <x:v>1344</x:v>
      </x:c>
      <x:c r="F90" s="65" t="s">
        <x:v>1345</x:v>
      </x:c>
      <x:c r="G90" s="65" t="s">
        <x:v>977</x:v>
      </x:c>
      <x:c r="H90" s="65" t="s">
        <x:v>963</x:v>
      </x:c>
      <x:c r="I90" s="65" t="s">
        <x:v>1346</x:v>
      </x:c>
      <x:c r="J90" s="65" t="s">
        <x:v>964</x:v>
      </x:c>
      <x:c r="K90" s="65" t="s">
        <x:v>1000</x:v>
      </x:c>
      <x:c r="L90" s="65" t="s">
        <x:v>916</x:v>
      </x:c>
      <x:c r="M90" s="65" t="s">
        <x:v>1000</x:v>
      </x:c>
      <x:c r="N90" s="65" t="s">
        <x:v>916</x:v>
      </x:c>
      <x:c r="O90" s="65" t="s">
        <x:v>1000</x:v>
      </x:c>
      <x:c r="P90" s="65" t="s">
        <x:v>916</x:v>
      </x:c>
      <x:c r="Q90" s="85" t="s">
        <x:v>916</x:v>
      </x:c>
      <x:c r="R90" s="85" t="s">
        <x:v>916</x:v>
      </x:c>
      <x:c r="S90" s="85" t="s">
        <x:v>916</x:v>
      </x:c>
      <x:c r="T90" s="85" t="s">
        <x:v>916</x:v>
      </x:c>
      <x:c r="U90" s="85" t="s">
        <x:v>916</x:v>
      </x:c>
      <x:c r="V90" s="85" t="s">
        <x:v>916</x:v>
      </x:c>
      <x:c r="W90" s="66"/>
      <x:c r="X90" s="83" t="str">
        <x:f t="shared" si="11"/>
        <x:v>Belum Dinilai</x:v>
      </x:c>
      <x:c r="Y90" s="83" t="str">
        <x:f t="shared" si="12"/>
        <x:v>Belum Dinilai</x:v>
      </x:c>
      <x:c r="Z90" s="84" t="str">
        <x:f t="shared" si="13"/>
      </x:c>
      <x:c r="AA90" s="84" t="str">
        <x:f t="shared" si="14"/>
      </x:c>
      <x:c r="AB90" s="84" t="str">
        <x:f t="shared" si="15"/>
      </x:c>
      <x:c r="AC90" s="67" t="s">
        <x:v>916</x:v>
      </x:c>
      <x:c r="AD90" s="67" t="s">
        <x:v>916</x:v>
      </x:c>
      <x:c r="AE90" s="67" t="s">
        <x:v>916</x:v>
      </x:c>
      <x:c r="AF90" s="67" t="s">
        <x:v>916</x:v>
      </x:c>
      <x:c r="AG90" s="67" t="s">
        <x:v>916</x:v>
      </x:c>
      <x:c r="AH90" s="67" t="s">
        <x:v>916</x:v>
      </x:c>
      <x:c r="AI90" s="67" t="s">
        <x:v>916</x:v>
      </x:c>
      <x:c r="AJ90" s="67" t="s">
        <x:v>916</x:v>
      </x:c>
      <x:c r="AK90" s="67" t="s">
        <x:v>916</x:v>
      </x:c>
      <x:c r="AL90" s="67"/>
      <x:c r="AM90" s="67" t="s">
        <x:v>916</x:v>
      </x:c>
      <x:c r="AN90" s="83" t="str">
        <x:f t="shared" si="16"/>
        <x:v>Belum Dinilai</x:v>
      </x:c>
      <x:c r="AO90" s="83" t="str">
        <x:f t="shared" si="17"/>
        <x:v>Belum Dinilai</x:v>
      </x:c>
      <x:c r="AP90" s="67"/>
      <x:c r="AQ90" s="70" t="str">
        <x:f t="shared" si="18"/>
      </x:c>
      <x:c r="AR90" s="70" t="str">
        <x:f t="shared" si="19"/>
      </x:c>
      <x:c r="AS90" s="70" t="str">
        <x:f t="shared" si="20"/>
      </x:c>
      <x:c r="AT90" s="68" t="str">
        <x:f t="shared" si="21"/>
        <x:v>Belum Dapat Ditentukan</x:v>
      </x:c>
      <x:c r="AU90" s="65" t="s">
        <x:v>887</x:v>
      </x:c>
      <x:c r="AV90" s="65" t="s">
        <x:v>904</x:v>
      </x:c>
      <x:c r="AW90" s="65" t="s">
        <x:v>889</x:v>
      </x:c>
      <x:c r="AX90" s="65" t="s">
        <x:v>890</x:v>
      </x:c>
      <x:c r="AY90" s="65"/>
      <x:c r="AZ90" s="65" t="s">
        <x:v>919</x:v>
      </x:c>
      <x:c r="BA90" s="65"/>
      <x:c r="BB90" s="177"/>
      <x:c r="BC90" s="71">
        <x:v>2026</x:v>
      </x:c>
      <x:c r="BD90" s="65"/>
      <x:c r="BE90" s="177"/>
      <x:c r="BF90" s="65" t="str">
        <x:v>Dinas Perkim Kota Pangkal Pinang</x:v>
      </x:c>
    </x:row>
    <x:row r="91" ht="42">
      <x:c r="A91" s="65" t="s">
        <x:v>1347</x:v>
      </x:c>
      <x:c r="B91" s="65" t="s">
        <x:v>1348</x:v>
      </x:c>
      <x:c r="C91" s="65"/>
      <x:c r="D91" s="65"/>
      <x:c r="E91" s="65" t="s">
        <x:v>1344</x:v>
      </x:c>
      <x:c r="F91" s="65" t="s">
        <x:v>1345</x:v>
      </x:c>
      <x:c r="G91" s="65" t="s">
        <x:v>977</x:v>
      </x:c>
      <x:c r="H91" s="65" t="s">
        <x:v>963</x:v>
      </x:c>
      <x:c r="I91" s="65" t="s">
        <x:v>1349</x:v>
      </x:c>
      <x:c r="J91" s="65" t="s">
        <x:v>964</x:v>
      </x:c>
      <x:c r="K91" s="65" t="s">
        <x:v>1000</x:v>
      </x:c>
      <x:c r="L91" s="65" t="s">
        <x:v>916</x:v>
      </x:c>
      <x:c r="M91" s="65" t="s">
        <x:v>1000</x:v>
      </x:c>
      <x:c r="N91" s="65" t="s">
        <x:v>916</x:v>
      </x:c>
      <x:c r="O91" s="65" t="s">
        <x:v>1000</x:v>
      </x:c>
      <x:c r="P91" s="65" t="s">
        <x:v>916</x:v>
      </x:c>
      <x:c r="Q91" s="85" t="s">
        <x:v>916</x:v>
      </x:c>
      <x:c r="R91" s="85" t="s">
        <x:v>916</x:v>
      </x:c>
      <x:c r="S91" s="85" t="s">
        <x:v>916</x:v>
      </x:c>
      <x:c r="T91" s="85" t="s">
        <x:v>916</x:v>
      </x:c>
      <x:c r="U91" s="85" t="s">
        <x:v>916</x:v>
      </x:c>
      <x:c r="V91" s="85" t="s">
        <x:v>916</x:v>
      </x:c>
      <x:c r="W91" s="66"/>
      <x:c r="X91" s="83" t="str">
        <x:f t="shared" si="11"/>
        <x:v>Belum Dinilai</x:v>
      </x:c>
      <x:c r="Y91" s="83" t="str">
        <x:f t="shared" si="12"/>
        <x:v>Belum Dinilai</x:v>
      </x:c>
      <x:c r="Z91" s="84" t="str">
        <x:f t="shared" si="13"/>
      </x:c>
      <x:c r="AA91" s="84" t="str">
        <x:f t="shared" si="14"/>
      </x:c>
      <x:c r="AB91" s="84" t="str">
        <x:f t="shared" si="15"/>
      </x:c>
      <x:c r="AC91" s="67" t="s">
        <x:v>916</x:v>
      </x:c>
      <x:c r="AD91" s="67" t="s">
        <x:v>916</x:v>
      </x:c>
      <x:c r="AE91" s="67" t="s">
        <x:v>916</x:v>
      </x:c>
      <x:c r="AF91" s="67" t="s">
        <x:v>916</x:v>
      </x:c>
      <x:c r="AG91" s="67" t="s">
        <x:v>916</x:v>
      </x:c>
      <x:c r="AH91" s="67" t="s">
        <x:v>916</x:v>
      </x:c>
      <x:c r="AI91" s="67" t="s">
        <x:v>916</x:v>
      </x:c>
      <x:c r="AJ91" s="67" t="s">
        <x:v>916</x:v>
      </x:c>
      <x:c r="AK91" s="67" t="s">
        <x:v>916</x:v>
      </x:c>
      <x:c r="AL91" s="67"/>
      <x:c r="AM91" s="67" t="s">
        <x:v>916</x:v>
      </x:c>
      <x:c r="AN91" s="83" t="str">
        <x:f t="shared" si="16"/>
        <x:v>Belum Dinilai</x:v>
      </x:c>
      <x:c r="AO91" s="83" t="str">
        <x:f t="shared" si="17"/>
        <x:v>Belum Dinilai</x:v>
      </x:c>
      <x:c r="AP91" s="67"/>
      <x:c r="AQ91" s="70" t="str">
        <x:f t="shared" si="18"/>
      </x:c>
      <x:c r="AR91" s="70" t="str">
        <x:f t="shared" si="19"/>
      </x:c>
      <x:c r="AS91" s="70" t="str">
        <x:f t="shared" si="20"/>
      </x:c>
      <x:c r="AT91" s="68" t="str">
        <x:f t="shared" si="21"/>
        <x:v>Belum Dapat Ditentukan</x:v>
      </x:c>
      <x:c r="AU91" s="65" t="s">
        <x:v>887</x:v>
      </x:c>
      <x:c r="AV91" s="65" t="s">
        <x:v>904</x:v>
      </x:c>
      <x:c r="AW91" s="65" t="s">
        <x:v>889</x:v>
      </x:c>
      <x:c r="AX91" s="65" t="s">
        <x:v>890</x:v>
      </x:c>
      <x:c r="AY91" s="65"/>
      <x:c r="AZ91" s="65" t="s">
        <x:v>888</x:v>
      </x:c>
      <x:c r="BA91" s="65"/>
      <x:c r="BB91" s="177"/>
      <x:c r="BC91" s="71">
        <x:v>2026</x:v>
      </x:c>
      <x:c r="BD91" s="65"/>
      <x:c r="BE91" s="177"/>
      <x:c r="BF91" s="65" t="str">
        <x:v>Dinas Perkim Kota Pangkal Pinang</x:v>
      </x:c>
    </x:row>
    <x:row r="92" ht="28">
      <x:c r="A92" s="65" t="s">
        <x:v>1350</x:v>
      </x:c>
      <x:c r="B92" s="65" t="s">
        <x:v>1351</x:v>
      </x:c>
      <x:c r="C92" s="65"/>
      <x:c r="D92" s="65"/>
      <x:c r="E92" s="65" t="s">
        <x:v>1002</x:v>
      </x:c>
      <x:c r="F92" s="65" t="s">
        <x:v>1021</x:v>
      </x:c>
      <x:c r="G92" s="65" t="s">
        <x:v>990</x:v>
      </x:c>
      <x:c r="H92" s="65" t="s">
        <x:v>963</x:v>
      </x:c>
      <x:c r="I92" s="65" t="s">
        <x:v>1352</x:v>
      </x:c>
      <x:c r="J92" s="65" t="s">
        <x:v>964</x:v>
      </x:c>
      <x:c r="K92" s="65" t="s">
        <x:v>1000</x:v>
      </x:c>
      <x:c r="L92" s="65" t="s">
        <x:v>916</x:v>
      </x:c>
      <x:c r="M92" s="65" t="s">
        <x:v>1000</x:v>
      </x:c>
      <x:c r="N92" s="65" t="s">
        <x:v>916</x:v>
      </x:c>
      <x:c r="O92" s="65" t="s">
        <x:v>1000</x:v>
      </x:c>
      <x:c r="P92" s="65" t="s">
        <x:v>916</x:v>
      </x:c>
      <x:c r="Q92" s="85" t="s">
        <x:v>916</x:v>
      </x:c>
      <x:c r="R92" s="85" t="s">
        <x:v>916</x:v>
      </x:c>
      <x:c r="S92" s="85" t="s">
        <x:v>916</x:v>
      </x:c>
      <x:c r="T92" s="85" t="s">
        <x:v>916</x:v>
      </x:c>
      <x:c r="U92" s="85" t="s">
        <x:v>916</x:v>
      </x:c>
      <x:c r="V92" s="85" t="s">
        <x:v>916</x:v>
      </x:c>
      <x:c r="W92" s="66"/>
      <x:c r="X92" s="83" t="str">
        <x:f t="shared" si="11"/>
        <x:v>Belum Dinilai</x:v>
      </x:c>
      <x:c r="Y92" s="83" t="str">
        <x:f t="shared" si="12"/>
        <x:v>Belum Dinilai</x:v>
      </x:c>
      <x:c r="Z92" s="84" t="str">
        <x:f t="shared" si="13"/>
      </x:c>
      <x:c r="AA92" s="84" t="str">
        <x:f t="shared" si="14"/>
      </x:c>
      <x:c r="AB92" s="84" t="str">
        <x:f t="shared" si="15"/>
      </x:c>
      <x:c r="AC92" s="67" t="s">
        <x:v>916</x:v>
      </x:c>
      <x:c r="AD92" s="67" t="s">
        <x:v>916</x:v>
      </x:c>
      <x:c r="AE92" s="67" t="s">
        <x:v>916</x:v>
      </x:c>
      <x:c r="AF92" s="67" t="s">
        <x:v>916</x:v>
      </x:c>
      <x:c r="AG92" s="67" t="s">
        <x:v>916</x:v>
      </x:c>
      <x:c r="AH92" s="67" t="s">
        <x:v>916</x:v>
      </x:c>
      <x:c r="AI92" s="67" t="s">
        <x:v>916</x:v>
      </x:c>
      <x:c r="AJ92" s="67" t="s">
        <x:v>916</x:v>
      </x:c>
      <x:c r="AK92" s="67" t="s">
        <x:v>916</x:v>
      </x:c>
      <x:c r="AL92" s="67"/>
      <x:c r="AM92" s="67" t="s">
        <x:v>916</x:v>
      </x:c>
      <x:c r="AN92" s="83" t="str">
        <x:f t="shared" si="16"/>
        <x:v>Belum Dinilai</x:v>
      </x:c>
      <x:c r="AO92" s="83" t="str">
        <x:f t="shared" si="17"/>
        <x:v>Belum Dinilai</x:v>
      </x:c>
      <x:c r="AP92" s="67"/>
      <x:c r="AQ92" s="70" t="str">
        <x:f t="shared" si="18"/>
      </x:c>
      <x:c r="AR92" s="70" t="str">
        <x:f t="shared" si="19"/>
      </x:c>
      <x:c r="AS92" s="70" t="str">
        <x:f t="shared" si="20"/>
      </x:c>
      <x:c r="AT92" s="68" t="str">
        <x:f t="shared" si="21"/>
        <x:v>Belum Dapat Ditentukan</x:v>
      </x:c>
      <x:c r="AU92" s="65" t="s">
        <x:v>887</x:v>
      </x:c>
      <x:c r="AV92" s="65" t="s">
        <x:v>904</x:v>
      </x:c>
      <x:c r="AW92" s="65" t="s">
        <x:v>889</x:v>
      </x:c>
      <x:c r="AX92" s="65" t="s">
        <x:v>890</x:v>
      </x:c>
      <x:c r="AY92" s="65"/>
      <x:c r="AZ92" s="65" t="s">
        <x:v>888</x:v>
      </x:c>
      <x:c r="BA92" s="65"/>
      <x:c r="BB92" s="177"/>
      <x:c r="BC92" s="71">
        <x:v>2026</x:v>
      </x:c>
      <x:c r="BD92" s="65"/>
      <x:c r="BE92" s="177"/>
      <x:c r="BF92" s="65" t="str">
        <x:v>Dinas Perkim Kota Pangkal Pinang</x:v>
      </x:c>
    </x:row>
    <x:row r="93" ht="28">
      <x:c r="A93" s="65" t="s">
        <x:v>1353</x:v>
      </x:c>
      <x:c r="B93" s="65" t="s">
        <x:v>1354</x:v>
      </x:c>
      <x:c r="C93" s="65"/>
      <x:c r="D93" s="65"/>
      <x:c r="E93" s="65" t="s">
        <x:v>1355</x:v>
      </x:c>
      <x:c r="F93" s="65" t="s">
        <x:v>1173</x:v>
      </x:c>
      <x:c r="G93" s="65" t="s">
        <x:v>1012</x:v>
      </x:c>
      <x:c r="H93" s="65" t="s">
        <x:v>963</x:v>
      </x:c>
      <x:c r="I93" s="65" t="s">
        <x:v>1356</x:v>
      </x:c>
      <x:c r="J93" s="65" t="s">
        <x:v>964</x:v>
      </x:c>
      <x:c r="K93" s="65" t="s">
        <x:v>1000</x:v>
      </x:c>
      <x:c r="L93" s="65" t="s">
        <x:v>916</x:v>
      </x:c>
      <x:c r="M93" s="65" t="s">
        <x:v>1000</x:v>
      </x:c>
      <x:c r="N93" s="65" t="s">
        <x:v>916</x:v>
      </x:c>
      <x:c r="O93" s="65" t="s">
        <x:v>1000</x:v>
      </x:c>
      <x:c r="P93" s="65" t="s">
        <x:v>916</x:v>
      </x:c>
      <x:c r="Q93" s="85" t="s">
        <x:v>916</x:v>
      </x:c>
      <x:c r="R93" s="85" t="s">
        <x:v>916</x:v>
      </x:c>
      <x:c r="S93" s="85" t="s">
        <x:v>916</x:v>
      </x:c>
      <x:c r="T93" s="85" t="s">
        <x:v>916</x:v>
      </x:c>
      <x:c r="U93" s="85" t="s">
        <x:v>916</x:v>
      </x:c>
      <x:c r="V93" s="85" t="s">
        <x:v>916</x:v>
      </x:c>
      <x:c r="W93" s="66"/>
      <x:c r="X93" s="83" t="str">
        <x:f t="shared" si="11"/>
        <x:v>Belum Dinilai</x:v>
      </x:c>
      <x:c r="Y93" s="83" t="str">
        <x:f t="shared" si="12"/>
        <x:v>Belum Dinilai</x:v>
      </x:c>
      <x:c r="Z93" s="84" t="str">
        <x:f t="shared" si="13"/>
      </x:c>
      <x:c r="AA93" s="84" t="str">
        <x:f t="shared" si="14"/>
      </x:c>
      <x:c r="AB93" s="84" t="str">
        <x:f t="shared" si="15"/>
      </x:c>
      <x:c r="AC93" s="67" t="s">
        <x:v>916</x:v>
      </x:c>
      <x:c r="AD93" s="67" t="s">
        <x:v>916</x:v>
      </x:c>
      <x:c r="AE93" s="67" t="s">
        <x:v>916</x:v>
      </x:c>
      <x:c r="AF93" s="67" t="s">
        <x:v>916</x:v>
      </x:c>
      <x:c r="AG93" s="67" t="s">
        <x:v>916</x:v>
      </x:c>
      <x:c r="AH93" s="67" t="s">
        <x:v>916</x:v>
      </x:c>
      <x:c r="AI93" s="67" t="s">
        <x:v>916</x:v>
      </x:c>
      <x:c r="AJ93" s="67" t="s">
        <x:v>916</x:v>
      </x:c>
      <x:c r="AK93" s="67" t="s">
        <x:v>916</x:v>
      </x:c>
      <x:c r="AL93" s="67"/>
      <x:c r="AM93" s="67" t="s">
        <x:v>916</x:v>
      </x:c>
      <x:c r="AN93" s="83" t="str">
        <x:f t="shared" si="16"/>
        <x:v>Belum Dinilai</x:v>
      </x:c>
      <x:c r="AO93" s="83" t="str">
        <x:f t="shared" si="17"/>
        <x:v>Belum Dinilai</x:v>
      </x:c>
      <x:c r="AP93" s="67"/>
      <x:c r="AQ93" s="70" t="str">
        <x:f t="shared" si="18"/>
      </x:c>
      <x:c r="AR93" s="70" t="str">
        <x:f t="shared" si="19"/>
      </x:c>
      <x:c r="AS93" s="70" t="str">
        <x:f t="shared" si="20"/>
      </x:c>
      <x:c r="AT93" s="68" t="str">
        <x:f t="shared" si="21"/>
        <x:v>Belum Dapat Ditentukan</x:v>
      </x:c>
      <x:c r="AU93" s="65" t="s">
        <x:v>887</x:v>
      </x:c>
      <x:c r="AV93" s="65" t="s">
        <x:v>904</x:v>
      </x:c>
      <x:c r="AW93" s="65" t="s">
        <x:v>889</x:v>
      </x:c>
      <x:c r="AX93" s="65" t="s">
        <x:v>890</x:v>
      </x:c>
      <x:c r="AY93" s="65"/>
      <x:c r="AZ93" s="65" t="s">
        <x:v>919</x:v>
      </x:c>
      <x:c r="BA93" s="65"/>
      <x:c r="BB93" s="177"/>
      <x:c r="BC93" s="71">
        <x:v>2026</x:v>
      </x:c>
      <x:c r="BD93" s="65"/>
      <x:c r="BE93" s="177"/>
      <x:c r="BF93" s="65" t="str">
        <x:v>Dinas Perkim Kota Pangkal Pinang</x:v>
      </x:c>
    </x:row>
    <x:row r="94" ht="42">
      <x:c r="A94" s="65" t="s">
        <x:v>1357</x:v>
      </x:c>
      <x:c r="B94" s="65" t="s">
        <x:v>1358</x:v>
      </x:c>
      <x:c r="C94" s="65"/>
      <x:c r="D94" s="65"/>
      <x:c r="E94" s="65" t="s">
        <x:v>1002</x:v>
      </x:c>
      <x:c r="F94" s="65" t="s">
        <x:v>1173</x:v>
      </x:c>
      <x:c r="G94" s="65" t="s">
        <x:v>1012</x:v>
      </x:c>
      <x:c r="H94" s="65" t="s">
        <x:v>963</x:v>
      </x:c>
      <x:c r="I94" s="65" t="s">
        <x:v>1359</x:v>
      </x:c>
      <x:c r="J94" s="65" t="s">
        <x:v>910</x:v>
      </x:c>
      <x:c r="K94" s="65" t="s">
        <x:v>1000</x:v>
      </x:c>
      <x:c r="L94" s="65" t="s">
        <x:v>966</x:v>
      </x:c>
      <x:c r="M94" s="65" t="s">
        <x:v>968</x:v>
      </x:c>
      <x:c r="N94" s="65" t="s">
        <x:v>966</x:v>
      </x:c>
      <x:c r="O94" s="65" t="s">
        <x:v>914</x:v>
      </x:c>
      <x:c r="P94" s="65" t="s">
        <x:v>966</x:v>
      </x:c>
      <x:c r="Q94" s="85" t="s">
        <x:v>916</x:v>
      </x:c>
      <x:c r="R94" s="85" t="s">
        <x:v>916</x:v>
      </x:c>
      <x:c r="S94" s="85" t="s">
        <x:v>916</x:v>
      </x:c>
      <x:c r="T94" s="85" t="s">
        <x:v>916</x:v>
      </x:c>
      <x:c r="U94" s="85" t="s">
        <x:v>916</x:v>
      </x:c>
      <x:c r="V94" s="85" t="s">
        <x:v>916</x:v>
      </x:c>
      <x:c r="W94" s="66"/>
      <x:c r="X94" s="83" t="str">
        <x:f t="shared" si="11"/>
        <x:v>Belum Dinilai</x:v>
      </x:c>
      <x:c r="Y94" s="83" t="str">
        <x:f t="shared" si="12"/>
        <x:v>Belum Dinilai</x:v>
      </x:c>
      <x:c r="Z94" s="84" t="str">
        <x:f t="shared" si="13"/>
      </x:c>
      <x:c r="AA94" s="84" t="str">
        <x:f t="shared" si="14"/>
      </x:c>
      <x:c r="AB94" s="84" t="str">
        <x:f t="shared" si="15"/>
      </x:c>
      <x:c r="AC94" s="67" t="s">
        <x:v>916</x:v>
      </x:c>
      <x:c r="AD94" s="67" t="s">
        <x:v>916</x:v>
      </x:c>
      <x:c r="AE94" s="67" t="s">
        <x:v>916</x:v>
      </x:c>
      <x:c r="AF94" s="67" t="s">
        <x:v>916</x:v>
      </x:c>
      <x:c r="AG94" s="67" t="s">
        <x:v>916</x:v>
      </x:c>
      <x:c r="AH94" s="67" t="s">
        <x:v>916</x:v>
      </x:c>
      <x:c r="AI94" s="67" t="s">
        <x:v>916</x:v>
      </x:c>
      <x:c r="AJ94" s="67" t="s">
        <x:v>916</x:v>
      </x:c>
      <x:c r="AK94" s="67" t="s">
        <x:v>916</x:v>
      </x:c>
      <x:c r="AL94" s="67"/>
      <x:c r="AM94" s="67" t="s">
        <x:v>916</x:v>
      </x:c>
      <x:c r="AN94" s="83" t="str">
        <x:f t="shared" si="16"/>
        <x:v>Belum Dinilai</x:v>
      </x:c>
      <x:c r="AO94" s="83" t="str">
        <x:f t="shared" si="17"/>
        <x:v>Belum Dinilai</x:v>
      </x:c>
      <x:c r="AP94" s="67"/>
      <x:c r="AQ94" s="70">
        <x:f t="shared" si="18"/>
        <x:v>57</x:v>
      </x:c>
      <x:c r="AR94" s="70" t="str">
        <x:f t="shared" si="19"/>
      </x:c>
      <x:c r="AS94" s="70" t="str">
        <x:f t="shared" si="20"/>
      </x:c>
      <x:c r="AT94" s="68" t="str">
        <x:f t="shared" si="21"/>
        <x:v>Belum Dapat Ditentukan</x:v>
      </x:c>
      <x:c r="AU94" s="65" t="s">
        <x:v>887</x:v>
      </x:c>
      <x:c r="AV94" s="65" t="s">
        <x:v>904</x:v>
      </x:c>
      <x:c r="AW94" s="65" t="s">
        <x:v>889</x:v>
      </x:c>
      <x:c r="AX94" s="65" t="s">
        <x:v>890</x:v>
      </x:c>
      <x:c r="AY94" s="65"/>
      <x:c r="AZ94" s="65" t="s">
        <x:v>907</x:v>
      </x:c>
      <x:c r="BA94" s="65"/>
      <x:c r="BB94" s="177"/>
      <x:c r="BC94" s="71">
        <x:v>2026</x:v>
      </x:c>
      <x:c r="BD94" s="65"/>
      <x:c r="BE94" s="177"/>
      <x:c r="BF94" s="65" t="str">
        <x:v>Dinas Perkim Kota Pangkal Pinang</x:v>
      </x:c>
    </x:row>
    <x:row r="95" ht="28">
      <x:c r="A95" s="65" t="s">
        <x:v>1360</x:v>
      </x:c>
      <x:c r="B95" s="65" t="s">
        <x:v>1361</x:v>
      </x:c>
      <x:c r="C95" s="65"/>
      <x:c r="D95" s="65"/>
      <x:c r="E95" s="65" t="s">
        <x:v>1362</x:v>
      </x:c>
      <x:c r="F95" s="65" t="s">
        <x:v>1173</x:v>
      </x:c>
      <x:c r="G95" s="65" t="s">
        <x:v>1012</x:v>
      </x:c>
      <x:c r="H95" s="65" t="s">
        <x:v>878</x:v>
      </x:c>
      <x:c r="I95" s="65" t="s">
        <x:v>1363</x:v>
      </x:c>
      <x:c r="J95" s="65" t="s">
        <x:v>910</x:v>
      </x:c>
      <x:c r="K95" s="65" t="s">
        <x:v>1000</x:v>
      </x:c>
      <x:c r="L95" s="65" t="s">
        <x:v>916</x:v>
      </x:c>
      <x:c r="M95" s="65" t="s">
        <x:v>968</x:v>
      </x:c>
      <x:c r="N95" s="65" t="s">
        <x:v>916</x:v>
      </x:c>
      <x:c r="O95" s="65" t="s">
        <x:v>914</x:v>
      </x:c>
      <x:c r="P95" s="65" t="s">
        <x:v>916</x:v>
      </x:c>
      <x:c r="Q95" s="85" t="s">
        <x:v>916</x:v>
      </x:c>
      <x:c r="R95" s="85" t="s">
        <x:v>916</x:v>
      </x:c>
      <x:c r="S95" s="85" t="s">
        <x:v>916</x:v>
      </x:c>
      <x:c r="T95" s="85" t="s">
        <x:v>916</x:v>
      </x:c>
      <x:c r="U95" s="85" t="s">
        <x:v>916</x:v>
      </x:c>
      <x:c r="V95" s="85" t="s">
        <x:v>916</x:v>
      </x:c>
      <x:c r="W95" s="66"/>
      <x:c r="X95" s="83" t="str">
        <x:f t="shared" si="11"/>
        <x:v>Belum Dinilai</x:v>
      </x:c>
      <x:c r="Y95" s="83" t="str">
        <x:f t="shared" si="12"/>
        <x:v>Belum Dinilai</x:v>
      </x:c>
      <x:c r="Z95" s="84" t="str">
        <x:f t="shared" si="13"/>
      </x:c>
      <x:c r="AA95" s="84" t="str">
        <x:f t="shared" si="14"/>
      </x:c>
      <x:c r="AB95" s="84" t="str">
        <x:f t="shared" si="15"/>
      </x:c>
      <x:c r="AC95" s="67" t="s">
        <x:v>916</x:v>
      </x:c>
      <x:c r="AD95" s="67" t="s">
        <x:v>916</x:v>
      </x:c>
      <x:c r="AE95" s="67" t="s">
        <x:v>916</x:v>
      </x:c>
      <x:c r="AF95" s="67" t="s">
        <x:v>916</x:v>
      </x:c>
      <x:c r="AG95" s="67" t="s">
        <x:v>916</x:v>
      </x:c>
      <x:c r="AH95" s="67" t="s">
        <x:v>916</x:v>
      </x:c>
      <x:c r="AI95" s="67" t="s">
        <x:v>916</x:v>
      </x:c>
      <x:c r="AJ95" s="67" t="s">
        <x:v>916</x:v>
      </x:c>
      <x:c r="AK95" s="67" t="s">
        <x:v>916</x:v>
      </x:c>
      <x:c r="AL95" s="67"/>
      <x:c r="AM95" s="67" t="s">
        <x:v>916</x:v>
      </x:c>
      <x:c r="AN95" s="83" t="str">
        <x:f t="shared" si="16"/>
        <x:v>Belum Dinilai</x:v>
      </x:c>
      <x:c r="AO95" s="83" t="str">
        <x:f t="shared" si="17"/>
        <x:v>Belum Dinilai</x:v>
      </x:c>
      <x:c r="AP95" s="67"/>
      <x:c r="AQ95" s="70" t="str">
        <x:f t="shared" si="18"/>
      </x:c>
      <x:c r="AR95" s="70" t="str">
        <x:f t="shared" si="19"/>
      </x:c>
      <x:c r="AS95" s="70" t="str">
        <x:f t="shared" si="20"/>
      </x:c>
      <x:c r="AT95" s="68" t="str">
        <x:f t="shared" si="21"/>
        <x:v>Belum Dapat Ditentukan</x:v>
      </x:c>
      <x:c r="AU95" s="65" t="s">
        <x:v>903</x:v>
      </x:c>
      <x:c r="AV95" s="65" t="s">
        <x:v>904</x:v>
      </x:c>
      <x:c r="AW95" s="65" t="s">
        <x:v>1001</x:v>
      </x:c>
      <x:c r="AX95" s="65" t="s">
        <x:v>918</x:v>
      </x:c>
      <x:c r="AY95" s="65">
        <x:v>2023</x:v>
      </x:c>
      <x:c r="AZ95" s="65" t="s">
        <x:v>888</x:v>
      </x:c>
      <x:c r="BA95" s="65"/>
      <x:c r="BB95" s="177"/>
      <x:c r="BC95" s="71">
        <x:v>2026</x:v>
      </x:c>
      <x:c r="BD95" s="65"/>
      <x:c r="BE95" s="177"/>
      <x:c r="BF95" s="65" t="str">
        <x:v>Dinas Perkim Kota Pangkal Pinang</x:v>
      </x:c>
    </x:row>
    <x:row r="96" ht="28">
      <x:c r="A96" s="65" t="s">
        <x:v>1364</x:v>
      </x:c>
      <x:c r="B96" s="65" t="s">
        <x:v>1365</x:v>
      </x:c>
      <x:c r="C96" s="65"/>
      <x:c r="D96" s="65"/>
      <x:c r="E96" s="65" t="s">
        <x:v>1002</x:v>
      </x:c>
      <x:c r="F96" s="65" t="s">
        <x:v>1173</x:v>
      </x:c>
      <x:c r="G96" s="65" t="s">
        <x:v>1012</x:v>
      </x:c>
      <x:c r="H96" s="65" t="s">
        <x:v>878</x:v>
      </x:c>
      <x:c r="I96" s="65" t="s">
        <x:v>1366</x:v>
      </x:c>
      <x:c r="J96" s="65" t="s">
        <x:v>910</x:v>
      </x:c>
      <x:c r="K96" s="65" t="s">
        <x:v>1000</x:v>
      </x:c>
      <x:c r="L96" s="65" t="s">
        <x:v>966</x:v>
      </x:c>
      <x:c r="M96" s="65" t="s">
        <x:v>968</x:v>
      </x:c>
      <x:c r="N96" s="65" t="s">
        <x:v>966</x:v>
      </x:c>
      <x:c r="O96" s="65" t="s">
        <x:v>914</x:v>
      </x:c>
      <x:c r="P96" s="65" t="s">
        <x:v>966</x:v>
      </x:c>
      <x:c r="Q96" s="85" t="s">
        <x:v>916</x:v>
      </x:c>
      <x:c r="R96" s="85" t="s">
        <x:v>916</x:v>
      </x:c>
      <x:c r="S96" s="85" t="s">
        <x:v>916</x:v>
      </x:c>
      <x:c r="T96" s="85" t="s">
        <x:v>916</x:v>
      </x:c>
      <x:c r="U96" s="85" t="s">
        <x:v>916</x:v>
      </x:c>
      <x:c r="V96" s="85" t="s">
        <x:v>916</x:v>
      </x:c>
      <x:c r="W96" s="66"/>
      <x:c r="X96" s="83" t="str">
        <x:f t="shared" si="11"/>
        <x:v>Belum Dinilai</x:v>
      </x:c>
      <x:c r="Y96" s="83" t="str">
        <x:f t="shared" si="12"/>
        <x:v>Belum Dinilai</x:v>
      </x:c>
      <x:c r="Z96" s="84" t="str">
        <x:f t="shared" si="13"/>
      </x:c>
      <x:c r="AA96" s="84" t="str">
        <x:f t="shared" si="14"/>
      </x:c>
      <x:c r="AB96" s="84" t="str">
        <x:f t="shared" si="15"/>
      </x:c>
      <x:c r="AC96" s="67" t="s">
        <x:v>916</x:v>
      </x:c>
      <x:c r="AD96" s="67" t="s">
        <x:v>916</x:v>
      </x:c>
      <x:c r="AE96" s="67" t="s">
        <x:v>916</x:v>
      </x:c>
      <x:c r="AF96" s="67" t="s">
        <x:v>916</x:v>
      </x:c>
      <x:c r="AG96" s="67" t="s">
        <x:v>916</x:v>
      </x:c>
      <x:c r="AH96" s="67" t="s">
        <x:v>916</x:v>
      </x:c>
      <x:c r="AI96" s="67" t="s">
        <x:v>916</x:v>
      </x:c>
      <x:c r="AJ96" s="67" t="s">
        <x:v>916</x:v>
      </x:c>
      <x:c r="AK96" s="67" t="s">
        <x:v>916</x:v>
      </x:c>
      <x:c r="AL96" s="67"/>
      <x:c r="AM96" s="67" t="s">
        <x:v>916</x:v>
      </x:c>
      <x:c r="AN96" s="83" t="str">
        <x:f t="shared" si="16"/>
        <x:v>Belum Dinilai</x:v>
      </x:c>
      <x:c r="AO96" s="83" t="str">
        <x:f t="shared" si="17"/>
        <x:v>Belum Dinilai</x:v>
      </x:c>
      <x:c r="AP96" s="67"/>
      <x:c r="AQ96" s="70">
        <x:f t="shared" si="18"/>
        <x:v>57</x:v>
      </x:c>
      <x:c r="AR96" s="70" t="str">
        <x:f t="shared" si="19"/>
      </x:c>
      <x:c r="AS96" s="70" t="str">
        <x:f t="shared" si="20"/>
      </x:c>
      <x:c r="AT96" s="68" t="str">
        <x:f t="shared" si="21"/>
        <x:v>Belum Dapat Ditentukan</x:v>
      </x:c>
      <x:c r="AU96" s="65" t="s">
        <x:v>903</x:v>
      </x:c>
      <x:c r="AV96" s="65" t="s">
        <x:v>904</x:v>
      </x:c>
      <x:c r="AW96" s="65" t="s">
        <x:v>889</x:v>
      </x:c>
      <x:c r="AX96" s="65" t="s">
        <x:v>890</x:v>
      </x:c>
      <x:c r="AY96" s="65"/>
      <x:c r="AZ96" s="65" t="s">
        <x:v>888</x:v>
      </x:c>
      <x:c r="BA96" s="65"/>
      <x:c r="BB96" s="177"/>
      <x:c r="BC96" s="71">
        <x:v>2026</x:v>
      </x:c>
      <x:c r="BD96" s="65"/>
      <x:c r="BE96" s="177"/>
      <x:c r="BF96" s="65" t="str">
        <x:v>Dinas Perkim Kota Pangkal Pinang</x:v>
      </x:c>
    </x:row>
    <x:row r="97" ht="28">
      <x:c r="A97" s="65" t="s">
        <x:v>1367</x:v>
      </x:c>
      <x:c r="B97" s="65" t="s">
        <x:v>1264</x:v>
      </x:c>
      <x:c r="C97" s="65"/>
      <x:c r="D97" s="65"/>
      <x:c r="E97" s="65" t="s">
        <x:v>1368</x:v>
      </x:c>
      <x:c r="F97" s="65" t="s">
        <x:v>1058</x:v>
      </x:c>
      <x:c r="G97" s="65" t="s">
        <x:v>990</x:v>
      </x:c>
      <x:c r="H97" s="65" t="s">
        <x:v>894</x:v>
      </x:c>
      <x:c r="I97" s="65" t="s">
        <x:v>1369</x:v>
      </x:c>
      <x:c r="J97" s="65" t="s">
        <x:v>879</x:v>
      </x:c>
      <x:c r="K97" s="65" t="s">
        <x:v>1000</x:v>
      </x:c>
      <x:c r="L97" s="65" t="s">
        <x:v>916</x:v>
      </x:c>
      <x:c r="M97" s="65" t="s">
        <x:v>913</x:v>
      </x:c>
      <x:c r="N97" s="65" t="s">
        <x:v>916</x:v>
      </x:c>
      <x:c r="O97" s="65" t="s">
        <x:v>914</x:v>
      </x:c>
      <x:c r="P97" s="65" t="s">
        <x:v>916</x:v>
      </x:c>
      <x:c r="Q97" s="85" t="s">
        <x:v>916</x:v>
      </x:c>
      <x:c r="R97" s="85" t="s">
        <x:v>916</x:v>
      </x:c>
      <x:c r="S97" s="85" t="s">
        <x:v>916</x:v>
      </x:c>
      <x:c r="T97" s="85" t="s">
        <x:v>916</x:v>
      </x:c>
      <x:c r="U97" s="85" t="s">
        <x:v>916</x:v>
      </x:c>
      <x:c r="V97" s="85" t="s">
        <x:v>916</x:v>
      </x:c>
      <x:c r="W97" s="66"/>
      <x:c r="X97" s="83" t="str">
        <x:f t="shared" si="11"/>
        <x:v>Belum Dinilai</x:v>
      </x:c>
      <x:c r="Y97" s="83" t="str">
        <x:f t="shared" si="12"/>
        <x:v>Belum Dinilai</x:v>
      </x:c>
      <x:c r="Z97" s="84" t="str">
        <x:f t="shared" si="13"/>
      </x:c>
      <x:c r="AA97" s="84" t="str">
        <x:f t="shared" si="14"/>
      </x:c>
      <x:c r="AB97" s="84" t="str">
        <x:f t="shared" si="15"/>
      </x:c>
      <x:c r="AC97" s="67" t="s">
        <x:v>916</x:v>
      </x:c>
      <x:c r="AD97" s="67" t="s">
        <x:v>916</x:v>
      </x:c>
      <x:c r="AE97" s="67" t="s">
        <x:v>916</x:v>
      </x:c>
      <x:c r="AF97" s="67" t="s">
        <x:v>916</x:v>
      </x:c>
      <x:c r="AG97" s="67" t="s">
        <x:v>916</x:v>
      </x:c>
      <x:c r="AH97" s="67" t="s">
        <x:v>916</x:v>
      </x:c>
      <x:c r="AI97" s="67" t="s">
        <x:v>916</x:v>
      </x:c>
      <x:c r="AJ97" s="67" t="s">
        <x:v>916</x:v>
      </x:c>
      <x:c r="AK97" s="67" t="s">
        <x:v>916</x:v>
      </x:c>
      <x:c r="AL97" s="67"/>
      <x:c r="AM97" s="67" t="s">
        <x:v>916</x:v>
      </x:c>
      <x:c r="AN97" s="83" t="str">
        <x:f t="shared" si="16"/>
        <x:v>Belum Dinilai</x:v>
      </x:c>
      <x:c r="AO97" s="83" t="str">
        <x:f t="shared" si="17"/>
        <x:v>Belum Dinilai</x:v>
      </x:c>
      <x:c r="AP97" s="67"/>
      <x:c r="AQ97" s="70" t="str">
        <x:f t="shared" si="18"/>
      </x:c>
      <x:c r="AR97" s="70" t="str">
        <x:f t="shared" si="19"/>
      </x:c>
      <x:c r="AS97" s="70" t="str">
        <x:f t="shared" si="20"/>
      </x:c>
      <x:c r="AT97" s="68" t="str">
        <x:f t="shared" si="21"/>
        <x:v>Belum Dapat Ditentukan</x:v>
      </x:c>
      <x:c r="AU97" s="65" t="s">
        <x:v>887</x:v>
      </x:c>
      <x:c r="AV97" s="65" t="s">
        <x:v>904</x:v>
      </x:c>
      <x:c r="AW97" s="65" t="s">
        <x:v>1001</x:v>
      </x:c>
      <x:c r="AX97" s="65" t="s">
        <x:v>906</x:v>
      </x:c>
      <x:c r="AY97" s="65">
        <x:v>2021</x:v>
      </x:c>
      <x:c r="AZ97" s="65" t="s">
        <x:v>888</x:v>
      </x:c>
      <x:c r="BA97" s="65"/>
      <x:c r="BB97" s="177"/>
      <x:c r="BC97" s="71">
        <x:v>2026</x:v>
      </x:c>
      <x:c r="BD97" s="65"/>
      <x:c r="BE97" s="177"/>
      <x:c r="BF97" s="65" t="str">
        <x:v>Dinas Perkim Kota Pangkal Pinang</x:v>
      </x:c>
    </x:row>
    <x:row r="98" ht="28">
      <x:c r="A98" s="65" t="s">
        <x:v>1370</x:v>
      </x:c>
      <x:c r="B98" s="65" t="s">
        <x:v>1371</x:v>
      </x:c>
      <x:c r="C98" s="65"/>
      <x:c r="D98" s="65"/>
      <x:c r="E98" s="65" t="s">
        <x:v>1372</x:v>
      </x:c>
      <x:c r="F98" s="65" t="s">
        <x:v>1058</x:v>
      </x:c>
      <x:c r="G98" s="65" t="s">
        <x:v>990</x:v>
      </x:c>
      <x:c r="H98" s="65" t="s">
        <x:v>963</x:v>
      </x:c>
      <x:c r="I98" s="65" t="s">
        <x:v>1373</x:v>
      </x:c>
      <x:c r="J98" s="65" t="s">
        <x:v>910</x:v>
      </x:c>
      <x:c r="K98" s="65" t="s">
        <x:v>1000</x:v>
      </x:c>
      <x:c r="L98" s="65" t="s">
        <x:v>916</x:v>
      </x:c>
      <x:c r="M98" s="65" t="s">
        <x:v>968</x:v>
      </x:c>
      <x:c r="N98" s="65" t="s">
        <x:v>916</x:v>
      </x:c>
      <x:c r="O98" s="65" t="s">
        <x:v>1000</x:v>
      </x:c>
      <x:c r="P98" s="65" t="s">
        <x:v>916</x:v>
      </x:c>
      <x:c r="Q98" s="85" t="s">
        <x:v>916</x:v>
      </x:c>
      <x:c r="R98" s="85" t="s">
        <x:v>916</x:v>
      </x:c>
      <x:c r="S98" s="85" t="s">
        <x:v>916</x:v>
      </x:c>
      <x:c r="T98" s="85" t="s">
        <x:v>916</x:v>
      </x:c>
      <x:c r="U98" s="85" t="s">
        <x:v>916</x:v>
      </x:c>
      <x:c r="V98" s="85" t="s">
        <x:v>916</x:v>
      </x:c>
      <x:c r="W98" s="66"/>
      <x:c r="X98" s="83" t="str">
        <x:f t="shared" si="11"/>
        <x:v>Belum Dinilai</x:v>
      </x:c>
      <x:c r="Y98" s="83" t="str">
        <x:f t="shared" si="12"/>
        <x:v>Belum Dinilai</x:v>
      </x:c>
      <x:c r="Z98" s="84" t="str">
        <x:f t="shared" si="13"/>
      </x:c>
      <x:c r="AA98" s="84" t="str">
        <x:f t="shared" si="14"/>
      </x:c>
      <x:c r="AB98" s="84" t="str">
        <x:f t="shared" si="15"/>
      </x:c>
      <x:c r="AC98" s="67" t="s">
        <x:v>916</x:v>
      </x:c>
      <x:c r="AD98" s="67" t="s">
        <x:v>916</x:v>
      </x:c>
      <x:c r="AE98" s="67" t="s">
        <x:v>916</x:v>
      </x:c>
      <x:c r="AF98" s="67" t="s">
        <x:v>916</x:v>
      </x:c>
      <x:c r="AG98" s="67" t="s">
        <x:v>916</x:v>
      </x:c>
      <x:c r="AH98" s="67" t="s">
        <x:v>916</x:v>
      </x:c>
      <x:c r="AI98" s="67" t="s">
        <x:v>916</x:v>
      </x:c>
      <x:c r="AJ98" s="67" t="s">
        <x:v>916</x:v>
      </x:c>
      <x:c r="AK98" s="67" t="s">
        <x:v>916</x:v>
      </x:c>
      <x:c r="AL98" s="67"/>
      <x:c r="AM98" s="67" t="s">
        <x:v>916</x:v>
      </x:c>
      <x:c r="AN98" s="83" t="str">
        <x:f t="shared" si="16"/>
        <x:v>Belum Dinilai</x:v>
      </x:c>
      <x:c r="AO98" s="83" t="str">
        <x:f t="shared" si="17"/>
        <x:v>Belum Dinilai</x:v>
      </x:c>
      <x:c r="AP98" s="67"/>
      <x:c r="AQ98" s="70" t="str">
        <x:f t="shared" si="18"/>
      </x:c>
      <x:c r="AR98" s="70" t="str">
        <x:f t="shared" si="19"/>
      </x:c>
      <x:c r="AS98" s="70" t="str">
        <x:f t="shared" si="20"/>
      </x:c>
      <x:c r="AT98" s="68" t="str">
        <x:f t="shared" si="21"/>
        <x:v>Belum Dapat Ditentukan</x:v>
      </x:c>
      <x:c r="AU98" s="65" t="s">
        <x:v>903</x:v>
      </x:c>
      <x:c r="AV98" s="65" t="s">
        <x:v>904</x:v>
      </x:c>
      <x:c r="AW98" s="65" t="s">
        <x:v>889</x:v>
      </x:c>
      <x:c r="AX98" s="65" t="s">
        <x:v>890</x:v>
      </x:c>
      <x:c r="AY98" s="65"/>
      <x:c r="AZ98" s="65" t="s">
        <x:v>888</x:v>
      </x:c>
      <x:c r="BA98" s="65"/>
      <x:c r="BB98" s="177"/>
      <x:c r="BC98" s="71">
        <x:v>2026</x:v>
      </x:c>
      <x:c r="BD98" s="65"/>
      <x:c r="BE98" s="177"/>
      <x:c r="BF98" s="65" t="str">
        <x:v>Dinas Perkim Kota Pangkal Pinang</x:v>
      </x:c>
    </x:row>
    <x:row r="99" ht="28">
      <x:c r="A99" s="65" t="s">
        <x:v>1374</x:v>
      </x:c>
      <x:c r="B99" s="65" t="s">
        <x:v>1375</x:v>
      </x:c>
      <x:c r="C99" s="65"/>
      <x:c r="D99" s="65"/>
      <x:c r="E99" s="65" t="s">
        <x:v>1368</x:v>
      </x:c>
      <x:c r="F99" s="65" t="s">
        <x:v>1058</x:v>
      </x:c>
      <x:c r="G99" s="65" t="s">
        <x:v>990</x:v>
      </x:c>
      <x:c r="H99" s="65" t="s">
        <x:v>878</x:v>
      </x:c>
      <x:c r="I99" s="65" t="s">
        <x:v>1376</x:v>
      </x:c>
      <x:c r="J99" s="65" t="s">
        <x:v>879</x:v>
      </x:c>
      <x:c r="K99" s="65" t="s">
        <x:v>1000</x:v>
      </x:c>
      <x:c r="L99" s="65" t="s">
        <x:v>916</x:v>
      </x:c>
      <x:c r="M99" s="65" t="s">
        <x:v>913</x:v>
      </x:c>
      <x:c r="N99" s="65" t="s">
        <x:v>916</x:v>
      </x:c>
      <x:c r="O99" s="65" t="s">
        <x:v>1000</x:v>
      </x:c>
      <x:c r="P99" s="65" t="s">
        <x:v>916</x:v>
      </x:c>
      <x:c r="Q99" s="85" t="s">
        <x:v>916</x:v>
      </x:c>
      <x:c r="R99" s="85" t="s">
        <x:v>916</x:v>
      </x:c>
      <x:c r="S99" s="85" t="s">
        <x:v>916</x:v>
      </x:c>
      <x:c r="T99" s="85" t="s">
        <x:v>916</x:v>
      </x:c>
      <x:c r="U99" s="85" t="s">
        <x:v>916</x:v>
      </x:c>
      <x:c r="V99" s="85" t="s">
        <x:v>916</x:v>
      </x:c>
      <x:c r="W99" s="66"/>
      <x:c r="X99" s="83" t="str">
        <x:f t="shared" si="11"/>
        <x:v>Belum Dinilai</x:v>
      </x:c>
      <x:c r="Y99" s="83" t="str">
        <x:f t="shared" si="12"/>
        <x:v>Belum Dinilai</x:v>
      </x:c>
      <x:c r="Z99" s="84" t="str">
        <x:f t="shared" si="13"/>
      </x:c>
      <x:c r="AA99" s="84" t="str">
        <x:f t="shared" si="14"/>
      </x:c>
      <x:c r="AB99" s="84" t="str">
        <x:f t="shared" si="15"/>
      </x:c>
      <x:c r="AC99" s="67" t="s">
        <x:v>916</x:v>
      </x:c>
      <x:c r="AD99" s="67" t="s">
        <x:v>916</x:v>
      </x:c>
      <x:c r="AE99" s="67" t="s">
        <x:v>916</x:v>
      </x:c>
      <x:c r="AF99" s="67" t="s">
        <x:v>916</x:v>
      </x:c>
      <x:c r="AG99" s="67" t="s">
        <x:v>916</x:v>
      </x:c>
      <x:c r="AH99" s="67" t="s">
        <x:v>916</x:v>
      </x:c>
      <x:c r="AI99" s="67" t="s">
        <x:v>916</x:v>
      </x:c>
      <x:c r="AJ99" s="67" t="s">
        <x:v>916</x:v>
      </x:c>
      <x:c r="AK99" s="67" t="s">
        <x:v>916</x:v>
      </x:c>
      <x:c r="AL99" s="67"/>
      <x:c r="AM99" s="67" t="s">
        <x:v>916</x:v>
      </x:c>
      <x:c r="AN99" s="83" t="str">
        <x:f t="shared" si="16"/>
        <x:v>Belum Dinilai</x:v>
      </x:c>
      <x:c r="AO99" s="83" t="str">
        <x:f t="shared" si="17"/>
        <x:v>Belum Dinilai</x:v>
      </x:c>
      <x:c r="AP99" s="67"/>
      <x:c r="AQ99" s="70" t="str">
        <x:f t="shared" si="18"/>
      </x:c>
      <x:c r="AR99" s="70" t="str">
        <x:f t="shared" si="19"/>
      </x:c>
      <x:c r="AS99" s="70" t="str">
        <x:f t="shared" si="20"/>
      </x:c>
      <x:c r="AT99" s="68" t="str">
        <x:f t="shared" si="21"/>
        <x:v>Belum Dapat Ditentukan</x:v>
      </x:c>
      <x:c r="AU99" s="65" t="s">
        <x:v>887</x:v>
      </x:c>
      <x:c r="AV99" s="65" t="s">
        <x:v>904</x:v>
      </x:c>
      <x:c r="AW99" s="65" t="s">
        <x:v>1001</x:v>
      </x:c>
      <x:c r="AX99" s="65" t="s">
        <x:v>906</x:v>
      </x:c>
      <x:c r="AY99" s="65">
        <x:v>2021</x:v>
      </x:c>
      <x:c r="AZ99" s="65" t="s">
        <x:v>888</x:v>
      </x:c>
      <x:c r="BA99" s="65"/>
      <x:c r="BB99" s="177"/>
      <x:c r="BC99" s="71">
        <x:v>2026</x:v>
      </x:c>
      <x:c r="BD99" s="65"/>
      <x:c r="BE99" s="177"/>
      <x:c r="BF99" s="65" t="str">
        <x:v>Dinas Perkim Kota Pangkal Pinang</x:v>
      </x:c>
    </x:row>
    <x:row r="100" ht="28">
      <x:c r="A100" s="65" t="s">
        <x:v>1377</x:v>
      </x:c>
      <x:c r="B100" s="65" t="s">
        <x:v>1378</x:v>
      </x:c>
      <x:c r="C100" s="65"/>
      <x:c r="D100" s="65"/>
      <x:c r="E100" s="65" t="s">
        <x:v>1379</x:v>
      </x:c>
      <x:c r="F100" s="65" t="s">
        <x:v>1058</x:v>
      </x:c>
      <x:c r="G100" s="65" t="s">
        <x:v>990</x:v>
      </x:c>
      <x:c r="H100" s="65" t="s">
        <x:v>894</x:v>
      </x:c>
      <x:c r="I100" s="65" t="s">
        <x:v>1373</x:v>
      </x:c>
      <x:c r="J100" s="65" t="s">
        <x:v>910</x:v>
      </x:c>
      <x:c r="K100" s="65" t="s">
        <x:v>1000</x:v>
      </x:c>
      <x:c r="L100" s="65" t="s">
        <x:v>916</x:v>
      </x:c>
      <x:c r="M100" s="65" t="s">
        <x:v>968</x:v>
      </x:c>
      <x:c r="N100" s="65" t="s">
        <x:v>916</x:v>
      </x:c>
      <x:c r="O100" s="65" t="s">
        <x:v>1000</x:v>
      </x:c>
      <x:c r="P100" s="65" t="s">
        <x:v>916</x:v>
      </x:c>
      <x:c r="Q100" s="85" t="s">
        <x:v>916</x:v>
      </x:c>
      <x:c r="R100" s="85" t="s">
        <x:v>916</x:v>
      </x:c>
      <x:c r="S100" s="85" t="s">
        <x:v>916</x:v>
      </x:c>
      <x:c r="T100" s="85" t="s">
        <x:v>916</x:v>
      </x:c>
      <x:c r="U100" s="85" t="s">
        <x:v>916</x:v>
      </x:c>
      <x:c r="V100" s="85" t="s">
        <x:v>916</x:v>
      </x:c>
      <x:c r="W100" s="66"/>
      <x:c r="X100" s="83" t="str">
        <x:f t="shared" si="11"/>
        <x:v>Belum Dinilai</x:v>
      </x:c>
      <x:c r="Y100" s="83" t="str">
        <x:f t="shared" si="12"/>
        <x:v>Belum Dinilai</x:v>
      </x:c>
      <x:c r="Z100" s="84" t="str">
        <x:f t="shared" si="13"/>
      </x:c>
      <x:c r="AA100" s="84" t="str">
        <x:f t="shared" si="14"/>
      </x:c>
      <x:c r="AB100" s="84" t="str">
        <x:f t="shared" si="15"/>
      </x:c>
      <x:c r="AC100" s="67" t="s">
        <x:v>916</x:v>
      </x:c>
      <x:c r="AD100" s="67" t="s">
        <x:v>916</x:v>
      </x:c>
      <x:c r="AE100" s="67" t="s">
        <x:v>916</x:v>
      </x:c>
      <x:c r="AF100" s="67" t="s">
        <x:v>916</x:v>
      </x:c>
      <x:c r="AG100" s="67" t="s">
        <x:v>916</x:v>
      </x:c>
      <x:c r="AH100" s="67" t="s">
        <x:v>916</x:v>
      </x:c>
      <x:c r="AI100" s="67" t="s">
        <x:v>916</x:v>
      </x:c>
      <x:c r="AJ100" s="67" t="s">
        <x:v>916</x:v>
      </x:c>
      <x:c r="AK100" s="67" t="s">
        <x:v>916</x:v>
      </x:c>
      <x:c r="AL100" s="67"/>
      <x:c r="AM100" s="67" t="s">
        <x:v>916</x:v>
      </x:c>
      <x:c r="AN100" s="83" t="str">
        <x:f t="shared" si="16"/>
        <x:v>Belum Dinilai</x:v>
      </x:c>
      <x:c r="AO100" s="83" t="str">
        <x:f t="shared" si="17"/>
        <x:v>Belum Dinilai</x:v>
      </x:c>
      <x:c r="AP100" s="67"/>
      <x:c r="AQ100" s="70" t="str">
        <x:f t="shared" si="18"/>
      </x:c>
      <x:c r="AR100" s="70" t="str">
        <x:f t="shared" si="19"/>
      </x:c>
      <x:c r="AS100" s="70" t="str">
        <x:f t="shared" si="20"/>
      </x:c>
      <x:c r="AT100" s="68" t="str">
        <x:f t="shared" si="21"/>
        <x:v>Belum Dapat Ditentukan</x:v>
      </x:c>
      <x:c r="AU100" s="65" t="s">
        <x:v>887</x:v>
      </x:c>
      <x:c r="AV100" s="65" t="s">
        <x:v>904</x:v>
      </x:c>
      <x:c r="AW100" s="65" t="s">
        <x:v>1001</x:v>
      </x:c>
      <x:c r="AX100" s="65" t="s">
        <x:v>906</x:v>
      </x:c>
      <x:c r="AY100" s="65">
        <x:v>2022</x:v>
      </x:c>
      <x:c r="AZ100" s="65" t="s">
        <x:v>888</x:v>
      </x:c>
      <x:c r="BA100" s="65"/>
      <x:c r="BB100" s="177"/>
      <x:c r="BC100" s="71">
        <x:v>2026</x:v>
      </x:c>
      <x:c r="BD100" s="65"/>
      <x:c r="BE100" s="177"/>
      <x:c r="BF100" s="65" t="str">
        <x:v>Dinas Perkim Kota Pangkal Pinang</x:v>
      </x:c>
    </x:row>
    <x:row r="101" ht="28">
      <x:c r="A101" s="65" t="s">
        <x:v>1380</x:v>
      </x:c>
      <x:c r="B101" s="65" t="s">
        <x:v>1381</x:v>
      </x:c>
      <x:c r="C101" s="65"/>
      <x:c r="D101" s="65"/>
      <x:c r="E101" s="65" t="s">
        <x:v>1382</x:v>
      </x:c>
      <x:c r="F101" s="65" t="s">
        <x:v>1091</x:v>
      </x:c>
      <x:c r="G101" s="65" t="s">
        <x:v>990</x:v>
      </x:c>
      <x:c r="H101" s="65" t="s">
        <x:v>878</x:v>
      </x:c>
      <x:c r="I101" s="65" t="s">
        <x:v>1373</x:v>
      </x:c>
      <x:c r="J101" s="65" t="s">
        <x:v>910</x:v>
      </x:c>
      <x:c r="K101" s="65" t="s">
        <x:v>1000</x:v>
      </x:c>
      <x:c r="L101" s="65" t="s">
        <x:v>916</x:v>
      </x:c>
      <x:c r="M101" s="65" t="s">
        <x:v>968</x:v>
      </x:c>
      <x:c r="N101" s="65" t="s">
        <x:v>916</x:v>
      </x:c>
      <x:c r="O101" s="65" t="s">
        <x:v>1000</x:v>
      </x:c>
      <x:c r="P101" s="65" t="s">
        <x:v>916</x:v>
      </x:c>
      <x:c r="Q101" s="85" t="s">
        <x:v>916</x:v>
      </x:c>
      <x:c r="R101" s="85" t="s">
        <x:v>916</x:v>
      </x:c>
      <x:c r="S101" s="85" t="s">
        <x:v>916</x:v>
      </x:c>
      <x:c r="T101" s="85" t="s">
        <x:v>916</x:v>
      </x:c>
      <x:c r="U101" s="85" t="s">
        <x:v>916</x:v>
      </x:c>
      <x:c r="V101" s="85" t="s">
        <x:v>916</x:v>
      </x:c>
      <x:c r="W101" s="66"/>
      <x:c r="X101" s="83" t="str">
        <x:f t="shared" si="11"/>
        <x:v>Belum Dinilai</x:v>
      </x:c>
      <x:c r="Y101" s="83" t="str">
        <x:f t="shared" si="12"/>
        <x:v>Belum Dinilai</x:v>
      </x:c>
      <x:c r="Z101" s="84" t="str">
        <x:f t="shared" si="13"/>
      </x:c>
      <x:c r="AA101" s="84" t="str">
        <x:f t="shared" si="14"/>
      </x:c>
      <x:c r="AB101" s="84" t="str">
        <x:f t="shared" si="15"/>
      </x:c>
      <x:c r="AC101" s="67" t="s">
        <x:v>916</x:v>
      </x:c>
      <x:c r="AD101" s="67" t="s">
        <x:v>916</x:v>
      </x:c>
      <x:c r="AE101" s="67" t="s">
        <x:v>916</x:v>
      </x:c>
      <x:c r="AF101" s="67" t="s">
        <x:v>916</x:v>
      </x:c>
      <x:c r="AG101" s="67" t="s">
        <x:v>916</x:v>
      </x:c>
      <x:c r="AH101" s="67" t="s">
        <x:v>916</x:v>
      </x:c>
      <x:c r="AI101" s="67" t="s">
        <x:v>916</x:v>
      </x:c>
      <x:c r="AJ101" s="67" t="s">
        <x:v>916</x:v>
      </x:c>
      <x:c r="AK101" s="67" t="s">
        <x:v>916</x:v>
      </x:c>
      <x:c r="AL101" s="67"/>
      <x:c r="AM101" s="67" t="s">
        <x:v>916</x:v>
      </x:c>
      <x:c r="AN101" s="83" t="str">
        <x:f t="shared" si="16"/>
        <x:v>Belum Dinilai</x:v>
      </x:c>
      <x:c r="AO101" s="83" t="str">
        <x:f t="shared" si="17"/>
        <x:v>Belum Dinilai</x:v>
      </x:c>
      <x:c r="AP101" s="67"/>
      <x:c r="AQ101" s="70" t="str">
        <x:f t="shared" si="18"/>
      </x:c>
      <x:c r="AR101" s="70" t="str">
        <x:f t="shared" si="19"/>
      </x:c>
      <x:c r="AS101" s="70" t="str">
        <x:f t="shared" si="20"/>
      </x:c>
      <x:c r="AT101" s="68" t="str">
        <x:f t="shared" si="21"/>
        <x:v>Belum Dapat Ditentukan</x:v>
      </x:c>
      <x:c r="AU101" s="65" t="s">
        <x:v>887</x:v>
      </x:c>
      <x:c r="AV101" s="65" t="s">
        <x:v>904</x:v>
      </x:c>
      <x:c r="AW101" s="65" t="s">
        <x:v>1001</x:v>
      </x:c>
      <x:c r="AX101" s="65" t="s">
        <x:v>906</x:v>
      </x:c>
      <x:c r="AY101" s="65">
        <x:v>2023</x:v>
      </x:c>
      <x:c r="AZ101" s="65" t="s">
        <x:v>888</x:v>
      </x:c>
      <x:c r="BA101" s="65"/>
      <x:c r="BB101" s="177"/>
      <x:c r="BC101" s="71">
        <x:v>2026</x:v>
      </x:c>
      <x:c r="BD101" s="65"/>
      <x:c r="BE101" s="177"/>
      <x:c r="BF101" s="65" t="str">
        <x:v>Dinas Perkim Kota Pangkal Pinang</x:v>
      </x:c>
    </x:row>
    <x:row r="102" ht="28">
      <x:c r="A102" s="65" t="s">
        <x:v>1383</x:v>
      </x:c>
      <x:c r="B102" s="65" t="s">
        <x:v>1384</x:v>
      </x:c>
      <x:c r="C102" s="65"/>
      <x:c r="D102" s="65"/>
      <x:c r="E102" s="65" t="s">
        <x:v>1385</x:v>
      </x:c>
      <x:c r="F102" s="65" t="s">
        <x:v>1091</x:v>
      </x:c>
      <x:c r="G102" s="65" t="s">
        <x:v>990</x:v>
      </x:c>
      <x:c r="H102" s="65" t="s">
        <x:v>894</x:v>
      </x:c>
      <x:c r="I102" s="65" t="s">
        <x:v>1386</x:v>
      </x:c>
      <x:c r="J102" s="65" t="s">
        <x:v>964</x:v>
      </x:c>
      <x:c r="K102" s="65" t="s">
        <x:v>1000</x:v>
      </x:c>
      <x:c r="L102" s="65" t="s">
        <x:v>966</x:v>
      </x:c>
      <x:c r="M102" s="65" t="s">
        <x:v>1000</x:v>
      </x:c>
      <x:c r="N102" s="65" t="s">
        <x:v>916</x:v>
      </x:c>
      <x:c r="O102" s="65" t="s">
        <x:v>1000</x:v>
      </x:c>
      <x:c r="P102" s="65" t="s">
        <x:v>916</x:v>
      </x:c>
      <x:c r="Q102" s="85" t="s">
        <x:v>916</x:v>
      </x:c>
      <x:c r="R102" s="85" t="s">
        <x:v>916</x:v>
      </x:c>
      <x:c r="S102" s="85" t="s">
        <x:v>916</x:v>
      </x:c>
      <x:c r="T102" s="85" t="s">
        <x:v>916</x:v>
      </x:c>
      <x:c r="U102" s="85" t="s">
        <x:v>916</x:v>
      </x:c>
      <x:c r="V102" s="85" t="s">
        <x:v>916</x:v>
      </x:c>
      <x:c r="W102" s="66"/>
      <x:c r="X102" s="83" t="str">
        <x:f t="shared" si="11"/>
        <x:v>Belum Dinilai</x:v>
      </x:c>
      <x:c r="Y102" s="83" t="str">
        <x:f t="shared" si="12"/>
        <x:v>Belum Dinilai</x:v>
      </x:c>
      <x:c r="Z102" s="84" t="str">
        <x:f t="shared" si="13"/>
      </x:c>
      <x:c r="AA102" s="84" t="str">
        <x:f t="shared" si="14"/>
      </x:c>
      <x:c r="AB102" s="84" t="str">
        <x:f t="shared" si="15"/>
      </x:c>
      <x:c r="AC102" s="67" t="s">
        <x:v>916</x:v>
      </x:c>
      <x:c r="AD102" s="67" t="s">
        <x:v>916</x:v>
      </x:c>
      <x:c r="AE102" s="67" t="s">
        <x:v>916</x:v>
      </x:c>
      <x:c r="AF102" s="67" t="s">
        <x:v>916</x:v>
      </x:c>
      <x:c r="AG102" s="67" t="s">
        <x:v>916</x:v>
      </x:c>
      <x:c r="AH102" s="67" t="s">
        <x:v>916</x:v>
      </x:c>
      <x:c r="AI102" s="67" t="s">
        <x:v>916</x:v>
      </x:c>
      <x:c r="AJ102" s="67" t="s">
        <x:v>916</x:v>
      </x:c>
      <x:c r="AK102" s="67" t="s">
        <x:v>916</x:v>
      </x:c>
      <x:c r="AL102" s="67"/>
      <x:c r="AM102" s="67" t="s">
        <x:v>916</x:v>
      </x:c>
      <x:c r="AN102" s="83" t="str">
        <x:f t="shared" si="16"/>
        <x:v>Belum Dinilai</x:v>
      </x:c>
      <x:c r="AO102" s="83" t="str">
        <x:f t="shared" si="17"/>
        <x:v>Belum Dinilai</x:v>
      </x:c>
      <x:c r="AP102" s="67"/>
      <x:c r="AQ102" s="70" t="str">
        <x:f t="shared" si="18"/>
      </x:c>
      <x:c r="AR102" s="70" t="str">
        <x:f t="shared" si="19"/>
      </x:c>
      <x:c r="AS102" s="70" t="str">
        <x:f t="shared" si="20"/>
      </x:c>
      <x:c r="AT102" s="68" t="str">
        <x:f t="shared" si="21"/>
        <x:v>Belum Dapat Ditentukan</x:v>
      </x:c>
      <x:c r="AU102" s="65" t="s">
        <x:v>903</x:v>
      </x:c>
      <x:c r="AV102" s="65" t="s">
        <x:v>904</x:v>
      </x:c>
      <x:c r="AW102" s="65" t="s">
        <x:v>889</x:v>
      </x:c>
      <x:c r="AX102" s="65" t="s">
        <x:v>890</x:v>
      </x:c>
      <x:c r="AY102" s="65"/>
      <x:c r="AZ102" s="65" t="s">
        <x:v>888</x:v>
      </x:c>
      <x:c r="BA102" s="65"/>
      <x:c r="BB102" s="177"/>
      <x:c r="BC102" s="71">
        <x:v>2026</x:v>
      </x:c>
      <x:c r="BD102" s="65"/>
      <x:c r="BE102" s="177"/>
      <x:c r="BF102" s="65" t="str">
        <x:v>Dinas Perkim Kota Pangkal Pinang</x:v>
      </x:c>
    </x:row>
    <x:row r="103" ht="28">
      <x:c r="A103" s="65" t="s">
        <x:v>1387</x:v>
      </x:c>
      <x:c r="B103" s="65" t="s">
        <x:v>1388</x:v>
      </x:c>
      <x:c r="C103" s="65"/>
      <x:c r="D103" s="65"/>
      <x:c r="E103" s="65" t="s">
        <x:v>1002</x:v>
      </x:c>
      <x:c r="F103" s="65" t="s">
        <x:v>1091</x:v>
      </x:c>
      <x:c r="G103" s="65" t="s">
        <x:v>990</x:v>
      </x:c>
      <x:c r="H103" s="65" t="s">
        <x:v>963</x:v>
      </x:c>
      <x:c r="I103" s="65" t="s">
        <x:v>1115</x:v>
      </x:c>
      <x:c r="J103" s="65" t="s">
        <x:v>879</x:v>
      </x:c>
      <x:c r="K103" s="65" t="s">
        <x:v>1000</x:v>
      </x:c>
      <x:c r="L103" s="65" t="s">
        <x:v>916</x:v>
      </x:c>
      <x:c r="M103" s="65" t="s">
        <x:v>967</x:v>
      </x:c>
      <x:c r="N103" s="65" t="s">
        <x:v>916</x:v>
      </x:c>
      <x:c r="O103" s="65" t="s">
        <x:v>1000</x:v>
      </x:c>
      <x:c r="P103" s="65" t="s">
        <x:v>916</x:v>
      </x:c>
      <x:c r="Q103" s="85" t="s">
        <x:v>916</x:v>
      </x:c>
      <x:c r="R103" s="85" t="s">
        <x:v>916</x:v>
      </x:c>
      <x:c r="S103" s="85" t="s">
        <x:v>916</x:v>
      </x:c>
      <x:c r="T103" s="85" t="s">
        <x:v>916</x:v>
      </x:c>
      <x:c r="U103" s="85" t="s">
        <x:v>916</x:v>
      </x:c>
      <x:c r="V103" s="85" t="s">
        <x:v>916</x:v>
      </x:c>
      <x:c r="W103" s="66"/>
      <x:c r="X103" s="83" t="str">
        <x:f t="shared" si="11"/>
        <x:v>Belum Dinilai</x:v>
      </x:c>
      <x:c r="Y103" s="83" t="str">
        <x:f t="shared" si="12"/>
        <x:v>Belum Dinilai</x:v>
      </x:c>
      <x:c r="Z103" s="84" t="str">
        <x:f t="shared" si="13"/>
      </x:c>
      <x:c r="AA103" s="84" t="str">
        <x:f t="shared" si="14"/>
      </x:c>
      <x:c r="AB103" s="84" t="str">
        <x:f t="shared" si="15"/>
      </x:c>
      <x:c r="AC103" s="67" t="s">
        <x:v>916</x:v>
      </x:c>
      <x:c r="AD103" s="67" t="s">
        <x:v>916</x:v>
      </x:c>
      <x:c r="AE103" s="67" t="s">
        <x:v>916</x:v>
      </x:c>
      <x:c r="AF103" s="67" t="s">
        <x:v>916</x:v>
      </x:c>
      <x:c r="AG103" s="67" t="s">
        <x:v>916</x:v>
      </x:c>
      <x:c r="AH103" s="67" t="s">
        <x:v>916</x:v>
      </x:c>
      <x:c r="AI103" s="67" t="s">
        <x:v>916</x:v>
      </x:c>
      <x:c r="AJ103" s="67" t="s">
        <x:v>916</x:v>
      </x:c>
      <x:c r="AK103" s="67" t="s">
        <x:v>916</x:v>
      </x:c>
      <x:c r="AL103" s="67"/>
      <x:c r="AM103" s="67" t="s">
        <x:v>916</x:v>
      </x:c>
      <x:c r="AN103" s="83" t="str">
        <x:f t="shared" si="16"/>
        <x:v>Belum Dinilai</x:v>
      </x:c>
      <x:c r="AO103" s="83" t="str">
        <x:f t="shared" si="17"/>
        <x:v>Belum Dinilai</x:v>
      </x:c>
      <x:c r="AP103" s="67"/>
      <x:c r="AQ103" s="70" t="str">
        <x:f t="shared" si="18"/>
      </x:c>
      <x:c r="AR103" s="70" t="str">
        <x:f t="shared" si="19"/>
      </x:c>
      <x:c r="AS103" s="70" t="str">
        <x:f t="shared" si="20"/>
      </x:c>
      <x:c r="AT103" s="68" t="str">
        <x:f t="shared" si="21"/>
        <x:v>Belum Dapat Ditentukan</x:v>
      </x:c>
      <x:c r="AU103" s="65" t="s">
        <x:v>903</x:v>
      </x:c>
      <x:c r="AV103" s="65" t="s">
        <x:v>904</x:v>
      </x:c>
      <x:c r="AW103" s="65" t="s">
        <x:v>889</x:v>
      </x:c>
      <x:c r="AX103" s="65" t="s">
        <x:v>890</x:v>
      </x:c>
      <x:c r="AY103" s="65"/>
      <x:c r="AZ103" s="65" t="s">
        <x:v>888</x:v>
      </x:c>
      <x:c r="BA103" s="65"/>
      <x:c r="BB103" s="177"/>
      <x:c r="BC103" s="71">
        <x:v>2026</x:v>
      </x:c>
      <x:c r="BD103" s="65"/>
      <x:c r="BE103" s="177"/>
      <x:c r="BF103" s="65" t="str">
        <x:v>Dinas Perkim Kota Pangkal Pinang</x:v>
      </x:c>
    </x:row>
    <x:row r="104" ht="28">
      <x:c r="A104" s="65" t="s">
        <x:v>1389</x:v>
      </x:c>
      <x:c r="B104" s="65" t="s">
        <x:v>1390</x:v>
      </x:c>
      <x:c r="C104" s="65"/>
      <x:c r="D104" s="65"/>
      <x:c r="E104" s="65" t="s">
        <x:v>1002</x:v>
      </x:c>
      <x:c r="F104" s="65" t="s">
        <x:v>1017</x:v>
      </x:c>
      <x:c r="G104" s="65" t="s">
        <x:v>990</x:v>
      </x:c>
      <x:c r="H104" s="65" t="s">
        <x:v>963</x:v>
      </x:c>
      <x:c r="I104" s="65" t="s">
        <x:v>1391</x:v>
      </x:c>
      <x:c r="J104" s="65" t="s">
        <x:v>910</x:v>
      </x:c>
      <x:c r="K104" s="65" t="s">
        <x:v>1000</x:v>
      </x:c>
      <x:c r="L104" s="65" t="s">
        <x:v>916</x:v>
      </x:c>
      <x:c r="M104" s="65" t="s">
        <x:v>968</x:v>
      </x:c>
      <x:c r="N104" s="65" t="s">
        <x:v>916</x:v>
      </x:c>
      <x:c r="O104" s="65" t="s">
        <x:v>982</x:v>
      </x:c>
      <x:c r="P104" s="65" t="s">
        <x:v>983</x:v>
      </x:c>
      <x:c r="Q104" s="85" t="s">
        <x:v>916</x:v>
      </x:c>
      <x:c r="R104" s="85" t="s">
        <x:v>916</x:v>
      </x:c>
      <x:c r="S104" s="85" t="s">
        <x:v>916</x:v>
      </x:c>
      <x:c r="T104" s="85" t="s">
        <x:v>916</x:v>
      </x:c>
      <x:c r="U104" s="85" t="s">
        <x:v>916</x:v>
      </x:c>
      <x:c r="V104" s="85" t="s">
        <x:v>916</x:v>
      </x:c>
      <x:c r="W104" s="66"/>
      <x:c r="X104" s="83" t="str">
        <x:f t="shared" si="11"/>
        <x:v>Belum Dinilai</x:v>
      </x:c>
      <x:c r="Y104" s="83" t="str">
        <x:f t="shared" si="12"/>
        <x:v>Belum Dinilai</x:v>
      </x:c>
      <x:c r="Z104" s="84" t="str">
        <x:f t="shared" si="13"/>
      </x:c>
      <x:c r="AA104" s="84" t="str">
        <x:f t="shared" si="14"/>
      </x:c>
      <x:c r="AB104" s="84" t="str">
        <x:f t="shared" si="15"/>
      </x:c>
      <x:c r="AC104" s="67" t="s">
        <x:v>916</x:v>
      </x:c>
      <x:c r="AD104" s="67" t="s">
        <x:v>916</x:v>
      </x:c>
      <x:c r="AE104" s="67" t="s">
        <x:v>916</x:v>
      </x:c>
      <x:c r="AF104" s="67" t="s">
        <x:v>916</x:v>
      </x:c>
      <x:c r="AG104" s="67" t="s">
        <x:v>916</x:v>
      </x:c>
      <x:c r="AH104" s="67" t="s">
        <x:v>916</x:v>
      </x:c>
      <x:c r="AI104" s="67" t="s">
        <x:v>916</x:v>
      </x:c>
      <x:c r="AJ104" s="67" t="s">
        <x:v>916</x:v>
      </x:c>
      <x:c r="AK104" s="67" t="s">
        <x:v>916</x:v>
      </x:c>
      <x:c r="AL104" s="67"/>
      <x:c r="AM104" s="67" t="s">
        <x:v>916</x:v>
      </x:c>
      <x:c r="AN104" s="83" t="str">
        <x:f t="shared" si="16"/>
        <x:v>Belum Dinilai</x:v>
      </x:c>
      <x:c r="AO104" s="83" t="str">
        <x:f t="shared" si="17"/>
        <x:v>Belum Dinilai</x:v>
      </x:c>
      <x:c r="AP104" s="67"/>
      <x:c r="AQ104" s="70" t="str">
        <x:f t="shared" si="18"/>
      </x:c>
      <x:c r="AR104" s="70" t="str">
        <x:f t="shared" si="19"/>
      </x:c>
      <x:c r="AS104" s="70" t="str">
        <x:f t="shared" si="20"/>
      </x:c>
      <x:c r="AT104" s="68" t="str">
        <x:f t="shared" si="21"/>
        <x:v>Belum Dapat Ditentukan</x:v>
      </x:c>
      <x:c r="AU104" s="65" t="s">
        <x:v>887</x:v>
      </x:c>
      <x:c r="AV104" s="65" t="s">
        <x:v>904</x:v>
      </x:c>
      <x:c r="AW104" s="65" t="s">
        <x:v>889</x:v>
      </x:c>
      <x:c r="AX104" s="65" t="s">
        <x:v>890</x:v>
      </x:c>
      <x:c r="AY104" s="65"/>
      <x:c r="AZ104" s="65" t="s">
        <x:v>888</x:v>
      </x:c>
      <x:c r="BA104" s="65"/>
      <x:c r="BB104" s="177"/>
      <x:c r="BC104" s="71">
        <x:v>2026</x:v>
      </x:c>
      <x:c r="BD104" s="65"/>
      <x:c r="BE104" s="177"/>
      <x:c r="BF104" s="65" t="str">
        <x:v>Dinas Perkim Kota Pangkal Pinang</x:v>
      </x:c>
    </x:row>
    <x:row r="105" ht="28">
      <x:c r="A105" s="65" t="s">
        <x:v>1392</x:v>
      </x:c>
      <x:c r="B105" s="65" t="s">
        <x:v>1390</x:v>
      </x:c>
      <x:c r="C105" s="65"/>
      <x:c r="D105" s="65"/>
      <x:c r="E105" s="65" t="s">
        <x:v>1002</x:v>
      </x:c>
      <x:c r="F105" s="65" t="s">
        <x:v>1017</x:v>
      </x:c>
      <x:c r="G105" s="65" t="s">
        <x:v>990</x:v>
      </x:c>
      <x:c r="H105" s="65" t="s">
        <x:v>963</x:v>
      </x:c>
      <x:c r="I105" s="65" t="s">
        <x:v>1393</x:v>
      </x:c>
      <x:c r="J105" s="65" t="s">
        <x:v>964</x:v>
      </x:c>
      <x:c r="K105" s="65" t="s">
        <x:v>1000</x:v>
      </x:c>
      <x:c r="L105" s="65" t="s">
        <x:v>916</x:v>
      </x:c>
      <x:c r="M105" s="65" t="s">
        <x:v>1000</x:v>
      </x:c>
      <x:c r="N105" s="65" t="s">
        <x:v>916</x:v>
      </x:c>
      <x:c r="O105" s="65" t="s">
        <x:v>1000</x:v>
      </x:c>
      <x:c r="P105" s="65" t="s">
        <x:v>916</x:v>
      </x:c>
      <x:c r="Q105" s="85" t="s">
        <x:v>916</x:v>
      </x:c>
      <x:c r="R105" s="85" t="s">
        <x:v>916</x:v>
      </x:c>
      <x:c r="S105" s="85" t="s">
        <x:v>916</x:v>
      </x:c>
      <x:c r="T105" s="85" t="s">
        <x:v>916</x:v>
      </x:c>
      <x:c r="U105" s="85" t="s">
        <x:v>916</x:v>
      </x:c>
      <x:c r="V105" s="85" t="s">
        <x:v>916</x:v>
      </x:c>
      <x:c r="W105" s="66"/>
      <x:c r="X105" s="83" t="str">
        <x:f t="shared" si="11"/>
        <x:v>Belum Dinilai</x:v>
      </x:c>
      <x:c r="Y105" s="83" t="str">
        <x:f t="shared" si="12"/>
        <x:v>Belum Dinilai</x:v>
      </x:c>
      <x:c r="Z105" s="84" t="str">
        <x:f t="shared" si="13"/>
      </x:c>
      <x:c r="AA105" s="84" t="str">
        <x:f t="shared" si="14"/>
      </x:c>
      <x:c r="AB105" s="84" t="str">
        <x:f t="shared" si="15"/>
      </x:c>
      <x:c r="AC105" s="67" t="s">
        <x:v>916</x:v>
      </x:c>
      <x:c r="AD105" s="67" t="s">
        <x:v>916</x:v>
      </x:c>
      <x:c r="AE105" s="67" t="s">
        <x:v>916</x:v>
      </x:c>
      <x:c r="AF105" s="67" t="s">
        <x:v>916</x:v>
      </x:c>
      <x:c r="AG105" s="67" t="s">
        <x:v>916</x:v>
      </x:c>
      <x:c r="AH105" s="67" t="s">
        <x:v>916</x:v>
      </x:c>
      <x:c r="AI105" s="67" t="s">
        <x:v>916</x:v>
      </x:c>
      <x:c r="AJ105" s="67" t="s">
        <x:v>916</x:v>
      </x:c>
      <x:c r="AK105" s="67" t="s">
        <x:v>916</x:v>
      </x:c>
      <x:c r="AL105" s="67"/>
      <x:c r="AM105" s="67" t="s">
        <x:v>916</x:v>
      </x:c>
      <x:c r="AN105" s="83" t="str">
        <x:f t="shared" si="16"/>
        <x:v>Belum Dinilai</x:v>
      </x:c>
      <x:c r="AO105" s="83" t="str">
        <x:f t="shared" si="17"/>
        <x:v>Belum Dinilai</x:v>
      </x:c>
      <x:c r="AP105" s="67"/>
      <x:c r="AQ105" s="70" t="str">
        <x:f t="shared" si="18"/>
      </x:c>
      <x:c r="AR105" s="70" t="str">
        <x:f t="shared" si="19"/>
      </x:c>
      <x:c r="AS105" s="70" t="str">
        <x:f t="shared" si="20"/>
      </x:c>
      <x:c r="AT105" s="68" t="str">
        <x:f t="shared" si="21"/>
        <x:v>Belum Dapat Ditentukan</x:v>
      </x:c>
      <x:c r="AU105" s="65" t="s">
        <x:v>903</x:v>
      </x:c>
      <x:c r="AV105" s="65" t="s">
        <x:v>904</x:v>
      </x:c>
      <x:c r="AW105" s="65" t="s">
        <x:v>889</x:v>
      </x:c>
      <x:c r="AX105" s="65" t="s">
        <x:v>890</x:v>
      </x:c>
      <x:c r="AY105" s="65"/>
      <x:c r="AZ105" s="65" t="s">
        <x:v>888</x:v>
      </x:c>
      <x:c r="BA105" s="65"/>
      <x:c r="BB105" s="177"/>
      <x:c r="BC105" s="71">
        <x:v>2026</x:v>
      </x:c>
      <x:c r="BD105" s="65"/>
      <x:c r="BE105" s="177"/>
      <x:c r="BF105" s="65" t="str">
        <x:v>Dinas Perkim Kota Pangkal Pinang</x:v>
      </x:c>
    </x:row>
    <x:row r="106" ht="28">
      <x:c r="A106" s="65" t="s">
        <x:v>1394</x:v>
      </x:c>
      <x:c r="B106" s="65" t="s">
        <x:v>1395</x:v>
      </x:c>
      <x:c r="C106" s="65"/>
      <x:c r="D106" s="65"/>
      <x:c r="E106" s="65" t="s">
        <x:v>1396</x:v>
      </x:c>
      <x:c r="F106" s="65" t="s">
        <x:v>1173</x:v>
      </x:c>
      <x:c r="G106" s="65" t="s">
        <x:v>1012</x:v>
      </x:c>
      <x:c r="H106" s="65" t="s">
        <x:v>894</x:v>
      </x:c>
      <x:c r="I106" s="65" t="s">
        <x:v>1397</x:v>
      </x:c>
      <x:c r="J106" s="65" t="s">
        <x:v>879</x:v>
      </x:c>
      <x:c r="K106" s="65" t="s">
        <x:v>1000</x:v>
      </x:c>
      <x:c r="L106" s="65" t="s">
        <x:v>916</x:v>
      </x:c>
      <x:c r="M106" s="65" t="s">
        <x:v>913</x:v>
      </x:c>
      <x:c r="N106" s="65" t="s">
        <x:v>916</x:v>
      </x:c>
      <x:c r="O106" s="65" t="s">
        <x:v>914</x:v>
      </x:c>
      <x:c r="P106" s="65" t="s">
        <x:v>916</x:v>
      </x:c>
      <x:c r="Q106" s="85" t="s">
        <x:v>916</x:v>
      </x:c>
      <x:c r="R106" s="85" t="s">
        <x:v>916</x:v>
      </x:c>
      <x:c r="S106" s="85" t="s">
        <x:v>916</x:v>
      </x:c>
      <x:c r="T106" s="85" t="s">
        <x:v>916</x:v>
      </x:c>
      <x:c r="U106" s="85" t="s">
        <x:v>916</x:v>
      </x:c>
      <x:c r="V106" s="85" t="s">
        <x:v>916</x:v>
      </x:c>
      <x:c r="W106" s="66"/>
      <x:c r="X106" s="83" t="str">
        <x:f t="shared" si="11"/>
        <x:v>Belum Dinilai</x:v>
      </x:c>
      <x:c r="Y106" s="83" t="str">
        <x:f t="shared" si="12"/>
        <x:v>Belum Dinilai</x:v>
      </x:c>
      <x:c r="Z106" s="84" t="str">
        <x:f t="shared" si="13"/>
      </x:c>
      <x:c r="AA106" s="84" t="str">
        <x:f t="shared" si="14"/>
      </x:c>
      <x:c r="AB106" s="84" t="str">
        <x:f t="shared" si="15"/>
      </x:c>
      <x:c r="AC106" s="67" t="s">
        <x:v>916</x:v>
      </x:c>
      <x:c r="AD106" s="67" t="s">
        <x:v>916</x:v>
      </x:c>
      <x:c r="AE106" s="67" t="s">
        <x:v>916</x:v>
      </x:c>
      <x:c r="AF106" s="67" t="s">
        <x:v>916</x:v>
      </x:c>
      <x:c r="AG106" s="67" t="s">
        <x:v>916</x:v>
      </x:c>
      <x:c r="AH106" s="67" t="s">
        <x:v>916</x:v>
      </x:c>
      <x:c r="AI106" s="67" t="s">
        <x:v>916</x:v>
      </x:c>
      <x:c r="AJ106" s="67" t="s">
        <x:v>916</x:v>
      </x:c>
      <x:c r="AK106" s="67" t="s">
        <x:v>916</x:v>
      </x:c>
      <x:c r="AL106" s="67"/>
      <x:c r="AM106" s="67" t="s">
        <x:v>916</x:v>
      </x:c>
      <x:c r="AN106" s="83" t="str">
        <x:f t="shared" si="16"/>
        <x:v>Belum Dinilai</x:v>
      </x:c>
      <x:c r="AO106" s="83" t="str">
        <x:f t="shared" si="17"/>
        <x:v>Belum Dinilai</x:v>
      </x:c>
      <x:c r="AP106" s="67"/>
      <x:c r="AQ106" s="70" t="str">
        <x:f t="shared" si="18"/>
      </x:c>
      <x:c r="AR106" s="70" t="str">
        <x:f t="shared" si="19"/>
      </x:c>
      <x:c r="AS106" s="70" t="str">
        <x:f t="shared" si="20"/>
      </x:c>
      <x:c r="AT106" s="68" t="str">
        <x:f t="shared" si="21"/>
        <x:v>Belum Dapat Ditentukan</x:v>
      </x:c>
      <x:c r="AU106" s="65" t="s">
        <x:v>903</x:v>
      </x:c>
      <x:c r="AV106" s="65" t="s">
        <x:v>904</x:v>
      </x:c>
      <x:c r="AW106" s="65" t="s">
        <x:v>1001</x:v>
      </x:c>
      <x:c r="AX106" s="65" t="s">
        <x:v>918</x:v>
      </x:c>
      <x:c r="AY106" s="65">
        <x:v>2023</x:v>
      </x:c>
      <x:c r="AZ106" s="65" t="s">
        <x:v>888</x:v>
      </x:c>
      <x:c r="BA106" s="65"/>
      <x:c r="BB106" s="177"/>
      <x:c r="BC106" s="71">
        <x:v>2026</x:v>
      </x:c>
      <x:c r="BD106" s="65"/>
      <x:c r="BE106" s="177"/>
      <x:c r="BF106" s="65" t="str">
        <x:v>Dinas Perkim Kota Pangkal Pinang</x:v>
      </x:c>
    </x:row>
    <x:row r="107" ht="28">
      <x:c r="A107" s="65" t="s">
        <x:v>1398</x:v>
      </x:c>
      <x:c r="B107" s="65" t="s">
        <x:v>1399</x:v>
      </x:c>
      <x:c r="C107" s="65"/>
      <x:c r="D107" s="65"/>
      <x:c r="E107" s="65" t="s">
        <x:v>1002</x:v>
      </x:c>
      <x:c r="F107" s="65" t="s">
        <x:v>1173</x:v>
      </x:c>
      <x:c r="G107" s="65" t="s">
        <x:v>1012</x:v>
      </x:c>
      <x:c r="H107" s="65" t="s">
        <x:v>894</x:v>
      </x:c>
      <x:c r="I107" s="65" t="s">
        <x:v>1400</x:v>
      </x:c>
      <x:c r="J107" s="65" t="s">
        <x:v>879</x:v>
      </x:c>
      <x:c r="K107" s="65" t="s">
        <x:v>1000</x:v>
      </x:c>
      <x:c r="L107" s="65" t="s">
        <x:v>916</x:v>
      </x:c>
      <x:c r="M107" s="65" t="s">
        <x:v>913</x:v>
      </x:c>
      <x:c r="N107" s="65" t="s">
        <x:v>916</x:v>
      </x:c>
      <x:c r="O107" s="65" t="s">
        <x:v>1000</x:v>
      </x:c>
      <x:c r="P107" s="65" t="s">
        <x:v>916</x:v>
      </x:c>
      <x:c r="Q107" s="85" t="s">
        <x:v>916</x:v>
      </x:c>
      <x:c r="R107" s="85" t="s">
        <x:v>916</x:v>
      </x:c>
      <x:c r="S107" s="85" t="s">
        <x:v>916</x:v>
      </x:c>
      <x:c r="T107" s="85" t="s">
        <x:v>916</x:v>
      </x:c>
      <x:c r="U107" s="85" t="s">
        <x:v>916</x:v>
      </x:c>
      <x:c r="V107" s="85" t="s">
        <x:v>916</x:v>
      </x:c>
      <x:c r="W107" s="66"/>
      <x:c r="X107" s="83" t="str">
        <x:f t="shared" si="11"/>
        <x:v>Belum Dinilai</x:v>
      </x:c>
      <x:c r="Y107" s="83" t="str">
        <x:f t="shared" si="12"/>
        <x:v>Belum Dinilai</x:v>
      </x:c>
      <x:c r="Z107" s="84" t="str">
        <x:f t="shared" si="13"/>
      </x:c>
      <x:c r="AA107" s="84" t="str">
        <x:f t="shared" si="14"/>
      </x:c>
      <x:c r="AB107" s="84" t="str">
        <x:f t="shared" si="15"/>
      </x:c>
      <x:c r="AC107" s="67" t="s">
        <x:v>916</x:v>
      </x:c>
      <x:c r="AD107" s="67" t="s">
        <x:v>916</x:v>
      </x:c>
      <x:c r="AE107" s="67" t="s">
        <x:v>916</x:v>
      </x:c>
      <x:c r="AF107" s="67" t="s">
        <x:v>916</x:v>
      </x:c>
      <x:c r="AG107" s="67" t="s">
        <x:v>916</x:v>
      </x:c>
      <x:c r="AH107" s="67" t="s">
        <x:v>916</x:v>
      </x:c>
      <x:c r="AI107" s="67" t="s">
        <x:v>916</x:v>
      </x:c>
      <x:c r="AJ107" s="67" t="s">
        <x:v>916</x:v>
      </x:c>
      <x:c r="AK107" s="67" t="s">
        <x:v>916</x:v>
      </x:c>
      <x:c r="AL107" s="67"/>
      <x:c r="AM107" s="67" t="s">
        <x:v>916</x:v>
      </x:c>
      <x:c r="AN107" s="83" t="str">
        <x:f t="shared" si="16"/>
        <x:v>Belum Dinilai</x:v>
      </x:c>
      <x:c r="AO107" s="83" t="str">
        <x:f t="shared" si="17"/>
        <x:v>Belum Dinilai</x:v>
      </x:c>
      <x:c r="AP107" s="67"/>
      <x:c r="AQ107" s="70" t="str">
        <x:f t="shared" si="18"/>
      </x:c>
      <x:c r="AR107" s="70" t="str">
        <x:f t="shared" si="19"/>
      </x:c>
      <x:c r="AS107" s="70" t="str">
        <x:f t="shared" si="20"/>
      </x:c>
      <x:c r="AT107" s="68" t="str">
        <x:f t="shared" si="21"/>
        <x:v>Belum Dapat Ditentukan</x:v>
      </x:c>
      <x:c r="AU107" s="65" t="s">
        <x:v>887</x:v>
      </x:c>
      <x:c r="AV107" s="65" t="s">
        <x:v>904</x:v>
      </x:c>
      <x:c r="AW107" s="65" t="s">
        <x:v>889</x:v>
      </x:c>
      <x:c r="AX107" s="65" t="s">
        <x:v>890</x:v>
      </x:c>
      <x:c r="AY107" s="65"/>
      <x:c r="AZ107" s="65" t="s">
        <x:v>888</x:v>
      </x:c>
      <x:c r="BA107" s="65"/>
      <x:c r="BB107" s="177"/>
      <x:c r="BC107" s="71">
        <x:v>2026</x:v>
      </x:c>
      <x:c r="BD107" s="65"/>
      <x:c r="BE107" s="177"/>
      <x:c r="BF107" s="65" t="str">
        <x:v>Dinas Perkim Kota Pangkal Pinang</x:v>
      </x:c>
    </x:row>
    <x:row r="108" ht="28">
      <x:c r="A108" s="65" t="s">
        <x:v>1401</x:v>
      </x:c>
      <x:c r="B108" s="65" t="s">
        <x:v>1402</x:v>
      </x:c>
      <x:c r="C108" s="65"/>
      <x:c r="D108" s="65"/>
      <x:c r="E108" s="65" t="s">
        <x:v>1403</x:v>
      </x:c>
      <x:c r="F108" s="65" t="s">
        <x:v>1173</x:v>
      </x:c>
      <x:c r="G108" s="65" t="s">
        <x:v>1012</x:v>
      </x:c>
      <x:c r="H108" s="65" t="s">
        <x:v>894</x:v>
      </x:c>
      <x:c r="I108" s="65" t="s">
        <x:v>1400</x:v>
      </x:c>
      <x:c r="J108" s="65" t="s">
        <x:v>879</x:v>
      </x:c>
      <x:c r="K108" s="65" t="s">
        <x:v>1000</x:v>
      </x:c>
      <x:c r="L108" s="65" t="s">
        <x:v>916</x:v>
      </x:c>
      <x:c r="M108" s="65" t="s">
        <x:v>913</x:v>
      </x:c>
      <x:c r="N108" s="65" t="s">
        <x:v>916</x:v>
      </x:c>
      <x:c r="O108" s="65" t="s">
        <x:v>1000</x:v>
      </x:c>
      <x:c r="P108" s="65" t="s">
        <x:v>916</x:v>
      </x:c>
      <x:c r="Q108" s="85" t="s">
        <x:v>916</x:v>
      </x:c>
      <x:c r="R108" s="85" t="s">
        <x:v>916</x:v>
      </x:c>
      <x:c r="S108" s="85" t="s">
        <x:v>916</x:v>
      </x:c>
      <x:c r="T108" s="85" t="s">
        <x:v>916</x:v>
      </x:c>
      <x:c r="U108" s="85" t="s">
        <x:v>916</x:v>
      </x:c>
      <x:c r="V108" s="85" t="s">
        <x:v>916</x:v>
      </x:c>
      <x:c r="W108" s="66"/>
      <x:c r="X108" s="83" t="str">
        <x:f t="shared" si="11"/>
        <x:v>Belum Dinilai</x:v>
      </x:c>
      <x:c r="Y108" s="83" t="str">
        <x:f t="shared" si="12"/>
        <x:v>Belum Dinilai</x:v>
      </x:c>
      <x:c r="Z108" s="84" t="str">
        <x:f t="shared" si="13"/>
      </x:c>
      <x:c r="AA108" s="84" t="str">
        <x:f t="shared" si="14"/>
      </x:c>
      <x:c r="AB108" s="84" t="str">
        <x:f t="shared" si="15"/>
      </x:c>
      <x:c r="AC108" s="67" t="s">
        <x:v>916</x:v>
      </x:c>
      <x:c r="AD108" s="67" t="s">
        <x:v>916</x:v>
      </x:c>
      <x:c r="AE108" s="67" t="s">
        <x:v>916</x:v>
      </x:c>
      <x:c r="AF108" s="67" t="s">
        <x:v>916</x:v>
      </x:c>
      <x:c r="AG108" s="67" t="s">
        <x:v>916</x:v>
      </x:c>
      <x:c r="AH108" s="67" t="s">
        <x:v>916</x:v>
      </x:c>
      <x:c r="AI108" s="67" t="s">
        <x:v>916</x:v>
      </x:c>
      <x:c r="AJ108" s="67" t="s">
        <x:v>916</x:v>
      </x:c>
      <x:c r="AK108" s="67" t="s">
        <x:v>916</x:v>
      </x:c>
      <x:c r="AL108" s="67"/>
      <x:c r="AM108" s="67" t="s">
        <x:v>916</x:v>
      </x:c>
      <x:c r="AN108" s="83" t="str">
        <x:f t="shared" si="16"/>
        <x:v>Belum Dinilai</x:v>
      </x:c>
      <x:c r="AO108" s="83" t="str">
        <x:f t="shared" si="17"/>
        <x:v>Belum Dinilai</x:v>
      </x:c>
      <x:c r="AP108" s="67"/>
      <x:c r="AQ108" s="70" t="str">
        <x:f t="shared" si="18"/>
      </x:c>
      <x:c r="AR108" s="70" t="str">
        <x:f t="shared" si="19"/>
      </x:c>
      <x:c r="AS108" s="70" t="str">
        <x:f t="shared" si="20"/>
      </x:c>
      <x:c r="AT108" s="68" t="str">
        <x:f t="shared" si="21"/>
        <x:v>Belum Dapat Ditentukan</x:v>
      </x:c>
      <x:c r="AU108" s="65" t="s">
        <x:v>903</x:v>
      </x:c>
      <x:c r="AV108" s="65" t="s">
        <x:v>904</x:v>
      </x:c>
      <x:c r="AW108" s="65" t="s">
        <x:v>889</x:v>
      </x:c>
      <x:c r="AX108" s="65" t="s">
        <x:v>890</x:v>
      </x:c>
      <x:c r="AY108" s="65"/>
      <x:c r="AZ108" s="65" t="s">
        <x:v>888</x:v>
      </x:c>
      <x:c r="BA108" s="65"/>
      <x:c r="BB108" s="177"/>
      <x:c r="BC108" s="71">
        <x:v>2026</x:v>
      </x:c>
      <x:c r="BD108" s="65"/>
      <x:c r="BE108" s="177"/>
      <x:c r="BF108" s="65" t="str">
        <x:v>Dinas Perkim Kota Pangkal Pinang</x:v>
      </x:c>
    </x:row>
    <x:row r="109" ht="28">
      <x:c r="A109" s="65" t="s">
        <x:v>1404</x:v>
      </x:c>
      <x:c r="B109" s="65" t="s">
        <x:v>1405</x:v>
      </x:c>
      <x:c r="C109" s="65"/>
      <x:c r="D109" s="65"/>
      <x:c r="E109" s="65" t="s">
        <x:v>1406</x:v>
      </x:c>
      <x:c r="F109" s="65" t="s">
        <x:v>1345</x:v>
      </x:c>
      <x:c r="G109" s="65" t="s">
        <x:v>977</x:v>
      </x:c>
      <x:c r="H109" s="65" t="s">
        <x:v>878</x:v>
      </x:c>
      <x:c r="I109" s="65" t="s">
        <x:v>991</x:v>
      </x:c>
      <x:c r="J109" s="65" t="s">
        <x:v>910</x:v>
      </x:c>
      <x:c r="K109" s="65" t="s">
        <x:v>1000</x:v>
      </x:c>
      <x:c r="L109" s="65" t="s">
        <x:v>916</x:v>
      </x:c>
      <x:c r="M109" s="65" t="s">
        <x:v>968</x:v>
      </x:c>
      <x:c r="N109" s="65" t="s">
        <x:v>916</x:v>
      </x:c>
      <x:c r="O109" s="65" t="s">
        <x:v>1000</x:v>
      </x:c>
      <x:c r="P109" s="65" t="s">
        <x:v>916</x:v>
      </x:c>
      <x:c r="Q109" s="85" t="s">
        <x:v>916</x:v>
      </x:c>
      <x:c r="R109" s="85" t="s">
        <x:v>916</x:v>
      </x:c>
      <x:c r="S109" s="85" t="s">
        <x:v>916</x:v>
      </x:c>
      <x:c r="T109" s="85" t="s">
        <x:v>916</x:v>
      </x:c>
      <x:c r="U109" s="85" t="s">
        <x:v>916</x:v>
      </x:c>
      <x:c r="V109" s="85" t="s">
        <x:v>916</x:v>
      </x:c>
      <x:c r="W109" s="66"/>
      <x:c r="X109" s="83" t="str">
        <x:f t="shared" si="11"/>
        <x:v>Belum Dinilai</x:v>
      </x:c>
      <x:c r="Y109" s="83" t="str">
        <x:f t="shared" si="12"/>
        <x:v>Belum Dinilai</x:v>
      </x:c>
      <x:c r="Z109" s="84" t="str">
        <x:f t="shared" si="13"/>
      </x:c>
      <x:c r="AA109" s="84" t="str">
        <x:f t="shared" si="14"/>
      </x:c>
      <x:c r="AB109" s="84" t="str">
        <x:f t="shared" si="15"/>
      </x:c>
      <x:c r="AC109" s="67" t="s">
        <x:v>916</x:v>
      </x:c>
      <x:c r="AD109" s="67" t="s">
        <x:v>916</x:v>
      </x:c>
      <x:c r="AE109" s="67" t="s">
        <x:v>916</x:v>
      </x:c>
      <x:c r="AF109" s="67" t="s">
        <x:v>916</x:v>
      </x:c>
      <x:c r="AG109" s="67" t="s">
        <x:v>916</x:v>
      </x:c>
      <x:c r="AH109" s="67" t="s">
        <x:v>916</x:v>
      </x:c>
      <x:c r="AI109" s="67" t="s">
        <x:v>916</x:v>
      </x:c>
      <x:c r="AJ109" s="67" t="s">
        <x:v>916</x:v>
      </x:c>
      <x:c r="AK109" s="67" t="s">
        <x:v>916</x:v>
      </x:c>
      <x:c r="AL109" s="67"/>
      <x:c r="AM109" s="67" t="s">
        <x:v>916</x:v>
      </x:c>
      <x:c r="AN109" s="83" t="str">
        <x:f t="shared" si="16"/>
        <x:v>Belum Dinilai</x:v>
      </x:c>
      <x:c r="AO109" s="83" t="str">
        <x:f t="shared" si="17"/>
        <x:v>Belum Dinilai</x:v>
      </x:c>
      <x:c r="AP109" s="67"/>
      <x:c r="AQ109" s="70" t="str">
        <x:f t="shared" si="18"/>
      </x:c>
      <x:c r="AR109" s="70" t="str">
        <x:f t="shared" si="19"/>
      </x:c>
      <x:c r="AS109" s="70" t="str">
        <x:f t="shared" si="20"/>
      </x:c>
      <x:c r="AT109" s="68" t="str">
        <x:f t="shared" si="21"/>
        <x:v>Belum Dapat Ditentukan</x:v>
      </x:c>
      <x:c r="AU109" s="65" t="s">
        <x:v>903</x:v>
      </x:c>
      <x:c r="AV109" s="65" t="s">
        <x:v>904</x:v>
      </x:c>
      <x:c r="AW109" s="65" t="s">
        <x:v>889</x:v>
      </x:c>
      <x:c r="AX109" s="65" t="s">
        <x:v>890</x:v>
      </x:c>
      <x:c r="AY109" s="65"/>
      <x:c r="AZ109" s="65" t="s">
        <x:v>888</x:v>
      </x:c>
      <x:c r="BA109" s="65"/>
      <x:c r="BB109" s="177"/>
      <x:c r="BC109" s="71">
        <x:v>2026</x:v>
      </x:c>
      <x:c r="BD109" s="65"/>
      <x:c r="BE109" s="177"/>
      <x:c r="BF109" s="65" t="str">
        <x:v>Dinas Perkim Kota Pangkal Pinang</x:v>
      </x:c>
    </x:row>
    <x:row r="110" ht="28">
      <x:c r="A110" s="65" t="s">
        <x:v>1407</x:v>
      </x:c>
      <x:c r="B110" s="65" t="s">
        <x:v>1408</x:v>
      </x:c>
      <x:c r="C110" s="65"/>
      <x:c r="D110" s="65"/>
      <x:c r="E110" s="65" t="s">
        <x:v>1406</x:v>
      </x:c>
      <x:c r="F110" s="65" t="s">
        <x:v>1345</x:v>
      </x:c>
      <x:c r="G110" s="65" t="s">
        <x:v>977</x:v>
      </x:c>
      <x:c r="H110" s="65" t="s">
        <x:v>878</x:v>
      </x:c>
      <x:c r="I110" s="65" t="s">
        <x:v>1409</x:v>
      </x:c>
      <x:c r="J110" s="65" t="s">
        <x:v>910</x:v>
      </x:c>
      <x:c r="K110" s="65" t="s">
        <x:v>1000</x:v>
      </x:c>
      <x:c r="L110" s="65" t="s">
        <x:v>916</x:v>
      </x:c>
      <x:c r="M110" s="65" t="s">
        <x:v>968</x:v>
      </x:c>
      <x:c r="N110" s="65" t="s">
        <x:v>916</x:v>
      </x:c>
      <x:c r="O110" s="65" t="s">
        <x:v>1000</x:v>
      </x:c>
      <x:c r="P110" s="65" t="s">
        <x:v>916</x:v>
      </x:c>
      <x:c r="Q110" s="85" t="s">
        <x:v>916</x:v>
      </x:c>
      <x:c r="R110" s="85" t="s">
        <x:v>916</x:v>
      </x:c>
      <x:c r="S110" s="85" t="s">
        <x:v>916</x:v>
      </x:c>
      <x:c r="T110" s="85" t="s">
        <x:v>916</x:v>
      </x:c>
      <x:c r="U110" s="85" t="s">
        <x:v>916</x:v>
      </x:c>
      <x:c r="V110" s="85" t="s">
        <x:v>916</x:v>
      </x:c>
      <x:c r="W110" s="66"/>
      <x:c r="X110" s="83" t="str">
        <x:f t="shared" si="11"/>
        <x:v>Belum Dinilai</x:v>
      </x:c>
      <x:c r="Y110" s="83" t="str">
        <x:f t="shared" si="12"/>
        <x:v>Belum Dinilai</x:v>
      </x:c>
      <x:c r="Z110" s="84" t="str">
        <x:f t="shared" si="13"/>
      </x:c>
      <x:c r="AA110" s="84" t="str">
        <x:f t="shared" si="14"/>
      </x:c>
      <x:c r="AB110" s="84" t="str">
        <x:f t="shared" si="15"/>
      </x:c>
      <x:c r="AC110" s="67" t="s">
        <x:v>916</x:v>
      </x:c>
      <x:c r="AD110" s="67" t="s">
        <x:v>916</x:v>
      </x:c>
      <x:c r="AE110" s="67" t="s">
        <x:v>916</x:v>
      </x:c>
      <x:c r="AF110" s="67" t="s">
        <x:v>916</x:v>
      </x:c>
      <x:c r="AG110" s="67" t="s">
        <x:v>916</x:v>
      </x:c>
      <x:c r="AH110" s="67" t="s">
        <x:v>916</x:v>
      </x:c>
      <x:c r="AI110" s="67" t="s">
        <x:v>916</x:v>
      </x:c>
      <x:c r="AJ110" s="67" t="s">
        <x:v>916</x:v>
      </x:c>
      <x:c r="AK110" s="67" t="s">
        <x:v>916</x:v>
      </x:c>
      <x:c r="AL110" s="67"/>
      <x:c r="AM110" s="67" t="s">
        <x:v>916</x:v>
      </x:c>
      <x:c r="AN110" s="83" t="str">
        <x:f t="shared" si="16"/>
        <x:v>Belum Dinilai</x:v>
      </x:c>
      <x:c r="AO110" s="83" t="str">
        <x:f t="shared" si="17"/>
        <x:v>Belum Dinilai</x:v>
      </x:c>
      <x:c r="AP110" s="67"/>
      <x:c r="AQ110" s="70" t="str">
        <x:f t="shared" si="18"/>
      </x:c>
      <x:c r="AR110" s="70" t="str">
        <x:f t="shared" si="19"/>
      </x:c>
      <x:c r="AS110" s="70" t="str">
        <x:f t="shared" si="20"/>
      </x:c>
      <x:c r="AT110" s="68" t="str">
        <x:f t="shared" si="21"/>
        <x:v>Belum Dapat Ditentukan</x:v>
      </x:c>
      <x:c r="AU110" s="65" t="s">
        <x:v>903</x:v>
      </x:c>
      <x:c r="AV110" s="65" t="s">
        <x:v>904</x:v>
      </x:c>
      <x:c r="AW110" s="65" t="s">
        <x:v>889</x:v>
      </x:c>
      <x:c r="AX110" s="65" t="s">
        <x:v>890</x:v>
      </x:c>
      <x:c r="AY110" s="65"/>
      <x:c r="AZ110" s="65" t="s">
        <x:v>888</x:v>
      </x:c>
      <x:c r="BA110" s="65"/>
      <x:c r="BB110" s="177"/>
      <x:c r="BC110" s="71">
        <x:v>2026</x:v>
      </x:c>
      <x:c r="BD110" s="65"/>
      <x:c r="BE110" s="177"/>
      <x:c r="BF110" s="65" t="str">
        <x:v>Dinas Perkim Kota Pangkal Pinang</x:v>
      </x:c>
    </x:row>
    <x:row r="111" ht="28">
      <x:c r="A111" s="65" t="s">
        <x:v>1410</x:v>
      </x:c>
      <x:c r="B111" s="65" t="s">
        <x:v>1411</x:v>
      </x:c>
      <x:c r="C111" s="65"/>
      <x:c r="D111" s="65"/>
      <x:c r="E111" s="65" t="s">
        <x:v>1406</x:v>
      </x:c>
      <x:c r="F111" s="65" t="s">
        <x:v>1345</x:v>
      </x:c>
      <x:c r="G111" s="65" t="s">
        <x:v>977</x:v>
      </x:c>
      <x:c r="H111" s="65" t="s">
        <x:v>878</x:v>
      </x:c>
      <x:c r="I111" s="65" t="s">
        <x:v>1412</x:v>
      </x:c>
      <x:c r="J111" s="65" t="s">
        <x:v>910</x:v>
      </x:c>
      <x:c r="K111" s="65" t="s">
        <x:v>1000</x:v>
      </x:c>
      <x:c r="L111" s="65" t="s">
        <x:v>916</x:v>
      </x:c>
      <x:c r="M111" s="65" t="s">
        <x:v>968</x:v>
      </x:c>
      <x:c r="N111" s="65" t="s">
        <x:v>916</x:v>
      </x:c>
      <x:c r="O111" s="65" t="s">
        <x:v>914</x:v>
      </x:c>
      <x:c r="P111" s="65" t="s">
        <x:v>916</x:v>
      </x:c>
      <x:c r="Q111" s="85" t="s">
        <x:v>916</x:v>
      </x:c>
      <x:c r="R111" s="85" t="s">
        <x:v>916</x:v>
      </x:c>
      <x:c r="S111" s="85" t="s">
        <x:v>916</x:v>
      </x:c>
      <x:c r="T111" s="85" t="s">
        <x:v>916</x:v>
      </x:c>
      <x:c r="U111" s="85" t="s">
        <x:v>916</x:v>
      </x:c>
      <x:c r="V111" s="85" t="s">
        <x:v>916</x:v>
      </x:c>
      <x:c r="W111" s="66"/>
      <x:c r="X111" s="83" t="str">
        <x:f t="shared" si="11"/>
        <x:v>Belum Dinilai</x:v>
      </x:c>
      <x:c r="Y111" s="83" t="str">
        <x:f t="shared" si="12"/>
        <x:v>Belum Dinilai</x:v>
      </x:c>
      <x:c r="Z111" s="84" t="str">
        <x:f t="shared" si="13"/>
      </x:c>
      <x:c r="AA111" s="84" t="str">
        <x:f t="shared" si="14"/>
      </x:c>
      <x:c r="AB111" s="84" t="str">
        <x:f t="shared" si="15"/>
      </x:c>
      <x:c r="AC111" s="67" t="s">
        <x:v>916</x:v>
      </x:c>
      <x:c r="AD111" s="67" t="s">
        <x:v>916</x:v>
      </x:c>
      <x:c r="AE111" s="67" t="s">
        <x:v>916</x:v>
      </x:c>
      <x:c r="AF111" s="67" t="s">
        <x:v>916</x:v>
      </x:c>
      <x:c r="AG111" s="67" t="s">
        <x:v>916</x:v>
      </x:c>
      <x:c r="AH111" s="67" t="s">
        <x:v>916</x:v>
      </x:c>
      <x:c r="AI111" s="67" t="s">
        <x:v>916</x:v>
      </x:c>
      <x:c r="AJ111" s="67" t="s">
        <x:v>916</x:v>
      </x:c>
      <x:c r="AK111" s="67" t="s">
        <x:v>916</x:v>
      </x:c>
      <x:c r="AL111" s="67"/>
      <x:c r="AM111" s="67" t="s">
        <x:v>916</x:v>
      </x:c>
      <x:c r="AN111" s="83" t="str">
        <x:f t="shared" si="16"/>
        <x:v>Belum Dinilai</x:v>
      </x:c>
      <x:c r="AO111" s="83" t="str">
        <x:f t="shared" si="17"/>
        <x:v>Belum Dinilai</x:v>
      </x:c>
      <x:c r="AP111" s="67"/>
      <x:c r="AQ111" s="70" t="str">
        <x:f t="shared" si="18"/>
      </x:c>
      <x:c r="AR111" s="70" t="str">
        <x:f t="shared" si="19"/>
      </x:c>
      <x:c r="AS111" s="70" t="str">
        <x:f t="shared" si="20"/>
      </x:c>
      <x:c r="AT111" s="68" t="str">
        <x:f t="shared" si="21"/>
        <x:v>Belum Dapat Ditentukan</x:v>
      </x:c>
      <x:c r="AU111" s="65" t="s">
        <x:v>887</x:v>
      </x:c>
      <x:c r="AV111" s="65" t="s">
        <x:v>904</x:v>
      </x:c>
      <x:c r="AW111" s="65" t="s">
        <x:v>1001</x:v>
      </x:c>
      <x:c r="AX111" s="65" t="s">
        <x:v>906</x:v>
      </x:c>
      <x:c r="AY111" s="65">
        <x:v>2021</x:v>
      </x:c>
      <x:c r="AZ111" s="65" t="s">
        <x:v>888</x:v>
      </x:c>
      <x:c r="BA111" s="65"/>
      <x:c r="BB111" s="177"/>
      <x:c r="BC111" s="71">
        <x:v>2026</x:v>
      </x:c>
      <x:c r="BD111" s="65"/>
      <x:c r="BE111" s="177"/>
      <x:c r="BF111" s="65" t="str">
        <x:v>Dinas Perkim Kota Pangkal Pinang</x:v>
      </x:c>
    </x:row>
    <x:row r="112" ht="28">
      <x:c r="A112" s="65" t="s">
        <x:v>1413</x:v>
      </x:c>
      <x:c r="B112" s="65" t="s">
        <x:v>1414</x:v>
      </x:c>
      <x:c r="C112" s="65"/>
      <x:c r="D112" s="65"/>
      <x:c r="E112" s="65" t="s">
        <x:v>1406</x:v>
      </x:c>
      <x:c r="F112" s="65" t="s">
        <x:v>1345</x:v>
      </x:c>
      <x:c r="G112" s="65" t="s">
        <x:v>977</x:v>
      </x:c>
      <x:c r="H112" s="65" t="s">
        <x:v>878</x:v>
      </x:c>
      <x:c r="I112" s="65" t="s">
        <x:v>1412</x:v>
      </x:c>
      <x:c r="J112" s="65" t="s">
        <x:v>910</x:v>
      </x:c>
      <x:c r="K112" s="65" t="s">
        <x:v>1000</x:v>
      </x:c>
      <x:c r="L112" s="65" t="s">
        <x:v>916</x:v>
      </x:c>
      <x:c r="M112" s="65" t="s">
        <x:v>968</x:v>
      </x:c>
      <x:c r="N112" s="65" t="s">
        <x:v>916</x:v>
      </x:c>
      <x:c r="O112" s="65" t="s">
        <x:v>914</x:v>
      </x:c>
      <x:c r="P112" s="65" t="s">
        <x:v>916</x:v>
      </x:c>
      <x:c r="Q112" s="85" t="s">
        <x:v>916</x:v>
      </x:c>
      <x:c r="R112" s="85" t="s">
        <x:v>916</x:v>
      </x:c>
      <x:c r="S112" s="85" t="s">
        <x:v>916</x:v>
      </x:c>
      <x:c r="T112" s="85" t="s">
        <x:v>916</x:v>
      </x:c>
      <x:c r="U112" s="85" t="s">
        <x:v>916</x:v>
      </x:c>
      <x:c r="V112" s="85" t="s">
        <x:v>916</x:v>
      </x:c>
      <x:c r="W112" s="66"/>
      <x:c r="X112" s="83" t="str">
        <x:f t="shared" si="11"/>
        <x:v>Belum Dinilai</x:v>
      </x:c>
      <x:c r="Y112" s="83" t="str">
        <x:f t="shared" si="12"/>
        <x:v>Belum Dinilai</x:v>
      </x:c>
      <x:c r="Z112" s="84" t="str">
        <x:f t="shared" si="13"/>
      </x:c>
      <x:c r="AA112" s="84" t="str">
        <x:f t="shared" si="14"/>
      </x:c>
      <x:c r="AB112" s="84" t="str">
        <x:f t="shared" si="15"/>
      </x:c>
      <x:c r="AC112" s="67" t="s">
        <x:v>916</x:v>
      </x:c>
      <x:c r="AD112" s="67" t="s">
        <x:v>916</x:v>
      </x:c>
      <x:c r="AE112" s="67" t="s">
        <x:v>916</x:v>
      </x:c>
      <x:c r="AF112" s="67" t="s">
        <x:v>916</x:v>
      </x:c>
      <x:c r="AG112" s="67" t="s">
        <x:v>916</x:v>
      </x:c>
      <x:c r="AH112" s="67" t="s">
        <x:v>916</x:v>
      </x:c>
      <x:c r="AI112" s="67" t="s">
        <x:v>916</x:v>
      </x:c>
      <x:c r="AJ112" s="67" t="s">
        <x:v>916</x:v>
      </x:c>
      <x:c r="AK112" s="67" t="s">
        <x:v>916</x:v>
      </x:c>
      <x:c r="AL112" s="67"/>
      <x:c r="AM112" s="67" t="s">
        <x:v>916</x:v>
      </x:c>
      <x:c r="AN112" s="83" t="str">
        <x:f t="shared" si="16"/>
        <x:v>Belum Dinilai</x:v>
      </x:c>
      <x:c r="AO112" s="83" t="str">
        <x:f t="shared" si="17"/>
        <x:v>Belum Dinilai</x:v>
      </x:c>
      <x:c r="AP112" s="67"/>
      <x:c r="AQ112" s="70" t="str">
        <x:f t="shared" si="18"/>
      </x:c>
      <x:c r="AR112" s="70" t="str">
        <x:f t="shared" si="19"/>
      </x:c>
      <x:c r="AS112" s="70" t="str">
        <x:f t="shared" si="20"/>
      </x:c>
      <x:c r="AT112" s="68" t="str">
        <x:f t="shared" si="21"/>
        <x:v>Belum Dapat Ditentukan</x:v>
      </x:c>
      <x:c r="AU112" s="65" t="s">
        <x:v>887</x:v>
      </x:c>
      <x:c r="AV112" s="65" t="s">
        <x:v>904</x:v>
      </x:c>
      <x:c r="AW112" s="65" t="s">
        <x:v>889</x:v>
      </x:c>
      <x:c r="AX112" s="65" t="s">
        <x:v>890</x:v>
      </x:c>
      <x:c r="AY112" s="65"/>
      <x:c r="AZ112" s="65" t="s">
        <x:v>888</x:v>
      </x:c>
      <x:c r="BA112" s="65"/>
      <x:c r="BB112" s="177"/>
      <x:c r="BC112" s="71">
        <x:v>2026</x:v>
      </x:c>
      <x:c r="BD112" s="65"/>
      <x:c r="BE112" s="177"/>
      <x:c r="BF112" s="65" t="str">
        <x:v>Dinas Perkim Kota Pangkal Pinang</x:v>
      </x:c>
    </x:row>
    <x:row r="113" ht="28">
      <x:c r="A113" s="65" t="s">
        <x:v>1415</x:v>
      </x:c>
      <x:c r="B113" s="65" t="s">
        <x:v>1416</x:v>
      </x:c>
      <x:c r="C113" s="65"/>
      <x:c r="D113" s="65"/>
      <x:c r="E113" s="65" t="s">
        <x:v>1406</x:v>
      </x:c>
      <x:c r="F113" s="65" t="s">
        <x:v>1345</x:v>
      </x:c>
      <x:c r="G113" s="65" t="s">
        <x:v>977</x:v>
      </x:c>
      <x:c r="H113" s="65" t="s">
        <x:v>878</x:v>
      </x:c>
      <x:c r="I113" s="65" t="s">
        <x:v>1417</x:v>
      </x:c>
      <x:c r="J113" s="65" t="s">
        <x:v>910</x:v>
      </x:c>
      <x:c r="K113" s="65" t="s">
        <x:v>1000</x:v>
      </x:c>
      <x:c r="L113" s="65" t="s">
        <x:v>916</x:v>
      </x:c>
      <x:c r="M113" s="65" t="s">
        <x:v>968</x:v>
      </x:c>
      <x:c r="N113" s="65" t="s">
        <x:v>916</x:v>
      </x:c>
      <x:c r="O113" s="65" t="s">
        <x:v>968</x:v>
      </x:c>
      <x:c r="P113" s="65" t="s">
        <x:v>916</x:v>
      </x:c>
      <x:c r="Q113" s="85" t="s">
        <x:v>916</x:v>
      </x:c>
      <x:c r="R113" s="85" t="s">
        <x:v>916</x:v>
      </x:c>
      <x:c r="S113" s="85" t="s">
        <x:v>916</x:v>
      </x:c>
      <x:c r="T113" s="85" t="s">
        <x:v>916</x:v>
      </x:c>
      <x:c r="U113" s="85" t="s">
        <x:v>916</x:v>
      </x:c>
      <x:c r="V113" s="85" t="s">
        <x:v>916</x:v>
      </x:c>
      <x:c r="W113" s="66"/>
      <x:c r="X113" s="83" t="str">
        <x:f t="shared" si="11"/>
        <x:v>Belum Dinilai</x:v>
      </x:c>
      <x:c r="Y113" s="83" t="str">
        <x:f t="shared" si="12"/>
        <x:v>Belum Dinilai</x:v>
      </x:c>
      <x:c r="Z113" s="84" t="str">
        <x:f t="shared" si="13"/>
      </x:c>
      <x:c r="AA113" s="84" t="str">
        <x:f t="shared" si="14"/>
      </x:c>
      <x:c r="AB113" s="84" t="str">
        <x:f t="shared" si="15"/>
      </x:c>
      <x:c r="AC113" s="67" t="s">
        <x:v>916</x:v>
      </x:c>
      <x:c r="AD113" s="67" t="s">
        <x:v>916</x:v>
      </x:c>
      <x:c r="AE113" s="67" t="s">
        <x:v>916</x:v>
      </x:c>
      <x:c r="AF113" s="67" t="s">
        <x:v>916</x:v>
      </x:c>
      <x:c r="AG113" s="67" t="s">
        <x:v>916</x:v>
      </x:c>
      <x:c r="AH113" s="67" t="s">
        <x:v>916</x:v>
      </x:c>
      <x:c r="AI113" s="67" t="s">
        <x:v>916</x:v>
      </x:c>
      <x:c r="AJ113" s="67" t="s">
        <x:v>916</x:v>
      </x:c>
      <x:c r="AK113" s="67" t="s">
        <x:v>916</x:v>
      </x:c>
      <x:c r="AL113" s="67"/>
      <x:c r="AM113" s="67" t="s">
        <x:v>916</x:v>
      </x:c>
      <x:c r="AN113" s="83" t="str">
        <x:f t="shared" si="16"/>
        <x:v>Belum Dinilai</x:v>
      </x:c>
      <x:c r="AO113" s="83" t="str">
        <x:f t="shared" si="17"/>
        <x:v>Belum Dinilai</x:v>
      </x:c>
      <x:c r="AP113" s="67"/>
      <x:c r="AQ113" s="70" t="str">
        <x:f t="shared" si="18"/>
      </x:c>
      <x:c r="AR113" s="70" t="str">
        <x:f t="shared" si="19"/>
      </x:c>
      <x:c r="AS113" s="70" t="str">
        <x:f t="shared" si="20"/>
      </x:c>
      <x:c r="AT113" s="68" t="str">
        <x:f t="shared" si="21"/>
        <x:v>Belum Dapat Ditentukan</x:v>
      </x:c>
      <x:c r="AU113" s="65" t="s">
        <x:v>887</x:v>
      </x:c>
      <x:c r="AV113" s="65" t="s">
        <x:v>904</x:v>
      </x:c>
      <x:c r="AW113" s="65" t="s">
        <x:v>889</x:v>
      </x:c>
      <x:c r="AX113" s="65" t="s">
        <x:v>890</x:v>
      </x:c>
      <x:c r="AY113" s="65"/>
      <x:c r="AZ113" s="65" t="s">
        <x:v>888</x:v>
      </x:c>
      <x:c r="BA113" s="65"/>
      <x:c r="BB113" s="177"/>
      <x:c r="BC113" s="71">
        <x:v>2026</x:v>
      </x:c>
      <x:c r="BD113" s="65"/>
      <x:c r="BE113" s="177"/>
      <x:c r="BF113" s="65" t="str">
        <x:v>Dinas Perkim Kota Pangkal Pinang</x:v>
      </x:c>
    </x:row>
    <x:row r="114" ht="28">
      <x:c r="A114" s="65" t="s">
        <x:v>1418</x:v>
      </x:c>
      <x:c r="B114" s="65" t="s">
        <x:v>1419</x:v>
      </x:c>
      <x:c r="C114" s="65"/>
      <x:c r="D114" s="65"/>
      <x:c r="E114" s="65" t="s">
        <x:v>1420</x:v>
      </x:c>
      <x:c r="F114" s="65" t="s">
        <x:v>976</x:v>
      </x:c>
      <x:c r="G114" s="65" t="s">
        <x:v>977</x:v>
      </x:c>
      <x:c r="H114" s="65" t="s">
        <x:v>878</x:v>
      </x:c>
      <x:c r="I114" s="65" t="s">
        <x:v>1421</x:v>
      </x:c>
      <x:c r="J114" s="65" t="s">
        <x:v>964</x:v>
      </x:c>
      <x:c r="K114" s="65" t="s">
        <x:v>1000</x:v>
      </x:c>
      <x:c r="L114" s="65" t="s">
        <x:v>916</x:v>
      </x:c>
      <x:c r="M114" s="65" t="s">
        <x:v>1000</x:v>
      </x:c>
      <x:c r="N114" s="65" t="s">
        <x:v>916</x:v>
      </x:c>
      <x:c r="O114" s="65" t="s">
        <x:v>914</x:v>
      </x:c>
      <x:c r="P114" s="65" t="s">
        <x:v>916</x:v>
      </x:c>
      <x:c r="Q114" s="85" t="s">
        <x:v>916</x:v>
      </x:c>
      <x:c r="R114" s="85" t="s">
        <x:v>916</x:v>
      </x:c>
      <x:c r="S114" s="85" t="s">
        <x:v>916</x:v>
      </x:c>
      <x:c r="T114" s="85" t="s">
        <x:v>916</x:v>
      </x:c>
      <x:c r="U114" s="85" t="s">
        <x:v>916</x:v>
      </x:c>
      <x:c r="V114" s="85" t="s">
        <x:v>916</x:v>
      </x:c>
      <x:c r="W114" s="66"/>
      <x:c r="X114" s="83" t="str">
        <x:f t="shared" si="11"/>
        <x:v>Belum Dinilai</x:v>
      </x:c>
      <x:c r="Y114" s="83" t="str">
        <x:f t="shared" si="12"/>
        <x:v>Belum Dinilai</x:v>
      </x:c>
      <x:c r="Z114" s="84" t="str">
        <x:f t="shared" si="13"/>
      </x:c>
      <x:c r="AA114" s="84" t="str">
        <x:f t="shared" si="14"/>
      </x:c>
      <x:c r="AB114" s="84" t="str">
        <x:f t="shared" si="15"/>
      </x:c>
      <x:c r="AC114" s="67" t="s">
        <x:v>916</x:v>
      </x:c>
      <x:c r="AD114" s="67" t="s">
        <x:v>916</x:v>
      </x:c>
      <x:c r="AE114" s="67" t="s">
        <x:v>916</x:v>
      </x:c>
      <x:c r="AF114" s="67" t="s">
        <x:v>916</x:v>
      </x:c>
      <x:c r="AG114" s="67" t="s">
        <x:v>916</x:v>
      </x:c>
      <x:c r="AH114" s="67" t="s">
        <x:v>916</x:v>
      </x:c>
      <x:c r="AI114" s="67" t="s">
        <x:v>916</x:v>
      </x:c>
      <x:c r="AJ114" s="67" t="s">
        <x:v>916</x:v>
      </x:c>
      <x:c r="AK114" s="67" t="s">
        <x:v>916</x:v>
      </x:c>
      <x:c r="AL114" s="67"/>
      <x:c r="AM114" s="67" t="s">
        <x:v>916</x:v>
      </x:c>
      <x:c r="AN114" s="83" t="str">
        <x:f t="shared" si="16"/>
        <x:v>Belum Dinilai</x:v>
      </x:c>
      <x:c r="AO114" s="83" t="str">
        <x:f t="shared" si="17"/>
        <x:v>Belum Dinilai</x:v>
      </x:c>
      <x:c r="AP114" s="67"/>
      <x:c r="AQ114" s="70" t="str">
        <x:f t="shared" si="18"/>
      </x:c>
      <x:c r="AR114" s="70" t="str">
        <x:f t="shared" si="19"/>
      </x:c>
      <x:c r="AS114" s="70" t="str">
        <x:f t="shared" si="20"/>
      </x:c>
      <x:c r="AT114" s="68" t="str">
        <x:f t="shared" si="21"/>
        <x:v>Belum Dapat Ditentukan</x:v>
      </x:c>
      <x:c r="AU114" s="65" t="s">
        <x:v>887</x:v>
      </x:c>
      <x:c r="AV114" s="65" t="s">
        <x:v>904</x:v>
      </x:c>
      <x:c r="AW114" s="65" t="s">
        <x:v>1001</x:v>
      </x:c>
      <x:c r="AX114" s="65" t="s">
        <x:v>906</x:v>
      </x:c>
      <x:c r="AY114" s="65">
        <x:v>2021</x:v>
      </x:c>
      <x:c r="AZ114" s="65" t="s">
        <x:v>888</x:v>
      </x:c>
      <x:c r="BA114" s="65"/>
      <x:c r="BB114" s="177"/>
      <x:c r="BC114" s="71">
        <x:v>2026</x:v>
      </x:c>
      <x:c r="BD114" s="65"/>
      <x:c r="BE114" s="177"/>
      <x:c r="BF114" s="65" t="str">
        <x:v>Dinas Perkim Kota Pangkal Pinang</x:v>
      </x:c>
    </x:row>
    <x:row r="115" ht="28">
      <x:c r="A115" s="65" t="s">
        <x:v>1422</x:v>
      </x:c>
      <x:c r="B115" s="65" t="s">
        <x:v>1423</x:v>
      </x:c>
      <x:c r="C115" s="65"/>
      <x:c r="D115" s="65"/>
      <x:c r="E115" s="65" t="s">
        <x:v>1424</x:v>
      </x:c>
      <x:c r="F115" s="65" t="s">
        <x:v>976</x:v>
      </x:c>
      <x:c r="G115" s="65" t="s">
        <x:v>977</x:v>
      </x:c>
      <x:c r="H115" s="65" t="s">
        <x:v>894</x:v>
      </x:c>
      <x:c r="I115" s="65" t="s">
        <x:v>1425</x:v>
      </x:c>
      <x:c r="J115" s="65" t="s">
        <x:v>895</x:v>
      </x:c>
      <x:c r="K115" s="65" t="s">
        <x:v>1000</x:v>
      </x:c>
      <x:c r="L115" s="65" t="s">
        <x:v>916</x:v>
      </x:c>
      <x:c r="M115" s="65" t="s">
        <x:v>979</x:v>
      </x:c>
      <x:c r="N115" s="65" t="s">
        <x:v>916</x:v>
      </x:c>
      <x:c r="O115" s="65" t="s">
        <x:v>914</x:v>
      </x:c>
      <x:c r="P115" s="65" t="s">
        <x:v>916</x:v>
      </x:c>
      <x:c r="Q115" s="85" t="s">
        <x:v>916</x:v>
      </x:c>
      <x:c r="R115" s="85" t="s">
        <x:v>916</x:v>
      </x:c>
      <x:c r="S115" s="85" t="s">
        <x:v>916</x:v>
      </x:c>
      <x:c r="T115" s="85" t="s">
        <x:v>916</x:v>
      </x:c>
      <x:c r="U115" s="85" t="s">
        <x:v>916</x:v>
      </x:c>
      <x:c r="V115" s="85" t="s">
        <x:v>916</x:v>
      </x:c>
      <x:c r="W115" s="66"/>
      <x:c r="X115" s="83" t="str">
        <x:f t="shared" si="11"/>
        <x:v>Belum Dinilai</x:v>
      </x:c>
      <x:c r="Y115" s="83" t="str">
        <x:f t="shared" si="12"/>
        <x:v>Belum Dinilai</x:v>
      </x:c>
      <x:c r="Z115" s="84" t="str">
        <x:f t="shared" si="13"/>
      </x:c>
      <x:c r="AA115" s="84" t="str">
        <x:f t="shared" si="14"/>
      </x:c>
      <x:c r="AB115" s="84" t="str">
        <x:f t="shared" si="15"/>
      </x:c>
      <x:c r="AC115" s="67" t="s">
        <x:v>916</x:v>
      </x:c>
      <x:c r="AD115" s="67" t="s">
        <x:v>916</x:v>
      </x:c>
      <x:c r="AE115" s="67" t="s">
        <x:v>916</x:v>
      </x:c>
      <x:c r="AF115" s="67" t="s">
        <x:v>916</x:v>
      </x:c>
      <x:c r="AG115" s="67" t="s">
        <x:v>916</x:v>
      </x:c>
      <x:c r="AH115" s="67" t="s">
        <x:v>916</x:v>
      </x:c>
      <x:c r="AI115" s="67" t="s">
        <x:v>916</x:v>
      </x:c>
      <x:c r="AJ115" s="67" t="s">
        <x:v>916</x:v>
      </x:c>
      <x:c r="AK115" s="67" t="s">
        <x:v>916</x:v>
      </x:c>
      <x:c r="AL115" s="67"/>
      <x:c r="AM115" s="67" t="s">
        <x:v>916</x:v>
      </x:c>
      <x:c r="AN115" s="83" t="str">
        <x:f t="shared" si="16"/>
        <x:v>Belum Dinilai</x:v>
      </x:c>
      <x:c r="AO115" s="83" t="str">
        <x:f t="shared" si="17"/>
        <x:v>Belum Dinilai</x:v>
      </x:c>
      <x:c r="AP115" s="67"/>
      <x:c r="AQ115" s="70" t="str">
        <x:f t="shared" si="18"/>
      </x:c>
      <x:c r="AR115" s="70" t="str">
        <x:f t="shared" si="19"/>
      </x:c>
      <x:c r="AS115" s="70" t="str">
        <x:f t="shared" si="20"/>
      </x:c>
      <x:c r="AT115" s="68" t="str">
        <x:f t="shared" si="21"/>
        <x:v>Belum Dapat Ditentukan</x:v>
      </x:c>
      <x:c r="AU115" s="65" t="s">
        <x:v>887</x:v>
      </x:c>
      <x:c r="AV115" s="65" t="s">
        <x:v>904</x:v>
      </x:c>
      <x:c r="AW115" s="65" t="s">
        <x:v>1001</x:v>
      </x:c>
      <x:c r="AX115" s="65" t="s">
        <x:v>906</x:v>
      </x:c>
      <x:c r="AY115" s="65">
        <x:v>2021</x:v>
      </x:c>
      <x:c r="AZ115" s="65" t="s">
        <x:v>888</x:v>
      </x:c>
      <x:c r="BA115" s="65"/>
      <x:c r="BB115" s="177"/>
      <x:c r="BC115" s="71">
        <x:v>2026</x:v>
      </x:c>
      <x:c r="BD115" s="65"/>
      <x:c r="BE115" s="177"/>
      <x:c r="BF115" s="65" t="str">
        <x:v>Dinas Perkim Kota Pangkal Pinang</x:v>
      </x:c>
    </x:row>
    <x:row r="116" ht="28">
      <x:c r="A116" s="65" t="s">
        <x:v>1426</x:v>
      </x:c>
      <x:c r="B116" s="65" t="s">
        <x:v>1427</x:v>
      </x:c>
      <x:c r="C116" s="65"/>
      <x:c r="D116" s="65"/>
      <x:c r="E116" s="65" t="s">
        <x:v>1428</x:v>
      </x:c>
      <x:c r="F116" s="65" t="s">
        <x:v>976</x:v>
      </x:c>
      <x:c r="G116" s="65" t="s">
        <x:v>977</x:v>
      </x:c>
      <x:c r="H116" s="65" t="s">
        <x:v>878</x:v>
      </x:c>
      <x:c r="I116" s="65" t="s">
        <x:v>1429</x:v>
      </x:c>
      <x:c r="J116" s="65" t="s">
        <x:v>895</x:v>
      </x:c>
      <x:c r="K116" s="65" t="s">
        <x:v>1000</x:v>
      </x:c>
      <x:c r="L116" s="65" t="s">
        <x:v>916</x:v>
      </x:c>
      <x:c r="M116" s="65" t="s">
        <x:v>979</x:v>
      </x:c>
      <x:c r="N116" s="65" t="s">
        <x:v>916</x:v>
      </x:c>
      <x:c r="O116" s="65" t="s">
        <x:v>914</x:v>
      </x:c>
      <x:c r="P116" s="65" t="s">
        <x:v>916</x:v>
      </x:c>
      <x:c r="Q116" s="85" t="s">
        <x:v>916</x:v>
      </x:c>
      <x:c r="R116" s="85" t="s">
        <x:v>916</x:v>
      </x:c>
      <x:c r="S116" s="85" t="s">
        <x:v>916</x:v>
      </x:c>
      <x:c r="T116" s="85" t="s">
        <x:v>916</x:v>
      </x:c>
      <x:c r="U116" s="85" t="s">
        <x:v>916</x:v>
      </x:c>
      <x:c r="V116" s="85" t="s">
        <x:v>916</x:v>
      </x:c>
      <x:c r="W116" s="66"/>
      <x:c r="X116" s="83" t="str">
        <x:f t="shared" si="11"/>
        <x:v>Belum Dinilai</x:v>
      </x:c>
      <x:c r="Y116" s="83" t="str">
        <x:f t="shared" si="12"/>
        <x:v>Belum Dinilai</x:v>
      </x:c>
      <x:c r="Z116" s="84" t="str">
        <x:f t="shared" si="13"/>
      </x:c>
      <x:c r="AA116" s="84" t="str">
        <x:f t="shared" si="14"/>
      </x:c>
      <x:c r="AB116" s="84" t="str">
        <x:f t="shared" si="15"/>
      </x:c>
      <x:c r="AC116" s="67" t="s">
        <x:v>916</x:v>
      </x:c>
      <x:c r="AD116" s="67" t="s">
        <x:v>916</x:v>
      </x:c>
      <x:c r="AE116" s="67" t="s">
        <x:v>916</x:v>
      </x:c>
      <x:c r="AF116" s="67" t="s">
        <x:v>916</x:v>
      </x:c>
      <x:c r="AG116" s="67" t="s">
        <x:v>916</x:v>
      </x:c>
      <x:c r="AH116" s="67" t="s">
        <x:v>916</x:v>
      </x:c>
      <x:c r="AI116" s="67" t="s">
        <x:v>916</x:v>
      </x:c>
      <x:c r="AJ116" s="67" t="s">
        <x:v>916</x:v>
      </x:c>
      <x:c r="AK116" s="67" t="s">
        <x:v>916</x:v>
      </x:c>
      <x:c r="AL116" s="67"/>
      <x:c r="AM116" s="67" t="s">
        <x:v>916</x:v>
      </x:c>
      <x:c r="AN116" s="83" t="str">
        <x:f t="shared" si="16"/>
        <x:v>Belum Dinilai</x:v>
      </x:c>
      <x:c r="AO116" s="83" t="str">
        <x:f t="shared" si="17"/>
        <x:v>Belum Dinilai</x:v>
      </x:c>
      <x:c r="AP116" s="67"/>
      <x:c r="AQ116" s="70" t="str">
        <x:f t="shared" si="18"/>
      </x:c>
      <x:c r="AR116" s="70" t="str">
        <x:f t="shared" si="19"/>
      </x:c>
      <x:c r="AS116" s="70" t="str">
        <x:f t="shared" si="20"/>
      </x:c>
      <x:c r="AT116" s="68" t="str">
        <x:f t="shared" si="21"/>
        <x:v>Belum Dapat Ditentukan</x:v>
      </x:c>
      <x:c r="AU116" s="65" t="s">
        <x:v>887</x:v>
      </x:c>
      <x:c r="AV116" s="65" t="s">
        <x:v>904</x:v>
      </x:c>
      <x:c r="AW116" s="65" t="s">
        <x:v>1001</x:v>
      </x:c>
      <x:c r="AX116" s="65" t="s">
        <x:v>906</x:v>
      </x:c>
      <x:c r="AY116" s="65">
        <x:v>2023</x:v>
      </x:c>
      <x:c r="AZ116" s="65" t="s">
        <x:v>888</x:v>
      </x:c>
      <x:c r="BA116" s="65"/>
      <x:c r="BB116" s="177"/>
      <x:c r="BC116" s="71">
        <x:v>2026</x:v>
      </x:c>
      <x:c r="BD116" s="65"/>
      <x:c r="BE116" s="177"/>
      <x:c r="BF116" s="65" t="str">
        <x:v>Dinas Perkim Kota Pangkal Pinang</x:v>
      </x:c>
    </x:row>
    <x:row r="117" ht="28">
      <x:c r="A117" s="65" t="s">
        <x:v>1430</x:v>
      </x:c>
      <x:c r="B117" s="65" t="s">
        <x:v>1431</x:v>
      </x:c>
      <x:c r="C117" s="65"/>
      <x:c r="D117" s="65"/>
      <x:c r="E117" s="65" t="s">
        <x:v>1428</x:v>
      </x:c>
      <x:c r="F117" s="65" t="s">
        <x:v>976</x:v>
      </x:c>
      <x:c r="G117" s="65" t="s">
        <x:v>977</x:v>
      </x:c>
      <x:c r="H117" s="65" t="s">
        <x:v>878</x:v>
      </x:c>
      <x:c r="I117" s="65" t="s">
        <x:v>1429</x:v>
      </x:c>
      <x:c r="J117" s="65" t="s">
        <x:v>895</x:v>
      </x:c>
      <x:c r="K117" s="65" t="s">
        <x:v>1000</x:v>
      </x:c>
      <x:c r="L117" s="65" t="s">
        <x:v>916</x:v>
      </x:c>
      <x:c r="M117" s="65" t="s">
        <x:v>979</x:v>
      </x:c>
      <x:c r="N117" s="65" t="s">
        <x:v>916</x:v>
      </x:c>
      <x:c r="O117" s="65" t="s">
        <x:v>914</x:v>
      </x:c>
      <x:c r="P117" s="65" t="s">
        <x:v>916</x:v>
      </x:c>
      <x:c r="Q117" s="85" t="s">
        <x:v>916</x:v>
      </x:c>
      <x:c r="R117" s="85" t="s">
        <x:v>916</x:v>
      </x:c>
      <x:c r="S117" s="85" t="s">
        <x:v>916</x:v>
      </x:c>
      <x:c r="T117" s="85" t="s">
        <x:v>916</x:v>
      </x:c>
      <x:c r="U117" s="85" t="s">
        <x:v>916</x:v>
      </x:c>
      <x:c r="V117" s="85" t="s">
        <x:v>916</x:v>
      </x:c>
      <x:c r="W117" s="66"/>
      <x:c r="X117" s="83" t="str">
        <x:f t="shared" si="11"/>
        <x:v>Belum Dinilai</x:v>
      </x:c>
      <x:c r="Y117" s="83" t="str">
        <x:f t="shared" si="12"/>
        <x:v>Belum Dinilai</x:v>
      </x:c>
      <x:c r="Z117" s="84" t="str">
        <x:f t="shared" si="13"/>
      </x:c>
      <x:c r="AA117" s="84" t="str">
        <x:f t="shared" si="14"/>
      </x:c>
      <x:c r="AB117" s="84" t="str">
        <x:f t="shared" si="15"/>
      </x:c>
      <x:c r="AC117" s="67" t="s">
        <x:v>916</x:v>
      </x:c>
      <x:c r="AD117" s="67" t="s">
        <x:v>916</x:v>
      </x:c>
      <x:c r="AE117" s="67" t="s">
        <x:v>916</x:v>
      </x:c>
      <x:c r="AF117" s="67" t="s">
        <x:v>916</x:v>
      </x:c>
      <x:c r="AG117" s="67" t="s">
        <x:v>916</x:v>
      </x:c>
      <x:c r="AH117" s="67" t="s">
        <x:v>916</x:v>
      </x:c>
      <x:c r="AI117" s="67" t="s">
        <x:v>916</x:v>
      </x:c>
      <x:c r="AJ117" s="67" t="s">
        <x:v>916</x:v>
      </x:c>
      <x:c r="AK117" s="67" t="s">
        <x:v>916</x:v>
      </x:c>
      <x:c r="AL117" s="67"/>
      <x:c r="AM117" s="67" t="s">
        <x:v>916</x:v>
      </x:c>
      <x:c r="AN117" s="83" t="str">
        <x:f t="shared" si="16"/>
        <x:v>Belum Dinilai</x:v>
      </x:c>
      <x:c r="AO117" s="83" t="str">
        <x:f t="shared" si="17"/>
        <x:v>Belum Dinilai</x:v>
      </x:c>
      <x:c r="AP117" s="67"/>
      <x:c r="AQ117" s="70" t="str">
        <x:f t="shared" si="18"/>
      </x:c>
      <x:c r="AR117" s="70" t="str">
        <x:f t="shared" si="19"/>
      </x:c>
      <x:c r="AS117" s="70" t="str">
        <x:f t="shared" si="20"/>
      </x:c>
      <x:c r="AT117" s="68" t="str">
        <x:f t="shared" si="21"/>
        <x:v>Belum Dapat Ditentukan</x:v>
      </x:c>
      <x:c r="AU117" s="65" t="s">
        <x:v>887</x:v>
      </x:c>
      <x:c r="AV117" s="65" t="s">
        <x:v>904</x:v>
      </x:c>
      <x:c r="AW117" s="65" t="s">
        <x:v>1001</x:v>
      </x:c>
      <x:c r="AX117" s="65" t="s">
        <x:v>906</x:v>
      </x:c>
      <x:c r="AY117" s="65">
        <x:v>2023</x:v>
      </x:c>
      <x:c r="AZ117" s="65" t="s">
        <x:v>888</x:v>
      </x:c>
      <x:c r="BA117" s="65"/>
      <x:c r="BB117" s="177"/>
      <x:c r="BC117" s="71">
        <x:v>2026</x:v>
      </x:c>
      <x:c r="BD117" s="65"/>
      <x:c r="BE117" s="177"/>
      <x:c r="BF117" s="65" t="str">
        <x:v>Dinas Perkim Kota Pangkal Pinang</x:v>
      </x:c>
    </x:row>
    <x:row r="118" ht="28">
      <x:c r="A118" s="65" t="s">
        <x:v>1432</x:v>
      </x:c>
      <x:c r="B118" s="65" t="s">
        <x:v>1433</x:v>
      </x:c>
      <x:c r="C118" s="65"/>
      <x:c r="D118" s="65"/>
      <x:c r="E118" s="65" t="s">
        <x:v>1434</x:v>
      </x:c>
      <x:c r="F118" s="65" t="s">
        <x:v>1261</x:v>
      </x:c>
      <x:c r="G118" s="65" t="s">
        <x:v>977</x:v>
      </x:c>
      <x:c r="H118" s="65" t="s">
        <x:v>878</x:v>
      </x:c>
      <x:c r="I118" s="65" t="s">
        <x:v>1435</x:v>
      </x:c>
      <x:c r="J118" s="65" t="s">
        <x:v>910</x:v>
      </x:c>
      <x:c r="K118" s="65" t="s">
        <x:v>1000</x:v>
      </x:c>
      <x:c r="L118" s="65" t="s">
        <x:v>916</x:v>
      </x:c>
      <x:c r="M118" s="65" t="s">
        <x:v>968</x:v>
      </x:c>
      <x:c r="N118" s="65" t="s">
        <x:v>916</x:v>
      </x:c>
      <x:c r="O118" s="65" t="s">
        <x:v>914</x:v>
      </x:c>
      <x:c r="P118" s="65" t="s">
        <x:v>916</x:v>
      </x:c>
      <x:c r="Q118" s="85" t="s">
        <x:v>916</x:v>
      </x:c>
      <x:c r="R118" s="85" t="s">
        <x:v>916</x:v>
      </x:c>
      <x:c r="S118" s="85" t="s">
        <x:v>916</x:v>
      </x:c>
      <x:c r="T118" s="85" t="s">
        <x:v>916</x:v>
      </x:c>
      <x:c r="U118" s="85" t="s">
        <x:v>916</x:v>
      </x:c>
      <x:c r="V118" s="85" t="s">
        <x:v>916</x:v>
      </x:c>
      <x:c r="W118" s="66"/>
      <x:c r="X118" s="83" t="str">
        <x:f t="shared" si="11"/>
        <x:v>Belum Dinilai</x:v>
      </x:c>
      <x:c r="Y118" s="83" t="str">
        <x:f t="shared" si="12"/>
        <x:v>Belum Dinilai</x:v>
      </x:c>
      <x:c r="Z118" s="84" t="str">
        <x:f t="shared" si="13"/>
      </x:c>
      <x:c r="AA118" s="84" t="str">
        <x:f t="shared" si="14"/>
      </x:c>
      <x:c r="AB118" s="84" t="str">
        <x:f t="shared" si="15"/>
      </x:c>
      <x:c r="AC118" s="67" t="s">
        <x:v>916</x:v>
      </x:c>
      <x:c r="AD118" s="67" t="s">
        <x:v>916</x:v>
      </x:c>
      <x:c r="AE118" s="67" t="s">
        <x:v>916</x:v>
      </x:c>
      <x:c r="AF118" s="67" t="s">
        <x:v>916</x:v>
      </x:c>
      <x:c r="AG118" s="67" t="s">
        <x:v>916</x:v>
      </x:c>
      <x:c r="AH118" s="67" t="s">
        <x:v>916</x:v>
      </x:c>
      <x:c r="AI118" s="67" t="s">
        <x:v>916</x:v>
      </x:c>
      <x:c r="AJ118" s="67" t="s">
        <x:v>916</x:v>
      </x:c>
      <x:c r="AK118" s="67" t="s">
        <x:v>916</x:v>
      </x:c>
      <x:c r="AL118" s="67"/>
      <x:c r="AM118" s="67" t="s">
        <x:v>916</x:v>
      </x:c>
      <x:c r="AN118" s="83" t="str">
        <x:f t="shared" si="16"/>
        <x:v>Belum Dinilai</x:v>
      </x:c>
      <x:c r="AO118" s="83" t="str">
        <x:f t="shared" si="17"/>
        <x:v>Belum Dinilai</x:v>
      </x:c>
      <x:c r="AP118" s="67"/>
      <x:c r="AQ118" s="70" t="str">
        <x:f t="shared" si="18"/>
      </x:c>
      <x:c r="AR118" s="70" t="str">
        <x:f t="shared" si="19"/>
      </x:c>
      <x:c r="AS118" s="70" t="str">
        <x:f t="shared" si="20"/>
      </x:c>
      <x:c r="AT118" s="68" t="str">
        <x:f t="shared" si="21"/>
        <x:v>Belum Dapat Ditentukan</x:v>
      </x:c>
      <x:c r="AU118" s="65" t="s">
        <x:v>903</x:v>
      </x:c>
      <x:c r="AV118" s="65" t="s">
        <x:v>904</x:v>
      </x:c>
      <x:c r="AW118" s="65" t="s">
        <x:v>889</x:v>
      </x:c>
      <x:c r="AX118" s="65" t="s">
        <x:v>890</x:v>
      </x:c>
      <x:c r="AY118" s="65"/>
      <x:c r="AZ118" s="65" t="s">
        <x:v>888</x:v>
      </x:c>
      <x:c r="BA118" s="65"/>
      <x:c r="BB118" s="177"/>
      <x:c r="BC118" s="71">
        <x:v>2026</x:v>
      </x:c>
      <x:c r="BD118" s="65"/>
      <x:c r="BE118" s="177"/>
      <x:c r="BF118" s="65" t="str">
        <x:v>Dinas Perkim Kota Pangkal Pinang</x:v>
      </x:c>
    </x:row>
    <x:row r="119" ht="42">
      <x:c r="A119" s="65" t="s">
        <x:v>1436</x:v>
      </x:c>
      <x:c r="B119" s="65" t="s">
        <x:v>1437</x:v>
      </x:c>
      <x:c r="C119" s="65"/>
      <x:c r="D119" s="65"/>
      <x:c r="E119" s="65" t="s">
        <x:v>1438</x:v>
      </x:c>
      <x:c r="F119" s="65" t="s">
        <x:v>1261</x:v>
      </x:c>
      <x:c r="G119" s="65" t="s">
        <x:v>977</x:v>
      </x:c>
      <x:c r="H119" s="65" t="s">
        <x:v>878</x:v>
      </x:c>
      <x:c r="I119" s="65" t="s">
        <x:v>1439</x:v>
      </x:c>
      <x:c r="J119" s="65" t="s">
        <x:v>910</x:v>
      </x:c>
      <x:c r="K119" s="65" t="s">
        <x:v>896</x:v>
      </x:c>
      <x:c r="L119" s="65" t="s">
        <x:v>916</x:v>
      </x:c>
      <x:c r="M119" s="65" t="s">
        <x:v>968</x:v>
      </x:c>
      <x:c r="N119" s="65" t="s">
        <x:v>916</x:v>
      </x:c>
      <x:c r="O119" s="65" t="s">
        <x:v>1000</x:v>
      </x:c>
      <x:c r="P119" s="65" t="s">
        <x:v>916</x:v>
      </x:c>
      <x:c r="Q119" s="85" t="s">
        <x:v>916</x:v>
      </x:c>
      <x:c r="R119" s="85" t="s">
        <x:v>916</x:v>
      </x:c>
      <x:c r="S119" s="85" t="s">
        <x:v>916</x:v>
      </x:c>
      <x:c r="T119" s="85" t="s">
        <x:v>916</x:v>
      </x:c>
      <x:c r="U119" s="85" t="s">
        <x:v>916</x:v>
      </x:c>
      <x:c r="V119" s="85" t="s">
        <x:v>916</x:v>
      </x:c>
      <x:c r="W119" s="66"/>
      <x:c r="X119" s="83" t="str">
        <x:f t="shared" si="11"/>
        <x:v>Belum Dinilai</x:v>
      </x:c>
      <x:c r="Y119" s="83" t="str">
        <x:f t="shared" si="12"/>
        <x:v>Belum Dinilai</x:v>
      </x:c>
      <x:c r="Z119" s="84" t="str">
        <x:f t="shared" si="13"/>
      </x:c>
      <x:c r="AA119" s="84" t="str">
        <x:f t="shared" si="14"/>
      </x:c>
      <x:c r="AB119" s="84" t="str">
        <x:f t="shared" si="15"/>
      </x:c>
      <x:c r="AC119" s="67" t="s">
        <x:v>916</x:v>
      </x:c>
      <x:c r="AD119" s="67" t="s">
        <x:v>916</x:v>
      </x:c>
      <x:c r="AE119" s="67" t="s">
        <x:v>916</x:v>
      </x:c>
      <x:c r="AF119" s="67" t="s">
        <x:v>916</x:v>
      </x:c>
      <x:c r="AG119" s="67" t="s">
        <x:v>916</x:v>
      </x:c>
      <x:c r="AH119" s="67" t="s">
        <x:v>916</x:v>
      </x:c>
      <x:c r="AI119" s="67" t="s">
        <x:v>916</x:v>
      </x:c>
      <x:c r="AJ119" s="67" t="s">
        <x:v>916</x:v>
      </x:c>
      <x:c r="AK119" s="67" t="s">
        <x:v>916</x:v>
      </x:c>
      <x:c r="AL119" s="67"/>
      <x:c r="AM119" s="67" t="s">
        <x:v>916</x:v>
      </x:c>
      <x:c r="AN119" s="83" t="str">
        <x:f t="shared" si="16"/>
        <x:v>Belum Dinilai</x:v>
      </x:c>
      <x:c r="AO119" s="83" t="str">
        <x:f t="shared" si="17"/>
        <x:v>Belum Dinilai</x:v>
      </x:c>
      <x:c r="AP119" s="67"/>
      <x:c r="AQ119" s="70" t="str">
        <x:f t="shared" si="18"/>
      </x:c>
      <x:c r="AR119" s="70" t="str">
        <x:f t="shared" si="19"/>
      </x:c>
      <x:c r="AS119" s="70" t="str">
        <x:f t="shared" si="20"/>
      </x:c>
      <x:c r="AT119" s="68" t="str">
        <x:f t="shared" si="21"/>
        <x:v>Belum Dapat Ditentukan</x:v>
      </x:c>
      <x:c r="AU119" s="65" t="s">
        <x:v>887</x:v>
      </x:c>
      <x:c r="AV119" s="65" t="s">
        <x:v>904</x:v>
      </x:c>
      <x:c r="AW119" s="65" t="s">
        <x:v>1001</x:v>
      </x:c>
      <x:c r="AX119" s="65" t="s">
        <x:v>906</x:v>
      </x:c>
      <x:c r="AY119" s="65">
        <x:v>2022</x:v>
      </x:c>
      <x:c r="AZ119" s="65" t="s">
        <x:v>907</x:v>
      </x:c>
      <x:c r="BA119" s="65"/>
      <x:c r="BB119" s="177"/>
      <x:c r="BC119" s="71">
        <x:v>2026</x:v>
      </x:c>
      <x:c r="BD119" s="65"/>
      <x:c r="BE119" s="177"/>
      <x:c r="BF119" s="65" t="str">
        <x:v>Dinas Perkim Kota Pangkal Pinang</x:v>
      </x:c>
    </x:row>
    <x:row r="120" ht="28">
      <x:c r="A120" s="65" t="s">
        <x:v>1440</x:v>
      </x:c>
      <x:c r="B120" s="65" t="s">
        <x:v>1441</x:v>
      </x:c>
      <x:c r="C120" s="65"/>
      <x:c r="D120" s="65"/>
      <x:c r="E120" s="65" t="s">
        <x:v>1002</x:v>
      </x:c>
      <x:c r="F120" s="65" t="s">
        <x:v>1017</x:v>
      </x:c>
      <x:c r="G120" s="65" t="s">
        <x:v>990</x:v>
      </x:c>
      <x:c r="H120" s="65" t="s">
        <x:v>894</x:v>
      </x:c>
      <x:c r="I120" s="65" t="s">
        <x:v>1442</x:v>
      </x:c>
      <x:c r="J120" s="65" t="s">
        <x:v>879</x:v>
      </x:c>
      <x:c r="K120" s="65" t="s">
        <x:v>896</x:v>
      </x:c>
      <x:c r="L120" s="65" t="s">
        <x:v>916</x:v>
      </x:c>
      <x:c r="M120" s="65" t="s">
        <x:v>913</x:v>
      </x:c>
      <x:c r="N120" s="65" t="s">
        <x:v>916</x:v>
      </x:c>
      <x:c r="O120" s="65" t="s">
        <x:v>914</x:v>
      </x:c>
      <x:c r="P120" s="65" t="s">
        <x:v>916</x:v>
      </x:c>
      <x:c r="Q120" s="85" t="s">
        <x:v>916</x:v>
      </x:c>
      <x:c r="R120" s="85" t="s">
        <x:v>916</x:v>
      </x:c>
      <x:c r="S120" s="85" t="s">
        <x:v>916</x:v>
      </x:c>
      <x:c r="T120" s="85" t="s">
        <x:v>916</x:v>
      </x:c>
      <x:c r="U120" s="85" t="s">
        <x:v>916</x:v>
      </x:c>
      <x:c r="V120" s="85" t="s">
        <x:v>916</x:v>
      </x:c>
      <x:c r="W120" s="66"/>
      <x:c r="X120" s="83" t="str">
        <x:f t="shared" si="11"/>
        <x:v>Belum Dinilai</x:v>
      </x:c>
      <x:c r="Y120" s="83" t="str">
        <x:f t="shared" si="12"/>
        <x:v>Belum Dinilai</x:v>
      </x:c>
      <x:c r="Z120" s="84" t="str">
        <x:f t="shared" si="13"/>
      </x:c>
      <x:c r="AA120" s="84" t="str">
        <x:f t="shared" si="14"/>
      </x:c>
      <x:c r="AB120" s="84" t="str">
        <x:f t="shared" si="15"/>
      </x:c>
      <x:c r="AC120" s="67" t="s">
        <x:v>916</x:v>
      </x:c>
      <x:c r="AD120" s="67" t="s">
        <x:v>916</x:v>
      </x:c>
      <x:c r="AE120" s="67" t="s">
        <x:v>916</x:v>
      </x:c>
      <x:c r="AF120" s="67" t="s">
        <x:v>916</x:v>
      </x:c>
      <x:c r="AG120" s="67" t="s">
        <x:v>916</x:v>
      </x:c>
      <x:c r="AH120" s="67" t="s">
        <x:v>916</x:v>
      </x:c>
      <x:c r="AI120" s="67" t="s">
        <x:v>916</x:v>
      </x:c>
      <x:c r="AJ120" s="67" t="s">
        <x:v>916</x:v>
      </x:c>
      <x:c r="AK120" s="67" t="s">
        <x:v>916</x:v>
      </x:c>
      <x:c r="AL120" s="67"/>
      <x:c r="AM120" s="67" t="s">
        <x:v>916</x:v>
      </x:c>
      <x:c r="AN120" s="83" t="str">
        <x:f t="shared" si="16"/>
        <x:v>Belum Dinilai</x:v>
      </x:c>
      <x:c r="AO120" s="83" t="str">
        <x:f t="shared" si="17"/>
        <x:v>Belum Dinilai</x:v>
      </x:c>
      <x:c r="AP120" s="67"/>
      <x:c r="AQ120" s="70" t="str">
        <x:f t="shared" si="18"/>
      </x:c>
      <x:c r="AR120" s="70" t="str">
        <x:f t="shared" si="19"/>
      </x:c>
      <x:c r="AS120" s="70" t="str">
        <x:f t="shared" si="20"/>
      </x:c>
      <x:c r="AT120" s="68" t="str">
        <x:f t="shared" si="21"/>
        <x:v>Belum Dapat Ditentukan</x:v>
      </x:c>
      <x:c r="AU120" s="65" t="s">
        <x:v>887</x:v>
      </x:c>
      <x:c r="AV120" s="65" t="s">
        <x:v>904</x:v>
      </x:c>
      <x:c r="AW120" s="65" t="s">
        <x:v>1001</x:v>
      </x:c>
      <x:c r="AX120" s="65" t="s">
        <x:v>906</x:v>
      </x:c>
      <x:c r="AY120" s="65">
        <x:v>2021</x:v>
      </x:c>
      <x:c r="AZ120" s="65" t="s">
        <x:v>888</x:v>
      </x:c>
      <x:c r="BA120" s="65"/>
      <x:c r="BB120" s="177"/>
      <x:c r="BC120" s="71">
        <x:v>2026</x:v>
      </x:c>
      <x:c r="BD120" s="65"/>
      <x:c r="BE120" s="177"/>
      <x:c r="BF120" s="65" t="str">
        <x:v>Dinas Perkim Kota Pangkal Pinang</x:v>
      </x:c>
    </x:row>
    <x:row r="121" ht="42">
      <x:c r="A121" s="65" t="s">
        <x:v>1443</x:v>
      </x:c>
      <x:c r="B121" s="65" t="s">
        <x:v>1444</x:v>
      </x:c>
      <x:c r="C121" s="65"/>
      <x:c r="D121" s="65"/>
      <x:c r="E121" s="65" t="s">
        <x:v>1445</x:v>
      </x:c>
      <x:c r="F121" s="65" t="s">
        <x:v>989</x:v>
      </x:c>
      <x:c r="G121" s="65" t="s">
        <x:v>990</x:v>
      </x:c>
      <x:c r="H121" s="65" t="s">
        <x:v>878</x:v>
      </x:c>
      <x:c r="I121" s="65" t="s">
        <x:v>1446</x:v>
      </x:c>
      <x:c r="J121" s="65" t="s">
        <x:v>910</x:v>
      </x:c>
      <x:c r="K121" s="65" t="s">
        <x:v>1000</x:v>
      </x:c>
      <x:c r="L121" s="65" t="s">
        <x:v>897</x:v>
      </x:c>
      <x:c r="M121" s="65" t="s">
        <x:v>968</x:v>
      </x:c>
      <x:c r="N121" s="65" t="s">
        <x:v>897</x:v>
      </x:c>
      <x:c r="O121" s="65" t="s">
        <x:v>914</x:v>
      </x:c>
      <x:c r="P121" s="65" t="s">
        <x:v>897</x:v>
      </x:c>
      <x:c r="Q121" s="85" t="s">
        <x:v>916</x:v>
      </x:c>
      <x:c r="R121" s="85" t="s">
        <x:v>916</x:v>
      </x:c>
      <x:c r="S121" s="85" t="s">
        <x:v>916</x:v>
      </x:c>
      <x:c r="T121" s="85" t="s">
        <x:v>916</x:v>
      </x:c>
      <x:c r="U121" s="85" t="s">
        <x:v>916</x:v>
      </x:c>
      <x:c r="V121" s="85" t="s">
        <x:v>916</x:v>
      </x:c>
      <x:c r="W121" s="66"/>
      <x:c r="X121" s="83" t="str">
        <x:f t="shared" si="11"/>
        <x:v>Belum Dinilai</x:v>
      </x:c>
      <x:c r="Y121" s="83" t="str">
        <x:f t="shared" si="12"/>
        <x:v>Belum Dinilai</x:v>
      </x:c>
      <x:c r="Z121" s="84" t="str">
        <x:f t="shared" si="13"/>
      </x:c>
      <x:c r="AA121" s="84" t="str">
        <x:f t="shared" si="14"/>
      </x:c>
      <x:c r="AB121" s="84" t="str">
        <x:f t="shared" si="15"/>
      </x:c>
      <x:c r="AC121" s="67" t="s">
        <x:v>916</x:v>
      </x:c>
      <x:c r="AD121" s="67" t="s">
        <x:v>916</x:v>
      </x:c>
      <x:c r="AE121" s="67" t="s">
        <x:v>916</x:v>
      </x:c>
      <x:c r="AF121" s="67" t="s">
        <x:v>916</x:v>
      </x:c>
      <x:c r="AG121" s="67" t="s">
        <x:v>916</x:v>
      </x:c>
      <x:c r="AH121" s="67" t="s">
        <x:v>916</x:v>
      </x:c>
      <x:c r="AI121" s="67" t="s">
        <x:v>916</x:v>
      </x:c>
      <x:c r="AJ121" s="67" t="s">
        <x:v>916</x:v>
      </x:c>
      <x:c r="AK121" s="67" t="s">
        <x:v>916</x:v>
      </x:c>
      <x:c r="AL121" s="67"/>
      <x:c r="AM121" s="67" t="s">
        <x:v>916</x:v>
      </x:c>
      <x:c r="AN121" s="83" t="str">
        <x:f t="shared" si="16"/>
        <x:v>Belum Dinilai</x:v>
      </x:c>
      <x:c r="AO121" s="83" t="str">
        <x:f t="shared" si="17"/>
        <x:v>Belum Dinilai</x:v>
      </x:c>
      <x:c r="AP121" s="67"/>
      <x:c r="AQ121" s="70">
        <x:f t="shared" si="18"/>
        <x:v>29</x:v>
      </x:c>
      <x:c r="AR121" s="70" t="str">
        <x:f t="shared" si="19"/>
      </x:c>
      <x:c r="AS121" s="70" t="str">
        <x:f t="shared" si="20"/>
      </x:c>
      <x:c r="AT121" s="68" t="str">
        <x:f t="shared" si="21"/>
        <x:v>Belum Dapat Ditentukan</x:v>
      </x:c>
      <x:c r="AU121" s="65" t="s">
        <x:v>887</x:v>
      </x:c>
      <x:c r="AV121" s="65" t="s">
        <x:v>904</x:v>
      </x:c>
      <x:c r="AW121" s="65" t="s">
        <x:v>1001</x:v>
      </x:c>
      <x:c r="AX121" s="65" t="s">
        <x:v>906</x:v>
      </x:c>
      <x:c r="AY121" s="65">
        <x:v>2022</x:v>
      </x:c>
      <x:c r="AZ121" s="65" t="s">
        <x:v>888</x:v>
      </x:c>
      <x:c r="BA121" s="65"/>
      <x:c r="BB121" s="177"/>
      <x:c r="BC121" s="71">
        <x:v>2026</x:v>
      </x:c>
      <x:c r="BD121" s="65"/>
      <x:c r="BE121" s="177"/>
      <x:c r="BF121" s="65" t="str">
        <x:v>Dinas Perkim Kota Pangkal Pinang</x:v>
      </x:c>
    </x:row>
    <x:row r="122" ht="42">
      <x:c r="A122" s="65" t="s">
        <x:v>1447</x:v>
      </x:c>
      <x:c r="B122" s="65" t="s">
        <x:v>1448</x:v>
      </x:c>
      <x:c r="C122" s="65"/>
      <x:c r="D122" s="65"/>
      <x:c r="E122" s="65" t="s">
        <x:v>1449</x:v>
      </x:c>
      <x:c r="F122" s="65" t="s">
        <x:v>989</x:v>
      </x:c>
      <x:c r="G122" s="65" t="s">
        <x:v>990</x:v>
      </x:c>
      <x:c r="H122" s="65" t="s">
        <x:v>894</x:v>
      </x:c>
      <x:c r="I122" s="65" t="s">
        <x:v>1450</x:v>
      </x:c>
      <x:c r="J122" s="65" t="s">
        <x:v>895</x:v>
      </x:c>
      <x:c r="K122" s="65" t="s">
        <x:v>896</x:v>
      </x:c>
      <x:c r="L122" s="65" t="s">
        <x:v>897</x:v>
      </x:c>
      <x:c r="M122" s="65" t="s">
        <x:v>968</x:v>
      </x:c>
      <x:c r="N122" s="65" t="s">
        <x:v>897</x:v>
      </x:c>
      <x:c r="O122" s="65" t="s">
        <x:v>1000</x:v>
      </x:c>
      <x:c r="P122" s="65" t="s">
        <x:v>916</x:v>
      </x:c>
      <x:c r="Q122" s="85" t="s">
        <x:v>916</x:v>
      </x:c>
      <x:c r="R122" s="85" t="s">
        <x:v>916</x:v>
      </x:c>
      <x:c r="S122" s="85" t="s">
        <x:v>916</x:v>
      </x:c>
      <x:c r="T122" s="85" t="s">
        <x:v>916</x:v>
      </x:c>
      <x:c r="U122" s="85" t="s">
        <x:v>916</x:v>
      </x:c>
      <x:c r="V122" s="85" t="s">
        <x:v>916</x:v>
      </x:c>
      <x:c r="W122" s="66"/>
      <x:c r="X122" s="83" t="str">
        <x:f t="shared" si="11"/>
        <x:v>Belum Dinilai</x:v>
      </x:c>
      <x:c r="Y122" s="83" t="str">
        <x:f t="shared" si="12"/>
        <x:v>Belum Dinilai</x:v>
      </x:c>
      <x:c r="Z122" s="84" t="str">
        <x:f t="shared" si="13"/>
      </x:c>
      <x:c r="AA122" s="84" t="str">
        <x:f t="shared" si="14"/>
      </x:c>
      <x:c r="AB122" s="84" t="str">
        <x:f t="shared" si="15"/>
      </x:c>
      <x:c r="AC122" s="67" t="s">
        <x:v>916</x:v>
      </x:c>
      <x:c r="AD122" s="67" t="s">
        <x:v>916</x:v>
      </x:c>
      <x:c r="AE122" s="67" t="s">
        <x:v>916</x:v>
      </x:c>
      <x:c r="AF122" s="67" t="s">
        <x:v>916</x:v>
      </x:c>
      <x:c r="AG122" s="67" t="s">
        <x:v>916</x:v>
      </x:c>
      <x:c r="AH122" s="67" t="s">
        <x:v>916</x:v>
      </x:c>
      <x:c r="AI122" s="67" t="s">
        <x:v>916</x:v>
      </x:c>
      <x:c r="AJ122" s="67" t="s">
        <x:v>916</x:v>
      </x:c>
      <x:c r="AK122" s="67" t="s">
        <x:v>916</x:v>
      </x:c>
      <x:c r="AL122" s="67"/>
      <x:c r="AM122" s="67" t="s">
        <x:v>916</x:v>
      </x:c>
      <x:c r="AN122" s="83" t="str">
        <x:f t="shared" si="16"/>
        <x:v>Belum Dinilai</x:v>
      </x:c>
      <x:c r="AO122" s="83" t="str">
        <x:f t="shared" si="17"/>
        <x:v>Belum Dinilai</x:v>
      </x:c>
      <x:c r="AP122" s="67"/>
      <x:c r="AQ122" s="70" t="str">
        <x:f t="shared" si="18"/>
      </x:c>
      <x:c r="AR122" s="70" t="str">
        <x:f t="shared" si="19"/>
      </x:c>
      <x:c r="AS122" s="70" t="str">
        <x:f t="shared" si="20"/>
      </x:c>
      <x:c r="AT122" s="68" t="str">
        <x:f t="shared" si="21"/>
        <x:v>Belum Dapat Ditentukan</x:v>
      </x:c>
      <x:c r="AU122" s="65" t="s">
        <x:v>887</x:v>
      </x:c>
      <x:c r="AV122" s="65" t="s">
        <x:v>904</x:v>
      </x:c>
      <x:c r="AW122" s="65" t="s">
        <x:v>889</x:v>
      </x:c>
      <x:c r="AX122" s="65" t="s">
        <x:v>890</x:v>
      </x:c>
      <x:c r="AY122" s="65"/>
      <x:c r="AZ122" s="65" t="s">
        <x:v>888</x:v>
      </x:c>
      <x:c r="BA122" s="65"/>
      <x:c r="BB122" s="177"/>
      <x:c r="BC122" s="71">
        <x:v>2026</x:v>
      </x:c>
      <x:c r="BD122" s="65"/>
      <x:c r="BE122" s="177"/>
      <x:c r="BF122" s="65" t="str">
        <x:v>Dinas Perkim Kota Pangkal Pinang</x:v>
      </x:c>
    </x:row>
    <x:row r="123" ht="42">
      <x:c r="A123" s="65" t="s">
        <x:v>1451</x:v>
      </x:c>
      <x:c r="B123" s="65" t="s">
        <x:v>1452</x:v>
      </x:c>
      <x:c r="C123" s="65"/>
      <x:c r="D123" s="65"/>
      <x:c r="E123" s="65" t="s">
        <x:v>1453</x:v>
      </x:c>
      <x:c r="F123" s="65" t="s">
        <x:v>1021</x:v>
      </x:c>
      <x:c r="G123" s="65" t="s">
        <x:v>990</x:v>
      </x:c>
      <x:c r="H123" s="65" t="s">
        <x:v>878</x:v>
      </x:c>
      <x:c r="I123" s="65" t="s">
        <x:v>1454</x:v>
      </x:c>
      <x:c r="J123" s="65" t="s">
        <x:v>910</x:v>
      </x:c>
      <x:c r="K123" s="65" t="s">
        <x:v>896</x:v>
      </x:c>
      <x:c r="L123" s="65" t="s">
        <x:v>897</x:v>
      </x:c>
      <x:c r="M123" s="65" t="s">
        <x:v>968</x:v>
      </x:c>
      <x:c r="N123" s="65" t="s">
        <x:v>897</x:v>
      </x:c>
      <x:c r="O123" s="65" t="s">
        <x:v>883</x:v>
      </x:c>
      <x:c r="P123" s="65" t="s">
        <x:v>897</x:v>
      </x:c>
      <x:c r="Q123" s="85" t="s">
        <x:v>916</x:v>
      </x:c>
      <x:c r="R123" s="85" t="s">
        <x:v>916</x:v>
      </x:c>
      <x:c r="S123" s="85" t="s">
        <x:v>916</x:v>
      </x:c>
      <x:c r="T123" s="85" t="s">
        <x:v>916</x:v>
      </x:c>
      <x:c r="U123" s="85" t="s">
        <x:v>916</x:v>
      </x:c>
      <x:c r="V123" s="85" t="s">
        <x:v>916</x:v>
      </x:c>
      <x:c r="W123" s="66"/>
      <x:c r="X123" s="83" t="str">
        <x:f t="shared" si="11"/>
        <x:v>Belum Dinilai</x:v>
      </x:c>
      <x:c r="Y123" s="83" t="str">
        <x:f t="shared" si="12"/>
        <x:v>Belum Dinilai</x:v>
      </x:c>
      <x:c r="Z123" s="84" t="str">
        <x:f t="shared" si="13"/>
      </x:c>
      <x:c r="AA123" s="84" t="str">
        <x:f t="shared" si="14"/>
      </x:c>
      <x:c r="AB123" s="84" t="str">
        <x:f t="shared" si="15"/>
      </x:c>
      <x:c r="AC123" s="67" t="s">
        <x:v>916</x:v>
      </x:c>
      <x:c r="AD123" s="67" t="s">
        <x:v>916</x:v>
      </x:c>
      <x:c r="AE123" s="67" t="s">
        <x:v>916</x:v>
      </x:c>
      <x:c r="AF123" s="67" t="s">
        <x:v>916</x:v>
      </x:c>
      <x:c r="AG123" s="67" t="s">
        <x:v>916</x:v>
      </x:c>
      <x:c r="AH123" s="67" t="s">
        <x:v>916</x:v>
      </x:c>
      <x:c r="AI123" s="67" t="s">
        <x:v>916</x:v>
      </x:c>
      <x:c r="AJ123" s="67" t="s">
        <x:v>916</x:v>
      </x:c>
      <x:c r="AK123" s="67" t="s">
        <x:v>916</x:v>
      </x:c>
      <x:c r="AL123" s="67"/>
      <x:c r="AM123" s="67" t="s">
        <x:v>916</x:v>
      </x:c>
      <x:c r="AN123" s="83" t="str">
        <x:f t="shared" si="16"/>
        <x:v>Belum Dinilai</x:v>
      </x:c>
      <x:c r="AO123" s="83" t="str">
        <x:f t="shared" si="17"/>
        <x:v>Belum Dinilai</x:v>
      </x:c>
      <x:c r="AP123" s="67"/>
      <x:c r="AQ123" s="70">
        <x:f t="shared" si="18"/>
        <x:v>29</x:v>
      </x:c>
      <x:c r="AR123" s="70" t="str">
        <x:f t="shared" si="19"/>
      </x:c>
      <x:c r="AS123" s="70" t="str">
        <x:f t="shared" si="20"/>
      </x:c>
      <x:c r="AT123" s="68" t="str">
        <x:f t="shared" si="21"/>
        <x:v>Belum Dapat Ditentukan</x:v>
      </x:c>
      <x:c r="AU123" s="65" t="s">
        <x:v>887</x:v>
      </x:c>
      <x:c r="AV123" s="65" t="s">
        <x:v>904</x:v>
      </x:c>
      <x:c r="AW123" s="65" t="s">
        <x:v>889</x:v>
      </x:c>
      <x:c r="AX123" s="65" t="s">
        <x:v>890</x:v>
      </x:c>
      <x:c r="AY123" s="65"/>
      <x:c r="AZ123" s="65" t="s">
        <x:v>888</x:v>
      </x:c>
      <x:c r="BA123" s="65"/>
      <x:c r="BB123" s="177"/>
      <x:c r="BC123" s="71">
        <x:v>2026</x:v>
      </x:c>
      <x:c r="BD123" s="65"/>
      <x:c r="BE123" s="177"/>
      <x:c r="BF123" s="65" t="str">
        <x:v>Dinas Perkim Kota Pangkal Pinang</x:v>
      </x:c>
    </x:row>
    <x:row r="124" ht="56">
      <x:c r="A124" s="65" t="s">
        <x:v>1455</x:v>
      </x:c>
      <x:c r="B124" s="65" t="s">
        <x:v>1456</x:v>
      </x:c>
      <x:c r="C124" s="65"/>
      <x:c r="D124" s="65"/>
      <x:c r="E124" s="65" t="s">
        <x:v>1457</x:v>
      </x:c>
      <x:c r="F124" s="65" t="s">
        <x:v>1173</x:v>
      </x:c>
      <x:c r="G124" s="65" t="s">
        <x:v>1012</x:v>
      </x:c>
      <x:c r="H124" s="65" t="s">
        <x:v>894</x:v>
      </x:c>
      <x:c r="I124" s="65" t="s">
        <x:v>1458</x:v>
      </x:c>
      <x:c r="J124" s="65" t="s">
        <x:v>895</x:v>
      </x:c>
      <x:c r="K124" s="65" t="s">
        <x:v>994</x:v>
      </x:c>
      <x:c r="L124" s="65" t="s">
        <x:v>897</x:v>
      </x:c>
      <x:c r="M124" s="65" t="s">
        <x:v>979</x:v>
      </x:c>
      <x:c r="N124" s="65" t="s">
        <x:v>897</x:v>
      </x:c>
      <x:c r="O124" s="65" t="s">
        <x:v>914</x:v>
      </x:c>
      <x:c r="P124" s="65" t="s">
        <x:v>897</x:v>
      </x:c>
      <x:c r="Q124" s="85" t="s">
        <x:v>916</x:v>
      </x:c>
      <x:c r="R124" s="85" t="s">
        <x:v>916</x:v>
      </x:c>
      <x:c r="S124" s="85" t="s">
        <x:v>916</x:v>
      </x:c>
      <x:c r="T124" s="85" t="s">
        <x:v>916</x:v>
      </x:c>
      <x:c r="U124" s="85" t="s">
        <x:v>916</x:v>
      </x:c>
      <x:c r="V124" s="85" t="s">
        <x:v>916</x:v>
      </x:c>
      <x:c r="W124" s="66"/>
      <x:c r="X124" s="83" t="str">
        <x:f t="shared" si="11"/>
        <x:v>Belum Dinilai</x:v>
      </x:c>
      <x:c r="Y124" s="83" t="str">
        <x:f t="shared" si="12"/>
        <x:v>Belum Dinilai</x:v>
      </x:c>
      <x:c r="Z124" s="84" t="str">
        <x:f t="shared" si="13"/>
      </x:c>
      <x:c r="AA124" s="84" t="str">
        <x:f t="shared" si="14"/>
      </x:c>
      <x:c r="AB124" s="84" t="str">
        <x:f t="shared" si="15"/>
      </x:c>
      <x:c r="AC124" s="67" t="s">
        <x:v>916</x:v>
      </x:c>
      <x:c r="AD124" s="67" t="s">
        <x:v>916</x:v>
      </x:c>
      <x:c r="AE124" s="67" t="s">
        <x:v>916</x:v>
      </x:c>
      <x:c r="AF124" s="67" t="s">
        <x:v>916</x:v>
      </x:c>
      <x:c r="AG124" s="67" t="s">
        <x:v>916</x:v>
      </x:c>
      <x:c r="AH124" s="67" t="s">
        <x:v>916</x:v>
      </x:c>
      <x:c r="AI124" s="67" t="s">
        <x:v>916</x:v>
      </x:c>
      <x:c r="AJ124" s="67" t="s">
        <x:v>916</x:v>
      </x:c>
      <x:c r="AK124" s="67" t="s">
        <x:v>916</x:v>
      </x:c>
      <x:c r="AL124" s="67"/>
      <x:c r="AM124" s="67" t="s">
        <x:v>916</x:v>
      </x:c>
      <x:c r="AN124" s="83" t="str">
        <x:f t="shared" si="16"/>
        <x:v>Belum Dinilai</x:v>
      </x:c>
      <x:c r="AO124" s="83" t="str">
        <x:f t="shared" si="17"/>
        <x:v>Belum Dinilai</x:v>
      </x:c>
      <x:c r="AP124" s="67"/>
      <x:c r="AQ124" s="70">
        <x:f t="shared" si="18"/>
        <x:v>22</x:v>
      </x:c>
      <x:c r="AR124" s="70" t="str">
        <x:f t="shared" si="19"/>
      </x:c>
      <x:c r="AS124" s="70" t="str">
        <x:f t="shared" si="20"/>
      </x:c>
      <x:c r="AT124" s="68" t="str">
        <x:f t="shared" si="21"/>
        <x:v>Belum Dapat Ditentukan</x:v>
      </x:c>
      <x:c r="AU124" s="65" t="s">
        <x:v>887</x:v>
      </x:c>
      <x:c r="AV124" s="65" t="s">
        <x:v>904</x:v>
      </x:c>
      <x:c r="AW124" s="65" t="s">
        <x:v>889</x:v>
      </x:c>
      <x:c r="AX124" s="65" t="s">
        <x:v>890</x:v>
      </x:c>
      <x:c r="AY124" s="65"/>
      <x:c r="AZ124" s="65" t="s">
        <x:v>888</x:v>
      </x:c>
      <x:c r="BA124" s="65"/>
      <x:c r="BB124" s="177"/>
      <x:c r="BC124" s="71">
        <x:v>2026</x:v>
      </x:c>
      <x:c r="BD124" s="65"/>
      <x:c r="BE124" s="177"/>
      <x:c r="BF124" s="65" t="str">
        <x:v>Dinas Perkim Kota Pangkal Pinang</x:v>
      </x:c>
    </x:row>
    <x:row r="125" ht="28">
      <x:c r="A125" s="65" t="s">
        <x:v>1459</x:v>
      </x:c>
      <x:c r="B125" s="65" t="s">
        <x:v>1460</x:v>
      </x:c>
      <x:c r="C125" s="65"/>
      <x:c r="D125" s="65"/>
      <x:c r="E125" s="65" t="s">
        <x:v>1461</x:v>
      </x:c>
      <x:c r="F125" s="65" t="s">
        <x:v>1173</x:v>
      </x:c>
      <x:c r="G125" s="65" t="s">
        <x:v>1012</x:v>
      </x:c>
      <x:c r="H125" s="65" t="s">
        <x:v>894</x:v>
      </x:c>
      <x:c r="I125" s="65" t="s">
        <x:v>1462</x:v>
      </x:c>
      <x:c r="J125" s="65" t="s">
        <x:v>895</x:v>
      </x:c>
      <x:c r="K125" s="65" t="s">
        <x:v>1000</x:v>
      </x:c>
      <x:c r="L125" s="65" t="s">
        <x:v>916</x:v>
      </x:c>
      <x:c r="M125" s="65" t="s">
        <x:v>979</x:v>
      </x:c>
      <x:c r="N125" s="65" t="s">
        <x:v>916</x:v>
      </x:c>
      <x:c r="O125" s="65" t="s">
        <x:v>1000</x:v>
      </x:c>
      <x:c r="P125" s="65" t="s">
        <x:v>916</x:v>
      </x:c>
      <x:c r="Q125" s="85" t="s">
        <x:v>916</x:v>
      </x:c>
      <x:c r="R125" s="85" t="s">
        <x:v>916</x:v>
      </x:c>
      <x:c r="S125" s="85" t="s">
        <x:v>916</x:v>
      </x:c>
      <x:c r="T125" s="85" t="s">
        <x:v>916</x:v>
      </x:c>
      <x:c r="U125" s="85" t="s">
        <x:v>916</x:v>
      </x:c>
      <x:c r="V125" s="85" t="s">
        <x:v>916</x:v>
      </x:c>
      <x:c r="W125" s="66"/>
      <x:c r="X125" s="83" t="str">
        <x:f t="shared" si="11"/>
        <x:v>Belum Dinilai</x:v>
      </x:c>
      <x:c r="Y125" s="83" t="str">
        <x:f t="shared" si="12"/>
        <x:v>Belum Dinilai</x:v>
      </x:c>
      <x:c r="Z125" s="84" t="str">
        <x:f t="shared" si="13"/>
      </x:c>
      <x:c r="AA125" s="84" t="str">
        <x:f t="shared" si="14"/>
      </x:c>
      <x:c r="AB125" s="84" t="str">
        <x:f t="shared" si="15"/>
      </x:c>
      <x:c r="AC125" s="67" t="s">
        <x:v>916</x:v>
      </x:c>
      <x:c r="AD125" s="67" t="s">
        <x:v>916</x:v>
      </x:c>
      <x:c r="AE125" s="67" t="s">
        <x:v>916</x:v>
      </x:c>
      <x:c r="AF125" s="67" t="s">
        <x:v>916</x:v>
      </x:c>
      <x:c r="AG125" s="67" t="s">
        <x:v>916</x:v>
      </x:c>
      <x:c r="AH125" s="67" t="s">
        <x:v>916</x:v>
      </x:c>
      <x:c r="AI125" s="67" t="s">
        <x:v>916</x:v>
      </x:c>
      <x:c r="AJ125" s="67" t="s">
        <x:v>916</x:v>
      </x:c>
      <x:c r="AK125" s="67" t="s">
        <x:v>916</x:v>
      </x:c>
      <x:c r="AL125" s="67"/>
      <x:c r="AM125" s="67" t="s">
        <x:v>916</x:v>
      </x:c>
      <x:c r="AN125" s="83" t="str">
        <x:f t="shared" si="16"/>
        <x:v>Belum Dinilai</x:v>
      </x:c>
      <x:c r="AO125" s="83" t="str">
        <x:f t="shared" si="17"/>
        <x:v>Belum Dinilai</x:v>
      </x:c>
      <x:c r="AP125" s="67"/>
      <x:c r="AQ125" s="70" t="str">
        <x:f t="shared" si="18"/>
      </x:c>
      <x:c r="AR125" s="70" t="str">
        <x:f t="shared" si="19"/>
      </x:c>
      <x:c r="AS125" s="70" t="str">
        <x:f t="shared" si="20"/>
      </x:c>
      <x:c r="AT125" s="68" t="str">
        <x:f t="shared" si="21"/>
        <x:v>Belum Dapat Ditentukan</x:v>
      </x:c>
      <x:c r="AU125" s="65" t="s">
        <x:v>887</x:v>
      </x:c>
      <x:c r="AV125" s="65" t="s">
        <x:v>904</x:v>
      </x:c>
      <x:c r="AW125" s="65" t="s">
        <x:v>889</x:v>
      </x:c>
      <x:c r="AX125" s="65" t="s">
        <x:v>890</x:v>
      </x:c>
      <x:c r="AY125" s="65"/>
      <x:c r="AZ125" s="65" t="s">
        <x:v>888</x:v>
      </x:c>
      <x:c r="BA125" s="65"/>
      <x:c r="BB125" s="177"/>
      <x:c r="BC125" s="71">
        <x:v>2026</x:v>
      </x:c>
      <x:c r="BD125" s="65"/>
      <x:c r="BE125" s="177"/>
      <x:c r="BF125" s="65" t="str">
        <x:v>Dinas Perkim Kota Pangkal Pinang</x:v>
      </x:c>
    </x:row>
    <x:row r="126" ht="42">
      <x:c r="A126" s="65" t="s">
        <x:v>1463</x:v>
      </x:c>
      <x:c r="B126" s="65" t="s">
        <x:v>1464</x:v>
      </x:c>
      <x:c r="C126" s="65"/>
      <x:c r="D126" s="65"/>
      <x:c r="E126" s="65" t="s">
        <x:v>1465</x:v>
      </x:c>
      <x:c r="F126" s="65" t="s">
        <x:v>1173</x:v>
      </x:c>
      <x:c r="G126" s="65" t="s">
        <x:v>1012</x:v>
      </x:c>
      <x:c r="H126" s="65" t="s">
        <x:v>878</x:v>
      </x:c>
      <x:c r="I126" s="65" t="s">
        <x:v>1466</x:v>
      </x:c>
      <x:c r="J126" s="65" t="s">
        <x:v>895</x:v>
      </x:c>
      <x:c r="K126" s="65" t="s">
        <x:v>896</x:v>
      </x:c>
      <x:c r="L126" s="65" t="s">
        <x:v>897</x:v>
      </x:c>
      <x:c r="M126" s="65" t="s">
        <x:v>968</x:v>
      </x:c>
      <x:c r="N126" s="65" t="s">
        <x:v>897</x:v>
      </x:c>
      <x:c r="O126" s="65" t="s">
        <x:v>883</x:v>
      </x:c>
      <x:c r="P126" s="65" t="s">
        <x:v>897</x:v>
      </x:c>
      <x:c r="Q126" s="85" t="s">
        <x:v>916</x:v>
      </x:c>
      <x:c r="R126" s="85" t="s">
        <x:v>916</x:v>
      </x:c>
      <x:c r="S126" s="85" t="s">
        <x:v>916</x:v>
      </x:c>
      <x:c r="T126" s="85" t="s">
        <x:v>916</x:v>
      </x:c>
      <x:c r="U126" s="85" t="s">
        <x:v>916</x:v>
      </x:c>
      <x:c r="V126" s="85" t="s">
        <x:v>916</x:v>
      </x:c>
      <x:c r="W126" s="66"/>
      <x:c r="X126" s="83" t="str">
        <x:f t="shared" si="11"/>
        <x:v>Belum Dinilai</x:v>
      </x:c>
      <x:c r="Y126" s="83" t="str">
        <x:f t="shared" si="12"/>
        <x:v>Belum Dinilai</x:v>
      </x:c>
      <x:c r="Z126" s="84" t="str">
        <x:f t="shared" si="13"/>
      </x:c>
      <x:c r="AA126" s="84" t="str">
        <x:f t="shared" si="14"/>
      </x:c>
      <x:c r="AB126" s="84" t="str">
        <x:f t="shared" si="15"/>
      </x:c>
      <x:c r="AC126" s="67" t="s">
        <x:v>916</x:v>
      </x:c>
      <x:c r="AD126" s="67" t="s">
        <x:v>916</x:v>
      </x:c>
      <x:c r="AE126" s="67" t="s">
        <x:v>916</x:v>
      </x:c>
      <x:c r="AF126" s="67" t="s">
        <x:v>916</x:v>
      </x:c>
      <x:c r="AG126" s="67" t="s">
        <x:v>916</x:v>
      </x:c>
      <x:c r="AH126" s="67" t="s">
        <x:v>916</x:v>
      </x:c>
      <x:c r="AI126" s="67" t="s">
        <x:v>916</x:v>
      </x:c>
      <x:c r="AJ126" s="67" t="s">
        <x:v>916</x:v>
      </x:c>
      <x:c r="AK126" s="67" t="s">
        <x:v>916</x:v>
      </x:c>
      <x:c r="AL126" s="67"/>
      <x:c r="AM126" s="67" t="s">
        <x:v>916</x:v>
      </x:c>
      <x:c r="AN126" s="83" t="str">
        <x:f t="shared" si="16"/>
        <x:v>Belum Dinilai</x:v>
      </x:c>
      <x:c r="AO126" s="83" t="str">
        <x:f t="shared" si="17"/>
        <x:v>Belum Dinilai</x:v>
      </x:c>
      <x:c r="AP126" s="67"/>
      <x:c r="AQ126" s="70">
        <x:f t="shared" si="18"/>
        <x:v>22</x:v>
      </x:c>
      <x:c r="AR126" s="70" t="str">
        <x:f t="shared" si="19"/>
      </x:c>
      <x:c r="AS126" s="70" t="str">
        <x:f t="shared" si="20"/>
      </x:c>
      <x:c r="AT126" s="68" t="str">
        <x:f t="shared" si="21"/>
        <x:v>Belum Dapat Ditentukan</x:v>
      </x:c>
      <x:c r="AU126" s="65" t="s">
        <x:v>887</x:v>
      </x:c>
      <x:c r="AV126" s="65" t="s">
        <x:v>904</x:v>
      </x:c>
      <x:c r="AW126" s="65" t="s">
        <x:v>889</x:v>
      </x:c>
      <x:c r="AX126" s="65" t="s">
        <x:v>890</x:v>
      </x:c>
      <x:c r="AY126" s="65"/>
      <x:c r="AZ126" s="65" t="s">
        <x:v>888</x:v>
      </x:c>
      <x:c r="BA126" s="65"/>
      <x:c r="BB126" s="177"/>
      <x:c r="BC126" s="71">
        <x:v>2026</x:v>
      </x:c>
      <x:c r="BD126" s="65"/>
      <x:c r="BE126" s="177"/>
      <x:c r="BF126" s="65" t="str">
        <x:v>Dinas Perkim Kota Pangkal Pinang</x:v>
      </x:c>
    </x:row>
    <x:row r="127" ht="28">
      <x:c r="A127" s="65" t="s">
        <x:v>1467</x:v>
      </x:c>
      <x:c r="B127" s="65" t="s">
        <x:v>1468</x:v>
      </x:c>
      <x:c r="C127" s="65"/>
      <x:c r="D127" s="65"/>
      <x:c r="E127" s="65" t="s">
        <x:v>1469</x:v>
      </x:c>
      <x:c r="F127" s="65" t="s">
        <x:v>1173</x:v>
      </x:c>
      <x:c r="G127" s="65" t="s">
        <x:v>1012</x:v>
      </x:c>
      <x:c r="H127" s="65" t="s">
        <x:v>878</x:v>
      </x:c>
      <x:c r="I127" s="65" t="s">
        <x:v>1470</x:v>
      </x:c>
      <x:c r="J127" s="65" t="s">
        <x:v>964</x:v>
      </x:c>
      <x:c r="K127" s="65" t="s">
        <x:v>1000</x:v>
      </x:c>
      <x:c r="L127" s="65" t="s">
        <x:v>916</x:v>
      </x:c>
      <x:c r="M127" s="65" t="s">
        <x:v>1000</x:v>
      </x:c>
      <x:c r="N127" s="65" t="s">
        <x:v>916</x:v>
      </x:c>
      <x:c r="O127" s="65" t="s">
        <x:v>1000</x:v>
      </x:c>
      <x:c r="P127" s="65" t="s">
        <x:v>916</x:v>
      </x:c>
      <x:c r="Q127" s="85" t="s">
        <x:v>916</x:v>
      </x:c>
      <x:c r="R127" s="85" t="s">
        <x:v>916</x:v>
      </x:c>
      <x:c r="S127" s="85" t="s">
        <x:v>916</x:v>
      </x:c>
      <x:c r="T127" s="85" t="s">
        <x:v>916</x:v>
      </x:c>
      <x:c r="U127" s="85" t="s">
        <x:v>916</x:v>
      </x:c>
      <x:c r="V127" s="85" t="s">
        <x:v>916</x:v>
      </x:c>
      <x:c r="W127" s="66"/>
      <x:c r="X127" s="83" t="str">
        <x:f t="shared" si="11"/>
        <x:v>Belum Dinilai</x:v>
      </x:c>
      <x:c r="Y127" s="83" t="str">
        <x:f t="shared" si="12"/>
        <x:v>Belum Dinilai</x:v>
      </x:c>
      <x:c r="Z127" s="84" t="str">
        <x:f t="shared" si="13"/>
      </x:c>
      <x:c r="AA127" s="84" t="str">
        <x:f t="shared" si="14"/>
      </x:c>
      <x:c r="AB127" s="84" t="str">
        <x:f t="shared" si="15"/>
      </x:c>
      <x:c r="AC127" s="67" t="s">
        <x:v>916</x:v>
      </x:c>
      <x:c r="AD127" s="67" t="s">
        <x:v>916</x:v>
      </x:c>
      <x:c r="AE127" s="67" t="s">
        <x:v>916</x:v>
      </x:c>
      <x:c r="AF127" s="67" t="s">
        <x:v>916</x:v>
      </x:c>
      <x:c r="AG127" s="67" t="s">
        <x:v>916</x:v>
      </x:c>
      <x:c r="AH127" s="67" t="s">
        <x:v>916</x:v>
      </x:c>
      <x:c r="AI127" s="67" t="s">
        <x:v>916</x:v>
      </x:c>
      <x:c r="AJ127" s="67" t="s">
        <x:v>916</x:v>
      </x:c>
      <x:c r="AK127" s="67" t="s">
        <x:v>916</x:v>
      </x:c>
      <x:c r="AL127" s="67"/>
      <x:c r="AM127" s="67" t="s">
        <x:v>916</x:v>
      </x:c>
      <x:c r="AN127" s="83" t="str">
        <x:f t="shared" si="16"/>
        <x:v>Belum Dinilai</x:v>
      </x:c>
      <x:c r="AO127" s="83" t="str">
        <x:f t="shared" si="17"/>
        <x:v>Belum Dinilai</x:v>
      </x:c>
      <x:c r="AP127" s="67"/>
      <x:c r="AQ127" s="70" t="str">
        <x:f t="shared" si="18"/>
      </x:c>
      <x:c r="AR127" s="70" t="str">
        <x:f t="shared" si="19"/>
      </x:c>
      <x:c r="AS127" s="70" t="str">
        <x:f t="shared" si="20"/>
      </x:c>
      <x:c r="AT127" s="68" t="str">
        <x:f t="shared" si="21"/>
        <x:v>Belum Dapat Ditentukan</x:v>
      </x:c>
      <x:c r="AU127" s="65" t="s">
        <x:v>887</x:v>
      </x:c>
      <x:c r="AV127" s="65" t="s">
        <x:v>904</x:v>
      </x:c>
      <x:c r="AW127" s="65" t="s">
        <x:v>1001</x:v>
      </x:c>
      <x:c r="AX127" s="65" t="s">
        <x:v>918</x:v>
      </x:c>
      <x:c r="AY127" s="65">
        <x:v>2023</x:v>
      </x:c>
      <x:c r="AZ127" s="65" t="s">
        <x:v>888</x:v>
      </x:c>
      <x:c r="BA127" s="65"/>
      <x:c r="BB127" s="177"/>
      <x:c r="BC127" s="71">
        <x:v>2026</x:v>
      </x:c>
      <x:c r="BD127" s="65"/>
      <x:c r="BE127" s="177"/>
      <x:c r="BF127" s="65" t="str">
        <x:v>Dinas Perkim Kota Pangkal Pinang</x:v>
      </x:c>
    </x:row>
    <x:row r="128" ht="42">
      <x:c r="A128" s="65" t="s">
        <x:v>1471</x:v>
      </x:c>
      <x:c r="B128" s="65" t="s">
        <x:v>1472</x:v>
      </x:c>
      <x:c r="C128" s="65"/>
      <x:c r="D128" s="65"/>
      <x:c r="E128" s="65" t="s">
        <x:v>1473</x:v>
      </x:c>
      <x:c r="F128" s="65" t="s">
        <x:v>1173</x:v>
      </x:c>
      <x:c r="G128" s="65" t="s">
        <x:v>1012</x:v>
      </x:c>
      <x:c r="H128" s="65" t="s">
        <x:v>894</x:v>
      </x:c>
      <x:c r="I128" s="65" t="s">
        <x:v>1474</x:v>
      </x:c>
      <x:c r="J128" s="65" t="s">
        <x:v>895</x:v>
      </x:c>
      <x:c r="K128" s="65" t="s">
        <x:v>911</x:v>
      </x:c>
      <x:c r="L128" s="65" t="s">
        <x:v>897</x:v>
      </x:c>
      <x:c r="M128" s="65" t="s">
        <x:v>979</x:v>
      </x:c>
      <x:c r="N128" s="65" t="s">
        <x:v>897</x:v>
      </x:c>
      <x:c r="O128" s="65" t="s">
        <x:v>914</x:v>
      </x:c>
      <x:c r="P128" s="65" t="s">
        <x:v>897</x:v>
      </x:c>
      <x:c r="Q128" s="85" t="s">
        <x:v>916</x:v>
      </x:c>
      <x:c r="R128" s="85" t="s">
        <x:v>916</x:v>
      </x:c>
      <x:c r="S128" s="85" t="s">
        <x:v>916</x:v>
      </x:c>
      <x:c r="T128" s="85" t="s">
        <x:v>916</x:v>
      </x:c>
      <x:c r="U128" s="85" t="s">
        <x:v>916</x:v>
      </x:c>
      <x:c r="V128" s="85" t="s">
        <x:v>916</x:v>
      </x:c>
      <x:c r="W128" s="66"/>
      <x:c r="X128" s="83" t="str">
        <x:f t="shared" si="11"/>
        <x:v>Belum Dinilai</x:v>
      </x:c>
      <x:c r="Y128" s="83" t="str">
        <x:f t="shared" si="12"/>
        <x:v>Belum Dinilai</x:v>
      </x:c>
      <x:c r="Z128" s="84" t="str">
        <x:f t="shared" si="13"/>
      </x:c>
      <x:c r="AA128" s="84" t="str">
        <x:f t="shared" si="14"/>
      </x:c>
      <x:c r="AB128" s="84" t="str">
        <x:f t="shared" si="15"/>
      </x:c>
      <x:c r="AC128" s="67" t="s">
        <x:v>916</x:v>
      </x:c>
      <x:c r="AD128" s="67" t="s">
        <x:v>916</x:v>
      </x:c>
      <x:c r="AE128" s="67" t="s">
        <x:v>916</x:v>
      </x:c>
      <x:c r="AF128" s="67" t="s">
        <x:v>916</x:v>
      </x:c>
      <x:c r="AG128" s="67" t="s">
        <x:v>916</x:v>
      </x:c>
      <x:c r="AH128" s="67" t="s">
        <x:v>916</x:v>
      </x:c>
      <x:c r="AI128" s="67" t="s">
        <x:v>916</x:v>
      </x:c>
      <x:c r="AJ128" s="67" t="s">
        <x:v>916</x:v>
      </x:c>
      <x:c r="AK128" s="67" t="s">
        <x:v>916</x:v>
      </x:c>
      <x:c r="AL128" s="67"/>
      <x:c r="AM128" s="67" t="s">
        <x:v>916</x:v>
      </x:c>
      <x:c r="AN128" s="83" t="str">
        <x:f t="shared" si="16"/>
        <x:v>Belum Dinilai</x:v>
      </x:c>
      <x:c r="AO128" s="83" t="str">
        <x:f t="shared" si="17"/>
        <x:v>Belum Dinilai</x:v>
      </x:c>
      <x:c r="AP128" s="67"/>
      <x:c r="AQ128" s="70">
        <x:f t="shared" si="18"/>
        <x:v>22</x:v>
      </x:c>
      <x:c r="AR128" s="70" t="str">
        <x:f t="shared" si="19"/>
      </x:c>
      <x:c r="AS128" s="70" t="str">
        <x:f t="shared" si="20"/>
      </x:c>
      <x:c r="AT128" s="68" t="str">
        <x:f t="shared" si="21"/>
        <x:v>Belum Dapat Ditentukan</x:v>
      </x:c>
      <x:c r="AU128" s="65" t="s">
        <x:v>887</x:v>
      </x:c>
      <x:c r="AV128" s="65" t="s">
        <x:v>904</x:v>
      </x:c>
      <x:c r="AW128" s="65" t="s">
        <x:v>889</x:v>
      </x:c>
      <x:c r="AX128" s="65" t="s">
        <x:v>890</x:v>
      </x:c>
      <x:c r="AY128" s="65"/>
      <x:c r="AZ128" s="65" t="s">
        <x:v>888</x:v>
      </x:c>
      <x:c r="BA128" s="65"/>
      <x:c r="BB128" s="177"/>
      <x:c r="BC128" s="71">
        <x:v>2026</x:v>
      </x:c>
      <x:c r="BD128" s="65"/>
      <x:c r="BE128" s="177"/>
      <x:c r="BF128" s="65" t="str">
        <x:v>Dinas Perkim Kota Pangkal Pinang</x:v>
      </x:c>
    </x:row>
    <x:row r="129" ht="56">
      <x:c r="A129" s="65" t="s">
        <x:v>1475</x:v>
      </x:c>
      <x:c r="B129" s="65" t="s">
        <x:v>1476</x:v>
      </x:c>
      <x:c r="C129" s="65"/>
      <x:c r="D129" s="65"/>
      <x:c r="E129" s="65" t="s">
        <x:v>1477</x:v>
      </x:c>
      <x:c r="F129" s="65" t="s">
        <x:v>1173</x:v>
      </x:c>
      <x:c r="G129" s="65" t="s">
        <x:v>1012</x:v>
      </x:c>
      <x:c r="H129" s="65" t="s">
        <x:v>878</x:v>
      </x:c>
      <x:c r="I129" s="65" t="s">
        <x:v>1478</x:v>
      </x:c>
      <x:c r="J129" s="65" t="s">
        <x:v>895</x:v>
      </x:c>
      <x:c r="K129" s="65" t="s">
        <x:v>1000</x:v>
      </x:c>
      <x:c r="L129" s="65" t="s">
        <x:v>897</x:v>
      </x:c>
      <x:c r="M129" s="65" t="s">
        <x:v>968</x:v>
      </x:c>
      <x:c r="N129" s="65" t="s">
        <x:v>897</x:v>
      </x:c>
      <x:c r="O129" s="65" t="s">
        <x:v>914</x:v>
      </x:c>
      <x:c r="P129" s="65" t="s">
        <x:v>897</x:v>
      </x:c>
      <x:c r="Q129" s="85" t="s">
        <x:v>916</x:v>
      </x:c>
      <x:c r="R129" s="85" t="s">
        <x:v>916</x:v>
      </x:c>
      <x:c r="S129" s="85" t="s">
        <x:v>916</x:v>
      </x:c>
      <x:c r="T129" s="85" t="s">
        <x:v>916</x:v>
      </x:c>
      <x:c r="U129" s="85" t="s">
        <x:v>916</x:v>
      </x:c>
      <x:c r="V129" s="85" t="s">
        <x:v>916</x:v>
      </x:c>
      <x:c r="W129" s="66"/>
      <x:c r="X129" s="83" t="str">
        <x:f t="shared" si="11"/>
        <x:v>Belum Dinilai</x:v>
      </x:c>
      <x:c r="Y129" s="83" t="str">
        <x:f t="shared" si="12"/>
        <x:v>Belum Dinilai</x:v>
      </x:c>
      <x:c r="Z129" s="84" t="str">
        <x:f t="shared" si="13"/>
      </x:c>
      <x:c r="AA129" s="84" t="str">
        <x:f t="shared" si="14"/>
      </x:c>
      <x:c r="AB129" s="84" t="str">
        <x:f t="shared" si="15"/>
      </x:c>
      <x:c r="AC129" s="67" t="s">
        <x:v>916</x:v>
      </x:c>
      <x:c r="AD129" s="67" t="s">
        <x:v>916</x:v>
      </x:c>
      <x:c r="AE129" s="67" t="s">
        <x:v>916</x:v>
      </x:c>
      <x:c r="AF129" s="67" t="s">
        <x:v>916</x:v>
      </x:c>
      <x:c r="AG129" s="67" t="s">
        <x:v>916</x:v>
      </x:c>
      <x:c r="AH129" s="67" t="s">
        <x:v>916</x:v>
      </x:c>
      <x:c r="AI129" s="67" t="s">
        <x:v>916</x:v>
      </x:c>
      <x:c r="AJ129" s="67" t="s">
        <x:v>916</x:v>
      </x:c>
      <x:c r="AK129" s="67" t="s">
        <x:v>916</x:v>
      </x:c>
      <x:c r="AL129" s="67"/>
      <x:c r="AM129" s="67" t="s">
        <x:v>916</x:v>
      </x:c>
      <x:c r="AN129" s="83" t="str">
        <x:f t="shared" si="16"/>
        <x:v>Belum Dinilai</x:v>
      </x:c>
      <x:c r="AO129" s="83" t="str">
        <x:f t="shared" si="17"/>
        <x:v>Belum Dinilai</x:v>
      </x:c>
      <x:c r="AP129" s="67"/>
      <x:c r="AQ129" s="70">
        <x:f t="shared" si="18"/>
        <x:v>22</x:v>
      </x:c>
      <x:c r="AR129" s="70" t="str">
        <x:f t="shared" si="19"/>
      </x:c>
      <x:c r="AS129" s="70" t="str">
        <x:f t="shared" si="20"/>
      </x:c>
      <x:c r="AT129" s="68" t="str">
        <x:f t="shared" si="21"/>
        <x:v>Belum Dapat Ditentukan</x:v>
      </x:c>
      <x:c r="AU129" s="65" t="s">
        <x:v>887</x:v>
      </x:c>
      <x:c r="AV129" s="65" t="s">
        <x:v>904</x:v>
      </x:c>
      <x:c r="AW129" s="65" t="s">
        <x:v>889</x:v>
      </x:c>
      <x:c r="AX129" s="65" t="s">
        <x:v>890</x:v>
      </x:c>
      <x:c r="AY129" s="65"/>
      <x:c r="AZ129" s="65" t="s">
        <x:v>888</x:v>
      </x:c>
      <x:c r="BA129" s="65"/>
      <x:c r="BB129" s="177"/>
      <x:c r="BC129" s="71">
        <x:v>2026</x:v>
      </x:c>
      <x:c r="BD129" s="65"/>
      <x:c r="BE129" s="177"/>
      <x:c r="BF129" s="65" t="str">
        <x:v>Dinas Perkim Kota Pangkal Pinang</x:v>
      </x:c>
    </x:row>
    <x:row r="130" ht="42">
      <x:c r="A130" s="65" t="s">
        <x:v>1479</x:v>
      </x:c>
      <x:c r="B130" s="65" t="s">
        <x:v>1480</x:v>
      </x:c>
      <x:c r="C130" s="65"/>
      <x:c r="D130" s="65"/>
      <x:c r="E130" s="65" t="s">
        <x:v>1481</x:v>
      </x:c>
      <x:c r="F130" s="65" t="s">
        <x:v>1173</x:v>
      </x:c>
      <x:c r="G130" s="65" t="s">
        <x:v>1012</x:v>
      </x:c>
      <x:c r="H130" s="65" t="s">
        <x:v>878</x:v>
      </x:c>
      <x:c r="I130" s="65" t="s">
        <x:v>1482</x:v>
      </x:c>
      <x:c r="J130" s="65" t="s">
        <x:v>910</x:v>
      </x:c>
      <x:c r="K130" s="65" t="s">
        <x:v>896</x:v>
      </x:c>
      <x:c r="L130" s="65" t="s">
        <x:v>897</x:v>
      </x:c>
      <x:c r="M130" s="65" t="s">
        <x:v>968</x:v>
      </x:c>
      <x:c r="N130" s="65" t="s">
        <x:v>897</x:v>
      </x:c>
      <x:c r="O130" s="65" t="s">
        <x:v>1000</x:v>
      </x:c>
      <x:c r="P130" s="65" t="s">
        <x:v>897</x:v>
      </x:c>
      <x:c r="Q130" s="85" t="s">
        <x:v>916</x:v>
      </x:c>
      <x:c r="R130" s="85" t="s">
        <x:v>916</x:v>
      </x:c>
      <x:c r="S130" s="85" t="s">
        <x:v>916</x:v>
      </x:c>
      <x:c r="T130" s="85" t="s">
        <x:v>916</x:v>
      </x:c>
      <x:c r="U130" s="85" t="s">
        <x:v>916</x:v>
      </x:c>
      <x:c r="V130" s="85" t="s">
        <x:v>916</x:v>
      </x:c>
      <x:c r="W130" s="66"/>
      <x:c r="X130" s="83" t="str">
        <x:f t="shared" si="11"/>
        <x:v>Belum Dinilai</x:v>
      </x:c>
      <x:c r="Y130" s="83" t="str">
        <x:f t="shared" si="12"/>
        <x:v>Belum Dinilai</x:v>
      </x:c>
      <x:c r="Z130" s="84" t="str">
        <x:f t="shared" si="13"/>
      </x:c>
      <x:c r="AA130" s="84" t="str">
        <x:f t="shared" si="14"/>
      </x:c>
      <x:c r="AB130" s="84" t="str">
        <x:f t="shared" si="15"/>
      </x:c>
      <x:c r="AC130" s="67" t="s">
        <x:v>916</x:v>
      </x:c>
      <x:c r="AD130" s="67" t="s">
        <x:v>916</x:v>
      </x:c>
      <x:c r="AE130" s="67" t="s">
        <x:v>916</x:v>
      </x:c>
      <x:c r="AF130" s="67" t="s">
        <x:v>916</x:v>
      </x:c>
      <x:c r="AG130" s="67" t="s">
        <x:v>916</x:v>
      </x:c>
      <x:c r="AH130" s="67" t="s">
        <x:v>916</x:v>
      </x:c>
      <x:c r="AI130" s="67" t="s">
        <x:v>916</x:v>
      </x:c>
      <x:c r="AJ130" s="67" t="s">
        <x:v>916</x:v>
      </x:c>
      <x:c r="AK130" s="67" t="s">
        <x:v>916</x:v>
      </x:c>
      <x:c r="AL130" s="67"/>
      <x:c r="AM130" s="67" t="s">
        <x:v>916</x:v>
      </x:c>
      <x:c r="AN130" s="83" t="str">
        <x:f t="shared" si="16"/>
        <x:v>Belum Dinilai</x:v>
      </x:c>
      <x:c r="AO130" s="83" t="str">
        <x:f t="shared" si="17"/>
        <x:v>Belum Dinilai</x:v>
      </x:c>
      <x:c r="AP130" s="67"/>
      <x:c r="AQ130" s="70">
        <x:f t="shared" si="18"/>
        <x:v>29</x:v>
      </x:c>
      <x:c r="AR130" s="70" t="str">
        <x:f t="shared" si="19"/>
      </x:c>
      <x:c r="AS130" s="70" t="str">
        <x:f t="shared" si="20"/>
      </x:c>
      <x:c r="AT130" s="68" t="str">
        <x:f t="shared" si="21"/>
        <x:v>Belum Dapat Ditentukan</x:v>
      </x:c>
      <x:c r="AU130" s="65" t="s">
        <x:v>887</x:v>
      </x:c>
      <x:c r="AV130" s="65" t="s">
        <x:v>904</x:v>
      </x:c>
      <x:c r="AW130" s="65" t="s">
        <x:v>889</x:v>
      </x:c>
      <x:c r="AX130" s="65" t="s">
        <x:v>890</x:v>
      </x:c>
      <x:c r="AY130" s="65"/>
      <x:c r="AZ130" s="65" t="s">
        <x:v>888</x:v>
      </x:c>
      <x:c r="BA130" s="65"/>
      <x:c r="BB130" s="177"/>
      <x:c r="BC130" s="71">
        <x:v>2026</x:v>
      </x:c>
      <x:c r="BD130" s="65"/>
      <x:c r="BE130" s="177"/>
      <x:c r="BF130" s="65" t="str">
        <x:v>Dinas Perkim Kota Pangkal Pinang</x:v>
      </x:c>
    </x:row>
    <x:row r="131" ht="42">
      <x:c r="A131" s="65" t="s">
        <x:v>1483</x:v>
      </x:c>
      <x:c r="B131" s="65" t="s">
        <x:v>1484</x:v>
      </x:c>
      <x:c r="C131" s="65"/>
      <x:c r="D131" s="65"/>
      <x:c r="E131" s="65" t="s">
        <x:v>1485</x:v>
      </x:c>
      <x:c r="F131" s="65" t="s">
        <x:v>1173</x:v>
      </x:c>
      <x:c r="G131" s="65" t="s">
        <x:v>1012</x:v>
      </x:c>
      <x:c r="H131" s="65" t="s">
        <x:v>963</x:v>
      </x:c>
      <x:c r="I131" s="65" t="s">
        <x:v>1486</x:v>
      </x:c>
      <x:c r="J131" s="65" t="s">
        <x:v>910</x:v>
      </x:c>
      <x:c r="K131" s="65" t="s">
        <x:v>911</x:v>
      </x:c>
      <x:c r="L131" s="65" t="s">
        <x:v>897</x:v>
      </x:c>
      <x:c r="M131" s="65" t="s">
        <x:v>968</x:v>
      </x:c>
      <x:c r="N131" s="65" t="s">
        <x:v>897</x:v>
      </x:c>
      <x:c r="O131" s="65" t="s">
        <x:v>883</x:v>
      </x:c>
      <x:c r="P131" s="65" t="s">
        <x:v>897</x:v>
      </x:c>
      <x:c r="Q131" s="85" t="s">
        <x:v>916</x:v>
      </x:c>
      <x:c r="R131" s="85" t="s">
        <x:v>916</x:v>
      </x:c>
      <x:c r="S131" s="85" t="s">
        <x:v>916</x:v>
      </x:c>
      <x:c r="T131" s="85" t="s">
        <x:v>916</x:v>
      </x:c>
      <x:c r="U131" s="85" t="s">
        <x:v>916</x:v>
      </x:c>
      <x:c r="V131" s="85" t="s">
        <x:v>916</x:v>
      </x:c>
      <x:c r="W131" s="66"/>
      <x:c r="X131" s="83" t="str">
        <x:f t="shared" si="11"/>
        <x:v>Belum Dinilai</x:v>
      </x:c>
      <x:c r="Y131" s="83" t="str">
        <x:f t="shared" si="12"/>
        <x:v>Belum Dinilai</x:v>
      </x:c>
      <x:c r="Z131" s="84" t="str">
        <x:f t="shared" si="13"/>
      </x:c>
      <x:c r="AA131" s="84" t="str">
        <x:f t="shared" si="14"/>
      </x:c>
      <x:c r="AB131" s="84" t="str">
        <x:f t="shared" si="15"/>
      </x:c>
      <x:c r="AC131" s="67" t="s">
        <x:v>916</x:v>
      </x:c>
      <x:c r="AD131" s="67" t="s">
        <x:v>916</x:v>
      </x:c>
      <x:c r="AE131" s="67" t="s">
        <x:v>916</x:v>
      </x:c>
      <x:c r="AF131" s="67" t="s">
        <x:v>916</x:v>
      </x:c>
      <x:c r="AG131" s="67" t="s">
        <x:v>916</x:v>
      </x:c>
      <x:c r="AH131" s="67" t="s">
        <x:v>916</x:v>
      </x:c>
      <x:c r="AI131" s="67" t="s">
        <x:v>916</x:v>
      </x:c>
      <x:c r="AJ131" s="67" t="s">
        <x:v>916</x:v>
      </x:c>
      <x:c r="AK131" s="67" t="s">
        <x:v>916</x:v>
      </x:c>
      <x:c r="AL131" s="67"/>
      <x:c r="AM131" s="67" t="s">
        <x:v>916</x:v>
      </x:c>
      <x:c r="AN131" s="83" t="str">
        <x:f t="shared" si="16"/>
        <x:v>Belum Dinilai</x:v>
      </x:c>
      <x:c r="AO131" s="83" t="str">
        <x:f t="shared" si="17"/>
        <x:v>Belum Dinilai</x:v>
      </x:c>
      <x:c r="AP131" s="67"/>
      <x:c r="AQ131" s="70">
        <x:f t="shared" si="18"/>
        <x:v>29</x:v>
      </x:c>
      <x:c r="AR131" s="70" t="str">
        <x:f t="shared" si="19"/>
      </x:c>
      <x:c r="AS131" s="70" t="str">
        <x:f t="shared" si="20"/>
      </x:c>
      <x:c r="AT131" s="68" t="str">
        <x:f t="shared" si="21"/>
        <x:v>Belum Dapat Ditentukan</x:v>
      </x:c>
      <x:c r="AU131" s="65" t="s">
        <x:v>903</x:v>
      </x:c>
      <x:c r="AV131" s="65" t="s">
        <x:v>904</x:v>
      </x:c>
      <x:c r="AW131" s="65" t="s">
        <x:v>889</x:v>
      </x:c>
      <x:c r="AX131" s="65" t="s">
        <x:v>890</x:v>
      </x:c>
      <x:c r="AY131" s="65"/>
      <x:c r="AZ131" s="65" t="s">
        <x:v>888</x:v>
      </x:c>
      <x:c r="BA131" s="65"/>
      <x:c r="BB131" s="177"/>
      <x:c r="BC131" s="71">
        <x:v>2026</x:v>
      </x:c>
      <x:c r="BD131" s="65"/>
      <x:c r="BE131" s="177"/>
      <x:c r="BF131" s="65" t="str">
        <x:v>Dinas Perkim Kota Pangkal Pinang</x:v>
      </x:c>
    </x:row>
    <x:row r="132" ht="28">
      <x:c r="A132" s="65" t="s">
        <x:v>1487</x:v>
      </x:c>
      <x:c r="B132" s="65" t="s">
        <x:v>1488</x:v>
      </x:c>
      <x:c r="C132" s="65"/>
      <x:c r="D132" s="65"/>
      <x:c r="E132" s="65" t="s">
        <x:v>1489</x:v>
      </x:c>
      <x:c r="F132" s="65" t="s">
        <x:v>1261</x:v>
      </x:c>
      <x:c r="G132" s="65" t="s">
        <x:v>977</x:v>
      </x:c>
      <x:c r="H132" s="65" t="s">
        <x:v>963</x:v>
      </x:c>
      <x:c r="I132" s="65" t="s">
        <x:v>1490</x:v>
      </x:c>
      <x:c r="J132" s="65" t="s">
        <x:v>879</x:v>
      </x:c>
      <x:c r="K132" s="65" t="s">
        <x:v>1000</x:v>
      </x:c>
      <x:c r="L132" s="65" t="s">
        <x:v>916</x:v>
      </x:c>
      <x:c r="M132" s="65" t="s">
        <x:v>967</x:v>
      </x:c>
      <x:c r="N132" s="65" t="s">
        <x:v>916</x:v>
      </x:c>
      <x:c r="O132" s="65" t="s">
        <x:v>1000</x:v>
      </x:c>
      <x:c r="P132" s="65" t="s">
        <x:v>916</x:v>
      </x:c>
      <x:c r="Q132" s="85" t="s">
        <x:v>916</x:v>
      </x:c>
      <x:c r="R132" s="85" t="s">
        <x:v>916</x:v>
      </x:c>
      <x:c r="S132" s="85" t="s">
        <x:v>916</x:v>
      </x:c>
      <x:c r="T132" s="85" t="s">
        <x:v>916</x:v>
      </x:c>
      <x:c r="U132" s="85" t="s">
        <x:v>916</x:v>
      </x:c>
      <x:c r="V132" s="85" t="s">
        <x:v>916</x:v>
      </x:c>
      <x:c r="W132" s="66"/>
      <x:c r="X132" s="83" t="str">
        <x:f t="shared" si="11"/>
        <x:v>Belum Dinilai</x:v>
      </x:c>
      <x:c r="Y132" s="83" t="str">
        <x:f t="shared" si="12"/>
        <x:v>Belum Dinilai</x:v>
      </x:c>
      <x:c r="Z132" s="84" t="str">
        <x:f t="shared" si="13"/>
      </x:c>
      <x:c r="AA132" s="84" t="str">
        <x:f t="shared" si="14"/>
      </x:c>
      <x:c r="AB132" s="84" t="str">
        <x:f t="shared" si="15"/>
      </x:c>
      <x:c r="AC132" s="67" t="s">
        <x:v>916</x:v>
      </x:c>
      <x:c r="AD132" s="67" t="s">
        <x:v>916</x:v>
      </x:c>
      <x:c r="AE132" s="67" t="s">
        <x:v>916</x:v>
      </x:c>
      <x:c r="AF132" s="67" t="s">
        <x:v>916</x:v>
      </x:c>
      <x:c r="AG132" s="67" t="s">
        <x:v>916</x:v>
      </x:c>
      <x:c r="AH132" s="67" t="s">
        <x:v>916</x:v>
      </x:c>
      <x:c r="AI132" s="67" t="s">
        <x:v>916</x:v>
      </x:c>
      <x:c r="AJ132" s="67" t="s">
        <x:v>916</x:v>
      </x:c>
      <x:c r="AK132" s="67" t="s">
        <x:v>916</x:v>
      </x:c>
      <x:c r="AL132" s="67"/>
      <x:c r="AM132" s="67" t="s">
        <x:v>916</x:v>
      </x:c>
      <x:c r="AN132" s="83" t="str">
        <x:f t="shared" si="16"/>
        <x:v>Belum Dinilai</x:v>
      </x:c>
      <x:c r="AO132" s="83" t="str">
        <x:f t="shared" si="17"/>
        <x:v>Belum Dinilai</x:v>
      </x:c>
      <x:c r="AP132" s="67"/>
      <x:c r="AQ132" s="70" t="str">
        <x:f t="shared" si="18"/>
      </x:c>
      <x:c r="AR132" s="70" t="str">
        <x:f t="shared" si="19"/>
      </x:c>
      <x:c r="AS132" s="70" t="str">
        <x:f t="shared" si="20"/>
      </x:c>
      <x:c r="AT132" s="68" t="str">
        <x:f t="shared" si="21"/>
        <x:v>Belum Dapat Ditentukan</x:v>
      </x:c>
      <x:c r="AU132" s="65" t="s">
        <x:v>887</x:v>
      </x:c>
      <x:c r="AV132" s="65" t="s">
        <x:v>904</x:v>
      </x:c>
      <x:c r="AW132" s="65" t="s">
        <x:v>889</x:v>
      </x:c>
      <x:c r="AX132" s="65" t="s">
        <x:v>890</x:v>
      </x:c>
      <x:c r="AY132" s="65"/>
      <x:c r="AZ132" s="65" t="s">
        <x:v>888</x:v>
      </x:c>
      <x:c r="BA132" s="65"/>
      <x:c r="BB132" s="177"/>
      <x:c r="BC132" s="71">
        <x:v>2026</x:v>
      </x:c>
      <x:c r="BD132" s="65"/>
      <x:c r="BE132" s="177"/>
      <x:c r="BF132" s="65" t="str">
        <x:v>Dinas Perkim Kota Pangkal Pinang</x:v>
      </x:c>
    </x:row>
    <x:row r="133" ht="42">
      <x:c r="A133" s="65" t="s">
        <x:v>1491</x:v>
      </x:c>
      <x:c r="B133" s="65" t="s">
        <x:v>1492</x:v>
      </x:c>
      <x:c r="C133" s="65"/>
      <x:c r="D133" s="65"/>
      <x:c r="E133" s="65" t="s">
        <x:v>1493</x:v>
      </x:c>
      <x:c r="F133" s="65" t="s">
        <x:v>1261</x:v>
      </x:c>
      <x:c r="G133" s="65" t="s">
        <x:v>977</x:v>
      </x:c>
      <x:c r="H133" s="65" t="s">
        <x:v>963</x:v>
      </x:c>
      <x:c r="I133" s="65" t="s">
        <x:v>1494</x:v>
      </x:c>
      <x:c r="J133" s="65" t="s">
        <x:v>895</x:v>
      </x:c>
      <x:c r="K133" s="65" t="s">
        <x:v>911</x:v>
      </x:c>
      <x:c r="L133" s="65" t="s">
        <x:v>897</x:v>
      </x:c>
      <x:c r="M133" s="65" t="s">
        <x:v>979</x:v>
      </x:c>
      <x:c r="N133" s="65" t="s">
        <x:v>916</x:v>
      </x:c>
      <x:c r="O133" s="65" t="s">
        <x:v>914</x:v>
      </x:c>
      <x:c r="P133" s="65" t="s">
        <x:v>897</x:v>
      </x:c>
      <x:c r="Q133" s="85" t="s">
        <x:v>916</x:v>
      </x:c>
      <x:c r="R133" s="85" t="s">
        <x:v>916</x:v>
      </x:c>
      <x:c r="S133" s="85" t="s">
        <x:v>916</x:v>
      </x:c>
      <x:c r="T133" s="85" t="s">
        <x:v>916</x:v>
      </x:c>
      <x:c r="U133" s="85" t="s">
        <x:v>916</x:v>
      </x:c>
      <x:c r="V133" s="85" t="s">
        <x:v>916</x:v>
      </x:c>
      <x:c r="W133" s="66"/>
      <x:c r="X133" s="83" t="str">
        <x:f t="shared" si="11"/>
        <x:v>Belum Dinilai</x:v>
      </x:c>
      <x:c r="Y133" s="83" t="str">
        <x:f t="shared" si="12"/>
        <x:v>Belum Dinilai</x:v>
      </x:c>
      <x:c r="Z133" s="84" t="str">
        <x:f t="shared" si="13"/>
      </x:c>
      <x:c r="AA133" s="84" t="str">
        <x:f t="shared" si="14"/>
      </x:c>
      <x:c r="AB133" s="84" t="str">
        <x:f t="shared" si="15"/>
      </x:c>
      <x:c r="AC133" s="67" t="s">
        <x:v>916</x:v>
      </x:c>
      <x:c r="AD133" s="67" t="s">
        <x:v>916</x:v>
      </x:c>
      <x:c r="AE133" s="67" t="s">
        <x:v>916</x:v>
      </x:c>
      <x:c r="AF133" s="67" t="s">
        <x:v>916</x:v>
      </x:c>
      <x:c r="AG133" s="67" t="s">
        <x:v>916</x:v>
      </x:c>
      <x:c r="AH133" s="67" t="s">
        <x:v>916</x:v>
      </x:c>
      <x:c r="AI133" s="67" t="s">
        <x:v>916</x:v>
      </x:c>
      <x:c r="AJ133" s="67" t="s">
        <x:v>916</x:v>
      </x:c>
      <x:c r="AK133" s="67" t="s">
        <x:v>916</x:v>
      </x:c>
      <x:c r="AL133" s="67"/>
      <x:c r="AM133" s="67" t="s">
        <x:v>916</x:v>
      </x:c>
      <x:c r="AN133" s="83" t="str">
        <x:f t="shared" si="16"/>
        <x:v>Belum Dinilai</x:v>
      </x:c>
      <x:c r="AO133" s="83" t="str">
        <x:f t="shared" si="17"/>
        <x:v>Belum Dinilai</x:v>
      </x:c>
      <x:c r="AP133" s="67"/>
      <x:c r="AQ133" s="70" t="str">
        <x:f t="shared" si="18"/>
      </x:c>
      <x:c r="AR133" s="70" t="str">
        <x:f t="shared" si="19"/>
      </x:c>
      <x:c r="AS133" s="70" t="str">
        <x:f t="shared" si="20"/>
      </x:c>
      <x:c r="AT133" s="68" t="str">
        <x:f t="shared" si="21"/>
        <x:v>Belum Dapat Ditentukan</x:v>
      </x:c>
      <x:c r="AU133" s="65" t="s">
        <x:v>903</x:v>
      </x:c>
      <x:c r="AV133" s="65" t="s">
        <x:v>904</x:v>
      </x:c>
      <x:c r="AW133" s="65" t="s">
        <x:v>889</x:v>
      </x:c>
      <x:c r="AX133" s="65" t="s">
        <x:v>890</x:v>
      </x:c>
      <x:c r="AY133" s="65"/>
      <x:c r="AZ133" s="65" t="s">
        <x:v>888</x:v>
      </x:c>
      <x:c r="BA133" s="65"/>
      <x:c r="BB133" s="177"/>
      <x:c r="BC133" s="71">
        <x:v>2026</x:v>
      </x:c>
      <x:c r="BD133" s="65"/>
      <x:c r="BE133" s="177"/>
      <x:c r="BF133" s="65" t="str">
        <x:v>Dinas Perkim Kota Pangkal Pinang</x:v>
      </x:c>
    </x:row>
    <x:row r="134" ht="56">
      <x:c r="A134" s="65" t="s">
        <x:v>1495</x:v>
      </x:c>
      <x:c r="B134" s="65" t="s">
        <x:v>1496</x:v>
      </x:c>
      <x:c r="C134" s="65"/>
      <x:c r="D134" s="65"/>
      <x:c r="E134" s="65" t="s">
        <x:v>1493</x:v>
      </x:c>
      <x:c r="F134" s="65" t="s">
        <x:v>1261</x:v>
      </x:c>
      <x:c r="G134" s="65" t="s">
        <x:v>977</x:v>
      </x:c>
      <x:c r="H134" s="65" t="s">
        <x:v>963</x:v>
      </x:c>
      <x:c r="I134" s="65" t="s">
        <x:v>1497</x:v>
      </x:c>
      <x:c r="J134" s="65" t="s">
        <x:v>910</x:v>
      </x:c>
      <x:c r="K134" s="65" t="s">
        <x:v>896</x:v>
      </x:c>
      <x:c r="L134" s="65" t="s">
        <x:v>897</x:v>
      </x:c>
      <x:c r="M134" s="65" t="s">
        <x:v>968</x:v>
      </x:c>
      <x:c r="N134" s="65" t="s">
        <x:v>897</x:v>
      </x:c>
      <x:c r="O134" s="65" t="s">
        <x:v>914</x:v>
      </x:c>
      <x:c r="P134" s="65" t="s">
        <x:v>897</x:v>
      </x:c>
      <x:c r="Q134" s="85" t="s">
        <x:v>916</x:v>
      </x:c>
      <x:c r="R134" s="85" t="s">
        <x:v>916</x:v>
      </x:c>
      <x:c r="S134" s="85" t="s">
        <x:v>916</x:v>
      </x:c>
      <x:c r="T134" s="85" t="s">
        <x:v>916</x:v>
      </x:c>
      <x:c r="U134" s="85" t="s">
        <x:v>916</x:v>
      </x:c>
      <x:c r="V134" s="85" t="s">
        <x:v>916</x:v>
      </x:c>
      <x:c r="W134" s="66"/>
      <x:c r="X134" s="83" t="str">
        <x:f t="shared" ref="X134:X197" si="22">IF(COUNTIF(R134:V134,"Belum Dinilai")&gt;0,"Belum Dinilai",IF(COUNTIF(R134:V134,"Ya")=0,"Tidak ada faktor rentan",IF(R134="Ya","Lansia; ","")&amp;IF(S134="Ya","Penyandang disabilitas; ","")&amp;IF(T134="Ya","Kepala keluarga perempuan; ","")&amp;IF(U134="Ya","Balita; ","")&amp;IF(V134="Ya","Anggota keluarga dengan ketergantungan tinggi; ","")))</x:f>
        <x:v>Belum Dinilai</x:v>
      </x:c>
      <x:c r="Y134" s="83" t="str">
        <x:f t="shared" ref="Y134:Y197" si="23">IF(COUNTIF(R134:V134,"Belum Dinilai")&gt;0,"Belum Dinilai",IF(COUNTIF(R134:V134,"Ya")=0,"Tidak Ada Faktor Rentan",IF(COUNTIF(R134:V134,"Ya")=1,"1 Faktor Rentan","2 atau Lebih Faktor Rentan")))</x:f>
        <x:v>Belum Dinilai</x:v>
      </x:c>
      <x:c r="Z134" s="84" t="str">
        <x:f t="shared" ref="Z134:Z197" si="24">IF(OR(Q134="",Q134="Belum Dinilai"),"",IF(Q134="Terverifikasi DTKS/P3KE/MBR",10,IF(Q134="Diusulkan, Belum Terverifikasi",5,0)))</x:f>
      </x:c>
      <x:c r="AA134" s="84" t="str">
        <x:f t="shared" ref="AA134:AA197" si="25">IF(COUNTIF(R134:V134,"Belum Dinilai")&gt;0,"",IF(COUNTIF(R134:V134,"Ya")=0,0,IF(COUNTIF(R134:V134,"Ya")=1,5,10)))</x:f>
      </x:c>
      <x:c r="AB134" s="84" t="str">
        <x:f t="shared" ref="AB134:AB197" si="26">IF(OR(Z134="",AA134=""),"",Z134+AA134)</x:f>
      </x:c>
      <x:c r="AC134" s="67" t="s">
        <x:v>916</x:v>
      </x:c>
      <x:c r="AD134" s="67" t="s">
        <x:v>916</x:v>
      </x:c>
      <x:c r="AE134" s="67" t="s">
        <x:v>916</x:v>
      </x:c>
      <x:c r="AF134" s="67" t="s">
        <x:v>916</x:v>
      </x:c>
      <x:c r="AG134" s="67" t="s">
        <x:v>916</x:v>
      </x:c>
      <x:c r="AH134" s="67" t="s">
        <x:v>916</x:v>
      </x:c>
      <x:c r="AI134" s="67" t="s">
        <x:v>916</x:v>
      </x:c>
      <x:c r="AJ134" s="67" t="s">
        <x:v>916</x:v>
      </x:c>
      <x:c r="AK134" s="67" t="s">
        <x:v>916</x:v>
      </x:c>
      <x:c r="AL134" s="67"/>
      <x:c r="AM134" s="67" t="s">
        <x:v>916</x:v>
      </x:c>
      <x:c r="AN134" s="83" t="str">
        <x: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x:f>
        <x:v>Belum Dinilai</x:v>
      </x:c>
      <x:c r="AO134" s="83" t="str">
        <x:f t="shared" ref="AO134:AO197" si="28">IF(AR134="","Belum Dinilai",IF(AR134=10,"Risiko Tinggi/Darurat",IF(AR134=5,"Risiko Sedang","Tidak Ada Risiko Khusus")))</x:f>
        <x:v>Belum Dinilai</x:v>
      </x:c>
      <x:c r="AP134" s="67"/>
      <x:c r="AQ134" s="70" t="n">
        <x: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x:f>
        <x:v>29</x:v>
      </x:c>
      <x:c r="AR134" s="70" t="str">
        <x: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x:f>
      </x:c>
      <x:c r="AS134" s="70" t="str">
        <x:f t="shared" ref="AS134:AS197" si="31">IF(OR(AQ134="",AB134="",AR134=""),"",AQ134+AB134+AR134)</x:f>
      </x:c>
      <x:c r="AT134" s="68" t="str">
        <x: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x:f>
        <x:v>Belum Dapat Ditentukan</x:v>
      </x:c>
      <x:c r="AU134" s="65" t="s">
        <x:v>887</x:v>
      </x:c>
      <x:c r="AV134" s="65" t="s">
        <x:v>904</x:v>
      </x:c>
      <x:c r="AW134" s="65" t="s">
        <x:v>889</x:v>
      </x:c>
      <x:c r="AX134" s="65" t="s">
        <x:v>890</x:v>
      </x:c>
      <x:c r="AY134" s="65"/>
      <x:c r="AZ134" s="65" t="s">
        <x:v>888</x:v>
      </x:c>
      <x:c r="BA134" s="65"/>
      <x:c r="BB134" s="177"/>
      <x:c r="BC134" s="71">
        <x:v>2026</x:v>
      </x:c>
      <x:c r="BD134" s="65"/>
      <x:c r="BE134" s="177"/>
      <x:c r="BF134" s="65" t="str">
        <x:v>Dinas Perkim Kota Pangkal Pinang</x:v>
      </x:c>
    </x:row>
    <x:row r="135" ht="56">
      <x:c r="A135" s="65" t="s">
        <x:v>1498</x:v>
      </x:c>
      <x:c r="B135" s="65" t="s">
        <x:v>1499</x:v>
      </x:c>
      <x:c r="C135" s="65"/>
      <x:c r="D135" s="65"/>
      <x:c r="E135" s="65" t="s">
        <x:v>1434</x:v>
      </x:c>
      <x:c r="F135" s="65" t="s">
        <x:v>1261</x:v>
      </x:c>
      <x:c r="G135" s="65" t="s">
        <x:v>977</x:v>
      </x:c>
      <x:c r="H135" s="65" t="s">
        <x:v>878</x:v>
      </x:c>
      <x:c r="I135" s="65" t="s">
        <x:v>1500</x:v>
      </x:c>
      <x:c r="J135" s="65" t="s">
        <x:v>910</x:v>
      </x:c>
      <x:c r="K135" s="65" t="s">
        <x:v>896</x:v>
      </x:c>
      <x:c r="L135" s="65" t="s">
        <x:v>897</x:v>
      </x:c>
      <x:c r="M135" s="65" t="s">
        <x:v>968</x:v>
      </x:c>
      <x:c r="N135" s="65" t="s">
        <x:v>897</x:v>
      </x:c>
      <x:c r="O135" s="65" t="s">
        <x:v>914</x:v>
      </x:c>
      <x:c r="P135" s="65" t="s">
        <x:v>897</x:v>
      </x:c>
      <x:c r="Q135" s="85" t="s">
        <x:v>916</x:v>
      </x:c>
      <x:c r="R135" s="85" t="s">
        <x:v>916</x:v>
      </x:c>
      <x:c r="S135" s="85" t="s">
        <x:v>916</x:v>
      </x:c>
      <x:c r="T135" s="85" t="s">
        <x:v>916</x:v>
      </x:c>
      <x:c r="U135" s="85" t="s">
        <x:v>916</x:v>
      </x:c>
      <x:c r="V135" s="85" t="s">
        <x:v>916</x:v>
      </x:c>
      <x:c r="W135" s="66"/>
      <x:c r="X135" s="83" t="str">
        <x:f t="shared" si="22"/>
        <x:v>Belum Dinilai</x:v>
      </x:c>
      <x:c r="Y135" s="83" t="str">
        <x:f t="shared" si="23"/>
        <x:v>Belum Dinilai</x:v>
      </x:c>
      <x:c r="Z135" s="84" t="str">
        <x:f t="shared" si="24"/>
      </x:c>
      <x:c r="AA135" s="84" t="str">
        <x:f t="shared" si="25"/>
      </x:c>
      <x:c r="AB135" s="84" t="str">
        <x:f t="shared" si="26"/>
      </x:c>
      <x:c r="AC135" s="67" t="s">
        <x:v>916</x:v>
      </x:c>
      <x:c r="AD135" s="67" t="s">
        <x:v>916</x:v>
      </x:c>
      <x:c r="AE135" s="67" t="s">
        <x:v>916</x:v>
      </x:c>
      <x:c r="AF135" s="67" t="s">
        <x:v>916</x:v>
      </x:c>
      <x:c r="AG135" s="67" t="s">
        <x:v>916</x:v>
      </x:c>
      <x:c r="AH135" s="67" t="s">
        <x:v>916</x:v>
      </x:c>
      <x:c r="AI135" s="67" t="s">
        <x:v>916</x:v>
      </x:c>
      <x:c r="AJ135" s="67" t="s">
        <x:v>916</x:v>
      </x:c>
      <x:c r="AK135" s="67" t="s">
        <x:v>916</x:v>
      </x:c>
      <x:c r="AL135" s="67"/>
      <x:c r="AM135" s="67" t="s">
        <x:v>916</x:v>
      </x:c>
      <x:c r="AN135" s="83" t="str">
        <x:f t="shared" si="27"/>
        <x:v>Belum Dinilai</x:v>
      </x:c>
      <x:c r="AO135" s="83" t="str">
        <x:f t="shared" si="28"/>
        <x:v>Belum Dinilai</x:v>
      </x:c>
      <x:c r="AP135" s="67"/>
      <x:c r="AQ135" s="70">
        <x:f t="shared" si="29"/>
        <x:v>29</x:v>
      </x:c>
      <x:c r="AR135" s="70" t="str">
        <x:f t="shared" si="30"/>
      </x:c>
      <x:c r="AS135" s="70" t="str">
        <x:f t="shared" si="31"/>
      </x:c>
      <x:c r="AT135" s="68" t="str">
        <x:f t="shared" si="32"/>
        <x:v>Belum Dapat Ditentukan</x:v>
      </x:c>
      <x:c r="AU135" s="65" t="s">
        <x:v>887</x:v>
      </x:c>
      <x:c r="AV135" s="65" t="s">
        <x:v>904</x:v>
      </x:c>
      <x:c r="AW135" s="65" t="s">
        <x:v>1001</x:v>
      </x:c>
      <x:c r="AX135" s="65" t="s">
        <x:v>906</x:v>
      </x:c>
      <x:c r="AY135" s="65">
        <x:v>2022</x:v>
      </x:c>
      <x:c r="AZ135" s="65" t="s">
        <x:v>888</x:v>
      </x:c>
      <x:c r="BA135" s="65"/>
      <x:c r="BB135" s="177"/>
      <x:c r="BC135" s="71">
        <x:v>2026</x:v>
      </x:c>
      <x:c r="BD135" s="65"/>
      <x:c r="BE135" s="177"/>
      <x:c r="BF135" s="65" t="str">
        <x:v>Dinas Perkim Kota Pangkal Pinang</x:v>
      </x:c>
    </x:row>
    <x:row r="136" ht="70">
      <x:c r="A136" s="65" t="s">
        <x:v>1501</x:v>
      </x:c>
      <x:c r="B136" s="65" t="s">
        <x:v>1502</x:v>
      </x:c>
      <x:c r="C136" s="65"/>
      <x:c r="D136" s="65"/>
      <x:c r="E136" s="65" t="s">
        <x:v>1503</x:v>
      </x:c>
      <x:c r="F136" s="65" t="s">
        <x:v>1261</x:v>
      </x:c>
      <x:c r="G136" s="65" t="s">
        <x:v>977</x:v>
      </x:c>
      <x:c r="H136" s="65" t="s">
        <x:v>878</x:v>
      </x:c>
      <x:c r="I136" s="65" t="s">
        <x:v>1504</x:v>
      </x:c>
      <x:c r="J136" s="65" t="s">
        <x:v>895</x:v>
      </x:c>
      <x:c r="K136" s="65" t="s">
        <x:v>1000</x:v>
      </x:c>
      <x:c r="L136" s="65" t="s">
        <x:v>897</x:v>
      </x:c>
      <x:c r="M136" s="65" t="s">
        <x:v>968</x:v>
      </x:c>
      <x:c r="N136" s="65" t="s">
        <x:v>897</x:v>
      </x:c>
      <x:c r="O136" s="65" t="s">
        <x:v>914</x:v>
      </x:c>
      <x:c r="P136" s="65" t="s">
        <x:v>897</x:v>
      </x:c>
      <x:c r="Q136" s="85" t="s">
        <x:v>916</x:v>
      </x:c>
      <x:c r="R136" s="85" t="s">
        <x:v>916</x:v>
      </x:c>
      <x:c r="S136" s="85" t="s">
        <x:v>916</x:v>
      </x:c>
      <x:c r="T136" s="85" t="s">
        <x:v>916</x:v>
      </x:c>
      <x:c r="U136" s="85" t="s">
        <x:v>916</x:v>
      </x:c>
      <x:c r="V136" s="85" t="s">
        <x:v>916</x:v>
      </x:c>
      <x:c r="W136" s="66"/>
      <x:c r="X136" s="83" t="str">
        <x:f t="shared" si="22"/>
        <x:v>Belum Dinilai</x:v>
      </x:c>
      <x:c r="Y136" s="83" t="str">
        <x:f t="shared" si="23"/>
        <x:v>Belum Dinilai</x:v>
      </x:c>
      <x:c r="Z136" s="84" t="str">
        <x:f t="shared" si="24"/>
      </x:c>
      <x:c r="AA136" s="84" t="str">
        <x:f t="shared" si="25"/>
      </x:c>
      <x:c r="AB136" s="84" t="str">
        <x:f t="shared" si="26"/>
      </x:c>
      <x:c r="AC136" s="67" t="s">
        <x:v>916</x:v>
      </x:c>
      <x:c r="AD136" s="67" t="s">
        <x:v>916</x:v>
      </x:c>
      <x:c r="AE136" s="67" t="s">
        <x:v>916</x:v>
      </x:c>
      <x:c r="AF136" s="67" t="s">
        <x:v>916</x:v>
      </x:c>
      <x:c r="AG136" s="67" t="s">
        <x:v>916</x:v>
      </x:c>
      <x:c r="AH136" s="67" t="s">
        <x:v>916</x:v>
      </x:c>
      <x:c r="AI136" s="67" t="s">
        <x:v>916</x:v>
      </x:c>
      <x:c r="AJ136" s="67" t="s">
        <x:v>916</x:v>
      </x:c>
      <x:c r="AK136" s="67" t="s">
        <x:v>916</x:v>
      </x:c>
      <x:c r="AL136" s="67"/>
      <x:c r="AM136" s="67" t="s">
        <x:v>916</x:v>
      </x:c>
      <x:c r="AN136" s="83" t="str">
        <x:f t="shared" si="27"/>
        <x:v>Belum Dinilai</x:v>
      </x:c>
      <x:c r="AO136" s="83" t="str">
        <x:f t="shared" si="28"/>
        <x:v>Belum Dinilai</x:v>
      </x:c>
      <x:c r="AP136" s="67"/>
      <x:c r="AQ136" s="70">
        <x:f t="shared" si="29"/>
        <x:v>22</x:v>
      </x:c>
      <x:c r="AR136" s="70" t="str">
        <x:f t="shared" si="30"/>
      </x:c>
      <x:c r="AS136" s="70" t="str">
        <x:f t="shared" si="31"/>
      </x:c>
      <x:c r="AT136" s="68" t="str">
        <x:f t="shared" si="32"/>
        <x:v>Belum Dapat Ditentukan</x:v>
      </x:c>
      <x:c r="AU136" s="65" t="s">
        <x:v>887</x:v>
      </x:c>
      <x:c r="AV136" s="65" t="s">
        <x:v>904</x:v>
      </x:c>
      <x:c r="AW136" s="65" t="s">
        <x:v>1001</x:v>
      </x:c>
      <x:c r="AX136" s="65" t="s">
        <x:v>906</x:v>
      </x:c>
      <x:c r="AY136" s="65">
        <x:v>2022</x:v>
      </x:c>
      <x:c r="AZ136" s="65" t="s">
        <x:v>888</x:v>
      </x:c>
      <x:c r="BA136" s="65"/>
      <x:c r="BB136" s="177"/>
      <x:c r="BC136" s="71">
        <x:v>2026</x:v>
      </x:c>
      <x:c r="BD136" s="65"/>
      <x:c r="BE136" s="177"/>
      <x:c r="BF136" s="65" t="str">
        <x:v>Dinas Perkim Kota Pangkal Pinang</x:v>
      </x:c>
    </x:row>
    <x:row r="137" ht="42">
      <x:c r="A137" s="65" t="s">
        <x:v>1505</x:v>
      </x:c>
      <x:c r="B137" s="65" t="s">
        <x:v>1506</x:v>
      </x:c>
      <x:c r="C137" s="65"/>
      <x:c r="D137" s="65"/>
      <x:c r="E137" s="65" t="s">
        <x:v>1507</x:v>
      </x:c>
      <x:c r="F137" s="65" t="s">
        <x:v>1159</x:v>
      </x:c>
      <x:c r="G137" s="65" t="s">
        <x:v>1012</x:v>
      </x:c>
      <x:c r="H137" s="65" t="s">
        <x:v>894</x:v>
      </x:c>
      <x:c r="I137" s="65" t="s">
        <x:v>1508</x:v>
      </x:c>
      <x:c r="J137" s="65" t="s">
        <x:v>879</x:v>
      </x:c>
      <x:c r="K137" s="65" t="s">
        <x:v>896</x:v>
      </x:c>
      <x:c r="L137" s="65" t="s">
        <x:v>897</x:v>
      </x:c>
      <x:c r="M137" s="65" t="s">
        <x:v>967</x:v>
      </x:c>
      <x:c r="N137" s="65" t="s">
        <x:v>897</x:v>
      </x:c>
      <x:c r="O137" s="65" t="s">
        <x:v>914</x:v>
      </x:c>
      <x:c r="P137" s="65" t="s">
        <x:v>897</x:v>
      </x:c>
      <x:c r="Q137" s="85" t="s">
        <x:v>916</x:v>
      </x:c>
      <x:c r="R137" s="85" t="s">
        <x:v>916</x:v>
      </x:c>
      <x:c r="S137" s="85" t="s">
        <x:v>916</x:v>
      </x:c>
      <x:c r="T137" s="85" t="s">
        <x:v>916</x:v>
      </x:c>
      <x:c r="U137" s="85" t="s">
        <x:v>916</x:v>
      </x:c>
      <x:c r="V137" s="85" t="s">
        <x:v>916</x:v>
      </x:c>
      <x:c r="W137" s="66"/>
      <x:c r="X137" s="83" t="str">
        <x:f t="shared" si="22"/>
        <x:v>Belum Dinilai</x:v>
      </x:c>
      <x:c r="Y137" s="83" t="str">
        <x:f t="shared" si="23"/>
        <x:v>Belum Dinilai</x:v>
      </x:c>
      <x:c r="Z137" s="84" t="str">
        <x:f t="shared" si="24"/>
      </x:c>
      <x:c r="AA137" s="84" t="str">
        <x:f t="shared" si="25"/>
      </x:c>
      <x:c r="AB137" s="84" t="str">
        <x:f t="shared" si="26"/>
      </x:c>
      <x:c r="AC137" s="67" t="s">
        <x:v>916</x:v>
      </x:c>
      <x:c r="AD137" s="67" t="s">
        <x:v>916</x:v>
      </x:c>
      <x:c r="AE137" s="67" t="s">
        <x:v>916</x:v>
      </x:c>
      <x:c r="AF137" s="67" t="s">
        <x:v>916</x:v>
      </x:c>
      <x:c r="AG137" s="67" t="s">
        <x:v>916</x:v>
      </x:c>
      <x:c r="AH137" s="67" t="s">
        <x:v>916</x:v>
      </x:c>
      <x:c r="AI137" s="67" t="s">
        <x:v>916</x:v>
      </x:c>
      <x:c r="AJ137" s="67" t="s">
        <x:v>916</x:v>
      </x:c>
      <x:c r="AK137" s="67" t="s">
        <x:v>916</x:v>
      </x:c>
      <x:c r="AL137" s="67"/>
      <x:c r="AM137" s="67" t="s">
        <x:v>916</x:v>
      </x:c>
      <x:c r="AN137" s="83" t="str">
        <x:f t="shared" si="27"/>
        <x:v>Belum Dinilai</x:v>
      </x:c>
      <x:c r="AO137" s="83" t="str">
        <x:f t="shared" si="28"/>
        <x:v>Belum Dinilai</x:v>
      </x:c>
      <x:c r="AP137" s="67"/>
      <x:c r="AQ137" s="70">
        <x:f t="shared" si="29"/>
        <x:v>14</x:v>
      </x:c>
      <x:c r="AR137" s="70" t="str">
        <x:f t="shared" si="30"/>
      </x:c>
      <x:c r="AS137" s="70" t="str">
        <x:f t="shared" si="31"/>
      </x:c>
      <x:c r="AT137" s="68" t="str">
        <x:f t="shared" si="32"/>
        <x:v>Belum Dapat Ditentukan</x:v>
      </x:c>
      <x:c r="AU137" s="65" t="s">
        <x:v>887</x:v>
      </x:c>
      <x:c r="AV137" s="65" t="s">
        <x:v>904</x:v>
      </x:c>
      <x:c r="AW137" s="65" t="s">
        <x:v>1001</x:v>
      </x:c>
      <x:c r="AX137" s="65" t="s">
        <x:v>906</x:v>
      </x:c>
      <x:c r="AY137" s="65">
        <x:v>2023</x:v>
      </x:c>
      <x:c r="AZ137" s="65" t="s">
        <x:v>888</x:v>
      </x:c>
      <x:c r="BA137" s="65"/>
      <x:c r="BB137" s="177"/>
      <x:c r="BC137" s="71">
        <x:v>2026</x:v>
      </x:c>
      <x:c r="BD137" s="65"/>
      <x:c r="BE137" s="177"/>
      <x:c r="BF137" s="65" t="str">
        <x:v>Dinas Perkim Kota Pangkal Pinang</x:v>
      </x:c>
    </x:row>
    <x:row r="138" ht="28">
      <x:c r="A138" s="65" t="s">
        <x:v>1509</x:v>
      </x:c>
      <x:c r="B138" s="65" t="s">
        <x:v>1510</x:v>
      </x:c>
      <x:c r="C138" s="65"/>
      <x:c r="D138" s="65"/>
      <x:c r="E138" s="65" t="s">
        <x:v>1511</x:v>
      </x:c>
      <x:c r="F138" s="65" t="s">
        <x:v>1058</x:v>
      </x:c>
      <x:c r="G138" s="65" t="s">
        <x:v>990</x:v>
      </x:c>
      <x:c r="H138" s="65" t="s">
        <x:v>878</x:v>
      </x:c>
      <x:c r="I138" s="65" t="s">
        <x:v>1512</x:v>
      </x:c>
      <x:c r="J138" s="65" t="s">
        <x:v>910</x:v>
      </x:c>
      <x:c r="K138" s="65" t="s">
        <x:v>911</x:v>
      </x:c>
      <x:c r="L138" s="65" t="s">
        <x:v>897</x:v>
      </x:c>
      <x:c r="M138" s="65" t="s">
        <x:v>968</x:v>
      </x:c>
      <x:c r="N138" s="65" t="s">
        <x:v>897</x:v>
      </x:c>
      <x:c r="O138" s="65" t="s">
        <x:v>914</x:v>
      </x:c>
      <x:c r="P138" s="65" t="s">
        <x:v>897</x:v>
      </x:c>
      <x:c r="Q138" s="85" t="s">
        <x:v>916</x:v>
      </x:c>
      <x:c r="R138" s="85" t="s">
        <x:v>916</x:v>
      </x:c>
      <x:c r="S138" s="85" t="s">
        <x:v>916</x:v>
      </x:c>
      <x:c r="T138" s="85" t="s">
        <x:v>916</x:v>
      </x:c>
      <x:c r="U138" s="85" t="s">
        <x:v>916</x:v>
      </x:c>
      <x:c r="V138" s="85" t="s">
        <x:v>916</x:v>
      </x:c>
      <x:c r="W138" s="66"/>
      <x:c r="X138" s="83" t="str">
        <x:f t="shared" si="22"/>
        <x:v>Belum Dinilai</x:v>
      </x:c>
      <x:c r="Y138" s="83" t="str">
        <x:f t="shared" si="23"/>
        <x:v>Belum Dinilai</x:v>
      </x:c>
      <x:c r="Z138" s="84" t="str">
        <x:f t="shared" si="24"/>
      </x:c>
      <x:c r="AA138" s="84" t="str">
        <x:f t="shared" si="25"/>
      </x:c>
      <x:c r="AB138" s="84" t="str">
        <x:f t="shared" si="26"/>
      </x:c>
      <x:c r="AC138" s="67" t="s">
        <x:v>916</x:v>
      </x:c>
      <x:c r="AD138" s="67" t="s">
        <x:v>916</x:v>
      </x:c>
      <x:c r="AE138" s="67" t="s">
        <x:v>916</x:v>
      </x:c>
      <x:c r="AF138" s="67" t="s">
        <x:v>916</x:v>
      </x:c>
      <x:c r="AG138" s="67" t="s">
        <x:v>916</x:v>
      </x:c>
      <x:c r="AH138" s="67" t="s">
        <x:v>916</x:v>
      </x:c>
      <x:c r="AI138" s="67" t="s">
        <x:v>916</x:v>
      </x:c>
      <x:c r="AJ138" s="67" t="s">
        <x:v>916</x:v>
      </x:c>
      <x:c r="AK138" s="67" t="s">
        <x:v>916</x:v>
      </x:c>
      <x:c r="AL138" s="67"/>
      <x:c r="AM138" s="67" t="s">
        <x:v>916</x:v>
      </x:c>
      <x:c r="AN138" s="83" t="str">
        <x:f t="shared" si="27"/>
        <x:v>Belum Dinilai</x:v>
      </x:c>
      <x:c r="AO138" s="83" t="str">
        <x:f t="shared" si="28"/>
        <x:v>Belum Dinilai</x:v>
      </x:c>
      <x:c r="AP138" s="67"/>
      <x:c r="AQ138" s="70">
        <x:f t="shared" si="29"/>
        <x:v>29</x:v>
      </x:c>
      <x:c r="AR138" s="70" t="str">
        <x:f t="shared" si="30"/>
      </x:c>
      <x:c r="AS138" s="70" t="str">
        <x:f t="shared" si="31"/>
      </x:c>
      <x:c r="AT138" s="68" t="str">
        <x:f t="shared" si="32"/>
        <x:v>Belum Dapat Ditentukan</x:v>
      </x:c>
      <x:c r="AU138" s="65" t="s">
        <x:v>887</x:v>
      </x:c>
      <x:c r="AV138" s="65" t="s">
        <x:v>904</x:v>
      </x:c>
      <x:c r="AW138" s="65" t="s">
        <x:v>1001</x:v>
      </x:c>
      <x:c r="AX138" s="65" t="s">
        <x:v>906</x:v>
      </x:c>
      <x:c r="AY138" s="65">
        <x:v>2022</x:v>
      </x:c>
      <x:c r="AZ138" s="65" t="s">
        <x:v>888</x:v>
      </x:c>
      <x:c r="BA138" s="65"/>
      <x:c r="BB138" s="177"/>
      <x:c r="BC138" s="71">
        <x:v>2026</x:v>
      </x:c>
      <x:c r="BD138" s="65"/>
      <x:c r="BE138" s="177"/>
      <x:c r="BF138" s="65" t="str">
        <x:v>Dinas Perkim Kota Pangkal Pinang</x:v>
      </x:c>
    </x:row>
    <x:row r="139" ht="28">
      <x:c r="A139" s="65" t="s">
        <x:v>1513</x:v>
      </x:c>
      <x:c r="B139" s="65" t="s">
        <x:v>1514</x:v>
      </x:c>
      <x:c r="C139" s="65"/>
      <x:c r="D139" s="65"/>
      <x:c r="E139" s="65" t="s">
        <x:v>1511</x:v>
      </x:c>
      <x:c r="F139" s="65" t="s">
        <x:v>1091</x:v>
      </x:c>
      <x:c r="G139" s="65" t="s">
        <x:v>990</x:v>
      </x:c>
      <x:c r="H139" s="65" t="s">
        <x:v>878</x:v>
      </x:c>
      <x:c r="I139" s="65" t="s">
        <x:v>1515</x:v>
      </x:c>
      <x:c r="J139" s="65" t="s">
        <x:v>895</x:v>
      </x:c>
      <x:c r="K139" s="65" t="s">
        <x:v>1000</x:v>
      </x:c>
      <x:c r="L139" s="65" t="s">
        <x:v>916</x:v>
      </x:c>
      <x:c r="M139" s="65" t="s">
        <x:v>968</x:v>
      </x:c>
      <x:c r="N139" s="65" t="s">
        <x:v>916</x:v>
      </x:c>
      <x:c r="O139" s="65" t="s">
        <x:v>1000</x:v>
      </x:c>
      <x:c r="P139" s="65" t="s">
        <x:v>916</x:v>
      </x:c>
      <x:c r="Q139" s="85" t="s">
        <x:v>916</x:v>
      </x:c>
      <x:c r="R139" s="85" t="s">
        <x:v>916</x:v>
      </x:c>
      <x:c r="S139" s="85" t="s">
        <x:v>916</x:v>
      </x:c>
      <x:c r="T139" s="85" t="s">
        <x:v>916</x:v>
      </x:c>
      <x:c r="U139" s="85" t="s">
        <x:v>916</x:v>
      </x:c>
      <x:c r="V139" s="85" t="s">
        <x:v>916</x:v>
      </x:c>
      <x:c r="W139" s="66"/>
      <x:c r="X139" s="83" t="str">
        <x:f t="shared" si="22"/>
        <x:v>Belum Dinilai</x:v>
      </x:c>
      <x:c r="Y139" s="83" t="str">
        <x:f t="shared" si="23"/>
        <x:v>Belum Dinilai</x:v>
      </x:c>
      <x:c r="Z139" s="84" t="str">
        <x:f t="shared" si="24"/>
      </x:c>
      <x:c r="AA139" s="84" t="str">
        <x:f t="shared" si="25"/>
      </x:c>
      <x:c r="AB139" s="84" t="str">
        <x:f t="shared" si="26"/>
      </x:c>
      <x:c r="AC139" s="67" t="s">
        <x:v>916</x:v>
      </x:c>
      <x:c r="AD139" s="67" t="s">
        <x:v>916</x:v>
      </x:c>
      <x:c r="AE139" s="67" t="s">
        <x:v>916</x:v>
      </x:c>
      <x:c r="AF139" s="67" t="s">
        <x:v>916</x:v>
      </x:c>
      <x:c r="AG139" s="67" t="s">
        <x:v>916</x:v>
      </x:c>
      <x:c r="AH139" s="67" t="s">
        <x:v>916</x:v>
      </x:c>
      <x:c r="AI139" s="67" t="s">
        <x:v>916</x:v>
      </x:c>
      <x:c r="AJ139" s="67" t="s">
        <x:v>916</x:v>
      </x:c>
      <x:c r="AK139" s="67" t="s">
        <x:v>916</x:v>
      </x:c>
      <x:c r="AL139" s="67"/>
      <x:c r="AM139" s="67" t="s">
        <x:v>916</x:v>
      </x:c>
      <x:c r="AN139" s="83" t="str">
        <x:f t="shared" si="27"/>
        <x:v>Belum Dinilai</x:v>
      </x:c>
      <x:c r="AO139" s="83" t="str">
        <x:f t="shared" si="28"/>
        <x:v>Belum Dinilai</x:v>
      </x:c>
      <x:c r="AP139" s="67"/>
      <x:c r="AQ139" s="70" t="str">
        <x:f t="shared" si="29"/>
      </x:c>
      <x:c r="AR139" s="70" t="str">
        <x:f t="shared" si="30"/>
      </x:c>
      <x:c r="AS139" s="70" t="str">
        <x:f t="shared" si="31"/>
      </x:c>
      <x:c r="AT139" s="68" t="str">
        <x:f t="shared" si="32"/>
        <x:v>Belum Dapat Ditentukan</x:v>
      </x:c>
      <x:c r="AU139" s="65" t="s">
        <x:v>887</x:v>
      </x:c>
      <x:c r="AV139" s="65" t="s">
        <x:v>904</x:v>
      </x:c>
      <x:c r="AW139" s="65" t="s">
        <x:v>889</x:v>
      </x:c>
      <x:c r="AX139" s="65" t="s">
        <x:v>890</x:v>
      </x:c>
      <x:c r="AY139" s="65"/>
      <x:c r="AZ139" s="65" t="s">
        <x:v>888</x:v>
      </x:c>
      <x:c r="BA139" s="65"/>
      <x:c r="BB139" s="177"/>
      <x:c r="BC139" s="71">
        <x:v>2026</x:v>
      </x:c>
      <x:c r="BD139" s="65"/>
      <x:c r="BE139" s="177"/>
      <x:c r="BF139" s="65" t="str">
        <x:v>Dinas Perkim Kota Pangkal Pinang</x:v>
      </x:c>
    </x:row>
    <x:row r="140" ht="42">
      <x:c r="A140" s="65" t="s">
        <x:v>1516</x:v>
      </x:c>
      <x:c r="B140" s="65" t="s">
        <x:v>1517</x:v>
      </x:c>
      <x:c r="C140" s="65"/>
      <x:c r="D140" s="65"/>
      <x:c r="E140" s="65" t="s">
        <x:v>1518</x:v>
      </x:c>
      <x:c r="F140" s="65" t="s">
        <x:v>1058</x:v>
      </x:c>
      <x:c r="G140" s="65" t="s">
        <x:v>990</x:v>
      </x:c>
      <x:c r="H140" s="65" t="s">
        <x:v>894</x:v>
      </x:c>
      <x:c r="I140" s="65" t="s">
        <x:v>1519</x:v>
      </x:c>
      <x:c r="J140" s="65" t="s">
        <x:v>895</x:v>
      </x:c>
      <x:c r="K140" s="65" t="s">
        <x:v>1000</x:v>
      </x:c>
      <x:c r="L140" s="65" t="s">
        <x:v>916</x:v>
      </x:c>
      <x:c r="M140" s="65" t="s">
        <x:v>968</x:v>
      </x:c>
      <x:c r="N140" s="65" t="s">
        <x:v>916</x:v>
      </x:c>
      <x:c r="O140" s="65" t="s">
        <x:v>1000</x:v>
      </x:c>
      <x:c r="P140" s="65" t="s">
        <x:v>916</x:v>
      </x:c>
      <x:c r="Q140" s="85" t="s">
        <x:v>916</x:v>
      </x:c>
      <x:c r="R140" s="85" t="s">
        <x:v>916</x:v>
      </x:c>
      <x:c r="S140" s="85" t="s">
        <x:v>916</x:v>
      </x:c>
      <x:c r="T140" s="85" t="s">
        <x:v>916</x:v>
      </x:c>
      <x:c r="U140" s="85" t="s">
        <x:v>916</x:v>
      </x:c>
      <x:c r="V140" s="85" t="s">
        <x:v>916</x:v>
      </x:c>
      <x:c r="W140" s="66"/>
      <x:c r="X140" s="83" t="str">
        <x:f t="shared" si="22"/>
        <x:v>Belum Dinilai</x:v>
      </x:c>
      <x:c r="Y140" s="83" t="str">
        <x:f t="shared" si="23"/>
        <x:v>Belum Dinilai</x:v>
      </x:c>
      <x:c r="Z140" s="84" t="str">
        <x:f t="shared" si="24"/>
      </x:c>
      <x:c r="AA140" s="84" t="str">
        <x:f t="shared" si="25"/>
      </x:c>
      <x:c r="AB140" s="84" t="str">
        <x:f t="shared" si="26"/>
      </x:c>
      <x:c r="AC140" s="67" t="s">
        <x:v>916</x:v>
      </x:c>
      <x:c r="AD140" s="67" t="s">
        <x:v>916</x:v>
      </x:c>
      <x:c r="AE140" s="67" t="s">
        <x:v>916</x:v>
      </x:c>
      <x:c r="AF140" s="67" t="s">
        <x:v>916</x:v>
      </x:c>
      <x:c r="AG140" s="67" t="s">
        <x:v>916</x:v>
      </x:c>
      <x:c r="AH140" s="67" t="s">
        <x:v>916</x:v>
      </x:c>
      <x:c r="AI140" s="67" t="s">
        <x:v>916</x:v>
      </x:c>
      <x:c r="AJ140" s="67" t="s">
        <x:v>916</x:v>
      </x:c>
      <x:c r="AK140" s="67" t="s">
        <x:v>916</x:v>
      </x:c>
      <x:c r="AL140" s="67"/>
      <x:c r="AM140" s="67" t="s">
        <x:v>916</x:v>
      </x:c>
      <x:c r="AN140" s="83" t="str">
        <x:f t="shared" si="27"/>
        <x:v>Belum Dinilai</x:v>
      </x:c>
      <x:c r="AO140" s="83" t="str">
        <x:f t="shared" si="28"/>
        <x:v>Belum Dinilai</x:v>
      </x:c>
      <x:c r="AP140" s="67"/>
      <x:c r="AQ140" s="70" t="str">
        <x:f t="shared" si="29"/>
      </x:c>
      <x:c r="AR140" s="70" t="str">
        <x:f t="shared" si="30"/>
      </x:c>
      <x:c r="AS140" s="70" t="str">
        <x:f t="shared" si="31"/>
      </x:c>
      <x:c r="AT140" s="68" t="str">
        <x:f t="shared" si="32"/>
        <x:v>Belum Dapat Ditentukan</x:v>
      </x:c>
      <x:c r="AU140" s="65" t="s">
        <x:v>903</x:v>
      </x:c>
      <x:c r="AV140" s="65" t="s">
        <x:v>904</x:v>
      </x:c>
      <x:c r="AW140" s="65" t="s">
        <x:v>889</x:v>
      </x:c>
      <x:c r="AX140" s="65" t="s">
        <x:v>890</x:v>
      </x:c>
      <x:c r="AY140" s="65"/>
      <x:c r="AZ140" s="65" t="s">
        <x:v>907</x:v>
      </x:c>
      <x:c r="BA140" s="65"/>
      <x:c r="BB140" s="177"/>
      <x:c r="BC140" s="71">
        <x:v>2026</x:v>
      </x:c>
      <x:c r="BD140" s="65"/>
      <x:c r="BE140" s="177"/>
      <x:c r="BF140" s="65" t="str">
        <x:v>Dinas Perkim Kota Pangkal Pinang</x:v>
      </x:c>
    </x:row>
    <x:row r="141" ht="42">
      <x:c r="A141" s="65" t="s">
        <x:v>1520</x:v>
      </x:c>
      <x:c r="B141" s="65" t="s">
        <x:v>1521</x:v>
      </x:c>
      <x:c r="C141" s="65"/>
      <x:c r="D141" s="65"/>
      <x:c r="E141" s="65" t="s">
        <x:v>1522</x:v>
      </x:c>
      <x:c r="F141" s="65" t="s">
        <x:v>1327</x:v>
      </x:c>
      <x:c r="G141" s="65" t="s">
        <x:v>1012</x:v>
      </x:c>
      <x:c r="H141" s="65" t="s">
        <x:v>878</x:v>
      </x:c>
      <x:c r="I141" s="65" t="s">
        <x:v>1523</x:v>
      </x:c>
      <x:c r="J141" s="65" t="s">
        <x:v>879</x:v>
      </x:c>
      <x:c r="K141" s="65" t="s">
        <x:v>896</x:v>
      </x:c>
      <x:c r="L141" s="65" t="s">
        <x:v>916</x:v>
      </x:c>
      <x:c r="M141" s="65" t="s">
        <x:v>967</x:v>
      </x:c>
      <x:c r="N141" s="65" t="s">
        <x:v>916</x:v>
      </x:c>
      <x:c r="O141" s="65" t="s">
        <x:v>914</x:v>
      </x:c>
      <x:c r="P141" s="65" t="s">
        <x:v>916</x:v>
      </x:c>
      <x:c r="Q141" s="85" t="s">
        <x:v>916</x:v>
      </x:c>
      <x:c r="R141" s="85" t="s">
        <x:v>916</x:v>
      </x:c>
      <x:c r="S141" s="85" t="s">
        <x:v>916</x:v>
      </x:c>
      <x:c r="T141" s="85" t="s">
        <x:v>916</x:v>
      </x:c>
      <x:c r="U141" s="85" t="s">
        <x:v>916</x:v>
      </x:c>
      <x:c r="V141" s="85" t="s">
        <x:v>916</x:v>
      </x:c>
      <x:c r="W141" s="66"/>
      <x:c r="X141" s="83" t="str">
        <x:f t="shared" si="22"/>
        <x:v>Belum Dinilai</x:v>
      </x:c>
      <x:c r="Y141" s="83" t="str">
        <x:f t="shared" si="23"/>
        <x:v>Belum Dinilai</x:v>
      </x:c>
      <x:c r="Z141" s="84" t="str">
        <x:f t="shared" si="24"/>
      </x:c>
      <x:c r="AA141" s="84" t="str">
        <x:f t="shared" si="25"/>
      </x:c>
      <x:c r="AB141" s="84" t="str">
        <x:f t="shared" si="26"/>
      </x:c>
      <x:c r="AC141" s="67" t="s">
        <x:v>916</x:v>
      </x:c>
      <x:c r="AD141" s="67" t="s">
        <x:v>916</x:v>
      </x:c>
      <x:c r="AE141" s="67" t="s">
        <x:v>916</x:v>
      </x:c>
      <x:c r="AF141" s="67" t="s">
        <x:v>916</x:v>
      </x:c>
      <x:c r="AG141" s="67" t="s">
        <x:v>916</x:v>
      </x:c>
      <x:c r="AH141" s="67" t="s">
        <x:v>916</x:v>
      </x:c>
      <x:c r="AI141" s="67" t="s">
        <x:v>916</x:v>
      </x:c>
      <x:c r="AJ141" s="67" t="s">
        <x:v>916</x:v>
      </x:c>
      <x:c r="AK141" s="67" t="s">
        <x:v>916</x:v>
      </x:c>
      <x:c r="AL141" s="67"/>
      <x:c r="AM141" s="67" t="s">
        <x:v>916</x:v>
      </x:c>
      <x:c r="AN141" s="83" t="str">
        <x:f t="shared" si="27"/>
        <x:v>Belum Dinilai</x:v>
      </x:c>
      <x:c r="AO141" s="83" t="str">
        <x:f t="shared" si="28"/>
        <x:v>Belum Dinilai</x:v>
      </x:c>
      <x:c r="AP141" s="67"/>
      <x:c r="AQ141" s="70" t="str">
        <x:f t="shared" si="29"/>
      </x:c>
      <x:c r="AR141" s="70" t="str">
        <x:f t="shared" si="30"/>
      </x:c>
      <x:c r="AS141" s="70" t="str">
        <x:f t="shared" si="31"/>
      </x:c>
      <x:c r="AT141" s="68" t="str">
        <x:f t="shared" si="32"/>
        <x:v>Belum Dapat Ditentukan</x:v>
      </x:c>
      <x:c r="AU141" s="65" t="s">
        <x:v>887</x:v>
      </x:c>
      <x:c r="AV141" s="65" t="s">
        <x:v>904</x:v>
      </x:c>
      <x:c r="AW141" s="65" t="s">
        <x:v>889</x:v>
      </x:c>
      <x:c r="AX141" s="65" t="s">
        <x:v>890</x:v>
      </x:c>
      <x:c r="AY141" s="65"/>
      <x:c r="AZ141" s="65" t="s">
        <x:v>888</x:v>
      </x:c>
      <x:c r="BA141" s="65"/>
      <x:c r="BB141" s="177"/>
      <x:c r="BC141" s="71">
        <x:v>2026</x:v>
      </x:c>
      <x:c r="BD141" s="65"/>
      <x:c r="BE141" s="177"/>
      <x:c r="BF141" s="65" t="str">
        <x:v>Dinas Perkim Kota Pangkal Pinang</x:v>
      </x:c>
    </x:row>
    <x:row r="142" ht="28">
      <x:c r="A142" s="65" t="s">
        <x:v>1524</x:v>
      </x:c>
      <x:c r="B142" s="65" t="s">
        <x:v>1525</x:v>
      </x:c>
      <x:c r="C142" s="65"/>
      <x:c r="D142" s="65"/>
      <x:c r="E142" s="65" t="s">
        <x:v>1526</x:v>
      </x:c>
      <x:c r="F142" s="65" t="s">
        <x:v>1058</x:v>
      </x:c>
      <x:c r="G142" s="65" t="s">
        <x:v>990</x:v>
      </x:c>
      <x:c r="H142" s="65" t="s">
        <x:v>878</x:v>
      </x:c>
      <x:c r="I142" s="65" t="s">
        <x:v>1527</x:v>
      </x:c>
      <x:c r="J142" s="65" t="s">
        <x:v>910</x:v>
      </x:c>
      <x:c r="K142" s="65" t="s">
        <x:v>896</x:v>
      </x:c>
      <x:c r="L142" s="65" t="s">
        <x:v>916</x:v>
      </x:c>
      <x:c r="M142" s="65" t="s">
        <x:v>968</x:v>
      </x:c>
      <x:c r="N142" s="65" t="s">
        <x:v>916</x:v>
      </x:c>
      <x:c r="O142" s="65" t="s">
        <x:v>914</x:v>
      </x:c>
      <x:c r="P142" s="65" t="s">
        <x:v>916</x:v>
      </x:c>
      <x:c r="Q142" s="85" t="s">
        <x:v>916</x:v>
      </x:c>
      <x:c r="R142" s="85" t="s">
        <x:v>916</x:v>
      </x:c>
      <x:c r="S142" s="85" t="s">
        <x:v>916</x:v>
      </x:c>
      <x:c r="T142" s="85" t="s">
        <x:v>916</x:v>
      </x:c>
      <x:c r="U142" s="85" t="s">
        <x:v>916</x:v>
      </x:c>
      <x:c r="V142" s="85" t="s">
        <x:v>916</x:v>
      </x:c>
      <x:c r="W142" s="66"/>
      <x:c r="X142" s="83" t="str">
        <x:f t="shared" si="22"/>
        <x:v>Belum Dinilai</x:v>
      </x:c>
      <x:c r="Y142" s="83" t="str">
        <x:f t="shared" si="23"/>
        <x:v>Belum Dinilai</x:v>
      </x:c>
      <x:c r="Z142" s="84" t="str">
        <x:f t="shared" si="24"/>
      </x:c>
      <x:c r="AA142" s="84" t="str">
        <x:f t="shared" si="25"/>
      </x:c>
      <x:c r="AB142" s="84" t="str">
        <x:f t="shared" si="26"/>
      </x:c>
      <x:c r="AC142" s="67" t="s">
        <x:v>916</x:v>
      </x:c>
      <x:c r="AD142" s="67" t="s">
        <x:v>916</x:v>
      </x:c>
      <x:c r="AE142" s="67" t="s">
        <x:v>916</x:v>
      </x:c>
      <x:c r="AF142" s="67" t="s">
        <x:v>916</x:v>
      </x:c>
      <x:c r="AG142" s="67" t="s">
        <x:v>916</x:v>
      </x:c>
      <x:c r="AH142" s="67" t="s">
        <x:v>916</x:v>
      </x:c>
      <x:c r="AI142" s="67" t="s">
        <x:v>916</x:v>
      </x:c>
      <x:c r="AJ142" s="67" t="s">
        <x:v>916</x:v>
      </x:c>
      <x:c r="AK142" s="67" t="s">
        <x:v>916</x:v>
      </x:c>
      <x:c r="AL142" s="67"/>
      <x:c r="AM142" s="67" t="s">
        <x:v>916</x:v>
      </x:c>
      <x:c r="AN142" s="83" t="str">
        <x:f t="shared" si="27"/>
        <x:v>Belum Dinilai</x:v>
      </x:c>
      <x:c r="AO142" s="83" t="str">
        <x:f t="shared" si="28"/>
        <x:v>Belum Dinilai</x:v>
      </x:c>
      <x:c r="AP142" s="67"/>
      <x:c r="AQ142" s="70" t="str">
        <x:f t="shared" si="29"/>
      </x:c>
      <x:c r="AR142" s="70" t="str">
        <x:f t="shared" si="30"/>
      </x:c>
      <x:c r="AS142" s="70" t="str">
        <x:f t="shared" si="31"/>
      </x:c>
      <x:c r="AT142" s="68" t="str">
        <x:f t="shared" si="32"/>
        <x:v>Belum Dapat Ditentukan</x:v>
      </x:c>
      <x:c r="AU142" s="65" t="s">
        <x:v>887</x:v>
      </x:c>
      <x:c r="AV142" s="65" t="s">
        <x:v>904</x:v>
      </x:c>
      <x:c r="AW142" s="65" t="s">
        <x:v>1001</x:v>
      </x:c>
      <x:c r="AX142" s="65" t="s">
        <x:v>906</x:v>
      </x:c>
      <x:c r="AY142" s="65">
        <x:v>2023</x:v>
      </x:c>
      <x:c r="AZ142" s="65" t="s">
        <x:v>888</x:v>
      </x:c>
      <x:c r="BA142" s="65"/>
      <x:c r="BB142" s="177"/>
      <x:c r="BC142" s="71">
        <x:v>2026</x:v>
      </x:c>
      <x:c r="BD142" s="65"/>
      <x:c r="BE142" s="177"/>
      <x:c r="BF142" s="65" t="str">
        <x:v>Dinas Perkim Kota Pangkal Pinang</x:v>
      </x:c>
    </x:row>
    <x:row r="143" ht="28">
      <x:c r="A143" s="65" t="s">
        <x:v>1528</x:v>
      </x:c>
      <x:c r="B143" s="65" t="s">
        <x:v>1529</x:v>
      </x:c>
      <x:c r="C143" s="65"/>
      <x:c r="D143" s="65"/>
      <x:c r="E143" s="65" t="s">
        <x:v>1002</x:v>
      </x:c>
      <x:c r="F143" s="65" t="s">
        <x:v>1058</x:v>
      </x:c>
      <x:c r="G143" s="65" t="s">
        <x:v>990</x:v>
      </x:c>
      <x:c r="H143" s="65" t="s">
        <x:v>878</x:v>
      </x:c>
      <x:c r="I143" s="65" t="s">
        <x:v>1530</x:v>
      </x:c>
      <x:c r="J143" s="65" t="s">
        <x:v>910</x:v>
      </x:c>
      <x:c r="K143" s="65" t="s">
        <x:v>896</x:v>
      </x:c>
      <x:c r="L143" s="65" t="s">
        <x:v>916</x:v>
      </x:c>
      <x:c r="M143" s="65" t="s">
        <x:v>968</x:v>
      </x:c>
      <x:c r="N143" s="65" t="s">
        <x:v>916</x:v>
      </x:c>
      <x:c r="O143" s="65" t="s">
        <x:v>914</x:v>
      </x:c>
      <x:c r="P143" s="65" t="s">
        <x:v>916</x:v>
      </x:c>
      <x:c r="Q143" s="85" t="s">
        <x:v>916</x:v>
      </x:c>
      <x:c r="R143" s="85" t="s">
        <x:v>916</x:v>
      </x:c>
      <x:c r="S143" s="85" t="s">
        <x:v>916</x:v>
      </x:c>
      <x:c r="T143" s="85" t="s">
        <x:v>916</x:v>
      </x:c>
      <x:c r="U143" s="85" t="s">
        <x:v>916</x:v>
      </x:c>
      <x:c r="V143" s="85" t="s">
        <x:v>916</x:v>
      </x:c>
      <x:c r="W143" s="66"/>
      <x:c r="X143" s="83" t="str">
        <x:f t="shared" si="22"/>
        <x:v>Belum Dinilai</x:v>
      </x:c>
      <x:c r="Y143" s="83" t="str">
        <x:f t="shared" si="23"/>
        <x:v>Belum Dinilai</x:v>
      </x:c>
      <x:c r="Z143" s="84" t="str">
        <x:f t="shared" si="24"/>
      </x:c>
      <x:c r="AA143" s="84" t="str">
        <x:f t="shared" si="25"/>
      </x:c>
      <x:c r="AB143" s="84" t="str">
        <x:f t="shared" si="26"/>
      </x:c>
      <x:c r="AC143" s="67" t="s">
        <x:v>916</x:v>
      </x:c>
      <x:c r="AD143" s="67" t="s">
        <x:v>916</x:v>
      </x:c>
      <x:c r="AE143" s="67" t="s">
        <x:v>916</x:v>
      </x:c>
      <x:c r="AF143" s="67" t="s">
        <x:v>916</x:v>
      </x:c>
      <x:c r="AG143" s="67" t="s">
        <x:v>916</x:v>
      </x:c>
      <x:c r="AH143" s="67" t="s">
        <x:v>916</x:v>
      </x:c>
      <x:c r="AI143" s="67" t="s">
        <x:v>916</x:v>
      </x:c>
      <x:c r="AJ143" s="67" t="s">
        <x:v>916</x:v>
      </x:c>
      <x:c r="AK143" s="67" t="s">
        <x:v>916</x:v>
      </x:c>
      <x:c r="AL143" s="67"/>
      <x:c r="AM143" s="67" t="s">
        <x:v>916</x:v>
      </x:c>
      <x:c r="AN143" s="83" t="str">
        <x:f t="shared" si="27"/>
        <x:v>Belum Dinilai</x:v>
      </x:c>
      <x:c r="AO143" s="83" t="str">
        <x:f t="shared" si="28"/>
        <x:v>Belum Dinilai</x:v>
      </x:c>
      <x:c r="AP143" s="67"/>
      <x:c r="AQ143" s="70" t="str">
        <x:f t="shared" si="29"/>
      </x:c>
      <x:c r="AR143" s="70" t="str">
        <x:f t="shared" si="30"/>
      </x:c>
      <x:c r="AS143" s="70" t="str">
        <x:f t="shared" si="31"/>
      </x:c>
      <x:c r="AT143" s="68" t="str">
        <x:f t="shared" si="32"/>
        <x:v>Belum Dapat Ditentukan</x:v>
      </x:c>
      <x:c r="AU143" s="65" t="s">
        <x:v>887</x:v>
      </x:c>
      <x:c r="AV143" s="65" t="s">
        <x:v>904</x:v>
      </x:c>
      <x:c r="AW143" s="65" t="s">
        <x:v>1001</x:v>
      </x:c>
      <x:c r="AX143" s="65" t="s">
        <x:v>906</x:v>
      </x:c>
      <x:c r="AY143" s="65">
        <x:v>2024</x:v>
      </x:c>
      <x:c r="AZ143" s="65" t="s">
        <x:v>888</x:v>
      </x:c>
      <x:c r="BA143" s="65"/>
      <x:c r="BB143" s="177"/>
      <x:c r="BC143" s="71">
        <x:v>2026</x:v>
      </x:c>
      <x:c r="BD143" s="65"/>
      <x:c r="BE143" s="177"/>
      <x:c r="BF143" s="65" t="str">
        <x:v>Dinas Perkim Kota Pangkal Pinang</x:v>
      </x:c>
    </x:row>
    <x:row r="144" ht="28">
      <x:c r="A144" s="65" t="s">
        <x:v>1531</x:v>
      </x:c>
      <x:c r="B144" s="65" t="s">
        <x:v>1532</x:v>
      </x:c>
      <x:c r="C144" s="82" t="s">
        <x:v>1533</x:v>
      </x:c>
      <x:c r="D144" s="82" t="s">
        <x:v>1534</x:v>
      </x:c>
      <x:c r="E144" s="65" t="s">
        <x:v>1535</x:v>
      </x:c>
      <x:c r="F144" s="65" t="s">
        <x:v>1058</x:v>
      </x:c>
      <x:c r="G144" s="65" t="s">
        <x:v>990</x:v>
      </x:c>
      <x:c r="H144" s="65" t="s">
        <x:v>878</x:v>
      </x:c>
      <x:c r="I144" s="65" t="s">
        <x:v>1536</x:v>
      </x:c>
      <x:c r="J144" s="65" t="s">
        <x:v>895</x:v>
      </x:c>
      <x:c r="K144" s="65" t="s">
        <x:v>880</x:v>
      </x:c>
      <x:c r="L144" s="65" t="s">
        <x:v>912</x:v>
      </x:c>
      <x:c r="M144" s="65" t="s">
        <x:v>968</x:v>
      </x:c>
      <x:c r="N144" s="65" t="s">
        <x:v>912</x:v>
      </x:c>
      <x:c r="O144" s="65" t="s">
        <x:v>914</x:v>
      </x:c>
      <x:c r="P144" s="65" t="s">
        <x:v>912</x:v>
      </x:c>
      <x:c r="Q144" s="85" t="s">
        <x:v>884</x:v>
      </x:c>
      <x:c r="R144" s="85" t="s">
        <x:v>901</x:v>
      </x:c>
      <x:c r="S144" s="85" t="s">
        <x:v>901</x:v>
      </x:c>
      <x:c r="T144" s="85" t="s">
        <x:v>901</x:v>
      </x:c>
      <x:c r="U144" s="85" t="s">
        <x:v>901</x:v>
      </x:c>
      <x:c r="V144" s="85" t="s">
        <x:v>901</x:v>
      </x:c>
      <x:c r="W144" s="66"/>
      <x:c r="X144" s="83" t="str">
        <x:f t="shared" si="22"/>
        <x:v>Tidak ada faktor rentan</x:v>
      </x:c>
      <x:c r="Y144" s="83" t="str">
        <x:f t="shared" si="23"/>
        <x:v>Tidak Ada Faktor Rentan</x:v>
      </x:c>
      <x:c r="Z144" s="84">
        <x:f t="shared" si="24"/>
        <x:v>10</x:v>
      </x:c>
      <x:c r="AA144" s="84">
        <x:f t="shared" si="25"/>
        <x:v>0</x:v>
      </x:c>
      <x:c r="AB144" s="84">
        <x:f t="shared" si="26"/>
        <x:v>10</x:v>
      </x:c>
      <x:c r="AC144" s="67" t="s">
        <x:v>901</x:v>
      </x:c>
      <x:c r="AD144" s="67" t="s">
        <x:v>901</x:v>
      </x:c>
      <x:c r="AE144" s="67" t="s">
        <x:v>885</x:v>
      </x:c>
      <x:c r="AF144" s="67" t="s">
        <x:v>901</x:v>
      </x:c>
      <x:c r="AG144" s="67" t="s">
        <x:v>885</x:v>
      </x:c>
      <x:c r="AH144" s="67" t="s">
        <x:v>885</x:v>
      </x:c>
      <x:c r="AI144" s="67" t="s">
        <x:v>885</x:v>
      </x:c>
      <x:c r="AJ144" s="67" t="s">
        <x:v>901</x:v>
      </x:c>
      <x:c r="AK144" s="67" t="s">
        <x:v>901</x:v>
      </x:c>
      <x:c r="AL144" s="67"/>
      <x:c r="AM144" s="67" t="s">
        <x:v>916</x:v>
      </x:c>
      <x:c r="AN144" s="83" t="str">
        <x:f t="shared" si="27"/>
        <x:v>Atap atau dinding utama hampir runtuh; Struktur rumah tidak stabil; Instalasi listrik berbahaya; Komponen bangunan lepas atau lapuk; </x:v>
      </x:c>
      <x:c r="AO144" s="83" t="str">
        <x:f t="shared" si="28"/>
        <x:v>Risiko Tinggi/Darurat</x:v>
      </x:c>
      <x:c r="AP144" s="67"/>
      <x:c r="AQ144" s="70">
        <x:f t="shared" si="29"/>
        <x:v>36</x:v>
      </x:c>
      <x:c r="AR144" s="70">
        <x:f t="shared" si="30"/>
        <x:v>10</x:v>
      </x:c>
      <x:c r="AS144" s="70">
        <x:f t="shared" si="31"/>
        <x:v>56</x:v>
      </x:c>
      <x:c r="AT144" s="68" t="str">
        <x:f t="shared" si="32"/>
        <x:v>Tinggi</x:v>
      </x:c>
      <x:c r="AU144" s="65" t="s">
        <x:v>887</x:v>
      </x:c>
      <x:c r="AV144" s="65" t="s">
        <x:v>904</x:v>
      </x:c>
      <x:c r="AW144" s="65" t="s">
        <x:v>905</x:v>
      </x:c>
      <x:c r="AX144" s="65" t="s">
        <x:v>984</x:v>
      </x:c>
      <x:c r="AY144" s="65">
        <x:v>2026</x:v>
      </x:c>
      <x:c r="AZ144" s="65" t="s">
        <x:v>888</x:v>
      </x:c>
      <x:c r="BA144" s="65"/>
      <x:c r="BB144" s="177"/>
      <x:c r="BC144" s="71">
        <x:v>2026</x:v>
      </x:c>
      <x:c r="BD144" s="65"/>
      <x:c r="BE144" s="177"/>
      <x:c r="BF144" s="65" t="str">
        <x:v>Dinas Perkim Kota Pangkal Pinang</x:v>
      </x:c>
    </x:row>
    <x:row r="145" ht="28">
      <x:c r="A145" s="65" t="s">
        <x:v>1537</x:v>
      </x:c>
      <x:c r="B145" s="65" t="s">
        <x:v>1538</x:v>
      </x:c>
      <x:c r="C145" s="65"/>
      <x:c r="D145" s="65"/>
      <x:c r="E145" s="65" t="s">
        <x:v>1539</x:v>
      </x:c>
      <x:c r="F145" s="65" t="s">
        <x:v>1058</x:v>
      </x:c>
      <x:c r="G145" s="65" t="s">
        <x:v>990</x:v>
      </x:c>
      <x:c r="H145" s="65" t="s">
        <x:v>963</x:v>
      </x:c>
      <x:c r="I145" s="65" t="s">
        <x:v>1540</x:v>
      </x:c>
      <x:c r="J145" s="65" t="s">
        <x:v>879</x:v>
      </x:c>
      <x:c r="K145" s="65" t="s">
        <x:v>1000</x:v>
      </x:c>
      <x:c r="L145" s="65" t="s">
        <x:v>916</x:v>
      </x:c>
      <x:c r="M145" s="65" t="s">
        <x:v>967</x:v>
      </x:c>
      <x:c r="N145" s="65" t="s">
        <x:v>916</x:v>
      </x:c>
      <x:c r="O145" s="65" t="s">
        <x:v>1000</x:v>
      </x:c>
      <x:c r="P145" s="65" t="s">
        <x:v>916</x:v>
      </x:c>
      <x:c r="Q145" s="85" t="s">
        <x:v>916</x:v>
      </x:c>
      <x:c r="R145" s="85" t="s">
        <x:v>916</x:v>
      </x:c>
      <x:c r="S145" s="85" t="s">
        <x:v>916</x:v>
      </x:c>
      <x:c r="T145" s="85" t="s">
        <x:v>916</x:v>
      </x:c>
      <x:c r="U145" s="85" t="s">
        <x:v>916</x:v>
      </x:c>
      <x:c r="V145" s="85" t="s">
        <x:v>916</x:v>
      </x:c>
      <x:c r="W145" s="66"/>
      <x:c r="X145" s="83" t="str">
        <x:f t="shared" si="22"/>
        <x:v>Belum Dinilai</x:v>
      </x:c>
      <x:c r="Y145" s="83" t="str">
        <x:f t="shared" si="23"/>
        <x:v>Belum Dinilai</x:v>
      </x:c>
      <x:c r="Z145" s="84" t="str">
        <x:f t="shared" si="24"/>
      </x:c>
      <x:c r="AA145" s="84" t="str">
        <x:f t="shared" si="25"/>
      </x:c>
      <x:c r="AB145" s="84" t="str">
        <x:f t="shared" si="26"/>
      </x:c>
      <x:c r="AC145" s="67" t="s">
        <x:v>916</x:v>
      </x:c>
      <x:c r="AD145" s="67" t="s">
        <x:v>916</x:v>
      </x:c>
      <x:c r="AE145" s="67" t="s">
        <x:v>916</x:v>
      </x:c>
      <x:c r="AF145" s="67" t="s">
        <x:v>916</x:v>
      </x:c>
      <x:c r="AG145" s="67" t="s">
        <x:v>916</x:v>
      </x:c>
      <x:c r="AH145" s="67" t="s">
        <x:v>916</x:v>
      </x:c>
      <x:c r="AI145" s="67" t="s">
        <x:v>916</x:v>
      </x:c>
      <x:c r="AJ145" s="67" t="s">
        <x:v>916</x:v>
      </x:c>
      <x:c r="AK145" s="67" t="s">
        <x:v>916</x:v>
      </x:c>
      <x:c r="AL145" s="67"/>
      <x:c r="AM145" s="67" t="s">
        <x:v>916</x:v>
      </x:c>
      <x:c r="AN145" s="83" t="str">
        <x:f t="shared" si="27"/>
        <x:v>Belum Dinilai</x:v>
      </x:c>
      <x:c r="AO145" s="83" t="str">
        <x:f t="shared" si="28"/>
        <x:v>Belum Dinilai</x:v>
      </x:c>
      <x:c r="AP145" s="67"/>
      <x:c r="AQ145" s="70" t="str">
        <x:f t="shared" si="29"/>
      </x:c>
      <x:c r="AR145" s="70" t="str">
        <x:f t="shared" si="30"/>
      </x:c>
      <x:c r="AS145" s="70" t="str">
        <x:f t="shared" si="31"/>
      </x:c>
      <x:c r="AT145" s="68" t="str">
        <x:f t="shared" si="32"/>
        <x:v>Belum Dapat Ditentukan</x:v>
      </x:c>
      <x:c r="AU145" s="65" t="s">
        <x:v>887</x:v>
      </x:c>
      <x:c r="AV145" s="65" t="s">
        <x:v>904</x:v>
      </x:c>
      <x:c r="AW145" s="65" t="s">
        <x:v>889</x:v>
      </x:c>
      <x:c r="AX145" s="65" t="s">
        <x:v>890</x:v>
      </x:c>
      <x:c r="AY145" s="65"/>
      <x:c r="AZ145" s="65" t="s">
        <x:v>888</x:v>
      </x:c>
      <x:c r="BA145" s="65"/>
      <x:c r="BB145" s="177"/>
      <x:c r="BC145" s="71">
        <x:v>2026</x:v>
      </x:c>
      <x:c r="BD145" s="65"/>
      <x:c r="BE145" s="177"/>
      <x:c r="BF145" s="65" t="str">
        <x:v>Dinas Perkim Kota Pangkal Pinang</x:v>
      </x:c>
    </x:row>
    <x:row r="146" ht="28">
      <x:c r="A146" s="65" t="s">
        <x:v>1541</x:v>
      </x:c>
      <x:c r="B146" s="65" t="s">
        <x:v>1542</x:v>
      </x:c>
      <x:c r="C146" s="65"/>
      <x:c r="D146" s="65"/>
      <x:c r="E146" s="65" t="s">
        <x:v>1543</x:v>
      </x:c>
      <x:c r="F146" s="65" t="s">
        <x:v>989</x:v>
      </x:c>
      <x:c r="G146" s="65" t="s">
        <x:v>990</x:v>
      </x:c>
      <x:c r="H146" s="65" t="s">
        <x:v>963</x:v>
      </x:c>
      <x:c r="I146" s="65" t="s">
        <x:v>1115</x:v>
      </x:c>
      <x:c r="J146" s="65" t="s">
        <x:v>879</x:v>
      </x:c>
      <x:c r="K146" s="65" t="s">
        <x:v>1000</x:v>
      </x:c>
      <x:c r="L146" s="65" t="s">
        <x:v>916</x:v>
      </x:c>
      <x:c r="M146" s="65" t="s">
        <x:v>967</x:v>
      </x:c>
      <x:c r="N146" s="65" t="s">
        <x:v>916</x:v>
      </x:c>
      <x:c r="O146" s="65" t="s">
        <x:v>1000</x:v>
      </x:c>
      <x:c r="P146" s="65" t="s">
        <x:v>916</x:v>
      </x:c>
      <x:c r="Q146" s="85" t="s">
        <x:v>916</x:v>
      </x:c>
      <x:c r="R146" s="85" t="s">
        <x:v>916</x:v>
      </x:c>
      <x:c r="S146" s="85" t="s">
        <x:v>916</x:v>
      </x:c>
      <x:c r="T146" s="85" t="s">
        <x:v>916</x:v>
      </x:c>
      <x:c r="U146" s="85" t="s">
        <x:v>916</x:v>
      </x:c>
      <x:c r="V146" s="85" t="s">
        <x:v>916</x:v>
      </x:c>
      <x:c r="W146" s="66"/>
      <x:c r="X146" s="83" t="str">
        <x:f t="shared" si="22"/>
        <x:v>Belum Dinilai</x:v>
      </x:c>
      <x:c r="Y146" s="83" t="str">
        <x:f t="shared" si="23"/>
        <x:v>Belum Dinilai</x:v>
      </x:c>
      <x:c r="Z146" s="84" t="str">
        <x:f t="shared" si="24"/>
      </x:c>
      <x:c r="AA146" s="84" t="str">
        <x:f t="shared" si="25"/>
      </x:c>
      <x:c r="AB146" s="84" t="str">
        <x:f t="shared" si="26"/>
      </x:c>
      <x:c r="AC146" s="67" t="s">
        <x:v>916</x:v>
      </x:c>
      <x:c r="AD146" s="67" t="s">
        <x:v>916</x:v>
      </x:c>
      <x:c r="AE146" s="67" t="s">
        <x:v>916</x:v>
      </x:c>
      <x:c r="AF146" s="67" t="s">
        <x:v>916</x:v>
      </x:c>
      <x:c r="AG146" s="67" t="s">
        <x:v>916</x:v>
      </x:c>
      <x:c r="AH146" s="67" t="s">
        <x:v>916</x:v>
      </x:c>
      <x:c r="AI146" s="67" t="s">
        <x:v>916</x:v>
      </x:c>
      <x:c r="AJ146" s="67" t="s">
        <x:v>916</x:v>
      </x:c>
      <x:c r="AK146" s="67" t="s">
        <x:v>916</x:v>
      </x:c>
      <x:c r="AL146" s="67"/>
      <x:c r="AM146" s="67" t="s">
        <x:v>916</x:v>
      </x:c>
      <x:c r="AN146" s="83" t="str">
        <x:f t="shared" si="27"/>
        <x:v>Belum Dinilai</x:v>
      </x:c>
      <x:c r="AO146" s="83" t="str">
        <x:f t="shared" si="28"/>
        <x:v>Belum Dinilai</x:v>
      </x:c>
      <x:c r="AP146" s="67"/>
      <x:c r="AQ146" s="70" t="str">
        <x:f t="shared" si="29"/>
      </x:c>
      <x:c r="AR146" s="70" t="str">
        <x:f t="shared" si="30"/>
      </x:c>
      <x:c r="AS146" s="70" t="str">
        <x:f t="shared" si="31"/>
      </x:c>
      <x:c r="AT146" s="68" t="str">
        <x:f t="shared" si="32"/>
        <x:v>Belum Dapat Ditentukan</x:v>
      </x:c>
      <x:c r="AU146" s="65" t="s">
        <x:v>903</x:v>
      </x:c>
      <x:c r="AV146" s="65" t="s">
        <x:v>904</x:v>
      </x:c>
      <x:c r="AW146" s="65" t="s">
        <x:v>889</x:v>
      </x:c>
      <x:c r="AX146" s="65" t="s">
        <x:v>890</x:v>
      </x:c>
      <x:c r="AY146" s="65"/>
      <x:c r="AZ146" s="65" t="s">
        <x:v>888</x:v>
      </x:c>
      <x:c r="BA146" s="65"/>
      <x:c r="BB146" s="177"/>
      <x:c r="BC146" s="71">
        <x:v>2026</x:v>
      </x:c>
      <x:c r="BD146" s="65"/>
      <x:c r="BE146" s="177"/>
      <x:c r="BF146" s="65" t="str">
        <x:v>Dinas Perkim Kota Pangkal Pinang</x:v>
      </x:c>
    </x:row>
    <x:row r="147" ht="28">
      <x:c r="A147" s="65" t="s">
        <x:v>1544</x:v>
      </x:c>
      <x:c r="B147" s="65" t="s">
        <x:v>1545</x:v>
      </x:c>
      <x:c r="C147" s="65"/>
      <x:c r="D147" s="65"/>
      <x:c r="E147" s="65" t="s">
        <x:v>1546</x:v>
      </x:c>
      <x:c r="F147" s="65" t="s">
        <x:v>1159</x:v>
      </x:c>
      <x:c r="G147" s="65" t="s">
        <x:v>1012</x:v>
      </x:c>
      <x:c r="H147" s="65" t="s">
        <x:v>963</x:v>
      </x:c>
      <x:c r="I147" s="65" t="s">
        <x:v>1115</x:v>
      </x:c>
      <x:c r="J147" s="65" t="s">
        <x:v>879</x:v>
      </x:c>
      <x:c r="K147" s="65" t="s">
        <x:v>1000</x:v>
      </x:c>
      <x:c r="L147" s="65" t="s">
        <x:v>916</x:v>
      </x:c>
      <x:c r="M147" s="65" t="s">
        <x:v>967</x:v>
      </x:c>
      <x:c r="N147" s="65" t="s">
        <x:v>916</x:v>
      </x:c>
      <x:c r="O147" s="65" t="s">
        <x:v>1000</x:v>
      </x:c>
      <x:c r="P147" s="65" t="s">
        <x:v>916</x:v>
      </x:c>
      <x:c r="Q147" s="85" t="s">
        <x:v>916</x:v>
      </x:c>
      <x:c r="R147" s="85" t="s">
        <x:v>916</x:v>
      </x:c>
      <x:c r="S147" s="85" t="s">
        <x:v>916</x:v>
      </x:c>
      <x:c r="T147" s="85" t="s">
        <x:v>916</x:v>
      </x:c>
      <x:c r="U147" s="85" t="s">
        <x:v>916</x:v>
      </x:c>
      <x:c r="V147" s="85" t="s">
        <x:v>916</x:v>
      </x:c>
      <x:c r="W147" s="66"/>
      <x:c r="X147" s="83" t="str">
        <x:f t="shared" si="22"/>
        <x:v>Belum Dinilai</x:v>
      </x:c>
      <x:c r="Y147" s="83" t="str">
        <x:f t="shared" si="23"/>
        <x:v>Belum Dinilai</x:v>
      </x:c>
      <x:c r="Z147" s="84" t="str">
        <x:f t="shared" si="24"/>
      </x:c>
      <x:c r="AA147" s="84" t="str">
        <x:f t="shared" si="25"/>
      </x:c>
      <x:c r="AB147" s="84" t="str">
        <x:f t="shared" si="26"/>
      </x:c>
      <x:c r="AC147" s="67" t="s">
        <x:v>916</x:v>
      </x:c>
      <x:c r="AD147" s="67" t="s">
        <x:v>916</x:v>
      </x:c>
      <x:c r="AE147" s="67" t="s">
        <x:v>916</x:v>
      </x:c>
      <x:c r="AF147" s="67" t="s">
        <x:v>916</x:v>
      </x:c>
      <x:c r="AG147" s="67" t="s">
        <x:v>916</x:v>
      </x:c>
      <x:c r="AH147" s="67" t="s">
        <x:v>916</x:v>
      </x:c>
      <x:c r="AI147" s="67" t="s">
        <x:v>916</x:v>
      </x:c>
      <x:c r="AJ147" s="67" t="s">
        <x:v>916</x:v>
      </x:c>
      <x:c r="AK147" s="67" t="s">
        <x:v>916</x:v>
      </x:c>
      <x:c r="AL147" s="67"/>
      <x:c r="AM147" s="67" t="s">
        <x:v>916</x:v>
      </x:c>
      <x:c r="AN147" s="83" t="str">
        <x:f t="shared" si="27"/>
        <x:v>Belum Dinilai</x:v>
      </x:c>
      <x:c r="AO147" s="83" t="str">
        <x:f t="shared" si="28"/>
        <x:v>Belum Dinilai</x:v>
      </x:c>
      <x:c r="AP147" s="67"/>
      <x:c r="AQ147" s="70" t="str">
        <x:f t="shared" si="29"/>
      </x:c>
      <x:c r="AR147" s="70" t="str">
        <x:f t="shared" si="30"/>
      </x:c>
      <x:c r="AS147" s="70" t="str">
        <x:f t="shared" si="31"/>
      </x:c>
      <x:c r="AT147" s="68" t="str">
        <x:f t="shared" si="32"/>
        <x:v>Belum Dapat Ditentukan</x:v>
      </x:c>
      <x:c r="AU147" s="65" t="s">
        <x:v>887</x:v>
      </x:c>
      <x:c r="AV147" s="65" t="s">
        <x:v>904</x:v>
      </x:c>
      <x:c r="AW147" s="65" t="s">
        <x:v>889</x:v>
      </x:c>
      <x:c r="AX147" s="65" t="s">
        <x:v>890</x:v>
      </x:c>
      <x:c r="AY147" s="65"/>
      <x:c r="AZ147" s="65" t="s">
        <x:v>888</x:v>
      </x:c>
      <x:c r="BA147" s="65"/>
      <x:c r="BB147" s="177"/>
      <x:c r="BC147" s="71">
        <x:v>2026</x:v>
      </x:c>
      <x:c r="BD147" s="65"/>
      <x:c r="BE147" s="177"/>
      <x:c r="BF147" s="65" t="str">
        <x:v>Dinas Perkim Kota Pangkal Pinang</x:v>
      </x:c>
    </x:row>
    <x:row r="148" ht="28">
      <x:c r="A148" s="65" t="s">
        <x:v>1547</x:v>
      </x:c>
      <x:c r="B148" s="65" t="s">
        <x:v>1548</x:v>
      </x:c>
      <x:c r="C148" s="65"/>
      <x:c r="D148" s="65"/>
      <x:c r="E148" s="65" t="s">
        <x:v>1546</x:v>
      </x:c>
      <x:c r="F148" s="65" t="s">
        <x:v>1159</x:v>
      </x:c>
      <x:c r="G148" s="65" t="s">
        <x:v>1012</x:v>
      </x:c>
      <x:c r="H148" s="65" t="s">
        <x:v>894</x:v>
      </x:c>
      <x:c r="I148" s="65" t="s">
        <x:v>1549</x:v>
      </x:c>
      <x:c r="J148" s="65" t="s">
        <x:v>895</x:v>
      </x:c>
      <x:c r="K148" s="65" t="s">
        <x:v>1000</x:v>
      </x:c>
      <x:c r="L148" s="65" t="s">
        <x:v>916</x:v>
      </x:c>
      <x:c r="M148" s="65" t="s">
        <x:v>968</x:v>
      </x:c>
      <x:c r="N148" s="65" t="s">
        <x:v>916</x:v>
      </x:c>
      <x:c r="O148" s="65" t="s">
        <x:v>1000</x:v>
      </x:c>
      <x:c r="P148" s="65" t="s">
        <x:v>916</x:v>
      </x:c>
      <x:c r="Q148" s="85" t="s">
        <x:v>916</x:v>
      </x:c>
      <x:c r="R148" s="85" t="s">
        <x:v>916</x:v>
      </x:c>
      <x:c r="S148" s="85" t="s">
        <x:v>916</x:v>
      </x:c>
      <x:c r="T148" s="85" t="s">
        <x:v>916</x:v>
      </x:c>
      <x:c r="U148" s="85" t="s">
        <x:v>916</x:v>
      </x:c>
      <x:c r="V148" s="85" t="s">
        <x:v>916</x:v>
      </x:c>
      <x:c r="W148" s="66"/>
      <x:c r="X148" s="83" t="str">
        <x:f t="shared" si="22"/>
        <x:v>Belum Dinilai</x:v>
      </x:c>
      <x:c r="Y148" s="83" t="str">
        <x:f t="shared" si="23"/>
        <x:v>Belum Dinilai</x:v>
      </x:c>
      <x:c r="Z148" s="84" t="str">
        <x:f t="shared" si="24"/>
      </x:c>
      <x:c r="AA148" s="84" t="str">
        <x:f t="shared" si="25"/>
      </x:c>
      <x:c r="AB148" s="84" t="str">
        <x:f t="shared" si="26"/>
      </x:c>
      <x:c r="AC148" s="67" t="s">
        <x:v>916</x:v>
      </x:c>
      <x:c r="AD148" s="67" t="s">
        <x:v>916</x:v>
      </x:c>
      <x:c r="AE148" s="67" t="s">
        <x:v>916</x:v>
      </x:c>
      <x:c r="AF148" s="67" t="s">
        <x:v>916</x:v>
      </x:c>
      <x:c r="AG148" s="67" t="s">
        <x:v>916</x:v>
      </x:c>
      <x:c r="AH148" s="67" t="s">
        <x:v>916</x:v>
      </x:c>
      <x:c r="AI148" s="67" t="s">
        <x:v>916</x:v>
      </x:c>
      <x:c r="AJ148" s="67" t="s">
        <x:v>916</x:v>
      </x:c>
      <x:c r="AK148" s="67" t="s">
        <x:v>916</x:v>
      </x:c>
      <x:c r="AL148" s="67"/>
      <x:c r="AM148" s="67" t="s">
        <x:v>916</x:v>
      </x:c>
      <x:c r="AN148" s="83" t="str">
        <x:f t="shared" si="27"/>
        <x:v>Belum Dinilai</x:v>
      </x:c>
      <x:c r="AO148" s="83" t="str">
        <x:f t="shared" si="28"/>
        <x:v>Belum Dinilai</x:v>
      </x:c>
      <x:c r="AP148" s="67"/>
      <x:c r="AQ148" s="70" t="str">
        <x:f t="shared" si="29"/>
      </x:c>
      <x:c r="AR148" s="70" t="str">
        <x:f t="shared" si="30"/>
      </x:c>
      <x:c r="AS148" s="70" t="str">
        <x:f t="shared" si="31"/>
      </x:c>
      <x:c r="AT148" s="68" t="str">
        <x:f t="shared" si="32"/>
        <x:v>Belum Dapat Ditentukan</x:v>
      </x:c>
      <x:c r="AU148" s="65" t="s">
        <x:v>887</x:v>
      </x:c>
      <x:c r="AV148" s="65" t="s">
        <x:v>904</x:v>
      </x:c>
      <x:c r="AW148" s="65" t="s">
        <x:v>1001</x:v>
      </x:c>
      <x:c r="AX148" s="65" t="s">
        <x:v>906</x:v>
      </x:c>
      <x:c r="AY148" s="65">
        <x:v>2024</x:v>
      </x:c>
      <x:c r="AZ148" s="65" t="s">
        <x:v>888</x:v>
      </x:c>
      <x:c r="BA148" s="65"/>
      <x:c r="BB148" s="177"/>
      <x:c r="BC148" s="71">
        <x:v>2026</x:v>
      </x:c>
      <x:c r="BD148" s="65"/>
      <x:c r="BE148" s="177"/>
      <x:c r="BF148" s="65" t="str">
        <x:v>Dinas Perkim Kota Pangkal Pinang</x:v>
      </x:c>
    </x:row>
    <x:row r="149" ht="28">
      <x:c r="A149" s="65" t="s">
        <x:v>1550</x:v>
      </x:c>
      <x:c r="B149" s="65" t="s">
        <x:v>1551</x:v>
      </x:c>
      <x:c r="C149" s="65"/>
      <x:c r="D149" s="65"/>
      <x:c r="E149" s="65" t="s">
        <x:v>1552</x:v>
      </x:c>
      <x:c r="F149" s="65" t="s">
        <x:v>989</x:v>
      </x:c>
      <x:c r="G149" s="65" t="s">
        <x:v>990</x:v>
      </x:c>
      <x:c r="H149" s="65" t="s">
        <x:v>878</x:v>
      </x:c>
      <x:c r="I149" s="65" t="s">
        <x:v>991</x:v>
      </x:c>
      <x:c r="J149" s="65" t="s">
        <x:v>910</x:v>
      </x:c>
      <x:c r="K149" s="65" t="s">
        <x:v>1000</x:v>
      </x:c>
      <x:c r="L149" s="65" t="s">
        <x:v>916</x:v>
      </x:c>
      <x:c r="M149" s="65" t="s">
        <x:v>968</x:v>
      </x:c>
      <x:c r="N149" s="65" t="s">
        <x:v>916</x:v>
      </x:c>
      <x:c r="O149" s="65" t="s">
        <x:v>1000</x:v>
      </x:c>
      <x:c r="P149" s="65" t="s">
        <x:v>916</x:v>
      </x:c>
      <x:c r="Q149" s="85" t="s">
        <x:v>916</x:v>
      </x:c>
      <x:c r="R149" s="85" t="s">
        <x:v>916</x:v>
      </x:c>
      <x:c r="S149" s="85" t="s">
        <x:v>916</x:v>
      </x:c>
      <x:c r="T149" s="85" t="s">
        <x:v>916</x:v>
      </x:c>
      <x:c r="U149" s="85" t="s">
        <x:v>916</x:v>
      </x:c>
      <x:c r="V149" s="85" t="s">
        <x:v>916</x:v>
      </x:c>
      <x:c r="W149" s="66"/>
      <x:c r="X149" s="83" t="str">
        <x:f t="shared" si="22"/>
        <x:v>Belum Dinilai</x:v>
      </x:c>
      <x:c r="Y149" s="83" t="str">
        <x:f t="shared" si="23"/>
        <x:v>Belum Dinilai</x:v>
      </x:c>
      <x:c r="Z149" s="84" t="str">
        <x:f t="shared" si="24"/>
      </x:c>
      <x:c r="AA149" s="84" t="str">
        <x:f t="shared" si="25"/>
      </x:c>
      <x:c r="AB149" s="84" t="str">
        <x:f t="shared" si="26"/>
      </x:c>
      <x:c r="AC149" s="67" t="s">
        <x:v>916</x:v>
      </x:c>
      <x:c r="AD149" s="67" t="s">
        <x:v>916</x:v>
      </x:c>
      <x:c r="AE149" s="67" t="s">
        <x:v>916</x:v>
      </x:c>
      <x:c r="AF149" s="67" t="s">
        <x:v>916</x:v>
      </x:c>
      <x:c r="AG149" s="67" t="s">
        <x:v>916</x:v>
      </x:c>
      <x:c r="AH149" s="67" t="s">
        <x:v>916</x:v>
      </x:c>
      <x:c r="AI149" s="67" t="s">
        <x:v>916</x:v>
      </x:c>
      <x:c r="AJ149" s="67" t="s">
        <x:v>916</x:v>
      </x:c>
      <x:c r="AK149" s="67" t="s">
        <x:v>916</x:v>
      </x:c>
      <x:c r="AL149" s="67"/>
      <x:c r="AM149" s="67" t="s">
        <x:v>916</x:v>
      </x:c>
      <x:c r="AN149" s="83" t="str">
        <x:f t="shared" si="27"/>
        <x:v>Belum Dinilai</x:v>
      </x:c>
      <x:c r="AO149" s="83" t="str">
        <x:f t="shared" si="28"/>
        <x:v>Belum Dinilai</x:v>
      </x:c>
      <x:c r="AP149" s="67"/>
      <x:c r="AQ149" s="70" t="str">
        <x:f t="shared" si="29"/>
      </x:c>
      <x:c r="AR149" s="70" t="str">
        <x:f t="shared" si="30"/>
      </x:c>
      <x:c r="AS149" s="70" t="str">
        <x:f t="shared" si="31"/>
      </x:c>
      <x:c r="AT149" s="68" t="str">
        <x:f t="shared" si="32"/>
        <x:v>Belum Dapat Ditentukan</x:v>
      </x:c>
      <x:c r="AU149" s="65" t="s">
        <x:v>887</x:v>
      </x:c>
      <x:c r="AV149" s="65" t="s">
        <x:v>904</x:v>
      </x:c>
      <x:c r="AW149" s="65" t="s">
        <x:v>1001</x:v>
      </x:c>
      <x:c r="AX149" s="65" t="s">
        <x:v>906</x:v>
      </x:c>
      <x:c r="AY149" s="65">
        <x:v>2022</x:v>
      </x:c>
      <x:c r="AZ149" s="65" t="s">
        <x:v>888</x:v>
      </x:c>
      <x:c r="BA149" s="65"/>
      <x:c r="BB149" s="177"/>
      <x:c r="BC149" s="71">
        <x:v>2026</x:v>
      </x:c>
      <x:c r="BD149" s="65"/>
      <x:c r="BE149" s="177"/>
      <x:c r="BF149" s="65" t="str">
        <x:v>Dinas Perkim Kota Pangkal Pinang</x:v>
      </x:c>
    </x:row>
    <x:row r="150" ht="42">
      <x:c r="A150" s="65" t="s">
        <x:v>1553</x:v>
      </x:c>
      <x:c r="B150" s="65" t="s">
        <x:v>1554</x:v>
      </x:c>
      <x:c r="C150" s="65"/>
      <x:c r="D150" s="65"/>
      <x:c r="E150" s="65" t="s">
        <x:v>1002</x:v>
      </x:c>
      <x:c r="F150" s="65" t="s">
        <x:v>1052</x:v>
      </x:c>
      <x:c r="G150" s="65" t="s">
        <x:v>1053</x:v>
      </x:c>
      <x:c r="H150" s="65" t="s">
        <x:v>963</x:v>
      </x:c>
      <x:c r="I150" s="65" t="s">
        <x:v>1555</x:v>
      </x:c>
      <x:c r="J150" s="65" t="s">
        <x:v>910</x:v>
      </x:c>
      <x:c r="K150" s="65" t="s">
        <x:v>1000</x:v>
      </x:c>
      <x:c r="L150" s="65" t="s">
        <x:v>897</x:v>
      </x:c>
      <x:c r="M150" s="65" t="s">
        <x:v>968</x:v>
      </x:c>
      <x:c r="N150" s="65" t="s">
        <x:v>897</x:v>
      </x:c>
      <x:c r="O150" s="65" t="s">
        <x:v>914</x:v>
      </x:c>
      <x:c r="P150" s="65" t="s">
        <x:v>897</x:v>
      </x:c>
      <x:c r="Q150" s="85" t="s">
        <x:v>916</x:v>
      </x:c>
      <x:c r="R150" s="85" t="s">
        <x:v>916</x:v>
      </x:c>
      <x:c r="S150" s="85" t="s">
        <x:v>916</x:v>
      </x:c>
      <x:c r="T150" s="85" t="s">
        <x:v>916</x:v>
      </x:c>
      <x:c r="U150" s="85" t="s">
        <x:v>916</x:v>
      </x:c>
      <x:c r="V150" s="85" t="s">
        <x:v>916</x:v>
      </x:c>
      <x:c r="W150" s="66"/>
      <x:c r="X150" s="83" t="str">
        <x:f t="shared" si="22"/>
        <x:v>Belum Dinilai</x:v>
      </x:c>
      <x:c r="Y150" s="83" t="str">
        <x:f t="shared" si="23"/>
        <x:v>Belum Dinilai</x:v>
      </x:c>
      <x:c r="Z150" s="84" t="str">
        <x:f t="shared" si="24"/>
      </x:c>
      <x:c r="AA150" s="84" t="str">
        <x:f t="shared" si="25"/>
      </x:c>
      <x:c r="AB150" s="84" t="str">
        <x:f t="shared" si="26"/>
      </x:c>
      <x:c r="AC150" s="67" t="s">
        <x:v>916</x:v>
      </x:c>
      <x:c r="AD150" s="67" t="s">
        <x:v>916</x:v>
      </x:c>
      <x:c r="AE150" s="67" t="s">
        <x:v>916</x:v>
      </x:c>
      <x:c r="AF150" s="67" t="s">
        <x:v>916</x:v>
      </x:c>
      <x:c r="AG150" s="67" t="s">
        <x:v>916</x:v>
      </x:c>
      <x:c r="AH150" s="67" t="s">
        <x:v>916</x:v>
      </x:c>
      <x:c r="AI150" s="67" t="s">
        <x:v>916</x:v>
      </x:c>
      <x:c r="AJ150" s="67" t="s">
        <x:v>916</x:v>
      </x:c>
      <x:c r="AK150" s="67" t="s">
        <x:v>916</x:v>
      </x:c>
      <x:c r="AL150" s="67"/>
      <x:c r="AM150" s="67" t="s">
        <x:v>916</x:v>
      </x:c>
      <x:c r="AN150" s="83" t="str">
        <x:f t="shared" si="27"/>
        <x:v>Belum Dinilai</x:v>
      </x:c>
      <x:c r="AO150" s="83" t="str">
        <x:f t="shared" si="28"/>
        <x:v>Belum Dinilai</x:v>
      </x:c>
      <x:c r="AP150" s="67"/>
      <x:c r="AQ150" s="70">
        <x:f t="shared" si="29"/>
        <x:v>29</x:v>
      </x:c>
      <x:c r="AR150" s="70" t="str">
        <x:f t="shared" si="30"/>
      </x:c>
      <x:c r="AS150" s="70" t="str">
        <x:f t="shared" si="31"/>
      </x:c>
      <x:c r="AT150" s="68" t="str">
        <x:f t="shared" si="32"/>
        <x:v>Belum Dapat Ditentukan</x:v>
      </x:c>
      <x:c r="AU150" s="65" t="s">
        <x:v>903</x:v>
      </x:c>
      <x:c r="AV150" s="65" t="s">
        <x:v>904</x:v>
      </x:c>
      <x:c r="AW150" s="65" t="s">
        <x:v>889</x:v>
      </x:c>
      <x:c r="AX150" s="65" t="s">
        <x:v>890</x:v>
      </x:c>
      <x:c r="AY150" s="65"/>
      <x:c r="AZ150" s="65" t="s">
        <x:v>888</x:v>
      </x:c>
      <x:c r="BA150" s="65"/>
      <x:c r="BB150" s="177"/>
      <x:c r="BC150" s="71">
        <x:v>2026</x:v>
      </x:c>
      <x:c r="BD150" s="65"/>
      <x:c r="BE150" s="177"/>
      <x:c r="BF150" s="65" t="str">
        <x:v>Dinas Perkim Kota Pangkal Pinang</x:v>
      </x:c>
    </x:row>
    <x:row r="151" ht="28">
      <x:c r="A151" s="65" t="s">
        <x:v>1556</x:v>
      </x:c>
      <x:c r="B151" s="65" t="s">
        <x:v>1557</x:v>
      </x:c>
      <x:c r="C151" s="65"/>
      <x:c r="D151" s="65"/>
      <x:c r="E151" s="65" t="s">
        <x:v>1558</x:v>
      </x:c>
      <x:c r="F151" s="65" t="s">
        <x:v>1011</x:v>
      </x:c>
      <x:c r="G151" s="65" t="s">
        <x:v>1012</x:v>
      </x:c>
      <x:c r="H151" s="65" t="s">
        <x:v>963</x:v>
      </x:c>
      <x:c r="I151" s="65" t="s">
        <x:v>1559</x:v>
      </x:c>
      <x:c r="J151" s="65" t="s">
        <x:v>879</x:v>
      </x:c>
      <x:c r="K151" s="65" t="s">
        <x:v>1000</x:v>
      </x:c>
      <x:c r="L151" s="65" t="s">
        <x:v>916</x:v>
      </x:c>
      <x:c r="M151" s="65" t="s">
        <x:v>967</x:v>
      </x:c>
      <x:c r="N151" s="65" t="s">
        <x:v>916</x:v>
      </x:c>
      <x:c r="O151" s="65" t="s">
        <x:v>1000</x:v>
      </x:c>
      <x:c r="P151" s="65" t="s">
        <x:v>916</x:v>
      </x:c>
      <x:c r="Q151" s="85" t="s">
        <x:v>916</x:v>
      </x:c>
      <x:c r="R151" s="85" t="s">
        <x:v>916</x:v>
      </x:c>
      <x:c r="S151" s="85" t="s">
        <x:v>916</x:v>
      </x:c>
      <x:c r="T151" s="85" t="s">
        <x:v>916</x:v>
      </x:c>
      <x:c r="U151" s="85" t="s">
        <x:v>916</x:v>
      </x:c>
      <x:c r="V151" s="85" t="s">
        <x:v>916</x:v>
      </x:c>
      <x:c r="W151" s="66"/>
      <x:c r="X151" s="83" t="str">
        <x:f t="shared" si="22"/>
        <x:v>Belum Dinilai</x:v>
      </x:c>
      <x:c r="Y151" s="83" t="str">
        <x:f t="shared" si="23"/>
        <x:v>Belum Dinilai</x:v>
      </x:c>
      <x:c r="Z151" s="84" t="str">
        <x:f t="shared" si="24"/>
      </x:c>
      <x:c r="AA151" s="84" t="str">
        <x:f t="shared" si="25"/>
      </x:c>
      <x:c r="AB151" s="84" t="str">
        <x:f t="shared" si="26"/>
      </x:c>
      <x:c r="AC151" s="67" t="s">
        <x:v>916</x:v>
      </x:c>
      <x:c r="AD151" s="67" t="s">
        <x:v>916</x:v>
      </x:c>
      <x:c r="AE151" s="67" t="s">
        <x:v>916</x:v>
      </x:c>
      <x:c r="AF151" s="67" t="s">
        <x:v>916</x:v>
      </x:c>
      <x:c r="AG151" s="67" t="s">
        <x:v>916</x:v>
      </x:c>
      <x:c r="AH151" s="67" t="s">
        <x:v>916</x:v>
      </x:c>
      <x:c r="AI151" s="67" t="s">
        <x:v>916</x:v>
      </x:c>
      <x:c r="AJ151" s="67" t="s">
        <x:v>916</x:v>
      </x:c>
      <x:c r="AK151" s="67" t="s">
        <x:v>916</x:v>
      </x:c>
      <x:c r="AL151" s="67"/>
      <x:c r="AM151" s="67" t="s">
        <x:v>916</x:v>
      </x:c>
      <x:c r="AN151" s="83" t="str">
        <x:f t="shared" si="27"/>
        <x:v>Belum Dinilai</x:v>
      </x:c>
      <x:c r="AO151" s="83" t="str">
        <x:f t="shared" si="28"/>
        <x:v>Belum Dinilai</x:v>
      </x:c>
      <x:c r="AP151" s="67"/>
      <x:c r="AQ151" s="70" t="str">
        <x:f t="shared" si="29"/>
      </x:c>
      <x:c r="AR151" s="70" t="str">
        <x:f t="shared" si="30"/>
      </x:c>
      <x:c r="AS151" s="70" t="str">
        <x:f t="shared" si="31"/>
      </x:c>
      <x:c r="AT151" s="68" t="str">
        <x:f t="shared" si="32"/>
        <x:v>Belum Dapat Ditentukan</x:v>
      </x:c>
      <x:c r="AU151" s="65" t="s">
        <x:v>887</x:v>
      </x:c>
      <x:c r="AV151" s="65" t="s">
        <x:v>904</x:v>
      </x:c>
      <x:c r="AW151" s="65" t="s">
        <x:v>889</x:v>
      </x:c>
      <x:c r="AX151" s="65" t="s">
        <x:v>890</x:v>
      </x:c>
      <x:c r="AY151" s="65"/>
      <x:c r="AZ151" s="65" t="s">
        <x:v>888</x:v>
      </x:c>
      <x:c r="BA151" s="65"/>
      <x:c r="BB151" s="177"/>
      <x:c r="BC151" s="71">
        <x:v>2026</x:v>
      </x:c>
      <x:c r="BD151" s="65"/>
      <x:c r="BE151" s="177"/>
      <x:c r="BF151" s="65" t="str">
        <x:v>Dinas Perkim Kota Pangkal Pinang</x:v>
      </x:c>
    </x:row>
    <x:row r="152" ht="28">
      <x:c r="A152" s="65" t="s">
        <x:v>1560</x:v>
      </x:c>
      <x:c r="B152" s="65" t="s">
        <x:v>1561</x:v>
      </x:c>
      <x:c r="C152" s="65"/>
      <x:c r="D152" s="65"/>
      <x:c r="E152" s="65" t="s">
        <x:v>1562</x:v>
      </x:c>
      <x:c r="F152" s="65" t="s">
        <x:v>1011</x:v>
      </x:c>
      <x:c r="G152" s="65" t="s">
        <x:v>1012</x:v>
      </x:c>
      <x:c r="H152" s="65" t="s">
        <x:v>894</x:v>
      </x:c>
      <x:c r="I152" s="65" t="s">
        <x:v>1563</x:v>
      </x:c>
      <x:c r="J152" s="65" t="s">
        <x:v>895</x:v>
      </x:c>
      <x:c r="K152" s="65" t="s">
        <x:v>1000</x:v>
      </x:c>
      <x:c r="L152" s="65" t="s">
        <x:v>916</x:v>
      </x:c>
      <x:c r="M152" s="65" t="s">
        <x:v>979</x:v>
      </x:c>
      <x:c r="N152" s="65" t="s">
        <x:v>916</x:v>
      </x:c>
      <x:c r="O152" s="65" t="s">
        <x:v>1000</x:v>
      </x:c>
      <x:c r="P152" s="65" t="s">
        <x:v>916</x:v>
      </x:c>
      <x:c r="Q152" s="85" t="s">
        <x:v>916</x:v>
      </x:c>
      <x:c r="R152" s="85" t="s">
        <x:v>916</x:v>
      </x:c>
      <x:c r="S152" s="85" t="s">
        <x:v>916</x:v>
      </x:c>
      <x:c r="T152" s="85" t="s">
        <x:v>916</x:v>
      </x:c>
      <x:c r="U152" s="85" t="s">
        <x:v>916</x:v>
      </x:c>
      <x:c r="V152" s="85" t="s">
        <x:v>916</x:v>
      </x:c>
      <x:c r="W152" s="66"/>
      <x:c r="X152" s="83" t="str">
        <x:f t="shared" si="22"/>
        <x:v>Belum Dinilai</x:v>
      </x:c>
      <x:c r="Y152" s="83" t="str">
        <x:f t="shared" si="23"/>
        <x:v>Belum Dinilai</x:v>
      </x:c>
      <x:c r="Z152" s="84" t="str">
        <x:f t="shared" si="24"/>
      </x:c>
      <x:c r="AA152" s="84" t="str">
        <x:f t="shared" si="25"/>
      </x:c>
      <x:c r="AB152" s="84" t="str">
        <x:f t="shared" si="26"/>
      </x:c>
      <x:c r="AC152" s="67" t="s">
        <x:v>916</x:v>
      </x:c>
      <x:c r="AD152" s="67" t="s">
        <x:v>916</x:v>
      </x:c>
      <x:c r="AE152" s="67" t="s">
        <x:v>916</x:v>
      </x:c>
      <x:c r="AF152" s="67" t="s">
        <x:v>916</x:v>
      </x:c>
      <x:c r="AG152" s="67" t="s">
        <x:v>916</x:v>
      </x:c>
      <x:c r="AH152" s="67" t="s">
        <x:v>916</x:v>
      </x:c>
      <x:c r="AI152" s="67" t="s">
        <x:v>916</x:v>
      </x:c>
      <x:c r="AJ152" s="67" t="s">
        <x:v>916</x:v>
      </x:c>
      <x:c r="AK152" s="67" t="s">
        <x:v>916</x:v>
      </x:c>
      <x:c r="AL152" s="67"/>
      <x:c r="AM152" s="67" t="s">
        <x:v>916</x:v>
      </x:c>
      <x:c r="AN152" s="83" t="str">
        <x:f t="shared" si="27"/>
        <x:v>Belum Dinilai</x:v>
      </x:c>
      <x:c r="AO152" s="83" t="str">
        <x:f t="shared" si="28"/>
        <x:v>Belum Dinilai</x:v>
      </x:c>
      <x:c r="AP152" s="67"/>
      <x:c r="AQ152" s="70" t="str">
        <x:f t="shared" si="29"/>
      </x:c>
      <x:c r="AR152" s="70" t="str">
        <x:f t="shared" si="30"/>
      </x:c>
      <x:c r="AS152" s="70" t="str">
        <x:f t="shared" si="31"/>
      </x:c>
      <x:c r="AT152" s="68" t="str">
        <x:f t="shared" si="32"/>
        <x:v>Belum Dapat Ditentukan</x:v>
      </x:c>
      <x:c r="AU152" s="65" t="s">
        <x:v>887</x:v>
      </x:c>
      <x:c r="AV152" s="65" t="s">
        <x:v>904</x:v>
      </x:c>
      <x:c r="AW152" s="65" t="s">
        <x:v>1001</x:v>
      </x:c>
      <x:c r="AX152" s="65" t="s">
        <x:v>906</x:v>
      </x:c>
      <x:c r="AY152" s="65"/>
      <x:c r="AZ152" s="65" t="s">
        <x:v>888</x:v>
      </x:c>
      <x:c r="BA152" s="65"/>
      <x:c r="BB152" s="177"/>
      <x:c r="BC152" s="71">
        <x:v>2026</x:v>
      </x:c>
      <x:c r="BD152" s="65"/>
      <x:c r="BE152" s="177"/>
      <x:c r="BF152" s="65" t="str">
        <x:v>Dinas Perkim Kota Pangkal Pinang</x:v>
      </x:c>
    </x:row>
    <x:row r="153" ht="28">
      <x:c r="A153" s="65" t="s">
        <x:v>1564</x:v>
      </x:c>
      <x:c r="B153" s="65" t="s">
        <x:v>1565</x:v>
      </x:c>
      <x:c r="C153" s="65"/>
      <x:c r="D153" s="65"/>
      <x:c r="E153" s="65" t="s">
        <x:v>1002</x:v>
      </x:c>
      <x:c r="F153" s="65" t="s">
        <x:v>1011</x:v>
      </x:c>
      <x:c r="G153" s="65" t="s">
        <x:v>1012</x:v>
      </x:c>
      <x:c r="H153" s="65" t="s">
        <x:v>878</x:v>
      </x:c>
      <x:c r="I153" s="65" t="s">
        <x:v>1566</x:v>
      </x:c>
      <x:c r="J153" s="65" t="s">
        <x:v>895</x:v>
      </x:c>
      <x:c r="K153" s="65" t="s">
        <x:v>1000</x:v>
      </x:c>
      <x:c r="L153" s="65" t="s">
        <x:v>916</x:v>
      </x:c>
      <x:c r="M153" s="65" t="s">
        <x:v>979</x:v>
      </x:c>
      <x:c r="N153" s="65" t="s">
        <x:v>916</x:v>
      </x:c>
      <x:c r="O153" s="65" t="s">
        <x:v>914</x:v>
      </x:c>
      <x:c r="P153" s="65" t="s">
        <x:v>916</x:v>
      </x:c>
      <x:c r="Q153" s="85" t="s">
        <x:v>916</x:v>
      </x:c>
      <x:c r="R153" s="85" t="s">
        <x:v>916</x:v>
      </x:c>
      <x:c r="S153" s="85" t="s">
        <x:v>916</x:v>
      </x:c>
      <x:c r="T153" s="85" t="s">
        <x:v>916</x:v>
      </x:c>
      <x:c r="U153" s="85" t="s">
        <x:v>916</x:v>
      </x:c>
      <x:c r="V153" s="85" t="s">
        <x:v>916</x:v>
      </x:c>
      <x:c r="W153" s="66"/>
      <x:c r="X153" s="83" t="str">
        <x:f t="shared" si="22"/>
        <x:v>Belum Dinilai</x:v>
      </x:c>
      <x:c r="Y153" s="83" t="str">
        <x:f t="shared" si="23"/>
        <x:v>Belum Dinilai</x:v>
      </x:c>
      <x:c r="Z153" s="84" t="str">
        <x:f t="shared" si="24"/>
      </x:c>
      <x:c r="AA153" s="84" t="str">
        <x:f t="shared" si="25"/>
      </x:c>
      <x:c r="AB153" s="84" t="str">
        <x:f t="shared" si="26"/>
      </x:c>
      <x:c r="AC153" s="67" t="s">
        <x:v>916</x:v>
      </x:c>
      <x:c r="AD153" s="67" t="s">
        <x:v>916</x:v>
      </x:c>
      <x:c r="AE153" s="67" t="s">
        <x:v>916</x:v>
      </x:c>
      <x:c r="AF153" s="67" t="s">
        <x:v>916</x:v>
      </x:c>
      <x:c r="AG153" s="67" t="s">
        <x:v>916</x:v>
      </x:c>
      <x:c r="AH153" s="67" t="s">
        <x:v>916</x:v>
      </x:c>
      <x:c r="AI153" s="67" t="s">
        <x:v>916</x:v>
      </x:c>
      <x:c r="AJ153" s="67" t="s">
        <x:v>916</x:v>
      </x:c>
      <x:c r="AK153" s="67" t="s">
        <x:v>916</x:v>
      </x:c>
      <x:c r="AL153" s="67"/>
      <x:c r="AM153" s="67" t="s">
        <x:v>916</x:v>
      </x:c>
      <x:c r="AN153" s="83" t="str">
        <x:f t="shared" si="27"/>
        <x:v>Belum Dinilai</x:v>
      </x:c>
      <x:c r="AO153" s="83" t="str">
        <x:f t="shared" si="28"/>
        <x:v>Belum Dinilai</x:v>
      </x:c>
      <x:c r="AP153" s="67"/>
      <x:c r="AQ153" s="70" t="str">
        <x:f t="shared" si="29"/>
      </x:c>
      <x:c r="AR153" s="70" t="str">
        <x:f t="shared" si="30"/>
      </x:c>
      <x:c r="AS153" s="70" t="str">
        <x:f t="shared" si="31"/>
      </x:c>
      <x:c r="AT153" s="68" t="str">
        <x:f t="shared" si="32"/>
        <x:v>Belum Dapat Ditentukan</x:v>
      </x:c>
      <x:c r="AU153" s="65" t="s">
        <x:v>887</x:v>
      </x:c>
      <x:c r="AV153" s="65" t="s">
        <x:v>904</x:v>
      </x:c>
      <x:c r="AW153" s="65" t="s">
        <x:v>1001</x:v>
      </x:c>
      <x:c r="AX153" s="65" t="s">
        <x:v>906</x:v>
      </x:c>
      <x:c r="AY153" s="65"/>
      <x:c r="AZ153" s="65" t="s">
        <x:v>888</x:v>
      </x:c>
      <x:c r="BA153" s="65"/>
      <x:c r="BB153" s="177"/>
      <x:c r="BC153" s="71">
        <x:v>2026</x:v>
      </x:c>
      <x:c r="BD153" s="65"/>
      <x:c r="BE153" s="177"/>
      <x:c r="BF153" s="65" t="str">
        <x:v>Dinas Perkim Kota Pangkal Pinang</x:v>
      </x:c>
    </x:row>
    <x:row r="154" ht="42">
      <x:c r="A154" s="65" t="s">
        <x:v>1567</x:v>
      </x:c>
      <x:c r="B154" s="65" t="s">
        <x:v>1568</x:v>
      </x:c>
      <x:c r="C154" s="65"/>
      <x:c r="D154" s="65"/>
      <x:c r="E154" s="65" t="s">
        <x:v>1569</x:v>
      </x:c>
      <x:c r="F154" s="65" t="s">
        <x:v>1043</x:v>
      </x:c>
      <x:c r="G154" s="65" t="s">
        <x:v>1033</x:v>
      </x:c>
      <x:c r="H154" s="65" t="s">
        <x:v>963</x:v>
      </x:c>
      <x:c r="I154" s="65" t="s">
        <x:v>1570</x:v>
      </x:c>
      <x:c r="J154" s="65" t="s">
        <x:v>879</x:v>
      </x:c>
      <x:c r="K154" s="65" t="s">
        <x:v>896</x:v>
      </x:c>
      <x:c r="L154" s="65" t="s">
        <x:v>916</x:v>
      </x:c>
      <x:c r="M154" s="65" t="s">
        <x:v>967</x:v>
      </x:c>
      <x:c r="N154" s="65" t="s">
        <x:v>916</x:v>
      </x:c>
      <x:c r="O154" s="65" t="s">
        <x:v>914</x:v>
      </x:c>
      <x:c r="P154" s="65" t="s">
        <x:v>916</x:v>
      </x:c>
      <x:c r="Q154" s="85" t="s">
        <x:v>916</x:v>
      </x:c>
      <x:c r="R154" s="85" t="s">
        <x:v>916</x:v>
      </x:c>
      <x:c r="S154" s="85" t="s">
        <x:v>916</x:v>
      </x:c>
      <x:c r="T154" s="85" t="s">
        <x:v>916</x:v>
      </x:c>
      <x:c r="U154" s="85" t="s">
        <x:v>916</x:v>
      </x:c>
      <x:c r="V154" s="85" t="s">
        <x:v>916</x:v>
      </x:c>
      <x:c r="W154" s="66"/>
      <x:c r="X154" s="83" t="str">
        <x:f t="shared" si="22"/>
        <x:v>Belum Dinilai</x:v>
      </x:c>
      <x:c r="Y154" s="83" t="str">
        <x:f t="shared" si="23"/>
        <x:v>Belum Dinilai</x:v>
      </x:c>
      <x:c r="Z154" s="84" t="str">
        <x:f t="shared" si="24"/>
      </x:c>
      <x:c r="AA154" s="84" t="str">
        <x:f t="shared" si="25"/>
      </x:c>
      <x:c r="AB154" s="84" t="str">
        <x:f t="shared" si="26"/>
      </x:c>
      <x:c r="AC154" s="67" t="s">
        <x:v>916</x:v>
      </x:c>
      <x:c r="AD154" s="67" t="s">
        <x:v>916</x:v>
      </x:c>
      <x:c r="AE154" s="67" t="s">
        <x:v>916</x:v>
      </x:c>
      <x:c r="AF154" s="67" t="s">
        <x:v>916</x:v>
      </x:c>
      <x:c r="AG154" s="67" t="s">
        <x:v>916</x:v>
      </x:c>
      <x:c r="AH154" s="67" t="s">
        <x:v>916</x:v>
      </x:c>
      <x:c r="AI154" s="67" t="s">
        <x:v>916</x:v>
      </x:c>
      <x:c r="AJ154" s="67" t="s">
        <x:v>916</x:v>
      </x:c>
      <x:c r="AK154" s="67" t="s">
        <x:v>916</x:v>
      </x:c>
      <x:c r="AL154" s="67"/>
      <x:c r="AM154" s="67" t="s">
        <x:v>916</x:v>
      </x:c>
      <x:c r="AN154" s="83" t="str">
        <x:f t="shared" si="27"/>
        <x:v>Belum Dinilai</x:v>
      </x:c>
      <x:c r="AO154" s="83" t="str">
        <x:f t="shared" si="28"/>
        <x:v>Belum Dinilai</x:v>
      </x:c>
      <x:c r="AP154" s="67"/>
      <x:c r="AQ154" s="70" t="str">
        <x:f t="shared" si="29"/>
      </x:c>
      <x:c r="AR154" s="70" t="str">
        <x:f t="shared" si="30"/>
      </x:c>
      <x:c r="AS154" s="70" t="str">
        <x:f t="shared" si="31"/>
      </x:c>
      <x:c r="AT154" s="68" t="str">
        <x:f t="shared" si="32"/>
        <x:v>Belum Dapat Ditentukan</x:v>
      </x:c>
      <x:c r="AU154" s="65" t="s">
        <x:v>887</x:v>
      </x:c>
      <x:c r="AV154" s="65" t="s">
        <x:v>904</x:v>
      </x:c>
      <x:c r="AW154" s="65" t="s">
        <x:v>889</x:v>
      </x:c>
      <x:c r="AX154" s="65" t="s">
        <x:v>890</x:v>
      </x:c>
      <x:c r="AY154" s="65"/>
      <x:c r="AZ154" s="65" t="s">
        <x:v>888</x:v>
      </x:c>
      <x:c r="BA154" s="65"/>
      <x:c r="BB154" s="177"/>
      <x:c r="BC154" s="71">
        <x:v>2026</x:v>
      </x:c>
      <x:c r="BD154" s="65"/>
      <x:c r="BE154" s="177"/>
      <x:c r="BF154" s="65" t="str">
        <x:v>Dinas Perkim Kota Pangkal Pinang</x:v>
      </x:c>
    </x:row>
    <x:row r="155" ht="42">
      <x:c r="A155" s="65" t="s">
        <x:v>1571</x:v>
      </x:c>
      <x:c r="B155" s="65" t="s">
        <x:v>1572</x:v>
      </x:c>
      <x:c r="C155" s="65"/>
      <x:c r="D155" s="65"/>
      <x:c r="E155" s="65" t="s">
        <x:v>1573</x:v>
      </x:c>
      <x:c r="F155" s="65" t="s">
        <x:v>1043</x:v>
      </x:c>
      <x:c r="G155" s="65" t="s">
        <x:v>1033</x:v>
      </x:c>
      <x:c r="H155" s="65" t="s">
        <x:v>878</x:v>
      </x:c>
      <x:c r="I155" s="65" t="s">
        <x:v>1574</x:v>
      </x:c>
      <x:c r="J155" s="65" t="s">
        <x:v>910</x:v>
      </x:c>
      <x:c r="K155" s="65" t="s">
        <x:v>896</x:v>
      </x:c>
      <x:c r="L155" s="65" t="s">
        <x:v>897</x:v>
      </x:c>
      <x:c r="M155" s="65" t="s">
        <x:v>968</x:v>
      </x:c>
      <x:c r="N155" s="65" t="s">
        <x:v>897</x:v>
      </x:c>
      <x:c r="O155" s="65" t="s">
        <x:v>914</x:v>
      </x:c>
      <x:c r="P155" s="65" t="s">
        <x:v>897</x:v>
      </x:c>
      <x:c r="Q155" s="85" t="s">
        <x:v>916</x:v>
      </x:c>
      <x:c r="R155" s="85" t="s">
        <x:v>916</x:v>
      </x:c>
      <x:c r="S155" s="85" t="s">
        <x:v>916</x:v>
      </x:c>
      <x:c r="T155" s="85" t="s">
        <x:v>916</x:v>
      </x:c>
      <x:c r="U155" s="85" t="s">
        <x:v>916</x:v>
      </x:c>
      <x:c r="V155" s="85" t="s">
        <x:v>916</x:v>
      </x:c>
      <x:c r="W155" s="66"/>
      <x:c r="X155" s="83" t="str">
        <x:f t="shared" si="22"/>
        <x:v>Belum Dinilai</x:v>
      </x:c>
      <x:c r="Y155" s="83" t="str">
        <x:f t="shared" si="23"/>
        <x:v>Belum Dinilai</x:v>
      </x:c>
      <x:c r="Z155" s="84" t="str">
        <x:f t="shared" si="24"/>
      </x:c>
      <x:c r="AA155" s="84" t="str">
        <x:f t="shared" si="25"/>
      </x:c>
      <x:c r="AB155" s="84" t="str">
        <x:f t="shared" si="26"/>
      </x:c>
      <x:c r="AC155" s="67" t="s">
        <x:v>916</x:v>
      </x:c>
      <x:c r="AD155" s="67" t="s">
        <x:v>916</x:v>
      </x:c>
      <x:c r="AE155" s="67" t="s">
        <x:v>916</x:v>
      </x:c>
      <x:c r="AF155" s="67" t="s">
        <x:v>916</x:v>
      </x:c>
      <x:c r="AG155" s="67" t="s">
        <x:v>916</x:v>
      </x:c>
      <x:c r="AH155" s="67" t="s">
        <x:v>916</x:v>
      </x:c>
      <x:c r="AI155" s="67" t="s">
        <x:v>916</x:v>
      </x:c>
      <x:c r="AJ155" s="67" t="s">
        <x:v>916</x:v>
      </x:c>
      <x:c r="AK155" s="67" t="s">
        <x:v>916</x:v>
      </x:c>
      <x:c r="AL155" s="67"/>
      <x:c r="AM155" s="67" t="s">
        <x:v>916</x:v>
      </x:c>
      <x:c r="AN155" s="83" t="str">
        <x:f t="shared" si="27"/>
        <x:v>Belum Dinilai</x:v>
      </x:c>
      <x:c r="AO155" s="83" t="str">
        <x:f t="shared" si="28"/>
        <x:v>Belum Dinilai</x:v>
      </x:c>
      <x:c r="AP155" s="67"/>
      <x:c r="AQ155" s="70">
        <x:f t="shared" si="29"/>
        <x:v>29</x:v>
      </x:c>
      <x:c r="AR155" s="70" t="str">
        <x:f t="shared" si="30"/>
      </x:c>
      <x:c r="AS155" s="70" t="str">
        <x:f t="shared" si="31"/>
      </x:c>
      <x:c r="AT155" s="68" t="str">
        <x:f t="shared" si="32"/>
        <x:v>Belum Dapat Ditentukan</x:v>
      </x:c>
      <x:c r="AU155" s="65" t="s">
        <x:v>887</x:v>
      </x:c>
      <x:c r="AV155" s="65" t="s">
        <x:v>904</x:v>
      </x:c>
      <x:c r="AW155" s="65" t="s">
        <x:v>889</x:v>
      </x:c>
      <x:c r="AX155" s="65" t="s">
        <x:v>890</x:v>
      </x:c>
      <x:c r="AY155" s="65"/>
      <x:c r="AZ155" s="65" t="s">
        <x:v>888</x:v>
      </x:c>
      <x:c r="BA155" s="65"/>
      <x:c r="BB155" s="177"/>
      <x:c r="BC155" s="71">
        <x:v>2026</x:v>
      </x:c>
      <x:c r="BD155" s="65"/>
      <x:c r="BE155" s="177"/>
      <x:c r="BF155" s="65" t="str">
        <x:v>Dinas Perkim Kota Pangkal Pinang</x:v>
      </x:c>
    </x:row>
    <x:row r="156" ht="28">
      <x:c r="A156" s="65" t="s">
        <x:v>1575</x:v>
      </x:c>
      <x:c r="B156" s="65" t="s">
        <x:v>1576</x:v>
      </x:c>
      <x:c r="C156" s="65"/>
      <x:c r="D156" s="65"/>
      <x:c r="E156" s="65" t="s">
        <x:v>1577</x:v>
      </x:c>
      <x:c r="F156" s="65" t="s">
        <x:v>1159</x:v>
      </x:c>
      <x:c r="G156" s="65" t="s">
        <x:v>1012</x:v>
      </x:c>
      <x:c r="H156" s="65" t="s">
        <x:v>878</x:v>
      </x:c>
      <x:c r="I156" s="65" t="s">
        <x:v>991</x:v>
      </x:c>
      <x:c r="J156" s="65" t="s">
        <x:v>910</x:v>
      </x:c>
      <x:c r="K156" s="65" t="s">
        <x:v>1000</x:v>
      </x:c>
      <x:c r="L156" s="65" t="s">
        <x:v>916</x:v>
      </x:c>
      <x:c r="M156" s="65" t="s">
        <x:v>968</x:v>
      </x:c>
      <x:c r="N156" s="65" t="s">
        <x:v>916</x:v>
      </x:c>
      <x:c r="O156" s="65" t="s">
        <x:v>1000</x:v>
      </x:c>
      <x:c r="P156" s="65" t="s">
        <x:v>916</x:v>
      </x:c>
      <x:c r="Q156" s="85" t="s">
        <x:v>916</x:v>
      </x:c>
      <x:c r="R156" s="85" t="s">
        <x:v>916</x:v>
      </x:c>
      <x:c r="S156" s="85" t="s">
        <x:v>916</x:v>
      </x:c>
      <x:c r="T156" s="85" t="s">
        <x:v>916</x:v>
      </x:c>
      <x:c r="U156" s="85" t="s">
        <x:v>916</x:v>
      </x:c>
      <x:c r="V156" s="85" t="s">
        <x:v>916</x:v>
      </x:c>
      <x:c r="W156" s="66"/>
      <x:c r="X156" s="83" t="str">
        <x:f t="shared" si="22"/>
        <x:v>Belum Dinilai</x:v>
      </x:c>
      <x:c r="Y156" s="83" t="str">
        <x:f t="shared" si="23"/>
        <x:v>Belum Dinilai</x:v>
      </x:c>
      <x:c r="Z156" s="84" t="str">
        <x:f t="shared" si="24"/>
      </x:c>
      <x:c r="AA156" s="84" t="str">
        <x:f t="shared" si="25"/>
      </x:c>
      <x:c r="AB156" s="84" t="str">
        <x:f t="shared" si="26"/>
      </x:c>
      <x:c r="AC156" s="67" t="s">
        <x:v>916</x:v>
      </x:c>
      <x:c r="AD156" s="67" t="s">
        <x:v>916</x:v>
      </x:c>
      <x:c r="AE156" s="67" t="s">
        <x:v>916</x:v>
      </x:c>
      <x:c r="AF156" s="67" t="s">
        <x:v>916</x:v>
      </x:c>
      <x:c r="AG156" s="67" t="s">
        <x:v>916</x:v>
      </x:c>
      <x:c r="AH156" s="67" t="s">
        <x:v>916</x:v>
      </x:c>
      <x:c r="AI156" s="67" t="s">
        <x:v>916</x:v>
      </x:c>
      <x:c r="AJ156" s="67" t="s">
        <x:v>916</x:v>
      </x:c>
      <x:c r="AK156" s="67" t="s">
        <x:v>916</x:v>
      </x:c>
      <x:c r="AL156" s="67"/>
      <x:c r="AM156" s="67" t="s">
        <x:v>916</x:v>
      </x:c>
      <x:c r="AN156" s="83" t="str">
        <x:f t="shared" si="27"/>
        <x:v>Belum Dinilai</x:v>
      </x:c>
      <x:c r="AO156" s="83" t="str">
        <x:f t="shared" si="28"/>
        <x:v>Belum Dinilai</x:v>
      </x:c>
      <x:c r="AP156" s="67"/>
      <x:c r="AQ156" s="70" t="str">
        <x:f t="shared" si="29"/>
      </x:c>
      <x:c r="AR156" s="70" t="str">
        <x:f t="shared" si="30"/>
      </x:c>
      <x:c r="AS156" s="70" t="str">
        <x:f t="shared" si="31"/>
      </x:c>
      <x:c r="AT156" s="68" t="str">
        <x:f t="shared" si="32"/>
        <x:v>Belum Dapat Ditentukan</x:v>
      </x:c>
      <x:c r="AU156" s="65" t="s">
        <x:v>887</x:v>
      </x:c>
      <x:c r="AV156" s="65" t="s">
        <x:v>904</x:v>
      </x:c>
      <x:c r="AW156" s="65" t="s">
        <x:v>1001</x:v>
      </x:c>
      <x:c r="AX156" s="65" t="s">
        <x:v>984</x:v>
      </x:c>
      <x:c r="AY156" s="65"/>
      <x:c r="AZ156" s="65" t="s">
        <x:v>888</x:v>
      </x:c>
      <x:c r="BA156" s="65"/>
      <x:c r="BB156" s="177"/>
      <x:c r="BC156" s="71">
        <x:v>2026</x:v>
      </x:c>
      <x:c r="BD156" s="65"/>
      <x:c r="BE156" s="177"/>
      <x:c r="BF156" s="65" t="str">
        <x:v>Dinas Perkim Kota Pangkal Pinang</x:v>
      </x:c>
    </x:row>
    <x:row r="157" ht="56">
      <x:c r="A157" s="65" t="s">
        <x:v>1578</x:v>
      </x:c>
      <x:c r="B157" s="65" t="s">
        <x:v>1339</x:v>
      </x:c>
      <x:c r="C157" s="65"/>
      <x:c r="D157" s="65"/>
      <x:c r="E157" s="65" t="s">
        <x:v>1579</x:v>
      </x:c>
      <x:c r="F157" s="65" t="s">
        <x:v>1159</x:v>
      </x:c>
      <x:c r="G157" s="65" t="s">
        <x:v>1012</x:v>
      </x:c>
      <x:c r="H157" s="65" t="s">
        <x:v>878</x:v>
      </x:c>
      <x:c r="I157" s="65" t="s">
        <x:v>1580</x:v>
      </x:c>
      <x:c r="J157" s="65" t="s">
        <x:v>895</x:v>
      </x:c>
      <x:c r="K157" s="65" t="s">
        <x:v>1000</x:v>
      </x:c>
      <x:c r="L157" s="65" t="s">
        <x:v>897</x:v>
      </x:c>
      <x:c r="M157" s="65" t="s">
        <x:v>979</x:v>
      </x:c>
      <x:c r="N157" s="65" t="s">
        <x:v>897</x:v>
      </x:c>
      <x:c r="O157" s="65" t="s">
        <x:v>1000</x:v>
      </x:c>
      <x:c r="P157" s="65" t="s">
        <x:v>897</x:v>
      </x:c>
      <x:c r="Q157" s="85" t="s">
        <x:v>916</x:v>
      </x:c>
      <x:c r="R157" s="85" t="s">
        <x:v>916</x:v>
      </x:c>
      <x:c r="S157" s="85" t="s">
        <x:v>916</x:v>
      </x:c>
      <x:c r="T157" s="85" t="s">
        <x:v>916</x:v>
      </x:c>
      <x:c r="U157" s="85" t="s">
        <x:v>916</x:v>
      </x:c>
      <x:c r="V157" s="85" t="s">
        <x:v>916</x:v>
      </x:c>
      <x:c r="W157" s="66"/>
      <x:c r="X157" s="83" t="str">
        <x:f t="shared" si="22"/>
        <x:v>Belum Dinilai</x:v>
      </x:c>
      <x:c r="Y157" s="83" t="str">
        <x:f t="shared" si="23"/>
        <x:v>Belum Dinilai</x:v>
      </x:c>
      <x:c r="Z157" s="84" t="str">
        <x:f t="shared" si="24"/>
      </x:c>
      <x:c r="AA157" s="84" t="str">
        <x:f t="shared" si="25"/>
      </x:c>
      <x:c r="AB157" s="84" t="str">
        <x:f t="shared" si="26"/>
      </x:c>
      <x:c r="AC157" s="67" t="s">
        <x:v>916</x:v>
      </x:c>
      <x:c r="AD157" s="67" t="s">
        <x:v>916</x:v>
      </x:c>
      <x:c r="AE157" s="67" t="s">
        <x:v>916</x:v>
      </x:c>
      <x:c r="AF157" s="67" t="s">
        <x:v>916</x:v>
      </x:c>
      <x:c r="AG157" s="67" t="s">
        <x:v>916</x:v>
      </x:c>
      <x:c r="AH157" s="67" t="s">
        <x:v>916</x:v>
      </x:c>
      <x:c r="AI157" s="67" t="s">
        <x:v>916</x:v>
      </x:c>
      <x:c r="AJ157" s="67" t="s">
        <x:v>916</x:v>
      </x:c>
      <x:c r="AK157" s="67" t="s">
        <x:v>916</x:v>
      </x:c>
      <x:c r="AL157" s="67"/>
      <x:c r="AM157" s="67" t="s">
        <x:v>916</x:v>
      </x:c>
      <x:c r="AN157" s="83" t="str">
        <x:f t="shared" si="27"/>
        <x:v>Belum Dinilai</x:v>
      </x:c>
      <x:c r="AO157" s="83" t="str">
        <x:f t="shared" si="28"/>
        <x:v>Belum Dinilai</x:v>
      </x:c>
      <x:c r="AP157" s="67"/>
      <x:c r="AQ157" s="70">
        <x:f t="shared" si="29"/>
        <x:v>22</x:v>
      </x:c>
      <x:c r="AR157" s="70" t="str">
        <x:f t="shared" si="30"/>
      </x:c>
      <x:c r="AS157" s="70" t="str">
        <x:f t="shared" si="31"/>
      </x:c>
      <x:c r="AT157" s="68" t="str">
        <x:f t="shared" si="32"/>
        <x:v>Belum Dapat Ditentukan</x:v>
      </x:c>
      <x:c r="AU157" s="65" t="s">
        <x:v>887</x:v>
      </x:c>
      <x:c r="AV157" s="65" t="s">
        <x:v>904</x:v>
      </x:c>
      <x:c r="AW157" s="65" t="s">
        <x:v>1001</x:v>
      </x:c>
      <x:c r="AX157" s="65" t="s">
        <x:v>906</x:v>
      </x:c>
      <x:c r="AY157" s="65">
        <x:v>2022</x:v>
      </x:c>
      <x:c r="AZ157" s="65" t="s">
        <x:v>888</x:v>
      </x:c>
      <x:c r="BA157" s="65"/>
      <x:c r="BB157" s="177"/>
      <x:c r="BC157" s="71">
        <x:v>2026</x:v>
      </x:c>
      <x:c r="BD157" s="65"/>
      <x:c r="BE157" s="177"/>
      <x:c r="BF157" s="65" t="str">
        <x:v>Dinas Perkim Kota Pangkal Pinang</x:v>
      </x:c>
    </x:row>
    <x:row r="158" ht="28">
      <x:c r="A158" s="65" t="s">
        <x:v>1581</x:v>
      </x:c>
      <x:c r="B158" s="65" t="s">
        <x:v>1582</x:v>
      </x:c>
      <x:c r="C158" s="65"/>
      <x:c r="D158" s="65"/>
      <x:c r="E158" s="65" t="s">
        <x:v>1583</x:v>
      </x:c>
      <x:c r="F158" s="65" t="s">
        <x:v>1159</x:v>
      </x:c>
      <x:c r="G158" s="65" t="s">
        <x:v>1012</x:v>
      </x:c>
      <x:c r="H158" s="65" t="s">
        <x:v>963</x:v>
      </x:c>
      <x:c r="I158" s="65" t="s">
        <x:v>1584</x:v>
      </x:c>
      <x:c r="J158" s="65" t="s">
        <x:v>895</x:v>
      </x:c>
      <x:c r="K158" s="65" t="s">
        <x:v>1000</x:v>
      </x:c>
      <x:c r="L158" s="65" t="s">
        <x:v>916</x:v>
      </x:c>
      <x:c r="M158" s="65" t="s">
        <x:v>979</x:v>
      </x:c>
      <x:c r="N158" s="65" t="s">
        <x:v>916</x:v>
      </x:c>
      <x:c r="O158" s="65" t="s">
        <x:v>1000</x:v>
      </x:c>
      <x:c r="P158" s="65" t="s">
        <x:v>916</x:v>
      </x:c>
      <x:c r="Q158" s="85" t="s">
        <x:v>916</x:v>
      </x:c>
      <x:c r="R158" s="85" t="s">
        <x:v>916</x:v>
      </x:c>
      <x:c r="S158" s="85" t="s">
        <x:v>916</x:v>
      </x:c>
      <x:c r="T158" s="85" t="s">
        <x:v>916</x:v>
      </x:c>
      <x:c r="U158" s="85" t="s">
        <x:v>916</x:v>
      </x:c>
      <x:c r="V158" s="85" t="s">
        <x:v>916</x:v>
      </x:c>
      <x:c r="W158" s="66"/>
      <x:c r="X158" s="83" t="str">
        <x:f t="shared" si="22"/>
        <x:v>Belum Dinilai</x:v>
      </x:c>
      <x:c r="Y158" s="83" t="str">
        <x:f t="shared" si="23"/>
        <x:v>Belum Dinilai</x:v>
      </x:c>
      <x:c r="Z158" s="84" t="str">
        <x:f t="shared" si="24"/>
      </x:c>
      <x:c r="AA158" s="84" t="str">
        <x:f t="shared" si="25"/>
      </x:c>
      <x:c r="AB158" s="84" t="str">
        <x:f t="shared" si="26"/>
      </x:c>
      <x:c r="AC158" s="67" t="s">
        <x:v>916</x:v>
      </x:c>
      <x:c r="AD158" s="67" t="s">
        <x:v>916</x:v>
      </x:c>
      <x:c r="AE158" s="67" t="s">
        <x:v>916</x:v>
      </x:c>
      <x:c r="AF158" s="67" t="s">
        <x:v>916</x:v>
      </x:c>
      <x:c r="AG158" s="67" t="s">
        <x:v>916</x:v>
      </x:c>
      <x:c r="AH158" s="67" t="s">
        <x:v>916</x:v>
      </x:c>
      <x:c r="AI158" s="67" t="s">
        <x:v>916</x:v>
      </x:c>
      <x:c r="AJ158" s="67" t="s">
        <x:v>916</x:v>
      </x:c>
      <x:c r="AK158" s="67" t="s">
        <x:v>916</x:v>
      </x:c>
      <x:c r="AL158" s="67"/>
      <x:c r="AM158" s="67" t="s">
        <x:v>916</x:v>
      </x:c>
      <x:c r="AN158" s="83" t="str">
        <x:f t="shared" si="27"/>
        <x:v>Belum Dinilai</x:v>
      </x:c>
      <x:c r="AO158" s="83" t="str">
        <x:f t="shared" si="28"/>
        <x:v>Belum Dinilai</x:v>
      </x:c>
      <x:c r="AP158" s="67"/>
      <x:c r="AQ158" s="70" t="str">
        <x:f t="shared" si="29"/>
      </x:c>
      <x:c r="AR158" s="70" t="str">
        <x:f t="shared" si="30"/>
      </x:c>
      <x:c r="AS158" s="70" t="str">
        <x:f t="shared" si="31"/>
      </x:c>
      <x:c r="AT158" s="68" t="str">
        <x:f t="shared" si="32"/>
        <x:v>Belum Dapat Ditentukan</x:v>
      </x:c>
      <x:c r="AU158" s="65" t="s">
        <x:v>887</x:v>
      </x:c>
      <x:c r="AV158" s="65" t="s">
        <x:v>904</x:v>
      </x:c>
      <x:c r="AW158" s="65" t="s">
        <x:v>889</x:v>
      </x:c>
      <x:c r="AX158" s="65" t="s">
        <x:v>890</x:v>
      </x:c>
      <x:c r="AY158" s="65"/>
      <x:c r="AZ158" s="65" t="s">
        <x:v>888</x:v>
      </x:c>
      <x:c r="BA158" s="65"/>
      <x:c r="BB158" s="177"/>
      <x:c r="BC158" s="71">
        <x:v>2026</x:v>
      </x:c>
      <x:c r="BD158" s="65"/>
      <x:c r="BE158" s="177"/>
      <x:c r="BF158" s="65" t="str">
        <x:v>Dinas Perkim Kota Pangkal Pinang</x:v>
      </x:c>
    </x:row>
    <x:row r="159" ht="28">
      <x:c r="A159" s="65" t="s">
        <x:v>1585</x:v>
      </x:c>
      <x:c r="B159" s="65" t="s">
        <x:v>1586</x:v>
      </x:c>
      <x:c r="C159" s="65"/>
      <x:c r="D159" s="65"/>
      <x:c r="E159" s="65" t="s">
        <x:v>1583</x:v>
      </x:c>
      <x:c r="F159" s="65" t="s">
        <x:v>1159</x:v>
      </x:c>
      <x:c r="G159" s="65" t="s">
        <x:v>1012</x:v>
      </x:c>
      <x:c r="H159" s="65" t="s">
        <x:v>878</x:v>
      </x:c>
      <x:c r="I159" s="65" t="s">
        <x:v>1587</x:v>
      </x:c>
      <x:c r="J159" s="65" t="s">
        <x:v>895</x:v>
      </x:c>
      <x:c r="K159" s="65" t="s">
        <x:v>1000</x:v>
      </x:c>
      <x:c r="L159" s="65" t="s">
        <x:v>916</x:v>
      </x:c>
      <x:c r="M159" s="65" t="s">
        <x:v>979</x:v>
      </x:c>
      <x:c r="N159" s="65" t="s">
        <x:v>916</x:v>
      </x:c>
      <x:c r="O159" s="65" t="s">
        <x:v>1000</x:v>
      </x:c>
      <x:c r="P159" s="65" t="s">
        <x:v>916</x:v>
      </x:c>
      <x:c r="Q159" s="85" t="s">
        <x:v>916</x:v>
      </x:c>
      <x:c r="R159" s="85" t="s">
        <x:v>916</x:v>
      </x:c>
      <x:c r="S159" s="85" t="s">
        <x:v>916</x:v>
      </x:c>
      <x:c r="T159" s="85" t="s">
        <x:v>916</x:v>
      </x:c>
      <x:c r="U159" s="85" t="s">
        <x:v>916</x:v>
      </x:c>
      <x:c r="V159" s="85" t="s">
        <x:v>916</x:v>
      </x:c>
      <x:c r="W159" s="66"/>
      <x:c r="X159" s="83" t="str">
        <x:f t="shared" si="22"/>
        <x:v>Belum Dinilai</x:v>
      </x:c>
      <x:c r="Y159" s="83" t="str">
        <x:f t="shared" si="23"/>
        <x:v>Belum Dinilai</x:v>
      </x:c>
      <x:c r="Z159" s="84" t="str">
        <x:f t="shared" si="24"/>
      </x:c>
      <x:c r="AA159" s="84" t="str">
        <x:f t="shared" si="25"/>
      </x:c>
      <x:c r="AB159" s="84" t="str">
        <x:f t="shared" si="26"/>
      </x:c>
      <x:c r="AC159" s="67" t="s">
        <x:v>916</x:v>
      </x:c>
      <x:c r="AD159" s="67" t="s">
        <x:v>916</x:v>
      </x:c>
      <x:c r="AE159" s="67" t="s">
        <x:v>916</x:v>
      </x:c>
      <x:c r="AF159" s="67" t="s">
        <x:v>916</x:v>
      </x:c>
      <x:c r="AG159" s="67" t="s">
        <x:v>916</x:v>
      </x:c>
      <x:c r="AH159" s="67" t="s">
        <x:v>916</x:v>
      </x:c>
      <x:c r="AI159" s="67" t="s">
        <x:v>916</x:v>
      </x:c>
      <x:c r="AJ159" s="67" t="s">
        <x:v>916</x:v>
      </x:c>
      <x:c r="AK159" s="67" t="s">
        <x:v>916</x:v>
      </x:c>
      <x:c r="AL159" s="67"/>
      <x:c r="AM159" s="67" t="s">
        <x:v>916</x:v>
      </x:c>
      <x:c r="AN159" s="83" t="str">
        <x:f t="shared" si="27"/>
        <x:v>Belum Dinilai</x:v>
      </x:c>
      <x:c r="AO159" s="83" t="str">
        <x:f t="shared" si="28"/>
        <x:v>Belum Dinilai</x:v>
      </x:c>
      <x:c r="AP159" s="67"/>
      <x:c r="AQ159" s="70" t="str">
        <x:f t="shared" si="29"/>
      </x:c>
      <x:c r="AR159" s="70" t="str">
        <x:f t="shared" si="30"/>
      </x:c>
      <x:c r="AS159" s="70" t="str">
        <x:f t="shared" si="31"/>
      </x:c>
      <x:c r="AT159" s="68" t="str">
        <x:f t="shared" si="32"/>
        <x:v>Belum Dapat Ditentukan</x:v>
      </x:c>
      <x:c r="AU159" s="65" t="s">
        <x:v>887</x:v>
      </x:c>
      <x:c r="AV159" s="65" t="s">
        <x:v>904</x:v>
      </x:c>
      <x:c r="AW159" s="65" t="s">
        <x:v>889</x:v>
      </x:c>
      <x:c r="AX159" s="65" t="s">
        <x:v>890</x:v>
      </x:c>
      <x:c r="AY159" s="65"/>
      <x:c r="AZ159" s="65" t="s">
        <x:v>888</x:v>
      </x:c>
      <x:c r="BA159" s="65"/>
      <x:c r="BB159" s="177"/>
      <x:c r="BC159" s="71">
        <x:v>2026</x:v>
      </x:c>
      <x:c r="BD159" s="65"/>
      <x:c r="BE159" s="177"/>
      <x:c r="BF159" s="65" t="str">
        <x:v>Dinas Perkim Kota Pangkal Pinang</x:v>
      </x:c>
    </x:row>
    <x:row r="160" ht="28">
      <x:c r="A160" s="65" t="s">
        <x:v>1588</x:v>
      </x:c>
      <x:c r="B160" s="65" t="s">
        <x:v>1589</x:v>
      </x:c>
      <x:c r="C160" s="65"/>
      <x:c r="D160" s="65"/>
      <x:c r="E160" s="65" t="s">
        <x:v>1590</x:v>
      </x:c>
      <x:c r="F160" s="65" t="s">
        <x:v>1159</x:v>
      </x:c>
      <x:c r="G160" s="65" t="s">
        <x:v>1012</x:v>
      </x:c>
      <x:c r="H160" s="65" t="s">
        <x:v>894</x:v>
      </x:c>
      <x:c r="I160" s="65" t="s">
        <x:v>1591</x:v>
      </x:c>
      <x:c r="J160" s="65" t="s">
        <x:v>895</x:v>
      </x:c>
      <x:c r="K160" s="65" t="s">
        <x:v>896</x:v>
      </x:c>
      <x:c r="L160" s="65" t="s">
        <x:v>916</x:v>
      </x:c>
      <x:c r="M160" s="65" t="s">
        <x:v>979</x:v>
      </x:c>
      <x:c r="N160" s="65" t="s">
        <x:v>916</x:v>
      </x:c>
      <x:c r="O160" s="65" t="s">
        <x:v>914</x:v>
      </x:c>
      <x:c r="P160" s="65" t="s">
        <x:v>916</x:v>
      </x:c>
      <x:c r="Q160" s="85" t="s">
        <x:v>916</x:v>
      </x:c>
      <x:c r="R160" s="85" t="s">
        <x:v>916</x:v>
      </x:c>
      <x:c r="S160" s="85" t="s">
        <x:v>916</x:v>
      </x:c>
      <x:c r="T160" s="85" t="s">
        <x:v>916</x:v>
      </x:c>
      <x:c r="U160" s="85" t="s">
        <x:v>916</x:v>
      </x:c>
      <x:c r="V160" s="85" t="s">
        <x:v>916</x:v>
      </x:c>
      <x:c r="W160" s="66"/>
      <x:c r="X160" s="83" t="str">
        <x:f t="shared" si="22"/>
        <x:v>Belum Dinilai</x:v>
      </x:c>
      <x:c r="Y160" s="83" t="str">
        <x:f t="shared" si="23"/>
        <x:v>Belum Dinilai</x:v>
      </x:c>
      <x:c r="Z160" s="84" t="str">
        <x:f t="shared" si="24"/>
      </x:c>
      <x:c r="AA160" s="84" t="str">
        <x:f t="shared" si="25"/>
      </x:c>
      <x:c r="AB160" s="84" t="str">
        <x:f t="shared" si="26"/>
      </x:c>
      <x:c r="AC160" s="67" t="s">
        <x:v>916</x:v>
      </x:c>
      <x:c r="AD160" s="67" t="s">
        <x:v>916</x:v>
      </x:c>
      <x:c r="AE160" s="67" t="s">
        <x:v>916</x:v>
      </x:c>
      <x:c r="AF160" s="67" t="s">
        <x:v>916</x:v>
      </x:c>
      <x:c r="AG160" s="67" t="s">
        <x:v>916</x:v>
      </x:c>
      <x:c r="AH160" s="67" t="s">
        <x:v>916</x:v>
      </x:c>
      <x:c r="AI160" s="67" t="s">
        <x:v>916</x:v>
      </x:c>
      <x:c r="AJ160" s="67" t="s">
        <x:v>916</x:v>
      </x:c>
      <x:c r="AK160" s="67" t="s">
        <x:v>916</x:v>
      </x:c>
      <x:c r="AL160" s="67"/>
      <x:c r="AM160" s="67" t="s">
        <x:v>916</x:v>
      </x:c>
      <x:c r="AN160" s="83" t="str">
        <x:f t="shared" si="27"/>
        <x:v>Belum Dinilai</x:v>
      </x:c>
      <x:c r="AO160" s="83" t="str">
        <x:f t="shared" si="28"/>
        <x:v>Belum Dinilai</x:v>
      </x:c>
      <x:c r="AP160" s="67"/>
      <x:c r="AQ160" s="70" t="str">
        <x:f t="shared" si="29"/>
      </x:c>
      <x:c r="AR160" s="70" t="str">
        <x:f t="shared" si="30"/>
      </x:c>
      <x:c r="AS160" s="70" t="str">
        <x:f t="shared" si="31"/>
      </x:c>
      <x:c r="AT160" s="68" t="str">
        <x:f t="shared" si="32"/>
        <x:v>Belum Dapat Ditentukan</x:v>
      </x:c>
      <x:c r="AU160" s="65" t="s">
        <x:v>887</x:v>
      </x:c>
      <x:c r="AV160" s="65" t="s">
        <x:v>904</x:v>
      </x:c>
      <x:c r="AW160" s="65" t="s">
        <x:v>1001</x:v>
      </x:c>
      <x:c r="AX160" s="65" t="s">
        <x:v>906</x:v>
      </x:c>
      <x:c r="AY160" s="65">
        <x:v>2022</x:v>
      </x:c>
      <x:c r="AZ160" s="65" t="s">
        <x:v>888</x:v>
      </x:c>
      <x:c r="BA160" s="65"/>
      <x:c r="BB160" s="177"/>
      <x:c r="BC160" s="71">
        <x:v>2026</x:v>
      </x:c>
      <x:c r="BD160" s="65"/>
      <x:c r="BE160" s="177"/>
      <x:c r="BF160" s="65" t="str">
        <x:v>Dinas Perkim Kota Pangkal Pinang</x:v>
      </x:c>
    </x:row>
    <x:row r="161" ht="28">
      <x:c r="A161" s="65" t="s">
        <x:v>1592</x:v>
      </x:c>
      <x:c r="B161" s="65" t="s">
        <x:v>1593</x:v>
      </x:c>
      <x:c r="C161" s="65"/>
      <x:c r="D161" s="65"/>
      <x:c r="E161" s="65" t="s">
        <x:v>1594</x:v>
      </x:c>
      <x:c r="F161" s="65" t="s">
        <x:v>1159</x:v>
      </x:c>
      <x:c r="G161" s="65" t="s">
        <x:v>1012</x:v>
      </x:c>
      <x:c r="H161" s="65" t="s">
        <x:v>894</x:v>
      </x:c>
      <x:c r="I161" s="65" t="s">
        <x:v>1591</x:v>
      </x:c>
      <x:c r="J161" s="65" t="s">
        <x:v>895</x:v>
      </x:c>
      <x:c r="K161" s="65" t="s">
        <x:v>896</x:v>
      </x:c>
      <x:c r="L161" s="65" t="s">
        <x:v>916</x:v>
      </x:c>
      <x:c r="M161" s="65" t="s">
        <x:v>979</x:v>
      </x:c>
      <x:c r="N161" s="65" t="s">
        <x:v>916</x:v>
      </x:c>
      <x:c r="O161" s="65" t="s">
        <x:v>914</x:v>
      </x:c>
      <x:c r="P161" s="65" t="s">
        <x:v>916</x:v>
      </x:c>
      <x:c r="Q161" s="85" t="s">
        <x:v>916</x:v>
      </x:c>
      <x:c r="R161" s="85" t="s">
        <x:v>916</x:v>
      </x:c>
      <x:c r="S161" s="85" t="s">
        <x:v>916</x:v>
      </x:c>
      <x:c r="T161" s="85" t="s">
        <x:v>916</x:v>
      </x:c>
      <x:c r="U161" s="85" t="s">
        <x:v>916</x:v>
      </x:c>
      <x:c r="V161" s="85" t="s">
        <x:v>916</x:v>
      </x:c>
      <x:c r="W161" s="66"/>
      <x:c r="X161" s="83" t="str">
        <x:f t="shared" si="22"/>
        <x:v>Belum Dinilai</x:v>
      </x:c>
      <x:c r="Y161" s="83" t="str">
        <x:f t="shared" si="23"/>
        <x:v>Belum Dinilai</x:v>
      </x:c>
      <x:c r="Z161" s="84" t="str">
        <x:f t="shared" si="24"/>
      </x:c>
      <x:c r="AA161" s="84" t="str">
        <x:f t="shared" si="25"/>
      </x:c>
      <x:c r="AB161" s="84" t="str">
        <x:f t="shared" si="26"/>
      </x:c>
      <x:c r="AC161" s="67" t="s">
        <x:v>916</x:v>
      </x:c>
      <x:c r="AD161" s="67" t="s">
        <x:v>916</x:v>
      </x:c>
      <x:c r="AE161" s="67" t="s">
        <x:v>916</x:v>
      </x:c>
      <x:c r="AF161" s="67" t="s">
        <x:v>916</x:v>
      </x:c>
      <x:c r="AG161" s="67" t="s">
        <x:v>916</x:v>
      </x:c>
      <x:c r="AH161" s="67" t="s">
        <x:v>916</x:v>
      </x:c>
      <x:c r="AI161" s="67" t="s">
        <x:v>916</x:v>
      </x:c>
      <x:c r="AJ161" s="67" t="s">
        <x:v>916</x:v>
      </x:c>
      <x:c r="AK161" s="67" t="s">
        <x:v>916</x:v>
      </x:c>
      <x:c r="AL161" s="67"/>
      <x:c r="AM161" s="67" t="s">
        <x:v>916</x:v>
      </x:c>
      <x:c r="AN161" s="83" t="str">
        <x:f t="shared" si="27"/>
        <x:v>Belum Dinilai</x:v>
      </x:c>
      <x:c r="AO161" s="83" t="str">
        <x:f t="shared" si="28"/>
        <x:v>Belum Dinilai</x:v>
      </x:c>
      <x:c r="AP161" s="67"/>
      <x:c r="AQ161" s="70" t="str">
        <x:f t="shared" si="29"/>
      </x:c>
      <x:c r="AR161" s="70" t="str">
        <x:f t="shared" si="30"/>
      </x:c>
      <x:c r="AS161" s="70" t="str">
        <x:f t="shared" si="31"/>
      </x:c>
      <x:c r="AT161" s="68" t="str">
        <x:f t="shared" si="32"/>
        <x:v>Belum Dapat Ditentukan</x:v>
      </x:c>
      <x:c r="AU161" s="65" t="s">
        <x:v>887</x:v>
      </x:c>
      <x:c r="AV161" s="65" t="s">
        <x:v>904</x:v>
      </x:c>
      <x:c r="AW161" s="65" t="s">
        <x:v>1001</x:v>
      </x:c>
      <x:c r="AX161" s="65" t="s">
        <x:v>906</x:v>
      </x:c>
      <x:c r="AY161" s="65">
        <x:v>2022</x:v>
      </x:c>
      <x:c r="AZ161" s="65" t="s">
        <x:v>888</x:v>
      </x:c>
      <x:c r="BA161" s="65"/>
      <x:c r="BB161" s="177"/>
      <x:c r="BC161" s="71">
        <x:v>2026</x:v>
      </x:c>
      <x:c r="BD161" s="65"/>
      <x:c r="BE161" s="177"/>
      <x:c r="BF161" s="65" t="str">
        <x:v>Dinas Perkim Kota Pangkal Pinang</x:v>
      </x:c>
    </x:row>
    <x:row r="162" ht="42">
      <x:c r="A162" s="65" t="s">
        <x:v>1595</x:v>
      </x:c>
      <x:c r="B162" s="65" t="s">
        <x:v>1596</x:v>
      </x:c>
      <x:c r="C162" s="65"/>
      <x:c r="D162" s="65"/>
      <x:c r="E162" s="65" t="s">
        <x:v>1597</x:v>
      </x:c>
      <x:c r="F162" s="65" t="s">
        <x:v>1159</x:v>
      </x:c>
      <x:c r="G162" s="65" t="s">
        <x:v>1012</x:v>
      </x:c>
      <x:c r="H162" s="65" t="s">
        <x:v>963</x:v>
      </x:c>
      <x:c r="I162" s="65" t="s">
        <x:v>1598</x:v>
      </x:c>
      <x:c r="J162" s="65" t="s">
        <x:v>910</x:v>
      </x:c>
      <x:c r="K162" s="65" t="s">
        <x:v>896</x:v>
      </x:c>
      <x:c r="L162" s="65" t="s">
        <x:v>916</x:v>
      </x:c>
      <x:c r="M162" s="65" t="s">
        <x:v>968</x:v>
      </x:c>
      <x:c r="N162" s="65" t="s">
        <x:v>916</x:v>
      </x:c>
      <x:c r="O162" s="65" t="s">
        <x:v>914</x:v>
      </x:c>
      <x:c r="P162" s="65" t="s">
        <x:v>916</x:v>
      </x:c>
      <x:c r="Q162" s="85" t="s">
        <x:v>916</x:v>
      </x:c>
      <x:c r="R162" s="85" t="s">
        <x:v>916</x:v>
      </x:c>
      <x:c r="S162" s="85" t="s">
        <x:v>916</x:v>
      </x:c>
      <x:c r="T162" s="85" t="s">
        <x:v>916</x:v>
      </x:c>
      <x:c r="U162" s="85" t="s">
        <x:v>916</x:v>
      </x:c>
      <x:c r="V162" s="85" t="s">
        <x:v>916</x:v>
      </x:c>
      <x:c r="W162" s="66"/>
      <x:c r="X162" s="83" t="str">
        <x:f t="shared" si="22"/>
        <x:v>Belum Dinilai</x:v>
      </x:c>
      <x:c r="Y162" s="83" t="str">
        <x:f t="shared" si="23"/>
        <x:v>Belum Dinilai</x:v>
      </x:c>
      <x:c r="Z162" s="84" t="str">
        <x:f t="shared" si="24"/>
      </x:c>
      <x:c r="AA162" s="84" t="str">
        <x:f t="shared" si="25"/>
      </x:c>
      <x:c r="AB162" s="84" t="str">
        <x:f t="shared" si="26"/>
      </x:c>
      <x:c r="AC162" s="67" t="s">
        <x:v>916</x:v>
      </x:c>
      <x:c r="AD162" s="67" t="s">
        <x:v>916</x:v>
      </x:c>
      <x:c r="AE162" s="67" t="s">
        <x:v>916</x:v>
      </x:c>
      <x:c r="AF162" s="67" t="s">
        <x:v>916</x:v>
      </x:c>
      <x:c r="AG162" s="67" t="s">
        <x:v>916</x:v>
      </x:c>
      <x:c r="AH162" s="67" t="s">
        <x:v>916</x:v>
      </x:c>
      <x:c r="AI162" s="67" t="s">
        <x:v>916</x:v>
      </x:c>
      <x:c r="AJ162" s="67" t="s">
        <x:v>916</x:v>
      </x:c>
      <x:c r="AK162" s="67" t="s">
        <x:v>916</x:v>
      </x:c>
      <x:c r="AL162" s="67"/>
      <x:c r="AM162" s="67" t="s">
        <x:v>916</x:v>
      </x:c>
      <x:c r="AN162" s="83" t="str">
        <x:f t="shared" si="27"/>
        <x:v>Belum Dinilai</x:v>
      </x:c>
      <x:c r="AO162" s="83" t="str">
        <x:f t="shared" si="28"/>
        <x:v>Belum Dinilai</x:v>
      </x:c>
      <x:c r="AP162" s="67"/>
      <x:c r="AQ162" s="70" t="str">
        <x:f t="shared" si="29"/>
      </x:c>
      <x:c r="AR162" s="70" t="str">
        <x:f t="shared" si="30"/>
      </x:c>
      <x:c r="AS162" s="70" t="str">
        <x:f t="shared" si="31"/>
      </x:c>
      <x:c r="AT162" s="68" t="str">
        <x:f t="shared" si="32"/>
        <x:v>Belum Dapat Ditentukan</x:v>
      </x:c>
      <x:c r="AU162" s="65" t="s">
        <x:v>887</x:v>
      </x:c>
      <x:c r="AV162" s="65" t="s">
        <x:v>904</x:v>
      </x:c>
      <x:c r="AW162" s="65" t="s">
        <x:v>889</x:v>
      </x:c>
      <x:c r="AX162" s="65" t="s">
        <x:v>890</x:v>
      </x:c>
      <x:c r="AY162" s="65"/>
      <x:c r="AZ162" s="65" t="s">
        <x:v>888</x:v>
      </x:c>
      <x:c r="BA162" s="65"/>
      <x:c r="BB162" s="177"/>
      <x:c r="BC162" s="71">
        <x:v>2026</x:v>
      </x:c>
      <x:c r="BD162" s="65"/>
      <x:c r="BE162" s="177"/>
      <x:c r="BF162" s="65" t="str">
        <x:v>Dinas Perkim Kota Pangkal Pinang</x:v>
      </x:c>
    </x:row>
    <x:row r="163" ht="28">
      <x:c r="A163" s="65" t="s">
        <x:v>1599</x:v>
      </x:c>
      <x:c r="B163" s="65" t="s">
        <x:v>1600</x:v>
      </x:c>
      <x:c r="C163" s="65"/>
      <x:c r="D163" s="65"/>
      <x:c r="E163" s="65" t="s">
        <x:v>1601</x:v>
      </x:c>
      <x:c r="F163" s="65" t="s">
        <x:v>1159</x:v>
      </x:c>
      <x:c r="G163" s="65" t="s">
        <x:v>1012</x:v>
      </x:c>
      <x:c r="H163" s="65" t="s">
        <x:v>878</x:v>
      </x:c>
      <x:c r="I163" s="65" t="s">
        <x:v>1602</x:v>
      </x:c>
      <x:c r="J163" s="65" t="s">
        <x:v>910</x:v>
      </x:c>
      <x:c r="K163" s="65" t="s">
        <x:v>896</x:v>
      </x:c>
      <x:c r="L163" s="65" t="s">
        <x:v>916</x:v>
      </x:c>
      <x:c r="M163" s="65" t="s">
        <x:v>968</x:v>
      </x:c>
      <x:c r="N163" s="65" t="s">
        <x:v>916</x:v>
      </x:c>
      <x:c r="O163" s="65" t="s">
        <x:v>914</x:v>
      </x:c>
      <x:c r="P163" s="65" t="s">
        <x:v>916</x:v>
      </x:c>
      <x:c r="Q163" s="85" t="s">
        <x:v>916</x:v>
      </x:c>
      <x:c r="R163" s="85" t="s">
        <x:v>916</x:v>
      </x:c>
      <x:c r="S163" s="85" t="s">
        <x:v>916</x:v>
      </x:c>
      <x:c r="T163" s="85" t="s">
        <x:v>916</x:v>
      </x:c>
      <x:c r="U163" s="85" t="s">
        <x:v>916</x:v>
      </x:c>
      <x:c r="V163" s="85" t="s">
        <x:v>916</x:v>
      </x:c>
      <x:c r="W163" s="66"/>
      <x:c r="X163" s="83" t="str">
        <x:f t="shared" si="22"/>
        <x:v>Belum Dinilai</x:v>
      </x:c>
      <x:c r="Y163" s="83" t="str">
        <x:f t="shared" si="23"/>
        <x:v>Belum Dinilai</x:v>
      </x:c>
      <x:c r="Z163" s="84" t="str">
        <x:f t="shared" si="24"/>
      </x:c>
      <x:c r="AA163" s="84" t="str">
        <x:f t="shared" si="25"/>
      </x:c>
      <x:c r="AB163" s="84" t="str">
        <x:f t="shared" si="26"/>
      </x:c>
      <x:c r="AC163" s="67" t="s">
        <x:v>916</x:v>
      </x:c>
      <x:c r="AD163" s="67" t="s">
        <x:v>916</x:v>
      </x:c>
      <x:c r="AE163" s="67" t="s">
        <x:v>916</x:v>
      </x:c>
      <x:c r="AF163" s="67" t="s">
        <x:v>916</x:v>
      </x:c>
      <x:c r="AG163" s="67" t="s">
        <x:v>916</x:v>
      </x:c>
      <x:c r="AH163" s="67" t="s">
        <x:v>916</x:v>
      </x:c>
      <x:c r="AI163" s="67" t="s">
        <x:v>916</x:v>
      </x:c>
      <x:c r="AJ163" s="67" t="s">
        <x:v>916</x:v>
      </x:c>
      <x:c r="AK163" s="67" t="s">
        <x:v>916</x:v>
      </x:c>
      <x:c r="AL163" s="67"/>
      <x:c r="AM163" s="67" t="s">
        <x:v>916</x:v>
      </x:c>
      <x:c r="AN163" s="83" t="str">
        <x:f t="shared" si="27"/>
        <x:v>Belum Dinilai</x:v>
      </x:c>
      <x:c r="AO163" s="83" t="str">
        <x:f t="shared" si="28"/>
        <x:v>Belum Dinilai</x:v>
      </x:c>
      <x:c r="AP163" s="67"/>
      <x:c r="AQ163" s="70" t="str">
        <x:f t="shared" si="29"/>
      </x:c>
      <x:c r="AR163" s="70" t="str">
        <x:f t="shared" si="30"/>
      </x:c>
      <x:c r="AS163" s="70" t="str">
        <x:f t="shared" si="31"/>
      </x:c>
      <x:c r="AT163" s="68" t="str">
        <x:f t="shared" si="32"/>
        <x:v>Belum Dapat Ditentukan</x:v>
      </x:c>
      <x:c r="AU163" s="65" t="s">
        <x:v>887</x:v>
      </x:c>
      <x:c r="AV163" s="65" t="s">
        <x:v>904</x:v>
      </x:c>
      <x:c r="AW163" s="65" t="s">
        <x:v>889</x:v>
      </x:c>
      <x:c r="AX163" s="65" t="s">
        <x:v>890</x:v>
      </x:c>
      <x:c r="AY163" s="65"/>
      <x:c r="AZ163" s="65" t="s">
        <x:v>907</x:v>
      </x:c>
      <x:c r="BA163" s="65"/>
      <x:c r="BB163" s="177"/>
      <x:c r="BC163" s="71">
        <x:v>2026</x:v>
      </x:c>
      <x:c r="BD163" s="65"/>
      <x:c r="BE163" s="177"/>
      <x:c r="BF163" s="65" t="str">
        <x:v>Dinas Perkim Kota Pangkal Pinang</x:v>
      </x:c>
    </x:row>
    <x:row r="164" ht="42">
      <x:c r="A164" s="65" t="s">
        <x:v>1603</x:v>
      </x:c>
      <x:c r="B164" s="65" t="s">
        <x:v>1604</x:v>
      </x:c>
      <x:c r="C164" s="65"/>
      <x:c r="D164" s="65"/>
      <x:c r="E164" s="65" t="s">
        <x:v>1605</x:v>
      </x:c>
      <x:c r="F164" s="65" t="s">
        <x:v>976</x:v>
      </x:c>
      <x:c r="G164" s="65" t="s">
        <x:v>977</x:v>
      </x:c>
      <x:c r="H164" s="65" t="s">
        <x:v>878</x:v>
      </x:c>
      <x:c r="I164" s="65" t="s">
        <x:v>1606</x:v>
      </x:c>
      <x:c r="J164" s="65" t="s">
        <x:v>895</x:v>
      </x:c>
      <x:c r="K164" s="65" t="s">
        <x:v>1000</x:v>
      </x:c>
      <x:c r="L164" s="65" t="s">
        <x:v>916</x:v>
      </x:c>
      <x:c r="M164" s="65" t="s">
        <x:v>968</x:v>
      </x:c>
      <x:c r="N164" s="65" t="s">
        <x:v>916</x:v>
      </x:c>
      <x:c r="O164" s="65" t="s">
        <x:v>1000</x:v>
      </x:c>
      <x:c r="P164" s="65" t="s">
        <x:v>916</x:v>
      </x:c>
      <x:c r="Q164" s="85" t="s">
        <x:v>916</x:v>
      </x:c>
      <x:c r="R164" s="85" t="s">
        <x:v>916</x:v>
      </x:c>
      <x:c r="S164" s="85" t="s">
        <x:v>916</x:v>
      </x:c>
      <x:c r="T164" s="85" t="s">
        <x:v>916</x:v>
      </x:c>
      <x:c r="U164" s="85" t="s">
        <x:v>916</x:v>
      </x:c>
      <x:c r="V164" s="85" t="s">
        <x:v>916</x:v>
      </x:c>
      <x:c r="W164" s="66"/>
      <x:c r="X164" s="83" t="str">
        <x:f t="shared" si="22"/>
        <x:v>Belum Dinilai</x:v>
      </x:c>
      <x:c r="Y164" s="83" t="str">
        <x:f t="shared" si="23"/>
        <x:v>Belum Dinilai</x:v>
      </x:c>
      <x:c r="Z164" s="84" t="str">
        <x:f t="shared" si="24"/>
      </x:c>
      <x:c r="AA164" s="84" t="str">
        <x:f t="shared" si="25"/>
      </x:c>
      <x:c r="AB164" s="84" t="str">
        <x:f t="shared" si="26"/>
      </x:c>
      <x:c r="AC164" s="67" t="s">
        <x:v>916</x:v>
      </x:c>
      <x:c r="AD164" s="67" t="s">
        <x:v>916</x:v>
      </x:c>
      <x:c r="AE164" s="67" t="s">
        <x:v>916</x:v>
      </x:c>
      <x:c r="AF164" s="67" t="s">
        <x:v>916</x:v>
      </x:c>
      <x:c r="AG164" s="67" t="s">
        <x:v>916</x:v>
      </x:c>
      <x:c r="AH164" s="67" t="s">
        <x:v>916</x:v>
      </x:c>
      <x:c r="AI164" s="67" t="s">
        <x:v>916</x:v>
      </x:c>
      <x:c r="AJ164" s="67" t="s">
        <x:v>916</x:v>
      </x:c>
      <x:c r="AK164" s="67" t="s">
        <x:v>916</x:v>
      </x:c>
      <x:c r="AL164" s="67"/>
      <x:c r="AM164" s="67" t="s">
        <x:v>916</x:v>
      </x:c>
      <x:c r="AN164" s="83" t="str">
        <x:f t="shared" si="27"/>
        <x:v>Belum Dinilai</x:v>
      </x:c>
      <x:c r="AO164" s="83" t="str">
        <x:f t="shared" si="28"/>
        <x:v>Belum Dinilai</x:v>
      </x:c>
      <x:c r="AP164" s="67"/>
      <x:c r="AQ164" s="70" t="str">
        <x:f t="shared" si="29"/>
      </x:c>
      <x:c r="AR164" s="70" t="str">
        <x:f t="shared" si="30"/>
      </x:c>
      <x:c r="AS164" s="70" t="str">
        <x:f t="shared" si="31"/>
      </x:c>
      <x:c r="AT164" s="68" t="str">
        <x:f t="shared" si="32"/>
        <x:v>Belum Dapat Ditentukan</x:v>
      </x:c>
      <x:c r="AU164" s="65" t="s">
        <x:v>887</x:v>
      </x:c>
      <x:c r="AV164" s="65" t="s">
        <x:v>904</x:v>
      </x:c>
      <x:c r="AW164" s="65" t="s">
        <x:v>889</x:v>
      </x:c>
      <x:c r="AX164" s="65" t="s">
        <x:v>890</x:v>
      </x:c>
      <x:c r="AY164" s="65"/>
      <x:c r="AZ164" s="65" t="s">
        <x:v>907</x:v>
      </x:c>
      <x:c r="BA164" s="65"/>
      <x:c r="BB164" s="177"/>
      <x:c r="BC164" s="71">
        <x:v>2026</x:v>
      </x:c>
      <x:c r="BD164" s="65"/>
      <x:c r="BE164" s="177"/>
      <x:c r="BF164" s="65" t="str">
        <x:v>Dinas Perkim Kota Pangkal Pinang</x:v>
      </x:c>
    </x:row>
    <x:row r="165" ht="42">
      <x:c r="A165" s="65" t="s">
        <x:v>1607</x:v>
      </x:c>
      <x:c r="B165" s="65" t="s">
        <x:v>1608</x:v>
      </x:c>
      <x:c r="C165" s="82" t="s">
        <x:v>1609</x:v>
      </x:c>
      <x:c r="D165" s="82" t="s">
        <x:v>1610</x:v>
      </x:c>
      <x:c r="E165" s="65" t="s">
        <x:v>1611</x:v>
      </x:c>
      <x:c r="F165" s="65" t="s">
        <x:v>1233</x:v>
      </x:c>
      <x:c r="G165" s="65" t="s">
        <x:v>1053</x:v>
      </x:c>
      <x:c r="H165" s="65" t="s">
        <x:v>878</x:v>
      </x:c>
      <x:c r="I165" s="65"/>
      <x:c r="J165" s="65" t="s">
        <x:v>910</x:v>
      </x:c>
      <x:c r="K165" s="65" t="s">
        <x:v>896</x:v>
      </x:c>
      <x:c r="L165" s="65" t="s">
        <x:v>966</x:v>
      </x:c>
      <x:c r="M165" s="65" t="s">
        <x:v>968</x:v>
      </x:c>
      <x:c r="N165" s="65" t="s">
        <x:v>966</x:v>
      </x:c>
      <x:c r="O165" s="65" t="s">
        <x:v>914</x:v>
      </x:c>
      <x:c r="P165" s="65" t="s">
        <x:v>966</x:v>
      </x:c>
      <x:c r="Q165" s="85" t="s">
        <x:v>884</x:v>
      </x:c>
      <x:c r="R165" s="85" t="s">
        <x:v>885</x:v>
      </x:c>
      <x:c r="S165" s="85" t="s">
        <x:v>901</x:v>
      </x:c>
      <x:c r="T165" s="85" t="s">
        <x:v>901</x:v>
      </x:c>
      <x:c r="U165" s="85" t="s">
        <x:v>901</x:v>
      </x:c>
      <x:c r="V165" s="85" t="s">
        <x:v>901</x:v>
      </x:c>
      <x:c r="W165" s="66"/>
      <x:c r="X165" s="83" t="str">
        <x:f t="shared" si="22"/>
        <x:v>Lansia; </x:v>
      </x:c>
      <x:c r="Y165" s="83" t="str">
        <x:f t="shared" si="23"/>
        <x:v>1 Faktor Rentan</x:v>
      </x:c>
      <x:c r="Z165" s="84">
        <x:f t="shared" si="24"/>
        <x:v>10</x:v>
      </x:c>
      <x:c r="AA165" s="84">
        <x:f t="shared" si="25"/>
        <x:v>5</x:v>
      </x:c>
      <x:c r="AB165" s="84">
        <x:f t="shared" si="26"/>
        <x:v>15</x:v>
      </x:c>
      <x:c r="AC165" s="67" t="s">
        <x:v>885</x:v>
      </x:c>
      <x:c r="AD165" s="67" t="s">
        <x:v>901</x:v>
      </x:c>
      <x:c r="AE165" s="67" t="s">
        <x:v>885</x:v>
      </x:c>
      <x:c r="AF165" s="67" t="s">
        <x:v>901</x:v>
      </x:c>
      <x:c r="AG165" s="67" t="s">
        <x:v>885</x:v>
      </x:c>
      <x:c r="AH165" s="67" t="s">
        <x:v>885</x:v>
      </x:c>
      <x:c r="AI165" s="67" t="s">
        <x:v>885</x:v>
      </x:c>
      <x:c r="AJ165" s="67" t="s">
        <x:v>916</x:v>
      </x:c>
      <x:c r="AK165" s="67" t="s">
        <x:v>916</x:v>
      </x:c>
      <x:c r="AL165" s="67"/>
      <x:c r="AM165" s="67" t="s">
        <x:v>916</x:v>
      </x:c>
      <x:c r="AN165" s="83" t="str">
        <x:f t="shared" si="27"/>
        <x:v>Bangunan berpotensi roboh; Atap atau dinding utama hampir runtuh; Struktur rumah tidak stabil; Instalasi listrik berbahaya; Komponen bangunan lepas atau lapuk; </x:v>
      </x:c>
      <x:c r="AO165" s="83" t="str">
        <x:f t="shared" si="28"/>
        <x:v>Risiko Tinggi/Darurat</x:v>
      </x:c>
      <x:c r="AP165" s="67"/>
      <x:c r="AQ165" s="70">
        <x:f t="shared" si="29"/>
        <x:v>57</x:v>
      </x:c>
      <x:c r="AR165" s="70">
        <x:f t="shared" si="30"/>
        <x:v>10</x:v>
      </x:c>
      <x:c r="AS165" s="70">
        <x:f t="shared" si="31"/>
        <x:v>82</x:v>
      </x:c>
      <x:c r="AT165" s="68" t="str">
        <x:f t="shared" si="32"/>
        <x:v>Sangat Tinggi</x:v>
      </x:c>
      <x:c r="AU165" s="65" t="s">
        <x:v>887</x:v>
      </x:c>
      <x:c r="AV165" s="65" t="s">
        <x:v>904</x:v>
      </x:c>
      <x:c r="AW165" s="65" t="s">
        <x:v>905</x:v>
      </x:c>
      <x:c r="AX165" s="65" t="s">
        <x:v>984</x:v>
      </x:c>
      <x:c r="AY165" s="65">
        <x:v>2026</x:v>
      </x:c>
      <x:c r="AZ165" s="65" t="s">
        <x:v>907</x:v>
      </x:c>
      <x:c r="BA165" s="65"/>
      <x:c r="BB165" s="177"/>
      <x:c r="BC165" s="71">
        <x:v>2026</x:v>
      </x:c>
      <x:c r="BD165" s="65"/>
      <x:c r="BE165" s="177"/>
      <x:c r="BF165" s="65" t="str">
        <x:v>Dinas Perkim Kota Pangkal Pinang</x:v>
      </x:c>
    </x:row>
    <x:row r="166" ht="28">
      <x:c r="A166" s="65" t="s">
        <x:v>1612</x:v>
      </x:c>
      <x:c r="B166" s="65" t="s">
        <x:v>1613</x:v>
      </x:c>
      <x:c r="C166" s="82" t="s">
        <x:v>1614</x:v>
      </x:c>
      <x:c r="D166" s="82" t="s">
        <x:v>1615</x:v>
      </x:c>
      <x:c r="E166" s="65" t="s">
        <x:v>1616</x:v>
      </x:c>
      <x:c r="F166" s="65" t="s">
        <x:v>1233</x:v>
      </x:c>
      <x:c r="G166" s="65" t="s">
        <x:v>1053</x:v>
      </x:c>
      <x:c r="H166" s="65" t="s">
        <x:v>963</x:v>
      </x:c>
      <x:c r="I166" s="65"/>
      <x:c r="J166" s="65" t="s">
        <x:v>879</x:v>
      </x:c>
      <x:c r="K166" s="65" t="s">
        <x:v>911</x:v>
      </x:c>
      <x:c r="L166" s="65" t="s">
        <x:v>916</x:v>
      </x:c>
      <x:c r="M166" s="65" t="s">
        <x:v>898</x:v>
      </x:c>
      <x:c r="N166" s="65" t="s">
        <x:v>916</x:v>
      </x:c>
      <x:c r="O166" s="65" t="s">
        <x:v>1000</x:v>
      </x:c>
      <x:c r="P166" s="65" t="s">
        <x:v>916</x:v>
      </x:c>
      <x:c r="Q166" s="85" t="s">
        <x:v>884</x:v>
      </x:c>
      <x:c r="R166" s="85" t="s">
        <x:v>916</x:v>
      </x:c>
      <x:c r="S166" s="85" t="s">
        <x:v>916</x:v>
      </x:c>
      <x:c r="T166" s="85" t="s">
        <x:v>916</x:v>
      </x:c>
      <x:c r="U166" s="85" t="s">
        <x:v>916</x:v>
      </x:c>
      <x:c r="V166" s="85" t="s">
        <x:v>916</x:v>
      </x:c>
      <x:c r="W166" s="66"/>
      <x:c r="X166" s="83" t="str">
        <x:f t="shared" si="22"/>
        <x:v>Belum Dinilai</x:v>
      </x:c>
      <x:c r="Y166" s="83" t="str">
        <x:f t="shared" si="23"/>
        <x:v>Belum Dinilai</x:v>
      </x:c>
      <x:c r="Z166" s="84">
        <x:f t="shared" si="24"/>
        <x:v>10</x:v>
      </x:c>
      <x:c r="AA166" s="84" t="str">
        <x:f t="shared" si="25"/>
      </x:c>
      <x:c r="AB166" s="84" t="str">
        <x:f t="shared" si="26"/>
      </x:c>
      <x:c r="AC166" s="67" t="s">
        <x:v>916</x:v>
      </x:c>
      <x:c r="AD166" s="67" t="s">
        <x:v>916</x:v>
      </x:c>
      <x:c r="AE166" s="67" t="s">
        <x:v>916</x:v>
      </x:c>
      <x:c r="AF166" s="67" t="s">
        <x:v>916</x:v>
      </x:c>
      <x:c r="AG166" s="67" t="s">
        <x:v>916</x:v>
      </x:c>
      <x:c r="AH166" s="67" t="s">
        <x:v>916</x:v>
      </x:c>
      <x:c r="AI166" s="67" t="s">
        <x:v>916</x:v>
      </x:c>
      <x:c r="AJ166" s="67" t="s">
        <x:v>916</x:v>
      </x:c>
      <x:c r="AK166" s="67" t="s">
        <x:v>916</x:v>
      </x:c>
      <x:c r="AL166" s="67"/>
      <x:c r="AM166" s="67" t="s">
        <x:v>916</x:v>
      </x:c>
      <x:c r="AN166" s="83" t="str">
        <x:f t="shared" si="27"/>
        <x:v>Belum Dinilai</x:v>
      </x:c>
      <x:c r="AO166" s="83" t="str">
        <x:f t="shared" si="28"/>
        <x:v>Belum Dinilai</x:v>
      </x:c>
      <x:c r="AP166" s="67"/>
      <x:c r="AQ166" s="70" t="str">
        <x:f t="shared" si="29"/>
      </x:c>
      <x:c r="AR166" s="70" t="str">
        <x:f t="shared" si="30"/>
      </x:c>
      <x:c r="AS166" s="70" t="str">
        <x:f t="shared" si="31"/>
      </x:c>
      <x:c r="AT166" s="68" t="str">
        <x:f t="shared" si="32"/>
        <x:v>Belum Dapat Ditentukan</x:v>
      </x:c>
      <x:c r="AU166" s="65" t="s">
        <x:v>903</x:v>
      </x:c>
      <x:c r="AV166" s="65" t="s">
        <x:v>904</x:v>
      </x:c>
      <x:c r="AW166" s="65" t="s">
        <x:v>889</x:v>
      </x:c>
      <x:c r="AX166" s="65" t="s">
        <x:v>890</x:v>
      </x:c>
      <x:c r="AY166" s="65"/>
      <x:c r="AZ166" s="65"/>
      <x:c r="BA166" s="65"/>
      <x:c r="BB166" s="177"/>
      <x:c r="BC166" s="71"/>
      <x:c r="BD166" s="65"/>
      <x:c r="BE166" s="177"/>
      <x:c r="BF166" s="65" t="str">
        <x:v>Dinas Perkim Kota Pangkal Pinang</x:v>
      </x:c>
    </x:row>
    <x:row r="167" ht="28">
      <x:c r="A167" s="65" t="s">
        <x:v>1617</x:v>
      </x:c>
      <x:c r="B167" s="65" t="s">
        <x:v>1618</x:v>
      </x:c>
      <x:c r="C167" s="82" t="s">
        <x:v>1619</x:v>
      </x:c>
      <x:c r="D167" s="82" t="s">
        <x:v>1620</x:v>
      </x:c>
      <x:c r="E167" s="65" t="s">
        <x:v>1621</x:v>
      </x:c>
      <x:c r="F167" s="65" t="s">
        <x:v>1058</x:v>
      </x:c>
      <x:c r="G167" s="65" t="s">
        <x:v>990</x:v>
      </x:c>
      <x:c r="H167" s="65" t="s">
        <x:v>963</x:v>
      </x:c>
      <x:c r="I167" s="65"/>
      <x:c r="J167" s="65" t="s">
        <x:v>964</x:v>
      </x:c>
      <x:c r="K167" s="65"/>
      <x:c r="L167" s="65" t="s">
        <x:v>916</x:v>
      </x:c>
      <x:c r="M167" s="65"/>
      <x:c r="N167" s="65" t="s">
        <x:v>916</x:v>
      </x:c>
      <x:c r="O167" s="65"/>
      <x:c r="P167" s="65" t="s">
        <x:v>916</x:v>
      </x:c>
      <x:c r="Q167" s="85" t="s">
        <x:v>916</x:v>
      </x:c>
      <x:c r="R167" s="85" t="s">
        <x:v>916</x:v>
      </x:c>
      <x:c r="S167" s="85" t="s">
        <x:v>916</x:v>
      </x:c>
      <x:c r="T167" s="85" t="s">
        <x:v>916</x:v>
      </x:c>
      <x:c r="U167" s="85" t="s">
        <x:v>916</x:v>
      </x:c>
      <x:c r="V167" s="85" t="s">
        <x:v>916</x:v>
      </x:c>
      <x:c r="W167" s="66"/>
      <x:c r="X167" s="83" t="str">
        <x:f t="shared" si="22"/>
        <x:v>Belum Dinilai</x:v>
      </x:c>
      <x:c r="Y167" s="83" t="str">
        <x:f t="shared" si="23"/>
        <x:v>Belum Dinilai</x:v>
      </x:c>
      <x:c r="Z167" s="84" t="str">
        <x:f t="shared" si="24"/>
      </x:c>
      <x:c r="AA167" s="84" t="str">
        <x:f t="shared" si="25"/>
      </x:c>
      <x:c r="AB167" s="84" t="str">
        <x:f t="shared" si="26"/>
      </x:c>
      <x:c r="AC167" s="67" t="s">
        <x:v>916</x:v>
      </x:c>
      <x:c r="AD167" s="67" t="s">
        <x:v>916</x:v>
      </x:c>
      <x:c r="AE167" s="67" t="s">
        <x:v>916</x:v>
      </x:c>
      <x:c r="AF167" s="67" t="s">
        <x:v>916</x:v>
      </x:c>
      <x:c r="AG167" s="67" t="s">
        <x:v>916</x:v>
      </x:c>
      <x:c r="AH167" s="67" t="s">
        <x:v>916</x:v>
      </x:c>
      <x:c r="AI167" s="67" t="s">
        <x:v>916</x:v>
      </x:c>
      <x:c r="AJ167" s="67" t="s">
        <x:v>916</x:v>
      </x:c>
      <x:c r="AK167" s="67" t="s">
        <x:v>916</x:v>
      </x:c>
      <x:c r="AL167" s="67"/>
      <x:c r="AM167" s="67" t="s">
        <x:v>916</x:v>
      </x:c>
      <x:c r="AN167" s="83" t="str">
        <x:f t="shared" si="27"/>
        <x:v>Belum Dinilai</x:v>
      </x:c>
      <x:c r="AO167" s="83" t="str">
        <x:f t="shared" si="28"/>
        <x:v>Belum Dinilai</x:v>
      </x:c>
      <x:c r="AP167" s="67"/>
      <x:c r="AQ167" s="70" t="str">
        <x:f t="shared" si="29"/>
      </x:c>
      <x:c r="AR167" s="70" t="str">
        <x:f t="shared" si="30"/>
      </x:c>
      <x:c r="AS167" s="70" t="str">
        <x:f t="shared" si="31"/>
      </x:c>
      <x:c r="AT167" s="68" t="str">
        <x:f t="shared" si="32"/>
        <x:v>Belum Dapat Ditentukan</x:v>
      </x:c>
      <x:c r="AU167" s="65" t="s">
        <x:v>903</x:v>
      </x:c>
      <x:c r="AV167" s="65" t="s">
        <x:v>904</x:v>
      </x:c>
      <x:c r="AW167" s="65" t="s">
        <x:v>889</x:v>
      </x:c>
      <x:c r="AX167" s="65" t="s">
        <x:v>890</x:v>
      </x:c>
      <x:c r="AY167" s="65"/>
      <x:c r="AZ167" s="65"/>
      <x:c r="BA167" s="65"/>
      <x:c r="BB167" s="177"/>
      <x:c r="BC167" s="71"/>
      <x:c r="BD167" s="65"/>
      <x:c r="BE167" s="177"/>
      <x:c r="BF167" s="65" t="str">
        <x:v>Dinas Perkim Kota Pangkal Pinang</x:v>
      </x:c>
    </x:row>
    <x:row r="168" ht="28">
      <x:c r="A168" s="65" t="s">
        <x:v>1622</x:v>
      </x:c>
      <x:c r="B168" s="65" t="s">
        <x:v>1623</x:v>
      </x:c>
      <x:c r="C168" s="82" t="s">
        <x:v>1624</x:v>
      </x:c>
      <x:c r="D168" s="82" t="s">
        <x:v>1625</x:v>
      </x:c>
      <x:c r="E168" s="65" t="s">
        <x:v>1626</x:v>
      </x:c>
      <x:c r="F168" s="65" t="s">
        <x:v>1345</x:v>
      </x:c>
      <x:c r="G168" s="65" t="s">
        <x:v>977</x:v>
      </x:c>
      <x:c r="H168" s="65" t="s">
        <x:v>963</x:v>
      </x:c>
      <x:c r="I168" s="65"/>
      <x:c r="J168" s="65" t="s">
        <x:v>895</x:v>
      </x:c>
      <x:c r="K168" s="65" t="s">
        <x:v>896</x:v>
      </x:c>
      <x:c r="L168" s="65" t="s">
        <x:v>912</x:v>
      </x:c>
      <x:c r="M168" s="65" t="s">
        <x:v>968</x:v>
      </x:c>
      <x:c r="N168" s="65" t="s">
        <x:v>912</x:v>
      </x:c>
      <x:c r="O168" s="65" t="s">
        <x:v>914</x:v>
      </x:c>
      <x:c r="P168" s="65" t="s">
        <x:v>897</x:v>
      </x:c>
      <x:c r="Q168" s="85" t="s">
        <x:v>916</x:v>
      </x:c>
      <x:c r="R168" s="85" t="s">
        <x:v>916</x:v>
      </x:c>
      <x:c r="S168" s="85" t="s">
        <x:v>916</x:v>
      </x:c>
      <x:c r="T168" s="85" t="s">
        <x:v>916</x:v>
      </x:c>
      <x:c r="U168" s="85" t="s">
        <x:v>916</x:v>
      </x:c>
      <x:c r="V168" s="85" t="s">
        <x:v>916</x:v>
      </x:c>
      <x:c r="W168" s="66"/>
      <x:c r="X168" s="83" t="str">
        <x:f t="shared" si="22"/>
        <x:v>Belum Dinilai</x:v>
      </x:c>
      <x:c r="Y168" s="83" t="str">
        <x:f t="shared" si="23"/>
        <x:v>Belum Dinilai</x:v>
      </x:c>
      <x:c r="Z168" s="84" t="str">
        <x:f t="shared" si="24"/>
      </x:c>
      <x:c r="AA168" s="84" t="str">
        <x:f t="shared" si="25"/>
      </x:c>
      <x:c r="AB168" s="84" t="str">
        <x:f t="shared" si="26"/>
      </x:c>
      <x:c r="AC168" s="67"/>
      <x:c r="AD168" s="67"/>
      <x:c r="AE168" s="67"/>
      <x:c r="AF168" s="67"/>
      <x:c r="AG168" s="67"/>
      <x:c r="AH168" s="67"/>
      <x:c r="AI168" s="67"/>
      <x:c r="AJ168" s="67"/>
      <x:c r="AK168" s="67"/>
      <x:c r="AL168" s="67"/>
      <x:c r="AM168" s="67"/>
      <x:c r="AN168" s="83" t="str">
        <x:f t="shared" si="27"/>
        <x:v>Tidak ada risiko khusus</x:v>
      </x:c>
      <x:c r="AO168" s="83" t="str">
        <x:f t="shared" si="28"/>
        <x:v>Tidak Ada Risiko Khusus</x:v>
      </x:c>
      <x:c r="AP168" s="67"/>
      <x:c r="AQ168" s="70">
        <x:f t="shared" si="29"/>
        <x:v>32</x:v>
      </x:c>
      <x:c r="AR168" s="70">
        <x:f t="shared" si="30"/>
        <x:v>0</x:v>
      </x:c>
      <x:c r="AS168" s="70" t="str">
        <x:f t="shared" si="31"/>
      </x:c>
      <x:c r="AT168" s="68" t="str">
        <x:f t="shared" si="32"/>
        <x:v>Belum Dapat Ditentukan</x:v>
      </x:c>
      <x:c r="AU168" s="65"/>
      <x:c r="AV168" s="65" t="s">
        <x:v>904</x:v>
      </x:c>
      <x:c r="AW168" s="65" t="s">
        <x:v>889</x:v>
      </x:c>
      <x:c r="AX168" s="65" t="s">
        <x:v>890</x:v>
      </x:c>
      <x:c r="AY168" s="65"/>
      <x:c r="AZ168" s="65" t="s">
        <x:v>891</x:v>
      </x:c>
      <x:c r="BA168" s="65"/>
      <x:c r="BB168" s="177"/>
      <x:c r="BC168" s="71"/>
      <x:c r="BD168" s="65"/>
      <x:c r="BE168" s="177"/>
      <x:c r="BF168" s="65" t="str">
        <x:v>Dinas Perkim Kota Pangkal Pinang</x:v>
      </x:c>
    </x:row>
    <x:row r="169" ht="28">
      <x:c r="A169" s="65" t="s">
        <x:v>1627</x:v>
      </x:c>
      <x:c r="B169" s="65" t="s">
        <x:v>1628</x:v>
      </x:c>
      <x:c r="C169" s="82" t="s">
        <x:v>1629</x:v>
      </x:c>
      <x:c r="D169" s="82" t="s">
        <x:v>1630</x:v>
      </x:c>
      <x:c r="E169" s="65" t="s">
        <x:v>1631</x:v>
      </x:c>
      <x:c r="F169" s="65" t="s">
        <x:v>1632</x:v>
      </x:c>
      <x:c r="G169" s="65" t="s">
        <x:v>1053</x:v>
      </x:c>
      <x:c r="H169" s="65" t="s">
        <x:v>963</x:v>
      </x:c>
      <x:c r="I169" s="65"/>
      <x:c r="J169" s="65" t="s">
        <x:v>895</x:v>
      </x:c>
      <x:c r="K169" s="65" t="s">
        <x:v>896</x:v>
      </x:c>
      <x:c r="L169" s="65" t="s">
        <x:v>966</x:v>
      </x:c>
      <x:c r="M169" s="65" t="s">
        <x:v>968</x:v>
      </x:c>
      <x:c r="N169" s="65" t="s">
        <x:v>912</x:v>
      </x:c>
      <x:c r="O169" s="65" t="s">
        <x:v>914</x:v>
      </x:c>
      <x:c r="P169" s="65" t="s">
        <x:v>897</x:v>
      </x:c>
      <x:c r="Q169" s="85" t="s">
        <x:v>884</x:v>
      </x:c>
      <x:c r="R169" s="85" t="s">
        <x:v>885</x:v>
      </x:c>
      <x:c r="S169" s="85" t="s">
        <x:v>901</x:v>
      </x:c>
      <x:c r="T169" s="85" t="s">
        <x:v>885</x:v>
      </x:c>
      <x:c r="U169" s="85" t="s">
        <x:v>901</x:v>
      </x:c>
      <x:c r="V169" s="85" t="s">
        <x:v>916</x:v>
      </x:c>
      <x:c r="W169" s="66"/>
      <x:c r="X169" s="83" t="str">
        <x:f t="shared" si="22"/>
        <x:v>Belum Dinilai</x:v>
      </x:c>
      <x:c r="Y169" s="83" t="str">
        <x:f t="shared" si="23"/>
        <x:v>Belum Dinilai</x:v>
      </x:c>
      <x:c r="Z169" s="84">
        <x:f t="shared" si="24"/>
        <x:v>10</x:v>
      </x:c>
      <x:c r="AA169" s="84" t="str">
        <x:f t="shared" si="25"/>
      </x:c>
      <x:c r="AB169" s="84" t="str">
        <x:f t="shared" si="26"/>
      </x:c>
      <x:c r="AC169" s="67" t="s">
        <x:v>901</x:v>
      </x:c>
      <x:c r="AD169" s="67" t="s">
        <x:v>901</x:v>
      </x:c>
      <x:c r="AE169" s="67" t="s">
        <x:v>885</x:v>
      </x:c>
      <x:c r="AF169" s="67" t="s">
        <x:v>901</x:v>
      </x:c>
      <x:c r="AG169" s="67" t="s">
        <x:v>901</x:v>
      </x:c>
      <x:c r="AH169" s="67" t="s">
        <x:v>885</x:v>
      </x:c>
      <x:c r="AI169" s="67" t="s">
        <x:v>885</x:v>
      </x:c>
      <x:c r="AJ169" s="67" t="s">
        <x:v>901</x:v>
      </x:c>
      <x:c r="AK169" s="67" t="s">
        <x:v>901</x:v>
      </x:c>
      <x:c r="AL169" s="67"/>
      <x:c r="AM169" s="67" t="s">
        <x:v>916</x:v>
      </x:c>
      <x:c r="AN169" s="83" t="str">
        <x:f t="shared" si="27"/>
        <x:v>Atap atau dinding utama hampir runtuh; Instalasi listrik berbahaya; Komponen bangunan lepas atau lapuk; </x:v>
      </x:c>
      <x:c r="AO169" s="83" t="str">
        <x:f t="shared" si="28"/>
        <x:v>Risiko Tinggi/Darurat</x:v>
      </x:c>
      <x:c r="AP169" s="67"/>
      <x:c r="AQ169" s="70">
        <x:f t="shared" si="29"/>
        <x:v>37</x:v>
      </x:c>
      <x:c r="AR169" s="70">
        <x:f t="shared" si="30"/>
        <x:v>10</x:v>
      </x:c>
      <x:c r="AS169" s="70" t="str">
        <x:f t="shared" si="31"/>
      </x:c>
      <x:c r="AT169" s="68" t="str">
        <x:f t="shared" si="32"/>
        <x:v>Belum Dapat Ditentukan</x:v>
      </x:c>
      <x:c r="AU169" s="65"/>
      <x:c r="AV169" s="65" t="s">
        <x:v>904</x:v>
      </x:c>
      <x:c r="AW169" s="65" t="s">
        <x:v>889</x:v>
      </x:c>
      <x:c r="AX169" s="65" t="s">
        <x:v>890</x:v>
      </x:c>
      <x:c r="AY169" s="65"/>
      <x:c r="AZ169" s="65"/>
      <x:c r="BA169" s="65"/>
      <x:c r="BB169" s="177"/>
      <x:c r="BC169" s="71"/>
      <x:c r="BD169" s="65"/>
      <x:c r="BE169" s="177"/>
      <x:c r="BF169" s="65" t="str">
        <x:v>Dinas Perkim Kota Pangkal Pinang</x:v>
      </x:c>
    </x:row>
    <x:row r="170" ht="28">
      <x:c r="A170" s="65" t="s">
        <x:v>1633</x:v>
      </x:c>
      <x:c r="B170" s="65" t="s">
        <x:v>1634</x:v>
      </x:c>
      <x:c r="C170" s="82" t="s">
        <x:v>1635</x:v>
      </x:c>
      <x:c r="D170" s="82" t="s">
        <x:v>1636</x:v>
      </x:c>
      <x:c r="E170" s="65" t="s">
        <x:v>1637</x:v>
      </x:c>
      <x:c r="F170" s="65" t="s">
        <x:v>1233</x:v>
      </x:c>
      <x:c r="G170" s="65" t="s">
        <x:v>1053</x:v>
      </x:c>
      <x:c r="H170" s="65" t="s">
        <x:v>963</x:v>
      </x:c>
      <x:c r="I170" s="65"/>
      <x:c r="J170" s="65" t="s">
        <x:v>879</x:v>
      </x:c>
      <x:c r="K170" s="65" t="s">
        <x:v>911</x:v>
      </x:c>
      <x:c r="L170" s="65" t="s">
        <x:v>881</x:v>
      </x:c>
      <x:c r="M170" s="65" t="s">
        <x:v>882</x:v>
      </x:c>
      <x:c r="N170" s="65" t="s">
        <x:v>881</x:v>
      </x:c>
      <x:c r="O170" s="65" t="s">
        <x:v>883</x:v>
      </x:c>
      <x:c r="P170" s="65" t="s">
        <x:v>881</x:v>
      </x:c>
      <x:c r="Q170" s="85" t="s">
        <x:v>884</x:v>
      </x:c>
      <x:c r="R170" s="85" t="s">
        <x:v>885</x:v>
      </x:c>
      <x:c r="S170" s="85" t="s">
        <x:v>901</x:v>
      </x:c>
      <x:c r="T170" s="85" t="s">
        <x:v>901</x:v>
      </x:c>
      <x:c r="U170" s="85" t="s">
        <x:v>901</x:v>
      </x:c>
      <x:c r="V170" s="85" t="s">
        <x:v>916</x:v>
      </x:c>
      <x:c r="W170" s="66"/>
      <x:c r="X170" s="83" t="str">
        <x:f t="shared" si="22"/>
        <x:v>Belum Dinilai</x:v>
      </x:c>
      <x:c r="Y170" s="83" t="str">
        <x:f t="shared" si="23"/>
        <x:v>Belum Dinilai</x:v>
      </x:c>
      <x:c r="Z170" s="84">
        <x:f t="shared" si="24"/>
        <x:v>10</x:v>
      </x:c>
      <x:c r="AA170" s="84" t="str">
        <x:f t="shared" si="25"/>
      </x:c>
      <x:c r="AB170" s="84" t="str">
        <x:f t="shared" si="26"/>
      </x:c>
      <x:c r="AC170" s="67" t="s">
        <x:v>901</x:v>
      </x:c>
      <x:c r="AD170" s="67" t="s">
        <x:v>901</x:v>
      </x:c>
      <x:c r="AE170" s="67" t="s">
        <x:v>901</x:v>
      </x:c>
      <x:c r="AF170" s="67" t="s">
        <x:v>901</x:v>
      </x:c>
      <x:c r="AG170" s="67" t="s">
        <x:v>901</x:v>
      </x:c>
      <x:c r="AH170" s="67" t="s">
        <x:v>901</x:v>
      </x:c>
      <x:c r="AI170" s="67" t="s">
        <x:v>901</x:v>
      </x:c>
      <x:c r="AJ170" s="67" t="s">
        <x:v>901</x:v>
      </x:c>
      <x:c r="AK170" s="67" t="s">
        <x:v>901</x:v>
      </x:c>
      <x:c r="AL170" s="67"/>
      <x:c r="AM170" s="67" t="s">
        <x:v>916</x:v>
      </x:c>
      <x:c r="AN170" s="83" t="str">
        <x:f t="shared" si="27"/>
        <x:v>Tidak ada risiko khusus</x:v>
      </x:c>
      <x:c r="AO170" s="83" t="str">
        <x:f t="shared" si="28"/>
        <x:v>Tidak Ada Risiko Khusus</x:v>
      </x:c>
      <x:c r="AP170" s="67"/>
      <x:c r="AQ170" s="70">
        <x:f t="shared" si="29"/>
        <x:v>0</x:v>
      </x:c>
      <x:c r="AR170" s="70">
        <x:f t="shared" si="30"/>
        <x:v>0</x:v>
      </x:c>
      <x:c r="AS170" s="70" t="str">
        <x:f t="shared" si="31"/>
      </x:c>
      <x:c r="AT170" s="68" t="str">
        <x:f t="shared" si="32"/>
        <x:v>Belum Dapat Ditentukan</x:v>
      </x:c>
      <x:c r="AU170" s="65"/>
      <x:c r="AV170" s="65" t="s">
        <x:v>904</x:v>
      </x:c>
      <x:c r="AW170" s="65" t="s">
        <x:v>889</x:v>
      </x:c>
      <x:c r="AX170" s="65" t="s">
        <x:v>890</x:v>
      </x:c>
      <x:c r="AY170" s="65"/>
      <x:c r="AZ170" s="65" t="s">
        <x:v>888</x:v>
      </x:c>
      <x:c r="BA170" s="65"/>
      <x:c r="BB170" s="177"/>
      <x:c r="BC170" s="71"/>
      <x:c r="BD170" s="65"/>
      <x:c r="BE170" s="177"/>
      <x:c r="BF170" s="65" t="str">
        <x:v>Dinas Perkim Kota Pangkal Pinang</x:v>
      </x:c>
    </x:row>
    <x:row r="171" ht="28">
      <x:c r="A171" s="65" t="s">
        <x:v>1638</x:v>
      </x:c>
      <x:c r="B171" s="65" t="s">
        <x:v>1639</x:v>
      </x:c>
      <x:c r="C171" s="82" t="s">
        <x:v>1640</x:v>
      </x:c>
      <x:c r="D171" s="82" t="s">
        <x:v>1641</x:v>
      </x:c>
      <x:c r="E171" s="65" t="s">
        <x:v>1642</x:v>
      </x:c>
      <x:c r="F171" s="65" t="s">
        <x:v>1233</x:v>
      </x:c>
      <x:c r="G171" s="65" t="s">
        <x:v>1053</x:v>
      </x:c>
      <x:c r="H171" s="65" t="s">
        <x:v>963</x:v>
      </x:c>
      <x:c r="I171" s="65"/>
      <x:c r="J171" s="65" t="s">
        <x:v>879</x:v>
      </x:c>
      <x:c r="K171" s="65" t="s">
        <x:v>911</x:v>
      </x:c>
      <x:c r="L171" s="65" t="s">
        <x:v>966</x:v>
      </x:c>
      <x:c r="M171" s="65" t="s">
        <x:v>882</x:v>
      </x:c>
      <x:c r="N171" s="65" t="s">
        <x:v>881</x:v>
      </x:c>
      <x:c r="O171" s="65" t="s">
        <x:v>883</x:v>
      </x:c>
      <x:c r="P171" s="65" t="s">
        <x:v>897</x:v>
      </x:c>
      <x:c r="Q171" s="85" t="s">
        <x:v>884</x:v>
      </x:c>
      <x:c r="R171" s="85" t="s">
        <x:v>901</x:v>
      </x:c>
      <x:c r="S171" s="85" t="s">
        <x:v>901</x:v>
      </x:c>
      <x:c r="T171" s="85" t="s">
        <x:v>885</x:v>
      </x:c>
      <x:c r="U171" s="85" t="s">
        <x:v>885</x:v>
      </x:c>
      <x:c r="V171" s="85" t="s">
        <x:v>916</x:v>
      </x:c>
      <x:c r="W171" s="66"/>
      <x:c r="X171" s="83" t="str">
        <x:f t="shared" si="22"/>
        <x:v>Belum Dinilai</x:v>
      </x:c>
      <x:c r="Y171" s="83" t="str">
        <x:f t="shared" si="23"/>
        <x:v>Belum Dinilai</x:v>
      </x:c>
      <x:c r="Z171" s="84">
        <x:f t="shared" si="24"/>
        <x:v>10</x:v>
      </x:c>
      <x:c r="AA171" s="84" t="str">
        <x:f t="shared" si="25"/>
      </x:c>
      <x:c r="AB171" s="84" t="str">
        <x:f t="shared" si="26"/>
      </x:c>
      <x:c r="AC171" s="67" t="s">
        <x:v>901</x:v>
      </x:c>
      <x:c r="AD171" s="67" t="s">
        <x:v>901</x:v>
      </x:c>
      <x:c r="AE171" s="67" t="s">
        <x:v>901</x:v>
      </x:c>
      <x:c r="AF171" s="67" t="s">
        <x:v>901</x:v>
      </x:c>
      <x:c r="AG171" s="67" t="s">
        <x:v>901</x:v>
      </x:c>
      <x:c r="AH171" s="67" t="s">
        <x:v>901</x:v>
      </x:c>
      <x:c r="AI171" s="67" t="s">
        <x:v>901</x:v>
      </x:c>
      <x:c r="AJ171" s="67" t="s">
        <x:v>901</x:v>
      </x:c>
      <x:c r="AK171" s="67" t="s">
        <x:v>901</x:v>
      </x:c>
      <x:c r="AL171" s="67"/>
      <x:c r="AM171" s="67" t="s">
        <x:v>916</x:v>
      </x:c>
      <x:c r="AN171" s="83" t="str">
        <x:f t="shared" si="27"/>
        <x:v>Tidak ada risiko khusus</x:v>
      </x:c>
      <x:c r="AO171" s="83" t="str">
        <x:f t="shared" si="28"/>
        <x:v>Tidak Ada Risiko Khusus</x:v>
      </x:c>
      <x:c r="AP171" s="67"/>
      <x:c r="AQ171" s="70">
        <x:f t="shared" si="29"/>
        <x:v>19</x:v>
      </x:c>
      <x:c r="AR171" s="70">
        <x:f t="shared" si="30"/>
        <x:v>0</x:v>
      </x:c>
      <x:c r="AS171" s="70" t="str">
        <x:f t="shared" si="31"/>
      </x:c>
      <x:c r="AT171" s="68" t="str">
        <x:f t="shared" si="32"/>
        <x:v>Belum Dapat Ditentukan</x:v>
      </x:c>
      <x:c r="AU171" s="65" t="s">
        <x:v>903</x:v>
      </x:c>
      <x:c r="AV171" s="65" t="s">
        <x:v>904</x:v>
      </x:c>
      <x:c r="AW171" s="65" t="s">
        <x:v>889</x:v>
      </x:c>
      <x:c r="AX171" s="65" t="s">
        <x:v>890</x:v>
      </x:c>
      <x:c r="AY171" s="65"/>
      <x:c r="AZ171" s="65"/>
      <x:c r="BA171" s="65"/>
      <x:c r="BB171" s="177"/>
      <x:c r="BC171" s="71"/>
      <x:c r="BD171" s="65"/>
      <x:c r="BE171" s="177"/>
      <x:c r="BF171" s="65" t="str">
        <x:v>Dinas Perkim Kota Pangkal Pinang</x:v>
      </x:c>
    </x:row>
    <x:row r="172" ht="28">
      <x:c r="A172" s="65" t="s">
        <x:v>1643</x:v>
      </x:c>
      <x:c r="B172" s="65" t="s">
        <x:v>1644</x:v>
      </x:c>
      <x:c r="C172" s="65"/>
      <x:c r="D172" s="82" t="s">
        <x:v>1645</x:v>
      </x:c>
      <x:c r="E172" s="65" t="s">
        <x:v>1646</x:v>
      </x:c>
      <x:c r="F172" s="65" t="s">
        <x:v>1233</x:v>
      </x:c>
      <x:c r="G172" s="65" t="s">
        <x:v>1053</x:v>
      </x:c>
      <x:c r="H172" s="65" t="s">
        <x:v>963</x:v>
      </x:c>
      <x:c r="I172" s="65"/>
      <x:c r="J172" s="65" t="s">
        <x:v>879</x:v>
      </x:c>
      <x:c r="K172" s="65" t="s">
        <x:v>911</x:v>
      </x:c>
      <x:c r="L172" s="65" t="s">
        <x:v>881</x:v>
      </x:c>
      <x:c r="M172" s="65" t="s">
        <x:v>882</x:v>
      </x:c>
      <x:c r="N172" s="65" t="s">
        <x:v>881</x:v>
      </x:c>
      <x:c r="O172" s="65" t="s">
        <x:v>914</x:v>
      </x:c>
      <x:c r="P172" s="65" t="s">
        <x:v>881</x:v>
      </x:c>
      <x:c r="Q172" s="85" t="s">
        <x:v>884</x:v>
      </x:c>
      <x:c r="R172" s="85" t="s">
        <x:v>901</x:v>
      </x:c>
      <x:c r="S172" s="85" t="s">
        <x:v>901</x:v>
      </x:c>
      <x:c r="T172" s="85" t="s">
        <x:v>901</x:v>
      </x:c>
      <x:c r="U172" s="85" t="s">
        <x:v>901</x:v>
      </x:c>
      <x:c r="V172" s="85" t="s">
        <x:v>916</x:v>
      </x:c>
      <x:c r="W172" s="66"/>
      <x:c r="X172" s="83" t="str">
        <x:f t="shared" si="22"/>
        <x:v>Belum Dinilai</x:v>
      </x:c>
      <x:c r="Y172" s="83" t="str">
        <x:f t="shared" si="23"/>
        <x:v>Belum Dinilai</x:v>
      </x:c>
      <x:c r="Z172" s="84">
        <x:f t="shared" si="24"/>
        <x:v>10</x:v>
      </x:c>
      <x:c r="AA172" s="84" t="str">
        <x:f t="shared" si="25"/>
      </x:c>
      <x:c r="AB172" s="84" t="str">
        <x:f t="shared" si="26"/>
      </x:c>
      <x:c r="AC172" s="67" t="s">
        <x:v>901</x:v>
      </x:c>
      <x:c r="AD172" s="67" t="s">
        <x:v>901</x:v>
      </x:c>
      <x:c r="AE172" s="67" t="s">
        <x:v>901</x:v>
      </x:c>
      <x:c r="AF172" s="67" t="s">
        <x:v>901</x:v>
      </x:c>
      <x:c r="AG172" s="67" t="s">
        <x:v>901</x:v>
      </x:c>
      <x:c r="AH172" s="67" t="s">
        <x:v>901</x:v>
      </x:c>
      <x:c r="AI172" s="67" t="s">
        <x:v>901</x:v>
      </x:c>
      <x:c r="AJ172" s="67" t="s">
        <x:v>901</x:v>
      </x:c>
      <x:c r="AK172" s="67" t="s">
        <x:v>901</x:v>
      </x:c>
      <x:c r="AL172" s="67"/>
      <x:c r="AM172" s="67" t="s">
        <x:v>916</x:v>
      </x:c>
      <x:c r="AN172" s="83" t="str">
        <x:f t="shared" si="27"/>
        <x:v>Tidak ada risiko khusus</x:v>
      </x:c>
      <x:c r="AO172" s="83" t="str">
        <x:f t="shared" si="28"/>
        <x:v>Tidak Ada Risiko Khusus</x:v>
      </x:c>
      <x:c r="AP172" s="67"/>
      <x:c r="AQ172" s="70">
        <x:f t="shared" si="29"/>
        <x:v>0</x:v>
      </x:c>
      <x:c r="AR172" s="70">
        <x:f t="shared" si="30"/>
        <x:v>0</x:v>
      </x:c>
      <x:c r="AS172" s="70" t="str">
        <x:f t="shared" si="31"/>
      </x:c>
      <x:c r="AT172" s="68" t="str">
        <x:f t="shared" si="32"/>
        <x:v>Belum Dapat Ditentukan</x:v>
      </x:c>
      <x:c r="AU172" s="65" t="s">
        <x:v>903</x:v>
      </x:c>
      <x:c r="AV172" s="65" t="s">
        <x:v>904</x:v>
      </x:c>
      <x:c r="AW172" s="65" t="s">
        <x:v>889</x:v>
      </x:c>
      <x:c r="AX172" s="65" t="s">
        <x:v>890</x:v>
      </x:c>
      <x:c r="AY172" s="65"/>
      <x:c r="AZ172" s="65"/>
      <x:c r="BA172" s="65"/>
      <x:c r="BB172" s="177"/>
      <x:c r="BC172" s="71"/>
      <x:c r="BD172" s="65"/>
      <x:c r="BE172" s="177"/>
      <x:c r="BF172" s="65" t="str">
        <x:v>Dinas Perkim Kota Pangkal Pinang</x:v>
      </x:c>
    </x:row>
    <x:row r="173" ht="28">
      <x:c r="A173" s="65" t="s">
        <x:v>1647</x:v>
      </x:c>
      <x:c r="B173" s="65" t="s">
        <x:v>1648</x:v>
      </x:c>
      <x:c r="C173" s="82" t="s">
        <x:v>1649</x:v>
      </x:c>
      <x:c r="D173" s="82" t="s">
        <x:v>1650</x:v>
      </x:c>
      <x:c r="E173" s="65" t="s">
        <x:v>1651</x:v>
      </x:c>
      <x:c r="F173" s="65" t="s">
        <x:v>1233</x:v>
      </x:c>
      <x:c r="G173" s="65" t="s">
        <x:v>1053</x:v>
      </x:c>
      <x:c r="H173" s="65" t="s">
        <x:v>963</x:v>
      </x:c>
      <x:c r="I173" s="65"/>
      <x:c r="J173" s="65" t="s">
        <x:v>879</x:v>
      </x:c>
      <x:c r="K173" s="65" t="s">
        <x:v>911</x:v>
      </x:c>
      <x:c r="L173" s="65" t="s">
        <x:v>881</x:v>
      </x:c>
      <x:c r="M173" s="65" t="s">
        <x:v>882</x:v>
      </x:c>
      <x:c r="N173" s="65" t="s">
        <x:v>881</x:v>
      </x:c>
      <x:c r="O173" s="65" t="s">
        <x:v>883</x:v>
      </x:c>
      <x:c r="P173" s="65" t="s">
        <x:v>881</x:v>
      </x:c>
      <x:c r="Q173" s="85" t="s">
        <x:v>884</x:v>
      </x:c>
      <x:c r="R173" s="85" t="s">
        <x:v>901</x:v>
      </x:c>
      <x:c r="S173" s="85" t="s">
        <x:v>901</x:v>
      </x:c>
      <x:c r="T173" s="85" t="s">
        <x:v>901</x:v>
      </x:c>
      <x:c r="U173" s="85" t="s">
        <x:v>901</x:v>
      </x:c>
      <x:c r="V173" s="85" t="s">
        <x:v>916</x:v>
      </x:c>
      <x:c r="W173" s="66"/>
      <x:c r="X173" s="83" t="str">
        <x:f t="shared" si="22"/>
        <x:v>Belum Dinilai</x:v>
      </x:c>
      <x:c r="Y173" s="83" t="str">
        <x:f t="shared" si="23"/>
        <x:v>Belum Dinilai</x:v>
      </x:c>
      <x:c r="Z173" s="84">
        <x:f t="shared" si="24"/>
        <x:v>10</x:v>
      </x:c>
      <x:c r="AA173" s="84" t="str">
        <x:f t="shared" si="25"/>
      </x:c>
      <x:c r="AB173" s="84" t="str">
        <x:f t="shared" si="26"/>
      </x:c>
      <x:c r="AC173" s="67" t="s">
        <x:v>901</x:v>
      </x:c>
      <x:c r="AD173" s="67" t="s">
        <x:v>901</x:v>
      </x:c>
      <x:c r="AE173" s="67" t="s">
        <x:v>901</x:v>
      </x:c>
      <x:c r="AF173" s="67" t="s">
        <x:v>901</x:v>
      </x:c>
      <x:c r="AG173" s="67" t="s">
        <x:v>901</x:v>
      </x:c>
      <x:c r="AH173" s="67" t="s">
        <x:v>901</x:v>
      </x:c>
      <x:c r="AI173" s="67" t="s">
        <x:v>901</x:v>
      </x:c>
      <x:c r="AJ173" s="67" t="s">
        <x:v>901</x:v>
      </x:c>
      <x:c r="AK173" s="67" t="s">
        <x:v>901</x:v>
      </x:c>
      <x:c r="AL173" s="67"/>
      <x:c r="AM173" s="67" t="s">
        <x:v>916</x:v>
      </x:c>
      <x:c r="AN173" s="83" t="str">
        <x:f t="shared" si="27"/>
        <x:v>Tidak ada risiko khusus</x:v>
      </x:c>
      <x:c r="AO173" s="83" t="str">
        <x:f t="shared" si="28"/>
        <x:v>Tidak Ada Risiko Khusus</x:v>
      </x:c>
      <x:c r="AP173" s="67"/>
      <x:c r="AQ173" s="70">
        <x:f t="shared" si="29"/>
        <x:v>0</x:v>
      </x:c>
      <x:c r="AR173" s="70">
        <x:f t="shared" si="30"/>
        <x:v>0</x:v>
      </x:c>
      <x:c r="AS173" s="70" t="str">
        <x:f t="shared" si="31"/>
      </x:c>
      <x:c r="AT173" s="68" t="str">
        <x:f t="shared" si="32"/>
        <x:v>Belum Dapat Ditentukan</x:v>
      </x:c>
      <x:c r="AU173" s="65"/>
      <x:c r="AV173" s="65" t="s">
        <x:v>904</x:v>
      </x:c>
      <x:c r="AW173" s="65" t="s">
        <x:v>889</x:v>
      </x:c>
      <x:c r="AX173" s="65" t="s">
        <x:v>890</x:v>
      </x:c>
      <x:c r="AY173" s="65"/>
      <x:c r="AZ173" s="65"/>
      <x:c r="BA173" s="65"/>
      <x:c r="BB173" s="177"/>
      <x:c r="BC173" s="71"/>
      <x:c r="BD173" s="65"/>
      <x:c r="BE173" s="177"/>
      <x:c r="BF173" s="65" t="str">
        <x:v>Dinas Perkim Kota Pangkal Pinang</x:v>
      </x:c>
    </x:row>
    <x:row r="174" ht="28">
      <x:c r="A174" s="65" t="s">
        <x:v>1652</x:v>
      </x:c>
      <x:c r="B174" s="65" t="s">
        <x:v>1653</x:v>
      </x:c>
      <x:c r="C174" s="82" t="s">
        <x:v>1654</x:v>
      </x:c>
      <x:c r="D174" s="82" t="s">
        <x:v>1655</x:v>
      </x:c>
      <x:c r="E174" s="65" t="s">
        <x:v>1656</x:v>
      </x:c>
      <x:c r="F174" s="65" t="s">
        <x:v>1233</x:v>
      </x:c>
      <x:c r="G174" s="65" t="s">
        <x:v>1053</x:v>
      </x:c>
      <x:c r="H174" s="65" t="s">
        <x:v>963</x:v>
      </x:c>
      <x:c r="I174" s="65"/>
      <x:c r="J174" s="65" t="s">
        <x:v>879</x:v>
      </x:c>
      <x:c r="K174" s="65" t="s">
        <x:v>911</x:v>
      </x:c>
      <x:c r="L174" s="65" t="s">
        <x:v>881</x:v>
      </x:c>
      <x:c r="M174" s="65" t="s">
        <x:v>882</x:v>
      </x:c>
      <x:c r="N174" s="65" t="s">
        <x:v>881</x:v>
      </x:c>
      <x:c r="O174" s="65" t="s">
        <x:v>883</x:v>
      </x:c>
      <x:c r="P174" s="65" t="s">
        <x:v>881</x:v>
      </x:c>
      <x:c r="Q174" s="85" t="s">
        <x:v>884</x:v>
      </x:c>
      <x:c r="R174" s="85" t="s">
        <x:v>901</x:v>
      </x:c>
      <x:c r="S174" s="85" t="s">
        <x:v>901</x:v>
      </x:c>
      <x:c r="T174" s="85" t="s">
        <x:v>901</x:v>
      </x:c>
      <x:c r="U174" s="85" t="s">
        <x:v>901</x:v>
      </x:c>
      <x:c r="V174" s="85" t="s">
        <x:v>916</x:v>
      </x:c>
      <x:c r="W174" s="66"/>
      <x:c r="X174" s="83" t="str">
        <x:f t="shared" si="22"/>
        <x:v>Belum Dinilai</x:v>
      </x:c>
      <x:c r="Y174" s="83" t="str">
        <x:f t="shared" si="23"/>
        <x:v>Belum Dinilai</x:v>
      </x:c>
      <x:c r="Z174" s="84">
        <x:f t="shared" si="24"/>
        <x:v>10</x:v>
      </x:c>
      <x:c r="AA174" s="84" t="str">
        <x:f t="shared" si="25"/>
      </x:c>
      <x:c r="AB174" s="84" t="str">
        <x:f t="shared" si="26"/>
      </x:c>
      <x:c r="AC174" s="67" t="s">
        <x:v>901</x:v>
      </x:c>
      <x:c r="AD174" s="67" t="s">
        <x:v>901</x:v>
      </x:c>
      <x:c r="AE174" s="67" t="s">
        <x:v>901</x:v>
      </x:c>
      <x:c r="AF174" s="67" t="s">
        <x:v>901</x:v>
      </x:c>
      <x:c r="AG174" s="67" t="s">
        <x:v>901</x:v>
      </x:c>
      <x:c r="AH174" s="67" t="s">
        <x:v>901</x:v>
      </x:c>
      <x:c r="AI174" s="67" t="s">
        <x:v>901</x:v>
      </x:c>
      <x:c r="AJ174" s="67" t="s">
        <x:v>901</x:v>
      </x:c>
      <x:c r="AK174" s="67" t="s">
        <x:v>901</x:v>
      </x:c>
      <x:c r="AL174" s="67"/>
      <x:c r="AM174" s="67" t="s">
        <x:v>916</x:v>
      </x:c>
      <x:c r="AN174" s="83" t="str">
        <x:f t="shared" si="27"/>
        <x:v>Tidak ada risiko khusus</x:v>
      </x:c>
      <x:c r="AO174" s="83" t="str">
        <x:f t="shared" si="28"/>
        <x:v>Tidak Ada Risiko Khusus</x:v>
      </x:c>
      <x:c r="AP174" s="67"/>
      <x:c r="AQ174" s="70">
        <x:f t="shared" si="29"/>
        <x:v>0</x:v>
      </x:c>
      <x:c r="AR174" s="70">
        <x:f t="shared" si="30"/>
        <x:v>0</x:v>
      </x:c>
      <x:c r="AS174" s="70" t="str">
        <x:f t="shared" si="31"/>
      </x:c>
      <x:c r="AT174" s="68" t="str">
        <x:f t="shared" si="32"/>
        <x:v>Belum Dapat Ditentukan</x:v>
      </x:c>
      <x:c r="AU174" s="65"/>
      <x:c r="AV174" s="65" t="s">
        <x:v>904</x:v>
      </x:c>
      <x:c r="AW174" s="65" t="s">
        <x:v>889</x:v>
      </x:c>
      <x:c r="AX174" s="65" t="s">
        <x:v>890</x:v>
      </x:c>
      <x:c r="AY174" s="65"/>
      <x:c r="AZ174" s="65"/>
      <x:c r="BA174" s="65"/>
      <x:c r="BB174" s="177"/>
      <x:c r="BC174" s="71"/>
      <x:c r="BD174" s="65"/>
      <x:c r="BE174" s="177"/>
      <x:c r="BF174" s="65" t="str">
        <x:v>Dinas Perkim Kota Pangkal Pinang</x:v>
      </x:c>
    </x:row>
    <x:row r="175" ht="28">
      <x:c r="A175" s="65" t="s">
        <x:v>1657</x:v>
      </x:c>
      <x:c r="B175" s="65" t="s">
        <x:v>1658</x:v>
      </x:c>
      <x:c r="C175" s="65"/>
      <x:c r="D175" s="82" t="s">
        <x:v>1659</x:v>
      </x:c>
      <x:c r="E175" s="65" t="s">
        <x:v>1660</x:v>
      </x:c>
      <x:c r="F175" s="65" t="s">
        <x:v>1233</x:v>
      </x:c>
      <x:c r="G175" s="65" t="s">
        <x:v>1053</x:v>
      </x:c>
      <x:c r="H175" s="65" t="s">
        <x:v>963</x:v>
      </x:c>
      <x:c r="I175" s="65"/>
      <x:c r="J175" s="65" t="s">
        <x:v>879</x:v>
      </x:c>
      <x:c r="K175" s="65" t="s">
        <x:v>911</x:v>
      </x:c>
      <x:c r="L175" s="65" t="s">
        <x:v>881</x:v>
      </x:c>
      <x:c r="M175" s="65" t="s">
        <x:v>882</x:v>
      </x:c>
      <x:c r="N175" s="65" t="s">
        <x:v>881</x:v>
      </x:c>
      <x:c r="O175" s="65" t="s">
        <x:v>883</x:v>
      </x:c>
      <x:c r="P175" s="65" t="s">
        <x:v>881</x:v>
      </x:c>
      <x:c r="Q175" s="85" t="s">
        <x:v>884</x:v>
      </x:c>
      <x:c r="R175" s="85" t="s">
        <x:v>901</x:v>
      </x:c>
      <x:c r="S175" s="85" t="s">
        <x:v>901</x:v>
      </x:c>
      <x:c r="T175" s="85" t="s">
        <x:v>901</x:v>
      </x:c>
      <x:c r="U175" s="85" t="s">
        <x:v>901</x:v>
      </x:c>
      <x:c r="V175" s="85" t="s">
        <x:v>916</x:v>
      </x:c>
      <x:c r="W175" s="66"/>
      <x:c r="X175" s="83" t="str">
        <x:f t="shared" si="22"/>
        <x:v>Belum Dinilai</x:v>
      </x:c>
      <x:c r="Y175" s="83" t="str">
        <x:f t="shared" si="23"/>
        <x:v>Belum Dinilai</x:v>
      </x:c>
      <x:c r="Z175" s="84">
        <x:f t="shared" si="24"/>
        <x:v>10</x:v>
      </x:c>
      <x:c r="AA175" s="84" t="str">
        <x:f t="shared" si="25"/>
      </x:c>
      <x:c r="AB175" s="84" t="str">
        <x:f t="shared" si="26"/>
      </x:c>
      <x:c r="AC175" s="67" t="s">
        <x:v>901</x:v>
      </x:c>
      <x:c r="AD175" s="67" t="s">
        <x:v>901</x:v>
      </x:c>
      <x:c r="AE175" s="67" t="s">
        <x:v>901</x:v>
      </x:c>
      <x:c r="AF175" s="67" t="s">
        <x:v>901</x:v>
      </x:c>
      <x:c r="AG175" s="67" t="s">
        <x:v>901</x:v>
      </x:c>
      <x:c r="AH175" s="67" t="s">
        <x:v>901</x:v>
      </x:c>
      <x:c r="AI175" s="67" t="s">
        <x:v>901</x:v>
      </x:c>
      <x:c r="AJ175" s="67" t="s">
        <x:v>901</x:v>
      </x:c>
      <x:c r="AK175" s="67" t="s">
        <x:v>901</x:v>
      </x:c>
      <x:c r="AL175" s="67"/>
      <x:c r="AM175" s="67" t="s">
        <x:v>916</x:v>
      </x:c>
      <x:c r="AN175" s="83" t="str">
        <x:f t="shared" si="27"/>
        <x:v>Tidak ada risiko khusus</x:v>
      </x:c>
      <x:c r="AO175" s="83" t="str">
        <x:f t="shared" si="28"/>
        <x:v>Tidak Ada Risiko Khusus</x:v>
      </x:c>
      <x:c r="AP175" s="67"/>
      <x:c r="AQ175" s="70">
        <x:f t="shared" si="29"/>
        <x:v>0</x:v>
      </x:c>
      <x:c r="AR175" s="70">
        <x:f t="shared" si="30"/>
        <x:v>0</x:v>
      </x:c>
      <x:c r="AS175" s="70" t="str">
        <x:f t="shared" si="31"/>
      </x:c>
      <x:c r="AT175" s="68" t="str">
        <x:f t="shared" si="32"/>
        <x:v>Belum Dapat Ditentukan</x:v>
      </x:c>
      <x:c r="AU175" s="65"/>
      <x:c r="AV175" s="65" t="s">
        <x:v>904</x:v>
      </x:c>
      <x:c r="AW175" s="65" t="s">
        <x:v>889</x:v>
      </x:c>
      <x:c r="AX175" s="65" t="s">
        <x:v>890</x:v>
      </x:c>
      <x:c r="AY175" s="65"/>
      <x:c r="AZ175" s="65" t="s">
        <x:v>888</x:v>
      </x:c>
      <x:c r="BA175" s="65"/>
      <x:c r="BB175" s="177"/>
      <x:c r="BC175" s="71"/>
      <x:c r="BD175" s="65"/>
      <x:c r="BE175" s="177"/>
      <x:c r="BF175" s="65" t="str">
        <x:v>Dinas Perkim Kota Pangkal Pinang</x:v>
      </x:c>
    </x:row>
    <x:row r="176" ht="28">
      <x:c r="A176" s="65" t="s">
        <x:v>1661</x:v>
      </x:c>
      <x:c r="B176" s="65" t="s">
        <x:v>1662</x:v>
      </x:c>
      <x:c r="C176" s="82" t="s">
        <x:v>1663</x:v>
      </x:c>
      <x:c r="D176" s="82" t="s">
        <x:v>1664</x:v>
      </x:c>
      <x:c r="E176" s="65" t="s">
        <x:v>1665</x:v>
      </x:c>
      <x:c r="F176" s="65" t="s">
        <x:v>1233</x:v>
      </x:c>
      <x:c r="G176" s="65" t="s">
        <x:v>1053</x:v>
      </x:c>
      <x:c r="H176" s="65" t="s">
        <x:v>963</x:v>
      </x:c>
      <x:c r="I176" s="65"/>
      <x:c r="J176" s="65" t="s">
        <x:v>879</x:v>
      </x:c>
      <x:c r="K176" s="65" t="s">
        <x:v>911</x:v>
      </x:c>
      <x:c r="L176" s="65" t="s">
        <x:v>912</x:v>
      </x:c>
      <x:c r="M176" s="65" t="s">
        <x:v>882</x:v>
      </x:c>
      <x:c r="N176" s="65" t="s">
        <x:v>912</x:v>
      </x:c>
      <x:c r="O176" s="65" t="s">
        <x:v>883</x:v>
      </x:c>
      <x:c r="P176" s="65" t="s">
        <x:v>897</x:v>
      </x:c>
      <x:c r="Q176" s="85" t="s">
        <x:v>884</x:v>
      </x:c>
      <x:c r="R176" s="85" t="s">
        <x:v>901</x:v>
      </x:c>
      <x:c r="S176" s="85" t="s">
        <x:v>901</x:v>
      </x:c>
      <x:c r="T176" s="85" t="s">
        <x:v>901</x:v>
      </x:c>
      <x:c r="U176" s="85" t="s">
        <x:v>901</x:v>
      </x:c>
      <x:c r="V176" s="85" t="s">
        <x:v>916</x:v>
      </x:c>
      <x:c r="W176" s="66"/>
      <x:c r="X176" s="83" t="str">
        <x:f t="shared" si="22"/>
        <x:v>Belum Dinilai</x:v>
      </x:c>
      <x:c r="Y176" s="83" t="str">
        <x:f t="shared" si="23"/>
        <x:v>Belum Dinilai</x:v>
      </x:c>
      <x:c r="Z176" s="84">
        <x:f t="shared" si="24"/>
        <x:v>10</x:v>
      </x:c>
      <x:c r="AA176" s="84" t="str">
        <x:f t="shared" si="25"/>
      </x:c>
      <x:c r="AB176" s="84" t="str">
        <x:f t="shared" si="26"/>
      </x:c>
      <x:c r="AC176" s="67" t="s">
        <x:v>901</x:v>
      </x:c>
      <x:c r="AD176" s="67" t="s">
        <x:v>901</x:v>
      </x:c>
      <x:c r="AE176" s="67" t="s">
        <x:v>901</x:v>
      </x:c>
      <x:c r="AF176" s="67" t="s">
        <x:v>901</x:v>
      </x:c>
      <x:c r="AG176" s="67" t="s">
        <x:v>901</x:v>
      </x:c>
      <x:c r="AH176" s="67" t="s">
        <x:v>901</x:v>
      </x:c>
      <x:c r="AI176" s="67" t="s">
        <x:v>901</x:v>
      </x:c>
      <x:c r="AJ176" s="67" t="s">
        <x:v>901</x:v>
      </x:c>
      <x:c r="AK176" s="67" t="s">
        <x:v>901</x:v>
      </x:c>
      <x:c r="AL176" s="67"/>
      <x:c r="AM176" s="67" t="s">
        <x:v>916</x:v>
      </x:c>
      <x:c r="AN176" s="83" t="str">
        <x:f t="shared" si="27"/>
        <x:v>Tidak ada risiko khusus</x:v>
      </x:c>
      <x:c r="AO176" s="83" t="str">
        <x:f t="shared" si="28"/>
        <x:v>Tidak Ada Risiko Khusus</x:v>
      </x:c>
      <x:c r="AP176" s="67"/>
      <x:c r="AQ176" s="70">
        <x:f t="shared" si="29"/>
        <x:v>24</x:v>
      </x:c>
      <x:c r="AR176" s="70">
        <x:f t="shared" si="30"/>
        <x:v>0</x:v>
      </x:c>
      <x:c r="AS176" s="70" t="str">
        <x:f t="shared" si="31"/>
      </x:c>
      <x:c r="AT176" s="68" t="str">
        <x:f t="shared" si="32"/>
        <x:v>Belum Dapat Ditentukan</x:v>
      </x:c>
      <x:c r="AU176" s="65"/>
      <x:c r="AV176" s="65" t="s">
        <x:v>904</x:v>
      </x:c>
      <x:c r="AW176" s="65" t="s">
        <x:v>889</x:v>
      </x:c>
      <x:c r="AX176" s="65" t="s">
        <x:v>890</x:v>
      </x:c>
      <x:c r="AY176" s="65"/>
      <x:c r="AZ176" s="65"/>
      <x:c r="BA176" s="65"/>
      <x:c r="BB176" s="177"/>
      <x:c r="BC176" s="71"/>
      <x:c r="BD176" s="65"/>
      <x:c r="BE176" s="177"/>
      <x:c r="BF176" s="65" t="str">
        <x:v>Dinas Perkim Kota Pangkal Pinang</x:v>
      </x:c>
    </x:row>
    <x:row r="177" ht="28">
      <x:c r="A177" s="65" t="s">
        <x:v>1666</x:v>
      </x:c>
      <x:c r="B177" s="65" t="s">
        <x:v>1667</x:v>
      </x:c>
      <x:c r="C177" s="82" t="s">
        <x:v>1668</x:v>
      </x:c>
      <x:c r="D177" s="82" t="s">
        <x:v>1669</x:v>
      </x:c>
      <x:c r="E177" s="65" t="s">
        <x:v>1670</x:v>
      </x:c>
      <x:c r="F177" s="65" t="s">
        <x:v>1159</x:v>
      </x:c>
      <x:c r="G177" s="65" t="s">
        <x:v>1012</x:v>
      </x:c>
      <x:c r="H177" s="65" t="s">
        <x:v>878</x:v>
      </x:c>
      <x:c r="I177" s="65"/>
      <x:c r="J177" s="65" t="s">
        <x:v>895</x:v>
      </x:c>
      <x:c r="K177" s="65" t="s">
        <x:v>880</x:v>
      </x:c>
      <x:c r="L177" s="65" t="s">
        <x:v>912</x:v>
      </x:c>
      <x:c r="M177" s="65" t="s">
        <x:v>979</x:v>
      </x:c>
      <x:c r="N177" s="65" t="s">
        <x:v>897</x:v>
      </x:c>
      <x:c r="O177" s="65" t="s">
        <x:v>914</x:v>
      </x:c>
      <x:c r="P177" s="65" t="s">
        <x:v>897</x:v>
      </x:c>
      <x:c r="Q177" s="85" t="s">
        <x:v>884</x:v>
      </x:c>
      <x:c r="R177" s="85" t="s">
        <x:v>901</x:v>
      </x:c>
      <x:c r="S177" s="85" t="s">
        <x:v>901</x:v>
      </x:c>
      <x:c r="T177" s="85" t="s">
        <x:v>901</x:v>
      </x:c>
      <x:c r="U177" s="85" t="s">
        <x:v>901</x:v>
      </x:c>
      <x:c r="V177" s="85" t="s">
        <x:v>901</x:v>
      </x:c>
      <x:c r="W177" s="66"/>
      <x:c r="X177" s="83" t="str">
        <x:f t="shared" si="22"/>
        <x:v>Tidak ada faktor rentan</x:v>
      </x:c>
      <x:c r="Y177" s="83" t="str">
        <x:f t="shared" si="23"/>
        <x:v>Tidak Ada Faktor Rentan</x:v>
      </x:c>
      <x:c r="Z177" s="84">
        <x:f t="shared" si="24"/>
        <x:v>10</x:v>
      </x:c>
      <x:c r="AA177" s="84">
        <x:f t="shared" si="25"/>
        <x:v>0</x:v>
      </x:c>
      <x:c r="AB177" s="84">
        <x:f t="shared" si="26"/>
        <x:v>10</x:v>
      </x:c>
      <x:c r="AC177" s="67" t="s">
        <x:v>901</x:v>
      </x:c>
      <x:c r="AD177" s="67" t="s">
        <x:v>901</x:v>
      </x:c>
      <x:c r="AE177" s="67" t="s">
        <x:v>885</x:v>
      </x:c>
      <x:c r="AF177" s="67" t="s">
        <x:v>901</x:v>
      </x:c>
      <x:c r="AG177" s="67" t="s">
        <x:v>885</x:v>
      </x:c>
      <x:c r="AH177" s="67" t="s">
        <x:v>885</x:v>
      </x:c>
      <x:c r="AI177" s="67" t="s">
        <x:v>885</x:v>
      </x:c>
      <x:c r="AJ177" s="67" t="s">
        <x:v>901</x:v>
      </x:c>
      <x:c r="AK177" s="67" t="s">
        <x:v>901</x:v>
      </x:c>
      <x:c r="AL177" s="67"/>
      <x:c r="AM177" s="67" t="s">
        <x:v>916</x:v>
      </x:c>
      <x:c r="AN177" s="83" t="str">
        <x:f t="shared" si="27"/>
        <x:v>Atap atau dinding utama hampir runtuh; Struktur rumah tidak stabil; Instalasi listrik berbahaya; Komponen bangunan lepas atau lapuk; </x:v>
      </x:c>
      <x:c r="AO177" s="83" t="str">
        <x:f t="shared" si="28"/>
        <x:v>Risiko Tinggi/Darurat</x:v>
      </x:c>
      <x:c r="AP177" s="67"/>
      <x:c r="AQ177" s="70">
        <x:f t="shared" si="29"/>
        <x:v>27</x:v>
      </x:c>
      <x:c r="AR177" s="70">
        <x:f t="shared" si="30"/>
        <x:v>10</x:v>
      </x:c>
      <x:c r="AS177" s="70">
        <x:f t="shared" si="31"/>
        <x:v>47</x:v>
      </x:c>
      <x:c r="AT177" s="68" t="str">
        <x:f t="shared" si="32"/>
        <x:v>Tinggi</x:v>
      </x:c>
      <x:c r="AU177" s="65" t="s">
        <x:v>887</x:v>
      </x:c>
      <x:c r="AV177" s="65" t="s">
        <x:v>904</x:v>
      </x:c>
      <x:c r="AW177" s="65" t="s">
        <x:v>905</x:v>
      </x:c>
      <x:c r="AX177" s="65" t="s">
        <x:v>984</x:v>
      </x:c>
      <x:c r="AY177" s="65">
        <x:v>2026</x:v>
      </x:c>
      <x:c r="AZ177" s="65" t="s">
        <x:v>907</x:v>
      </x:c>
      <x:c r="BA177" s="65"/>
      <x:c r="BB177" s="177"/>
      <x:c r="BC177" s="71">
        <x:v>2026</x:v>
      </x:c>
      <x:c r="BD177" s="65" t="s">
        <x:v>920</x:v>
      </x:c>
      <x:c r="BE177" s="177"/>
      <x:c r="BF177" s="65" t="str">
        <x:v>Dinas Perkim Kota Pangkal Pinang</x:v>
      </x:c>
    </x:row>
    <x:row r="178" ht="28">
      <x:c r="A178" s="65" t="s">
        <x:v>1671</x:v>
      </x:c>
      <x:c r="B178" s="65" t="s">
        <x:v>1672</x:v>
      </x:c>
      <x:c r="C178" s="82" t="s">
        <x:v>1673</x:v>
      </x:c>
      <x:c r="D178" s="82" t="s">
        <x:v>1674</x:v>
      </x:c>
      <x:c r="E178" s="65" t="s">
        <x:v>1675</x:v>
      </x:c>
      <x:c r="F178" s="65" t="s">
        <x:v>1052</x:v>
      </x:c>
      <x:c r="G178" s="65" t="s">
        <x:v>1053</x:v>
      </x:c>
      <x:c r="H178" s="65" t="s">
        <x:v>963</x:v>
      </x:c>
      <x:c r="I178" s="65"/>
      <x:c r="J178" s="65" t="s">
        <x:v>910</x:v>
      </x:c>
      <x:c r="K178" s="65" t="s">
        <x:v>911</x:v>
      </x:c>
      <x:c r="L178" s="65" t="s">
        <x:v>897</x:v>
      </x:c>
      <x:c r="M178" s="65" t="s">
        <x:v>968</x:v>
      </x:c>
      <x:c r="N178" s="65" t="s">
        <x:v>912</x:v>
      </x:c>
      <x:c r="O178" s="65" t="s">
        <x:v>914</x:v>
      </x:c>
      <x:c r="P178" s="65" t="s">
        <x:v>897</x:v>
      </x:c>
      <x:c r="Q178" s="85" t="s">
        <x:v>884</x:v>
      </x:c>
      <x:c r="R178" s="85" t="s">
        <x:v>901</x:v>
      </x:c>
      <x:c r="S178" s="85" t="s">
        <x:v>901</x:v>
      </x:c>
      <x:c r="T178" s="85" t="s">
        <x:v>885</x:v>
      </x:c>
      <x:c r="U178" s="85" t="s">
        <x:v>901</x:v>
      </x:c>
      <x:c r="V178" s="85" t="s">
        <x:v>916</x:v>
      </x:c>
      <x:c r="W178" s="66"/>
      <x:c r="X178" s="83" t="str">
        <x:f t="shared" si="22"/>
        <x:v>Belum Dinilai</x:v>
      </x:c>
      <x:c r="Y178" s="83" t="str">
        <x:f t="shared" si="23"/>
        <x:v>Belum Dinilai</x:v>
      </x:c>
      <x:c r="Z178" s="84">
        <x:f t="shared" si="24"/>
        <x:v>10</x:v>
      </x:c>
      <x:c r="AA178" s="84" t="str">
        <x:f t="shared" si="25"/>
      </x:c>
      <x:c r="AB178" s="84" t="str">
        <x:f t="shared" si="26"/>
      </x:c>
      <x:c r="AC178" s="67" t="s">
        <x:v>901</x:v>
      </x:c>
      <x:c r="AD178" s="67" t="s">
        <x:v>901</x:v>
      </x:c>
      <x:c r="AE178" s="67" t="s">
        <x:v>901</x:v>
      </x:c>
      <x:c r="AF178" s="67" t="s">
        <x:v>901</x:v>
      </x:c>
      <x:c r="AG178" s="67" t="s">
        <x:v>901</x:v>
      </x:c>
      <x:c r="AH178" s="67" t="s">
        <x:v>901</x:v>
      </x:c>
      <x:c r="AI178" s="67" t="s">
        <x:v>901</x:v>
      </x:c>
      <x:c r="AJ178" s="67" t="s">
        <x:v>901</x:v>
      </x:c>
      <x:c r="AK178" s="67" t="s">
        <x:v>901</x:v>
      </x:c>
      <x:c r="AL178" s="67"/>
      <x:c r="AM178" s="67" t="s">
        <x:v>916</x:v>
      </x:c>
      <x:c r="AN178" s="83" t="str">
        <x:f t="shared" si="27"/>
        <x:v>Tidak ada risiko khusus</x:v>
      </x:c>
      <x:c r="AO178" s="83" t="str">
        <x:f t="shared" si="28"/>
        <x:v>Tidak Ada Risiko Khusus</x:v>
      </x:c>
      <x:c r="AP178" s="67"/>
      <x:c r="AQ178" s="70">
        <x:f t="shared" si="29"/>
        <x:v>34</x:v>
      </x:c>
      <x:c r="AR178" s="70">
        <x:f t="shared" si="30"/>
        <x:v>0</x:v>
      </x:c>
      <x:c r="AS178" s="70" t="str">
        <x:f t="shared" si="31"/>
      </x:c>
      <x:c r="AT178" s="68" t="str">
        <x:f t="shared" si="32"/>
        <x:v>Belum Dapat Ditentukan</x:v>
      </x:c>
      <x:c r="AU178" s="65" t="s">
        <x:v>887</x:v>
      </x:c>
      <x:c r="AV178" s="65" t="s">
        <x:v>904</x:v>
      </x:c>
      <x:c r="AW178" s="65" t="s">
        <x:v>917</x:v>
      </x:c>
      <x:c r="AX178" s="65" t="s">
        <x:v>970</x:v>
      </x:c>
      <x:c r="AY178" s="65">
        <x:v>2026</x:v>
      </x:c>
      <x:c r="AZ178" s="65" t="s">
        <x:v>891</x:v>
      </x:c>
      <x:c r="BA178" s="65"/>
      <x:c r="BB178" s="177"/>
      <x:c r="BC178" s="71">
        <x:v>2025</x:v>
      </x:c>
      <x:c r="BD178" s="65" t="s">
        <x:v>908</x:v>
      </x:c>
      <x:c r="BE178" s="177"/>
      <x:c r="BF178" s="65" t="str">
        <x:v>Dinas Perkim Kota Pangkal Pinang</x:v>
      </x:c>
    </x:row>
    <x:row r="179" ht="28">
      <x:c r="A179" s="65" t="s">
        <x:v>1676</x:v>
      </x:c>
      <x:c r="B179" s="65" t="s">
        <x:v>1677</x:v>
      </x:c>
      <x:c r="C179" s="82" t="s">
        <x:v>1678</x:v>
      </x:c>
      <x:c r="D179" s="82" t="s">
        <x:v>1679</x:v>
      </x:c>
      <x:c r="E179" s="65" t="s">
        <x:v>1680</x:v>
      </x:c>
      <x:c r="F179" s="65" t="s">
        <x:v>1043</x:v>
      </x:c>
      <x:c r="G179" s="65" t="s">
        <x:v>1033</x:v>
      </x:c>
      <x:c r="H179" s="65" t="s">
        <x:v>963</x:v>
      </x:c>
      <x:c r="I179" s="65"/>
      <x:c r="J179" s="65"/>
      <x:c r="K179" s="65"/>
      <x:c r="L179" s="65" t="s">
        <x:v>916</x:v>
      </x:c>
      <x:c r="M179" s="65"/>
      <x:c r="N179" s="65" t="s">
        <x:v>916</x:v>
      </x:c>
      <x:c r="O179" s="65"/>
      <x:c r="P179" s="65" t="s">
        <x:v>916</x:v>
      </x:c>
      <x:c r="Q179" s="85"/>
      <x:c r="R179" s="85"/>
      <x:c r="S179" s="85"/>
      <x:c r="T179" s="85"/>
      <x:c r="U179" s="85"/>
      <x:c r="V179" s="85"/>
      <x:c r="W179" s="66"/>
      <x:c r="X179" s="83" t="str">
        <x:f t="shared" si="22"/>
        <x:v>Tidak ada faktor rentan</x:v>
      </x:c>
      <x:c r="Y179" s="83" t="str">
        <x:f t="shared" si="23"/>
        <x:v>Tidak Ada Faktor Rentan</x:v>
      </x:c>
      <x:c r="Z179" s="84" t="str">
        <x:f t="shared" si="24"/>
      </x:c>
      <x:c r="AA179" s="84">
        <x:f t="shared" si="25"/>
        <x:v>0</x:v>
      </x:c>
      <x:c r="AB179" s="84" t="str">
        <x:f t="shared" si="26"/>
      </x:c>
      <x:c r="AC179" s="67" t="s">
        <x:v>901</x:v>
      </x:c>
      <x:c r="AD179" s="67" t="s">
        <x:v>901</x:v>
      </x:c>
      <x:c r="AE179" s="67" t="s">
        <x:v>901</x:v>
      </x:c>
      <x:c r="AF179" s="67" t="s">
        <x:v>901</x:v>
      </x:c>
      <x:c r="AG179" s="67" t="s">
        <x:v>901</x:v>
      </x:c>
      <x:c r="AH179" s="67" t="s">
        <x:v>901</x:v>
      </x:c>
      <x:c r="AI179" s="67" t="s">
        <x:v>901</x:v>
      </x:c>
      <x:c r="AJ179" s="67" t="s">
        <x:v>901</x:v>
      </x:c>
      <x:c r="AK179" s="67" t="s">
        <x:v>901</x:v>
      </x:c>
      <x:c r="AL179" s="67"/>
      <x:c r="AM179" s="67" t="s">
        <x:v>916</x:v>
      </x:c>
      <x:c r="AN179" s="83" t="str">
        <x:f t="shared" si="27"/>
        <x:v>Tidak ada risiko khusus</x:v>
      </x:c>
      <x:c r="AO179" s="83" t="str">
        <x:f t="shared" si="28"/>
        <x:v>Tidak Ada Risiko Khusus</x:v>
      </x:c>
      <x:c r="AP179" s="67"/>
      <x:c r="AQ179" s="70" t="str">
        <x:f t="shared" si="29"/>
      </x:c>
      <x:c r="AR179" s="70">
        <x:f t="shared" si="30"/>
        <x:v>0</x:v>
      </x:c>
      <x:c r="AS179" s="70" t="str">
        <x:f t="shared" si="31"/>
      </x:c>
      <x:c r="AT179" s="68" t="str">
        <x:f t="shared" si="32"/>
        <x:v>Belum Dapat Ditentukan</x:v>
      </x:c>
      <x:c r="AU179" s="65"/>
      <x:c r="AV179" s="65" t="s">
        <x:v>904</x:v>
      </x:c>
      <x:c r="AW179" s="65" t="s">
        <x:v>889</x:v>
      </x:c>
      <x:c r="AX179" s="65" t="s">
        <x:v>890</x:v>
      </x:c>
      <x:c r="AY179" s="65"/>
      <x:c r="AZ179" s="65"/>
      <x:c r="BA179" s="65"/>
      <x:c r="BB179" s="177"/>
      <x:c r="BC179" s="71"/>
      <x:c r="BD179" s="65"/>
      <x:c r="BE179" s="177"/>
      <x:c r="BF179" s="65" t="str">
        <x:v>Dinas Perkim Kota Pangkal Pinang</x:v>
      </x:c>
    </x:row>
    <x:row r="180" ht="28">
      <x:c r="A180" s="65" t="s">
        <x:v>1681</x:v>
      </x:c>
      <x:c r="B180" s="65" t="s">
        <x:v>1682</x:v>
      </x:c>
      <x:c r="C180" s="82" t="s">
        <x:v>1683</x:v>
      </x:c>
      <x:c r="D180" s="82" t="s">
        <x:v>1684</x:v>
      </x:c>
      <x:c r="E180" s="65" t="s">
        <x:v>1685</x:v>
      </x:c>
      <x:c r="F180" s="65" t="s">
        <x:v>1043</x:v>
      </x:c>
      <x:c r="G180" s="65" t="s">
        <x:v>1033</x:v>
      </x:c>
      <x:c r="H180" s="65" t="s">
        <x:v>963</x:v>
      </x:c>
      <x:c r="I180" s="65"/>
      <x:c r="J180" s="65" t="s">
        <x:v>895</x:v>
      </x:c>
      <x:c r="K180" s="65" t="s">
        <x:v>911</x:v>
      </x:c>
      <x:c r="L180" s="65" t="s">
        <x:v>897</x:v>
      </x:c>
      <x:c r="M180" s="65" t="s">
        <x:v>979</x:v>
      </x:c>
      <x:c r="N180" s="65" t="s">
        <x:v>897</x:v>
      </x:c>
      <x:c r="O180" s="65" t="s">
        <x:v>914</x:v>
      </x:c>
      <x:c r="P180" s="65" t="s">
        <x:v>897</x:v>
      </x:c>
      <x:c r="Q180" s="85" t="s">
        <x:v>884</x:v>
      </x:c>
      <x:c r="R180" s="85" t="s">
        <x:v>901</x:v>
      </x:c>
      <x:c r="S180" s="85" t="s">
        <x:v>901</x:v>
      </x:c>
      <x:c r="T180" s="85" t="s">
        <x:v>885</x:v>
      </x:c>
      <x:c r="U180" s="85" t="s">
        <x:v>901</x:v>
      </x:c>
      <x:c r="V180" s="85" t="s">
        <x:v>901</x:v>
      </x:c>
      <x:c r="W180" s="66"/>
      <x:c r="X180" s="83" t="str">
        <x:f t="shared" si="22"/>
        <x:v>Kepala keluarga perempuan; </x:v>
      </x:c>
      <x:c r="Y180" s="83" t="str">
        <x:f t="shared" si="23"/>
        <x:v>1 Faktor Rentan</x:v>
      </x:c>
      <x:c r="Z180" s="84">
        <x:f t="shared" si="24"/>
        <x:v>10</x:v>
      </x:c>
      <x:c r="AA180" s="84">
        <x:f t="shared" si="25"/>
        <x:v>5</x:v>
      </x:c>
      <x:c r="AB180" s="84">
        <x:f t="shared" si="26"/>
        <x:v>15</x:v>
      </x:c>
      <x:c r="AC180" s="67" t="s">
        <x:v>901</x:v>
      </x:c>
      <x:c r="AD180" s="67" t="s">
        <x:v>901</x:v>
      </x:c>
      <x:c r="AE180" s="67" t="s">
        <x:v>901</x:v>
      </x:c>
      <x:c r="AF180" s="67" t="s">
        <x:v>901</x:v>
      </x:c>
      <x:c r="AG180" s="67" t="s">
        <x:v>901</x:v>
      </x:c>
      <x:c r="AH180" s="67" t="s">
        <x:v>901</x:v>
      </x:c>
      <x:c r="AI180" s="67" t="s">
        <x:v>885</x:v>
      </x:c>
      <x:c r="AJ180" s="67" t="s">
        <x:v>901</x:v>
      </x:c>
      <x:c r="AK180" s="67" t="s">
        <x:v>901</x:v>
      </x:c>
      <x:c r="AL180" s="67"/>
      <x:c r="AM180" s="67" t="s">
        <x:v>916</x:v>
      </x:c>
      <x:c r="AN180" s="83" t="str">
        <x:f t="shared" si="27"/>
        <x:v>Komponen bangunan lepas atau lapuk; </x:v>
      </x:c>
      <x:c r="AO180" s="83" t="str">
        <x:f t="shared" si="28"/>
        <x:v>Risiko Sedang</x:v>
      </x:c>
      <x:c r="AP180" s="67"/>
      <x:c r="AQ180" s="70">
        <x:f t="shared" si="29"/>
        <x:v>22</x:v>
      </x:c>
      <x:c r="AR180" s="70">
        <x:f t="shared" si="30"/>
        <x:v>5</x:v>
      </x:c>
      <x:c r="AS180" s="70">
        <x:f t="shared" si="31"/>
        <x:v>42</x:v>
      </x:c>
      <x:c r="AT180" s="68" t="str">
        <x:f t="shared" si="32"/>
        <x:v>Rendah</x:v>
      </x:c>
      <x:c r="AU180" s="65" t="s">
        <x:v>887</x:v>
      </x:c>
      <x:c r="AV180" s="65" t="s">
        <x:v>904</x:v>
      </x:c>
      <x:c r="AW180" s="65" t="s">
        <x:v>889</x:v>
      </x:c>
      <x:c r="AX180" s="65" t="s">
        <x:v>984</x:v>
      </x:c>
      <x:c r="AY180" s="65">
        <x:v>2026</x:v>
      </x:c>
      <x:c r="AZ180" s="65" t="s">
        <x:v>891</x:v>
      </x:c>
      <x:c r="BA180" s="65"/>
      <x:c r="BB180" s="177"/>
      <x:c r="BC180" s="71">
        <x:v>2026</x:v>
      </x:c>
      <x:c r="BD180" s="65" t="s">
        <x:v>908</x:v>
      </x:c>
      <x:c r="BE180" s="177"/>
      <x:c r="BF180" s="65" t="str">
        <x:v>Dinas Perkim Kota Pangkal Pinang</x:v>
      </x:c>
    </x:row>
    <x:row r="181" ht="28">
      <x:c r="A181" s="65" t="s">
        <x:v>1686</x:v>
      </x:c>
      <x:c r="B181" s="65" t="s">
        <x:v>1687</x:v>
      </x:c>
      <x:c r="C181" s="82" t="s">
        <x:v>1688</x:v>
      </x:c>
      <x:c r="D181" s="82" t="s">
        <x:v>1689</x:v>
      </x:c>
      <x:c r="E181" s="65" t="s">
        <x:v>1140</x:v>
      </x:c>
      <x:c r="F181" s="65" t="s">
        <x:v>1133</x:v>
      </x:c>
      <x:c r="G181" s="65" t="s">
        <x:v>1012</x:v>
      </x:c>
      <x:c r="H181" s="65" t="s">
        <x:v>963</x:v>
      </x:c>
      <x:c r="I181" s="65"/>
      <x:c r="J181" s="65"/>
      <x:c r="K181" s="65"/>
      <x:c r="L181" s="65" t="s">
        <x:v>916</x:v>
      </x:c>
      <x:c r="M181" s="65"/>
      <x:c r="N181" s="65" t="s">
        <x:v>916</x:v>
      </x:c>
      <x:c r="O181" s="65"/>
      <x:c r="P181" s="65" t="s">
        <x:v>916</x:v>
      </x:c>
      <x:c r="Q181" s="85"/>
      <x:c r="R181" s="85"/>
      <x:c r="S181" s="85"/>
      <x:c r="T181" s="85"/>
      <x:c r="U181" s="85"/>
      <x:c r="V181" s="85"/>
      <x:c r="W181" s="66"/>
      <x:c r="X181" s="83" t="str">
        <x:f t="shared" si="22"/>
        <x:v>Tidak ada faktor rentan</x:v>
      </x:c>
      <x:c r="Y181" s="83" t="str">
        <x:f t="shared" si="23"/>
        <x:v>Tidak Ada Faktor Rentan</x:v>
      </x:c>
      <x:c r="Z181" s="84" t="str">
        <x:f t="shared" si="24"/>
      </x:c>
      <x:c r="AA181" s="84">
        <x:f t="shared" si="25"/>
        <x:v>0</x:v>
      </x:c>
      <x:c r="AB181" s="84" t="str">
        <x:f t="shared" si="26"/>
      </x:c>
      <x:c r="AC181" s="67" t="s">
        <x:v>901</x:v>
      </x:c>
      <x:c r="AD181" s="67" t="s">
        <x:v>901</x:v>
      </x:c>
      <x:c r="AE181" s="67" t="s">
        <x:v>901</x:v>
      </x:c>
      <x:c r="AF181" s="67" t="s">
        <x:v>901</x:v>
      </x:c>
      <x:c r="AG181" s="67" t="s">
        <x:v>901</x:v>
      </x:c>
      <x:c r="AH181" s="67" t="s">
        <x:v>901</x:v>
      </x:c>
      <x:c r="AI181" s="67" t="s">
        <x:v>901</x:v>
      </x:c>
      <x:c r="AJ181" s="67" t="s">
        <x:v>901</x:v>
      </x:c>
      <x:c r="AK181" s="67" t="s">
        <x:v>901</x:v>
      </x:c>
      <x:c r="AL181" s="67"/>
      <x:c r="AM181" s="67" t="s">
        <x:v>916</x:v>
      </x:c>
      <x:c r="AN181" s="83" t="str">
        <x:f t="shared" si="27"/>
        <x:v>Tidak ada risiko khusus</x:v>
      </x:c>
      <x:c r="AO181" s="83" t="str">
        <x:f t="shared" si="28"/>
        <x:v>Tidak Ada Risiko Khusus</x:v>
      </x:c>
      <x:c r="AP181" s="67"/>
      <x:c r="AQ181" s="70" t="str">
        <x:f t="shared" si="29"/>
      </x:c>
      <x:c r="AR181" s="70">
        <x:f t="shared" si="30"/>
        <x:v>0</x:v>
      </x:c>
      <x:c r="AS181" s="70" t="str">
        <x:f t="shared" si="31"/>
      </x:c>
      <x:c r="AT181" s="68" t="str">
        <x:f t="shared" si="32"/>
        <x:v>Belum Dapat Ditentukan</x:v>
      </x:c>
      <x:c r="AU181" s="65"/>
      <x:c r="AV181" s="65" t="s">
        <x:v>904</x:v>
      </x:c>
      <x:c r="AW181" s="65" t="s">
        <x:v>889</x:v>
      </x:c>
      <x:c r="AX181" s="65" t="s">
        <x:v>890</x:v>
      </x:c>
      <x:c r="AY181" s="65"/>
      <x:c r="AZ181" s="65"/>
      <x:c r="BA181" s="65"/>
      <x:c r="BB181" s="177"/>
      <x:c r="BC181" s="71"/>
      <x:c r="BD181" s="65"/>
      <x:c r="BE181" s="177"/>
      <x:c r="BF181" s="65" t="str">
        <x:v>Dinas Perkim Kota Pangkal Pinang</x:v>
      </x:c>
    </x:row>
    <x:row r="182" ht="28">
      <x:c r="A182" s="65" t="s">
        <x:v>1690</x:v>
      </x:c>
      <x:c r="B182" s="65" t="s">
        <x:v>1691</x:v>
      </x:c>
      <x:c r="C182" s="82" t="s">
        <x:v>1692</x:v>
      </x:c>
      <x:c r="D182" s="82" t="s">
        <x:v>1693</x:v>
      </x:c>
      <x:c r="E182" s="65" t="s">
        <x:v>1694</x:v>
      </x:c>
      <x:c r="F182" s="65" t="s">
        <x:v>1133</x:v>
      </x:c>
      <x:c r="G182" s="65" t="s">
        <x:v>1012</x:v>
      </x:c>
      <x:c r="H182" s="65" t="s">
        <x:v>963</x:v>
      </x:c>
      <x:c r="I182" s="65"/>
      <x:c r="J182" s="65"/>
      <x:c r="K182" s="65"/>
      <x:c r="L182" s="65" t="s">
        <x:v>916</x:v>
      </x:c>
      <x:c r="M182" s="65"/>
      <x:c r="N182" s="65" t="s">
        <x:v>916</x:v>
      </x:c>
      <x:c r="O182" s="65"/>
      <x:c r="P182" s="65" t="s">
        <x:v>916</x:v>
      </x:c>
      <x:c r="Q182" s="85"/>
      <x:c r="R182" s="85"/>
      <x:c r="S182" s="85"/>
      <x:c r="T182" s="85"/>
      <x:c r="U182" s="85"/>
      <x:c r="V182" s="85"/>
      <x:c r="W182" s="66"/>
      <x:c r="X182" s="83" t="str">
        <x:f t="shared" si="22"/>
        <x:v>Tidak ada faktor rentan</x:v>
      </x:c>
      <x:c r="Y182" s="83" t="str">
        <x:f t="shared" si="23"/>
        <x:v>Tidak Ada Faktor Rentan</x:v>
      </x:c>
      <x:c r="Z182" s="84" t="str">
        <x:f t="shared" si="24"/>
      </x:c>
      <x:c r="AA182" s="84">
        <x:f t="shared" si="25"/>
        <x:v>0</x:v>
      </x:c>
      <x:c r="AB182" s="84" t="str">
        <x:f t="shared" si="26"/>
      </x:c>
      <x:c r="AC182" s="67" t="s">
        <x:v>901</x:v>
      </x:c>
      <x:c r="AD182" s="67" t="s">
        <x:v>901</x:v>
      </x:c>
      <x:c r="AE182" s="67" t="s">
        <x:v>901</x:v>
      </x:c>
      <x:c r="AF182" s="67" t="s">
        <x:v>901</x:v>
      </x:c>
      <x:c r="AG182" s="67" t="s">
        <x:v>901</x:v>
      </x:c>
      <x:c r="AH182" s="67" t="s">
        <x:v>901</x:v>
      </x:c>
      <x:c r="AI182" s="67" t="s">
        <x:v>901</x:v>
      </x:c>
      <x:c r="AJ182" s="67" t="s">
        <x:v>901</x:v>
      </x:c>
      <x:c r="AK182" s="67" t="s">
        <x:v>901</x:v>
      </x:c>
      <x:c r="AL182" s="67"/>
      <x:c r="AM182" s="67" t="s">
        <x:v>916</x:v>
      </x:c>
      <x:c r="AN182" s="83" t="str">
        <x:f t="shared" si="27"/>
        <x:v>Tidak ada risiko khusus</x:v>
      </x:c>
      <x:c r="AO182" s="83" t="str">
        <x:f t="shared" si="28"/>
        <x:v>Tidak Ada Risiko Khusus</x:v>
      </x:c>
      <x:c r="AP182" s="67"/>
      <x:c r="AQ182" s="70" t="str">
        <x:f t="shared" si="29"/>
      </x:c>
      <x:c r="AR182" s="70">
        <x:f t="shared" si="30"/>
        <x:v>0</x:v>
      </x:c>
      <x:c r="AS182" s="70" t="str">
        <x:f t="shared" si="31"/>
      </x:c>
      <x:c r="AT182" s="68" t="str">
        <x:f t="shared" si="32"/>
        <x:v>Belum Dapat Ditentukan</x:v>
      </x:c>
      <x:c r="AU182" s="65"/>
      <x:c r="AV182" s="65" t="s">
        <x:v>904</x:v>
      </x:c>
      <x:c r="AW182" s="65" t="s">
        <x:v>889</x:v>
      </x:c>
      <x:c r="AX182" s="65" t="s">
        <x:v>890</x:v>
      </x:c>
      <x:c r="AY182" s="65"/>
      <x:c r="AZ182" s="65"/>
      <x:c r="BA182" s="65"/>
      <x:c r="BB182" s="177"/>
      <x:c r="BC182" s="71"/>
      <x:c r="BD182" s="65"/>
      <x:c r="BE182" s="177"/>
      <x:c r="BF182" s="65" t="str">
        <x:v>Dinas Perkim Kota Pangkal Pinang</x:v>
      </x:c>
    </x:row>
    <x:row r="183" ht="28">
      <x:c r="A183" s="65" t="s">
        <x:v>1695</x:v>
      </x:c>
      <x:c r="B183" s="65" t="s">
        <x:v>1696</x:v>
      </x:c>
      <x:c r="C183" s="82" t="s">
        <x:v>1697</x:v>
      </x:c>
      <x:c r="D183" s="82" t="s">
        <x:v>1698</x:v>
      </x:c>
      <x:c r="E183" s="65" t="s">
        <x:v>1140</x:v>
      </x:c>
      <x:c r="F183" s="65" t="s">
        <x:v>1133</x:v>
      </x:c>
      <x:c r="G183" s="65" t="s">
        <x:v>1012</x:v>
      </x:c>
      <x:c r="H183" s="65" t="s">
        <x:v>963</x:v>
      </x:c>
      <x:c r="I183" s="65"/>
      <x:c r="J183" s="65"/>
      <x:c r="K183" s="65"/>
      <x:c r="L183" s="65" t="s">
        <x:v>916</x:v>
      </x:c>
      <x:c r="M183" s="65"/>
      <x:c r="N183" s="65" t="s">
        <x:v>916</x:v>
      </x:c>
      <x:c r="O183" s="65"/>
      <x:c r="P183" s="65" t="s">
        <x:v>916</x:v>
      </x:c>
      <x:c r="Q183" s="85"/>
      <x:c r="R183" s="85"/>
      <x:c r="S183" s="85"/>
      <x:c r="T183" s="85"/>
      <x:c r="U183" s="85"/>
      <x:c r="V183" s="85"/>
      <x:c r="W183" s="66"/>
      <x:c r="X183" s="83" t="str">
        <x:f t="shared" si="22"/>
        <x:v>Tidak ada faktor rentan</x:v>
      </x:c>
      <x:c r="Y183" s="83" t="str">
        <x:f t="shared" si="23"/>
        <x:v>Tidak Ada Faktor Rentan</x:v>
      </x:c>
      <x:c r="Z183" s="84" t="str">
        <x:f t="shared" si="24"/>
      </x:c>
      <x:c r="AA183" s="84">
        <x:f t="shared" si="25"/>
        <x:v>0</x:v>
      </x:c>
      <x:c r="AB183" s="84" t="str">
        <x:f t="shared" si="26"/>
      </x:c>
      <x:c r="AC183" s="67" t="s">
        <x:v>901</x:v>
      </x:c>
      <x:c r="AD183" s="67" t="s">
        <x:v>901</x:v>
      </x:c>
      <x:c r="AE183" s="67" t="s">
        <x:v>901</x:v>
      </x:c>
      <x:c r="AF183" s="67" t="s">
        <x:v>901</x:v>
      </x:c>
      <x:c r="AG183" s="67" t="s">
        <x:v>901</x:v>
      </x:c>
      <x:c r="AH183" s="67" t="s">
        <x:v>901</x:v>
      </x:c>
      <x:c r="AI183" s="67" t="s">
        <x:v>901</x:v>
      </x:c>
      <x:c r="AJ183" s="67" t="s">
        <x:v>901</x:v>
      </x:c>
      <x:c r="AK183" s="67" t="s">
        <x:v>901</x:v>
      </x:c>
      <x:c r="AL183" s="67"/>
      <x:c r="AM183" s="67" t="s">
        <x:v>916</x:v>
      </x:c>
      <x:c r="AN183" s="83" t="str">
        <x:f t="shared" si="27"/>
        <x:v>Tidak ada risiko khusus</x:v>
      </x:c>
      <x:c r="AO183" s="83" t="str">
        <x:f t="shared" si="28"/>
        <x:v>Tidak Ada Risiko Khusus</x:v>
      </x:c>
      <x:c r="AP183" s="67"/>
      <x:c r="AQ183" s="70" t="str">
        <x:f t="shared" si="29"/>
      </x:c>
      <x:c r="AR183" s="70">
        <x:f t="shared" si="30"/>
        <x:v>0</x:v>
      </x:c>
      <x:c r="AS183" s="70" t="str">
        <x:f t="shared" si="31"/>
      </x:c>
      <x:c r="AT183" s="68" t="str">
        <x:f t="shared" si="32"/>
        <x:v>Belum Dapat Ditentukan</x:v>
      </x:c>
      <x:c r="AU183" s="65"/>
      <x:c r="AV183" s="65" t="s">
        <x:v>904</x:v>
      </x:c>
      <x:c r="AW183" s="65" t="s">
        <x:v>889</x:v>
      </x:c>
      <x:c r="AX183" s="65" t="s">
        <x:v>890</x:v>
      </x:c>
      <x:c r="AY183" s="65"/>
      <x:c r="AZ183" s="65"/>
      <x:c r="BA183" s="65"/>
      <x:c r="BB183" s="177"/>
      <x:c r="BC183" s="71"/>
      <x:c r="BD183" s="65"/>
      <x:c r="BE183" s="177"/>
      <x:c r="BF183" s="65" t="str">
        <x:v>Dinas Perkim Kota Pangkal Pinang</x:v>
      </x:c>
    </x:row>
    <x:row r="184" s="178" customFormat="1" ht="28">
      <x:c r="A184" s="65" t="s">
        <x:v>1699</x:v>
      </x:c>
      <x:c r="B184" s="65" t="s">
        <x:v>1700</x:v>
      </x:c>
      <x:c r="C184" s="82" t="s">
        <x:v>1701</x:v>
      </x:c>
      <x:c r="D184" s="82" t="s">
        <x:v>1702</x:v>
      </x:c>
      <x:c r="E184" s="65" t="s">
        <x:v>1703</x:v>
      </x:c>
      <x:c r="F184" s="65" t="s">
        <x:v>1704</x:v>
      </x:c>
      <x:c r="G184" s="65" t="s">
        <x:v>1027</x:v>
      </x:c>
      <x:c r="H184" s="65" t="s">
        <x:v>963</x:v>
      </x:c>
      <x:c r="I184" s="65"/>
      <x:c r="J184" s="65"/>
      <x:c r="K184" s="65"/>
      <x:c r="L184" s="65" t="s">
        <x:v>916</x:v>
      </x:c>
      <x:c r="M184" s="65"/>
      <x:c r="N184" s="65" t="s">
        <x:v>916</x:v>
      </x:c>
      <x:c r="O184" s="65"/>
      <x:c r="P184" s="65" t="s">
        <x:v>916</x:v>
      </x:c>
      <x:c r="Q184" s="85"/>
      <x:c r="R184" s="85"/>
      <x:c r="S184" s="85"/>
      <x:c r="T184" s="85"/>
      <x:c r="U184" s="85"/>
      <x:c r="V184" s="85"/>
      <x:c r="W184" s="66"/>
      <x:c r="X184" s="83" t="str">
        <x:f t="shared" si="22"/>
        <x:v>Tidak ada faktor rentan</x:v>
      </x:c>
      <x:c r="Y184" s="83" t="str">
        <x:f t="shared" si="23"/>
        <x:v>Tidak Ada Faktor Rentan</x:v>
      </x:c>
      <x:c r="Z184" s="84" t="str">
        <x:f t="shared" si="24"/>
      </x:c>
      <x:c r="AA184" s="84">
        <x:f t="shared" si="25"/>
        <x:v>0</x:v>
      </x:c>
      <x:c r="AB184" s="84" t="str">
        <x:f t="shared" si="26"/>
      </x:c>
      <x:c r="AC184" s="67" t="s">
        <x:v>901</x:v>
      </x:c>
      <x:c r="AD184" s="67" t="s">
        <x:v>901</x:v>
      </x:c>
      <x:c r="AE184" s="67" t="s">
        <x:v>901</x:v>
      </x:c>
      <x:c r="AF184" s="67" t="s">
        <x:v>901</x:v>
      </x:c>
      <x:c r="AG184" s="67" t="s">
        <x:v>901</x:v>
      </x:c>
      <x:c r="AH184" s="67" t="s">
        <x:v>901</x:v>
      </x:c>
      <x:c r="AI184" s="67" t="s">
        <x:v>901</x:v>
      </x:c>
      <x:c r="AJ184" s="67" t="s">
        <x:v>901</x:v>
      </x:c>
      <x:c r="AK184" s="67" t="s">
        <x:v>901</x:v>
      </x:c>
      <x:c r="AL184" s="67"/>
      <x:c r="AM184" s="67" t="s">
        <x:v>916</x:v>
      </x:c>
      <x:c r="AN184" s="83" t="str">
        <x:f t="shared" si="27"/>
        <x:v>Tidak ada risiko khusus</x:v>
      </x:c>
      <x:c r="AO184" s="83" t="str">
        <x:f t="shared" si="28"/>
        <x:v>Tidak Ada Risiko Khusus</x:v>
      </x:c>
      <x:c r="AP184" s="67"/>
      <x:c r="AQ184" s="70" t="str">
        <x:f t="shared" si="29"/>
      </x:c>
      <x:c r="AR184" s="70">
        <x:f t="shared" si="30"/>
        <x:v>0</x:v>
      </x:c>
      <x:c r="AS184" s="70" t="str">
        <x:f t="shared" si="31"/>
      </x:c>
      <x:c r="AT184" s="68" t="str">
        <x:f t="shared" si="32"/>
        <x:v>Belum Dapat Ditentukan</x:v>
      </x:c>
      <x:c r="AU184" s="65"/>
      <x:c r="AV184" s="65" t="s">
        <x:v>904</x:v>
      </x:c>
      <x:c r="AW184" s="65" t="s">
        <x:v>889</x:v>
      </x:c>
      <x:c r="AX184" s="65" t="s">
        <x:v>890</x:v>
      </x:c>
      <x:c r="AY184" s="65"/>
      <x:c r="AZ184" s="65"/>
      <x:c r="BA184" s="65"/>
      <x:c r="BB184" s="177"/>
      <x:c r="BC184" s="71"/>
      <x:c r="BD184" s="65"/>
      <x:c r="BE184" s="177"/>
      <x:c r="BF184" s="65" t="str">
        <x:v>Dinas Perkim Kota Pangkal Pinang</x:v>
      </x:c>
    </x:row>
    <x:row r="185" s="178" customFormat="1" ht="28">
      <x:c r="A185" s="65" t="s">
        <x:v>1705</x:v>
      </x:c>
      <x:c r="B185" s="65" t="s">
        <x:v>1706</x:v>
      </x:c>
      <x:c r="C185" s="65"/>
      <x:c r="D185" s="82" t="s">
        <x:v>1707</x:v>
      </x:c>
      <x:c r="E185" s="65" t="s">
        <x:v>1642</x:v>
      </x:c>
      <x:c r="F185" s="65" t="s">
        <x:v>1233</x:v>
      </x:c>
      <x:c r="G185" s="65" t="s">
        <x:v>1053</x:v>
      </x:c>
      <x:c r="H185" s="65" t="s">
        <x:v>963</x:v>
      </x:c>
      <x:c r="I185" s="65"/>
      <x:c r="J185" s="65" t="s">
        <x:v>895</x:v>
      </x:c>
      <x:c r="K185" s="65" t="s">
        <x:v>911</x:v>
      </x:c>
      <x:c r="L185" s="65" t="s">
        <x:v>881</x:v>
      </x:c>
      <x:c r="M185" s="65" t="s">
        <x:v>979</x:v>
      </x:c>
      <x:c r="N185" s="65" t="s">
        <x:v>881</x:v>
      </x:c>
      <x:c r="O185" s="65" t="s">
        <x:v>883</x:v>
      </x:c>
      <x:c r="P185" s="65" t="s">
        <x:v>897</x:v>
      </x:c>
      <x:c r="Q185" s="85" t="s">
        <x:v>884</x:v>
      </x:c>
      <x:c r="R185" s="85" t="s">
        <x:v>901</x:v>
      </x:c>
      <x:c r="S185" s="85" t="s">
        <x:v>901</x:v>
      </x:c>
      <x:c r="T185" s="85" t="s">
        <x:v>901</x:v>
      </x:c>
      <x:c r="U185" s="85" t="s">
        <x:v>901</x:v>
      </x:c>
      <x:c r="V185" s="85" t="s">
        <x:v>916</x:v>
      </x:c>
      <x:c r="W185" s="66"/>
      <x:c r="X185" s="83" t="str">
        <x:f t="shared" si="22"/>
        <x:v>Belum Dinilai</x:v>
      </x:c>
      <x:c r="Y185" s="83" t="str">
        <x:f t="shared" si="23"/>
        <x:v>Belum Dinilai</x:v>
      </x:c>
      <x:c r="Z185" s="84">
        <x:f t="shared" si="24"/>
        <x:v>10</x:v>
      </x:c>
      <x:c r="AA185" s="84" t="str">
        <x:f t="shared" si="25"/>
      </x:c>
      <x:c r="AB185" s="84" t="str">
        <x:f t="shared" si="26"/>
      </x:c>
      <x:c r="AC185" s="67" t="s">
        <x:v>901</x:v>
      </x:c>
      <x:c r="AD185" s="67" t="s">
        <x:v>901</x:v>
      </x:c>
      <x:c r="AE185" s="67" t="s">
        <x:v>901</x:v>
      </x:c>
      <x:c r="AF185" s="67" t="s">
        <x:v>901</x:v>
      </x:c>
      <x:c r="AG185" s="67" t="s">
        <x:v>901</x:v>
      </x:c>
      <x:c r="AH185" s="67" t="s">
        <x:v>901</x:v>
      </x:c>
      <x:c r="AI185" s="67" t="s">
        <x:v>901</x:v>
      </x:c>
      <x:c r="AJ185" s="67" t="s">
        <x:v>901</x:v>
      </x:c>
      <x:c r="AK185" s="67" t="s">
        <x:v>901</x:v>
      </x:c>
      <x:c r="AL185" s="67"/>
      <x:c r="AM185" s="67" t="s">
        <x:v>916</x:v>
      </x:c>
      <x:c r="AN185" s="83" t="str">
        <x:f t="shared" si="27"/>
        <x:v>Tidak ada risiko khusus</x:v>
      </x:c>
      <x:c r="AO185" s="83" t="str">
        <x:f t="shared" si="28"/>
        <x:v>Tidak Ada Risiko Khusus</x:v>
      </x:c>
      <x:c r="AP185" s="67"/>
      <x:c r="AQ185" s="70">
        <x:f t="shared" si="29"/>
        <x:v>12</x:v>
      </x:c>
      <x:c r="AR185" s="70">
        <x:f t="shared" si="30"/>
        <x:v>0</x:v>
      </x:c>
      <x:c r="AS185" s="70" t="str">
        <x:f t="shared" si="31"/>
      </x:c>
      <x:c r="AT185" s="68" t="str">
        <x:f t="shared" si="32"/>
        <x:v>Belum Dapat Ditentukan</x:v>
      </x:c>
      <x:c r="AU185" s="65"/>
      <x:c r="AV185" s="65" t="s">
        <x:v>904</x:v>
      </x:c>
      <x:c r="AW185" s="65" t="s">
        <x:v>889</x:v>
      </x:c>
      <x:c r="AX185" s="65" t="s">
        <x:v>890</x:v>
      </x:c>
      <x:c r="AY185" s="65"/>
      <x:c r="AZ185" s="65"/>
      <x:c r="BA185" s="65"/>
      <x:c r="BB185" s="177"/>
      <x:c r="BC185" s="71"/>
      <x:c r="BD185" s="65"/>
      <x:c r="BE185" s="177"/>
      <x:c r="BF185" s="65" t="str">
        <x:v>Dinas Perkim Kota Pangkal Pinang</x:v>
      </x:c>
    </x:row>
    <x:row r="186" s="178" customFormat="1" ht="28">
      <x:c r="A186" s="65" t="s">
        <x:v>1708</x:v>
      </x:c>
      <x:c r="B186" s="65" t="s">
        <x:v>1709</x:v>
      </x:c>
      <x:c r="C186" s="82" t="s">
        <x:v>1710</x:v>
      </x:c>
      <x:c r="D186" s="82" t="s">
        <x:v>1711</x:v>
      </x:c>
      <x:c r="E186" s="65" t="s">
        <x:v>1646</x:v>
      </x:c>
      <x:c r="F186" s="65" t="s">
        <x:v>1233</x:v>
      </x:c>
      <x:c r="G186" s="65" t="s">
        <x:v>1053</x:v>
      </x:c>
      <x:c r="H186" s="65" t="s">
        <x:v>963</x:v>
      </x:c>
      <x:c r="I186" s="65"/>
      <x:c r="J186" s="65" t="s">
        <x:v>879</x:v>
      </x:c>
      <x:c r="K186" s="65" t="s">
        <x:v>911</x:v>
      </x:c>
      <x:c r="L186" s="65" t="s">
        <x:v>881</x:v>
      </x:c>
      <x:c r="M186" s="65" t="s">
        <x:v>882</x:v>
      </x:c>
      <x:c r="N186" s="65" t="s">
        <x:v>881</x:v>
      </x:c>
      <x:c r="O186" s="65" t="s">
        <x:v>883</x:v>
      </x:c>
      <x:c r="P186" s="65" t="s">
        <x:v>881</x:v>
      </x:c>
      <x:c r="Q186" s="85" t="s">
        <x:v>884</x:v>
      </x:c>
      <x:c r="R186" s="85" t="s">
        <x:v>901</x:v>
      </x:c>
      <x:c r="S186" s="85" t="s">
        <x:v>901</x:v>
      </x:c>
      <x:c r="T186" s="85" t="s">
        <x:v>901</x:v>
      </x:c>
      <x:c r="U186" s="85" t="s">
        <x:v>901</x:v>
      </x:c>
      <x:c r="V186" s="85" t="s">
        <x:v>916</x:v>
      </x:c>
      <x:c r="W186" s="66"/>
      <x:c r="X186" s="83" t="str">
        <x:f t="shared" si="22"/>
        <x:v>Belum Dinilai</x:v>
      </x:c>
      <x:c r="Y186" s="83" t="str">
        <x:f t="shared" si="23"/>
        <x:v>Belum Dinilai</x:v>
      </x:c>
      <x:c r="Z186" s="84">
        <x:f t="shared" si="24"/>
        <x:v>10</x:v>
      </x:c>
      <x:c r="AA186" s="84" t="str">
        <x:f t="shared" si="25"/>
      </x:c>
      <x:c r="AB186" s="84" t="str">
        <x:f t="shared" si="26"/>
      </x:c>
      <x:c r="AC186" s="67" t="s">
        <x:v>901</x:v>
      </x:c>
      <x:c r="AD186" s="67" t="s">
        <x:v>901</x:v>
      </x:c>
      <x:c r="AE186" s="67" t="s">
        <x:v>901</x:v>
      </x:c>
      <x:c r="AF186" s="67" t="s">
        <x:v>901</x:v>
      </x:c>
      <x:c r="AG186" s="67" t="s">
        <x:v>901</x:v>
      </x:c>
      <x:c r="AH186" s="67" t="s">
        <x:v>901</x:v>
      </x:c>
      <x:c r="AI186" s="67" t="s">
        <x:v>901</x:v>
      </x:c>
      <x:c r="AJ186" s="67" t="s">
        <x:v>901</x:v>
      </x:c>
      <x:c r="AK186" s="67" t="s">
        <x:v>901</x:v>
      </x:c>
      <x:c r="AL186" s="67"/>
      <x:c r="AM186" s="67" t="s">
        <x:v>916</x:v>
      </x:c>
      <x:c r="AN186" s="83" t="str">
        <x:f t="shared" si="27"/>
        <x:v>Tidak ada risiko khusus</x:v>
      </x:c>
      <x:c r="AO186" s="83" t="str">
        <x:f t="shared" si="28"/>
        <x:v>Tidak Ada Risiko Khusus</x:v>
      </x:c>
      <x:c r="AP186" s="67"/>
      <x:c r="AQ186" s="70">
        <x:f t="shared" si="29"/>
        <x:v>0</x:v>
      </x:c>
      <x:c r="AR186" s="70">
        <x:f t="shared" si="30"/>
        <x:v>0</x:v>
      </x:c>
      <x:c r="AS186" s="70" t="str">
        <x:f t="shared" si="31"/>
      </x:c>
      <x:c r="AT186" s="68" t="str">
        <x:f t="shared" si="32"/>
        <x:v>Belum Dapat Ditentukan</x:v>
      </x:c>
      <x:c r="AU186" s="65"/>
      <x:c r="AV186" s="65" t="s">
        <x:v>904</x:v>
      </x:c>
      <x:c r="AW186" s="65" t="s">
        <x:v>889</x:v>
      </x:c>
      <x:c r="AX186" s="65" t="s">
        <x:v>890</x:v>
      </x:c>
      <x:c r="AY186" s="65"/>
      <x:c r="AZ186" s="65"/>
      <x:c r="BA186" s="65"/>
      <x:c r="BB186" s="177"/>
      <x:c r="BC186" s="71"/>
      <x:c r="BD186" s="65"/>
      <x:c r="BE186" s="177"/>
      <x:c r="BF186" s="65" t="str">
        <x:v>Dinas Perkim Kota Pangkal Pinang</x:v>
      </x:c>
    </x:row>
    <x:row r="187" s="178" customFormat="1" ht="28">
      <x:c r="A187" s="65" t="s">
        <x:v>1712</x:v>
      </x:c>
      <x:c r="B187" s="65" t="s">
        <x:v>1713</x:v>
      </x:c>
      <x:c r="C187" s="82" t="s">
        <x:v>1714</x:v>
      </x:c>
      <x:c r="D187" s="82" t="s">
        <x:v>1715</x:v>
      </x:c>
      <x:c r="E187" s="65" t="s">
        <x:v>1642</x:v>
      </x:c>
      <x:c r="F187" s="65" t="s">
        <x:v>1233</x:v>
      </x:c>
      <x:c r="G187" s="65" t="s">
        <x:v>1053</x:v>
      </x:c>
      <x:c r="H187" s="65" t="s">
        <x:v>963</x:v>
      </x:c>
      <x:c r="I187" s="65"/>
      <x:c r="J187" s="65" t="s">
        <x:v>879</x:v>
      </x:c>
      <x:c r="K187" s="65" t="s">
        <x:v>911</x:v>
      </x:c>
      <x:c r="L187" s="65" t="s">
        <x:v>881</x:v>
      </x:c>
      <x:c r="M187" s="65" t="s">
        <x:v>898</x:v>
      </x:c>
      <x:c r="N187" s="65" t="s">
        <x:v>881</x:v>
      </x:c>
      <x:c r="O187" s="65" t="s">
        <x:v>883</x:v>
      </x:c>
      <x:c r="P187" s="65" t="s">
        <x:v>881</x:v>
      </x:c>
      <x:c r="Q187" s="85" t="s">
        <x:v>884</x:v>
      </x:c>
      <x:c r="R187" s="85" t="s">
        <x:v>901</x:v>
      </x:c>
      <x:c r="S187" s="85" t="s">
        <x:v>901</x:v>
      </x:c>
      <x:c r="T187" s="85" t="s">
        <x:v>901</x:v>
      </x:c>
      <x:c r="U187" s="85" t="s">
        <x:v>885</x:v>
      </x:c>
      <x:c r="V187" s="85" t="s">
        <x:v>916</x:v>
      </x:c>
      <x:c r="W187" s="66"/>
      <x:c r="X187" s="83" t="str">
        <x:f t="shared" si="22"/>
        <x:v>Belum Dinilai</x:v>
      </x:c>
      <x:c r="Y187" s="83" t="str">
        <x:f t="shared" si="23"/>
        <x:v>Belum Dinilai</x:v>
      </x:c>
      <x:c r="Z187" s="84">
        <x:f t="shared" si="24"/>
        <x:v>10</x:v>
      </x:c>
      <x:c r="AA187" s="84" t="str">
        <x:f t="shared" si="25"/>
      </x:c>
      <x:c r="AB187" s="84" t="str">
        <x:f t="shared" si="26"/>
      </x:c>
      <x:c r="AC187" s="67" t="s">
        <x:v>901</x:v>
      </x:c>
      <x:c r="AD187" s="67" t="s">
        <x:v>901</x:v>
      </x:c>
      <x:c r="AE187" s="67" t="s">
        <x:v>901</x:v>
      </x:c>
      <x:c r="AF187" s="67" t="s">
        <x:v>901</x:v>
      </x:c>
      <x:c r="AG187" s="67" t="s">
        <x:v>901</x:v>
      </x:c>
      <x:c r="AH187" s="67" t="s">
        <x:v>901</x:v>
      </x:c>
      <x:c r="AI187" s="67" t="s">
        <x:v>901</x:v>
      </x:c>
      <x:c r="AJ187" s="67" t="s">
        <x:v>901</x:v>
      </x:c>
      <x:c r="AK187" s="67" t="s">
        <x:v>901</x:v>
      </x:c>
      <x:c r="AL187" s="67"/>
      <x:c r="AM187" s="67"/>
      <x:c r="AN187" s="83" t="str">
        <x:f t="shared" si="27"/>
        <x:v>Tidak ada risiko khusus</x:v>
      </x:c>
      <x:c r="AO187" s="83" t="str">
        <x:f t="shared" si="28"/>
        <x:v>Tidak Ada Risiko Khusus</x:v>
      </x:c>
      <x:c r="AP187" s="67"/>
      <x:c r="AQ187" s="70">
        <x:f t="shared" si="29"/>
        <x:v>0</x:v>
      </x:c>
      <x:c r="AR187" s="70">
        <x:f t="shared" si="30"/>
        <x:v>0</x:v>
      </x:c>
      <x:c r="AS187" s="70" t="str">
        <x:f t="shared" si="31"/>
      </x:c>
      <x:c r="AT187" s="68" t="str">
        <x:f t="shared" si="32"/>
        <x:v>Belum Dapat Ditentukan</x:v>
      </x:c>
      <x:c r="AU187" s="65"/>
      <x:c r="AV187" s="65" t="s">
        <x:v>904</x:v>
      </x:c>
      <x:c r="AW187" s="65" t="s">
        <x:v>889</x:v>
      </x:c>
      <x:c r="AX187" s="65" t="s">
        <x:v>890</x:v>
      </x:c>
      <x:c r="AY187" s="65"/>
      <x:c r="AZ187" s="65"/>
      <x:c r="BA187" s="65"/>
      <x:c r="BB187" s="177"/>
      <x:c r="BC187" s="71"/>
      <x:c r="BD187" s="65"/>
      <x:c r="BE187" s="177"/>
      <x:c r="BF187" s="65" t="str">
        <x:v>Dinas Perkim Kota Pangkal Pinang</x:v>
      </x:c>
    </x:row>
    <x:row r="188" ht="28">
      <x:c r="A188" s="179" t="s">
        <x:v>1716</x:v>
      </x:c>
      <x:c r="B188" s="179" t="s">
        <x:v>1717</x:v>
      </x:c>
      <x:c r="C188" s="179"/>
      <x:c r="D188" s="179"/>
      <x:c r="E188" s="179" t="s">
        <x:v>1718</x:v>
      </x:c>
      <x:c r="F188" s="179" t="s">
        <x:v>1159</x:v>
      </x:c>
      <x:c r="G188" s="179" t="s">
        <x:v>1012</x:v>
      </x:c>
      <x:c r="H188" s="179" t="s">
        <x:v>878</x:v>
      </x:c>
      <x:c r="I188" s="179"/>
      <x:c r="J188" s="179" t="s">
        <x:v>895</x:v>
      </x:c>
      <x:c r="K188" s="179" t="s">
        <x:v>896</x:v>
      </x:c>
      <x:c r="L188" s="179" t="s">
        <x:v>881</x:v>
      </x:c>
      <x:c r="M188" s="179" t="s">
        <x:v>968</x:v>
      </x:c>
      <x:c r="N188" s="179" t="s">
        <x:v>881</x:v>
      </x:c>
      <x:c r="O188" s="179" t="s">
        <x:v>914</x:v>
      </x:c>
      <x:c r="P188" s="179" t="s">
        <x:v>881</x:v>
      </x:c>
      <x:c r="Q188" s="179" t="s">
        <x:v>916</x:v>
      </x:c>
      <x:c r="R188" s="179" t="s">
        <x:v>916</x:v>
      </x:c>
      <x:c r="S188" s="179" t="s">
        <x:v>916</x:v>
      </x:c>
      <x:c r="T188" s="179" t="s">
        <x:v>916</x:v>
      </x:c>
      <x:c r="U188" s="179" t="s">
        <x:v>916</x:v>
      </x:c>
      <x:c r="V188" s="179" t="s">
        <x:v>916</x:v>
      </x:c>
      <x:c r="W188" s="179"/>
      <x:c r="X188" s="179" t="str">
        <x:f t="shared" si="22"/>
        <x:v>Belum Dinilai</x:v>
      </x:c>
      <x:c r="Y188" s="179" t="str">
        <x:f t="shared" si="23"/>
        <x:v>Belum Dinilai</x:v>
      </x:c>
      <x:c r="Z188" s="180" t="str">
        <x:f t="shared" si="24"/>
      </x:c>
      <x:c r="AA188" s="180" t="str">
        <x:f t="shared" si="25"/>
      </x:c>
      <x:c r="AB188" s="180" t="str">
        <x:f t="shared" si="26"/>
      </x:c>
      <x:c r="AC188" s="179" t="s">
        <x:v>901</x:v>
      </x:c>
      <x:c r="AD188" s="179" t="s">
        <x:v>901</x:v>
      </x:c>
      <x:c r="AE188" s="179" t="s">
        <x:v>901</x:v>
      </x:c>
      <x:c r="AF188" s="179" t="s">
        <x:v>901</x:v>
      </x:c>
      <x:c r="AG188" s="179" t="s">
        <x:v>885</x:v>
      </x:c>
      <x:c r="AH188" s="179" t="s">
        <x:v>901</x:v>
      </x:c>
      <x:c r="AI188" s="179" t="s">
        <x:v>885</x:v>
      </x:c>
      <x:c r="AJ188" s="179" t="s">
        <x:v>901</x:v>
      </x:c>
      <x:c r="AK188" s="179" t="s">
        <x:v>901</x:v>
      </x:c>
      <x:c r="AL188" s="179"/>
      <x:c r="AM188" s="179"/>
      <x:c r="AN188" s="179" t="str">
        <x:f t="shared" si="27"/>
        <x:v>Struktur rumah tidak stabil; Komponen bangunan lepas atau lapuk; </x:v>
      </x:c>
      <x:c r="AO188" s="179" t="str">
        <x:f t="shared" si="28"/>
        <x:v>Risiko Tinggi/Darurat</x:v>
      </x:c>
      <x:c r="AP188" s="179"/>
      <x:c r="AQ188" s="180">
        <x:f t="shared" si="29"/>
        <x:v>8</x:v>
      </x:c>
      <x:c r="AR188" s="180">
        <x:f t="shared" si="30"/>
        <x:v>10</x:v>
      </x:c>
      <x:c r="AS188" s="180" t="str">
        <x:f t="shared" si="31"/>
      </x:c>
      <x:c r="AT188" s="179" t="str">
        <x:f t="shared" si="32"/>
        <x:v>Belum Dapat Ditentukan</x:v>
      </x:c>
      <x:c r="AU188" s="179"/>
      <x:c r="AV188" s="179" t="s">
        <x:v>904</x:v>
      </x:c>
      <x:c r="AW188" s="179" t="s">
        <x:v>889</x:v>
      </x:c>
      <x:c r="AX188" s="65" t="s">
        <x:v>890</x:v>
      </x:c>
      <x:c r="AY188" s="179"/>
      <x:c r="AZ188" s="179" t="s">
        <x:v>907</x:v>
      </x:c>
      <x:c r="BA188" s="179"/>
      <x:c r="BB188" s="181"/>
      <x:c r="BC188" s="180">
        <x:v>2025</x:v>
      </x:c>
      <x:c r="BD188" s="179" t="s">
        <x:v>908</x:v>
      </x:c>
      <x:c r="BE188" s="181"/>
      <x:c r="BF188" s="179" t="str">
        <x:v>Dinas Perkim Kota Pangkal Pinang</x:v>
      </x:c>
    </x:row>
    <x:row r="189" ht="28">
      <x:c r="A189" s="179" t="s">
        <x:v>1719</x:v>
      </x:c>
      <x:c r="B189" s="179" t="s">
        <x:v>1720</x:v>
      </x:c>
      <x:c r="C189" s="179"/>
      <x:c r="D189" s="179"/>
      <x:c r="E189" s="179" t="s">
        <x:v>1721</x:v>
      </x:c>
      <x:c r="F189" s="179" t="s">
        <x:v>1159</x:v>
      </x:c>
      <x:c r="G189" s="179" t="s">
        <x:v>1012</x:v>
      </x:c>
      <x:c r="H189" s="179" t="s">
        <x:v>878</x:v>
      </x:c>
      <x:c r="I189" s="179"/>
      <x:c r="J189" s="179" t="s">
        <x:v>895</x:v>
      </x:c>
      <x:c r="K189" s="179" t="s">
        <x:v>896</x:v>
      </x:c>
      <x:c r="L189" s="179" t="s">
        <x:v>897</x:v>
      </x:c>
      <x:c r="M189" s="179" t="s">
        <x:v>979</x:v>
      </x:c>
      <x:c r="N189" s="179" t="s">
        <x:v>912</x:v>
      </x:c>
      <x:c r="O189" s="179" t="s">
        <x:v>914</x:v>
      </x:c>
      <x:c r="P189" s="179" t="s">
        <x:v>897</x:v>
      </x:c>
      <x:c r="Q189" s="179" t="s">
        <x:v>884</x:v>
      </x:c>
      <x:c r="R189" s="179" t="s">
        <x:v>901</x:v>
      </x:c>
      <x:c r="S189" s="179" t="s">
        <x:v>901</x:v>
      </x:c>
      <x:c r="T189" s="179" t="s">
        <x:v>901</x:v>
      </x:c>
      <x:c r="U189" s="179" t="s">
        <x:v>901</x:v>
      </x:c>
      <x:c r="V189" s="179" t="s">
        <x:v>901</x:v>
      </x:c>
      <x:c r="W189" s="179"/>
      <x:c r="X189" s="179" t="str">
        <x:f t="shared" si="22"/>
        <x:v>Tidak ada faktor rentan</x:v>
      </x:c>
      <x:c r="Y189" s="179" t="str">
        <x:f t="shared" si="23"/>
        <x:v>Tidak Ada Faktor Rentan</x:v>
      </x:c>
      <x:c r="Z189" s="180">
        <x:f t="shared" si="24"/>
        <x:v>10</x:v>
      </x:c>
      <x:c r="AA189" s="180">
        <x:f t="shared" si="25"/>
        <x:v>0</x:v>
      </x:c>
      <x:c r="AB189" s="180">
        <x:f t="shared" si="26"/>
        <x:v>10</x:v>
      </x:c>
      <x:c r="AC189" s="179" t="s">
        <x:v>901</x:v>
      </x:c>
      <x:c r="AD189" s="179" t="s">
        <x:v>901</x:v>
      </x:c>
      <x:c r="AE189" s="179" t="s">
        <x:v>885</x:v>
      </x:c>
      <x:c r="AF189" s="179" t="s">
        <x:v>901</x:v>
      </x:c>
      <x:c r="AG189" s="179" t="s">
        <x:v>885</x:v>
      </x:c>
      <x:c r="AH189" s="179" t="s">
        <x:v>885</x:v>
      </x:c>
      <x:c r="AI189" s="179" t="s">
        <x:v>885</x:v>
      </x:c>
      <x:c r="AJ189" s="179" t="s">
        <x:v>901</x:v>
      </x:c>
      <x:c r="AK189" s="179" t="s">
        <x:v>901</x:v>
      </x:c>
      <x:c r="AL189" s="179"/>
      <x:c r="AM189" s="179"/>
      <x:c r="AN189" s="179" t="str">
        <x:f t="shared" si="27"/>
        <x:v>Atap atau dinding utama hampir runtuh; Struktur rumah tidak stabil; Instalasi listrik berbahaya; Komponen bangunan lepas atau lapuk; </x:v>
      </x:c>
      <x:c r="AO189" s="179" t="str">
        <x:f t="shared" si="28"/>
        <x:v>Risiko Tinggi/Darurat</x:v>
      </x:c>
      <x:c r="AP189" s="179"/>
      <x:c r="AQ189" s="180">
        <x:f t="shared" si="29"/>
        <x:v>27</x:v>
      </x:c>
      <x:c r="AR189" s="180">
        <x:f t="shared" si="30"/>
        <x:v>10</x:v>
      </x:c>
      <x:c r="AS189" s="180">
        <x:f t="shared" si="31"/>
        <x:v>47</x:v>
      </x:c>
      <x:c r="AT189" s="179" t="str">
        <x:f t="shared" si="32"/>
        <x:v>Tinggi</x:v>
      </x:c>
      <x:c r="AU189" s="179"/>
      <x:c r="AV189" s="179" t="s">
        <x:v>904</x:v>
      </x:c>
      <x:c r="AW189" s="179" t="s">
        <x:v>889</x:v>
      </x:c>
      <x:c r="AX189" s="65" t="s">
        <x:v>890</x:v>
      </x:c>
      <x:c r="AY189" s="179"/>
      <x:c r="AZ189" s="179" t="s">
        <x:v>907</x:v>
      </x:c>
      <x:c r="BA189" s="179"/>
      <x:c r="BB189" s="181"/>
      <x:c r="BC189" s="180">
        <x:v>2025</x:v>
      </x:c>
      <x:c r="BD189" s="179" t="s">
        <x:v>908</x:v>
      </x:c>
      <x:c r="BE189" s="181"/>
      <x:c r="BF189" s="179" t="str">
        <x:v>Dinas Perkim Kota Pangkal Pinang</x:v>
      </x:c>
    </x:row>
    <x:row r="190" ht="28">
      <x:c r="A190" s="179" t="s">
        <x:v>1722</x:v>
      </x:c>
      <x:c r="B190" s="179" t="s">
        <x:v>1723</x:v>
      </x:c>
      <x:c r="C190" s="182" t="s">
        <x:v>1724</x:v>
      </x:c>
      <x:c r="D190" s="182" t="s">
        <x:v>1725</x:v>
      </x:c>
      <x:c r="E190" s="179" t="s">
        <x:v>1726</x:v>
      </x:c>
      <x:c r="F190" s="179" t="s">
        <x:v>1159</x:v>
      </x:c>
      <x:c r="G190" s="179" t="s">
        <x:v>1012</x:v>
      </x:c>
      <x:c r="H190" s="179" t="s">
        <x:v>894</x:v>
      </x:c>
      <x:c r="I190" s="179"/>
      <x:c r="J190" s="179" t="s">
        <x:v>895</x:v>
      </x:c>
      <x:c r="K190" s="179" t="s">
        <x:v>896</x:v>
      </x:c>
      <x:c r="L190" s="179" t="s">
        <x:v>897</x:v>
      </x:c>
      <x:c r="M190" s="179" t="s">
        <x:v>979</x:v>
      </x:c>
      <x:c r="N190" s="179" t="s">
        <x:v>897</x:v>
      </x:c>
      <x:c r="O190" s="179" t="s">
        <x:v>914</x:v>
      </x:c>
      <x:c r="P190" s="179" t="s">
        <x:v>881</x:v>
      </x:c>
      <x:c r="Q190" s="179" t="s">
        <x:v>884</x:v>
      </x:c>
      <x:c r="R190" s="179" t="s">
        <x:v>901</x:v>
      </x:c>
      <x:c r="S190" s="179" t="s">
        <x:v>901</x:v>
      </x:c>
      <x:c r="T190" s="179" t="s">
        <x:v>901</x:v>
      </x:c>
      <x:c r="U190" s="179" t="s">
        <x:v>901</x:v>
      </x:c>
      <x:c r="V190" s="179" t="s">
        <x:v>901</x:v>
      </x:c>
      <x:c r="W190" s="179"/>
      <x:c r="X190" s="179" t="str">
        <x:f t="shared" si="22"/>
        <x:v>Tidak ada faktor rentan</x:v>
      </x:c>
      <x:c r="Y190" s="179" t="str">
        <x:f t="shared" si="23"/>
        <x:v>Tidak Ada Faktor Rentan</x:v>
      </x:c>
      <x:c r="Z190" s="180">
        <x:f t="shared" si="24"/>
        <x:v>10</x:v>
      </x:c>
      <x:c r="AA190" s="180">
        <x:f t="shared" si="25"/>
        <x:v>0</x:v>
      </x:c>
      <x:c r="AB190" s="180">
        <x:f t="shared" si="26"/>
        <x:v>10</x:v>
      </x:c>
      <x:c r="AC190" s="179" t="s">
        <x:v>885</x:v>
      </x:c>
      <x:c r="AD190" s="179" t="s">
        <x:v>901</x:v>
      </x:c>
      <x:c r="AE190" s="179" t="s">
        <x:v>885</x:v>
      </x:c>
      <x:c r="AF190" s="179" t="s">
        <x:v>901</x:v>
      </x:c>
      <x:c r="AG190" s="179" t="s">
        <x:v>885</x:v>
      </x:c>
      <x:c r="AH190" s="179" t="s">
        <x:v>885</x:v>
      </x:c>
      <x:c r="AI190" s="179" t="s">
        <x:v>901</x:v>
      </x:c>
      <x:c r="AJ190" s="179" t="s">
        <x:v>901</x:v>
      </x:c>
      <x:c r="AK190" s="179" t="s">
        <x:v>901</x:v>
      </x:c>
      <x:c r="AL190" s="179"/>
      <x:c r="AM190" s="179"/>
      <x:c r="AN190" s="179" t="str">
        <x:f t="shared" si="27"/>
        <x:v>Bangunan berpotensi roboh; Atap atau dinding utama hampir runtuh; Struktur rumah tidak stabil; Instalasi listrik berbahaya; </x:v>
      </x:c>
      <x:c r="AO190" s="179" t="str">
        <x:f t="shared" si="28"/>
        <x:v>Risiko Tinggi/Darurat</x:v>
      </x:c>
      <x:c r="AP190" s="179"/>
      <x:c r="AQ190" s="180">
        <x:f t="shared" si="29"/>
        <x:v>18</x:v>
      </x:c>
      <x:c r="AR190" s="180">
        <x:f t="shared" si="30"/>
        <x:v>10</x:v>
      </x:c>
      <x:c r="AS190" s="180">
        <x:f t="shared" si="31"/>
        <x:v>38</x:v>
      </x:c>
      <x:c r="AT190" s="179" t="str">
        <x:f t="shared" si="32"/>
        <x:v>Tinggi</x:v>
      </x:c>
      <x:c r="AU190" s="179" t="s">
        <x:v>887</x:v>
      </x:c>
      <x:c r="AV190" s="179" t="s">
        <x:v>904</x:v>
      </x:c>
      <x:c r="AW190" s="179" t="s">
        <x:v>969</x:v>
      </x:c>
      <x:c r="AX190" s="179" t="s">
        <x:v>906</x:v>
      </x:c>
      <x:c r="AY190" s="179">
        <x:v>2026</x:v>
      </x:c>
      <x:c r="AZ190" s="179" t="s">
        <x:v>891</x:v>
      </x:c>
      <x:c r="BA190" s="179"/>
      <x:c r="BB190" s="181"/>
      <x:c r="BC190" s="180">
        <x:v>2025</x:v>
      </x:c>
      <x:c r="BD190" s="179" t="s">
        <x:v>908</x:v>
      </x:c>
      <x:c r="BE190" s="181"/>
      <x:c r="BF190" s="179" t="str">
        <x:v>Dinas Perkim Kota Pangkal Pinang</x:v>
      </x:c>
    </x:row>
    <x:row r="191" ht="28">
      <x:c r="A191" s="179" t="s">
        <x:v>1727</x:v>
      </x:c>
      <x:c r="B191" s="179" t="s">
        <x:v>1728</x:v>
      </x:c>
      <x:c r="C191" s="182" t="s">
        <x:v>1729</x:v>
      </x:c>
      <x:c r="D191" s="182" t="s">
        <x:v>1730</x:v>
      </x:c>
      <x:c r="E191" s="179" t="s">
        <x:v>1731</x:v>
      </x:c>
      <x:c r="F191" s="179" t="s">
        <x:v>1052</x:v>
      </x:c>
      <x:c r="G191" s="179" t="s">
        <x:v>1053</x:v>
      </x:c>
      <x:c r="H191" s="179" t="s">
        <x:v>894</x:v>
      </x:c>
      <x:c r="I191" s="179"/>
      <x:c r="J191" s="179" t="s">
        <x:v>895</x:v>
      </x:c>
      <x:c r="K191" s="179" t="s">
        <x:v>896</x:v>
      </x:c>
      <x:c r="L191" s="179" t="s">
        <x:v>897</x:v>
      </x:c>
      <x:c r="M191" s="179" t="s">
        <x:v>979</x:v>
      </x:c>
      <x:c r="N191" s="179" t="s">
        <x:v>897</x:v>
      </x:c>
      <x:c r="O191" s="179" t="s">
        <x:v>914</x:v>
      </x:c>
      <x:c r="P191" s="179" t="s">
        <x:v>897</x:v>
      </x:c>
      <x:c r="Q191" s="179" t="s">
        <x:v>884</x:v>
      </x:c>
      <x:c r="R191" s="179" t="s">
        <x:v>901</x:v>
      </x:c>
      <x:c r="S191" s="179" t="s">
        <x:v>901</x:v>
      </x:c>
      <x:c r="T191" s="179" t="s">
        <x:v>901</x:v>
      </x:c>
      <x:c r="U191" s="179" t="s">
        <x:v>901</x:v>
      </x:c>
      <x:c r="V191" s="179" t="s">
        <x:v>901</x:v>
      </x:c>
      <x:c r="W191" s="179"/>
      <x:c r="X191" s="179" t="str">
        <x:f t="shared" si="22"/>
        <x:v>Tidak ada faktor rentan</x:v>
      </x:c>
      <x:c r="Y191" s="179" t="str">
        <x:f t="shared" si="23"/>
        <x:v>Tidak Ada Faktor Rentan</x:v>
      </x:c>
      <x:c r="Z191" s="180">
        <x:f t="shared" si="24"/>
        <x:v>10</x:v>
      </x:c>
      <x:c r="AA191" s="180">
        <x:f t="shared" si="25"/>
        <x:v>0</x:v>
      </x:c>
      <x:c r="AB191" s="180">
        <x:f t="shared" si="26"/>
        <x:v>10</x:v>
      </x:c>
      <x:c r="AC191" s="179" t="s">
        <x:v>901</x:v>
      </x:c>
      <x:c r="AD191" s="179" t="s">
        <x:v>901</x:v>
      </x:c>
      <x:c r="AE191" s="179" t="s">
        <x:v>901</x:v>
      </x:c>
      <x:c r="AF191" s="179" t="s">
        <x:v>885</x:v>
      </x:c>
      <x:c r="AG191" s="179" t="s">
        <x:v>885</x:v>
      </x:c>
      <x:c r="AH191" s="179" t="s">
        <x:v>885</x:v>
      </x:c>
      <x:c r="AI191" s="179" t="s">
        <x:v>885</x:v>
      </x:c>
      <x:c r="AJ191" s="179" t="s">
        <x:v>901</x:v>
      </x:c>
      <x:c r="AK191" s="179" t="s">
        <x:v>901</x:v>
      </x:c>
      <x:c r="AL191" s="179"/>
      <x:c r="AM191" s="179"/>
      <x:c r="AN191" s="179" t="str">
        <x:f t="shared" si="27"/>
        <x:v>Genangan yang membahayakan; Struktur rumah tidak stabil; Instalasi listrik berbahaya; Komponen bangunan lepas atau lapuk; </x:v>
      </x:c>
      <x:c r="AO191" s="179" t="str">
        <x:f t="shared" si="28"/>
        <x:v>Risiko Tinggi/Darurat</x:v>
      </x:c>
      <x:c r="AP191" s="179"/>
      <x:c r="AQ191" s="180">
        <x:f t="shared" si="29"/>
        <x:v>22</x:v>
      </x:c>
      <x:c r="AR191" s="180">
        <x:f t="shared" si="30"/>
        <x:v>10</x:v>
      </x:c>
      <x:c r="AS191" s="180">
        <x:f t="shared" si="31"/>
        <x:v>42</x:v>
      </x:c>
      <x:c r="AT191" s="179" t="str">
        <x:f t="shared" si="32"/>
        <x:v>Tinggi</x:v>
      </x:c>
      <x:c r="AU191" s="179" t="s">
        <x:v>887</x:v>
      </x:c>
      <x:c r="AV191" s="179" t="s">
        <x:v>904</x:v>
      </x:c>
      <x:c r="AW191" s="179" t="s">
        <x:v>969</x:v>
      </x:c>
      <x:c r="AX191" s="179" t="s">
        <x:v>906</x:v>
      </x:c>
      <x:c r="AY191" s="179">
        <x:v>2026</x:v>
      </x:c>
      <x:c r="AZ191" s="179" t="s">
        <x:v>891</x:v>
      </x:c>
      <x:c r="BA191" s="179"/>
      <x:c r="BB191" s="181"/>
      <x:c r="BC191" s="180">
        <x:v>2025</x:v>
      </x:c>
      <x:c r="BD191" s="179" t="s">
        <x:v>908</x:v>
      </x:c>
      <x:c r="BE191" s="181"/>
      <x:c r="BF191" s="179" t="str">
        <x:v>Dinas Perkim Kota Pangkal Pinang</x:v>
      </x:c>
    </x:row>
    <x:row r="192" ht="28">
      <x:c r="A192" s="179" t="s">
        <x:v>1732</x:v>
      </x:c>
      <x:c r="B192" s="179" t="s">
        <x:v>1733</x:v>
      </x:c>
      <x:c r="C192" s="179"/>
      <x:c r="D192" s="179"/>
      <x:c r="E192" s="179" t="s">
        <x:v>1734</x:v>
      </x:c>
      <x:c r="F192" s="179" t="s">
        <x:v>1052</x:v>
      </x:c>
      <x:c r="G192" s="179" t="s">
        <x:v>1053</x:v>
      </x:c>
      <x:c r="H192" s="179" t="s">
        <x:v>878</x:v>
      </x:c>
      <x:c r="I192" s="179"/>
      <x:c r="J192" s="179" t="s">
        <x:v>895</x:v>
      </x:c>
      <x:c r="K192" s="179" t="s">
        <x:v>911</x:v>
      </x:c>
      <x:c r="L192" s="179" t="s">
        <x:v>897</x:v>
      </x:c>
      <x:c r="M192" s="179" t="s">
        <x:v>979</x:v>
      </x:c>
      <x:c r="N192" s="179" t="s">
        <x:v>897</x:v>
      </x:c>
      <x:c r="O192" s="179" t="s">
        <x:v>914</x:v>
      </x:c>
      <x:c r="P192" s="179" t="s">
        <x:v>897</x:v>
      </x:c>
      <x:c r="Q192" s="179" t="s">
        <x:v>884</x:v>
      </x:c>
      <x:c r="R192" s="179" t="s">
        <x:v>901</x:v>
      </x:c>
      <x:c r="S192" s="179" t="s">
        <x:v>901</x:v>
      </x:c>
      <x:c r="T192" s="179" t="s">
        <x:v>901</x:v>
      </x:c>
      <x:c r="U192" s="179" t="s">
        <x:v>901</x:v>
      </x:c>
      <x:c r="V192" s="179" t="s">
        <x:v>901</x:v>
      </x:c>
      <x:c r="W192" s="179"/>
      <x:c r="X192" s="179" t="str">
        <x:f t="shared" si="22"/>
        <x:v>Tidak ada faktor rentan</x:v>
      </x:c>
      <x:c r="Y192" s="179" t="str">
        <x:f t="shared" si="23"/>
        <x:v>Tidak Ada Faktor Rentan</x:v>
      </x:c>
      <x:c r="Z192" s="180">
        <x:f t="shared" si="24"/>
        <x:v>10</x:v>
      </x:c>
      <x:c r="AA192" s="180">
        <x:f t="shared" si="25"/>
        <x:v>0</x:v>
      </x:c>
      <x:c r="AB192" s="180">
        <x:f t="shared" si="26"/>
        <x:v>10</x:v>
      </x:c>
      <x:c r="AC192" s="179" t="s">
        <x:v>901</x:v>
      </x:c>
      <x:c r="AD192" s="179" t="s">
        <x:v>901</x:v>
      </x:c>
      <x:c r="AE192" s="179" t="s">
        <x:v>901</x:v>
      </x:c>
      <x:c r="AF192" s="179" t="s">
        <x:v>901</x:v>
      </x:c>
      <x:c r="AG192" s="179" t="s">
        <x:v>885</x:v>
      </x:c>
      <x:c r="AH192" s="179" t="s">
        <x:v>885</x:v>
      </x:c>
      <x:c r="AI192" s="179" t="s">
        <x:v>885</x:v>
      </x:c>
      <x:c r="AJ192" s="179" t="s">
        <x:v>901</x:v>
      </x:c>
      <x:c r="AK192" s="179" t="s">
        <x:v>901</x:v>
      </x:c>
      <x:c r="AL192" s="179"/>
      <x:c r="AM192" s="179"/>
      <x:c r="AN192" s="179" t="str">
        <x:f t="shared" si="27"/>
        <x:v>Struktur rumah tidak stabil; Instalasi listrik berbahaya; Komponen bangunan lepas atau lapuk; </x:v>
      </x:c>
      <x:c r="AO192" s="179" t="str">
        <x:f t="shared" si="28"/>
        <x:v>Risiko Tinggi/Darurat</x:v>
      </x:c>
      <x:c r="AP192" s="179"/>
      <x:c r="AQ192" s="180">
        <x:f t="shared" si="29"/>
        <x:v>22</x:v>
      </x:c>
      <x:c r="AR192" s="180">
        <x:f t="shared" si="30"/>
        <x:v>10</x:v>
      </x:c>
      <x:c r="AS192" s="180">
        <x:f t="shared" si="31"/>
        <x:v>42</x:v>
      </x:c>
      <x:c r="AT192" s="179" t="str">
        <x:f t="shared" si="32"/>
        <x:v>Tinggi</x:v>
      </x:c>
      <x:c r="AU192" s="179" t="s">
        <x:v>903</x:v>
      </x:c>
      <x:c r="AV192" s="179" t="s">
        <x:v>904</x:v>
      </x:c>
      <x:c r="AW192" s="179" t="s">
        <x:v>889</x:v>
      </x:c>
      <x:c r="AX192" s="65" t="s">
        <x:v>890</x:v>
      </x:c>
      <x:c r="AY192" s="179"/>
      <x:c r="AZ192" s="179" t="s">
        <x:v>888</x:v>
      </x:c>
      <x:c r="BA192" s="179"/>
      <x:c r="BB192" s="181"/>
      <x:c r="BC192" s="180">
        <x:v>2025</x:v>
      </x:c>
      <x:c r="BD192" s="179" t="s">
        <x:v>908</x:v>
      </x:c>
      <x:c r="BE192" s="181"/>
      <x:c r="BF192" s="179" t="str">
        <x:v>Dinas Perkim Kota Pangkal Pinang</x:v>
      </x:c>
    </x:row>
    <x:row r="193" ht="28">
      <x:c r="A193" s="179" t="s">
        <x:v>1735</x:v>
      </x:c>
      <x:c r="B193" s="179" t="s">
        <x:v>1736</x:v>
      </x:c>
      <x:c r="C193" s="179"/>
      <x:c r="D193" s="179"/>
      <x:c r="E193" s="179" t="s">
        <x:v>1737</x:v>
      </x:c>
      <x:c r="F193" s="179" t="s">
        <x:v>1052</x:v>
      </x:c>
      <x:c r="G193" s="179" t="s">
        <x:v>1053</x:v>
      </x:c>
      <x:c r="H193" s="179" t="s">
        <x:v>894</x:v>
      </x:c>
      <x:c r="I193" s="179"/>
      <x:c r="J193" s="179" t="s">
        <x:v>895</x:v>
      </x:c>
      <x:c r="K193" s="179" t="s">
        <x:v>896</x:v>
      </x:c>
      <x:c r="L193" s="179" t="s">
        <x:v>881</x:v>
      </x:c>
      <x:c r="M193" s="179" t="s">
        <x:v>979</x:v>
      </x:c>
      <x:c r="N193" s="179" t="s">
        <x:v>881</x:v>
      </x:c>
      <x:c r="O193" s="179" t="s">
        <x:v>914</x:v>
      </x:c>
      <x:c r="P193" s="179" t="s">
        <x:v>881</x:v>
      </x:c>
      <x:c r="Q193" s="179" t="s">
        <x:v>916</x:v>
      </x:c>
      <x:c r="R193" s="179" t="s">
        <x:v>901</x:v>
      </x:c>
      <x:c r="S193" s="179" t="s">
        <x:v>901</x:v>
      </x:c>
      <x:c r="T193" s="179" t="s">
        <x:v>901</x:v>
      </x:c>
      <x:c r="U193" s="179"/>
      <x:c r="V193" s="179"/>
      <x:c r="W193" s="179"/>
      <x:c r="X193" s="179" t="str">
        <x:f t="shared" si="22"/>
        <x:v>Tidak ada faktor rentan</x:v>
      </x:c>
      <x:c r="Y193" s="179" t="str">
        <x:f t="shared" si="23"/>
        <x:v>Tidak Ada Faktor Rentan</x:v>
      </x:c>
      <x:c r="Z193" s="180" t="str">
        <x:f t="shared" si="24"/>
      </x:c>
      <x:c r="AA193" s="180">
        <x:f t="shared" si="25"/>
        <x:v>0</x:v>
      </x:c>
      <x:c r="AB193" s="180" t="str">
        <x:f t="shared" si="26"/>
      </x:c>
      <x:c r="AC193" s="179" t="s">
        <x:v>901</x:v>
      </x:c>
      <x:c r="AD193" s="179" t="s">
        <x:v>901</x:v>
      </x:c>
      <x:c r="AE193" s="179" t="s">
        <x:v>901</x:v>
      </x:c>
      <x:c r="AF193" s="179" t="s">
        <x:v>901</x:v>
      </x:c>
      <x:c r="AG193" s="179" t="s">
        <x:v>901</x:v>
      </x:c>
      <x:c r="AH193" s="179" t="s">
        <x:v>901</x:v>
      </x:c>
      <x:c r="AI193" s="179" t="s">
        <x:v>885</x:v>
      </x:c>
      <x:c r="AJ193" s="179" t="s">
        <x:v>901</x:v>
      </x:c>
      <x:c r="AK193" s="179" t="s">
        <x:v>901</x:v>
      </x:c>
      <x:c r="AL193" s="179"/>
      <x:c r="AM193" s="179"/>
      <x:c r="AN193" s="179" t="str">
        <x:f t="shared" si="27"/>
        <x:v>Komponen bangunan lepas atau lapuk; </x:v>
      </x:c>
      <x:c r="AO193" s="179" t="str">
        <x:f t="shared" si="28"/>
        <x:v>Risiko Sedang</x:v>
      </x:c>
      <x:c r="AP193" s="179"/>
      <x:c r="AQ193" s="180">
        <x:f t="shared" si="29"/>
        <x:v>8</x:v>
      </x:c>
      <x:c r="AR193" s="180">
        <x:f t="shared" si="30"/>
        <x:v>5</x:v>
      </x:c>
      <x:c r="AS193" s="180" t="str">
        <x:f t="shared" si="31"/>
      </x:c>
      <x:c r="AT193" s="179" t="str">
        <x:f t="shared" si="32"/>
        <x:v>Belum Dapat Ditentukan</x:v>
      </x:c>
      <x:c r="AU193" s="179" t="s">
        <x:v>887</x:v>
      </x:c>
      <x:c r="AV193" s="179" t="s">
        <x:v>904</x:v>
      </x:c>
      <x:c r="AW193" s="179" t="s">
        <x:v>889</x:v>
      </x:c>
      <x:c r="AX193" s="65" t="s">
        <x:v>890</x:v>
      </x:c>
      <x:c r="AY193" s="179"/>
      <x:c r="AZ193" s="179" t="s">
        <x:v>891</x:v>
      </x:c>
      <x:c r="BA193" s="179"/>
      <x:c r="BB193" s="181"/>
      <x:c r="BC193" s="180">
        <x:v>2025</x:v>
      </x:c>
      <x:c r="BD193" s="179" t="s">
        <x:v>908</x:v>
      </x:c>
      <x:c r="BE193" s="181"/>
      <x:c r="BF193" s="179" t="str">
        <x:v>Dinas Perkim Kota Pangkal Pinang</x:v>
      </x:c>
    </x:row>
    <x:row r="194" ht="28">
      <x:c r="A194" s="179" t="s">
        <x:v>1738</x:v>
      </x:c>
      <x:c r="B194" s="179" t="s">
        <x:v>1739</x:v>
      </x:c>
      <x:c r="C194" s="182" t="s">
        <x:v>1740</x:v>
      </x:c>
      <x:c r="D194" s="182" t="s">
        <x:v>1741</x:v>
      </x:c>
      <x:c r="E194" s="179" t="s">
        <x:v>1742</x:v>
      </x:c>
      <x:c r="F194" s="179" t="s">
        <x:v>1052</x:v>
      </x:c>
      <x:c r="G194" s="179" t="s">
        <x:v>1053</x:v>
      </x:c>
      <x:c r="H194" s="179" t="s">
        <x:v>894</x:v>
      </x:c>
      <x:c r="I194" s="179"/>
      <x:c r="J194" s="179" t="s">
        <x:v>895</x:v>
      </x:c>
      <x:c r="K194" s="179" t="s">
        <x:v>896</x:v>
      </x:c>
      <x:c r="L194" s="179" t="s">
        <x:v>897</x:v>
      </x:c>
      <x:c r="M194" s="179" t="s">
        <x:v>898</x:v>
      </x:c>
      <x:c r="N194" s="179" t="s">
        <x:v>897</x:v>
      </x:c>
      <x:c r="O194" s="179" t="s">
        <x:v>914</x:v>
      </x:c>
      <x:c r="P194" s="179" t="s">
        <x:v>897</x:v>
      </x:c>
      <x:c r="Q194" s="179" t="s">
        <x:v>884</x:v>
      </x:c>
      <x:c r="R194" s="179" t="s">
        <x:v>885</x:v>
      </x:c>
      <x:c r="S194" s="179" t="s">
        <x:v>901</x:v>
      </x:c>
      <x:c r="T194" s="179" t="s">
        <x:v>885</x:v>
      </x:c>
      <x:c r="U194" s="179" t="s">
        <x:v>901</x:v>
      </x:c>
      <x:c r="V194" s="179" t="s">
        <x:v>901</x:v>
      </x:c>
      <x:c r="W194" s="179"/>
      <x:c r="X194" s="179" t="str">
        <x:f t="shared" si="22"/>
        <x:v>Lansia; Kepala keluarga perempuan; </x:v>
      </x:c>
      <x:c r="Y194" s="179" t="str">
        <x:f t="shared" si="23"/>
        <x:v>2 atau Lebih Faktor Rentan</x:v>
      </x:c>
      <x:c r="Z194" s="180">
        <x:f t="shared" si="24"/>
        <x:v>10</x:v>
      </x:c>
      <x:c r="AA194" s="180">
        <x:f t="shared" si="25"/>
        <x:v>10</x:v>
      </x:c>
      <x:c r="AB194" s="180">
        <x:f t="shared" si="26"/>
        <x:v>20</x:v>
      </x:c>
      <x:c r="AC194" s="179" t="s">
        <x:v>901</x:v>
      </x:c>
      <x:c r="AD194" s="179" t="s">
        <x:v>901</x:v>
      </x:c>
      <x:c r="AE194" s="179" t="s">
        <x:v>885</x:v>
      </x:c>
      <x:c r="AF194" s="179" t="s">
        <x:v>901</x:v>
      </x:c>
      <x:c r="AG194" s="179" t="s">
        <x:v>885</x:v>
      </x:c>
      <x:c r="AH194" s="179" t="s">
        <x:v>885</x:v>
      </x:c>
      <x:c r="AI194" s="179" t="s">
        <x:v>885</x:v>
      </x:c>
      <x:c r="AJ194" s="179" t="s">
        <x:v>901</x:v>
      </x:c>
      <x:c r="AK194" s="179" t="s">
        <x:v>901</x:v>
      </x:c>
      <x:c r="AL194" s="179"/>
      <x:c r="AM194" s="179"/>
      <x:c r="AN194" s="179" t="str">
        <x:f t="shared" si="27"/>
        <x:v>Atap atau dinding utama hampir runtuh; Struktur rumah tidak stabil; Instalasi listrik berbahaya; Komponen bangunan lepas atau lapuk; </x:v>
      </x:c>
      <x:c r="AO194" s="179" t="str">
        <x:f t="shared" si="28"/>
        <x:v>Risiko Tinggi/Darurat</x:v>
      </x:c>
      <x:c r="AP194" s="179"/>
      <x:c r="AQ194" s="180">
        <x:f t="shared" si="29"/>
        <x:v>22</x:v>
      </x:c>
      <x:c r="AR194" s="180">
        <x:f t="shared" si="30"/>
        <x:v>10</x:v>
      </x:c>
      <x:c r="AS194" s="180">
        <x:f t="shared" si="31"/>
        <x:v>52</x:v>
      </x:c>
      <x:c r="AT194" s="179" t="str">
        <x:f t="shared" si="32"/>
        <x:v>Tinggi</x:v>
      </x:c>
      <x:c r="AU194" s="179" t="s">
        <x:v>887</x:v>
      </x:c>
      <x:c r="AV194" s="179" t="s">
        <x:v>904</x:v>
      </x:c>
      <x:c r="AW194" s="179" t="s">
        <x:v>969</x:v>
      </x:c>
      <x:c r="AX194" s="179" t="s">
        <x:v>906</x:v>
      </x:c>
      <x:c r="AY194" s="179">
        <x:v>2026</x:v>
      </x:c>
      <x:c r="AZ194" s="179" t="s">
        <x:v>891</x:v>
      </x:c>
      <x:c r="BA194" s="179"/>
      <x:c r="BB194" s="181"/>
      <x:c r="BC194" s="180">
        <x:v>2025</x:v>
      </x:c>
      <x:c r="BD194" s="179" t="s">
        <x:v>892</x:v>
      </x:c>
      <x:c r="BE194" s="181"/>
      <x:c r="BF194" s="179" t="str">
        <x:v>Dinas Perkim Kota Pangkal Pinang</x:v>
      </x:c>
    </x:row>
    <x:row r="195" ht="28">
      <x:c r="A195" s="179" t="s">
        <x:v>1743</x:v>
      </x:c>
      <x:c r="B195" s="179" t="s">
        <x:v>1744</x:v>
      </x:c>
      <x:c r="C195" s="179"/>
      <x:c r="D195" s="179"/>
      <x:c r="E195" s="179" t="s">
        <x:v>1745</x:v>
      </x:c>
      <x:c r="F195" s="179" t="s">
        <x:v>1052</x:v>
      </x:c>
      <x:c r="G195" s="179" t="s">
        <x:v>1053</x:v>
      </x:c>
      <x:c r="H195" s="179" t="s">
        <x:v>878</x:v>
      </x:c>
      <x:c r="I195" s="179"/>
      <x:c r="J195" s="179" t="s">
        <x:v>879</x:v>
      </x:c>
      <x:c r="K195" s="179" t="s">
        <x:v>896</x:v>
      </x:c>
      <x:c r="L195" s="179" t="s">
        <x:v>897</x:v>
      </x:c>
      <x:c r="M195" s="179" t="s">
        <x:v>898</x:v>
      </x:c>
      <x:c r="N195" s="179" t="s">
        <x:v>897</x:v>
      </x:c>
      <x:c r="O195" s="179" t="s">
        <x:v>883</x:v>
      </x:c>
      <x:c r="P195" s="179" t="s">
        <x:v>881</x:v>
      </x:c>
      <x:c r="Q195" s="179" t="s">
        <x:v>884</x:v>
      </x:c>
      <x:c r="R195" s="179" t="s">
        <x:v>901</x:v>
      </x:c>
      <x:c r="S195" s="179" t="s">
        <x:v>901</x:v>
      </x:c>
      <x:c r="T195" s="179" t="s">
        <x:v>901</x:v>
      </x:c>
      <x:c r="U195" s="179" t="s">
        <x:v>901</x:v>
      </x:c>
      <x:c r="V195" s="179" t="s">
        <x:v>901</x:v>
      </x:c>
      <x:c r="W195" s="179"/>
      <x:c r="X195" s="179" t="str">
        <x:f t="shared" si="22"/>
        <x:v>Tidak ada faktor rentan</x:v>
      </x:c>
      <x:c r="Y195" s="179" t="str">
        <x:f t="shared" si="23"/>
        <x:v>Tidak Ada Faktor Rentan</x:v>
      </x:c>
      <x:c r="Z195" s="180">
        <x:f t="shared" si="24"/>
        <x:v>10</x:v>
      </x:c>
      <x:c r="AA195" s="180">
        <x:f t="shared" si="25"/>
        <x:v>0</x:v>
      </x:c>
      <x:c r="AB195" s="180">
        <x:f t="shared" si="26"/>
        <x:v>10</x:v>
      </x:c>
      <x:c r="AC195" s="179" t="s">
        <x:v>901</x:v>
      </x:c>
      <x:c r="AD195" s="179" t="s">
        <x:v>901</x:v>
      </x:c>
      <x:c r="AE195" s="179" t="s">
        <x:v>901</x:v>
      </x:c>
      <x:c r="AF195" s="179" t="s">
        <x:v>916</x:v>
      </x:c>
      <x:c r="AG195" s="179" t="s">
        <x:v>916</x:v>
      </x:c>
      <x:c r="AH195" s="179" t="s">
        <x:v>916</x:v>
      </x:c>
      <x:c r="AI195" s="179" t="s">
        <x:v>916</x:v>
      </x:c>
      <x:c r="AJ195" s="179" t="s">
        <x:v>901</x:v>
      </x:c>
      <x:c r="AK195" s="179" t="s">
        <x:v>901</x:v>
      </x:c>
      <x:c r="AL195" s="179"/>
      <x:c r="AM195" s="179"/>
      <x:c r="AN195" s="179" t="str">
        <x:f t="shared" si="27"/>
        <x:v>Belum Dinilai</x:v>
      </x:c>
      <x:c r="AO195" s="179" t="str">
        <x:f t="shared" si="28"/>
        <x:v>Belum Dinilai</x:v>
      </x:c>
      <x:c r="AP195" s="179"/>
      <x:c r="AQ195" s="180">
        <x:f t="shared" si="29"/>
        <x:v>10</x:v>
      </x:c>
      <x:c r="AR195" s="180" t="str">
        <x:f t="shared" si="30"/>
      </x:c>
      <x:c r="AS195" s="180" t="str">
        <x:f t="shared" si="31"/>
      </x:c>
      <x:c r="AT195" s="179" t="str">
        <x:f t="shared" si="32"/>
        <x:v>Belum Dapat Ditentukan</x:v>
      </x:c>
      <x:c r="AU195" s="179"/>
      <x:c r="AV195" s="179"/>
      <x:c r="AW195" s="179"/>
      <x:c r="AX195" s="65" t="s">
        <x:v>890</x:v>
      </x:c>
      <x:c r="AY195" s="179"/>
      <x:c r="AZ195" s="179"/>
      <x:c r="BA195" s="179"/>
      <x:c r="BB195" s="181"/>
      <x:c r="BC195" s="180"/>
      <x:c r="BD195" s="179"/>
      <x:c r="BE195" s="181"/>
      <x:c r="BF195" s="179" t="str">
        <x:v>Dinas Perkim Kota Pangkal Pinang</x:v>
      </x:c>
    </x:row>
    <x:row r="196" ht="28">
      <x:c r="A196" s="179" t="s">
        <x:v>1746</x:v>
      </x:c>
      <x:c r="B196" s="179" t="s">
        <x:v>1747</x:v>
      </x:c>
      <x:c r="C196" s="179"/>
      <x:c r="D196" s="179"/>
      <x:c r="E196" s="179"/>
      <x:c r="F196" s="179" t="s">
        <x:v>1748</x:v>
      </x:c>
      <x:c r="G196" s="179" t="s">
        <x:v>1012</x:v>
      </x:c>
      <x:c r="H196" s="179" t="s">
        <x:v>878</x:v>
      </x:c>
      <x:c r="I196" s="179"/>
      <x:c r="J196" s="179" t="s">
        <x:v>895</x:v>
      </x:c>
      <x:c r="K196" s="179" t="s">
        <x:v>896</x:v>
      </x:c>
      <x:c r="L196" s="179" t="s">
        <x:v>912</x:v>
      </x:c>
      <x:c r="M196" s="179" t="s">
        <x:v>979</x:v>
      </x:c>
      <x:c r="N196" s="179" t="s">
        <x:v>897</x:v>
      </x:c>
      <x:c r="O196" s="179" t="s">
        <x:v>914</x:v>
      </x:c>
      <x:c r="P196" s="179" t="s">
        <x:v>897</x:v>
      </x:c>
      <x:c r="Q196" s="179" t="s">
        <x:v>884</x:v>
      </x:c>
      <x:c r="R196" s="179"/>
      <x:c r="S196" s="179"/>
      <x:c r="T196" s="179"/>
      <x:c r="U196" s="179"/>
      <x:c r="V196" s="179"/>
      <x:c r="W196" s="179"/>
      <x:c r="X196" s="179" t="str">
        <x:f t="shared" si="22"/>
        <x:v>Tidak ada faktor rentan</x:v>
      </x:c>
      <x:c r="Y196" s="179" t="str">
        <x:f t="shared" si="23"/>
        <x:v>Tidak Ada Faktor Rentan</x:v>
      </x:c>
      <x:c r="Z196" s="180">
        <x:f t="shared" si="24"/>
        <x:v>10</x:v>
      </x:c>
      <x:c r="AA196" s="180">
        <x:f t="shared" si="25"/>
        <x:v>0</x:v>
      </x:c>
      <x:c r="AB196" s="180">
        <x:f t="shared" si="26"/>
        <x:v>10</x:v>
      </x:c>
      <x:c r="AC196" s="179" t="s">
        <x:v>901</x:v>
      </x:c>
      <x:c r="AD196" s="179" t="s">
        <x:v>901</x:v>
      </x:c>
      <x:c r="AE196" s="179" t="s">
        <x:v>885</x:v>
      </x:c>
      <x:c r="AF196" s="179" t="s">
        <x:v>901</x:v>
      </x:c>
      <x:c r="AG196" s="179" t="s">
        <x:v>901</x:v>
      </x:c>
      <x:c r="AH196" s="179" t="s">
        <x:v>901</x:v>
      </x:c>
      <x:c r="AI196" s="179" t="s">
        <x:v>885</x:v>
      </x:c>
      <x:c r="AJ196" s="179" t="s">
        <x:v>901</x:v>
      </x:c>
      <x:c r="AK196" s="179" t="s">
        <x:v>901</x:v>
      </x:c>
      <x:c r="AL196" s="179"/>
      <x:c r="AM196" s="179"/>
      <x:c r="AN196" s="179" t="str">
        <x:f t="shared" si="27"/>
        <x:v>Atap atau dinding utama hampir runtuh; Komponen bangunan lepas atau lapuk; </x:v>
      </x:c>
      <x:c r="AO196" s="179" t="str">
        <x:f t="shared" si="28"/>
        <x:v>Risiko Tinggi/Darurat</x:v>
      </x:c>
      <x:c r="AP196" s="179"/>
      <x:c r="AQ196" s="180">
        <x:f t="shared" si="29"/>
        <x:v>27</x:v>
      </x:c>
      <x:c r="AR196" s="180">
        <x:f t="shared" si="30"/>
        <x:v>10</x:v>
      </x:c>
      <x:c r="AS196" s="180">
        <x:f t="shared" si="31"/>
        <x:v>47</x:v>
      </x:c>
      <x:c r="AT196" s="179" t="str">
        <x:f t="shared" si="32"/>
        <x:v>Tinggi</x:v>
      </x:c>
      <x:c r="AU196" s="179" t="s">
        <x:v>903</x:v>
      </x:c>
      <x:c r="AV196" s="179" t="s">
        <x:v>904</x:v>
      </x:c>
      <x:c r="AW196" s="179" t="s">
        <x:v>889</x:v>
      </x:c>
      <x:c r="AX196" s="65" t="s">
        <x:v>890</x:v>
      </x:c>
      <x:c r="AY196" s="179"/>
      <x:c r="AZ196" s="179"/>
      <x:c r="BA196" s="179"/>
      <x:c r="BB196" s="181"/>
      <x:c r="BC196" s="180">
        <x:v>2025</x:v>
      </x:c>
      <x:c r="BD196" s="179" t="s">
        <x:v>908</x:v>
      </x:c>
      <x:c r="BE196" s="181"/>
      <x:c r="BF196" s="179" t="str">
        <x:v>Dinas Perkim Kota Pangkal Pinang</x:v>
      </x:c>
    </x:row>
    <x:row r="197" ht="28">
      <x:c r="A197" s="179" t="s">
        <x:v>1749</x:v>
      </x:c>
      <x:c r="B197" s="179" t="s">
        <x:v>1750</x:v>
      </x:c>
      <x:c r="C197" s="179"/>
      <x:c r="D197" s="179"/>
      <x:c r="E197" s="179"/>
      <x:c r="F197" s="179" t="s">
        <x:v>1748</x:v>
      </x:c>
      <x:c r="G197" s="179" t="s">
        <x:v>1012</x:v>
      </x:c>
      <x:c r="H197" s="179" t="s">
        <x:v>878</x:v>
      </x:c>
      <x:c r="I197" s="179"/>
      <x:c r="J197" s="179" t="s">
        <x:v>910</x:v>
      </x:c>
      <x:c r="K197" s="179" t="s">
        <x:v>896</x:v>
      </x:c>
      <x:c r="L197" s="179" t="s">
        <x:v>897</x:v>
      </x:c>
      <x:c r="M197" s="179" t="s">
        <x:v>968</x:v>
      </x:c>
      <x:c r="N197" s="179" t="s">
        <x:v>897</x:v>
      </x:c>
      <x:c r="O197" s="179" t="s">
        <x:v>914</x:v>
      </x:c>
      <x:c r="P197" s="179" t="s">
        <x:v>897</x:v>
      </x:c>
      <x:c r="Q197" s="179" t="s">
        <x:v>884</x:v>
      </x:c>
      <x:c r="R197" s="179"/>
      <x:c r="S197" s="179"/>
      <x:c r="T197" s="179"/>
      <x:c r="U197" s="179"/>
      <x:c r="V197" s="179"/>
      <x:c r="W197" s="179"/>
      <x:c r="X197" s="179" t="str">
        <x:f t="shared" si="22"/>
        <x:v>Tidak ada faktor rentan</x:v>
      </x:c>
      <x:c r="Y197" s="179" t="str">
        <x:f t="shared" si="23"/>
        <x:v>Tidak Ada Faktor Rentan</x:v>
      </x:c>
      <x:c r="Z197" s="180">
        <x:f t="shared" si="24"/>
        <x:v>10</x:v>
      </x:c>
      <x:c r="AA197" s="180">
        <x:f t="shared" si="25"/>
        <x:v>0</x:v>
      </x:c>
      <x:c r="AB197" s="180">
        <x:f t="shared" si="26"/>
        <x:v>10</x:v>
      </x:c>
      <x:c r="AC197" s="179" t="s">
        <x:v>901</x:v>
      </x:c>
      <x:c r="AD197" s="179" t="s">
        <x:v>901</x:v>
      </x:c>
      <x:c r="AE197" s="179" t="s">
        <x:v>901</x:v>
      </x:c>
      <x:c r="AF197" s="179" t="s">
        <x:v>901</x:v>
      </x:c>
      <x:c r="AG197" s="179" t="s">
        <x:v>901</x:v>
      </x:c>
      <x:c r="AH197" s="179" t="s">
        <x:v>901</x:v>
      </x:c>
      <x:c r="AI197" s="179" t="s">
        <x:v>885</x:v>
      </x:c>
      <x:c r="AJ197" s="179" t="s">
        <x:v>901</x:v>
      </x:c>
      <x:c r="AK197" s="179" t="s">
        <x:v>901</x:v>
      </x:c>
      <x:c r="AL197" s="179"/>
      <x:c r="AM197" s="179"/>
      <x:c r="AN197" s="179" t="str">
        <x:f t="shared" si="27"/>
        <x:v>Komponen bangunan lepas atau lapuk; </x:v>
      </x:c>
      <x:c r="AO197" s="179" t="str">
        <x:f t="shared" si="28"/>
        <x:v>Risiko Sedang</x:v>
      </x:c>
      <x:c r="AP197" s="179"/>
      <x:c r="AQ197" s="180">
        <x:f t="shared" si="29"/>
        <x:v>29</x:v>
      </x:c>
      <x:c r="AR197" s="180">
        <x:f t="shared" si="30"/>
        <x:v>5</x:v>
      </x:c>
      <x:c r="AS197" s="180">
        <x:f t="shared" si="31"/>
        <x:v>44</x:v>
      </x:c>
      <x:c r="AT197" s="179" t="str">
        <x:f t="shared" si="32"/>
        <x:v>Rendah</x:v>
      </x:c>
      <x:c r="AU197" s="179"/>
      <x:c r="AV197" s="179"/>
      <x:c r="AW197" s="179"/>
      <x:c r="AX197" s="65" t="s">
        <x:v>890</x:v>
      </x:c>
      <x:c r="AY197" s="179"/>
      <x:c r="AZ197" s="179"/>
      <x:c r="BA197" s="179"/>
      <x:c r="BB197" s="181"/>
      <x:c r="BC197" s="180"/>
      <x:c r="BD197" s="179"/>
      <x:c r="BE197" s="181"/>
      <x:c r="BF197" s="179" t="str">
        <x:v>Dinas Perkim Kota Pangkal Pinang</x:v>
      </x:c>
    </x:row>
    <x:row r="198" ht="28">
      <x:c r="A198" s="179" t="s">
        <x:v>1751</x:v>
      </x:c>
      <x:c r="B198" s="179" t="s">
        <x:v>1752</x:v>
      </x:c>
      <x:c r="C198" s="179"/>
      <x:c r="D198" s="179"/>
      <x:c r="E198" s="179" t="s">
        <x:v>1753</x:v>
      </x:c>
      <x:c r="F198" s="179" t="s">
        <x:v>1748</x:v>
      </x:c>
      <x:c r="G198" s="179" t="s">
        <x:v>1012</x:v>
      </x:c>
      <x:c r="H198" s="179"/>
      <x:c r="I198" s="179"/>
      <x:c r="J198" s="179" t="s">
        <x:v>895</x:v>
      </x:c>
      <x:c r="K198" s="179" t="s">
        <x:v>880</x:v>
      </x:c>
      <x:c r="L198" s="179" t="s">
        <x:v>897</x:v>
      </x:c>
      <x:c r="M198" s="179" t="s">
        <x:v>979</x:v>
      </x:c>
      <x:c r="N198" s="179" t="s">
        <x:v>897</x:v>
      </x:c>
      <x:c r="O198" s="179" t="s">
        <x:v>914</x:v>
      </x:c>
      <x:c r="P198" s="179" t="s">
        <x:v>897</x:v>
      </x:c>
      <x:c r="Q198" s="179" t="s">
        <x:v>884</x:v>
      </x:c>
      <x:c r="R198" s="179"/>
      <x:c r="S198" s="179"/>
      <x:c r="T198" s="179"/>
      <x:c r="U198" s="179"/>
      <x:c r="V198" s="179"/>
      <x:c r="W198" s="179"/>
      <x:c r="X198" s="179" t="str">
        <x:f t="shared" ref="X198:X261" si="33">IF(COUNTIF(R198:V198,"Belum Dinilai")&gt;0,"Belum Dinilai",IF(COUNTIF(R198:V198,"Ya")=0,"Tidak ada faktor rentan",IF(R198="Ya","Lansia; ","")&amp;IF(S198="Ya","Penyandang disabilitas; ","")&amp;IF(T198="Ya","Kepala keluarga perempuan; ","")&amp;IF(U198="Ya","Balita; ","")&amp;IF(V198="Ya","Anggota keluarga dengan ketergantungan tinggi; ","")))</x:f>
        <x:v>Tidak ada faktor rentan</x:v>
      </x:c>
      <x:c r="Y198" s="179" t="str">
        <x:f t="shared" ref="Y198:Y261" si="34">IF(COUNTIF(R198:V198,"Belum Dinilai")&gt;0,"Belum Dinilai",IF(COUNTIF(R198:V198,"Ya")=0,"Tidak Ada Faktor Rentan",IF(COUNTIF(R198:V198,"Ya")=1,"1 Faktor Rentan","2 atau Lebih Faktor Rentan")))</x:f>
        <x:v>Tidak Ada Faktor Rentan</x:v>
      </x:c>
      <x:c r="Z198" s="180" t="n">
        <x:f t="shared" ref="Z198:Z261" si="35">IF(OR(Q198="",Q198="Belum Dinilai"),"",IF(Q198="Terverifikasi DTKS/P3KE/MBR",10,IF(Q198="Diusulkan, Belum Terverifikasi",5,0)))</x:f>
        <x:v>10</x:v>
      </x:c>
      <x:c r="AA198" s="180" t="n">
        <x:f t="shared" ref="AA198:AA261" si="36">IF(COUNTIF(R198:V198,"Belum Dinilai")&gt;0,"",IF(COUNTIF(R198:V198,"Ya")=0,0,IF(COUNTIF(R198:V198,"Ya")=1,5,10)))</x:f>
        <x:v>0</x:v>
      </x:c>
      <x:c r="AB198" s="180" t="str">
        <x:f t="shared" ref="AB198:AB261" si="37">IF(OR(Z198="",AA198=""),"",Z198+AA198)</x:f>
      </x:c>
      <x:c r="AC198" s="179" t="s">
        <x:v>901</x:v>
      </x:c>
      <x:c r="AD198" s="179" t="s">
        <x:v>901</x:v>
      </x:c>
      <x:c r="AE198" s="179" t="s">
        <x:v>901</x:v>
      </x:c>
      <x:c r="AF198" s="179" t="s">
        <x:v>901</x:v>
      </x:c>
      <x:c r="AG198" s="179" t="s">
        <x:v>901</x:v>
      </x:c>
      <x:c r="AH198" s="179" t="s">
        <x:v>901</x:v>
      </x:c>
      <x:c r="AI198" s="179" t="s">
        <x:v>885</x:v>
      </x:c>
      <x:c r="AJ198" s="179" t="s">
        <x:v>901</x:v>
      </x:c>
      <x:c r="AK198" s="179" t="s">
        <x:v>901</x:v>
      </x:c>
      <x:c r="AL198" s="179"/>
      <x:c r="AM198" s="179"/>
      <x:c r="AN198" s="179" t="str">
        <x: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x:f>
        <x:v>Komponen bangunan lepas atau lapuk; </x:v>
      </x:c>
      <x:c r="AO198" s="179" t="str">
        <x:f t="shared" ref="AO198:AO261" si="39">IF(AR198="","Belum Dinilai",IF(AR198=10,"Risiko Tinggi/Darurat",IF(AR198=5,"Risiko Sedang","Tidak Ada Risiko Khusus")))</x:f>
        <x:v>Risiko Sedang</x:v>
      </x:c>
      <x:c r="AP198" s="179"/>
      <x:c r="AQ198" s="180" t="n">
        <x: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x:f>
        <x:v>22</x:v>
      </x:c>
      <x:c r="AR198" s="180" t="n">
        <x: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x:f>
        <x:v>5</x:v>
      </x:c>
      <x:c r="AS198" s="180" t="str">
        <x:f t="shared" ref="AS198:AS261" si="42">IF(OR(AQ198="",AB198="",AR198=""),"",AQ198+AB198+AR198)</x:f>
      </x:c>
      <x:c r="AT198" s="179" t="str">
        <x: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x:f>
        <x:v>Belum Dapat Ditentukan</x:v>
      </x:c>
      <x:c r="AU198" s="179" t="s">
        <x:v>903</x:v>
      </x:c>
      <x:c r="AV198" s="179" t="s">
        <x:v>904</x:v>
      </x:c>
      <x:c r="AW198" s="179" t="s">
        <x:v>889</x:v>
      </x:c>
      <x:c r="AX198" s="65" t="s">
        <x:v>890</x:v>
      </x:c>
      <x:c r="AY198" s="179"/>
      <x:c r="AZ198" s="179"/>
      <x:c r="BA198" s="179"/>
      <x:c r="BB198" s="181"/>
      <x:c r="BC198" s="180">
        <x:v>2025</x:v>
      </x:c>
      <x:c r="BD198" s="179" t="s">
        <x:v>908</x:v>
      </x:c>
      <x:c r="BE198" s="181"/>
      <x:c r="BF198" s="179" t="str">
        <x:v>Dinas Perkim Kota Pangkal Pinang</x:v>
      </x:c>
    </x:row>
    <x:row r="199" ht="28">
      <x:c r="A199" s="179" t="s">
        <x:v>1754</x:v>
      </x:c>
      <x:c r="B199" s="179" t="s">
        <x:v>1755</x:v>
      </x:c>
      <x:c r="C199" s="179"/>
      <x:c r="D199" s="179"/>
      <x:c r="E199" s="179" t="s">
        <x:v>1756</x:v>
      </x:c>
      <x:c r="F199" s="179" t="s">
        <x:v>1748</x:v>
      </x:c>
      <x:c r="G199" s="179" t="s">
        <x:v>1012</x:v>
      </x:c>
      <x:c r="H199" s="179" t="s">
        <x:v>878</x:v>
      </x:c>
      <x:c r="I199" s="179"/>
      <x:c r="J199" s="179" t="s">
        <x:v>895</x:v>
      </x:c>
      <x:c r="K199" s="179" t="s">
        <x:v>896</x:v>
      </x:c>
      <x:c r="L199" s="179" t="s">
        <x:v>897</x:v>
      </x:c>
      <x:c r="M199" s="179" t="s">
        <x:v>968</x:v>
      </x:c>
      <x:c r="N199" s="179" t="s">
        <x:v>912</x:v>
      </x:c>
      <x:c r="O199" s="179" t="s">
        <x:v>914</x:v>
      </x:c>
      <x:c r="P199" s="179" t="s">
        <x:v>881</x:v>
      </x:c>
      <x:c r="Q199" s="179" t="s">
        <x:v>884</x:v>
      </x:c>
      <x:c r="R199" s="179"/>
      <x:c r="S199" s="179"/>
      <x:c r="T199" s="179"/>
      <x:c r="U199" s="179"/>
      <x:c r="V199" s="179"/>
      <x:c r="W199" s="179"/>
      <x:c r="X199" s="179" t="str">
        <x:f t="shared" si="33"/>
        <x:v>Tidak ada faktor rentan</x:v>
      </x:c>
      <x:c r="Y199" s="179" t="str">
        <x:f t="shared" si="34"/>
        <x:v>Tidak Ada Faktor Rentan</x:v>
      </x:c>
      <x:c r="Z199" s="180">
        <x:f t="shared" si="35"/>
        <x:v>10</x:v>
      </x:c>
      <x:c r="AA199" s="180">
        <x:f t="shared" si="36"/>
        <x:v>0</x:v>
      </x:c>
      <x:c r="AB199" s="180">
        <x:f t="shared" si="37"/>
        <x:v>10</x:v>
      </x:c>
      <x:c r="AC199" s="179" t="s">
        <x:v>901</x:v>
      </x:c>
      <x:c r="AD199" s="179" t="s">
        <x:v>901</x:v>
      </x:c>
      <x:c r="AE199" s="179" t="s">
        <x:v>901</x:v>
      </x:c>
      <x:c r="AF199" s="179" t="s">
        <x:v>901</x:v>
      </x:c>
      <x:c r="AG199" s="179" t="s">
        <x:v>901</x:v>
      </x:c>
      <x:c r="AH199" s="179" t="s">
        <x:v>901</x:v>
      </x:c>
      <x:c r="AI199" s="179" t="s">
        <x:v>901</x:v>
      </x:c>
      <x:c r="AJ199" s="179" t="s">
        <x:v>901</x:v>
      </x:c>
      <x:c r="AK199" s="179" t="s">
        <x:v>901</x:v>
      </x:c>
      <x:c r="AL199" s="179"/>
      <x:c r="AM199" s="179"/>
      <x:c r="AN199" s="179" t="str">
        <x:f t="shared" si="38"/>
        <x:v>Tidak ada risiko khusus</x:v>
      </x:c>
      <x:c r="AO199" s="179" t="str">
        <x:f t="shared" si="39"/>
        <x:v>Tidak Ada Risiko Khusus</x:v>
      </x:c>
      <x:c r="AP199" s="179"/>
      <x:c r="AQ199" s="180">
        <x:f t="shared" si="40"/>
        <x:v>23</x:v>
      </x:c>
      <x:c r="AR199" s="180">
        <x:f t="shared" si="41"/>
        <x:v>0</x:v>
      </x:c>
      <x:c r="AS199" s="180">
        <x:f t="shared" si="42"/>
        <x:v>33</x:v>
      </x:c>
      <x:c r="AT199" s="179" t="str">
        <x:f t="shared" si="43"/>
        <x:v>Rendah</x:v>
      </x:c>
      <x:c r="AU199" s="179" t="s">
        <x:v>887</x:v>
      </x:c>
      <x:c r="AV199" s="179" t="s">
        <x:v>904</x:v>
      </x:c>
      <x:c r="AW199" s="179" t="s">
        <x:v>889</x:v>
      </x:c>
      <x:c r="AX199" s="65" t="s">
        <x:v>890</x:v>
      </x:c>
      <x:c r="AY199" s="179"/>
      <x:c r="AZ199" s="179"/>
      <x:c r="BA199" s="179"/>
      <x:c r="BB199" s="181"/>
      <x:c r="BC199" s="180">
        <x:v>2025</x:v>
      </x:c>
      <x:c r="BD199" s="179" t="s">
        <x:v>908</x:v>
      </x:c>
      <x:c r="BE199" s="181"/>
      <x:c r="BF199" s="179" t="str">
        <x:v>Dinas Perkim Kota Pangkal Pinang</x:v>
      </x:c>
    </x:row>
    <x:row r="200" ht="28">
      <x:c r="A200" s="179" t="s">
        <x:v>1757</x:v>
      </x:c>
      <x:c r="B200" s="179" t="s">
        <x:v>1758</x:v>
      </x:c>
      <x:c r="C200" s="179"/>
      <x:c r="D200" s="179"/>
      <x:c r="E200" s="179" t="s">
        <x:v>1759</x:v>
      </x:c>
      <x:c r="F200" s="179" t="s">
        <x:v>1748</x:v>
      </x:c>
      <x:c r="G200" s="179" t="s">
        <x:v>1012</x:v>
      </x:c>
      <x:c r="H200" s="179" t="s">
        <x:v>878</x:v>
      </x:c>
      <x:c r="I200" s="179"/>
      <x:c r="J200" s="179" t="s">
        <x:v>910</x:v>
      </x:c>
      <x:c r="K200" s="179" t="s">
        <x:v>911</x:v>
      </x:c>
      <x:c r="L200" s="179" t="s">
        <x:v>897</x:v>
      </x:c>
      <x:c r="M200" s="179" t="s">
        <x:v>968</x:v>
      </x:c>
      <x:c r="N200" s="179" t="s">
        <x:v>897</x:v>
      </x:c>
      <x:c r="O200" s="179" t="s">
        <x:v>914</x:v>
      </x:c>
      <x:c r="P200" s="179" t="s">
        <x:v>897</x:v>
      </x:c>
      <x:c r="Q200" s="179" t="s">
        <x:v>884</x:v>
      </x:c>
      <x:c r="R200" s="179"/>
      <x:c r="S200" s="179"/>
      <x:c r="T200" s="179"/>
      <x:c r="U200" s="179"/>
      <x:c r="V200" s="179"/>
      <x:c r="W200" s="179"/>
      <x:c r="X200" s="179" t="str">
        <x:f t="shared" si="33"/>
        <x:v>Tidak ada faktor rentan</x:v>
      </x:c>
      <x:c r="Y200" s="179" t="str">
        <x:f t="shared" si="34"/>
        <x:v>Tidak Ada Faktor Rentan</x:v>
      </x:c>
      <x:c r="Z200" s="180">
        <x:f t="shared" si="35"/>
        <x:v>10</x:v>
      </x:c>
      <x:c r="AA200" s="180">
        <x:f t="shared" si="36"/>
        <x:v>0</x:v>
      </x:c>
      <x:c r="AB200" s="180">
        <x:f t="shared" si="37"/>
        <x:v>10</x:v>
      </x:c>
      <x:c r="AC200" s="179"/>
      <x:c r="AD200" s="179" t="s">
        <x:v>901</x:v>
      </x:c>
      <x:c r="AE200" s="179" t="s">
        <x:v>901</x:v>
      </x:c>
      <x:c r="AF200" s="179" t="s">
        <x:v>901</x:v>
      </x:c>
      <x:c r="AG200" s="179" t="s">
        <x:v>901</x:v>
      </x:c>
      <x:c r="AH200" s="179" t="s">
        <x:v>901</x:v>
      </x:c>
      <x:c r="AI200" s="179" t="s">
        <x:v>885</x:v>
      </x:c>
      <x:c r="AJ200" s="179" t="s">
        <x:v>901</x:v>
      </x:c>
      <x:c r="AK200" s="179" t="s">
        <x:v>901</x:v>
      </x:c>
      <x:c r="AL200" s="179"/>
      <x:c r="AM200" s="179"/>
      <x:c r="AN200" s="179" t="str">
        <x:f t="shared" si="38"/>
        <x:v>Komponen bangunan lepas atau lapuk; </x:v>
      </x:c>
      <x:c r="AO200" s="179" t="str">
        <x:f t="shared" si="39"/>
        <x:v>Risiko Sedang</x:v>
      </x:c>
      <x:c r="AP200" s="179"/>
      <x:c r="AQ200" s="180">
        <x:f t="shared" si="40"/>
        <x:v>29</x:v>
      </x:c>
      <x:c r="AR200" s="180">
        <x:f t="shared" si="41"/>
        <x:v>5</x:v>
      </x:c>
      <x:c r="AS200" s="180">
        <x:f t="shared" si="42"/>
        <x:v>44</x:v>
      </x:c>
      <x:c r="AT200" s="179" t="str">
        <x:f t="shared" si="43"/>
        <x:v>Rendah</x:v>
      </x:c>
      <x:c r="AU200" s="179" t="s">
        <x:v>903</x:v>
      </x:c>
      <x:c r="AV200" s="179" t="s">
        <x:v>904</x:v>
      </x:c>
      <x:c r="AW200" s="179" t="s">
        <x:v>889</x:v>
      </x:c>
      <x:c r="AX200" s="65" t="s">
        <x:v>890</x:v>
      </x:c>
      <x:c r="AY200" s="179"/>
      <x:c r="AZ200" s="179" t="s">
        <x:v>907</x:v>
      </x:c>
      <x:c r="BA200" s="179"/>
      <x:c r="BB200" s="181"/>
      <x:c r="BC200" s="180">
        <x:v>2025</x:v>
      </x:c>
      <x:c r="BD200" s="179" t="s">
        <x:v>908</x:v>
      </x:c>
      <x:c r="BE200" s="181"/>
      <x:c r="BF200" s="179" t="str">
        <x:v>Dinas Perkim Kota Pangkal Pinang</x:v>
      </x:c>
    </x:row>
    <x:row r="201" ht="28">
      <x:c r="A201" s="179" t="s">
        <x:v>1760</x:v>
      </x:c>
      <x:c r="B201" s="179" t="s">
        <x:v>1761</x:v>
      </x:c>
      <x:c r="C201" s="179"/>
      <x:c r="D201" s="179"/>
      <x:c r="E201" s="179" t="s">
        <x:v>1762</x:v>
      </x:c>
      <x:c r="F201" s="179" t="s">
        <x:v>1058</x:v>
      </x:c>
      <x:c r="G201" s="179" t="s">
        <x:v>990</x:v>
      </x:c>
      <x:c r="H201" s="179" t="s">
        <x:v>878</x:v>
      </x:c>
      <x:c r="I201" s="179"/>
      <x:c r="J201" s="179" t="s">
        <x:v>910</x:v>
      </x:c>
      <x:c r="K201" s="179" t="s">
        <x:v>896</x:v>
      </x:c>
      <x:c r="L201" s="179" t="s">
        <x:v>881</x:v>
      </x:c>
      <x:c r="M201" s="179" t="s">
        <x:v>968</x:v>
      </x:c>
      <x:c r="N201" s="179" t="s">
        <x:v>881</x:v>
      </x:c>
      <x:c r="O201" s="179" t="s">
        <x:v>914</x:v>
      </x:c>
      <x:c r="P201" s="179" t="s">
        <x:v>881</x:v>
      </x:c>
      <x:c r="Q201" s="179" t="s">
        <x:v>916</x:v>
      </x:c>
      <x:c r="R201" s="179"/>
      <x:c r="S201" s="179"/>
      <x:c r="T201" s="179"/>
      <x:c r="U201" s="179"/>
      <x:c r="V201" s="179"/>
      <x:c r="W201" s="179"/>
      <x:c r="X201" s="179" t="str">
        <x:f t="shared" si="33"/>
        <x:v>Tidak ada faktor rentan</x:v>
      </x:c>
      <x:c r="Y201" s="179" t="str">
        <x:f t="shared" si="34"/>
        <x:v>Tidak Ada Faktor Rentan</x:v>
      </x:c>
      <x:c r="Z201" s="180" t="str">
        <x:f t="shared" si="35"/>
      </x:c>
      <x:c r="AA201" s="180">
        <x:f t="shared" si="36"/>
        <x:v>0</x:v>
      </x:c>
      <x:c r="AB201" s="180" t="str">
        <x:f t="shared" si="37"/>
      </x:c>
      <x:c r="AC201" s="179" t="s">
        <x:v>901</x:v>
      </x:c>
      <x:c r="AD201" s="179" t="s">
        <x:v>901</x:v>
      </x:c>
      <x:c r="AE201" s="179" t="s">
        <x:v>901</x:v>
      </x:c>
      <x:c r="AF201" s="179" t="s">
        <x:v>901</x:v>
      </x:c>
      <x:c r="AG201" s="179" t="s">
        <x:v>901</x:v>
      </x:c>
      <x:c r="AH201" s="179" t="s">
        <x:v>901</x:v>
      </x:c>
      <x:c r="AI201" s="179" t="s">
        <x:v>885</x:v>
      </x:c>
      <x:c r="AJ201" s="179" t="s">
        <x:v>901</x:v>
      </x:c>
      <x:c r="AK201" s="179" t="s">
        <x:v>901</x:v>
      </x:c>
      <x:c r="AL201" s="179"/>
      <x:c r="AM201" s="179"/>
      <x:c r="AN201" s="179" t="str">
        <x:f t="shared" si="38"/>
        <x:v>Komponen bangunan lepas atau lapuk; </x:v>
      </x:c>
      <x:c r="AO201" s="179" t="str">
        <x:f t="shared" si="39"/>
        <x:v>Risiko Sedang</x:v>
      </x:c>
      <x:c r="AP201" s="179"/>
      <x:c r="AQ201" s="180">
        <x:f t="shared" si="40"/>
        <x:v>15</x:v>
      </x:c>
      <x:c r="AR201" s="180">
        <x:f t="shared" si="41"/>
        <x:v>5</x:v>
      </x:c>
      <x:c r="AS201" s="180" t="str">
        <x:f t="shared" si="42"/>
      </x:c>
      <x:c r="AT201" s="179" t="str">
        <x:f t="shared" si="43"/>
        <x:v>Belum Dapat Ditentukan</x:v>
      </x:c>
      <x:c r="AU201" s="179" t="s">
        <x:v>887</x:v>
      </x:c>
      <x:c r="AV201" s="179" t="s">
        <x:v>904</x:v>
      </x:c>
      <x:c r="AW201" s="179" t="s">
        <x:v>889</x:v>
      </x:c>
      <x:c r="AX201" s="65" t="s">
        <x:v>890</x:v>
      </x:c>
      <x:c r="AY201" s="179"/>
      <x:c r="AZ201" s="179" t="s">
        <x:v>891</x:v>
      </x:c>
      <x:c r="BA201" s="179"/>
      <x:c r="BB201" s="181"/>
      <x:c r="BC201" s="180">
        <x:v>2025</x:v>
      </x:c>
      <x:c r="BD201" s="179" t="s">
        <x:v>920</x:v>
      </x:c>
      <x:c r="BE201" s="181"/>
      <x:c r="BF201" s="179" t="str">
        <x:v>Dinas Perkim Kota Pangkal Pinang</x:v>
      </x:c>
    </x:row>
    <x:row r="202" ht="28">
      <x:c r="A202" s="179" t="s">
        <x:v>1763</x:v>
      </x:c>
      <x:c r="B202" s="179" t="s">
        <x:v>1764</x:v>
      </x:c>
      <x:c r="C202" s="179"/>
      <x:c r="D202" s="179"/>
      <x:c r="E202" s="179" t="s">
        <x:v>1765</x:v>
      </x:c>
      <x:c r="F202" s="179" t="s">
        <x:v>1081</x:v>
      </x:c>
      <x:c r="G202" s="179" t="s">
        <x:v>990</x:v>
      </x:c>
      <x:c r="H202" s="179" t="s">
        <x:v>894</x:v>
      </x:c>
      <x:c r="I202" s="179"/>
      <x:c r="J202" s="179" t="s">
        <x:v>910</x:v>
      </x:c>
      <x:c r="K202" s="179"/>
      <x:c r="L202" s="179" t="s">
        <x:v>912</x:v>
      </x:c>
      <x:c r="M202" s="179" t="s">
        <x:v>968</x:v>
      </x:c>
      <x:c r="N202" s="179" t="s">
        <x:v>897</x:v>
      </x:c>
      <x:c r="O202" s="179" t="s">
        <x:v>914</x:v>
      </x:c>
      <x:c r="P202" s="179" t="s">
        <x:v>897</x:v>
      </x:c>
      <x:c r="Q202" s="179" t="s">
        <x:v>884</x:v>
      </x:c>
      <x:c r="R202" s="179"/>
      <x:c r="S202" s="179"/>
      <x:c r="T202" s="179"/>
      <x:c r="U202" s="179"/>
      <x:c r="V202" s="179"/>
      <x:c r="W202" s="179"/>
      <x:c r="X202" s="179" t="str">
        <x:f t="shared" si="33"/>
        <x:v>Tidak ada faktor rentan</x:v>
      </x:c>
      <x:c r="Y202" s="179" t="str">
        <x:f t="shared" si="34"/>
        <x:v>Tidak Ada Faktor Rentan</x:v>
      </x:c>
      <x:c r="Z202" s="180">
        <x:f t="shared" si="35"/>
        <x:v>10</x:v>
      </x:c>
      <x:c r="AA202" s="180">
        <x:f t="shared" si="36"/>
        <x:v>0</x:v>
      </x:c>
      <x:c r="AB202" s="180">
        <x:f t="shared" si="37"/>
        <x:v>10</x:v>
      </x:c>
      <x:c r="AC202" s="179" t="s">
        <x:v>901</x:v>
      </x:c>
      <x:c r="AD202" s="179" t="s">
        <x:v>901</x:v>
      </x:c>
      <x:c r="AE202" s="179" t="s">
        <x:v>901</x:v>
      </x:c>
      <x:c r="AF202" s="179" t="s">
        <x:v>901</x:v>
      </x:c>
      <x:c r="AG202" s="179" t="s">
        <x:v>885</x:v>
      </x:c>
      <x:c r="AH202" s="179" t="s">
        <x:v>885</x:v>
      </x:c>
      <x:c r="AI202" s="179" t="s">
        <x:v>885</x:v>
      </x:c>
      <x:c r="AJ202" s="179" t="s">
        <x:v>901</x:v>
      </x:c>
      <x:c r="AK202" s="179" t="s">
        <x:v>901</x:v>
      </x:c>
      <x:c r="AL202" s="179"/>
      <x:c r="AM202" s="179"/>
      <x:c r="AN202" s="179" t="str">
        <x:f t="shared" si="38"/>
        <x:v>Struktur rumah tidak stabil; Instalasi listrik berbahaya; Komponen bangunan lepas atau lapuk; </x:v>
      </x:c>
      <x:c r="AO202" s="179" t="str">
        <x:f t="shared" si="39"/>
        <x:v>Risiko Tinggi/Darurat</x:v>
      </x:c>
      <x:c r="AP202" s="179"/>
      <x:c r="AQ202" s="180">
        <x:f t="shared" si="40"/>
        <x:v>34</x:v>
      </x:c>
      <x:c r="AR202" s="180">
        <x:f t="shared" si="41"/>
        <x:v>10</x:v>
      </x:c>
      <x:c r="AS202" s="180">
        <x:f t="shared" si="42"/>
        <x:v>54</x:v>
      </x:c>
      <x:c r="AT202" s="179" t="str">
        <x:f t="shared" si="43"/>
        <x:v>Tinggi</x:v>
      </x:c>
      <x:c r="AU202" s="179" t="s">
        <x:v>887</x:v>
      </x:c>
      <x:c r="AV202" s="179" t="s">
        <x:v>904</x:v>
      </x:c>
      <x:c r="AW202" s="179" t="s">
        <x:v>889</x:v>
      </x:c>
      <x:c r="AX202" s="65" t="s">
        <x:v>890</x:v>
      </x:c>
      <x:c r="AY202" s="179"/>
      <x:c r="AZ202" s="179" t="s">
        <x:v>891</x:v>
      </x:c>
      <x:c r="BA202" s="179"/>
      <x:c r="BB202" s="181"/>
      <x:c r="BC202" s="180">
        <x:v>2025</x:v>
      </x:c>
      <x:c r="BD202" s="179" t="s">
        <x:v>920</x:v>
      </x:c>
      <x:c r="BE202" s="181"/>
      <x:c r="BF202" s="179" t="str">
        <x:v>Dinas Perkim Kota Pangkal Pinang</x:v>
      </x:c>
    </x:row>
    <x:row r="203" ht="42">
      <x:c r="A203" s="179" t="s">
        <x:v>1766</x:v>
      </x:c>
      <x:c r="B203" s="179" t="s">
        <x:v>1767</x:v>
      </x:c>
      <x:c r="C203" s="179"/>
      <x:c r="D203" s="179"/>
      <x:c r="E203" s="179" t="s">
        <x:v>1768</x:v>
      </x:c>
      <x:c r="F203" s="179" t="s">
        <x:v>976</x:v>
      </x:c>
      <x:c r="G203" s="179" t="s">
        <x:v>977</x:v>
      </x:c>
      <x:c r="H203" s="179" t="s">
        <x:v>894</x:v>
      </x:c>
      <x:c r="I203" s="179"/>
      <x:c r="J203" s="179" t="s">
        <x:v>879</x:v>
      </x:c>
      <x:c r="K203" s="179" t="s">
        <x:v>911</x:v>
      </x:c>
      <x:c r="L203" s="179" t="s">
        <x:v>912</x:v>
      </x:c>
      <x:c r="M203" s="179" t="s">
        <x:v>898</x:v>
      </x:c>
      <x:c r="N203" s="179" t="s">
        <x:v>912</x:v>
      </x:c>
      <x:c r="O203" s="179" t="s">
        <x:v>914</x:v>
      </x:c>
      <x:c r="P203" s="179" t="s">
        <x:v>897</x:v>
      </x:c>
      <x:c r="Q203" s="179" t="s">
        <x:v>884</x:v>
      </x:c>
      <x:c r="R203" s="179" t="s">
        <x:v>901</x:v>
      </x:c>
      <x:c r="S203" s="179" t="s">
        <x:v>901</x:v>
      </x:c>
      <x:c r="T203" s="179" t="s">
        <x:v>901</x:v>
      </x:c>
      <x:c r="U203" s="179" t="s">
        <x:v>901</x:v>
      </x:c>
      <x:c r="V203" s="179" t="s">
        <x:v>901</x:v>
      </x:c>
      <x:c r="W203" s="179"/>
      <x:c r="X203" s="179" t="str">
        <x:f t="shared" si="33"/>
        <x:v>Tidak ada faktor rentan</x:v>
      </x:c>
      <x:c r="Y203" s="179" t="str">
        <x:f t="shared" si="34"/>
        <x:v>Tidak Ada Faktor Rentan</x:v>
      </x:c>
      <x:c r="Z203" s="180">
        <x:f t="shared" si="35"/>
        <x:v>10</x:v>
      </x:c>
      <x:c r="AA203" s="180">
        <x:f t="shared" si="36"/>
        <x:v>0</x:v>
      </x:c>
      <x:c r="AB203" s="180">
        <x:f t="shared" si="37"/>
        <x:v>10</x:v>
      </x:c>
      <x:c r="AC203" s="179" t="s">
        <x:v>901</x:v>
      </x:c>
      <x:c r="AD203" s="179" t="s">
        <x:v>901</x:v>
      </x:c>
      <x:c r="AE203" s="179" t="s">
        <x:v>901</x:v>
      </x:c>
      <x:c r="AF203" s="179" t="s">
        <x:v>901</x:v>
      </x:c>
      <x:c r="AG203" s="179" t="s">
        <x:v>901</x:v>
      </x:c>
      <x:c r="AH203" s="179" t="s">
        <x:v>901</x:v>
      </x:c>
      <x:c r="AI203" s="179" t="s">
        <x:v>885</x:v>
      </x:c>
      <x:c r="AJ203" s="179" t="s">
        <x:v>901</x:v>
      </x:c>
      <x:c r="AK203" s="179" t="s">
        <x:v>901</x:v>
      </x:c>
      <x:c r="AL203" s="179"/>
      <x:c r="AM203" s="179"/>
      <x:c r="AN203" s="179" t="str">
        <x:f t="shared" si="38"/>
        <x:v>Komponen bangunan lepas atau lapuk; </x:v>
      </x:c>
      <x:c r="AO203" s="179" t="str">
        <x:f t="shared" si="39"/>
        <x:v>Risiko Sedang</x:v>
      </x:c>
      <x:c r="AP203" s="179"/>
      <x:c r="AQ203" s="180">
        <x:f t="shared" si="40"/>
        <x:v>24</x:v>
      </x:c>
      <x:c r="AR203" s="180">
        <x:f t="shared" si="41"/>
        <x:v>5</x:v>
      </x:c>
      <x:c r="AS203" s="180">
        <x:f t="shared" si="42"/>
        <x:v>39</x:v>
      </x:c>
      <x:c r="AT203" s="179" t="str">
        <x:f t="shared" si="43"/>
        <x:v>Rendah</x:v>
      </x:c>
      <x:c r="AU203" s="179" t="s">
        <x:v>887</x:v>
      </x:c>
      <x:c r="AV203" s="179" t="s">
        <x:v>904</x:v>
      </x:c>
      <x:c r="AW203" s="179" t="s">
        <x:v>969</x:v>
      </x:c>
      <x:c r="AX203" s="179" t="s">
        <x:v>906</x:v>
      </x:c>
      <x:c r="AY203" s="179">
        <x:v>2025</x:v>
      </x:c>
      <x:c r="AZ203" s="179" t="s">
        <x:v>891</x:v>
      </x:c>
      <x:c r="BA203" s="179"/>
      <x:c r="BB203" s="181"/>
      <x:c r="BC203" s="180">
        <x:v>2025</x:v>
      </x:c>
      <x:c r="BD203" s="179" t="s">
        <x:v>920</x:v>
      </x:c>
      <x:c r="BE203" s="181"/>
      <x:c r="BF203" s="179" t="str">
        <x:v>Dinas Perkim Kota Pangkal Pinang</x:v>
      </x:c>
    </x:row>
    <x:row r="204" ht="56">
      <x:c r="A204" s="179" t="s">
        <x:v>1769</x:v>
      </x:c>
      <x:c r="B204" s="179" t="s">
        <x:v>1770</x:v>
      </x:c>
      <x:c r="C204" s="182" t="s">
        <x:v>1771</x:v>
      </x:c>
      <x:c r="D204" s="182" t="s">
        <x:v>1772</x:v>
      </x:c>
      <x:c r="E204" s="179" t="s">
        <x:v>1344</x:v>
      </x:c>
      <x:c r="F204" s="179" t="s">
        <x:v>1345</x:v>
      </x:c>
      <x:c r="G204" s="179" t="s">
        <x:v>977</x:v>
      </x:c>
      <x:c r="H204" s="179" t="s">
        <x:v>878</x:v>
      </x:c>
      <x:c r="I204" s="179"/>
      <x:c r="J204" s="179" t="s">
        <x:v>910</x:v>
      </x:c>
      <x:c r="K204" s="179" t="s">
        <x:v>896</x:v>
      </x:c>
      <x:c r="L204" s="179" t="s">
        <x:v>897</x:v>
      </x:c>
      <x:c r="M204" s="179" t="s">
        <x:v>968</x:v>
      </x:c>
      <x:c r="N204" s="179" t="s">
        <x:v>912</x:v>
      </x:c>
      <x:c r="O204" s="179" t="s">
        <x:v>968</x:v>
      </x:c>
      <x:c r="P204" s="179" t="s">
        <x:v>897</x:v>
      </x:c>
      <x:c r="Q204" s="179" t="s">
        <x:v>884</x:v>
      </x:c>
      <x:c r="R204" s="179" t="s">
        <x:v>901</x:v>
      </x:c>
      <x:c r="S204" s="179" t="s">
        <x:v>885</x:v>
      </x:c>
      <x:c r="T204" s="179" t="s">
        <x:v>901</x:v>
      </x:c>
      <x:c r="U204" s="179" t="s">
        <x:v>901</x:v>
      </x:c>
      <x:c r="V204" s="179" t="s">
        <x:v>901</x:v>
      </x:c>
      <x:c r="W204" s="179"/>
      <x:c r="X204" s="179" t="str">
        <x:f t="shared" si="33"/>
        <x:v>Penyandang disabilitas; </x:v>
      </x:c>
      <x:c r="Y204" s="179" t="str">
        <x:f t="shared" si="34"/>
        <x:v>1 Faktor Rentan</x:v>
      </x:c>
      <x:c r="Z204" s="180">
        <x:f t="shared" si="35"/>
        <x:v>10</x:v>
      </x:c>
      <x:c r="AA204" s="180">
        <x:f t="shared" si="36"/>
        <x:v>5</x:v>
      </x:c>
      <x:c r="AB204" s="180">
        <x:f t="shared" si="37"/>
        <x:v>15</x:v>
      </x:c>
      <x:c r="AC204" s="179" t="s">
        <x:v>885</x:v>
      </x:c>
      <x:c r="AD204" s="179" t="s">
        <x:v>901</x:v>
      </x:c>
      <x:c r="AE204" s="179" t="s">
        <x:v>885</x:v>
      </x:c>
      <x:c r="AF204" s="179" t="s">
        <x:v>885</x:v>
      </x:c>
      <x:c r="AG204" s="179" t="s">
        <x:v>885</x:v>
      </x:c>
      <x:c r="AH204" s="179" t="s">
        <x:v>885</x:v>
      </x:c>
      <x:c r="AI204" s="179" t="s">
        <x:v>885</x:v>
      </x:c>
      <x:c r="AJ204" s="179" t="s">
        <x:v>901</x:v>
      </x:c>
      <x:c r="AK204" s="179" t="s">
        <x:v>885</x:v>
      </x:c>
      <x:c r="AL204" s="179"/>
      <x:c r="AM204" s="179"/>
      <x:c r="AN204" s="179" t="str">
        <x:f t="shared" si="38"/>
        <x:v>Bangunan berpotensi roboh; Atap atau dinding utama hampir runtuh; Genangan yang membahayakan; Struktur rumah tidak stabil; Instalasi listrik berbahaya; Komponen bangunan lepas atau lapuk; Lokasi rawan bencana; </x:v>
      </x:c>
      <x:c r="AO204" s="179" t="str">
        <x:f t="shared" si="39"/>
        <x:v>Risiko Tinggi/Darurat</x:v>
      </x:c>
      <x:c r="AP204" s="179"/>
      <x:c r="AQ204" s="180">
        <x:f t="shared" si="40"/>
        <x:v>34</x:v>
      </x:c>
      <x:c r="AR204" s="180">
        <x:f t="shared" si="41"/>
        <x:v>10</x:v>
      </x:c>
      <x:c r="AS204" s="180">
        <x:f t="shared" si="42"/>
        <x:v>59</x:v>
      </x:c>
      <x:c r="AT204" s="179" t="str">
        <x:f t="shared" si="43"/>
        <x:v>Tinggi</x:v>
      </x:c>
      <x:c r="AU204" s="179" t="s">
        <x:v>887</x:v>
      </x:c>
      <x:c r="AV204" s="179" t="s">
        <x:v>904</x:v>
      </x:c>
      <x:c r="AW204" s="179" t="s">
        <x:v>969</x:v>
      </x:c>
      <x:c r="AX204" s="179" t="s">
        <x:v>906</x:v>
      </x:c>
      <x:c r="AY204" s="179">
        <x:v>2026</x:v>
      </x:c>
      <x:c r="AZ204" s="179" t="s">
        <x:v>891</x:v>
      </x:c>
      <x:c r="BA204" s="179"/>
      <x:c r="BB204" s="181"/>
      <x:c r="BC204" s="180">
        <x:v>2025</x:v>
      </x:c>
      <x:c r="BD204" s="179" t="s">
        <x:v>920</x:v>
      </x:c>
      <x:c r="BE204" s="181"/>
      <x:c r="BF204" s="179" t="str">
        <x:v>Dinas Perkim Kota Pangkal Pinang</x:v>
      </x:c>
    </x:row>
    <x:row r="205" ht="28">
      <x:c r="A205" s="179" t="s">
        <x:v>1773</x:v>
      </x:c>
      <x:c r="B205" s="179" t="s">
        <x:v>1774</x:v>
      </x:c>
      <x:c r="C205" s="179"/>
      <x:c r="D205" s="179"/>
      <x:c r="E205" s="179" t="s">
        <x:v>1775</x:v>
      </x:c>
      <x:c r="F205" s="179" t="s">
        <x:v>1776</x:v>
      </x:c>
      <x:c r="G205" s="179" t="s">
        <x:v>990</x:v>
      </x:c>
      <x:c r="H205" s="179" t="s">
        <x:v>878</x:v>
      </x:c>
      <x:c r="I205" s="179"/>
      <x:c r="J205" s="179" t="s">
        <x:v>895</x:v>
      </x:c>
      <x:c r="K205" s="179" t="s">
        <x:v>911</x:v>
      </x:c>
      <x:c r="L205" s="179" t="s">
        <x:v>881</x:v>
      </x:c>
      <x:c r="M205" s="179" t="s">
        <x:v>968</x:v>
      </x:c>
      <x:c r="N205" s="179" t="s">
        <x:v>881</x:v>
      </x:c>
      <x:c r="O205" s="179" t="s">
        <x:v>968</x:v>
      </x:c>
      <x:c r="P205" s="179" t="s">
        <x:v>881</x:v>
      </x:c>
      <x:c r="Q205" s="179" t="s">
        <x:v>916</x:v>
      </x:c>
      <x:c r="R205" s="179" t="s">
        <x:v>901</x:v>
      </x:c>
      <x:c r="S205" s="179" t="s">
        <x:v>901</x:v>
      </x:c>
      <x:c r="T205" s="179" t="s">
        <x:v>901</x:v>
      </x:c>
      <x:c r="U205" s="179" t="s">
        <x:v>901</x:v>
      </x:c>
      <x:c r="V205" s="179" t="s">
        <x:v>901</x:v>
      </x:c>
      <x:c r="W205" s="179"/>
      <x:c r="X205" s="179" t="str">
        <x:f t="shared" si="33"/>
        <x:v>Tidak ada faktor rentan</x:v>
      </x:c>
      <x:c r="Y205" s="179" t="str">
        <x:f t="shared" si="34"/>
        <x:v>Tidak Ada Faktor Rentan</x:v>
      </x:c>
      <x:c r="Z205" s="180" t="str">
        <x:f t="shared" si="35"/>
      </x:c>
      <x:c r="AA205" s="180">
        <x:f t="shared" si="36"/>
        <x:v>0</x:v>
      </x:c>
      <x:c r="AB205" s="180" t="str">
        <x:f t="shared" si="37"/>
      </x:c>
      <x:c r="AC205" s="179"/>
      <x:c r="AD205" s="179"/>
      <x:c r="AE205" s="179" t="s">
        <x:v>901</x:v>
      </x:c>
      <x:c r="AF205" s="179" t="s">
        <x:v>901</x:v>
      </x:c>
      <x:c r="AG205" s="179" t="s">
        <x:v>901</x:v>
      </x:c>
      <x:c r="AH205" s="179" t="s">
        <x:v>901</x:v>
      </x:c>
      <x:c r="AI205" s="179" t="s">
        <x:v>901</x:v>
      </x:c>
      <x:c r="AJ205" s="179" t="s">
        <x:v>901</x:v>
      </x:c>
      <x:c r="AK205" s="179" t="s">
        <x:v>901</x:v>
      </x:c>
      <x:c r="AL205" s="179"/>
      <x:c r="AM205" s="179"/>
      <x:c r="AN205" s="179" t="str">
        <x:f t="shared" si="38"/>
        <x:v>Tidak ada risiko khusus</x:v>
      </x:c>
      <x:c r="AO205" s="179" t="str">
        <x:f t="shared" si="39"/>
        <x:v>Tidak Ada Risiko Khusus</x:v>
      </x:c>
      <x:c r="AP205" s="179"/>
      <x:c r="AQ205" s="180">
        <x:f t="shared" si="40"/>
        <x:v>8</x:v>
      </x:c>
      <x:c r="AR205" s="180">
        <x:f t="shared" si="41"/>
        <x:v>0</x:v>
      </x:c>
      <x:c r="AS205" s="180" t="str">
        <x:f t="shared" si="42"/>
      </x:c>
      <x:c r="AT205" s="179" t="str">
        <x:f t="shared" si="43"/>
        <x:v>Belum Dapat Ditentukan</x:v>
      </x:c>
      <x:c r="AU205" s="179" t="s">
        <x:v>903</x:v>
      </x:c>
      <x:c r="AV205" s="179" t="s">
        <x:v>904</x:v>
      </x:c>
      <x:c r="AW205" s="179" t="s">
        <x:v>889</x:v>
      </x:c>
      <x:c r="AX205" s="65" t="s">
        <x:v>890</x:v>
      </x:c>
      <x:c r="AY205" s="179"/>
      <x:c r="AZ205" s="179"/>
      <x:c r="BA205" s="179"/>
      <x:c r="BB205" s="181"/>
      <x:c r="BC205" s="180">
        <x:v>2025</x:v>
      </x:c>
      <x:c r="BD205" s="179" t="s">
        <x:v>920</x:v>
      </x:c>
      <x:c r="BE205" s="181"/>
      <x:c r="BF205" s="179" t="str">
        <x:v>Dinas Perkim Kota Pangkal Pinang</x:v>
      </x:c>
    </x:row>
    <x:row r="206" ht="28">
      <x:c r="A206" s="179" t="s">
        <x:v>1777</x:v>
      </x:c>
      <x:c r="B206" s="179" t="s">
        <x:v>1778</x:v>
      </x:c>
      <x:c r="C206" s="182" t="s">
        <x:v>1779</x:v>
      </x:c>
      <x:c r="D206" s="182" t="s">
        <x:v>1780</x:v>
      </x:c>
      <x:c r="E206" s="179" t="s">
        <x:v>1265</x:v>
      </x:c>
      <x:c r="F206" s="179" t="s">
        <x:v>976</x:v>
      </x:c>
      <x:c r="G206" s="179" t="s">
        <x:v>977</x:v>
      </x:c>
      <x:c r="H206" s="179" t="s">
        <x:v>878</x:v>
      </x:c>
      <x:c r="I206" s="179"/>
      <x:c r="J206" s="179" t="s">
        <x:v>910</x:v>
      </x:c>
      <x:c r="K206" s="179" t="s">
        <x:v>896</x:v>
      </x:c>
      <x:c r="L206" s="179" t="s">
        <x:v>897</x:v>
      </x:c>
      <x:c r="M206" s="179" t="s">
        <x:v>968</x:v>
      </x:c>
      <x:c r="N206" s="179" t="s">
        <x:v>912</x:v>
      </x:c>
      <x:c r="O206" s="179" t="s">
        <x:v>914</x:v>
      </x:c>
      <x:c r="P206" s="179" t="s">
        <x:v>897</x:v>
      </x:c>
      <x:c r="Q206" s="179" t="s">
        <x:v>884</x:v>
      </x:c>
      <x:c r="R206" s="179" t="s">
        <x:v>885</x:v>
      </x:c>
      <x:c r="S206" s="179" t="s">
        <x:v>901</x:v>
      </x:c>
      <x:c r="T206" s="179" t="s">
        <x:v>885</x:v>
      </x:c>
      <x:c r="U206" s="179" t="s">
        <x:v>901</x:v>
      </x:c>
      <x:c r="V206" s="179" t="s">
        <x:v>901</x:v>
      </x:c>
      <x:c r="W206" s="179"/>
      <x:c r="X206" s="179" t="str">
        <x:f t="shared" si="33"/>
        <x:v>Lansia; Kepala keluarga perempuan; </x:v>
      </x:c>
      <x:c r="Y206" s="179" t="str">
        <x:f t="shared" si="34"/>
        <x:v>2 atau Lebih Faktor Rentan</x:v>
      </x:c>
      <x:c r="Z206" s="180">
        <x:f t="shared" si="35"/>
        <x:v>10</x:v>
      </x:c>
      <x:c r="AA206" s="180">
        <x:f t="shared" si="36"/>
        <x:v>10</x:v>
      </x:c>
      <x:c r="AB206" s="180">
        <x:f t="shared" si="37"/>
        <x:v>20</x:v>
      </x:c>
      <x:c r="AC206" s="179" t="s">
        <x:v>901</x:v>
      </x:c>
      <x:c r="AD206" s="179" t="s">
        <x:v>901</x:v>
      </x:c>
      <x:c r="AE206" s="179" t="s">
        <x:v>885</x:v>
      </x:c>
      <x:c r="AF206" s="179" t="s">
        <x:v>901</x:v>
      </x:c>
      <x:c r="AG206" s="179" t="s">
        <x:v>885</x:v>
      </x:c>
      <x:c r="AH206" s="179" t="s">
        <x:v>885</x:v>
      </x:c>
      <x:c r="AI206" s="179" t="s">
        <x:v>885</x:v>
      </x:c>
      <x:c r="AJ206" s="179" t="s">
        <x:v>901</x:v>
      </x:c>
      <x:c r="AK206" s="179" t="s">
        <x:v>901</x:v>
      </x:c>
      <x:c r="AL206" s="179"/>
      <x:c r="AM206" s="179"/>
      <x:c r="AN206" s="179" t="str">
        <x:f t="shared" si="38"/>
        <x:v>Atap atau dinding utama hampir runtuh; Struktur rumah tidak stabil; Instalasi listrik berbahaya; Komponen bangunan lepas atau lapuk; </x:v>
      </x:c>
      <x:c r="AO206" s="179" t="str">
        <x:f t="shared" si="39"/>
        <x:v>Risiko Tinggi/Darurat</x:v>
      </x:c>
      <x:c r="AP206" s="179"/>
      <x:c r="AQ206" s="180">
        <x:f t="shared" si="40"/>
        <x:v>34</x:v>
      </x:c>
      <x:c r="AR206" s="180">
        <x:f t="shared" si="41"/>
        <x:v>10</x:v>
      </x:c>
      <x:c r="AS206" s="180">
        <x:f t="shared" si="42"/>
        <x:v>64</x:v>
      </x:c>
      <x:c r="AT206" s="179" t="str">
        <x:f t="shared" si="43"/>
        <x:v>Tinggi</x:v>
      </x:c>
      <x:c r="AU206" s="179" t="s">
        <x:v>887</x:v>
      </x:c>
      <x:c r="AV206" s="179" t="s">
        <x:v>904</x:v>
      </x:c>
      <x:c r="AW206" s="179" t="s">
        <x:v>969</x:v>
      </x:c>
      <x:c r="AX206" s="179" t="s">
        <x:v>906</x:v>
      </x:c>
      <x:c r="AY206" s="179">
        <x:v>2026</x:v>
      </x:c>
      <x:c r="AZ206" s="179" t="s">
        <x:v>891</x:v>
      </x:c>
      <x:c r="BA206" s="179"/>
      <x:c r="BB206" s="181"/>
      <x:c r="BC206" s="180">
        <x:v>2025</x:v>
      </x:c>
      <x:c r="BD206" s="179"/>
      <x:c r="BE206" s="181"/>
      <x:c r="BF206" s="179" t="str">
        <x:v>Dinas Perkim Kota Pangkal Pinang</x:v>
      </x:c>
    </x:row>
    <x:row r="207" ht="28">
      <x:c r="A207" s="179" t="s">
        <x:v>1781</x:v>
      </x:c>
      <x:c r="B207" s="179" t="s">
        <x:v>1782</x:v>
      </x:c>
      <x:c r="C207" s="182" t="s">
        <x:v>1783</x:v>
      </x:c>
      <x:c r="D207" s="182" t="s">
        <x:v>1784</x:v>
      </x:c>
      <x:c r="E207" s="179" t="s">
        <x:v>1785</x:v>
      </x:c>
      <x:c r="F207" s="179" t="s">
        <x:v>990</x:v>
      </x:c>
      <x:c r="G207" s="179" t="s">
        <x:v>990</x:v>
      </x:c>
      <x:c r="H207" s="179" t="s">
        <x:v>878</x:v>
      </x:c>
      <x:c r="I207" s="179"/>
      <x:c r="J207" s="179" t="s">
        <x:v>910</x:v>
      </x:c>
      <x:c r="K207" s="179" t="s">
        <x:v>911</x:v>
      </x:c>
      <x:c r="L207" s="179" t="s">
        <x:v>912</x:v>
      </x:c>
      <x:c r="M207" s="179" t="s">
        <x:v>968</x:v>
      </x:c>
      <x:c r="N207" s="179" t="s">
        <x:v>912</x:v>
      </x:c>
      <x:c r="O207" s="179" t="s">
        <x:v>914</x:v>
      </x:c>
      <x:c r="P207" s="179" t="s">
        <x:v>897</x:v>
      </x:c>
      <x:c r="Q207" s="179" t="s">
        <x:v>884</x:v>
      </x:c>
      <x:c r="R207" s="179" t="s">
        <x:v>901</x:v>
      </x:c>
      <x:c r="S207" s="179" t="s">
        <x:v>901</x:v>
      </x:c>
      <x:c r="T207" s="179" t="s">
        <x:v>901</x:v>
      </x:c>
      <x:c r="U207" s="179" t="s">
        <x:v>901</x:v>
      </x:c>
      <x:c r="V207" s="179" t="s">
        <x:v>901</x:v>
      </x:c>
      <x:c r="W207" s="179"/>
      <x:c r="X207" s="179" t="str">
        <x:f t="shared" si="33"/>
        <x:v>Tidak ada faktor rentan</x:v>
      </x:c>
      <x:c r="Y207" s="179" t="str">
        <x:f t="shared" si="34"/>
        <x:v>Tidak Ada Faktor Rentan</x:v>
      </x:c>
      <x:c r="Z207" s="180">
        <x:f t="shared" si="35"/>
        <x:v>10</x:v>
      </x:c>
      <x:c r="AA207" s="180">
        <x:f t="shared" si="36"/>
        <x:v>0</x:v>
      </x:c>
      <x:c r="AB207" s="180">
        <x:f t="shared" si="37"/>
        <x:v>10</x:v>
      </x:c>
      <x:c r="AC207" s="179" t="s">
        <x:v>901</x:v>
      </x:c>
      <x:c r="AD207" s="179" t="s">
        <x:v>901</x:v>
      </x:c>
      <x:c r="AE207" s="179" t="s">
        <x:v>885</x:v>
      </x:c>
      <x:c r="AF207" s="179" t="s">
        <x:v>901</x:v>
      </x:c>
      <x:c r="AG207" s="179" t="s">
        <x:v>885</x:v>
      </x:c>
      <x:c r="AH207" s="179" t="s">
        <x:v>885</x:v>
      </x:c>
      <x:c r="AI207" s="179" t="s">
        <x:v>885</x:v>
      </x:c>
      <x:c r="AJ207" s="179" t="s">
        <x:v>901</x:v>
      </x:c>
      <x:c r="AK207" s="179" t="s">
        <x:v>901</x:v>
      </x:c>
      <x:c r="AL207" s="179"/>
      <x:c r="AM207" s="179"/>
      <x:c r="AN207" s="179" t="str">
        <x:f t="shared" si="38"/>
        <x:v>Atap atau dinding utama hampir runtuh; Struktur rumah tidak stabil; Instalasi listrik berbahaya; Komponen bangunan lepas atau lapuk; </x:v>
      </x:c>
      <x:c r="AO207" s="179" t="str">
        <x:f t="shared" si="39"/>
        <x:v>Risiko Tinggi/Darurat</x:v>
      </x:c>
      <x:c r="AP207" s="179"/>
      <x:c r="AQ207" s="180">
        <x:f t="shared" si="40"/>
        <x:v>39</x:v>
      </x:c>
      <x:c r="AR207" s="180">
        <x:f t="shared" si="41"/>
        <x:v>10</x:v>
      </x:c>
      <x:c r="AS207" s="180">
        <x:f t="shared" si="42"/>
        <x:v>59</x:v>
      </x:c>
      <x:c r="AT207" s="179" t="str">
        <x:f t="shared" si="43"/>
        <x:v>Tinggi</x:v>
      </x:c>
      <x:c r="AU207" s="179" t="s">
        <x:v>887</x:v>
      </x:c>
      <x:c r="AV207" s="179" t="s">
        <x:v>904</x:v>
      </x:c>
      <x:c r="AW207" s="179" t="s">
        <x:v>969</x:v>
      </x:c>
      <x:c r="AX207" s="179" t="s">
        <x:v>906</x:v>
      </x:c>
      <x:c r="AY207" s="179">
        <x:v>2026</x:v>
      </x:c>
      <x:c r="AZ207" s="179" t="s">
        <x:v>891</x:v>
      </x:c>
      <x:c r="BA207" s="179"/>
      <x:c r="BB207" s="181"/>
      <x:c r="BC207" s="180">
        <x:v>2025</x:v>
      </x:c>
      <x:c r="BD207" s="179" t="s">
        <x:v>920</x:v>
      </x:c>
      <x:c r="BE207" s="181"/>
      <x:c r="BF207" s="179" t="str">
        <x:v>Dinas Perkim Kota Pangkal Pinang</x:v>
      </x:c>
    </x:row>
    <x:row r="208" ht="28">
      <x:c r="A208" s="179" t="s">
        <x:v>1786</x:v>
      </x:c>
      <x:c r="B208" s="179" t="s">
        <x:v>1787</x:v>
      </x:c>
      <x:c r="C208" s="182" t="s">
        <x:v>1788</x:v>
      </x:c>
      <x:c r="D208" s="182" t="s">
        <x:v>1789</x:v>
      </x:c>
      <x:c r="E208" s="179" t="s">
        <x:v>1785</x:v>
      </x:c>
      <x:c r="F208" s="179" t="s">
        <x:v>990</x:v>
      </x:c>
      <x:c r="G208" s="179" t="s">
        <x:v>990</x:v>
      </x:c>
      <x:c r="H208" s="179" t="s">
        <x:v>894</x:v>
      </x:c>
      <x:c r="I208" s="179"/>
      <x:c r="J208" s="179" t="s">
        <x:v>910</x:v>
      </x:c>
      <x:c r="K208" s="179" t="s">
        <x:v>896</x:v>
      </x:c>
      <x:c r="L208" s="179" t="s">
        <x:v>912</x:v>
      </x:c>
      <x:c r="M208" s="179" t="s">
        <x:v>968</x:v>
      </x:c>
      <x:c r="N208" s="179" t="s">
        <x:v>912</x:v>
      </x:c>
      <x:c r="O208" s="179" t="s">
        <x:v>914</x:v>
      </x:c>
      <x:c r="P208" s="179" t="s">
        <x:v>897</x:v>
      </x:c>
      <x:c r="Q208" s="179" t="s">
        <x:v>884</x:v>
      </x:c>
      <x:c r="R208" s="179" t="s">
        <x:v>901</x:v>
      </x:c>
      <x:c r="S208" s="179" t="s">
        <x:v>901</x:v>
      </x:c>
      <x:c r="T208" s="179" t="s">
        <x:v>901</x:v>
      </x:c>
      <x:c r="U208" s="179" t="s">
        <x:v>901</x:v>
      </x:c>
      <x:c r="V208" s="179" t="s">
        <x:v>901</x:v>
      </x:c>
      <x:c r="W208" s="179"/>
      <x:c r="X208" s="179" t="str">
        <x:f t="shared" si="33"/>
        <x:v>Tidak ada faktor rentan</x:v>
      </x:c>
      <x:c r="Y208" s="179" t="str">
        <x:f t="shared" si="34"/>
        <x:v>Tidak Ada Faktor Rentan</x:v>
      </x:c>
      <x:c r="Z208" s="180">
        <x:f t="shared" si="35"/>
        <x:v>10</x:v>
      </x:c>
      <x:c r="AA208" s="180">
        <x:f t="shared" si="36"/>
        <x:v>0</x:v>
      </x:c>
      <x:c r="AB208" s="180">
        <x:f t="shared" si="37"/>
        <x:v>10</x:v>
      </x:c>
      <x:c r="AC208" s="179" t="s">
        <x:v>901</x:v>
      </x:c>
      <x:c r="AD208" s="179" t="s">
        <x:v>901</x:v>
      </x:c>
      <x:c r="AE208" s="179" t="s">
        <x:v>885</x:v>
      </x:c>
      <x:c r="AF208" s="179" t="s">
        <x:v>901</x:v>
      </x:c>
      <x:c r="AG208" s="179" t="s">
        <x:v>885</x:v>
      </x:c>
      <x:c r="AH208" s="179" t="s">
        <x:v>885</x:v>
      </x:c>
      <x:c r="AI208" s="179" t="s">
        <x:v>885</x:v>
      </x:c>
      <x:c r="AJ208" s="179" t="s">
        <x:v>901</x:v>
      </x:c>
      <x:c r="AK208" s="179" t="s">
        <x:v>901</x:v>
      </x:c>
      <x:c r="AL208" s="179"/>
      <x:c r="AM208" s="179"/>
      <x:c r="AN208" s="179" t="str">
        <x:f t="shared" si="38"/>
        <x:v>Atap atau dinding utama hampir runtuh; Struktur rumah tidak stabil; Instalasi listrik berbahaya; Komponen bangunan lepas atau lapuk; </x:v>
      </x:c>
      <x:c r="AO208" s="179" t="str">
        <x:f t="shared" si="39"/>
        <x:v>Risiko Tinggi/Darurat</x:v>
      </x:c>
      <x:c r="AP208" s="179"/>
      <x:c r="AQ208" s="180">
        <x:f t="shared" si="40"/>
        <x:v>39</x:v>
      </x:c>
      <x:c r="AR208" s="180">
        <x:f t="shared" si="41"/>
        <x:v>10</x:v>
      </x:c>
      <x:c r="AS208" s="180">
        <x:f t="shared" si="42"/>
        <x:v>59</x:v>
      </x:c>
      <x:c r="AT208" s="179" t="str">
        <x:f t="shared" si="43"/>
        <x:v>Tinggi</x:v>
      </x:c>
      <x:c r="AU208" s="179" t="s">
        <x:v>887</x:v>
      </x:c>
      <x:c r="AV208" s="179" t="s">
        <x:v>904</x:v>
      </x:c>
      <x:c r="AW208" s="179" t="s">
        <x:v>969</x:v>
      </x:c>
      <x:c r="AX208" s="179" t="s">
        <x:v>906</x:v>
      </x:c>
      <x:c r="AY208" s="179">
        <x:v>2026</x:v>
      </x:c>
      <x:c r="AZ208" s="179" t="s">
        <x:v>891</x:v>
      </x:c>
      <x:c r="BA208" s="179"/>
      <x:c r="BB208" s="181"/>
      <x:c r="BC208" s="180">
        <x:v>2025</x:v>
      </x:c>
      <x:c r="BD208" s="179" t="s">
        <x:v>920</x:v>
      </x:c>
      <x:c r="BE208" s="181"/>
      <x:c r="BF208" s="179" t="str">
        <x:v>Dinas Perkim Kota Pangkal Pinang</x:v>
      </x:c>
    </x:row>
    <x:row r="209" ht="28">
      <x:c r="A209" s="179" t="s">
        <x:v>1790</x:v>
      </x:c>
      <x:c r="B209" s="179" t="s">
        <x:v>1791</x:v>
      </x:c>
      <x:c r="C209" s="179"/>
      <x:c r="D209" s="179"/>
      <x:c r="E209" s="179"/>
      <x:c r="F209" s="179" t="s">
        <x:v>990</x:v>
      </x:c>
      <x:c r="G209" s="179" t="s">
        <x:v>990</x:v>
      </x:c>
      <x:c r="H209" s="179" t="s">
        <x:v>894</x:v>
      </x:c>
      <x:c r="I209" s="179"/>
      <x:c r="J209" s="179" t="s">
        <x:v>895</x:v>
      </x:c>
      <x:c r="K209" s="179" t="s">
        <x:v>896</x:v>
      </x:c>
      <x:c r="L209" s="179" t="s">
        <x:v>897</x:v>
      </x:c>
      <x:c r="M209" s="179" t="s">
        <x:v>968</x:v>
      </x:c>
      <x:c r="N209" s="179" t="s">
        <x:v>897</x:v>
      </x:c>
      <x:c r="O209" s="179" t="s">
        <x:v>914</x:v>
      </x:c>
      <x:c r="P209" s="179" t="s">
        <x:v>897</x:v>
      </x:c>
      <x:c r="Q209" s="179" t="s">
        <x:v>884</x:v>
      </x:c>
      <x:c r="R209" s="179" t="s">
        <x:v>901</x:v>
      </x:c>
      <x:c r="S209" s="179" t="s">
        <x:v>901</x:v>
      </x:c>
      <x:c r="T209" s="179" t="s">
        <x:v>901</x:v>
      </x:c>
      <x:c r="U209" s="179" t="s">
        <x:v>901</x:v>
      </x:c>
      <x:c r="V209" s="179" t="s">
        <x:v>901</x:v>
      </x:c>
      <x:c r="W209" s="179"/>
      <x:c r="X209" s="179" t="str">
        <x:f t="shared" si="33"/>
        <x:v>Tidak ada faktor rentan</x:v>
      </x:c>
      <x:c r="Y209" s="179" t="str">
        <x:f t="shared" si="34"/>
        <x:v>Tidak Ada Faktor Rentan</x:v>
      </x:c>
      <x:c r="Z209" s="180">
        <x:f t="shared" si="35"/>
        <x:v>10</x:v>
      </x:c>
      <x:c r="AA209" s="180">
        <x:f t="shared" si="36"/>
        <x:v>0</x:v>
      </x:c>
      <x:c r="AB209" s="180">
        <x:f t="shared" si="37"/>
        <x:v>10</x:v>
      </x:c>
      <x:c r="AC209" s="179" t="s">
        <x:v>901</x:v>
      </x:c>
      <x:c r="AD209" s="179" t="s">
        <x:v>901</x:v>
      </x:c>
      <x:c r="AE209" s="179" t="s">
        <x:v>885</x:v>
      </x:c>
      <x:c r="AF209" s="179" t="s">
        <x:v>901</x:v>
      </x:c>
      <x:c r="AG209" s="179" t="s">
        <x:v>901</x:v>
      </x:c>
      <x:c r="AH209" s="179" t="s">
        <x:v>885</x:v>
      </x:c>
      <x:c r="AI209" s="179" t="s">
        <x:v>885</x:v>
      </x:c>
      <x:c r="AJ209" s="179" t="s">
        <x:v>901</x:v>
      </x:c>
      <x:c r="AK209" s="179" t="s">
        <x:v>901</x:v>
      </x:c>
      <x:c r="AL209" s="179"/>
      <x:c r="AM209" s="179"/>
      <x:c r="AN209" s="179" t="str">
        <x:f t="shared" si="38"/>
        <x:v>Atap atau dinding utama hampir runtuh; Instalasi listrik berbahaya; Komponen bangunan lepas atau lapuk; </x:v>
      </x:c>
      <x:c r="AO209" s="179" t="str">
        <x:f t="shared" si="39"/>
        <x:v>Risiko Tinggi/Darurat</x:v>
      </x:c>
      <x:c r="AP209" s="179"/>
      <x:c r="AQ209" s="180">
        <x:f t="shared" si="40"/>
        <x:v>22</x:v>
      </x:c>
      <x:c r="AR209" s="180">
        <x:f t="shared" si="41"/>
        <x:v>10</x:v>
      </x:c>
      <x:c r="AS209" s="180">
        <x:f t="shared" si="42"/>
        <x:v>42</x:v>
      </x:c>
      <x:c r="AT209" s="179" t="str">
        <x:f t="shared" si="43"/>
        <x:v>Tinggi</x:v>
      </x:c>
      <x:c r="AU209" s="179" t="s">
        <x:v>887</x:v>
      </x:c>
      <x:c r="AV209" s="179" t="s">
        <x:v>904</x:v>
      </x:c>
      <x:c r="AW209" s="179" t="s">
        <x:v>889</x:v>
      </x:c>
      <x:c r="AX209" s="65" t="s">
        <x:v>890</x:v>
      </x:c>
      <x:c r="AY209" s="179"/>
      <x:c r="AZ209" s="179" t="s">
        <x:v>907</x:v>
      </x:c>
      <x:c r="BA209" s="179"/>
      <x:c r="BB209" s="181"/>
      <x:c r="BC209" s="180">
        <x:v>2025</x:v>
      </x:c>
      <x:c r="BD209" s="179" t="s">
        <x:v>920</x:v>
      </x:c>
      <x:c r="BE209" s="181"/>
      <x:c r="BF209" s="179" t="str">
        <x:v>Dinas Perkim Kota Pangkal Pinang</x:v>
      </x:c>
    </x:row>
    <x:row r="210" ht="42">
      <x:c r="A210" s="179" t="s">
        <x:v>1792</x:v>
      </x:c>
      <x:c r="B210" s="179" t="s">
        <x:v>1793</x:v>
      </x:c>
      <x:c r="C210" s="182" t="s">
        <x:v>1794</x:v>
      </x:c>
      <x:c r="D210" s="182" t="s">
        <x:v>1795</x:v>
      </x:c>
      <x:c r="E210" s="179" t="s">
        <x:v>1796</x:v>
      </x:c>
      <x:c r="F210" s="179" t="s">
        <x:v>1797</x:v>
      </x:c>
      <x:c r="G210" s="179" t="s">
        <x:v>1027</x:v>
      </x:c>
      <x:c r="H210" s="179" t="s">
        <x:v>894</x:v>
      </x:c>
      <x:c r="I210" s="179"/>
      <x:c r="J210" s="179" t="s">
        <x:v>895</x:v>
      </x:c>
      <x:c r="K210" s="179" t="s">
        <x:v>896</x:v>
      </x:c>
      <x:c r="L210" s="179" t="s">
        <x:v>912</x:v>
      </x:c>
      <x:c r="M210" s="179" t="s">
        <x:v>979</x:v>
      </x:c>
      <x:c r="N210" s="179" t="s">
        <x:v>912</x:v>
      </x:c>
      <x:c r="O210" s="179" t="s">
        <x:v>914</x:v>
      </x:c>
      <x:c r="P210" s="179" t="s">
        <x:v>897</x:v>
      </x:c>
      <x:c r="Q210" s="179" t="s">
        <x:v>884</x:v>
      </x:c>
      <x:c r="R210" s="179" t="s">
        <x:v>885</x:v>
      </x:c>
      <x:c r="S210" s="179" t="s">
        <x:v>901</x:v>
      </x:c>
      <x:c r="T210" s="179" t="s">
        <x:v>901</x:v>
      </x:c>
      <x:c r="U210" s="179" t="s">
        <x:v>901</x:v>
      </x:c>
      <x:c r="V210" s="179" t="s">
        <x:v>901</x:v>
      </x:c>
      <x:c r="W210" s="179"/>
      <x:c r="X210" s="179" t="str">
        <x:f t="shared" si="33"/>
        <x:v>Lansia; </x:v>
      </x:c>
      <x:c r="Y210" s="179" t="str">
        <x:f t="shared" si="34"/>
        <x:v>1 Faktor Rentan</x:v>
      </x:c>
      <x:c r="Z210" s="180">
        <x:f t="shared" si="35"/>
        <x:v>10</x:v>
      </x:c>
      <x:c r="AA210" s="180">
        <x:f t="shared" si="36"/>
        <x:v>5</x:v>
      </x:c>
      <x:c r="AB210" s="180">
        <x:f t="shared" si="37"/>
        <x:v>15</x:v>
      </x:c>
      <x:c r="AC210" s="179" t="s">
        <x:v>885</x:v>
      </x:c>
      <x:c r="AD210" s="179" t="s">
        <x:v>901</x:v>
      </x:c>
      <x:c r="AE210" s="179" t="s">
        <x:v>885</x:v>
      </x:c>
      <x:c r="AF210" s="179" t="s">
        <x:v>901</x:v>
      </x:c>
      <x:c r="AG210" s="179" t="s">
        <x:v>885</x:v>
      </x:c>
      <x:c r="AH210" s="179" t="s">
        <x:v>885</x:v>
      </x:c>
      <x:c r="AI210" s="179" t="s">
        <x:v>885</x:v>
      </x:c>
      <x:c r="AJ210" s="179" t="s">
        <x:v>901</x:v>
      </x:c>
      <x:c r="AK210" s="179" t="s">
        <x:v>901</x:v>
      </x:c>
      <x:c r="AL210" s="179"/>
      <x:c r="AM210" s="179"/>
      <x:c r="AN210" s="179" t="str">
        <x:f t="shared" si="38"/>
        <x:v>Bangunan berpotensi roboh; Atap atau dinding utama hampir runtuh; Struktur rumah tidak stabil; Instalasi listrik berbahaya; Komponen bangunan lepas atau lapuk; </x:v>
      </x:c>
      <x:c r="AO210" s="179" t="str">
        <x:f t="shared" si="39"/>
        <x:v>Risiko Tinggi/Darurat</x:v>
      </x:c>
      <x:c r="AP210" s="179"/>
      <x:c r="AQ210" s="180">
        <x:f t="shared" si="40"/>
        <x:v>32</x:v>
      </x:c>
      <x:c r="AR210" s="180">
        <x:f t="shared" si="41"/>
        <x:v>10</x:v>
      </x:c>
      <x:c r="AS210" s="180">
        <x:f t="shared" si="42"/>
        <x:v>57</x:v>
      </x:c>
      <x:c r="AT210" s="179" t="str">
        <x:f t="shared" si="43"/>
        <x:v>Tinggi</x:v>
      </x:c>
      <x:c r="AU210" s="179" t="s">
        <x:v>887</x:v>
      </x:c>
      <x:c r="AV210" s="179" t="s">
        <x:v>904</x:v>
      </x:c>
      <x:c r="AW210" s="179" t="s">
        <x:v>969</x:v>
      </x:c>
      <x:c r="AX210" s="179" t="s">
        <x:v>906</x:v>
      </x:c>
      <x:c r="AY210" s="179">
        <x:v>2026</x:v>
      </x:c>
      <x:c r="AZ210" s="179" t="s">
        <x:v>891</x:v>
      </x:c>
      <x:c r="BA210" s="179"/>
      <x:c r="BB210" s="181"/>
      <x:c r="BC210" s="180">
        <x:v>2025</x:v>
      </x:c>
      <x:c r="BD210" s="179" t="s">
        <x:v>920</x:v>
      </x:c>
      <x:c r="BE210" s="181"/>
      <x:c r="BF210" s="179" t="str">
        <x:v>Dinas Perkim Kota Pangkal Pinang</x:v>
      </x:c>
    </x:row>
    <x:row r="211" ht="28">
      <x:c r="A211" s="179" t="s">
        <x:v>1798</x:v>
      </x:c>
      <x:c r="B211" s="179" t="s">
        <x:v>1799</x:v>
      </x:c>
      <x:c r="C211" s="182" t="s">
        <x:v>1800</x:v>
      </x:c>
      <x:c r="D211" s="182" t="s">
        <x:v>1801</x:v>
      </x:c>
      <x:c r="E211" s="179" t="s">
        <x:v>1802</x:v>
      </x:c>
      <x:c r="F211" s="179" t="s">
        <x:v>1026</x:v>
      </x:c>
      <x:c r="G211" s="179" t="s">
        <x:v>1027</x:v>
      </x:c>
      <x:c r="H211" s="179" t="s">
        <x:v>878</x:v>
      </x:c>
      <x:c r="I211" s="179"/>
      <x:c r="J211" s="179" t="s">
        <x:v>895</x:v>
      </x:c>
      <x:c r="K211" s="179" t="s">
        <x:v>911</x:v>
      </x:c>
      <x:c r="L211" s="179" t="s">
        <x:v>897</x:v>
      </x:c>
      <x:c r="M211" s="179" t="s">
        <x:v>979</x:v>
      </x:c>
      <x:c r="N211" s="179" t="s">
        <x:v>897</x:v>
      </x:c>
      <x:c r="O211" s="179" t="s">
        <x:v>914</x:v>
      </x:c>
      <x:c r="P211" s="179" t="s">
        <x:v>897</x:v>
      </x:c>
      <x:c r="Q211" s="179" t="s">
        <x:v>884</x:v>
      </x:c>
      <x:c r="R211" s="179" t="s">
        <x:v>885</x:v>
      </x:c>
      <x:c r="S211" s="179" t="s">
        <x:v>901</x:v>
      </x:c>
      <x:c r="T211" s="179" t="s">
        <x:v>901</x:v>
      </x:c>
      <x:c r="U211" s="179" t="s">
        <x:v>901</x:v>
      </x:c>
      <x:c r="V211" s="179" t="s">
        <x:v>901</x:v>
      </x:c>
      <x:c r="W211" s="179"/>
      <x:c r="X211" s="179" t="str">
        <x:f t="shared" si="33"/>
        <x:v>Lansia; </x:v>
      </x:c>
      <x:c r="Y211" s="179" t="str">
        <x:f t="shared" si="34"/>
        <x:v>1 Faktor Rentan</x:v>
      </x:c>
      <x:c r="Z211" s="180">
        <x:f t="shared" si="35"/>
        <x:v>10</x:v>
      </x:c>
      <x:c r="AA211" s="180">
        <x:f t="shared" si="36"/>
        <x:v>5</x:v>
      </x:c>
      <x:c r="AB211" s="180">
        <x:f t="shared" si="37"/>
        <x:v>15</x:v>
      </x:c>
      <x:c r="AC211" s="179" t="s">
        <x:v>901</x:v>
      </x:c>
      <x:c r="AD211" s="179" t="s">
        <x:v>901</x:v>
      </x:c>
      <x:c r="AE211" s="179" t="s">
        <x:v>901</x:v>
      </x:c>
      <x:c r="AF211" s="179" t="s">
        <x:v>901</x:v>
      </x:c>
      <x:c r="AG211" s="179" t="s">
        <x:v>885</x:v>
      </x:c>
      <x:c r="AH211" s="179" t="s">
        <x:v>885</x:v>
      </x:c>
      <x:c r="AI211" s="179" t="s">
        <x:v>885</x:v>
      </x:c>
      <x:c r="AJ211" s="179" t="s">
        <x:v>901</x:v>
      </x:c>
      <x:c r="AK211" s="179" t="s">
        <x:v>901</x:v>
      </x:c>
      <x:c r="AL211" s="179"/>
      <x:c r="AM211" s="179"/>
      <x:c r="AN211" s="179" t="str">
        <x:f t="shared" si="38"/>
        <x:v>Struktur rumah tidak stabil; Instalasi listrik berbahaya; Komponen bangunan lepas atau lapuk; </x:v>
      </x:c>
      <x:c r="AO211" s="179" t="str">
        <x:f t="shared" si="39"/>
        <x:v>Risiko Tinggi/Darurat</x:v>
      </x:c>
      <x:c r="AP211" s="179"/>
      <x:c r="AQ211" s="180">
        <x:f t="shared" si="40"/>
        <x:v>22</x:v>
      </x:c>
      <x:c r="AR211" s="180">
        <x:f t="shared" si="41"/>
        <x:v>10</x:v>
      </x:c>
      <x:c r="AS211" s="180">
        <x:f t="shared" si="42"/>
        <x:v>47</x:v>
      </x:c>
      <x:c r="AT211" s="179" t="str">
        <x:f t="shared" si="43"/>
        <x:v>Tinggi</x:v>
      </x:c>
      <x:c r="AU211" s="179" t="s">
        <x:v>887</x:v>
      </x:c>
      <x:c r="AV211" s="179" t="s">
        <x:v>904</x:v>
      </x:c>
      <x:c r="AW211" s="179" t="s">
        <x:v>969</x:v>
      </x:c>
      <x:c r="AX211" s="179" t="s">
        <x:v>906</x:v>
      </x:c>
      <x:c r="AY211" s="179">
        <x:v>2026</x:v>
      </x:c>
      <x:c r="AZ211" s="179" t="s">
        <x:v>891</x:v>
      </x:c>
      <x:c r="BA211" s="179"/>
      <x:c r="BB211" s="181"/>
      <x:c r="BC211" s="180">
        <x:v>2025</x:v>
      </x:c>
      <x:c r="BD211" s="179" t="s">
        <x:v>920</x:v>
      </x:c>
      <x:c r="BE211" s="181"/>
      <x:c r="BF211" s="179" t="str">
        <x:v>Dinas Perkim Kota Pangkal Pinang</x:v>
      </x:c>
    </x:row>
    <x:row r="212" ht="28">
      <x:c r="A212" s="179" t="s">
        <x:v>1803</x:v>
      </x:c>
      <x:c r="B212" s="179" t="s">
        <x:v>1804</x:v>
      </x:c>
      <x:c r="C212" s="182" t="s">
        <x:v>1805</x:v>
      </x:c>
      <x:c r="D212" s="182" t="s">
        <x:v>1806</x:v>
      </x:c>
      <x:c r="E212" s="179" t="s">
        <x:v>1807</x:v>
      </x:c>
      <x:c r="F212" s="179" t="s">
        <x:v>1068</x:v>
      </x:c>
      <x:c r="G212" s="179" t="s">
        <x:v>1063</x:v>
      </x:c>
      <x:c r="H212" s="179" t="s">
        <x:v>878</x:v>
      </x:c>
      <x:c r="I212" s="179"/>
      <x:c r="J212" s="179" t="s">
        <x:v>910</x:v>
      </x:c>
      <x:c r="K212" s="179" t="s">
        <x:v>896</x:v>
      </x:c>
      <x:c r="L212" s="179" t="s">
        <x:v>897</x:v>
      </x:c>
      <x:c r="M212" s="179" t="s">
        <x:v>968</x:v>
      </x:c>
      <x:c r="N212" s="179" t="s">
        <x:v>912</x:v>
      </x:c>
      <x:c r="O212" s="179" t="s">
        <x:v>914</x:v>
      </x:c>
      <x:c r="P212" s="179" t="s">
        <x:v>897</x:v>
      </x:c>
      <x:c r="Q212" s="179" t="s">
        <x:v>884</x:v>
      </x:c>
      <x:c r="R212" s="179" t="s">
        <x:v>901</x:v>
      </x:c>
      <x:c r="S212" s="179" t="s">
        <x:v>901</x:v>
      </x:c>
      <x:c r="T212" s="179" t="s">
        <x:v>901</x:v>
      </x:c>
      <x:c r="U212" s="179" t="s">
        <x:v>901</x:v>
      </x:c>
      <x:c r="V212" s="179" t="s">
        <x:v>901</x:v>
      </x:c>
      <x:c r="W212" s="179"/>
      <x:c r="X212" s="179" t="str">
        <x:f t="shared" si="33"/>
        <x:v>Tidak ada faktor rentan</x:v>
      </x:c>
      <x:c r="Y212" s="179" t="str">
        <x:f t="shared" si="34"/>
        <x:v>Tidak Ada Faktor Rentan</x:v>
      </x:c>
      <x:c r="Z212" s="180">
        <x:f t="shared" si="35"/>
        <x:v>10</x:v>
      </x:c>
      <x:c r="AA212" s="180">
        <x:f t="shared" si="36"/>
        <x:v>0</x:v>
      </x:c>
      <x:c r="AB212" s="180">
        <x:f t="shared" si="37"/>
        <x:v>10</x:v>
      </x:c>
      <x:c r="AC212" s="179" t="s">
        <x:v>901</x:v>
      </x:c>
      <x:c r="AD212" s="179" t="s">
        <x:v>901</x:v>
      </x:c>
      <x:c r="AE212" s="179" t="s">
        <x:v>885</x:v>
      </x:c>
      <x:c r="AF212" s="179" t="s">
        <x:v>901</x:v>
      </x:c>
      <x:c r="AG212" s="179" t="s">
        <x:v>885</x:v>
      </x:c>
      <x:c r="AH212" s="179" t="s">
        <x:v>885</x:v>
      </x:c>
      <x:c r="AI212" s="179" t="s">
        <x:v>885</x:v>
      </x:c>
      <x:c r="AJ212" s="179" t="s">
        <x:v>901</x:v>
      </x:c>
      <x:c r="AK212" s="179" t="s">
        <x:v>901</x:v>
      </x:c>
      <x:c r="AL212" s="179"/>
      <x:c r="AM212" s="179"/>
      <x:c r="AN212" s="179" t="str">
        <x:f t="shared" si="38"/>
        <x:v>Atap atau dinding utama hampir runtuh; Struktur rumah tidak stabil; Instalasi listrik berbahaya; Komponen bangunan lepas atau lapuk; </x:v>
      </x:c>
      <x:c r="AO212" s="179" t="str">
        <x:f t="shared" si="39"/>
        <x:v>Risiko Tinggi/Darurat</x:v>
      </x:c>
      <x:c r="AP212" s="179"/>
      <x:c r="AQ212" s="180">
        <x:f t="shared" si="40"/>
        <x:v>34</x:v>
      </x:c>
      <x:c r="AR212" s="180">
        <x:f t="shared" si="41"/>
        <x:v>10</x:v>
      </x:c>
      <x:c r="AS212" s="180">
        <x:f t="shared" si="42"/>
        <x:v>54</x:v>
      </x:c>
      <x:c r="AT212" s="179" t="str">
        <x:f t="shared" si="43"/>
        <x:v>Tinggi</x:v>
      </x:c>
      <x:c r="AU212" s="179" t="s">
        <x:v>887</x:v>
      </x:c>
      <x:c r="AV212" s="179" t="s">
        <x:v>904</x:v>
      </x:c>
      <x:c r="AW212" s="179" t="s">
        <x:v>905</x:v>
      </x:c>
      <x:c r="AX212" s="179" t="s">
        <x:v>984</x:v>
      </x:c>
      <x:c r="AY212" s="179">
        <x:v>2026</x:v>
      </x:c>
      <x:c r="AZ212" s="179" t="s">
        <x:v>891</x:v>
      </x:c>
      <x:c r="BA212" s="179"/>
      <x:c r="BB212" s="181"/>
      <x:c r="BC212" s="180">
        <x:v>2025</x:v>
      </x:c>
      <x:c r="BD212" s="179" t="s">
        <x:v>892</x:v>
      </x:c>
      <x:c r="BE212" s="181"/>
      <x:c r="BF212" s="179" t="str">
        <x:v>Dinas Perkim Kota Pangkal Pinang</x:v>
      </x:c>
    </x:row>
    <x:row r="213" ht="28">
      <x:c r="A213" s="179" t="s">
        <x:v>1808</x:v>
      </x:c>
      <x:c r="B213" s="179" t="s">
        <x:v>1809</x:v>
      </x:c>
      <x:c r="C213" s="182" t="s">
        <x:v>1810</x:v>
      </x:c>
      <x:c r="D213" s="182" t="s">
        <x:v>1811</x:v>
      </x:c>
      <x:c r="E213" s="179" t="s">
        <x:v>1812</x:v>
      </x:c>
      <x:c r="F213" s="179" t="s">
        <x:v>1068</x:v>
      </x:c>
      <x:c r="G213" s="179" t="s">
        <x:v>1063</x:v>
      </x:c>
      <x:c r="H213" s="179" t="s">
        <x:v>878</x:v>
      </x:c>
      <x:c r="I213" s="179"/>
      <x:c r="J213" s="179" t="s">
        <x:v>910</x:v>
      </x:c>
      <x:c r="K213" s="179" t="s">
        <x:v>911</x:v>
      </x:c>
      <x:c r="L213" s="179" t="s">
        <x:v>966</x:v>
      </x:c>
      <x:c r="M213" s="179" t="s">
        <x:v>993</x:v>
      </x:c>
      <x:c r="N213" s="179" t="s">
        <x:v>912</x:v>
      </x:c>
      <x:c r="O213" s="179" t="s">
        <x:v>914</x:v>
      </x:c>
      <x:c r="P213" s="179" t="s">
        <x:v>912</x:v>
      </x:c>
      <x:c r="Q213" s="179" t="s">
        <x:v>884</x:v>
      </x:c>
      <x:c r="R213" s="179" t="s">
        <x:v>901</x:v>
      </x:c>
      <x:c r="S213" s="179" t="s">
        <x:v>901</x:v>
      </x:c>
      <x:c r="T213" s="179" t="s">
        <x:v>901</x:v>
      </x:c>
      <x:c r="U213" s="179" t="s">
        <x:v>885</x:v>
      </x:c>
      <x:c r="V213" s="179" t="s">
        <x:v>901</x:v>
      </x:c>
      <x:c r="W213" s="179"/>
      <x:c r="X213" s="179" t="str">
        <x:f t="shared" si="33"/>
        <x:v>Balita; </x:v>
      </x:c>
      <x:c r="Y213" s="179" t="str">
        <x:f t="shared" si="34"/>
        <x:v>1 Faktor Rentan</x:v>
      </x:c>
      <x:c r="Z213" s="180">
        <x:f t="shared" si="35"/>
        <x:v>10</x:v>
      </x:c>
      <x:c r="AA213" s="180">
        <x:f t="shared" si="36"/>
        <x:v>5</x:v>
      </x:c>
      <x:c r="AB213" s="180">
        <x:f t="shared" si="37"/>
        <x:v>15</x:v>
      </x:c>
      <x:c r="AC213" s="179" t="s">
        <x:v>901</x:v>
      </x:c>
      <x:c r="AD213" s="179" t="s">
        <x:v>901</x:v>
      </x:c>
      <x:c r="AE213" s="179" t="s">
        <x:v>885</x:v>
      </x:c>
      <x:c r="AF213" s="179" t="s">
        <x:v>901</x:v>
      </x:c>
      <x:c r="AG213" s="179" t="s">
        <x:v>885</x:v>
      </x:c>
      <x:c r="AH213" s="179" t="s">
        <x:v>885</x:v>
      </x:c>
      <x:c r="AI213" s="179" t="s">
        <x:v>901</x:v>
      </x:c>
      <x:c r="AJ213" s="179" t="s">
        <x:v>901</x:v>
      </x:c>
      <x:c r="AK213" s="179" t="s">
        <x:v>901</x:v>
      </x:c>
      <x:c r="AL213" s="179"/>
      <x:c r="AM213" s="179"/>
      <x:c r="AN213" s="179" t="str">
        <x:f t="shared" si="38"/>
        <x:v>Atap atau dinding utama hampir runtuh; Struktur rumah tidak stabil; Instalasi listrik berbahaya; </x:v>
      </x:c>
      <x:c r="AO213" s="179" t="str">
        <x:f t="shared" si="39"/>
        <x:v>Risiko Tinggi/Darurat</x:v>
      </x:c>
      <x:c r="AP213" s="179"/>
      <x:c r="AQ213" s="180">
        <x:f t="shared" si="40"/>
        <x:v>48</x:v>
      </x:c>
      <x:c r="AR213" s="180">
        <x:f t="shared" si="41"/>
        <x:v>10</x:v>
      </x:c>
      <x:c r="AS213" s="180">
        <x:f t="shared" si="42"/>
        <x:v>73</x:v>
      </x:c>
      <x:c r="AT213" s="179" t="str">
        <x:f t="shared" si="43"/>
        <x:v>Tinggi</x:v>
      </x:c>
      <x:c r="AU213" s="179" t="s">
        <x:v>887</x:v>
      </x:c>
      <x:c r="AV213" s="179" t="s">
        <x:v>904</x:v>
      </x:c>
      <x:c r="AW213" s="179" t="s">
        <x:v>1813</x:v>
      </x:c>
      <x:c r="AX213" s="179" t="s">
        <x:v>906</x:v>
      </x:c>
      <x:c r="AY213" s="179">
        <x:v>2026</x:v>
      </x:c>
      <x:c r="AZ213" s="179" t="s">
        <x:v>891</x:v>
      </x:c>
      <x:c r="BA213" s="179"/>
      <x:c r="BB213" s="181"/>
      <x:c r="BC213" s="180">
        <x:v>2025</x:v>
      </x:c>
      <x:c r="BD213" s="179" t="s">
        <x:v>908</x:v>
      </x:c>
      <x:c r="BE213" s="181"/>
      <x:c r="BF213" s="179" t="str">
        <x:v>Dinas Perkim Kota Pangkal Pinang</x:v>
      </x:c>
    </x:row>
    <x:row r="214">
      <x:c r="A214" s="65"/>
      <x:c r="B214" s="65"/>
      <x:c r="C214" s="65"/>
      <x:c r="D214" s="65"/>
      <x:c r="E214" s="65"/>
      <x:c r="F214" s="65"/>
      <x:c r="G214" s="65"/>
      <x:c r="H214" s="65"/>
      <x:c r="I214" s="65"/>
      <x:c r="J214" s="65"/>
      <x:c r="K214" s="65"/>
      <x:c r="L214" s="65"/>
      <x:c r="M214" s="65"/>
      <x:c r="N214" s="65"/>
      <x:c r="O214" s="65"/>
      <x:c r="P214" s="65"/>
      <x:c r="Q214" s="85"/>
      <x:c r="R214" s="85"/>
      <x:c r="S214" s="85"/>
      <x:c r="T214" s="85"/>
      <x:c r="U214" s="85"/>
      <x:c r="V214" s="85"/>
      <x:c r="W214" s="66"/>
      <x:c r="X214" s="83" t="str">
        <x:f t="shared" si="33"/>
        <x:v>Tidak ada faktor rentan</x:v>
      </x:c>
      <x:c r="Y214" s="83" t="str">
        <x:f t="shared" si="34"/>
        <x:v>Tidak Ada Faktor Rentan</x:v>
      </x:c>
      <x:c r="Z214" s="84" t="str">
        <x:f t="shared" si="35"/>
      </x:c>
      <x:c r="AA214" s="84">
        <x:f t="shared" si="36"/>
        <x:v>0</x:v>
      </x:c>
      <x:c r="AB214" s="84" t="str">
        <x:f t="shared" si="37"/>
      </x:c>
      <x:c r="AC214" s="67"/>
      <x:c r="AD214" s="67"/>
      <x:c r="AE214" s="67"/>
      <x:c r="AF214" s="67"/>
      <x:c r="AG214" s="67"/>
      <x:c r="AH214" s="67"/>
      <x:c r="AI214" s="67"/>
      <x:c r="AJ214" s="67"/>
      <x:c r="AK214" s="67"/>
      <x:c r="AL214" s="67"/>
      <x:c r="AM214" s="67"/>
      <x:c r="AN214" s="83" t="str">
        <x:f t="shared" si="38"/>
        <x:v>Tidak ada risiko khusus</x:v>
      </x:c>
      <x:c r="AO214" s="83" t="str">
        <x:f t="shared" si="39"/>
        <x:v>Tidak Ada Risiko Khusus</x:v>
      </x:c>
      <x:c r="AP214" s="67"/>
      <x:c r="AQ214" s="70" t="str">
        <x:f t="shared" si="40"/>
      </x:c>
      <x:c r="AR214" s="70">
        <x:f t="shared" si="41"/>
        <x:v>0</x:v>
      </x:c>
      <x:c r="AS214" s="70" t="str">
        <x:f t="shared" si="42"/>
      </x:c>
      <x:c r="AT214" s="68" t="str">
        <x:f t="shared" si="43"/>
        <x:v>Belum Dapat Ditentukan</x:v>
      </x:c>
      <x:c r="AU214" s="65"/>
      <x:c r="AV214" s="65"/>
      <x:c r="AW214" s="65"/>
      <x:c r="AX214" s="65"/>
      <x:c r="AY214" s="65"/>
      <x:c r="AZ214" s="65"/>
      <x:c r="BA214" s="65"/>
      <x:c r="BB214" s="177"/>
      <x:c r="BC214" s="71"/>
      <x:c r="BD214" s="65"/>
      <x:c r="BE214" s="177"/>
      <x:c r="BF214" s="65"/>
    </x:row>
    <x:row r="215">
      <x:c r="A215" s="65"/>
      <x:c r="B215" s="65"/>
      <x:c r="C215" s="65"/>
      <x:c r="D215" s="65"/>
      <x:c r="E215" s="65"/>
      <x:c r="F215" s="65"/>
      <x:c r="G215" s="65"/>
      <x:c r="H215" s="65"/>
      <x:c r="I215" s="65"/>
      <x:c r="J215" s="65"/>
      <x:c r="K215" s="65"/>
      <x:c r="L215" s="65"/>
      <x:c r="M215" s="65"/>
      <x:c r="N215" s="65"/>
      <x:c r="O215" s="65"/>
      <x:c r="P215" s="65"/>
      <x:c r="Q215" s="85"/>
      <x:c r="R215" s="85"/>
      <x:c r="S215" s="85"/>
      <x:c r="T215" s="85"/>
      <x:c r="U215" s="85"/>
      <x:c r="V215" s="85"/>
      <x:c r="W215" s="66"/>
      <x:c r="X215" s="83" t="str">
        <x:f t="shared" si="33"/>
        <x:v>Tidak ada faktor rentan</x:v>
      </x:c>
      <x:c r="Y215" s="83" t="str">
        <x:f t="shared" si="34"/>
        <x:v>Tidak Ada Faktor Rentan</x:v>
      </x:c>
      <x:c r="Z215" s="84" t="str">
        <x:f t="shared" si="35"/>
      </x:c>
      <x:c r="AA215" s="84">
        <x:f t="shared" si="36"/>
        <x:v>0</x:v>
      </x:c>
      <x:c r="AB215" s="84" t="str">
        <x:f t="shared" si="37"/>
      </x:c>
      <x:c r="AC215" s="67"/>
      <x:c r="AD215" s="67"/>
      <x:c r="AE215" s="67"/>
      <x:c r="AF215" s="67"/>
      <x:c r="AG215" s="67"/>
      <x:c r="AH215" s="67"/>
      <x:c r="AI215" s="67"/>
      <x:c r="AJ215" s="67"/>
      <x:c r="AK215" s="67"/>
      <x:c r="AL215" s="67"/>
      <x:c r="AM215" s="67"/>
      <x:c r="AN215" s="83" t="str">
        <x:f t="shared" si="38"/>
        <x:v>Tidak ada risiko khusus</x:v>
      </x:c>
      <x:c r="AO215" s="83" t="str">
        <x:f t="shared" si="39"/>
        <x:v>Tidak Ada Risiko Khusus</x:v>
      </x:c>
      <x:c r="AP215" s="67"/>
      <x:c r="AQ215" s="70" t="str">
        <x:f t="shared" si="40"/>
      </x:c>
      <x:c r="AR215" s="70">
        <x:f t="shared" si="41"/>
        <x:v>0</x:v>
      </x:c>
      <x:c r="AS215" s="70" t="str">
        <x:f t="shared" si="42"/>
      </x:c>
      <x:c r="AT215" s="68" t="str">
        <x:f t="shared" si="43"/>
        <x:v>Belum Dapat Ditentukan</x:v>
      </x:c>
      <x:c r="AU215" s="65"/>
      <x:c r="AV215" s="65"/>
      <x:c r="AW215" s="65"/>
      <x:c r="AX215" s="65"/>
      <x:c r="AY215" s="65"/>
      <x:c r="AZ215" s="65"/>
      <x:c r="BA215" s="65"/>
      <x:c r="BB215" s="177"/>
      <x:c r="BC215" s="71"/>
      <x:c r="BD215" s="65"/>
      <x:c r="BE215" s="177"/>
      <x:c r="BF215" s="65"/>
    </x:row>
    <x:row r="216">
      <x:c r="A216" s="65"/>
      <x:c r="B216" s="65"/>
      <x:c r="C216" s="65"/>
      <x:c r="D216" s="65"/>
      <x:c r="E216" s="65"/>
      <x:c r="F216" s="65"/>
      <x:c r="G216" s="65"/>
      <x:c r="H216" s="65"/>
      <x:c r="I216" s="65"/>
      <x:c r="J216" s="65"/>
      <x:c r="K216" s="65"/>
      <x:c r="L216" s="65"/>
      <x:c r="M216" s="65"/>
      <x:c r="N216" s="65"/>
      <x:c r="O216" s="65"/>
      <x:c r="P216" s="65"/>
      <x:c r="Q216" s="85"/>
      <x:c r="R216" s="85"/>
      <x:c r="S216" s="85"/>
      <x:c r="T216" s="85"/>
      <x:c r="U216" s="85"/>
      <x:c r="V216" s="85"/>
      <x:c r="W216" s="66"/>
      <x:c r="X216" s="83" t="str">
        <x:f t="shared" si="33"/>
        <x:v>Tidak ada faktor rentan</x:v>
      </x:c>
      <x:c r="Y216" s="83" t="str">
        <x:f t="shared" si="34"/>
        <x:v>Tidak Ada Faktor Rentan</x:v>
      </x:c>
      <x:c r="Z216" s="84" t="str">
        <x:f t="shared" si="35"/>
      </x:c>
      <x:c r="AA216" s="84">
        <x:f t="shared" si="36"/>
        <x:v>0</x:v>
      </x:c>
      <x:c r="AB216" s="84" t="str">
        <x:f t="shared" si="37"/>
      </x:c>
      <x:c r="AC216" s="67"/>
      <x:c r="AD216" s="67"/>
      <x:c r="AE216" s="67"/>
      <x:c r="AF216" s="67"/>
      <x:c r="AG216" s="67"/>
      <x:c r="AH216" s="67"/>
      <x:c r="AI216" s="67"/>
      <x:c r="AJ216" s="67"/>
      <x:c r="AK216" s="67"/>
      <x:c r="AL216" s="67"/>
      <x:c r="AM216" s="67"/>
      <x:c r="AN216" s="83" t="str">
        <x:f t="shared" si="38"/>
        <x:v>Tidak ada risiko khusus</x:v>
      </x:c>
      <x:c r="AO216" s="83" t="str">
        <x:f t="shared" si="39"/>
        <x:v>Tidak Ada Risiko Khusus</x:v>
      </x:c>
      <x:c r="AP216" s="67"/>
      <x:c r="AQ216" s="70" t="str">
        <x:f t="shared" si="40"/>
      </x:c>
      <x:c r="AR216" s="70">
        <x:f t="shared" si="41"/>
        <x:v>0</x:v>
      </x:c>
      <x:c r="AS216" s="70" t="str">
        <x:f t="shared" si="42"/>
      </x:c>
      <x:c r="AT216" s="68" t="str">
        <x:f t="shared" si="43"/>
        <x:v>Belum Dapat Ditentukan</x:v>
      </x:c>
      <x:c r="AU216" s="65"/>
      <x:c r="AV216" s="65"/>
      <x:c r="AW216" s="65"/>
      <x:c r="AX216" s="65"/>
      <x:c r="AY216" s="65"/>
      <x:c r="AZ216" s="65"/>
      <x:c r="BA216" s="65"/>
      <x:c r="BB216" s="177"/>
      <x:c r="BC216" s="71"/>
      <x:c r="BD216" s="65"/>
      <x:c r="BE216" s="177"/>
      <x:c r="BF216" s="65"/>
    </x:row>
    <x:row r="217">
      <x:c r="A217" s="65"/>
      <x:c r="B217" s="65"/>
      <x:c r="C217" s="65"/>
      <x:c r="D217" s="65"/>
      <x:c r="E217" s="65"/>
      <x:c r="F217" s="65"/>
      <x:c r="G217" s="65"/>
      <x:c r="H217" s="65"/>
      <x:c r="I217" s="65"/>
      <x:c r="J217" s="65"/>
      <x:c r="K217" s="65"/>
      <x:c r="L217" s="65"/>
      <x:c r="M217" s="65"/>
      <x:c r="N217" s="65"/>
      <x:c r="O217" s="65"/>
      <x:c r="P217" s="65"/>
      <x:c r="Q217" s="85"/>
      <x:c r="R217" s="85"/>
      <x:c r="S217" s="85"/>
      <x:c r="T217" s="85"/>
      <x:c r="U217" s="85"/>
      <x:c r="V217" s="85"/>
      <x:c r="W217" s="66"/>
      <x:c r="X217" s="83" t="str">
        <x:f t="shared" si="33"/>
        <x:v>Tidak ada faktor rentan</x:v>
      </x:c>
      <x:c r="Y217" s="83" t="str">
        <x:f t="shared" si="34"/>
        <x:v>Tidak Ada Faktor Rentan</x:v>
      </x:c>
      <x:c r="Z217" s="84" t="str">
        <x:f t="shared" si="35"/>
      </x:c>
      <x:c r="AA217" s="84">
        <x:f t="shared" si="36"/>
        <x:v>0</x:v>
      </x:c>
      <x:c r="AB217" s="84" t="str">
        <x:f t="shared" si="37"/>
      </x:c>
      <x:c r="AC217" s="67"/>
      <x:c r="AD217" s="67"/>
      <x:c r="AE217" s="67"/>
      <x:c r="AF217" s="67"/>
      <x:c r="AG217" s="67"/>
      <x:c r="AH217" s="67"/>
      <x:c r="AI217" s="67"/>
      <x:c r="AJ217" s="67"/>
      <x:c r="AK217" s="67"/>
      <x:c r="AL217" s="67"/>
      <x:c r="AM217" s="67"/>
      <x:c r="AN217" s="83" t="str">
        <x:f t="shared" si="38"/>
        <x:v>Tidak ada risiko khusus</x:v>
      </x:c>
      <x:c r="AO217" s="83" t="str">
        <x:f t="shared" si="39"/>
        <x:v>Tidak Ada Risiko Khusus</x:v>
      </x:c>
      <x:c r="AP217" s="67"/>
      <x:c r="AQ217" s="70" t="str">
        <x:f t="shared" si="40"/>
      </x:c>
      <x:c r="AR217" s="70">
        <x:f t="shared" si="41"/>
        <x:v>0</x:v>
      </x:c>
      <x:c r="AS217" s="70" t="str">
        <x:f t="shared" si="42"/>
      </x:c>
      <x:c r="AT217" s="68" t="str">
        <x:f t="shared" si="43"/>
        <x:v>Belum Dapat Ditentukan</x:v>
      </x:c>
      <x:c r="AU217" s="65"/>
      <x:c r="AV217" s="65"/>
      <x:c r="AW217" s="65"/>
      <x:c r="AX217" s="65"/>
      <x:c r="AY217" s="65"/>
      <x:c r="AZ217" s="65"/>
      <x:c r="BA217" s="65"/>
      <x:c r="BB217" s="177"/>
      <x:c r="BC217" s="71"/>
      <x:c r="BD217" s="65"/>
      <x:c r="BE217" s="177"/>
      <x:c r="BF217" s="65"/>
    </x:row>
    <x:row r="218">
      <x:c r="A218" s="65"/>
      <x:c r="B218" s="65"/>
      <x:c r="C218" s="65"/>
      <x:c r="D218" s="65"/>
      <x:c r="E218" s="65"/>
      <x:c r="F218" s="65"/>
      <x:c r="G218" s="65"/>
      <x:c r="H218" s="65"/>
      <x:c r="I218" s="65"/>
      <x:c r="J218" s="65"/>
      <x:c r="K218" s="65"/>
      <x:c r="L218" s="65"/>
      <x:c r="M218" s="65"/>
      <x:c r="N218" s="65"/>
      <x:c r="O218" s="65"/>
      <x:c r="P218" s="65"/>
      <x:c r="Q218" s="85"/>
      <x:c r="R218" s="85"/>
      <x:c r="S218" s="85"/>
      <x:c r="T218" s="85"/>
      <x:c r="U218" s="85"/>
      <x:c r="V218" s="85"/>
      <x:c r="W218" s="66"/>
      <x:c r="X218" s="83" t="str">
        <x:f t="shared" si="33"/>
        <x:v>Tidak ada faktor rentan</x:v>
      </x:c>
      <x:c r="Y218" s="83" t="str">
        <x:f t="shared" si="34"/>
        <x:v>Tidak Ada Faktor Rentan</x:v>
      </x:c>
      <x:c r="Z218" s="84" t="str">
        <x:f t="shared" si="35"/>
      </x:c>
      <x:c r="AA218" s="84">
        <x:f t="shared" si="36"/>
        <x:v>0</x:v>
      </x:c>
      <x:c r="AB218" s="84" t="str">
        <x:f t="shared" si="37"/>
      </x:c>
      <x:c r="AC218" s="67"/>
      <x:c r="AD218" s="67"/>
      <x:c r="AE218" s="67"/>
      <x:c r="AF218" s="67"/>
      <x:c r="AG218" s="67"/>
      <x:c r="AH218" s="67"/>
      <x:c r="AI218" s="67"/>
      <x:c r="AJ218" s="67"/>
      <x:c r="AK218" s="67"/>
      <x:c r="AL218" s="67"/>
      <x:c r="AM218" s="67"/>
      <x:c r="AN218" s="83" t="str">
        <x:f t="shared" si="38"/>
        <x:v>Tidak ada risiko khusus</x:v>
      </x:c>
      <x:c r="AO218" s="83" t="str">
        <x:f t="shared" si="39"/>
        <x:v>Tidak Ada Risiko Khusus</x:v>
      </x:c>
      <x:c r="AP218" s="67"/>
      <x:c r="AQ218" s="70" t="str">
        <x:f t="shared" si="40"/>
      </x:c>
      <x:c r="AR218" s="70">
        <x:f t="shared" si="41"/>
        <x:v>0</x:v>
      </x:c>
      <x:c r="AS218" s="70" t="str">
        <x:f t="shared" si="42"/>
      </x:c>
      <x:c r="AT218" s="68" t="str">
        <x:f t="shared" si="43"/>
        <x:v>Belum Dapat Ditentukan</x:v>
      </x:c>
      <x:c r="AU218" s="65"/>
      <x:c r="AV218" s="65"/>
      <x:c r="AW218" s="65"/>
      <x:c r="AX218" s="65"/>
      <x:c r="AY218" s="65"/>
      <x:c r="AZ218" s="65"/>
      <x:c r="BA218" s="65"/>
      <x:c r="BB218" s="177"/>
      <x:c r="BC218" s="71"/>
      <x:c r="BD218" s="65"/>
      <x:c r="BE218" s="177"/>
      <x:c r="BF218" s="65"/>
    </x:row>
    <x:row r="219">
      <x:c r="A219" s="65"/>
      <x:c r="B219" s="65"/>
      <x:c r="C219" s="65"/>
      <x:c r="D219" s="65"/>
      <x:c r="E219" s="65"/>
      <x:c r="F219" s="65"/>
      <x:c r="G219" s="65"/>
      <x:c r="H219" s="65"/>
      <x:c r="I219" s="65"/>
      <x:c r="J219" s="65"/>
      <x:c r="K219" s="65"/>
      <x:c r="L219" s="65"/>
      <x:c r="M219" s="65"/>
      <x:c r="N219" s="65"/>
      <x:c r="O219" s="65"/>
      <x:c r="P219" s="65"/>
      <x:c r="Q219" s="85"/>
      <x:c r="R219" s="85"/>
      <x:c r="S219" s="85"/>
      <x:c r="T219" s="85"/>
      <x:c r="U219" s="85"/>
      <x:c r="V219" s="85"/>
      <x:c r="W219" s="66"/>
      <x:c r="X219" s="83" t="str">
        <x:f t="shared" si="33"/>
        <x:v>Tidak ada faktor rentan</x:v>
      </x:c>
      <x:c r="Y219" s="83" t="str">
        <x:f t="shared" si="34"/>
        <x:v>Tidak Ada Faktor Rentan</x:v>
      </x:c>
      <x:c r="Z219" s="84" t="str">
        <x:f t="shared" si="35"/>
      </x:c>
      <x:c r="AA219" s="84">
        <x:f t="shared" si="36"/>
        <x:v>0</x:v>
      </x:c>
      <x:c r="AB219" s="84" t="str">
        <x:f t="shared" si="37"/>
      </x:c>
      <x:c r="AC219" s="67"/>
      <x:c r="AD219" s="67"/>
      <x:c r="AE219" s="67"/>
      <x:c r="AF219" s="67"/>
      <x:c r="AG219" s="67"/>
      <x:c r="AH219" s="67"/>
      <x:c r="AI219" s="67"/>
      <x:c r="AJ219" s="67"/>
      <x:c r="AK219" s="67"/>
      <x:c r="AL219" s="67"/>
      <x:c r="AM219" s="67"/>
      <x:c r="AN219" s="83" t="str">
        <x:f t="shared" si="38"/>
        <x:v>Tidak ada risiko khusus</x:v>
      </x:c>
      <x:c r="AO219" s="83" t="str">
        <x:f t="shared" si="39"/>
        <x:v>Tidak Ada Risiko Khusus</x:v>
      </x:c>
      <x:c r="AP219" s="67"/>
      <x:c r="AQ219" s="70" t="str">
        <x:f t="shared" si="40"/>
      </x:c>
      <x:c r="AR219" s="70">
        <x:f t="shared" si="41"/>
        <x:v>0</x:v>
      </x:c>
      <x:c r="AS219" s="70" t="str">
        <x:f t="shared" si="42"/>
      </x:c>
      <x:c r="AT219" s="68" t="str">
        <x:f t="shared" si="43"/>
        <x:v>Belum Dapat Ditentukan</x:v>
      </x:c>
      <x:c r="AU219" s="65"/>
      <x:c r="AV219" s="65"/>
      <x:c r="AW219" s="65"/>
      <x:c r="AX219" s="65"/>
      <x:c r="AY219" s="65"/>
      <x:c r="AZ219" s="65"/>
      <x:c r="BA219" s="65"/>
      <x:c r="BB219" s="177"/>
      <x:c r="BC219" s="71"/>
      <x:c r="BD219" s="65"/>
      <x:c r="BE219" s="177"/>
      <x:c r="BF219" s="65"/>
    </x:row>
    <x:row r="220">
      <x:c r="A220" s="65"/>
      <x:c r="B220" s="65"/>
      <x:c r="C220" s="65"/>
      <x:c r="D220" s="65"/>
      <x:c r="E220" s="65"/>
      <x:c r="F220" s="65"/>
      <x:c r="G220" s="65"/>
      <x:c r="H220" s="65"/>
      <x:c r="I220" s="65"/>
      <x:c r="J220" s="65"/>
      <x:c r="K220" s="65"/>
      <x:c r="L220" s="65"/>
      <x:c r="M220" s="65"/>
      <x:c r="N220" s="65"/>
      <x:c r="O220" s="65"/>
      <x:c r="P220" s="65"/>
      <x:c r="Q220" s="85"/>
      <x:c r="R220" s="85"/>
      <x:c r="S220" s="85"/>
      <x:c r="T220" s="85"/>
      <x:c r="U220" s="85"/>
      <x:c r="V220" s="85"/>
      <x:c r="W220" s="66"/>
      <x:c r="X220" s="83" t="str">
        <x:f t="shared" si="33"/>
        <x:v>Tidak ada faktor rentan</x:v>
      </x:c>
      <x:c r="Y220" s="83" t="str">
        <x:f t="shared" si="34"/>
        <x:v>Tidak Ada Faktor Rentan</x:v>
      </x:c>
      <x:c r="Z220" s="84" t="str">
        <x:f t="shared" si="35"/>
      </x:c>
      <x:c r="AA220" s="84">
        <x:f t="shared" si="36"/>
        <x:v>0</x:v>
      </x:c>
      <x:c r="AB220" s="84" t="str">
        <x:f t="shared" si="37"/>
      </x:c>
      <x:c r="AC220" s="67"/>
      <x:c r="AD220" s="67"/>
      <x:c r="AE220" s="67"/>
      <x:c r="AF220" s="67"/>
      <x:c r="AG220" s="67"/>
      <x:c r="AH220" s="67"/>
      <x:c r="AI220" s="67"/>
      <x:c r="AJ220" s="67"/>
      <x:c r="AK220" s="67"/>
      <x:c r="AL220" s="67"/>
      <x:c r="AM220" s="67"/>
      <x:c r="AN220" s="83" t="str">
        <x:f t="shared" si="38"/>
        <x:v>Tidak ada risiko khusus</x:v>
      </x:c>
      <x:c r="AO220" s="83" t="str">
        <x:f t="shared" si="39"/>
        <x:v>Tidak Ada Risiko Khusus</x:v>
      </x:c>
      <x:c r="AP220" s="67"/>
      <x:c r="AQ220" s="70" t="str">
        <x:f t="shared" si="40"/>
      </x:c>
      <x:c r="AR220" s="70">
        <x:f t="shared" si="41"/>
        <x:v>0</x:v>
      </x:c>
      <x:c r="AS220" s="70" t="str">
        <x:f t="shared" si="42"/>
      </x:c>
      <x:c r="AT220" s="68" t="str">
        <x:f t="shared" si="43"/>
        <x:v>Belum Dapat Ditentukan</x:v>
      </x:c>
      <x:c r="AU220" s="65"/>
      <x:c r="AV220" s="65"/>
      <x:c r="AW220" s="65"/>
      <x:c r="AX220" s="65"/>
      <x:c r="AY220" s="65"/>
      <x:c r="AZ220" s="65"/>
      <x:c r="BA220" s="65"/>
      <x:c r="BB220" s="177"/>
      <x:c r="BC220" s="71"/>
      <x:c r="BD220" s="65"/>
      <x:c r="BE220" s="177"/>
      <x:c r="BF220" s="65"/>
    </x:row>
    <x:row r="221">
      <x:c r="A221" s="65"/>
      <x:c r="B221" s="65"/>
      <x:c r="C221" s="65"/>
      <x:c r="D221" s="65"/>
      <x:c r="E221" s="65"/>
      <x:c r="F221" s="65"/>
      <x:c r="G221" s="65"/>
      <x:c r="H221" s="65"/>
      <x:c r="I221" s="65"/>
      <x:c r="J221" s="65"/>
      <x:c r="K221" s="65"/>
      <x:c r="L221" s="65"/>
      <x:c r="M221" s="65"/>
      <x:c r="N221" s="65"/>
      <x:c r="O221" s="65"/>
      <x:c r="P221" s="65"/>
      <x:c r="Q221" s="85"/>
      <x:c r="R221" s="85"/>
      <x:c r="S221" s="85"/>
      <x:c r="T221" s="85"/>
      <x:c r="U221" s="85"/>
      <x:c r="V221" s="85"/>
      <x:c r="W221" s="66"/>
      <x:c r="X221" s="83" t="str">
        <x:f t="shared" si="33"/>
        <x:v>Tidak ada faktor rentan</x:v>
      </x:c>
      <x:c r="Y221" s="83" t="str">
        <x:f t="shared" si="34"/>
        <x:v>Tidak Ada Faktor Rentan</x:v>
      </x:c>
      <x:c r="Z221" s="84" t="str">
        <x:f t="shared" si="35"/>
      </x:c>
      <x:c r="AA221" s="84">
        <x:f t="shared" si="36"/>
        <x:v>0</x:v>
      </x:c>
      <x:c r="AB221" s="84" t="str">
        <x:f t="shared" si="37"/>
      </x:c>
      <x:c r="AC221" s="67"/>
      <x:c r="AD221" s="67"/>
      <x:c r="AE221" s="67"/>
      <x:c r="AF221" s="67"/>
      <x:c r="AG221" s="67"/>
      <x:c r="AH221" s="67"/>
      <x:c r="AI221" s="67"/>
      <x:c r="AJ221" s="67"/>
      <x:c r="AK221" s="67"/>
      <x:c r="AL221" s="67"/>
      <x:c r="AM221" s="67"/>
      <x:c r="AN221" s="83" t="str">
        <x:f t="shared" si="38"/>
        <x:v>Tidak ada risiko khusus</x:v>
      </x:c>
      <x:c r="AO221" s="83" t="str">
        <x:f t="shared" si="39"/>
        <x:v>Tidak Ada Risiko Khusus</x:v>
      </x:c>
      <x:c r="AP221" s="67"/>
      <x:c r="AQ221" s="70" t="str">
        <x:f t="shared" si="40"/>
      </x:c>
      <x:c r="AR221" s="70">
        <x:f t="shared" si="41"/>
        <x:v>0</x:v>
      </x:c>
      <x:c r="AS221" s="70" t="str">
        <x:f t="shared" si="42"/>
      </x:c>
      <x:c r="AT221" s="68" t="str">
        <x:f t="shared" si="43"/>
        <x:v>Belum Dapat Ditentukan</x:v>
      </x:c>
      <x:c r="AU221" s="65"/>
      <x:c r="AV221" s="65"/>
      <x:c r="AW221" s="65"/>
      <x:c r="AX221" s="65"/>
      <x:c r="AY221" s="65"/>
      <x:c r="AZ221" s="65"/>
      <x:c r="BA221" s="65"/>
      <x:c r="BB221" s="177"/>
      <x:c r="BC221" s="71"/>
      <x:c r="BD221" s="65"/>
      <x:c r="BE221" s="177"/>
      <x:c r="BF221" s="65"/>
    </x:row>
    <x:row r="222">
      <x:c r="A222" s="65"/>
      <x:c r="B222" s="65"/>
      <x:c r="C222" s="65"/>
      <x:c r="D222" s="65"/>
      <x:c r="E222" s="65"/>
      <x:c r="F222" s="65"/>
      <x:c r="G222" s="65"/>
      <x:c r="H222" s="65"/>
      <x:c r="I222" s="65"/>
      <x:c r="J222" s="65"/>
      <x:c r="K222" s="65"/>
      <x:c r="L222" s="65"/>
      <x:c r="M222" s="65"/>
      <x:c r="N222" s="65"/>
      <x:c r="O222" s="65"/>
      <x:c r="P222" s="65"/>
      <x:c r="Q222" s="85"/>
      <x:c r="R222" s="85"/>
      <x:c r="S222" s="85"/>
      <x:c r="T222" s="85"/>
      <x:c r="U222" s="85"/>
      <x:c r="V222" s="85"/>
      <x:c r="W222" s="66"/>
      <x:c r="X222" s="83" t="str">
        <x:f t="shared" si="33"/>
        <x:v>Tidak ada faktor rentan</x:v>
      </x:c>
      <x:c r="Y222" s="83" t="str">
        <x:f t="shared" si="34"/>
        <x:v>Tidak Ada Faktor Rentan</x:v>
      </x:c>
      <x:c r="Z222" s="84" t="str">
        <x:f t="shared" si="35"/>
      </x:c>
      <x:c r="AA222" s="84">
        <x:f t="shared" si="36"/>
        <x:v>0</x:v>
      </x:c>
      <x:c r="AB222" s="84" t="str">
        <x:f t="shared" si="37"/>
      </x:c>
      <x:c r="AC222" s="67"/>
      <x:c r="AD222" s="67"/>
      <x:c r="AE222" s="67"/>
      <x:c r="AF222" s="67"/>
      <x:c r="AG222" s="67"/>
      <x:c r="AH222" s="67"/>
      <x:c r="AI222" s="67"/>
      <x:c r="AJ222" s="67"/>
      <x:c r="AK222" s="67"/>
      <x:c r="AL222" s="67"/>
      <x:c r="AM222" s="67"/>
      <x:c r="AN222" s="83" t="str">
        <x:f t="shared" si="38"/>
        <x:v>Tidak ada risiko khusus</x:v>
      </x:c>
      <x:c r="AO222" s="83" t="str">
        <x:f t="shared" si="39"/>
        <x:v>Tidak Ada Risiko Khusus</x:v>
      </x:c>
      <x:c r="AP222" s="67"/>
      <x:c r="AQ222" s="70" t="str">
        <x:f t="shared" si="40"/>
      </x:c>
      <x:c r="AR222" s="70">
        <x:f t="shared" si="41"/>
        <x:v>0</x:v>
      </x:c>
      <x:c r="AS222" s="70" t="str">
        <x:f t="shared" si="42"/>
      </x:c>
      <x:c r="AT222" s="68" t="str">
        <x:f t="shared" si="43"/>
        <x:v>Belum Dapat Ditentukan</x:v>
      </x:c>
      <x:c r="AU222" s="65"/>
      <x:c r="AV222" s="65"/>
      <x:c r="AW222" s="65"/>
      <x:c r="AX222" s="65"/>
      <x:c r="AY222" s="65"/>
      <x:c r="AZ222" s="65"/>
      <x:c r="BA222" s="65"/>
      <x:c r="BB222" s="177"/>
      <x:c r="BC222" s="71"/>
      <x:c r="BD222" s="65"/>
      <x:c r="BE222" s="177"/>
      <x:c r="BF222" s="65"/>
    </x:row>
    <x:row r="223">
      <x:c r="A223" s="65"/>
      <x:c r="B223" s="65"/>
      <x:c r="C223" s="65"/>
      <x:c r="D223" s="65"/>
      <x:c r="E223" s="65"/>
      <x:c r="F223" s="65"/>
      <x:c r="G223" s="65"/>
      <x:c r="H223" s="65"/>
      <x:c r="I223" s="65"/>
      <x:c r="J223" s="65"/>
      <x:c r="K223" s="65"/>
      <x:c r="L223" s="65"/>
      <x:c r="M223" s="65"/>
      <x:c r="N223" s="65"/>
      <x:c r="O223" s="65"/>
      <x:c r="P223" s="65"/>
      <x:c r="Q223" s="85"/>
      <x:c r="R223" s="85"/>
      <x:c r="S223" s="85"/>
      <x:c r="T223" s="85"/>
      <x:c r="U223" s="85"/>
      <x:c r="V223" s="85"/>
      <x:c r="W223" s="66"/>
      <x:c r="X223" s="83" t="str">
        <x:f t="shared" si="33"/>
        <x:v>Tidak ada faktor rentan</x:v>
      </x:c>
      <x:c r="Y223" s="83" t="str">
        <x:f t="shared" si="34"/>
        <x:v>Tidak Ada Faktor Rentan</x:v>
      </x:c>
      <x:c r="Z223" s="84" t="str">
        <x:f t="shared" si="35"/>
      </x:c>
      <x:c r="AA223" s="84">
        <x:f t="shared" si="36"/>
        <x:v>0</x:v>
      </x:c>
      <x:c r="AB223" s="84" t="str">
        <x:f t="shared" si="37"/>
      </x:c>
      <x:c r="AC223" s="67"/>
      <x:c r="AD223" s="67"/>
      <x:c r="AE223" s="67"/>
      <x:c r="AF223" s="67"/>
      <x:c r="AG223" s="67"/>
      <x:c r="AH223" s="67"/>
      <x:c r="AI223" s="67"/>
      <x:c r="AJ223" s="67"/>
      <x:c r="AK223" s="67"/>
      <x:c r="AL223" s="67"/>
      <x:c r="AM223" s="67"/>
      <x:c r="AN223" s="83" t="str">
        <x:f t="shared" si="38"/>
        <x:v>Tidak ada risiko khusus</x:v>
      </x:c>
      <x:c r="AO223" s="83" t="str">
        <x:f t="shared" si="39"/>
        <x:v>Tidak Ada Risiko Khusus</x:v>
      </x:c>
      <x:c r="AP223" s="67"/>
      <x:c r="AQ223" s="70" t="str">
        <x:f t="shared" si="40"/>
      </x:c>
      <x:c r="AR223" s="70">
        <x:f t="shared" si="41"/>
        <x:v>0</x:v>
      </x:c>
      <x:c r="AS223" s="70" t="str">
        <x:f t="shared" si="42"/>
      </x:c>
      <x:c r="AT223" s="68" t="str">
        <x:f t="shared" si="43"/>
        <x:v>Belum Dapat Ditentukan</x:v>
      </x:c>
      <x:c r="AU223" s="65"/>
      <x:c r="AV223" s="65"/>
      <x:c r="AW223" s="65"/>
      <x:c r="AX223" s="65"/>
      <x:c r="AY223" s="65"/>
      <x:c r="AZ223" s="65"/>
      <x:c r="BA223" s="65"/>
      <x:c r="BB223" s="177"/>
      <x:c r="BC223" s="71"/>
      <x:c r="BD223" s="65"/>
      <x:c r="BE223" s="177"/>
      <x:c r="BF223" s="65"/>
    </x:row>
    <x:row r="224">
      <x:c r="A224" s="65"/>
      <x:c r="B224" s="65"/>
      <x:c r="C224" s="65"/>
      <x:c r="D224" s="65"/>
      <x:c r="E224" s="65"/>
      <x:c r="F224" s="65"/>
      <x:c r="G224" s="65"/>
      <x:c r="H224" s="65"/>
      <x:c r="I224" s="65"/>
      <x:c r="J224" s="65"/>
      <x:c r="K224" s="65"/>
      <x:c r="L224" s="65"/>
      <x:c r="M224" s="65"/>
      <x:c r="N224" s="65"/>
      <x:c r="O224" s="65"/>
      <x:c r="P224" s="65"/>
      <x:c r="Q224" s="85"/>
      <x:c r="R224" s="85"/>
      <x:c r="S224" s="85"/>
      <x:c r="T224" s="85"/>
      <x:c r="U224" s="85"/>
      <x:c r="V224" s="85"/>
      <x:c r="W224" s="66"/>
      <x:c r="X224" s="83" t="str">
        <x:f t="shared" si="33"/>
        <x:v>Tidak ada faktor rentan</x:v>
      </x:c>
      <x:c r="Y224" s="83" t="str">
        <x:f t="shared" si="34"/>
        <x:v>Tidak Ada Faktor Rentan</x:v>
      </x:c>
      <x:c r="Z224" s="84" t="str">
        <x:f t="shared" si="35"/>
      </x:c>
      <x:c r="AA224" s="84">
        <x:f t="shared" si="36"/>
        <x:v>0</x:v>
      </x:c>
      <x:c r="AB224" s="84" t="str">
        <x:f t="shared" si="37"/>
      </x:c>
      <x:c r="AC224" s="67"/>
      <x:c r="AD224" s="67"/>
      <x:c r="AE224" s="67"/>
      <x:c r="AF224" s="67"/>
      <x:c r="AG224" s="67"/>
      <x:c r="AH224" s="67"/>
      <x:c r="AI224" s="67"/>
      <x:c r="AJ224" s="67"/>
      <x:c r="AK224" s="67"/>
      <x:c r="AL224" s="67"/>
      <x:c r="AM224" s="67"/>
      <x:c r="AN224" s="83" t="str">
        <x:f t="shared" si="38"/>
        <x:v>Tidak ada risiko khusus</x:v>
      </x:c>
      <x:c r="AO224" s="83" t="str">
        <x:f t="shared" si="39"/>
        <x:v>Tidak Ada Risiko Khusus</x:v>
      </x:c>
      <x:c r="AP224" s="67"/>
      <x:c r="AQ224" s="70" t="str">
        <x:f t="shared" si="40"/>
      </x:c>
      <x:c r="AR224" s="70">
        <x:f t="shared" si="41"/>
        <x:v>0</x:v>
      </x:c>
      <x:c r="AS224" s="70" t="str">
        <x:f t="shared" si="42"/>
      </x:c>
      <x:c r="AT224" s="68" t="str">
        <x:f t="shared" si="43"/>
        <x:v>Belum Dapat Ditentukan</x:v>
      </x:c>
      <x:c r="AU224" s="65"/>
      <x:c r="AV224" s="65"/>
      <x:c r="AW224" s="65"/>
      <x:c r="AX224" s="65"/>
      <x:c r="AY224" s="65"/>
      <x:c r="AZ224" s="65"/>
      <x:c r="BA224" s="65"/>
      <x:c r="BB224" s="177"/>
      <x:c r="BC224" s="71"/>
      <x:c r="BD224" s="65"/>
      <x:c r="BE224" s="177"/>
      <x:c r="BF224" s="65"/>
    </x:row>
    <x:row r="225">
      <x:c r="A225" s="65"/>
      <x:c r="B225" s="65"/>
      <x:c r="C225" s="65"/>
      <x:c r="D225" s="65"/>
      <x:c r="E225" s="65"/>
      <x:c r="F225" s="65"/>
      <x:c r="G225" s="65"/>
      <x:c r="H225" s="65"/>
      <x:c r="I225" s="65"/>
      <x:c r="J225" s="65"/>
      <x:c r="K225" s="65"/>
      <x:c r="L225" s="65"/>
      <x:c r="M225" s="65"/>
      <x:c r="N225" s="65"/>
      <x:c r="O225" s="65"/>
      <x:c r="P225" s="65"/>
      <x:c r="Q225" s="85"/>
      <x:c r="R225" s="85"/>
      <x:c r="S225" s="85"/>
      <x:c r="T225" s="85"/>
      <x:c r="U225" s="85"/>
      <x:c r="V225" s="85"/>
      <x:c r="W225" s="66"/>
      <x:c r="X225" s="83" t="str">
        <x:f t="shared" si="33"/>
        <x:v>Tidak ada faktor rentan</x:v>
      </x:c>
      <x:c r="Y225" s="83" t="str">
        <x:f t="shared" si="34"/>
        <x:v>Tidak Ada Faktor Rentan</x:v>
      </x:c>
      <x:c r="Z225" s="84" t="str">
        <x:f t="shared" si="35"/>
      </x:c>
      <x:c r="AA225" s="84">
        <x:f t="shared" si="36"/>
        <x:v>0</x:v>
      </x:c>
      <x:c r="AB225" s="84" t="str">
        <x:f t="shared" si="37"/>
      </x:c>
      <x:c r="AC225" s="67"/>
      <x:c r="AD225" s="67"/>
      <x:c r="AE225" s="67"/>
      <x:c r="AF225" s="67"/>
      <x:c r="AG225" s="67"/>
      <x:c r="AH225" s="67"/>
      <x:c r="AI225" s="67"/>
      <x:c r="AJ225" s="67"/>
      <x:c r="AK225" s="67"/>
      <x:c r="AL225" s="67"/>
      <x:c r="AM225" s="67"/>
      <x:c r="AN225" s="83" t="str">
        <x:f t="shared" si="38"/>
        <x:v>Tidak ada risiko khusus</x:v>
      </x:c>
      <x:c r="AO225" s="83" t="str">
        <x:f t="shared" si="39"/>
        <x:v>Tidak Ada Risiko Khusus</x:v>
      </x:c>
      <x:c r="AP225" s="67"/>
      <x:c r="AQ225" s="70" t="str">
        <x:f t="shared" si="40"/>
      </x:c>
      <x:c r="AR225" s="70">
        <x:f t="shared" si="41"/>
        <x:v>0</x:v>
      </x:c>
      <x:c r="AS225" s="70" t="str">
        <x:f t="shared" si="42"/>
      </x:c>
      <x:c r="AT225" s="68" t="str">
        <x:f t="shared" si="43"/>
        <x:v>Belum Dapat Ditentukan</x:v>
      </x:c>
      <x:c r="AU225" s="65"/>
      <x:c r="AV225" s="65"/>
      <x:c r="AW225" s="65"/>
      <x:c r="AX225" s="65"/>
      <x:c r="AY225" s="65"/>
      <x:c r="AZ225" s="65"/>
      <x:c r="BA225" s="65"/>
      <x:c r="BB225" s="177"/>
      <x:c r="BC225" s="71"/>
      <x:c r="BD225" s="65"/>
      <x:c r="BE225" s="177"/>
      <x:c r="BF225" s="65"/>
    </x:row>
    <x:row r="226">
      <x:c r="A226" s="65"/>
      <x:c r="B226" s="65"/>
      <x:c r="C226" s="65"/>
      <x:c r="D226" s="65"/>
      <x:c r="E226" s="65"/>
      <x:c r="F226" s="65"/>
      <x:c r="G226" s="65"/>
      <x:c r="H226" s="65"/>
      <x:c r="I226" s="65"/>
      <x:c r="J226" s="65"/>
      <x:c r="K226" s="65"/>
      <x:c r="L226" s="65"/>
      <x:c r="M226" s="65"/>
      <x:c r="N226" s="65"/>
      <x:c r="O226" s="65"/>
      <x:c r="P226" s="65"/>
      <x:c r="Q226" s="85"/>
      <x:c r="R226" s="85"/>
      <x:c r="S226" s="85"/>
      <x:c r="T226" s="85"/>
      <x:c r="U226" s="85"/>
      <x:c r="V226" s="85"/>
      <x:c r="W226" s="66"/>
      <x:c r="X226" s="83" t="str">
        <x:f t="shared" si="33"/>
        <x:v>Tidak ada faktor rentan</x:v>
      </x:c>
      <x:c r="Y226" s="83" t="str">
        <x:f t="shared" si="34"/>
        <x:v>Tidak Ada Faktor Rentan</x:v>
      </x:c>
      <x:c r="Z226" s="84" t="str">
        <x:f t="shared" si="35"/>
      </x:c>
      <x:c r="AA226" s="84">
        <x:f t="shared" si="36"/>
        <x:v>0</x:v>
      </x:c>
      <x:c r="AB226" s="84" t="str">
        <x:f t="shared" si="37"/>
      </x:c>
      <x:c r="AC226" s="67"/>
      <x:c r="AD226" s="67"/>
      <x:c r="AE226" s="67"/>
      <x:c r="AF226" s="67"/>
      <x:c r="AG226" s="67"/>
      <x:c r="AH226" s="67"/>
      <x:c r="AI226" s="67"/>
      <x:c r="AJ226" s="67"/>
      <x:c r="AK226" s="67"/>
      <x:c r="AL226" s="67"/>
      <x:c r="AM226" s="67"/>
      <x:c r="AN226" s="83" t="str">
        <x:f t="shared" si="38"/>
        <x:v>Tidak ada risiko khusus</x:v>
      </x:c>
      <x:c r="AO226" s="83" t="str">
        <x:f t="shared" si="39"/>
        <x:v>Tidak Ada Risiko Khusus</x:v>
      </x:c>
      <x:c r="AP226" s="67"/>
      <x:c r="AQ226" s="70" t="str">
        <x:f t="shared" si="40"/>
      </x:c>
      <x:c r="AR226" s="70">
        <x:f t="shared" si="41"/>
        <x:v>0</x:v>
      </x:c>
      <x:c r="AS226" s="70" t="str">
        <x:f t="shared" si="42"/>
      </x:c>
      <x:c r="AT226" s="68" t="str">
        <x:f t="shared" si="43"/>
        <x:v>Belum Dapat Ditentukan</x:v>
      </x:c>
      <x:c r="AU226" s="65"/>
      <x:c r="AV226" s="65"/>
      <x:c r="AW226" s="65"/>
      <x:c r="AX226" s="65"/>
      <x:c r="AY226" s="65"/>
      <x:c r="AZ226" s="65"/>
      <x:c r="BA226" s="65"/>
      <x:c r="BB226" s="177"/>
      <x:c r="BC226" s="71"/>
      <x:c r="BD226" s="65"/>
      <x:c r="BE226" s="177"/>
      <x:c r="BF226" s="65"/>
    </x:row>
    <x:row r="227">
      <x:c r="A227" s="65"/>
      <x:c r="B227" s="65"/>
      <x:c r="C227" s="65"/>
      <x:c r="D227" s="65"/>
      <x:c r="E227" s="65"/>
      <x:c r="F227" s="65"/>
      <x:c r="G227" s="65"/>
      <x:c r="H227" s="65"/>
      <x:c r="I227" s="65"/>
      <x:c r="J227" s="65"/>
      <x:c r="K227" s="65"/>
      <x:c r="L227" s="65"/>
      <x:c r="M227" s="65"/>
      <x:c r="N227" s="65"/>
      <x:c r="O227" s="65"/>
      <x:c r="P227" s="65"/>
      <x:c r="Q227" s="85"/>
      <x:c r="R227" s="85"/>
      <x:c r="S227" s="85"/>
      <x:c r="T227" s="85"/>
      <x:c r="U227" s="85"/>
      <x:c r="V227" s="85"/>
      <x:c r="W227" s="66"/>
      <x:c r="X227" s="83" t="str">
        <x:f t="shared" si="33"/>
        <x:v>Tidak ada faktor rentan</x:v>
      </x:c>
      <x:c r="Y227" s="83" t="str">
        <x:f t="shared" si="34"/>
        <x:v>Tidak Ada Faktor Rentan</x:v>
      </x:c>
      <x:c r="Z227" s="84" t="str">
        <x:f t="shared" si="35"/>
      </x:c>
      <x:c r="AA227" s="84">
        <x:f t="shared" si="36"/>
        <x:v>0</x:v>
      </x:c>
      <x:c r="AB227" s="84" t="str">
        <x:f t="shared" si="37"/>
      </x:c>
      <x:c r="AC227" s="67"/>
      <x:c r="AD227" s="67"/>
      <x:c r="AE227" s="67"/>
      <x:c r="AF227" s="67"/>
      <x:c r="AG227" s="67"/>
      <x:c r="AH227" s="67"/>
      <x:c r="AI227" s="67"/>
      <x:c r="AJ227" s="67"/>
      <x:c r="AK227" s="67"/>
      <x:c r="AL227" s="67"/>
      <x:c r="AM227" s="67"/>
      <x:c r="AN227" s="83" t="str">
        <x:f t="shared" si="38"/>
        <x:v>Tidak ada risiko khusus</x:v>
      </x:c>
      <x:c r="AO227" s="83" t="str">
        <x:f t="shared" si="39"/>
        <x:v>Tidak Ada Risiko Khusus</x:v>
      </x:c>
      <x:c r="AP227" s="67"/>
      <x:c r="AQ227" s="70" t="str">
        <x:f t="shared" si="40"/>
      </x:c>
      <x:c r="AR227" s="70">
        <x:f t="shared" si="41"/>
        <x:v>0</x:v>
      </x:c>
      <x:c r="AS227" s="70" t="str">
        <x:f t="shared" si="42"/>
      </x:c>
      <x:c r="AT227" s="68" t="str">
        <x:f t="shared" si="43"/>
        <x:v>Belum Dapat Ditentukan</x:v>
      </x:c>
      <x:c r="AU227" s="65"/>
      <x:c r="AV227" s="65"/>
      <x:c r="AW227" s="65"/>
      <x:c r="AX227" s="65"/>
      <x:c r="AY227" s="65"/>
      <x:c r="AZ227" s="65"/>
      <x:c r="BA227" s="65"/>
      <x:c r="BB227" s="177"/>
      <x:c r="BC227" s="71"/>
      <x:c r="BD227" s="65"/>
      <x:c r="BE227" s="177"/>
      <x:c r="BF227" s="65"/>
    </x:row>
    <x:row r="228">
      <x:c r="A228" s="65"/>
      <x:c r="B228" s="65"/>
      <x:c r="C228" s="65"/>
      <x:c r="D228" s="65"/>
      <x:c r="E228" s="65"/>
      <x:c r="F228" s="65"/>
      <x:c r="G228" s="65"/>
      <x:c r="H228" s="65"/>
      <x:c r="I228" s="65"/>
      <x:c r="J228" s="65"/>
      <x:c r="K228" s="65"/>
      <x:c r="L228" s="65"/>
      <x:c r="M228" s="65"/>
      <x:c r="N228" s="65"/>
      <x:c r="O228" s="65"/>
      <x:c r="P228" s="65"/>
      <x:c r="Q228" s="85"/>
      <x:c r="R228" s="85"/>
      <x:c r="S228" s="85"/>
      <x:c r="T228" s="85"/>
      <x:c r="U228" s="85"/>
      <x:c r="V228" s="85"/>
      <x:c r="W228" s="66"/>
      <x:c r="X228" s="83" t="str">
        <x:f t="shared" si="33"/>
        <x:v>Tidak ada faktor rentan</x:v>
      </x:c>
      <x:c r="Y228" s="83" t="str">
        <x:f t="shared" si="34"/>
        <x:v>Tidak Ada Faktor Rentan</x:v>
      </x:c>
      <x:c r="Z228" s="84" t="str">
        <x:f t="shared" si="35"/>
      </x:c>
      <x:c r="AA228" s="84">
        <x:f t="shared" si="36"/>
        <x:v>0</x:v>
      </x:c>
      <x:c r="AB228" s="84" t="str">
        <x:f t="shared" si="37"/>
      </x:c>
      <x:c r="AC228" s="67"/>
      <x:c r="AD228" s="67"/>
      <x:c r="AE228" s="67"/>
      <x:c r="AF228" s="67"/>
      <x:c r="AG228" s="67"/>
      <x:c r="AH228" s="67"/>
      <x:c r="AI228" s="67"/>
      <x:c r="AJ228" s="67"/>
      <x:c r="AK228" s="67"/>
      <x:c r="AL228" s="67"/>
      <x:c r="AM228" s="67"/>
      <x:c r="AN228" s="83" t="str">
        <x:f t="shared" si="38"/>
        <x:v>Tidak ada risiko khusus</x:v>
      </x:c>
      <x:c r="AO228" s="83" t="str">
        <x:f t="shared" si="39"/>
        <x:v>Tidak Ada Risiko Khusus</x:v>
      </x:c>
      <x:c r="AP228" s="67"/>
      <x:c r="AQ228" s="70" t="str">
        <x:f t="shared" si="40"/>
      </x:c>
      <x:c r="AR228" s="70">
        <x:f t="shared" si="41"/>
        <x:v>0</x:v>
      </x:c>
      <x:c r="AS228" s="70" t="str">
        <x:f t="shared" si="42"/>
      </x:c>
      <x:c r="AT228" s="68" t="str">
        <x:f t="shared" si="43"/>
        <x:v>Belum Dapat Ditentukan</x:v>
      </x:c>
      <x:c r="AU228" s="65"/>
      <x:c r="AV228" s="65"/>
      <x:c r="AW228" s="65"/>
      <x:c r="AX228" s="65"/>
      <x:c r="AY228" s="65"/>
      <x:c r="AZ228" s="65"/>
      <x:c r="BA228" s="65"/>
      <x:c r="BB228" s="177"/>
      <x:c r="BC228" s="71"/>
      <x:c r="BD228" s="65"/>
      <x:c r="BE228" s="177"/>
      <x:c r="BF228" s="65"/>
    </x:row>
    <x:row r="229">
      <x:c r="A229" s="65"/>
      <x:c r="B229" s="65"/>
      <x:c r="C229" s="65"/>
      <x:c r="D229" s="65"/>
      <x:c r="E229" s="65"/>
      <x:c r="F229" s="65"/>
      <x:c r="G229" s="65"/>
      <x:c r="H229" s="65"/>
      <x:c r="I229" s="65"/>
      <x:c r="J229" s="65"/>
      <x:c r="K229" s="65"/>
      <x:c r="L229" s="65"/>
      <x:c r="M229" s="65"/>
      <x:c r="N229" s="65"/>
      <x:c r="O229" s="65"/>
      <x:c r="P229" s="65"/>
      <x:c r="Q229" s="85"/>
      <x:c r="R229" s="85"/>
      <x:c r="S229" s="85"/>
      <x:c r="T229" s="85"/>
      <x:c r="U229" s="85"/>
      <x:c r="V229" s="85"/>
      <x:c r="W229" s="66"/>
      <x:c r="X229" s="83" t="str">
        <x:f t="shared" si="33"/>
        <x:v>Tidak ada faktor rentan</x:v>
      </x:c>
      <x:c r="Y229" s="83" t="str">
        <x:f t="shared" si="34"/>
        <x:v>Tidak Ada Faktor Rentan</x:v>
      </x:c>
      <x:c r="Z229" s="84" t="str">
        <x:f t="shared" si="35"/>
      </x:c>
      <x:c r="AA229" s="84">
        <x:f t="shared" si="36"/>
        <x:v>0</x:v>
      </x:c>
      <x:c r="AB229" s="84" t="str">
        <x:f t="shared" si="37"/>
      </x:c>
      <x:c r="AC229" s="67"/>
      <x:c r="AD229" s="67"/>
      <x:c r="AE229" s="67"/>
      <x:c r="AF229" s="67"/>
      <x:c r="AG229" s="67"/>
      <x:c r="AH229" s="67"/>
      <x:c r="AI229" s="67"/>
      <x:c r="AJ229" s="67"/>
      <x:c r="AK229" s="67"/>
      <x:c r="AL229" s="67"/>
      <x:c r="AM229" s="67"/>
      <x:c r="AN229" s="83" t="str">
        <x:f t="shared" si="38"/>
        <x:v>Tidak ada risiko khusus</x:v>
      </x:c>
      <x:c r="AO229" s="83" t="str">
        <x:f t="shared" si="39"/>
        <x:v>Tidak Ada Risiko Khusus</x:v>
      </x:c>
      <x:c r="AP229" s="67"/>
      <x:c r="AQ229" s="70" t="str">
        <x:f t="shared" si="40"/>
      </x:c>
      <x:c r="AR229" s="70">
        <x:f t="shared" si="41"/>
        <x:v>0</x:v>
      </x:c>
      <x:c r="AS229" s="70" t="str">
        <x:f t="shared" si="42"/>
      </x:c>
      <x:c r="AT229" s="68" t="str">
        <x:f t="shared" si="43"/>
        <x:v>Belum Dapat Ditentukan</x:v>
      </x:c>
      <x:c r="AU229" s="65"/>
      <x:c r="AV229" s="65"/>
      <x:c r="AW229" s="65"/>
      <x:c r="AX229" s="65"/>
      <x:c r="AY229" s="65"/>
      <x:c r="AZ229" s="65"/>
      <x:c r="BA229" s="65"/>
      <x:c r="BB229" s="177"/>
      <x:c r="BC229" s="71"/>
      <x:c r="BD229" s="65"/>
      <x:c r="BE229" s="177"/>
      <x:c r="BF229" s="65"/>
    </x:row>
    <x:row r="230">
      <x:c r="A230" s="65"/>
      <x:c r="B230" s="65"/>
      <x:c r="C230" s="65"/>
      <x:c r="D230" s="65"/>
      <x:c r="E230" s="65"/>
      <x:c r="F230" s="65"/>
      <x:c r="G230" s="65"/>
      <x:c r="H230" s="65"/>
      <x:c r="I230" s="65"/>
      <x:c r="J230" s="65"/>
      <x:c r="K230" s="65"/>
      <x:c r="L230" s="65"/>
      <x:c r="M230" s="65"/>
      <x:c r="N230" s="65"/>
      <x:c r="O230" s="65"/>
      <x:c r="P230" s="65"/>
      <x:c r="Q230" s="85"/>
      <x:c r="R230" s="85"/>
      <x:c r="S230" s="85"/>
      <x:c r="T230" s="85"/>
      <x:c r="U230" s="85"/>
      <x:c r="V230" s="85"/>
      <x:c r="W230" s="66"/>
      <x:c r="X230" s="83" t="str">
        <x:f t="shared" si="33"/>
        <x:v>Tidak ada faktor rentan</x:v>
      </x:c>
      <x:c r="Y230" s="83" t="str">
        <x:f t="shared" si="34"/>
        <x:v>Tidak Ada Faktor Rentan</x:v>
      </x:c>
      <x:c r="Z230" s="84" t="str">
        <x:f t="shared" si="35"/>
      </x:c>
      <x:c r="AA230" s="84">
        <x:f t="shared" si="36"/>
        <x:v>0</x:v>
      </x:c>
      <x:c r="AB230" s="84" t="str">
        <x:f t="shared" si="37"/>
      </x:c>
      <x:c r="AC230" s="67"/>
      <x:c r="AD230" s="67"/>
      <x:c r="AE230" s="67"/>
      <x:c r="AF230" s="67"/>
      <x:c r="AG230" s="67"/>
      <x:c r="AH230" s="67"/>
      <x:c r="AI230" s="67"/>
      <x:c r="AJ230" s="67"/>
      <x:c r="AK230" s="67"/>
      <x:c r="AL230" s="67"/>
      <x:c r="AM230" s="67"/>
      <x:c r="AN230" s="83" t="str">
        <x:f t="shared" si="38"/>
        <x:v>Tidak ada risiko khusus</x:v>
      </x:c>
      <x:c r="AO230" s="83" t="str">
        <x:f t="shared" si="39"/>
        <x:v>Tidak Ada Risiko Khusus</x:v>
      </x:c>
      <x:c r="AP230" s="67"/>
      <x:c r="AQ230" s="70" t="str">
        <x:f t="shared" si="40"/>
      </x:c>
      <x:c r="AR230" s="70">
        <x:f t="shared" si="41"/>
        <x:v>0</x:v>
      </x:c>
      <x:c r="AS230" s="70" t="str">
        <x:f t="shared" si="42"/>
      </x:c>
      <x:c r="AT230" s="68" t="str">
        <x:f t="shared" si="43"/>
        <x:v>Belum Dapat Ditentukan</x:v>
      </x:c>
      <x:c r="AU230" s="65"/>
      <x:c r="AV230" s="65"/>
      <x:c r="AW230" s="65"/>
      <x:c r="AX230" s="65"/>
      <x:c r="AY230" s="65"/>
      <x:c r="AZ230" s="65"/>
      <x:c r="BA230" s="65"/>
      <x:c r="BB230" s="177"/>
      <x:c r="BC230" s="71"/>
      <x:c r="BD230" s="65"/>
      <x:c r="BE230" s="177"/>
      <x:c r="BF230" s="65"/>
    </x:row>
    <x:row r="231">
      <x:c r="A231" s="65"/>
      <x:c r="B231" s="65"/>
      <x:c r="C231" s="65"/>
      <x:c r="D231" s="65"/>
      <x:c r="E231" s="65"/>
      <x:c r="F231" s="65"/>
      <x:c r="G231" s="65"/>
      <x:c r="H231" s="65"/>
      <x:c r="I231" s="65"/>
      <x:c r="J231" s="65"/>
      <x:c r="K231" s="65"/>
      <x:c r="L231" s="65"/>
      <x:c r="M231" s="65"/>
      <x:c r="N231" s="65"/>
      <x:c r="O231" s="65"/>
      <x:c r="P231" s="65"/>
      <x:c r="Q231" s="85"/>
      <x:c r="R231" s="85"/>
      <x:c r="S231" s="85"/>
      <x:c r="T231" s="85"/>
      <x:c r="U231" s="85"/>
      <x:c r="V231" s="85"/>
      <x:c r="W231" s="66"/>
      <x:c r="X231" s="83" t="str">
        <x:f t="shared" si="33"/>
        <x:v>Tidak ada faktor rentan</x:v>
      </x:c>
      <x:c r="Y231" s="83" t="str">
        <x:f t="shared" si="34"/>
        <x:v>Tidak Ada Faktor Rentan</x:v>
      </x:c>
      <x:c r="Z231" s="84" t="str">
        <x:f t="shared" si="35"/>
      </x:c>
      <x:c r="AA231" s="84">
        <x:f t="shared" si="36"/>
        <x:v>0</x:v>
      </x:c>
      <x:c r="AB231" s="84" t="str">
        <x:f t="shared" si="37"/>
      </x:c>
      <x:c r="AC231" s="67"/>
      <x:c r="AD231" s="67"/>
      <x:c r="AE231" s="67"/>
      <x:c r="AF231" s="67"/>
      <x:c r="AG231" s="67"/>
      <x:c r="AH231" s="67"/>
      <x:c r="AI231" s="67"/>
      <x:c r="AJ231" s="67"/>
      <x:c r="AK231" s="67"/>
      <x:c r="AL231" s="67"/>
      <x:c r="AM231" s="67"/>
      <x:c r="AN231" s="83" t="str">
        <x:f t="shared" si="38"/>
        <x:v>Tidak ada risiko khusus</x:v>
      </x:c>
      <x:c r="AO231" s="83" t="str">
        <x:f t="shared" si="39"/>
        <x:v>Tidak Ada Risiko Khusus</x:v>
      </x:c>
      <x:c r="AP231" s="67"/>
      <x:c r="AQ231" s="70" t="str">
        <x:f t="shared" si="40"/>
      </x:c>
      <x:c r="AR231" s="70">
        <x:f t="shared" si="41"/>
        <x:v>0</x:v>
      </x:c>
      <x:c r="AS231" s="70" t="str">
        <x:f t="shared" si="42"/>
      </x:c>
      <x:c r="AT231" s="68" t="str">
        <x:f t="shared" si="43"/>
        <x:v>Belum Dapat Ditentukan</x:v>
      </x:c>
      <x:c r="AU231" s="65"/>
      <x:c r="AV231" s="65"/>
      <x:c r="AW231" s="65"/>
      <x:c r="AX231" s="65"/>
      <x:c r="AY231" s="65"/>
      <x:c r="AZ231" s="65"/>
      <x:c r="BA231" s="65"/>
      <x:c r="BB231" s="177"/>
      <x:c r="BC231" s="71"/>
      <x:c r="BD231" s="65"/>
      <x:c r="BE231" s="177"/>
      <x:c r="BF231" s="65"/>
    </x:row>
    <x:row r="232">
      <x:c r="A232" s="65"/>
      <x:c r="B232" s="65"/>
      <x:c r="C232" s="65"/>
      <x:c r="D232" s="65"/>
      <x:c r="E232" s="65"/>
      <x:c r="F232" s="65"/>
      <x:c r="G232" s="65"/>
      <x:c r="H232" s="65"/>
      <x:c r="I232" s="65"/>
      <x:c r="J232" s="65"/>
      <x:c r="K232" s="65"/>
      <x:c r="L232" s="65"/>
      <x:c r="M232" s="65"/>
      <x:c r="N232" s="65"/>
      <x:c r="O232" s="65"/>
      <x:c r="P232" s="65"/>
      <x:c r="Q232" s="85"/>
      <x:c r="R232" s="85"/>
      <x:c r="S232" s="85"/>
      <x:c r="T232" s="85"/>
      <x:c r="U232" s="85"/>
      <x:c r="V232" s="85"/>
      <x:c r="W232" s="66"/>
      <x:c r="X232" s="83" t="str">
        <x:f t="shared" si="33"/>
        <x:v>Tidak ada faktor rentan</x:v>
      </x:c>
      <x:c r="Y232" s="83" t="str">
        <x:f t="shared" si="34"/>
        <x:v>Tidak Ada Faktor Rentan</x:v>
      </x:c>
      <x:c r="Z232" s="84" t="str">
        <x:f t="shared" si="35"/>
      </x:c>
      <x:c r="AA232" s="84">
        <x:f t="shared" si="36"/>
        <x:v>0</x:v>
      </x:c>
      <x:c r="AB232" s="84" t="str">
        <x:f t="shared" si="37"/>
      </x:c>
      <x:c r="AC232" s="67"/>
      <x:c r="AD232" s="67"/>
      <x:c r="AE232" s="67"/>
      <x:c r="AF232" s="67"/>
      <x:c r="AG232" s="67"/>
      <x:c r="AH232" s="67"/>
      <x:c r="AI232" s="67"/>
      <x:c r="AJ232" s="67"/>
      <x:c r="AK232" s="67"/>
      <x:c r="AL232" s="67"/>
      <x:c r="AM232" s="67"/>
      <x:c r="AN232" s="83" t="str">
        <x:f t="shared" si="38"/>
        <x:v>Tidak ada risiko khusus</x:v>
      </x:c>
      <x:c r="AO232" s="83" t="str">
        <x:f t="shared" si="39"/>
        <x:v>Tidak Ada Risiko Khusus</x:v>
      </x:c>
      <x:c r="AP232" s="67"/>
      <x:c r="AQ232" s="70" t="str">
        <x:f t="shared" si="40"/>
      </x:c>
      <x:c r="AR232" s="70">
        <x:f t="shared" si="41"/>
        <x:v>0</x:v>
      </x:c>
      <x:c r="AS232" s="70" t="str">
        <x:f t="shared" si="42"/>
      </x:c>
      <x:c r="AT232" s="68" t="str">
        <x:f t="shared" si="43"/>
        <x:v>Belum Dapat Ditentukan</x:v>
      </x:c>
      <x:c r="AU232" s="65"/>
      <x:c r="AV232" s="65"/>
      <x:c r="AW232" s="65"/>
      <x:c r="AX232" s="65"/>
      <x:c r="AY232" s="65"/>
      <x:c r="AZ232" s="65"/>
      <x:c r="BA232" s="65"/>
      <x:c r="BB232" s="177"/>
      <x:c r="BC232" s="71"/>
      <x:c r="BD232" s="65"/>
      <x:c r="BE232" s="177"/>
      <x:c r="BF232" s="65"/>
    </x:row>
    <x:row r="233">
      <x:c r="A233" s="65"/>
      <x:c r="B233" s="65"/>
      <x:c r="C233" s="65"/>
      <x:c r="D233" s="65"/>
      <x:c r="E233" s="65"/>
      <x:c r="F233" s="65"/>
      <x:c r="G233" s="65"/>
      <x:c r="H233" s="65"/>
      <x:c r="I233" s="65"/>
      <x:c r="J233" s="65"/>
      <x:c r="K233" s="65"/>
      <x:c r="L233" s="65"/>
      <x:c r="M233" s="65"/>
      <x:c r="N233" s="65"/>
      <x:c r="O233" s="65"/>
      <x:c r="P233" s="65"/>
      <x:c r="Q233" s="85"/>
      <x:c r="R233" s="85"/>
      <x:c r="S233" s="85"/>
      <x:c r="T233" s="85"/>
      <x:c r="U233" s="85"/>
      <x:c r="V233" s="85"/>
      <x:c r="W233" s="66"/>
      <x:c r="X233" s="83" t="str">
        <x:f t="shared" si="33"/>
        <x:v>Tidak ada faktor rentan</x:v>
      </x:c>
      <x:c r="Y233" s="83" t="str">
        <x:f t="shared" si="34"/>
        <x:v>Tidak Ada Faktor Rentan</x:v>
      </x:c>
      <x:c r="Z233" s="84" t="str">
        <x:f t="shared" si="35"/>
      </x:c>
      <x:c r="AA233" s="84">
        <x:f t="shared" si="36"/>
        <x:v>0</x:v>
      </x:c>
      <x:c r="AB233" s="84" t="str">
        <x:f t="shared" si="37"/>
      </x:c>
      <x:c r="AC233" s="67"/>
      <x:c r="AD233" s="67"/>
      <x:c r="AE233" s="67"/>
      <x:c r="AF233" s="67"/>
      <x:c r="AG233" s="67"/>
      <x:c r="AH233" s="67"/>
      <x:c r="AI233" s="67"/>
      <x:c r="AJ233" s="67"/>
      <x:c r="AK233" s="67"/>
      <x:c r="AL233" s="67"/>
      <x:c r="AM233" s="67"/>
      <x:c r="AN233" s="83" t="str">
        <x:f t="shared" si="38"/>
        <x:v>Tidak ada risiko khusus</x:v>
      </x:c>
      <x:c r="AO233" s="83" t="str">
        <x:f t="shared" si="39"/>
        <x:v>Tidak Ada Risiko Khusus</x:v>
      </x:c>
      <x:c r="AP233" s="67"/>
      <x:c r="AQ233" s="70" t="str">
        <x:f t="shared" si="40"/>
      </x:c>
      <x:c r="AR233" s="70">
        <x:f t="shared" si="41"/>
        <x:v>0</x:v>
      </x:c>
      <x:c r="AS233" s="70" t="str">
        <x:f t="shared" si="42"/>
      </x:c>
      <x:c r="AT233" s="68" t="str">
        <x:f t="shared" si="43"/>
        <x:v>Belum Dapat Ditentukan</x:v>
      </x:c>
      <x:c r="AU233" s="65"/>
      <x:c r="AV233" s="65"/>
      <x:c r="AW233" s="65"/>
      <x:c r="AX233" s="65"/>
      <x:c r="AY233" s="65"/>
      <x:c r="AZ233" s="65"/>
      <x:c r="BA233" s="65"/>
      <x:c r="BB233" s="177"/>
      <x:c r="BC233" s="71"/>
      <x:c r="BD233" s="65"/>
      <x:c r="BE233" s="177"/>
      <x:c r="BF233" s="65"/>
    </x:row>
    <x:row r="234">
      <x:c r="A234" s="65"/>
      <x:c r="B234" s="65"/>
      <x:c r="C234" s="65"/>
      <x:c r="D234" s="65"/>
      <x:c r="E234" s="65"/>
      <x:c r="F234" s="65"/>
      <x:c r="G234" s="65"/>
      <x:c r="H234" s="65"/>
      <x:c r="I234" s="65"/>
      <x:c r="J234" s="65"/>
      <x:c r="K234" s="65"/>
      <x:c r="L234" s="65"/>
      <x:c r="M234" s="65"/>
      <x:c r="N234" s="65"/>
      <x:c r="O234" s="65"/>
      <x:c r="P234" s="65"/>
      <x:c r="Q234" s="85"/>
      <x:c r="R234" s="85"/>
      <x:c r="S234" s="85"/>
      <x:c r="T234" s="85"/>
      <x:c r="U234" s="85"/>
      <x:c r="V234" s="85"/>
      <x:c r="W234" s="66"/>
      <x:c r="X234" s="83" t="str">
        <x:f t="shared" si="33"/>
        <x:v>Tidak ada faktor rentan</x:v>
      </x:c>
      <x:c r="Y234" s="83" t="str">
        <x:f t="shared" si="34"/>
        <x:v>Tidak Ada Faktor Rentan</x:v>
      </x:c>
      <x:c r="Z234" s="84" t="str">
        <x:f t="shared" si="35"/>
      </x:c>
      <x:c r="AA234" s="84">
        <x:f t="shared" si="36"/>
        <x:v>0</x:v>
      </x:c>
      <x:c r="AB234" s="84" t="str">
        <x:f t="shared" si="37"/>
      </x:c>
      <x:c r="AC234" s="67"/>
      <x:c r="AD234" s="67"/>
      <x:c r="AE234" s="67"/>
      <x:c r="AF234" s="67"/>
      <x:c r="AG234" s="67"/>
      <x:c r="AH234" s="67"/>
      <x:c r="AI234" s="67"/>
      <x:c r="AJ234" s="67"/>
      <x:c r="AK234" s="67"/>
      <x:c r="AL234" s="67"/>
      <x:c r="AM234" s="67"/>
      <x:c r="AN234" s="83" t="str">
        <x:f t="shared" si="38"/>
        <x:v>Tidak ada risiko khusus</x:v>
      </x:c>
      <x:c r="AO234" s="83" t="str">
        <x:f t="shared" si="39"/>
        <x:v>Tidak Ada Risiko Khusus</x:v>
      </x:c>
      <x:c r="AP234" s="67"/>
      <x:c r="AQ234" s="70" t="str">
        <x:f t="shared" si="40"/>
      </x:c>
      <x:c r="AR234" s="70">
        <x:f t="shared" si="41"/>
        <x:v>0</x:v>
      </x:c>
      <x:c r="AS234" s="70" t="str">
        <x:f t="shared" si="42"/>
      </x:c>
      <x:c r="AT234" s="68" t="str">
        <x:f t="shared" si="43"/>
        <x:v>Belum Dapat Ditentukan</x:v>
      </x:c>
      <x:c r="AU234" s="65"/>
      <x:c r="AV234" s="65"/>
      <x:c r="AW234" s="65"/>
      <x:c r="AX234" s="65"/>
      <x:c r="AY234" s="65"/>
      <x:c r="AZ234" s="65"/>
      <x:c r="BA234" s="65"/>
      <x:c r="BB234" s="177"/>
      <x:c r="BC234" s="71"/>
      <x:c r="BD234" s="65"/>
      <x:c r="BE234" s="177"/>
      <x:c r="BF234" s="65"/>
    </x:row>
    <x:row r="235">
      <x:c r="A235" s="65"/>
      <x:c r="B235" s="65"/>
      <x:c r="C235" s="65"/>
      <x:c r="D235" s="65"/>
      <x:c r="E235" s="65"/>
      <x:c r="F235" s="65"/>
      <x:c r="G235" s="65"/>
      <x:c r="H235" s="65"/>
      <x:c r="I235" s="65"/>
      <x:c r="J235" s="65"/>
      <x:c r="K235" s="65"/>
      <x:c r="L235" s="65"/>
      <x:c r="M235" s="65"/>
      <x:c r="N235" s="65"/>
      <x:c r="O235" s="65"/>
      <x:c r="P235" s="65"/>
      <x:c r="Q235" s="85"/>
      <x:c r="R235" s="85"/>
      <x:c r="S235" s="85"/>
      <x:c r="T235" s="85"/>
      <x:c r="U235" s="85"/>
      <x:c r="V235" s="85"/>
      <x:c r="W235" s="66"/>
      <x:c r="X235" s="83" t="str">
        <x:f t="shared" si="33"/>
        <x:v>Tidak ada faktor rentan</x:v>
      </x:c>
      <x:c r="Y235" s="83" t="str">
        <x:f t="shared" si="34"/>
        <x:v>Tidak Ada Faktor Rentan</x:v>
      </x:c>
      <x:c r="Z235" s="84" t="str">
        <x:f t="shared" si="35"/>
      </x:c>
      <x:c r="AA235" s="84">
        <x:f t="shared" si="36"/>
        <x:v>0</x:v>
      </x:c>
      <x:c r="AB235" s="84" t="str">
        <x:f t="shared" si="37"/>
      </x:c>
      <x:c r="AC235" s="67"/>
      <x:c r="AD235" s="67"/>
      <x:c r="AE235" s="67"/>
      <x:c r="AF235" s="67"/>
      <x:c r="AG235" s="67"/>
      <x:c r="AH235" s="67"/>
      <x:c r="AI235" s="67"/>
      <x:c r="AJ235" s="67"/>
      <x:c r="AK235" s="67"/>
      <x:c r="AL235" s="67"/>
      <x:c r="AM235" s="67"/>
      <x:c r="AN235" s="83" t="str">
        <x:f t="shared" si="38"/>
        <x:v>Tidak ada risiko khusus</x:v>
      </x:c>
      <x:c r="AO235" s="83" t="str">
        <x:f t="shared" si="39"/>
        <x:v>Tidak Ada Risiko Khusus</x:v>
      </x:c>
      <x:c r="AP235" s="67"/>
      <x:c r="AQ235" s="70" t="str">
        <x:f t="shared" si="40"/>
      </x:c>
      <x:c r="AR235" s="70">
        <x:f t="shared" si="41"/>
        <x:v>0</x:v>
      </x:c>
      <x:c r="AS235" s="70" t="str">
        <x:f t="shared" si="42"/>
      </x:c>
      <x:c r="AT235" s="68" t="str">
        <x:f t="shared" si="43"/>
        <x:v>Belum Dapat Ditentukan</x:v>
      </x:c>
      <x:c r="AU235" s="65"/>
      <x:c r="AV235" s="65"/>
      <x:c r="AW235" s="65"/>
      <x:c r="AX235" s="65"/>
      <x:c r="AY235" s="65"/>
      <x:c r="AZ235" s="65"/>
      <x:c r="BA235" s="65"/>
      <x:c r="BB235" s="177"/>
      <x:c r="BC235" s="71"/>
      <x:c r="BD235" s="65"/>
      <x:c r="BE235" s="177"/>
      <x:c r="BF235" s="65"/>
    </x:row>
    <x:row r="236">
      <x:c r="A236" s="65"/>
      <x:c r="B236" s="65"/>
      <x:c r="C236" s="65"/>
      <x:c r="D236" s="65"/>
      <x:c r="E236" s="65"/>
      <x:c r="F236" s="65"/>
      <x:c r="G236" s="65"/>
      <x:c r="H236" s="65"/>
      <x:c r="I236" s="65"/>
      <x:c r="J236" s="65"/>
      <x:c r="K236" s="65"/>
      <x:c r="L236" s="65"/>
      <x:c r="M236" s="65"/>
      <x:c r="N236" s="65"/>
      <x:c r="O236" s="65"/>
      <x:c r="P236" s="65"/>
      <x:c r="Q236" s="85"/>
      <x:c r="R236" s="85"/>
      <x:c r="S236" s="85"/>
      <x:c r="T236" s="85"/>
      <x:c r="U236" s="85"/>
      <x:c r="V236" s="85"/>
      <x:c r="W236" s="66"/>
      <x:c r="X236" s="83" t="str">
        <x:f t="shared" si="33"/>
        <x:v>Tidak ada faktor rentan</x:v>
      </x:c>
      <x:c r="Y236" s="83" t="str">
        <x:f t="shared" si="34"/>
        <x:v>Tidak Ada Faktor Rentan</x:v>
      </x:c>
      <x:c r="Z236" s="84" t="str">
        <x:f t="shared" si="35"/>
      </x:c>
      <x:c r="AA236" s="84">
        <x:f t="shared" si="36"/>
        <x:v>0</x:v>
      </x:c>
      <x:c r="AB236" s="84" t="str">
        <x:f t="shared" si="37"/>
      </x:c>
      <x:c r="AC236" s="67"/>
      <x:c r="AD236" s="67"/>
      <x:c r="AE236" s="67"/>
      <x:c r="AF236" s="67"/>
      <x:c r="AG236" s="67"/>
      <x:c r="AH236" s="67"/>
      <x:c r="AI236" s="67"/>
      <x:c r="AJ236" s="67"/>
      <x:c r="AK236" s="67"/>
      <x:c r="AL236" s="67"/>
      <x:c r="AM236" s="67"/>
      <x:c r="AN236" s="83" t="str">
        <x:f t="shared" si="38"/>
        <x:v>Tidak ada risiko khusus</x:v>
      </x:c>
      <x:c r="AO236" s="83" t="str">
        <x:f t="shared" si="39"/>
        <x:v>Tidak Ada Risiko Khusus</x:v>
      </x:c>
      <x:c r="AP236" s="67"/>
      <x:c r="AQ236" s="70" t="str">
        <x:f t="shared" si="40"/>
      </x:c>
      <x:c r="AR236" s="70">
        <x:f t="shared" si="41"/>
        <x:v>0</x:v>
      </x:c>
      <x:c r="AS236" s="70" t="str">
        <x:f t="shared" si="42"/>
      </x:c>
      <x:c r="AT236" s="68" t="str">
        <x:f t="shared" si="43"/>
        <x:v>Belum Dapat Ditentukan</x:v>
      </x:c>
      <x:c r="AU236" s="65"/>
      <x:c r="AV236" s="65"/>
      <x:c r="AW236" s="65"/>
      <x:c r="AX236" s="65"/>
      <x:c r="AY236" s="65"/>
      <x:c r="AZ236" s="65"/>
      <x:c r="BA236" s="65"/>
      <x:c r="BB236" s="177"/>
      <x:c r="BC236" s="71"/>
      <x:c r="BD236" s="65"/>
      <x:c r="BE236" s="177"/>
      <x:c r="BF236" s="65"/>
    </x:row>
    <x:row r="237">
      <x:c r="A237" s="65"/>
      <x:c r="B237" s="65"/>
      <x:c r="C237" s="65"/>
      <x:c r="D237" s="65"/>
      <x:c r="E237" s="65"/>
      <x:c r="F237" s="65"/>
      <x:c r="G237" s="65"/>
      <x:c r="H237" s="65"/>
      <x:c r="I237" s="65"/>
      <x:c r="J237" s="65"/>
      <x:c r="K237" s="65"/>
      <x:c r="L237" s="65"/>
      <x:c r="M237" s="65"/>
      <x:c r="N237" s="65"/>
      <x:c r="O237" s="65"/>
      <x:c r="P237" s="65"/>
      <x:c r="Q237" s="85"/>
      <x:c r="R237" s="85"/>
      <x:c r="S237" s="85"/>
      <x:c r="T237" s="85"/>
      <x:c r="U237" s="85"/>
      <x:c r="V237" s="85"/>
      <x:c r="W237" s="66"/>
      <x:c r="X237" s="83" t="str">
        <x:f t="shared" si="33"/>
        <x:v>Tidak ada faktor rentan</x:v>
      </x:c>
      <x:c r="Y237" s="83" t="str">
        <x:f t="shared" si="34"/>
        <x:v>Tidak Ada Faktor Rentan</x:v>
      </x:c>
      <x:c r="Z237" s="84" t="str">
        <x:f t="shared" si="35"/>
      </x:c>
      <x:c r="AA237" s="84">
        <x:f t="shared" si="36"/>
        <x:v>0</x:v>
      </x:c>
      <x:c r="AB237" s="84" t="str">
        <x:f t="shared" si="37"/>
      </x:c>
      <x:c r="AC237" s="67"/>
      <x:c r="AD237" s="67"/>
      <x:c r="AE237" s="67"/>
      <x:c r="AF237" s="67"/>
      <x:c r="AG237" s="67"/>
      <x:c r="AH237" s="67"/>
      <x:c r="AI237" s="67"/>
      <x:c r="AJ237" s="67"/>
      <x:c r="AK237" s="67"/>
      <x:c r="AL237" s="67"/>
      <x:c r="AM237" s="67"/>
      <x:c r="AN237" s="83" t="str">
        <x:f t="shared" si="38"/>
        <x:v>Tidak ada risiko khusus</x:v>
      </x:c>
      <x:c r="AO237" s="83" t="str">
        <x:f t="shared" si="39"/>
        <x:v>Tidak Ada Risiko Khusus</x:v>
      </x:c>
      <x:c r="AP237" s="67"/>
      <x:c r="AQ237" s="70" t="str">
        <x:f t="shared" si="40"/>
      </x:c>
      <x:c r="AR237" s="70">
        <x:f t="shared" si="41"/>
        <x:v>0</x:v>
      </x:c>
      <x:c r="AS237" s="70" t="str">
        <x:f t="shared" si="42"/>
      </x:c>
      <x:c r="AT237" s="68" t="str">
        <x:f t="shared" si="43"/>
        <x:v>Belum Dapat Ditentukan</x:v>
      </x:c>
      <x:c r="AU237" s="65"/>
      <x:c r="AV237" s="65"/>
      <x:c r="AW237" s="65"/>
      <x:c r="AX237" s="65"/>
      <x:c r="AY237" s="65"/>
      <x:c r="AZ237" s="65"/>
      <x:c r="BA237" s="65"/>
      <x:c r="BB237" s="177"/>
      <x:c r="BC237" s="71"/>
      <x:c r="BD237" s="65"/>
      <x:c r="BE237" s="177"/>
      <x:c r="BF237" s="65"/>
    </x:row>
    <x:row r="238">
      <x:c r="A238" s="65"/>
      <x:c r="B238" s="65"/>
      <x:c r="C238" s="65"/>
      <x:c r="D238" s="65"/>
      <x:c r="E238" s="65"/>
      <x:c r="F238" s="65"/>
      <x:c r="G238" s="65"/>
      <x:c r="H238" s="65"/>
      <x:c r="I238" s="65"/>
      <x:c r="J238" s="65"/>
      <x:c r="K238" s="65"/>
      <x:c r="L238" s="65"/>
      <x:c r="M238" s="65"/>
      <x:c r="N238" s="65"/>
      <x:c r="O238" s="65"/>
      <x:c r="P238" s="65"/>
      <x:c r="Q238" s="85"/>
      <x:c r="R238" s="85"/>
      <x:c r="S238" s="85"/>
      <x:c r="T238" s="85"/>
      <x:c r="U238" s="85"/>
      <x:c r="V238" s="85"/>
      <x:c r="W238" s="66"/>
      <x:c r="X238" s="83" t="str">
        <x:f t="shared" si="33"/>
        <x:v>Tidak ada faktor rentan</x:v>
      </x:c>
      <x:c r="Y238" s="83" t="str">
        <x:f t="shared" si="34"/>
        <x:v>Tidak Ada Faktor Rentan</x:v>
      </x:c>
      <x:c r="Z238" s="84" t="str">
        <x:f t="shared" si="35"/>
      </x:c>
      <x:c r="AA238" s="84">
        <x:f t="shared" si="36"/>
        <x:v>0</x:v>
      </x:c>
      <x:c r="AB238" s="84" t="str">
        <x:f t="shared" si="37"/>
      </x:c>
      <x:c r="AC238" s="67"/>
      <x:c r="AD238" s="67"/>
      <x:c r="AE238" s="67"/>
      <x:c r="AF238" s="67"/>
      <x:c r="AG238" s="67"/>
      <x:c r="AH238" s="67"/>
      <x:c r="AI238" s="67"/>
      <x:c r="AJ238" s="67"/>
      <x:c r="AK238" s="67"/>
      <x:c r="AL238" s="67"/>
      <x:c r="AM238" s="67"/>
      <x:c r="AN238" s="83" t="str">
        <x:f t="shared" si="38"/>
        <x:v>Tidak ada risiko khusus</x:v>
      </x:c>
      <x:c r="AO238" s="83" t="str">
        <x:f t="shared" si="39"/>
        <x:v>Tidak Ada Risiko Khusus</x:v>
      </x:c>
      <x:c r="AP238" s="67"/>
      <x:c r="AQ238" s="70" t="str">
        <x:f t="shared" si="40"/>
      </x:c>
      <x:c r="AR238" s="70">
        <x:f t="shared" si="41"/>
        <x:v>0</x:v>
      </x:c>
      <x:c r="AS238" s="70" t="str">
        <x:f t="shared" si="42"/>
      </x:c>
      <x:c r="AT238" s="68" t="str">
        <x:f t="shared" si="43"/>
        <x:v>Belum Dapat Ditentukan</x:v>
      </x:c>
      <x:c r="AU238" s="65"/>
      <x:c r="AV238" s="65"/>
      <x:c r="AW238" s="65"/>
      <x:c r="AX238" s="65"/>
      <x:c r="AY238" s="65"/>
      <x:c r="AZ238" s="65"/>
      <x:c r="BA238" s="65"/>
      <x:c r="BB238" s="177"/>
      <x:c r="BC238" s="71"/>
      <x:c r="BD238" s="65"/>
      <x:c r="BE238" s="177"/>
      <x:c r="BF238" s="65"/>
    </x:row>
    <x:row r="239">
      <x:c r="A239" s="65"/>
      <x:c r="B239" s="65"/>
      <x:c r="C239" s="65"/>
      <x:c r="D239" s="65"/>
      <x:c r="E239" s="65"/>
      <x:c r="F239" s="65"/>
      <x:c r="G239" s="65"/>
      <x:c r="H239" s="65"/>
      <x:c r="I239" s="65"/>
      <x:c r="J239" s="65"/>
      <x:c r="K239" s="65"/>
      <x:c r="L239" s="65"/>
      <x:c r="M239" s="65"/>
      <x:c r="N239" s="65"/>
      <x:c r="O239" s="65"/>
      <x:c r="P239" s="65"/>
      <x:c r="Q239" s="85"/>
      <x:c r="R239" s="85"/>
      <x:c r="S239" s="85"/>
      <x:c r="T239" s="85"/>
      <x:c r="U239" s="85"/>
      <x:c r="V239" s="85"/>
      <x:c r="W239" s="66"/>
      <x:c r="X239" s="83" t="str">
        <x:f t="shared" si="33"/>
        <x:v>Tidak ada faktor rentan</x:v>
      </x:c>
      <x:c r="Y239" s="83" t="str">
        <x:f t="shared" si="34"/>
        <x:v>Tidak Ada Faktor Rentan</x:v>
      </x:c>
      <x:c r="Z239" s="84" t="str">
        <x:f t="shared" si="35"/>
      </x:c>
      <x:c r="AA239" s="84">
        <x:f t="shared" si="36"/>
        <x:v>0</x:v>
      </x:c>
      <x:c r="AB239" s="84" t="str">
        <x:f t="shared" si="37"/>
      </x:c>
      <x:c r="AC239" s="67"/>
      <x:c r="AD239" s="67"/>
      <x:c r="AE239" s="67"/>
      <x:c r="AF239" s="67"/>
      <x:c r="AG239" s="67"/>
      <x:c r="AH239" s="67"/>
      <x:c r="AI239" s="67"/>
      <x:c r="AJ239" s="67"/>
      <x:c r="AK239" s="67"/>
      <x:c r="AL239" s="67"/>
      <x:c r="AM239" s="67"/>
      <x:c r="AN239" s="83" t="str">
        <x:f t="shared" si="38"/>
        <x:v>Tidak ada risiko khusus</x:v>
      </x:c>
      <x:c r="AO239" s="83" t="str">
        <x:f t="shared" si="39"/>
        <x:v>Tidak Ada Risiko Khusus</x:v>
      </x:c>
      <x:c r="AP239" s="67"/>
      <x:c r="AQ239" s="70" t="str">
        <x:f t="shared" si="40"/>
      </x:c>
      <x:c r="AR239" s="70">
        <x:f t="shared" si="41"/>
        <x:v>0</x:v>
      </x:c>
      <x:c r="AS239" s="70" t="str">
        <x:f t="shared" si="42"/>
      </x:c>
      <x:c r="AT239" s="68" t="str">
        <x:f t="shared" si="43"/>
        <x:v>Belum Dapat Ditentukan</x:v>
      </x:c>
      <x:c r="AU239" s="65"/>
      <x:c r="AV239" s="65"/>
      <x:c r="AW239" s="65"/>
      <x:c r="AX239" s="65"/>
      <x:c r="AY239" s="65"/>
      <x:c r="AZ239" s="65"/>
      <x:c r="BA239" s="65"/>
      <x:c r="BB239" s="177"/>
      <x:c r="BC239" s="71"/>
      <x:c r="BD239" s="65"/>
      <x:c r="BE239" s="177"/>
      <x:c r="BF239" s="65"/>
    </x:row>
    <x:row r="240">
      <x:c r="A240" s="65"/>
      <x:c r="B240" s="65"/>
      <x:c r="C240" s="65"/>
      <x:c r="D240" s="65"/>
      <x:c r="E240" s="65"/>
      <x:c r="F240" s="65"/>
      <x:c r="G240" s="65"/>
      <x:c r="H240" s="65"/>
      <x:c r="I240" s="65"/>
      <x:c r="J240" s="65"/>
      <x:c r="K240" s="65"/>
      <x:c r="L240" s="65"/>
      <x:c r="M240" s="65"/>
      <x:c r="N240" s="65"/>
      <x:c r="O240" s="65"/>
      <x:c r="P240" s="65"/>
      <x:c r="Q240" s="85"/>
      <x:c r="R240" s="85"/>
      <x:c r="S240" s="85"/>
      <x:c r="T240" s="85"/>
      <x:c r="U240" s="85"/>
      <x:c r="V240" s="85"/>
      <x:c r="W240" s="66"/>
      <x:c r="X240" s="83" t="str">
        <x:f t="shared" si="33"/>
        <x:v>Tidak ada faktor rentan</x:v>
      </x:c>
      <x:c r="Y240" s="83" t="str">
        <x:f t="shared" si="34"/>
        <x:v>Tidak Ada Faktor Rentan</x:v>
      </x:c>
      <x:c r="Z240" s="84" t="str">
        <x:f t="shared" si="35"/>
      </x:c>
      <x:c r="AA240" s="84">
        <x:f t="shared" si="36"/>
        <x:v>0</x:v>
      </x:c>
      <x:c r="AB240" s="84" t="str">
        <x:f t="shared" si="37"/>
      </x:c>
      <x:c r="AC240" s="67"/>
      <x:c r="AD240" s="67"/>
      <x:c r="AE240" s="67"/>
      <x:c r="AF240" s="67"/>
      <x:c r="AG240" s="67"/>
      <x:c r="AH240" s="67"/>
      <x:c r="AI240" s="67"/>
      <x:c r="AJ240" s="67"/>
      <x:c r="AK240" s="67"/>
      <x:c r="AL240" s="67"/>
      <x:c r="AM240" s="67"/>
      <x:c r="AN240" s="83" t="str">
        <x:f t="shared" si="38"/>
        <x:v>Tidak ada risiko khusus</x:v>
      </x:c>
      <x:c r="AO240" s="83" t="str">
        <x:f t="shared" si="39"/>
        <x:v>Tidak Ada Risiko Khusus</x:v>
      </x:c>
      <x:c r="AP240" s="67"/>
      <x:c r="AQ240" s="70" t="str">
        <x:f t="shared" si="40"/>
      </x:c>
      <x:c r="AR240" s="70">
        <x:f t="shared" si="41"/>
        <x:v>0</x:v>
      </x:c>
      <x:c r="AS240" s="70" t="str">
        <x:f t="shared" si="42"/>
      </x:c>
      <x:c r="AT240" s="68" t="str">
        <x:f t="shared" si="43"/>
        <x:v>Belum Dapat Ditentukan</x:v>
      </x:c>
      <x:c r="AU240" s="65"/>
      <x:c r="AV240" s="65"/>
      <x:c r="AW240" s="65"/>
      <x:c r="AX240" s="65"/>
      <x:c r="AY240" s="65"/>
      <x:c r="AZ240" s="65"/>
      <x:c r="BA240" s="65"/>
      <x:c r="BB240" s="177"/>
      <x:c r="BC240" s="71"/>
      <x:c r="BD240" s="65"/>
      <x:c r="BE240" s="177"/>
      <x:c r="BF240" s="65"/>
    </x:row>
    <x:row r="241">
      <x:c r="A241" s="65"/>
      <x:c r="B241" s="65"/>
      <x:c r="C241" s="65"/>
      <x:c r="D241" s="65"/>
      <x:c r="E241" s="65"/>
      <x:c r="F241" s="65"/>
      <x:c r="G241" s="65"/>
      <x:c r="H241" s="65"/>
      <x:c r="I241" s="65"/>
      <x:c r="J241" s="65"/>
      <x:c r="K241" s="65"/>
      <x:c r="L241" s="65"/>
      <x:c r="M241" s="65"/>
      <x:c r="N241" s="65"/>
      <x:c r="O241" s="65"/>
      <x:c r="P241" s="65"/>
      <x:c r="Q241" s="85"/>
      <x:c r="R241" s="85"/>
      <x:c r="S241" s="85"/>
      <x:c r="T241" s="85"/>
      <x:c r="U241" s="85"/>
      <x:c r="V241" s="85"/>
      <x:c r="W241" s="66"/>
      <x:c r="X241" s="83" t="str">
        <x:f t="shared" si="33"/>
        <x:v>Tidak ada faktor rentan</x:v>
      </x:c>
      <x:c r="Y241" s="83" t="str">
        <x:f t="shared" si="34"/>
        <x:v>Tidak Ada Faktor Rentan</x:v>
      </x:c>
      <x:c r="Z241" s="84" t="str">
        <x:f t="shared" si="35"/>
      </x:c>
      <x:c r="AA241" s="84">
        <x:f t="shared" si="36"/>
        <x:v>0</x:v>
      </x:c>
      <x:c r="AB241" s="84" t="str">
        <x:f t="shared" si="37"/>
      </x:c>
      <x:c r="AC241" s="67"/>
      <x:c r="AD241" s="67"/>
      <x:c r="AE241" s="67"/>
      <x:c r="AF241" s="67"/>
      <x:c r="AG241" s="67"/>
      <x:c r="AH241" s="67"/>
      <x:c r="AI241" s="67"/>
      <x:c r="AJ241" s="67"/>
      <x:c r="AK241" s="67"/>
      <x:c r="AL241" s="67"/>
      <x:c r="AM241" s="67"/>
      <x:c r="AN241" s="83" t="str">
        <x:f t="shared" si="38"/>
        <x:v>Tidak ada risiko khusus</x:v>
      </x:c>
      <x:c r="AO241" s="83" t="str">
        <x:f t="shared" si="39"/>
        <x:v>Tidak Ada Risiko Khusus</x:v>
      </x:c>
      <x:c r="AP241" s="67"/>
      <x:c r="AQ241" s="70" t="str">
        <x:f t="shared" si="40"/>
      </x:c>
      <x:c r="AR241" s="70">
        <x:f t="shared" si="41"/>
        <x:v>0</x:v>
      </x:c>
      <x:c r="AS241" s="70" t="str">
        <x:f t="shared" si="42"/>
      </x:c>
      <x:c r="AT241" s="68" t="str">
        <x:f t="shared" si="43"/>
        <x:v>Belum Dapat Ditentukan</x:v>
      </x:c>
      <x:c r="AU241" s="65"/>
      <x:c r="AV241" s="65"/>
      <x:c r="AW241" s="65"/>
      <x:c r="AX241" s="65"/>
      <x:c r="AY241" s="65"/>
      <x:c r="AZ241" s="65"/>
      <x:c r="BA241" s="65"/>
      <x:c r="BB241" s="177"/>
      <x:c r="BC241" s="71"/>
      <x:c r="BD241" s="65"/>
      <x:c r="BE241" s="177"/>
      <x:c r="BF241" s="65"/>
    </x:row>
    <x:row r="242">
      <x:c r="A242" s="65"/>
      <x:c r="B242" s="65"/>
      <x:c r="C242" s="65"/>
      <x:c r="D242" s="65"/>
      <x:c r="E242" s="65"/>
      <x:c r="F242" s="65"/>
      <x:c r="G242" s="65"/>
      <x:c r="H242" s="65"/>
      <x:c r="I242" s="65"/>
      <x:c r="J242" s="65"/>
      <x:c r="K242" s="65"/>
      <x:c r="L242" s="65"/>
      <x:c r="M242" s="65"/>
      <x:c r="N242" s="65"/>
      <x:c r="O242" s="65"/>
      <x:c r="P242" s="65"/>
      <x:c r="Q242" s="85"/>
      <x:c r="R242" s="85"/>
      <x:c r="S242" s="85"/>
      <x:c r="T242" s="85"/>
      <x:c r="U242" s="85"/>
      <x:c r="V242" s="85"/>
      <x:c r="W242" s="66"/>
      <x:c r="X242" s="83" t="str">
        <x:f t="shared" si="33"/>
        <x:v>Tidak ada faktor rentan</x:v>
      </x:c>
      <x:c r="Y242" s="83" t="str">
        <x:f t="shared" si="34"/>
        <x:v>Tidak Ada Faktor Rentan</x:v>
      </x:c>
      <x:c r="Z242" s="84" t="str">
        <x:f t="shared" si="35"/>
      </x:c>
      <x:c r="AA242" s="84">
        <x:f t="shared" si="36"/>
        <x:v>0</x:v>
      </x:c>
      <x:c r="AB242" s="84" t="str">
        <x:f t="shared" si="37"/>
      </x:c>
      <x:c r="AC242" s="67"/>
      <x:c r="AD242" s="67"/>
      <x:c r="AE242" s="67"/>
      <x:c r="AF242" s="67"/>
      <x:c r="AG242" s="67"/>
      <x:c r="AH242" s="67"/>
      <x:c r="AI242" s="67"/>
      <x:c r="AJ242" s="67"/>
      <x:c r="AK242" s="67"/>
      <x:c r="AL242" s="67"/>
      <x:c r="AM242" s="67"/>
      <x:c r="AN242" s="83" t="str">
        <x:f t="shared" si="38"/>
        <x:v>Tidak ada risiko khusus</x:v>
      </x:c>
      <x:c r="AO242" s="83" t="str">
        <x:f t="shared" si="39"/>
        <x:v>Tidak Ada Risiko Khusus</x:v>
      </x:c>
      <x:c r="AP242" s="67"/>
      <x:c r="AQ242" s="70" t="str">
        <x:f t="shared" si="40"/>
      </x:c>
      <x:c r="AR242" s="70">
        <x:f t="shared" si="41"/>
        <x:v>0</x:v>
      </x:c>
      <x:c r="AS242" s="70" t="str">
        <x:f t="shared" si="42"/>
      </x:c>
      <x:c r="AT242" s="68" t="str">
        <x:f t="shared" si="43"/>
        <x:v>Belum Dapat Ditentukan</x:v>
      </x:c>
      <x:c r="AU242" s="65"/>
      <x:c r="AV242" s="65"/>
      <x:c r="AW242" s="65"/>
      <x:c r="AX242" s="65"/>
      <x:c r="AY242" s="65"/>
      <x:c r="AZ242" s="65"/>
      <x:c r="BA242" s="65"/>
      <x:c r="BB242" s="177"/>
      <x:c r="BC242" s="71"/>
      <x:c r="BD242" s="65"/>
      <x:c r="BE242" s="177"/>
      <x:c r="BF242" s="65"/>
    </x:row>
    <x:row r="243">
      <x:c r="A243" s="65"/>
      <x:c r="B243" s="65"/>
      <x:c r="C243" s="65"/>
      <x:c r="D243" s="65"/>
      <x:c r="E243" s="65"/>
      <x:c r="F243" s="65"/>
      <x:c r="G243" s="65"/>
      <x:c r="H243" s="65"/>
      <x:c r="I243" s="65"/>
      <x:c r="J243" s="65"/>
      <x:c r="K243" s="65"/>
      <x:c r="L243" s="65"/>
      <x:c r="M243" s="65"/>
      <x:c r="N243" s="65"/>
      <x:c r="O243" s="65"/>
      <x:c r="P243" s="65"/>
      <x:c r="Q243" s="85"/>
      <x:c r="R243" s="85"/>
      <x:c r="S243" s="85"/>
      <x:c r="T243" s="85"/>
      <x:c r="U243" s="85"/>
      <x:c r="V243" s="85"/>
      <x:c r="W243" s="66"/>
      <x:c r="X243" s="83" t="str">
        <x:f t="shared" si="33"/>
        <x:v>Tidak ada faktor rentan</x:v>
      </x:c>
      <x:c r="Y243" s="83" t="str">
        <x:f t="shared" si="34"/>
        <x:v>Tidak Ada Faktor Rentan</x:v>
      </x:c>
      <x:c r="Z243" s="84" t="str">
        <x:f t="shared" si="35"/>
      </x:c>
      <x:c r="AA243" s="84">
        <x:f t="shared" si="36"/>
        <x:v>0</x:v>
      </x:c>
      <x:c r="AB243" s="84" t="str">
        <x:f t="shared" si="37"/>
      </x:c>
      <x:c r="AC243" s="67"/>
      <x:c r="AD243" s="67"/>
      <x:c r="AE243" s="67"/>
      <x:c r="AF243" s="67"/>
      <x:c r="AG243" s="67"/>
      <x:c r="AH243" s="67"/>
      <x:c r="AI243" s="67"/>
      <x:c r="AJ243" s="67"/>
      <x:c r="AK243" s="67"/>
      <x:c r="AL243" s="67"/>
      <x:c r="AM243" s="67"/>
      <x:c r="AN243" s="83" t="str">
        <x:f t="shared" si="38"/>
        <x:v>Tidak ada risiko khusus</x:v>
      </x:c>
      <x:c r="AO243" s="83" t="str">
        <x:f t="shared" si="39"/>
        <x:v>Tidak Ada Risiko Khusus</x:v>
      </x:c>
      <x:c r="AP243" s="67"/>
      <x:c r="AQ243" s="70" t="str">
        <x:f t="shared" si="40"/>
      </x:c>
      <x:c r="AR243" s="70">
        <x:f t="shared" si="41"/>
        <x:v>0</x:v>
      </x:c>
      <x:c r="AS243" s="70" t="str">
        <x:f t="shared" si="42"/>
      </x:c>
      <x:c r="AT243" s="68" t="str">
        <x:f t="shared" si="43"/>
        <x:v>Belum Dapat Ditentukan</x:v>
      </x:c>
      <x:c r="AU243" s="65"/>
      <x:c r="AV243" s="65"/>
      <x:c r="AW243" s="65"/>
      <x:c r="AX243" s="65"/>
      <x:c r="AY243" s="65"/>
      <x:c r="AZ243" s="65"/>
      <x:c r="BA243" s="65"/>
      <x:c r="BB243" s="177"/>
      <x:c r="BC243" s="71"/>
      <x:c r="BD243" s="65"/>
      <x:c r="BE243" s="177"/>
      <x:c r="BF243" s="65"/>
    </x:row>
    <x:row r="244">
      <x:c r="A244" s="65"/>
      <x:c r="B244" s="65"/>
      <x:c r="C244" s="65"/>
      <x:c r="D244" s="65"/>
      <x:c r="E244" s="65"/>
      <x:c r="F244" s="65"/>
      <x:c r="G244" s="65"/>
      <x:c r="H244" s="65"/>
      <x:c r="I244" s="65"/>
      <x:c r="J244" s="65"/>
      <x:c r="K244" s="65"/>
      <x:c r="L244" s="65"/>
      <x:c r="M244" s="65"/>
      <x:c r="N244" s="65"/>
      <x:c r="O244" s="65"/>
      <x:c r="P244" s="65"/>
      <x:c r="Q244" s="85"/>
      <x:c r="R244" s="85"/>
      <x:c r="S244" s="85"/>
      <x:c r="T244" s="85"/>
      <x:c r="U244" s="85"/>
      <x:c r="V244" s="85"/>
      <x:c r="W244" s="66"/>
      <x:c r="X244" s="83" t="str">
        <x:f t="shared" si="33"/>
        <x:v>Tidak ada faktor rentan</x:v>
      </x:c>
      <x:c r="Y244" s="83" t="str">
        <x:f t="shared" si="34"/>
        <x:v>Tidak Ada Faktor Rentan</x:v>
      </x:c>
      <x:c r="Z244" s="84" t="str">
        <x:f t="shared" si="35"/>
      </x:c>
      <x:c r="AA244" s="84">
        <x:f t="shared" si="36"/>
        <x:v>0</x:v>
      </x:c>
      <x:c r="AB244" s="84" t="str">
        <x:f t="shared" si="37"/>
      </x:c>
      <x:c r="AC244" s="67"/>
      <x:c r="AD244" s="67"/>
      <x:c r="AE244" s="67"/>
      <x:c r="AF244" s="67"/>
      <x:c r="AG244" s="67"/>
      <x:c r="AH244" s="67"/>
      <x:c r="AI244" s="67"/>
      <x:c r="AJ244" s="67"/>
      <x:c r="AK244" s="67"/>
      <x:c r="AL244" s="67"/>
      <x:c r="AM244" s="67"/>
      <x:c r="AN244" s="83" t="str">
        <x:f t="shared" si="38"/>
        <x:v>Tidak ada risiko khusus</x:v>
      </x:c>
      <x:c r="AO244" s="83" t="str">
        <x:f t="shared" si="39"/>
        <x:v>Tidak Ada Risiko Khusus</x:v>
      </x:c>
      <x:c r="AP244" s="67"/>
      <x:c r="AQ244" s="70" t="str">
        <x:f t="shared" si="40"/>
      </x:c>
      <x:c r="AR244" s="70">
        <x:f t="shared" si="41"/>
        <x:v>0</x:v>
      </x:c>
      <x:c r="AS244" s="70" t="str">
        <x:f t="shared" si="42"/>
      </x:c>
      <x:c r="AT244" s="68" t="str">
        <x:f t="shared" si="43"/>
        <x:v>Belum Dapat Ditentukan</x:v>
      </x:c>
      <x:c r="AU244" s="65"/>
      <x:c r="AV244" s="65"/>
      <x:c r="AW244" s="65"/>
      <x:c r="AX244" s="65"/>
      <x:c r="AY244" s="65"/>
      <x:c r="AZ244" s="65"/>
      <x:c r="BA244" s="65"/>
      <x:c r="BB244" s="177"/>
      <x:c r="BC244" s="71"/>
      <x:c r="BD244" s="65"/>
      <x:c r="BE244" s="177"/>
      <x:c r="BF244" s="65"/>
    </x:row>
    <x:row r="245">
      <x:c r="A245" s="65"/>
      <x:c r="B245" s="65"/>
      <x:c r="C245" s="65"/>
      <x:c r="D245" s="65"/>
      <x:c r="E245" s="65"/>
      <x:c r="F245" s="65"/>
      <x:c r="G245" s="65"/>
      <x:c r="H245" s="65"/>
      <x:c r="I245" s="65"/>
      <x:c r="J245" s="65"/>
      <x:c r="K245" s="65"/>
      <x:c r="L245" s="65"/>
      <x:c r="M245" s="65"/>
      <x:c r="N245" s="65"/>
      <x:c r="O245" s="65"/>
      <x:c r="P245" s="65"/>
      <x:c r="Q245" s="85"/>
      <x:c r="R245" s="85"/>
      <x:c r="S245" s="85"/>
      <x:c r="T245" s="85"/>
      <x:c r="U245" s="85"/>
      <x:c r="V245" s="85"/>
      <x:c r="W245" s="66"/>
      <x:c r="X245" s="83" t="str">
        <x:f t="shared" si="33"/>
        <x:v>Tidak ada faktor rentan</x:v>
      </x:c>
      <x:c r="Y245" s="83" t="str">
        <x:f t="shared" si="34"/>
        <x:v>Tidak Ada Faktor Rentan</x:v>
      </x:c>
      <x:c r="Z245" s="84" t="str">
        <x:f t="shared" si="35"/>
      </x:c>
      <x:c r="AA245" s="84">
        <x:f t="shared" si="36"/>
        <x:v>0</x:v>
      </x:c>
      <x:c r="AB245" s="84" t="str">
        <x:f t="shared" si="37"/>
      </x:c>
      <x:c r="AC245" s="67"/>
      <x:c r="AD245" s="67"/>
      <x:c r="AE245" s="67"/>
      <x:c r="AF245" s="67"/>
      <x:c r="AG245" s="67"/>
      <x:c r="AH245" s="67"/>
      <x:c r="AI245" s="67"/>
      <x:c r="AJ245" s="67"/>
      <x:c r="AK245" s="67"/>
      <x:c r="AL245" s="67"/>
      <x:c r="AM245" s="67"/>
      <x:c r="AN245" s="83" t="str">
        <x:f t="shared" si="38"/>
        <x:v>Tidak ada risiko khusus</x:v>
      </x:c>
      <x:c r="AO245" s="83" t="str">
        <x:f t="shared" si="39"/>
        <x:v>Tidak Ada Risiko Khusus</x:v>
      </x:c>
      <x:c r="AP245" s="67"/>
      <x:c r="AQ245" s="70" t="str">
        <x:f t="shared" si="40"/>
      </x:c>
      <x:c r="AR245" s="70">
        <x:f t="shared" si="41"/>
        <x:v>0</x:v>
      </x:c>
      <x:c r="AS245" s="70" t="str">
        <x:f t="shared" si="42"/>
      </x:c>
      <x:c r="AT245" s="68" t="str">
        <x:f t="shared" si="43"/>
        <x:v>Belum Dapat Ditentukan</x:v>
      </x:c>
      <x:c r="AU245" s="65"/>
      <x:c r="AV245" s="65"/>
      <x:c r="AW245" s="65"/>
      <x:c r="AX245" s="65"/>
      <x:c r="AY245" s="65"/>
      <x:c r="AZ245" s="65"/>
      <x:c r="BA245" s="65"/>
      <x:c r="BB245" s="177"/>
      <x:c r="BC245" s="71"/>
      <x:c r="BD245" s="65"/>
      <x:c r="BE245" s="177"/>
      <x:c r="BF245" s="65"/>
    </x:row>
    <x:row r="246">
      <x:c r="A246" s="65"/>
      <x:c r="B246" s="65"/>
      <x:c r="C246" s="65"/>
      <x:c r="D246" s="65"/>
      <x:c r="E246" s="65"/>
      <x:c r="F246" s="65"/>
      <x:c r="G246" s="65"/>
      <x:c r="H246" s="65"/>
      <x:c r="I246" s="65"/>
      <x:c r="J246" s="65"/>
      <x:c r="K246" s="65"/>
      <x:c r="L246" s="65"/>
      <x:c r="M246" s="65"/>
      <x:c r="N246" s="65"/>
      <x:c r="O246" s="65"/>
      <x:c r="P246" s="65"/>
      <x:c r="Q246" s="85"/>
      <x:c r="R246" s="85"/>
      <x:c r="S246" s="85"/>
      <x:c r="T246" s="85"/>
      <x:c r="U246" s="85"/>
      <x:c r="V246" s="85"/>
      <x:c r="W246" s="66"/>
      <x:c r="X246" s="83" t="str">
        <x:f t="shared" si="33"/>
        <x:v>Tidak ada faktor rentan</x:v>
      </x:c>
      <x:c r="Y246" s="83" t="str">
        <x:f t="shared" si="34"/>
        <x:v>Tidak Ada Faktor Rentan</x:v>
      </x:c>
      <x:c r="Z246" s="84" t="str">
        <x:f t="shared" si="35"/>
      </x:c>
      <x:c r="AA246" s="84">
        <x:f t="shared" si="36"/>
        <x:v>0</x:v>
      </x:c>
      <x:c r="AB246" s="84" t="str">
        <x:f t="shared" si="37"/>
      </x:c>
      <x:c r="AC246" s="67"/>
      <x:c r="AD246" s="67"/>
      <x:c r="AE246" s="67"/>
      <x:c r="AF246" s="67"/>
      <x:c r="AG246" s="67"/>
      <x:c r="AH246" s="67"/>
      <x:c r="AI246" s="67"/>
      <x:c r="AJ246" s="67"/>
      <x:c r="AK246" s="67"/>
      <x:c r="AL246" s="67"/>
      <x:c r="AM246" s="67"/>
      <x:c r="AN246" s="83" t="str">
        <x:f t="shared" si="38"/>
        <x:v>Tidak ada risiko khusus</x:v>
      </x:c>
      <x:c r="AO246" s="83" t="str">
        <x:f t="shared" si="39"/>
        <x:v>Tidak Ada Risiko Khusus</x:v>
      </x:c>
      <x:c r="AP246" s="67"/>
      <x:c r="AQ246" s="70" t="str">
        <x:f t="shared" si="40"/>
      </x:c>
      <x:c r="AR246" s="70">
        <x:f t="shared" si="41"/>
        <x:v>0</x:v>
      </x:c>
      <x:c r="AS246" s="70" t="str">
        <x:f t="shared" si="42"/>
      </x:c>
      <x:c r="AT246" s="68" t="str">
        <x:f t="shared" si="43"/>
        <x:v>Belum Dapat Ditentukan</x:v>
      </x:c>
      <x:c r="AU246" s="65"/>
      <x:c r="AV246" s="65"/>
      <x:c r="AW246" s="65"/>
      <x:c r="AX246" s="65"/>
      <x:c r="AY246" s="65"/>
      <x:c r="AZ246" s="65"/>
      <x:c r="BA246" s="65"/>
      <x:c r="BB246" s="177"/>
      <x:c r="BC246" s="71"/>
      <x:c r="BD246" s="65"/>
      <x:c r="BE246" s="177"/>
      <x:c r="BF246" s="65"/>
    </x:row>
    <x:row r="247">
      <x:c r="A247" s="65"/>
      <x:c r="B247" s="65"/>
      <x:c r="C247" s="65"/>
      <x:c r="D247" s="65"/>
      <x:c r="E247" s="65"/>
      <x:c r="F247" s="65"/>
      <x:c r="G247" s="65"/>
      <x:c r="H247" s="65"/>
      <x:c r="I247" s="65"/>
      <x:c r="J247" s="65"/>
      <x:c r="K247" s="65"/>
      <x:c r="L247" s="65"/>
      <x:c r="M247" s="65"/>
      <x:c r="N247" s="65"/>
      <x:c r="O247" s="65"/>
      <x:c r="P247" s="65"/>
      <x:c r="Q247" s="85"/>
      <x:c r="R247" s="85"/>
      <x:c r="S247" s="85"/>
      <x:c r="T247" s="85"/>
      <x:c r="U247" s="85"/>
      <x:c r="V247" s="85"/>
      <x:c r="W247" s="66"/>
      <x:c r="X247" s="83" t="str">
        <x:f t="shared" si="33"/>
        <x:v>Tidak ada faktor rentan</x:v>
      </x:c>
      <x:c r="Y247" s="83" t="str">
        <x:f t="shared" si="34"/>
        <x:v>Tidak Ada Faktor Rentan</x:v>
      </x:c>
      <x:c r="Z247" s="84" t="str">
        <x:f t="shared" si="35"/>
      </x:c>
      <x:c r="AA247" s="84">
        <x:f t="shared" si="36"/>
        <x:v>0</x:v>
      </x:c>
      <x:c r="AB247" s="84" t="str">
        <x:f t="shared" si="37"/>
      </x:c>
      <x:c r="AC247" s="67"/>
      <x:c r="AD247" s="67"/>
      <x:c r="AE247" s="67"/>
      <x:c r="AF247" s="67"/>
      <x:c r="AG247" s="67"/>
      <x:c r="AH247" s="67"/>
      <x:c r="AI247" s="67"/>
      <x:c r="AJ247" s="67"/>
      <x:c r="AK247" s="67"/>
      <x:c r="AL247" s="67"/>
      <x:c r="AM247" s="67"/>
      <x:c r="AN247" s="83" t="str">
        <x:f t="shared" si="38"/>
        <x:v>Tidak ada risiko khusus</x:v>
      </x:c>
      <x:c r="AO247" s="83" t="str">
        <x:f t="shared" si="39"/>
        <x:v>Tidak Ada Risiko Khusus</x:v>
      </x:c>
      <x:c r="AP247" s="67"/>
      <x:c r="AQ247" s="70" t="str">
        <x:f t="shared" si="40"/>
      </x:c>
      <x:c r="AR247" s="70">
        <x:f t="shared" si="41"/>
        <x:v>0</x:v>
      </x:c>
      <x:c r="AS247" s="70" t="str">
        <x:f t="shared" si="42"/>
      </x:c>
      <x:c r="AT247" s="68" t="str">
        <x:f t="shared" si="43"/>
        <x:v>Belum Dapat Ditentukan</x:v>
      </x:c>
      <x:c r="AU247" s="65"/>
      <x:c r="AV247" s="65"/>
      <x:c r="AW247" s="65"/>
      <x:c r="AX247" s="65"/>
      <x:c r="AY247" s="65"/>
      <x:c r="AZ247" s="65"/>
      <x:c r="BA247" s="65"/>
      <x:c r="BB247" s="177"/>
      <x:c r="BC247" s="71"/>
      <x:c r="BD247" s="65"/>
      <x:c r="BE247" s="177"/>
      <x:c r="BF247" s="65"/>
    </x:row>
    <x:row r="248">
      <x:c r="A248" s="65"/>
      <x:c r="B248" s="65"/>
      <x:c r="C248" s="65"/>
      <x:c r="D248" s="65"/>
      <x:c r="E248" s="65"/>
      <x:c r="F248" s="65"/>
      <x:c r="G248" s="65"/>
      <x:c r="H248" s="65"/>
      <x:c r="I248" s="65"/>
      <x:c r="J248" s="65"/>
      <x:c r="K248" s="65"/>
      <x:c r="L248" s="65"/>
      <x:c r="M248" s="65"/>
      <x:c r="N248" s="65"/>
      <x:c r="O248" s="65"/>
      <x:c r="P248" s="65"/>
      <x:c r="Q248" s="85"/>
      <x:c r="R248" s="85"/>
      <x:c r="S248" s="85"/>
      <x:c r="T248" s="85"/>
      <x:c r="U248" s="85"/>
      <x:c r="V248" s="85"/>
      <x:c r="W248" s="66"/>
      <x:c r="X248" s="83" t="str">
        <x:f t="shared" si="33"/>
        <x:v>Tidak ada faktor rentan</x:v>
      </x:c>
      <x:c r="Y248" s="83" t="str">
        <x:f t="shared" si="34"/>
        <x:v>Tidak Ada Faktor Rentan</x:v>
      </x:c>
      <x:c r="Z248" s="84" t="str">
        <x:f t="shared" si="35"/>
      </x:c>
      <x:c r="AA248" s="84">
        <x:f t="shared" si="36"/>
        <x:v>0</x:v>
      </x:c>
      <x:c r="AB248" s="84" t="str">
        <x:f t="shared" si="37"/>
      </x:c>
      <x:c r="AC248" s="67"/>
      <x:c r="AD248" s="67"/>
      <x:c r="AE248" s="67"/>
      <x:c r="AF248" s="67"/>
      <x:c r="AG248" s="67"/>
      <x:c r="AH248" s="67"/>
      <x:c r="AI248" s="67"/>
      <x:c r="AJ248" s="67"/>
      <x:c r="AK248" s="67"/>
      <x:c r="AL248" s="67"/>
      <x:c r="AM248" s="67"/>
      <x:c r="AN248" s="83" t="str">
        <x:f t="shared" si="38"/>
        <x:v>Tidak ada risiko khusus</x:v>
      </x:c>
      <x:c r="AO248" s="83" t="str">
        <x:f t="shared" si="39"/>
        <x:v>Tidak Ada Risiko Khusus</x:v>
      </x:c>
      <x:c r="AP248" s="67"/>
      <x:c r="AQ248" s="70" t="str">
        <x:f t="shared" si="40"/>
      </x:c>
      <x:c r="AR248" s="70">
        <x:f t="shared" si="41"/>
        <x:v>0</x:v>
      </x:c>
      <x:c r="AS248" s="70" t="str">
        <x:f t="shared" si="42"/>
      </x:c>
      <x:c r="AT248" s="68" t="str">
        <x:f t="shared" si="43"/>
        <x:v>Belum Dapat Ditentukan</x:v>
      </x:c>
      <x:c r="AU248" s="65"/>
      <x:c r="AV248" s="65"/>
      <x:c r="AW248" s="65"/>
      <x:c r="AX248" s="65"/>
      <x:c r="AY248" s="65"/>
      <x:c r="AZ248" s="65"/>
      <x:c r="BA248" s="65"/>
      <x:c r="BB248" s="177"/>
      <x:c r="BC248" s="71"/>
      <x:c r="BD248" s="65"/>
      <x:c r="BE248" s="177"/>
      <x:c r="BF248" s="65"/>
    </x:row>
    <x:row r="249">
      <x:c r="A249" s="65"/>
      <x:c r="B249" s="65"/>
      <x:c r="C249" s="65"/>
      <x:c r="D249" s="65"/>
      <x:c r="E249" s="65"/>
      <x:c r="F249" s="65"/>
      <x:c r="G249" s="65"/>
      <x:c r="H249" s="65"/>
      <x:c r="I249" s="65"/>
      <x:c r="J249" s="65"/>
      <x:c r="K249" s="65"/>
      <x:c r="L249" s="65"/>
      <x:c r="M249" s="65"/>
      <x:c r="N249" s="65"/>
      <x:c r="O249" s="65"/>
      <x:c r="P249" s="65"/>
      <x:c r="Q249" s="85"/>
      <x:c r="R249" s="85"/>
      <x:c r="S249" s="85"/>
      <x:c r="T249" s="85"/>
      <x:c r="U249" s="85"/>
      <x:c r="V249" s="85"/>
      <x:c r="W249" s="66"/>
      <x:c r="X249" s="83" t="str">
        <x:f t="shared" si="33"/>
        <x:v>Tidak ada faktor rentan</x:v>
      </x:c>
      <x:c r="Y249" s="83" t="str">
        <x:f t="shared" si="34"/>
        <x:v>Tidak Ada Faktor Rentan</x:v>
      </x:c>
      <x:c r="Z249" s="84" t="str">
        <x:f t="shared" si="35"/>
      </x:c>
      <x:c r="AA249" s="84">
        <x:f t="shared" si="36"/>
        <x:v>0</x:v>
      </x:c>
      <x:c r="AB249" s="84" t="str">
        <x:f t="shared" si="37"/>
      </x:c>
      <x:c r="AC249" s="67"/>
      <x:c r="AD249" s="67"/>
      <x:c r="AE249" s="67"/>
      <x:c r="AF249" s="67"/>
      <x:c r="AG249" s="67"/>
      <x:c r="AH249" s="67"/>
      <x:c r="AI249" s="67"/>
      <x:c r="AJ249" s="67"/>
      <x:c r="AK249" s="67"/>
      <x:c r="AL249" s="67"/>
      <x:c r="AM249" s="67"/>
      <x:c r="AN249" s="83" t="str">
        <x:f t="shared" si="38"/>
        <x:v>Tidak ada risiko khusus</x:v>
      </x:c>
      <x:c r="AO249" s="83" t="str">
        <x:f t="shared" si="39"/>
        <x:v>Tidak Ada Risiko Khusus</x:v>
      </x:c>
      <x:c r="AP249" s="67"/>
      <x:c r="AQ249" s="70" t="str">
        <x:f t="shared" si="40"/>
      </x:c>
      <x:c r="AR249" s="70">
        <x:f t="shared" si="41"/>
        <x:v>0</x:v>
      </x:c>
      <x:c r="AS249" s="70" t="str">
        <x:f t="shared" si="42"/>
      </x:c>
      <x:c r="AT249" s="68" t="str">
        <x:f t="shared" si="43"/>
        <x:v>Belum Dapat Ditentukan</x:v>
      </x:c>
      <x:c r="AU249" s="65"/>
      <x:c r="AV249" s="65"/>
      <x:c r="AW249" s="65"/>
      <x:c r="AX249" s="65"/>
      <x:c r="AY249" s="65"/>
      <x:c r="AZ249" s="65"/>
      <x:c r="BA249" s="65"/>
      <x:c r="BB249" s="177"/>
      <x:c r="BC249" s="71"/>
      <x:c r="BD249" s="65"/>
      <x:c r="BE249" s="177"/>
      <x:c r="BF249" s="65"/>
    </x:row>
    <x:row r="250">
      <x:c r="A250" s="65"/>
      <x:c r="B250" s="65"/>
      <x:c r="C250" s="65"/>
      <x:c r="D250" s="65"/>
      <x:c r="E250" s="65"/>
      <x:c r="F250" s="65"/>
      <x:c r="G250" s="65"/>
      <x:c r="H250" s="65"/>
      <x:c r="I250" s="65"/>
      <x:c r="J250" s="65"/>
      <x:c r="K250" s="65"/>
      <x:c r="L250" s="65"/>
      <x:c r="M250" s="65"/>
      <x:c r="N250" s="65"/>
      <x:c r="O250" s="65"/>
      <x:c r="P250" s="65"/>
      <x:c r="Q250" s="85"/>
      <x:c r="R250" s="85"/>
      <x:c r="S250" s="85"/>
      <x:c r="T250" s="85"/>
      <x:c r="U250" s="85"/>
      <x:c r="V250" s="85"/>
      <x:c r="W250" s="66"/>
      <x:c r="X250" s="83" t="str">
        <x:f t="shared" si="33"/>
        <x:v>Tidak ada faktor rentan</x:v>
      </x:c>
      <x:c r="Y250" s="83" t="str">
        <x:f t="shared" si="34"/>
        <x:v>Tidak Ada Faktor Rentan</x:v>
      </x:c>
      <x:c r="Z250" s="84" t="str">
        <x:f t="shared" si="35"/>
      </x:c>
      <x:c r="AA250" s="84">
        <x:f t="shared" si="36"/>
        <x:v>0</x:v>
      </x:c>
      <x:c r="AB250" s="84" t="str">
        <x:f t="shared" si="37"/>
      </x:c>
      <x:c r="AC250" s="67"/>
      <x:c r="AD250" s="67"/>
      <x:c r="AE250" s="67"/>
      <x:c r="AF250" s="67"/>
      <x:c r="AG250" s="67"/>
      <x:c r="AH250" s="67"/>
      <x:c r="AI250" s="67"/>
      <x:c r="AJ250" s="67"/>
      <x:c r="AK250" s="67"/>
      <x:c r="AL250" s="67"/>
      <x:c r="AM250" s="67"/>
      <x:c r="AN250" s="83" t="str">
        <x:f t="shared" si="38"/>
        <x:v>Tidak ada risiko khusus</x:v>
      </x:c>
      <x:c r="AO250" s="83" t="str">
        <x:f t="shared" si="39"/>
        <x:v>Tidak Ada Risiko Khusus</x:v>
      </x:c>
      <x:c r="AP250" s="67"/>
      <x:c r="AQ250" s="70" t="str">
        <x:f t="shared" si="40"/>
      </x:c>
      <x:c r="AR250" s="70">
        <x:f t="shared" si="41"/>
        <x:v>0</x:v>
      </x:c>
      <x:c r="AS250" s="70" t="str">
        <x:f t="shared" si="42"/>
      </x:c>
      <x:c r="AT250" s="68" t="str">
        <x:f t="shared" si="43"/>
        <x:v>Belum Dapat Ditentukan</x:v>
      </x:c>
      <x:c r="AU250" s="65"/>
      <x:c r="AV250" s="65"/>
      <x:c r="AW250" s="65"/>
      <x:c r="AX250" s="65"/>
      <x:c r="AY250" s="65"/>
      <x:c r="AZ250" s="65"/>
      <x:c r="BA250" s="65"/>
      <x:c r="BB250" s="177"/>
      <x:c r="BC250" s="71"/>
      <x:c r="BD250" s="65"/>
      <x:c r="BE250" s="177"/>
      <x:c r="BF250" s="65"/>
    </x:row>
    <x:row r="251">
      <x:c r="A251" s="65"/>
      <x:c r="B251" s="65"/>
      <x:c r="C251" s="65"/>
      <x:c r="D251" s="65"/>
      <x:c r="E251" s="65"/>
      <x:c r="F251" s="65"/>
      <x:c r="G251" s="65"/>
      <x:c r="H251" s="65"/>
      <x:c r="I251" s="65"/>
      <x:c r="J251" s="65"/>
      <x:c r="K251" s="65"/>
      <x:c r="L251" s="65"/>
      <x:c r="M251" s="65"/>
      <x:c r="N251" s="65"/>
      <x:c r="O251" s="65"/>
      <x:c r="P251" s="65"/>
      <x:c r="Q251" s="85"/>
      <x:c r="R251" s="85"/>
      <x:c r="S251" s="85"/>
      <x:c r="T251" s="85"/>
      <x:c r="U251" s="85"/>
      <x:c r="V251" s="85"/>
      <x:c r="W251" s="66"/>
      <x:c r="X251" s="83" t="str">
        <x:f t="shared" si="33"/>
        <x:v>Tidak ada faktor rentan</x:v>
      </x:c>
      <x:c r="Y251" s="83" t="str">
        <x:f t="shared" si="34"/>
        <x:v>Tidak Ada Faktor Rentan</x:v>
      </x:c>
      <x:c r="Z251" s="84" t="str">
        <x:f t="shared" si="35"/>
      </x:c>
      <x:c r="AA251" s="84">
        <x:f t="shared" si="36"/>
        <x:v>0</x:v>
      </x:c>
      <x:c r="AB251" s="84" t="str">
        <x:f t="shared" si="37"/>
      </x:c>
      <x:c r="AC251" s="67"/>
      <x:c r="AD251" s="67"/>
      <x:c r="AE251" s="67"/>
      <x:c r="AF251" s="67"/>
      <x:c r="AG251" s="67"/>
      <x:c r="AH251" s="67"/>
      <x:c r="AI251" s="67"/>
      <x:c r="AJ251" s="67"/>
      <x:c r="AK251" s="67"/>
      <x:c r="AL251" s="67"/>
      <x:c r="AM251" s="67"/>
      <x:c r="AN251" s="83" t="str">
        <x:f t="shared" si="38"/>
        <x:v>Tidak ada risiko khusus</x:v>
      </x:c>
      <x:c r="AO251" s="83" t="str">
        <x:f t="shared" si="39"/>
        <x:v>Tidak Ada Risiko Khusus</x:v>
      </x:c>
      <x:c r="AP251" s="67"/>
      <x:c r="AQ251" s="70" t="str">
        <x:f t="shared" si="40"/>
      </x:c>
      <x:c r="AR251" s="70">
        <x:f t="shared" si="41"/>
        <x:v>0</x:v>
      </x:c>
      <x:c r="AS251" s="70" t="str">
        <x:f t="shared" si="42"/>
      </x:c>
      <x:c r="AT251" s="68" t="str">
        <x:f t="shared" si="43"/>
        <x:v>Belum Dapat Ditentukan</x:v>
      </x:c>
      <x:c r="AU251" s="65"/>
      <x:c r="AV251" s="65"/>
      <x:c r="AW251" s="65"/>
      <x:c r="AX251" s="65"/>
      <x:c r="AY251" s="65"/>
      <x:c r="AZ251" s="65"/>
      <x:c r="BA251" s="65"/>
      <x:c r="BB251" s="177"/>
      <x:c r="BC251" s="71"/>
      <x:c r="BD251" s="65"/>
      <x:c r="BE251" s="177"/>
      <x:c r="BF251" s="65"/>
    </x:row>
    <x:row r="252">
      <x:c r="A252" s="65"/>
      <x:c r="B252" s="65"/>
      <x:c r="C252" s="65"/>
      <x:c r="D252" s="65"/>
      <x:c r="E252" s="65"/>
      <x:c r="F252" s="65"/>
      <x:c r="G252" s="65"/>
      <x:c r="H252" s="65"/>
      <x:c r="I252" s="65"/>
      <x:c r="J252" s="65"/>
      <x:c r="K252" s="65"/>
      <x:c r="L252" s="65"/>
      <x:c r="M252" s="65"/>
      <x:c r="N252" s="65"/>
      <x:c r="O252" s="65"/>
      <x:c r="P252" s="65"/>
      <x:c r="Q252" s="85"/>
      <x:c r="R252" s="85"/>
      <x:c r="S252" s="85"/>
      <x:c r="T252" s="85"/>
      <x:c r="U252" s="85"/>
      <x:c r="V252" s="85"/>
      <x:c r="W252" s="66"/>
      <x:c r="X252" s="83" t="str">
        <x:f t="shared" si="33"/>
        <x:v>Tidak ada faktor rentan</x:v>
      </x:c>
      <x:c r="Y252" s="83" t="str">
        <x:f t="shared" si="34"/>
        <x:v>Tidak Ada Faktor Rentan</x:v>
      </x:c>
      <x:c r="Z252" s="84" t="str">
        <x:f t="shared" si="35"/>
      </x:c>
      <x:c r="AA252" s="84">
        <x:f t="shared" si="36"/>
        <x:v>0</x:v>
      </x:c>
      <x:c r="AB252" s="84" t="str">
        <x:f t="shared" si="37"/>
      </x:c>
      <x:c r="AC252" s="67"/>
      <x:c r="AD252" s="67"/>
      <x:c r="AE252" s="67"/>
      <x:c r="AF252" s="67"/>
      <x:c r="AG252" s="67"/>
      <x:c r="AH252" s="67"/>
      <x:c r="AI252" s="67"/>
      <x:c r="AJ252" s="67"/>
      <x:c r="AK252" s="67"/>
      <x:c r="AL252" s="67"/>
      <x:c r="AM252" s="67"/>
      <x:c r="AN252" s="83" t="str">
        <x:f t="shared" si="38"/>
        <x:v>Tidak ada risiko khusus</x:v>
      </x:c>
      <x:c r="AO252" s="83" t="str">
        <x:f t="shared" si="39"/>
        <x:v>Tidak Ada Risiko Khusus</x:v>
      </x:c>
      <x:c r="AP252" s="67"/>
      <x:c r="AQ252" s="70" t="str">
        <x:f t="shared" si="40"/>
      </x:c>
      <x:c r="AR252" s="70">
        <x:f t="shared" si="41"/>
        <x:v>0</x:v>
      </x:c>
      <x:c r="AS252" s="70" t="str">
        <x:f t="shared" si="42"/>
      </x:c>
      <x:c r="AT252" s="68" t="str">
        <x:f t="shared" si="43"/>
        <x:v>Belum Dapat Ditentukan</x:v>
      </x:c>
      <x:c r="AU252" s="65"/>
      <x:c r="AV252" s="65"/>
      <x:c r="AW252" s="65"/>
      <x:c r="AX252" s="65"/>
      <x:c r="AY252" s="65"/>
      <x:c r="AZ252" s="65"/>
      <x:c r="BA252" s="65"/>
      <x:c r="BB252" s="177"/>
      <x:c r="BC252" s="71"/>
      <x:c r="BD252" s="65"/>
      <x:c r="BE252" s="177"/>
      <x:c r="BF252" s="65"/>
    </x:row>
    <x:row r="253">
      <x:c r="A253" s="65"/>
      <x:c r="B253" s="65"/>
      <x:c r="C253" s="65"/>
      <x:c r="D253" s="65"/>
      <x:c r="E253" s="65"/>
      <x:c r="F253" s="65"/>
      <x:c r="G253" s="65"/>
      <x:c r="H253" s="65"/>
      <x:c r="I253" s="65"/>
      <x:c r="J253" s="65"/>
      <x:c r="K253" s="65"/>
      <x:c r="L253" s="65"/>
      <x:c r="M253" s="65"/>
      <x:c r="N253" s="65"/>
      <x:c r="O253" s="65"/>
      <x:c r="P253" s="65"/>
      <x:c r="Q253" s="85"/>
      <x:c r="R253" s="85"/>
      <x:c r="S253" s="85"/>
      <x:c r="T253" s="85"/>
      <x:c r="U253" s="85"/>
      <x:c r="V253" s="85"/>
      <x:c r="W253" s="66"/>
      <x:c r="X253" s="83" t="str">
        <x:f t="shared" si="33"/>
        <x:v>Tidak ada faktor rentan</x:v>
      </x:c>
      <x:c r="Y253" s="83" t="str">
        <x:f t="shared" si="34"/>
        <x:v>Tidak Ada Faktor Rentan</x:v>
      </x:c>
      <x:c r="Z253" s="84" t="str">
        <x:f t="shared" si="35"/>
      </x:c>
      <x:c r="AA253" s="84">
        <x:f t="shared" si="36"/>
        <x:v>0</x:v>
      </x:c>
      <x:c r="AB253" s="84" t="str">
        <x:f t="shared" si="37"/>
      </x:c>
      <x:c r="AC253" s="67"/>
      <x:c r="AD253" s="67"/>
      <x:c r="AE253" s="67"/>
      <x:c r="AF253" s="67"/>
      <x:c r="AG253" s="67"/>
      <x:c r="AH253" s="67"/>
      <x:c r="AI253" s="67"/>
      <x:c r="AJ253" s="67"/>
      <x:c r="AK253" s="67"/>
      <x:c r="AL253" s="67"/>
      <x:c r="AM253" s="67"/>
      <x:c r="AN253" s="83" t="str">
        <x:f t="shared" si="38"/>
        <x:v>Tidak ada risiko khusus</x:v>
      </x:c>
      <x:c r="AO253" s="83" t="str">
        <x:f t="shared" si="39"/>
        <x:v>Tidak Ada Risiko Khusus</x:v>
      </x:c>
      <x:c r="AP253" s="67"/>
      <x:c r="AQ253" s="70" t="str">
        <x:f t="shared" si="40"/>
      </x:c>
      <x:c r="AR253" s="70">
        <x:f t="shared" si="41"/>
        <x:v>0</x:v>
      </x:c>
      <x:c r="AS253" s="70" t="str">
        <x:f t="shared" si="42"/>
      </x:c>
      <x:c r="AT253" s="68" t="str">
        <x:f t="shared" si="43"/>
        <x:v>Belum Dapat Ditentukan</x:v>
      </x:c>
      <x:c r="AU253" s="65"/>
      <x:c r="AV253" s="65"/>
      <x:c r="AW253" s="65"/>
      <x:c r="AX253" s="65"/>
      <x:c r="AY253" s="65"/>
      <x:c r="AZ253" s="65"/>
      <x:c r="BA253" s="65"/>
      <x:c r="BB253" s="177"/>
      <x:c r="BC253" s="71"/>
      <x:c r="BD253" s="65"/>
      <x:c r="BE253" s="177"/>
      <x:c r="BF253" s="65"/>
    </x:row>
    <x:row r="254">
      <x:c r="A254" s="65"/>
      <x:c r="B254" s="65"/>
      <x:c r="C254" s="65"/>
      <x:c r="D254" s="65"/>
      <x:c r="E254" s="65"/>
      <x:c r="F254" s="65"/>
      <x:c r="G254" s="65"/>
      <x:c r="H254" s="65"/>
      <x:c r="I254" s="65"/>
      <x:c r="J254" s="65"/>
      <x:c r="K254" s="65"/>
      <x:c r="L254" s="65"/>
      <x:c r="M254" s="65"/>
      <x:c r="N254" s="65"/>
      <x:c r="O254" s="65"/>
      <x:c r="P254" s="65"/>
      <x:c r="Q254" s="85"/>
      <x:c r="R254" s="85"/>
      <x:c r="S254" s="85"/>
      <x:c r="T254" s="85"/>
      <x:c r="U254" s="85"/>
      <x:c r="V254" s="85"/>
      <x:c r="W254" s="66"/>
      <x:c r="X254" s="83" t="str">
        <x:f t="shared" si="33"/>
        <x:v>Tidak ada faktor rentan</x:v>
      </x:c>
      <x:c r="Y254" s="83" t="str">
        <x:f t="shared" si="34"/>
        <x:v>Tidak Ada Faktor Rentan</x:v>
      </x:c>
      <x:c r="Z254" s="84" t="str">
        <x:f t="shared" si="35"/>
      </x:c>
      <x:c r="AA254" s="84">
        <x:f t="shared" si="36"/>
        <x:v>0</x:v>
      </x:c>
      <x:c r="AB254" s="84" t="str">
        <x:f t="shared" si="37"/>
      </x:c>
      <x:c r="AC254" s="67"/>
      <x:c r="AD254" s="67"/>
      <x:c r="AE254" s="67"/>
      <x:c r="AF254" s="67"/>
      <x:c r="AG254" s="67"/>
      <x:c r="AH254" s="67"/>
      <x:c r="AI254" s="67"/>
      <x:c r="AJ254" s="67"/>
      <x:c r="AK254" s="67"/>
      <x:c r="AL254" s="67"/>
      <x:c r="AM254" s="67"/>
      <x:c r="AN254" s="83" t="str">
        <x:f t="shared" si="38"/>
        <x:v>Tidak ada risiko khusus</x:v>
      </x:c>
      <x:c r="AO254" s="83" t="str">
        <x:f t="shared" si="39"/>
        <x:v>Tidak Ada Risiko Khusus</x:v>
      </x:c>
      <x:c r="AP254" s="67"/>
      <x:c r="AQ254" s="70" t="str">
        <x:f t="shared" si="40"/>
      </x:c>
      <x:c r="AR254" s="70">
        <x:f t="shared" si="41"/>
        <x:v>0</x:v>
      </x:c>
      <x:c r="AS254" s="70" t="str">
        <x:f t="shared" si="42"/>
      </x:c>
      <x:c r="AT254" s="68" t="str">
        <x:f t="shared" si="43"/>
        <x:v>Belum Dapat Ditentukan</x:v>
      </x:c>
      <x:c r="AU254" s="65"/>
      <x:c r="AV254" s="65"/>
      <x:c r="AW254" s="65"/>
      <x:c r="AX254" s="65"/>
      <x:c r="AY254" s="65"/>
      <x:c r="AZ254" s="65"/>
      <x:c r="BA254" s="65"/>
      <x:c r="BB254" s="177"/>
      <x:c r="BC254" s="71"/>
      <x:c r="BD254" s="65"/>
      <x:c r="BE254" s="177"/>
      <x:c r="BF254" s="65"/>
    </x:row>
    <x:row r="255">
      <x:c r="A255" s="65"/>
      <x:c r="B255" s="65"/>
      <x:c r="C255" s="65"/>
      <x:c r="D255" s="65"/>
      <x:c r="E255" s="65"/>
      <x:c r="F255" s="65"/>
      <x:c r="G255" s="65"/>
      <x:c r="H255" s="65"/>
      <x:c r="I255" s="65"/>
      <x:c r="J255" s="65"/>
      <x:c r="K255" s="65"/>
      <x:c r="L255" s="65"/>
      <x:c r="M255" s="65"/>
      <x:c r="N255" s="65"/>
      <x:c r="O255" s="65"/>
      <x:c r="P255" s="65"/>
      <x:c r="Q255" s="85"/>
      <x:c r="R255" s="85"/>
      <x:c r="S255" s="85"/>
      <x:c r="T255" s="85"/>
      <x:c r="U255" s="85"/>
      <x:c r="V255" s="85"/>
      <x:c r="W255" s="66"/>
      <x:c r="X255" s="83" t="str">
        <x:f t="shared" si="33"/>
        <x:v>Tidak ada faktor rentan</x:v>
      </x:c>
      <x:c r="Y255" s="83" t="str">
        <x:f t="shared" si="34"/>
        <x:v>Tidak Ada Faktor Rentan</x:v>
      </x:c>
      <x:c r="Z255" s="84" t="str">
        <x:f t="shared" si="35"/>
      </x:c>
      <x:c r="AA255" s="84">
        <x:f t="shared" si="36"/>
        <x:v>0</x:v>
      </x:c>
      <x:c r="AB255" s="84" t="str">
        <x:f t="shared" si="37"/>
      </x:c>
      <x:c r="AC255" s="67"/>
      <x:c r="AD255" s="67"/>
      <x:c r="AE255" s="67"/>
      <x:c r="AF255" s="67"/>
      <x:c r="AG255" s="67"/>
      <x:c r="AH255" s="67"/>
      <x:c r="AI255" s="67"/>
      <x:c r="AJ255" s="67"/>
      <x:c r="AK255" s="67"/>
      <x:c r="AL255" s="67"/>
      <x:c r="AM255" s="67"/>
      <x:c r="AN255" s="83" t="str">
        <x:f t="shared" si="38"/>
        <x:v>Tidak ada risiko khusus</x:v>
      </x:c>
      <x:c r="AO255" s="83" t="str">
        <x:f t="shared" si="39"/>
        <x:v>Tidak Ada Risiko Khusus</x:v>
      </x:c>
      <x:c r="AP255" s="67"/>
      <x:c r="AQ255" s="70" t="str">
        <x:f t="shared" si="40"/>
      </x:c>
      <x:c r="AR255" s="70">
        <x:f t="shared" si="41"/>
        <x:v>0</x:v>
      </x:c>
      <x:c r="AS255" s="70" t="str">
        <x:f t="shared" si="42"/>
      </x:c>
      <x:c r="AT255" s="68" t="str">
        <x:f t="shared" si="43"/>
        <x:v>Belum Dapat Ditentukan</x:v>
      </x:c>
      <x:c r="AU255" s="65"/>
      <x:c r="AV255" s="65"/>
      <x:c r="AW255" s="65"/>
      <x:c r="AX255" s="65"/>
      <x:c r="AY255" s="65"/>
      <x:c r="AZ255" s="65"/>
      <x:c r="BA255" s="65"/>
      <x:c r="BB255" s="177"/>
      <x:c r="BC255" s="71"/>
      <x:c r="BD255" s="65"/>
      <x:c r="BE255" s="177"/>
      <x:c r="BF255" s="65"/>
    </x:row>
    <x:row r="256">
      <x:c r="A256" s="65"/>
      <x:c r="B256" s="65"/>
      <x:c r="C256" s="65"/>
      <x:c r="D256" s="65"/>
      <x:c r="E256" s="65"/>
      <x:c r="F256" s="65"/>
      <x:c r="G256" s="65"/>
      <x:c r="H256" s="65"/>
      <x:c r="I256" s="65"/>
      <x:c r="J256" s="65"/>
      <x:c r="K256" s="65"/>
      <x:c r="L256" s="65"/>
      <x:c r="M256" s="65"/>
      <x:c r="N256" s="65"/>
      <x:c r="O256" s="65"/>
      <x:c r="P256" s="65"/>
      <x:c r="Q256" s="85"/>
      <x:c r="R256" s="85"/>
      <x:c r="S256" s="85"/>
      <x:c r="T256" s="85"/>
      <x:c r="U256" s="85"/>
      <x:c r="V256" s="85"/>
      <x:c r="W256" s="66"/>
      <x:c r="X256" s="83" t="str">
        <x:f t="shared" si="33"/>
        <x:v>Tidak ada faktor rentan</x:v>
      </x:c>
      <x:c r="Y256" s="83" t="str">
        <x:f t="shared" si="34"/>
        <x:v>Tidak Ada Faktor Rentan</x:v>
      </x:c>
      <x:c r="Z256" s="84" t="str">
        <x:f t="shared" si="35"/>
      </x:c>
      <x:c r="AA256" s="84">
        <x:f t="shared" si="36"/>
        <x:v>0</x:v>
      </x:c>
      <x:c r="AB256" s="84" t="str">
        <x:f t="shared" si="37"/>
      </x:c>
      <x:c r="AC256" s="67"/>
      <x:c r="AD256" s="67"/>
      <x:c r="AE256" s="67"/>
      <x:c r="AF256" s="67"/>
      <x:c r="AG256" s="67"/>
      <x:c r="AH256" s="67"/>
      <x:c r="AI256" s="67"/>
      <x:c r="AJ256" s="67"/>
      <x:c r="AK256" s="67"/>
      <x:c r="AL256" s="67"/>
      <x:c r="AM256" s="67"/>
      <x:c r="AN256" s="83" t="str">
        <x:f t="shared" si="38"/>
        <x:v>Tidak ada risiko khusus</x:v>
      </x:c>
      <x:c r="AO256" s="83" t="str">
        <x:f t="shared" si="39"/>
        <x:v>Tidak Ada Risiko Khusus</x:v>
      </x:c>
      <x:c r="AP256" s="67"/>
      <x:c r="AQ256" s="70" t="str">
        <x:f t="shared" si="40"/>
      </x:c>
      <x:c r="AR256" s="70">
        <x:f t="shared" si="41"/>
        <x:v>0</x:v>
      </x:c>
      <x:c r="AS256" s="70" t="str">
        <x:f t="shared" si="42"/>
      </x:c>
      <x:c r="AT256" s="68" t="str">
        <x:f t="shared" si="43"/>
        <x:v>Belum Dapat Ditentukan</x:v>
      </x:c>
      <x:c r="AU256" s="65"/>
      <x:c r="AV256" s="65"/>
      <x:c r="AW256" s="65"/>
      <x:c r="AX256" s="65"/>
      <x:c r="AY256" s="65"/>
      <x:c r="AZ256" s="65"/>
      <x:c r="BA256" s="65"/>
      <x:c r="BB256" s="177"/>
      <x:c r="BC256" s="71"/>
      <x:c r="BD256" s="65"/>
      <x:c r="BE256" s="177"/>
      <x:c r="BF256" s="65"/>
    </x:row>
    <x:row r="257">
      <x:c r="A257" s="65"/>
      <x:c r="B257" s="65"/>
      <x:c r="C257" s="65"/>
      <x:c r="D257" s="65"/>
      <x:c r="E257" s="65"/>
      <x:c r="F257" s="65"/>
      <x:c r="G257" s="65"/>
      <x:c r="H257" s="65"/>
      <x:c r="I257" s="65"/>
      <x:c r="J257" s="65"/>
      <x:c r="K257" s="65"/>
      <x:c r="L257" s="65"/>
      <x:c r="M257" s="65"/>
      <x:c r="N257" s="65"/>
      <x:c r="O257" s="65"/>
      <x:c r="P257" s="65"/>
      <x:c r="Q257" s="85"/>
      <x:c r="R257" s="85"/>
      <x:c r="S257" s="85"/>
      <x:c r="T257" s="85"/>
      <x:c r="U257" s="85"/>
      <x:c r="V257" s="85"/>
      <x:c r="W257" s="66"/>
      <x:c r="X257" s="83" t="str">
        <x:f t="shared" si="33"/>
        <x:v>Tidak ada faktor rentan</x:v>
      </x:c>
      <x:c r="Y257" s="83" t="str">
        <x:f t="shared" si="34"/>
        <x:v>Tidak Ada Faktor Rentan</x:v>
      </x:c>
      <x:c r="Z257" s="84" t="str">
        <x:f t="shared" si="35"/>
      </x:c>
      <x:c r="AA257" s="84">
        <x:f t="shared" si="36"/>
        <x:v>0</x:v>
      </x:c>
      <x:c r="AB257" s="84" t="str">
        <x:f t="shared" si="37"/>
      </x:c>
      <x:c r="AC257" s="67"/>
      <x:c r="AD257" s="67"/>
      <x:c r="AE257" s="67"/>
      <x:c r="AF257" s="67"/>
      <x:c r="AG257" s="67"/>
      <x:c r="AH257" s="67"/>
      <x:c r="AI257" s="67"/>
      <x:c r="AJ257" s="67"/>
      <x:c r="AK257" s="67"/>
      <x:c r="AL257" s="67"/>
      <x:c r="AM257" s="67"/>
      <x:c r="AN257" s="83" t="str">
        <x:f t="shared" si="38"/>
        <x:v>Tidak ada risiko khusus</x:v>
      </x:c>
      <x:c r="AO257" s="83" t="str">
        <x:f t="shared" si="39"/>
        <x:v>Tidak Ada Risiko Khusus</x:v>
      </x:c>
      <x:c r="AP257" s="67"/>
      <x:c r="AQ257" s="70" t="str">
        <x:f t="shared" si="40"/>
      </x:c>
      <x:c r="AR257" s="70">
        <x:f t="shared" si="41"/>
        <x:v>0</x:v>
      </x:c>
      <x:c r="AS257" s="70" t="str">
        <x:f t="shared" si="42"/>
      </x:c>
      <x:c r="AT257" s="68" t="str">
        <x:f t="shared" si="43"/>
        <x:v>Belum Dapat Ditentukan</x:v>
      </x:c>
      <x:c r="AU257" s="65"/>
      <x:c r="AV257" s="65"/>
      <x:c r="AW257" s="65"/>
      <x:c r="AX257" s="65"/>
      <x:c r="AY257" s="65"/>
      <x:c r="AZ257" s="65"/>
      <x:c r="BA257" s="65"/>
      <x:c r="BB257" s="177"/>
      <x:c r="BC257" s="71"/>
      <x:c r="BD257" s="65"/>
      <x:c r="BE257" s="177"/>
      <x:c r="BF257" s="65"/>
    </x:row>
    <x:row r="258">
      <x:c r="A258" s="65"/>
      <x:c r="B258" s="65"/>
      <x:c r="C258" s="65"/>
      <x:c r="D258" s="65"/>
      <x:c r="E258" s="65"/>
      <x:c r="F258" s="65"/>
      <x:c r="G258" s="65"/>
      <x:c r="H258" s="65"/>
      <x:c r="I258" s="65"/>
      <x:c r="J258" s="65"/>
      <x:c r="K258" s="65"/>
      <x:c r="L258" s="65"/>
      <x:c r="M258" s="65"/>
      <x:c r="N258" s="65"/>
      <x:c r="O258" s="65"/>
      <x:c r="P258" s="65"/>
      <x:c r="Q258" s="85"/>
      <x:c r="R258" s="85"/>
      <x:c r="S258" s="85"/>
      <x:c r="T258" s="85"/>
      <x:c r="U258" s="85"/>
      <x:c r="V258" s="85"/>
      <x:c r="W258" s="66"/>
      <x:c r="X258" s="83" t="str">
        <x:f t="shared" si="33"/>
        <x:v>Tidak ada faktor rentan</x:v>
      </x:c>
      <x:c r="Y258" s="83" t="str">
        <x:f t="shared" si="34"/>
        <x:v>Tidak Ada Faktor Rentan</x:v>
      </x:c>
      <x:c r="Z258" s="84" t="str">
        <x:f t="shared" si="35"/>
      </x:c>
      <x:c r="AA258" s="84">
        <x:f t="shared" si="36"/>
        <x:v>0</x:v>
      </x:c>
      <x:c r="AB258" s="84" t="str">
        <x:f t="shared" si="37"/>
      </x:c>
      <x:c r="AC258" s="67"/>
      <x:c r="AD258" s="67"/>
      <x:c r="AE258" s="67"/>
      <x:c r="AF258" s="67"/>
      <x:c r="AG258" s="67"/>
      <x:c r="AH258" s="67"/>
      <x:c r="AI258" s="67"/>
      <x:c r="AJ258" s="67"/>
      <x:c r="AK258" s="67"/>
      <x:c r="AL258" s="67"/>
      <x:c r="AM258" s="67"/>
      <x:c r="AN258" s="83" t="str">
        <x:f t="shared" si="38"/>
        <x:v>Tidak ada risiko khusus</x:v>
      </x:c>
      <x:c r="AO258" s="83" t="str">
        <x:f t="shared" si="39"/>
        <x:v>Tidak Ada Risiko Khusus</x:v>
      </x:c>
      <x:c r="AP258" s="67"/>
      <x:c r="AQ258" s="70" t="str">
        <x:f t="shared" si="40"/>
      </x:c>
      <x:c r="AR258" s="70">
        <x:f t="shared" si="41"/>
        <x:v>0</x:v>
      </x:c>
      <x:c r="AS258" s="70" t="str">
        <x:f t="shared" si="42"/>
      </x:c>
      <x:c r="AT258" s="68" t="str">
        <x:f t="shared" si="43"/>
        <x:v>Belum Dapat Ditentukan</x:v>
      </x:c>
      <x:c r="AU258" s="65"/>
      <x:c r="AV258" s="65"/>
      <x:c r="AW258" s="65"/>
      <x:c r="AX258" s="65"/>
      <x:c r="AY258" s="65"/>
      <x:c r="AZ258" s="65"/>
      <x:c r="BA258" s="65"/>
      <x:c r="BB258" s="177"/>
      <x:c r="BC258" s="71"/>
      <x:c r="BD258" s="65"/>
      <x:c r="BE258" s="177"/>
      <x:c r="BF258" s="65"/>
    </x:row>
    <x:row r="259">
      <x:c r="A259" s="65"/>
      <x:c r="B259" s="65"/>
      <x:c r="C259" s="65"/>
      <x:c r="D259" s="65"/>
      <x:c r="E259" s="65"/>
      <x:c r="F259" s="65"/>
      <x:c r="G259" s="65"/>
      <x:c r="H259" s="65"/>
      <x:c r="I259" s="65"/>
      <x:c r="J259" s="65"/>
      <x:c r="K259" s="65"/>
      <x:c r="L259" s="65"/>
      <x:c r="M259" s="65"/>
      <x:c r="N259" s="65"/>
      <x:c r="O259" s="65"/>
      <x:c r="P259" s="65"/>
      <x:c r="Q259" s="85"/>
      <x:c r="R259" s="85"/>
      <x:c r="S259" s="85"/>
      <x:c r="T259" s="85"/>
      <x:c r="U259" s="85"/>
      <x:c r="V259" s="85"/>
      <x:c r="W259" s="66"/>
      <x:c r="X259" s="83" t="str">
        <x:f t="shared" si="33"/>
        <x:v>Tidak ada faktor rentan</x:v>
      </x:c>
      <x:c r="Y259" s="83" t="str">
        <x:f t="shared" si="34"/>
        <x:v>Tidak Ada Faktor Rentan</x:v>
      </x:c>
      <x:c r="Z259" s="84" t="str">
        <x:f t="shared" si="35"/>
      </x:c>
      <x:c r="AA259" s="84">
        <x:f t="shared" si="36"/>
        <x:v>0</x:v>
      </x:c>
      <x:c r="AB259" s="84" t="str">
        <x:f t="shared" si="37"/>
      </x:c>
      <x:c r="AC259" s="67"/>
      <x:c r="AD259" s="67"/>
      <x:c r="AE259" s="67"/>
      <x:c r="AF259" s="67"/>
      <x:c r="AG259" s="67"/>
      <x:c r="AH259" s="67"/>
      <x:c r="AI259" s="67"/>
      <x:c r="AJ259" s="67"/>
      <x:c r="AK259" s="67"/>
      <x:c r="AL259" s="67"/>
      <x:c r="AM259" s="67"/>
      <x:c r="AN259" s="83" t="str">
        <x:f t="shared" si="38"/>
        <x:v>Tidak ada risiko khusus</x:v>
      </x:c>
      <x:c r="AO259" s="83" t="str">
        <x:f t="shared" si="39"/>
        <x:v>Tidak Ada Risiko Khusus</x:v>
      </x:c>
      <x:c r="AP259" s="67"/>
      <x:c r="AQ259" s="70" t="str">
        <x:f t="shared" si="40"/>
      </x:c>
      <x:c r="AR259" s="70">
        <x:f t="shared" si="41"/>
        <x:v>0</x:v>
      </x:c>
      <x:c r="AS259" s="70" t="str">
        <x:f t="shared" si="42"/>
      </x:c>
      <x:c r="AT259" s="68" t="str">
        <x:f t="shared" si="43"/>
        <x:v>Belum Dapat Ditentukan</x:v>
      </x:c>
      <x:c r="AU259" s="65"/>
      <x:c r="AV259" s="65"/>
      <x:c r="AW259" s="65"/>
      <x:c r="AX259" s="65"/>
      <x:c r="AY259" s="65"/>
      <x:c r="AZ259" s="65"/>
      <x:c r="BA259" s="65"/>
      <x:c r="BB259" s="177"/>
      <x:c r="BC259" s="71"/>
      <x:c r="BD259" s="65"/>
      <x:c r="BE259" s="177"/>
      <x:c r="BF259" s="65"/>
    </x:row>
    <x:row r="260">
      <x:c r="A260" s="65"/>
      <x:c r="B260" s="65"/>
      <x:c r="C260" s="65"/>
      <x:c r="D260" s="65"/>
      <x:c r="E260" s="65"/>
      <x:c r="F260" s="65"/>
      <x:c r="G260" s="65"/>
      <x:c r="H260" s="65"/>
      <x:c r="I260" s="65"/>
      <x:c r="J260" s="65"/>
      <x:c r="K260" s="65"/>
      <x:c r="L260" s="65"/>
      <x:c r="M260" s="65"/>
      <x:c r="N260" s="65"/>
      <x:c r="O260" s="65"/>
      <x:c r="P260" s="65"/>
      <x:c r="Q260" s="85"/>
      <x:c r="R260" s="85"/>
      <x:c r="S260" s="85"/>
      <x:c r="T260" s="85"/>
      <x:c r="U260" s="85"/>
      <x:c r="V260" s="85"/>
      <x:c r="W260" s="66"/>
      <x:c r="X260" s="83" t="str">
        <x:f t="shared" si="33"/>
        <x:v>Tidak ada faktor rentan</x:v>
      </x:c>
      <x:c r="Y260" s="83" t="str">
        <x:f t="shared" si="34"/>
        <x:v>Tidak Ada Faktor Rentan</x:v>
      </x:c>
      <x:c r="Z260" s="84" t="str">
        <x:f t="shared" si="35"/>
      </x:c>
      <x:c r="AA260" s="84">
        <x:f t="shared" si="36"/>
        <x:v>0</x:v>
      </x:c>
      <x:c r="AB260" s="84" t="str">
        <x:f t="shared" si="37"/>
      </x:c>
      <x:c r="AC260" s="67"/>
      <x:c r="AD260" s="67"/>
      <x:c r="AE260" s="67"/>
      <x:c r="AF260" s="67"/>
      <x:c r="AG260" s="67"/>
      <x:c r="AH260" s="67"/>
      <x:c r="AI260" s="67"/>
      <x:c r="AJ260" s="67"/>
      <x:c r="AK260" s="67"/>
      <x:c r="AL260" s="67"/>
      <x:c r="AM260" s="67"/>
      <x:c r="AN260" s="83" t="str">
        <x:f t="shared" si="38"/>
        <x:v>Tidak ada risiko khusus</x:v>
      </x:c>
      <x:c r="AO260" s="83" t="str">
        <x:f t="shared" si="39"/>
        <x:v>Tidak Ada Risiko Khusus</x:v>
      </x:c>
      <x:c r="AP260" s="67"/>
      <x:c r="AQ260" s="70" t="str">
        <x:f t="shared" si="40"/>
      </x:c>
      <x:c r="AR260" s="70">
        <x:f t="shared" si="41"/>
        <x:v>0</x:v>
      </x:c>
      <x:c r="AS260" s="70" t="str">
        <x:f t="shared" si="42"/>
      </x:c>
      <x:c r="AT260" s="68" t="str">
        <x:f t="shared" si="43"/>
        <x:v>Belum Dapat Ditentukan</x:v>
      </x:c>
      <x:c r="AU260" s="65"/>
      <x:c r="AV260" s="65"/>
      <x:c r="AW260" s="65"/>
      <x:c r="AX260" s="65"/>
      <x:c r="AY260" s="65"/>
      <x:c r="AZ260" s="65"/>
      <x:c r="BA260" s="65"/>
      <x:c r="BB260" s="177"/>
      <x:c r="BC260" s="71"/>
      <x:c r="BD260" s="65"/>
      <x:c r="BE260" s="177"/>
      <x:c r="BF260" s="65"/>
    </x:row>
    <x:row r="261">
      <x:c r="A261" s="65"/>
      <x:c r="B261" s="65"/>
      <x:c r="C261" s="65"/>
      <x:c r="D261" s="65"/>
      <x:c r="E261" s="65"/>
      <x:c r="F261" s="65"/>
      <x:c r="G261" s="65"/>
      <x:c r="H261" s="65"/>
      <x:c r="I261" s="65"/>
      <x:c r="J261" s="65"/>
      <x:c r="K261" s="65"/>
      <x:c r="L261" s="65"/>
      <x:c r="M261" s="65"/>
      <x:c r="N261" s="65"/>
      <x:c r="O261" s="65"/>
      <x:c r="P261" s="65"/>
      <x:c r="Q261" s="85"/>
      <x:c r="R261" s="85"/>
      <x:c r="S261" s="85"/>
      <x:c r="T261" s="85"/>
      <x:c r="U261" s="85"/>
      <x:c r="V261" s="85"/>
      <x:c r="W261" s="66"/>
      <x:c r="X261" s="83" t="str">
        <x:f t="shared" si="33"/>
        <x:v>Tidak ada faktor rentan</x:v>
      </x:c>
      <x:c r="Y261" s="83" t="str">
        <x:f t="shared" si="34"/>
        <x:v>Tidak Ada Faktor Rentan</x:v>
      </x:c>
      <x:c r="Z261" s="84" t="str">
        <x:f t="shared" si="35"/>
      </x:c>
      <x:c r="AA261" s="84">
        <x:f t="shared" si="36"/>
        <x:v>0</x:v>
      </x:c>
      <x:c r="AB261" s="84" t="str">
        <x:f t="shared" si="37"/>
      </x:c>
      <x:c r="AC261" s="67"/>
      <x:c r="AD261" s="67"/>
      <x:c r="AE261" s="67"/>
      <x:c r="AF261" s="67"/>
      <x:c r="AG261" s="67"/>
      <x:c r="AH261" s="67"/>
      <x:c r="AI261" s="67"/>
      <x:c r="AJ261" s="67"/>
      <x:c r="AK261" s="67"/>
      <x:c r="AL261" s="67"/>
      <x:c r="AM261" s="67"/>
      <x:c r="AN261" s="83" t="str">
        <x:f t="shared" si="38"/>
        <x:v>Tidak ada risiko khusus</x:v>
      </x:c>
      <x:c r="AO261" s="83" t="str">
        <x:f t="shared" si="39"/>
        <x:v>Tidak Ada Risiko Khusus</x:v>
      </x:c>
      <x:c r="AP261" s="67"/>
      <x:c r="AQ261" s="70" t="str">
        <x:f t="shared" si="40"/>
      </x:c>
      <x:c r="AR261" s="70">
        <x:f t="shared" si="41"/>
        <x:v>0</x:v>
      </x:c>
      <x:c r="AS261" s="70" t="str">
        <x:f t="shared" si="42"/>
      </x:c>
      <x:c r="AT261" s="68" t="str">
        <x:f t="shared" si="43"/>
        <x:v>Belum Dapat Ditentukan</x:v>
      </x:c>
      <x:c r="AU261" s="65"/>
      <x:c r="AV261" s="65"/>
      <x:c r="AW261" s="65"/>
      <x:c r="AX261" s="65"/>
      <x:c r="AY261" s="65"/>
      <x:c r="AZ261" s="65"/>
      <x:c r="BA261" s="65"/>
      <x:c r="BB261" s="177"/>
      <x:c r="BC261" s="71"/>
      <x:c r="BD261" s="65"/>
      <x:c r="BE261" s="177"/>
      <x:c r="BF261" s="65"/>
    </x:row>
    <x:row r="262">
      <x:c r="A262" s="65"/>
      <x:c r="B262" s="65"/>
      <x:c r="C262" s="65"/>
      <x:c r="D262" s="65"/>
      <x:c r="E262" s="65"/>
      <x:c r="F262" s="65"/>
      <x:c r="G262" s="65"/>
      <x:c r="H262" s="65"/>
      <x:c r="I262" s="65"/>
      <x:c r="J262" s="65"/>
      <x:c r="K262" s="65"/>
      <x:c r="L262" s="65"/>
      <x:c r="M262" s="65"/>
      <x:c r="N262" s="65"/>
      <x:c r="O262" s="65"/>
      <x:c r="P262" s="65"/>
      <x:c r="Q262" s="85"/>
      <x:c r="R262" s="85"/>
      <x:c r="S262" s="85"/>
      <x:c r="T262" s="85"/>
      <x:c r="U262" s="85"/>
      <x:c r="V262" s="85"/>
      <x:c r="W262" s="66"/>
      <x:c r="X262" s="83" t="str">
        <x:f t="shared" ref="X262:X289" si="44">IF(COUNTIF(R262:V262,"Belum Dinilai")&gt;0,"Belum Dinilai",IF(COUNTIF(R262:V262,"Ya")=0,"Tidak ada faktor rentan",IF(R262="Ya","Lansia; ","")&amp;IF(S262="Ya","Penyandang disabilitas; ","")&amp;IF(T262="Ya","Kepala keluarga perempuan; ","")&amp;IF(U262="Ya","Balita; ","")&amp;IF(V262="Ya","Anggota keluarga dengan ketergantungan tinggi; ","")))</x:f>
        <x:v>Tidak ada faktor rentan</x:v>
      </x:c>
      <x:c r="Y262" s="83" t="str">
        <x:f t="shared" ref="Y262:Y289" si="45">IF(COUNTIF(R262:V262,"Belum Dinilai")&gt;0,"Belum Dinilai",IF(COUNTIF(R262:V262,"Ya")=0,"Tidak Ada Faktor Rentan",IF(COUNTIF(R262:V262,"Ya")=1,"1 Faktor Rentan","2 atau Lebih Faktor Rentan")))</x:f>
        <x:v>Tidak Ada Faktor Rentan</x:v>
      </x:c>
      <x:c r="Z262" s="84" t="str">
        <x:f t="shared" ref="Z262:Z289" si="46">IF(OR(Q262="",Q262="Belum Dinilai"),"",IF(Q262="Terverifikasi DTKS/P3KE/MBR",10,IF(Q262="Diusulkan, Belum Terverifikasi",5,0)))</x:f>
      </x:c>
      <x:c r="AA262" s="84" t="n">
        <x:f t="shared" ref="AA262:AA289" si="47">IF(COUNTIF(R262:V262,"Belum Dinilai")&gt;0,"",IF(COUNTIF(R262:V262,"Ya")=0,0,IF(COUNTIF(R262:V262,"Ya")=1,5,10)))</x:f>
        <x:v>0</x:v>
      </x:c>
      <x:c r="AB262" s="84" t="str">
        <x:f t="shared" ref="AB262:AB289" si="48">IF(OR(Z262="",AA262=""),"",Z262+AA262)</x:f>
      </x:c>
      <x:c r="AC262" s="67"/>
      <x:c r="AD262" s="67"/>
      <x:c r="AE262" s="67"/>
      <x:c r="AF262" s="67"/>
      <x:c r="AG262" s="67"/>
      <x:c r="AH262" s="67"/>
      <x:c r="AI262" s="67"/>
      <x:c r="AJ262" s="67"/>
      <x:c r="AK262" s="67"/>
      <x:c r="AL262" s="67"/>
      <x:c r="AM262" s="67"/>
      <x:c r="AN262" s="83" t="str">
        <x: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x:f>
        <x:v>Tidak ada risiko khusus</x:v>
      </x:c>
      <x:c r="AO262" s="83" t="str">
        <x:f t="shared" ref="AO262:AO289" si="50">IF(AR262="","Belum Dinilai",IF(AR262=10,"Risiko Tinggi/Darurat",IF(AR262=5,"Risiko Sedang","Tidak Ada Risiko Khusus")))</x:f>
        <x:v>Belum Dinilai</x:v>
      </x:c>
      <x:c r="AP262" s="67"/>
      <x:c r="AQ262" s="70" t="str">
        <x: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x:f>
      </x:c>
      <x:c r="AR262" s="70" t="n">
        <x: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x:f>
        <x:v>0</x:v>
      </x:c>
      <x:c r="AS262" s="70" t="str">
        <x:f t="shared" ref="AS262:AS289" si="53">IF(OR(AQ262="",AB262="",AR262=""),"",AQ262+AB262+AR262)</x:f>
      </x:c>
      <x:c r="AT262" s="68" t="str">
        <x: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x:f>
        <x:v>Belum Dapat Ditentukan</x:v>
      </x:c>
      <x:c r="AU262" s="65"/>
      <x:c r="AV262" s="65"/>
      <x:c r="AW262" s="65"/>
      <x:c r="AX262" s="65"/>
      <x:c r="AY262" s="65"/>
      <x:c r="AZ262" s="65"/>
      <x:c r="BA262" s="65"/>
      <x:c r="BB262" s="177"/>
      <x:c r="BC262" s="71"/>
      <x:c r="BD262" s="65"/>
      <x:c r="BE262" s="177"/>
      <x:c r="BF262" s="65"/>
    </x:row>
    <x:row r="263">
      <x:c r="A263" s="65"/>
      <x:c r="B263" s="65"/>
      <x:c r="C263" s="65"/>
      <x:c r="D263" s="65"/>
      <x:c r="E263" s="65"/>
      <x:c r="F263" s="65"/>
      <x:c r="G263" s="65"/>
      <x:c r="H263" s="65"/>
      <x:c r="I263" s="65"/>
      <x:c r="J263" s="65"/>
      <x:c r="K263" s="65"/>
      <x:c r="L263" s="65"/>
      <x:c r="M263" s="65"/>
      <x:c r="N263" s="65"/>
      <x:c r="O263" s="65"/>
      <x:c r="P263" s="65"/>
      <x:c r="Q263" s="85"/>
      <x:c r="R263" s="85"/>
      <x:c r="S263" s="85"/>
      <x:c r="T263" s="85"/>
      <x:c r="U263" s="85"/>
      <x:c r="V263" s="85"/>
      <x:c r="W263" s="66"/>
      <x:c r="X263" s="83" t="str">
        <x:f t="shared" si="44"/>
        <x:v>Tidak ada faktor rentan</x:v>
      </x:c>
      <x:c r="Y263" s="83" t="str">
        <x:f t="shared" si="45"/>
        <x:v>Tidak Ada Faktor Rentan</x:v>
      </x:c>
      <x:c r="Z263" s="84" t="str">
        <x:f t="shared" si="46"/>
      </x:c>
      <x:c r="AA263" s="84">
        <x:f t="shared" si="47"/>
        <x:v>0</x:v>
      </x:c>
      <x:c r="AB263" s="84" t="str">
        <x:f t="shared" si="48"/>
      </x:c>
      <x:c r="AC263" s="67"/>
      <x:c r="AD263" s="67"/>
      <x:c r="AE263" s="67"/>
      <x:c r="AF263" s="67"/>
      <x:c r="AG263" s="67"/>
      <x:c r="AH263" s="67"/>
      <x:c r="AI263" s="67"/>
      <x:c r="AJ263" s="67"/>
      <x:c r="AK263" s="67"/>
      <x:c r="AL263" s="67"/>
      <x:c r="AM263" s="67"/>
      <x:c r="AN263" s="83" t="str">
        <x:f t="shared" si="49"/>
        <x:v>Tidak ada risiko khusus</x:v>
      </x:c>
      <x:c r="AO263" s="83" t="str">
        <x:f t="shared" si="50"/>
        <x:v>Tidak Ada Risiko Khusus</x:v>
      </x:c>
      <x:c r="AP263" s="67"/>
      <x:c r="AQ263" s="70" t="str">
        <x:f t="shared" si="51"/>
      </x:c>
      <x:c r="AR263" s="70">
        <x:f t="shared" si="52"/>
        <x:v>0</x:v>
      </x:c>
      <x:c r="AS263" s="70" t="str">
        <x:f t="shared" si="53"/>
      </x:c>
      <x:c r="AT263" s="68" t="str">
        <x:f t="shared" si="54"/>
        <x:v>Belum Dapat Ditentukan</x:v>
      </x:c>
      <x:c r="AU263" s="65"/>
      <x:c r="AV263" s="65"/>
      <x:c r="AW263" s="65"/>
      <x:c r="AX263" s="65"/>
      <x:c r="AY263" s="65"/>
      <x:c r="AZ263" s="65"/>
      <x:c r="BA263" s="65"/>
      <x:c r="BB263" s="177"/>
      <x:c r="BC263" s="71"/>
      <x:c r="BD263" s="65"/>
      <x:c r="BE263" s="177"/>
      <x:c r="BF263" s="65"/>
    </x:row>
    <x:row r="264">
      <x:c r="A264" s="65"/>
      <x:c r="B264" s="65"/>
      <x:c r="C264" s="65"/>
      <x:c r="D264" s="65"/>
      <x:c r="E264" s="65"/>
      <x:c r="F264" s="65"/>
      <x:c r="G264" s="65"/>
      <x:c r="H264" s="65"/>
      <x:c r="I264" s="65"/>
      <x:c r="J264" s="65"/>
      <x:c r="K264" s="65"/>
      <x:c r="L264" s="65"/>
      <x:c r="M264" s="65"/>
      <x:c r="N264" s="65"/>
      <x:c r="O264" s="65"/>
      <x:c r="P264" s="65"/>
      <x:c r="Q264" s="85"/>
      <x:c r="R264" s="85"/>
      <x:c r="S264" s="85"/>
      <x:c r="T264" s="85"/>
      <x:c r="U264" s="85"/>
      <x:c r="V264" s="85"/>
      <x:c r="W264" s="66"/>
      <x:c r="X264" s="83" t="str">
        <x:f t="shared" si="44"/>
        <x:v>Tidak ada faktor rentan</x:v>
      </x:c>
      <x:c r="Y264" s="83" t="str">
        <x:f t="shared" si="45"/>
        <x:v>Tidak Ada Faktor Rentan</x:v>
      </x:c>
      <x:c r="Z264" s="84" t="str">
        <x:f t="shared" si="46"/>
      </x:c>
      <x:c r="AA264" s="84">
        <x:f t="shared" si="47"/>
        <x:v>0</x:v>
      </x:c>
      <x:c r="AB264" s="84" t="str">
        <x:f t="shared" si="48"/>
      </x:c>
      <x:c r="AC264" s="67"/>
      <x:c r="AD264" s="67"/>
      <x:c r="AE264" s="67"/>
      <x:c r="AF264" s="67"/>
      <x:c r="AG264" s="67"/>
      <x:c r="AH264" s="67"/>
      <x:c r="AI264" s="67"/>
      <x:c r="AJ264" s="67"/>
      <x:c r="AK264" s="67"/>
      <x:c r="AL264" s="67"/>
      <x:c r="AM264" s="67"/>
      <x:c r="AN264" s="83" t="str">
        <x:f t="shared" si="49"/>
        <x:v>Tidak ada risiko khusus</x:v>
      </x:c>
      <x:c r="AO264" s="83" t="str">
        <x:f t="shared" si="50"/>
        <x:v>Tidak Ada Risiko Khusus</x:v>
      </x:c>
      <x:c r="AP264" s="67"/>
      <x:c r="AQ264" s="70" t="str">
        <x:f t="shared" si="51"/>
      </x:c>
      <x:c r="AR264" s="70">
        <x:f t="shared" si="52"/>
        <x:v>0</x:v>
      </x:c>
      <x:c r="AS264" s="70" t="str">
        <x:f t="shared" si="53"/>
      </x:c>
      <x:c r="AT264" s="68" t="str">
        <x:f t="shared" si="54"/>
        <x:v>Belum Dapat Ditentukan</x:v>
      </x:c>
      <x:c r="AU264" s="65"/>
      <x:c r="AV264" s="65"/>
      <x:c r="AW264" s="65"/>
      <x:c r="AX264" s="65"/>
      <x:c r="AY264" s="65"/>
      <x:c r="AZ264" s="65"/>
      <x:c r="BA264" s="65"/>
      <x:c r="BB264" s="177"/>
      <x:c r="BC264" s="71"/>
      <x:c r="BD264" s="65"/>
      <x:c r="BE264" s="177"/>
      <x:c r="BF264" s="65"/>
    </x:row>
    <x:row r="265">
      <x:c r="A265" s="65"/>
      <x:c r="B265" s="65"/>
      <x:c r="C265" s="65"/>
      <x:c r="D265" s="65"/>
      <x:c r="E265" s="65"/>
      <x:c r="F265" s="65"/>
      <x:c r="G265" s="65"/>
      <x:c r="H265" s="65"/>
      <x:c r="I265" s="65"/>
      <x:c r="J265" s="65"/>
      <x:c r="K265" s="65"/>
      <x:c r="L265" s="65"/>
      <x:c r="M265" s="65"/>
      <x:c r="N265" s="65"/>
      <x:c r="O265" s="65"/>
      <x:c r="P265" s="65"/>
      <x:c r="Q265" s="85"/>
      <x:c r="R265" s="85"/>
      <x:c r="S265" s="85"/>
      <x:c r="T265" s="85"/>
      <x:c r="U265" s="85"/>
      <x:c r="V265" s="85"/>
      <x:c r="W265" s="66"/>
      <x:c r="X265" s="83" t="str">
        <x:f t="shared" si="44"/>
        <x:v>Tidak ada faktor rentan</x:v>
      </x:c>
      <x:c r="Y265" s="83" t="str">
        <x:f t="shared" si="45"/>
        <x:v>Tidak Ada Faktor Rentan</x:v>
      </x:c>
      <x:c r="Z265" s="84" t="str">
        <x:f t="shared" si="46"/>
      </x:c>
      <x:c r="AA265" s="84">
        <x:f t="shared" si="47"/>
        <x:v>0</x:v>
      </x:c>
      <x:c r="AB265" s="84" t="str">
        <x:f t="shared" si="48"/>
      </x:c>
      <x:c r="AC265" s="67"/>
      <x:c r="AD265" s="67"/>
      <x:c r="AE265" s="67"/>
      <x:c r="AF265" s="67"/>
      <x:c r="AG265" s="67"/>
      <x:c r="AH265" s="67"/>
      <x:c r="AI265" s="67"/>
      <x:c r="AJ265" s="67"/>
      <x:c r="AK265" s="67"/>
      <x:c r="AL265" s="67"/>
      <x:c r="AM265" s="67"/>
      <x:c r="AN265" s="83" t="str">
        <x:f t="shared" si="49"/>
        <x:v>Tidak ada risiko khusus</x:v>
      </x:c>
      <x:c r="AO265" s="83" t="str">
        <x:f t="shared" si="50"/>
        <x:v>Tidak Ada Risiko Khusus</x:v>
      </x:c>
      <x:c r="AP265" s="67"/>
      <x:c r="AQ265" s="70" t="str">
        <x:f t="shared" si="51"/>
      </x:c>
      <x:c r="AR265" s="70">
        <x:f t="shared" si="52"/>
        <x:v>0</x:v>
      </x:c>
      <x:c r="AS265" s="70" t="str">
        <x:f t="shared" si="53"/>
      </x:c>
      <x:c r="AT265" s="68" t="str">
        <x:f t="shared" si="54"/>
        <x:v>Belum Dapat Ditentukan</x:v>
      </x:c>
      <x:c r="AU265" s="65"/>
      <x:c r="AV265" s="65"/>
      <x:c r="AW265" s="65"/>
      <x:c r="AX265" s="65"/>
      <x:c r="AY265" s="65"/>
      <x:c r="AZ265" s="65"/>
      <x:c r="BA265" s="65"/>
      <x:c r="BB265" s="177"/>
      <x:c r="BC265" s="71"/>
      <x:c r="BD265" s="65"/>
      <x:c r="BE265" s="177"/>
      <x:c r="BF265" s="65"/>
    </x:row>
    <x:row r="266">
      <x:c r="A266" s="65"/>
      <x:c r="B266" s="65"/>
      <x:c r="C266" s="65"/>
      <x:c r="D266" s="65"/>
      <x:c r="E266" s="65"/>
      <x:c r="F266" s="65"/>
      <x:c r="G266" s="65"/>
      <x:c r="H266" s="65"/>
      <x:c r="I266" s="65"/>
      <x:c r="J266" s="65"/>
      <x:c r="K266" s="65"/>
      <x:c r="L266" s="65"/>
      <x:c r="M266" s="65"/>
      <x:c r="N266" s="65"/>
      <x:c r="O266" s="65"/>
      <x:c r="P266" s="65"/>
      <x:c r="Q266" s="85"/>
      <x:c r="R266" s="85"/>
      <x:c r="S266" s="85"/>
      <x:c r="T266" s="85"/>
      <x:c r="U266" s="85"/>
      <x:c r="V266" s="85"/>
      <x:c r="W266" s="66"/>
      <x:c r="X266" s="83" t="str">
        <x:f t="shared" si="44"/>
        <x:v>Tidak ada faktor rentan</x:v>
      </x:c>
      <x:c r="Y266" s="83" t="str">
        <x:f t="shared" si="45"/>
        <x:v>Tidak Ada Faktor Rentan</x:v>
      </x:c>
      <x:c r="Z266" s="84" t="str">
        <x:f t="shared" si="46"/>
      </x:c>
      <x:c r="AA266" s="84">
        <x:f t="shared" si="47"/>
        <x:v>0</x:v>
      </x:c>
      <x:c r="AB266" s="84" t="str">
        <x:f t="shared" si="48"/>
      </x:c>
      <x:c r="AC266" s="67"/>
      <x:c r="AD266" s="67"/>
      <x:c r="AE266" s="67"/>
      <x:c r="AF266" s="67"/>
      <x:c r="AG266" s="67"/>
      <x:c r="AH266" s="67"/>
      <x:c r="AI266" s="67"/>
      <x:c r="AJ266" s="67"/>
      <x:c r="AK266" s="67"/>
      <x:c r="AL266" s="67"/>
      <x:c r="AM266" s="67"/>
      <x:c r="AN266" s="83" t="str">
        <x:f t="shared" si="49"/>
        <x:v>Tidak ada risiko khusus</x:v>
      </x:c>
      <x:c r="AO266" s="83" t="str">
        <x:f t="shared" si="50"/>
        <x:v>Tidak Ada Risiko Khusus</x:v>
      </x:c>
      <x:c r="AP266" s="67"/>
      <x:c r="AQ266" s="70" t="str">
        <x:f t="shared" si="51"/>
      </x:c>
      <x:c r="AR266" s="70">
        <x:f t="shared" si="52"/>
        <x:v>0</x:v>
      </x:c>
      <x:c r="AS266" s="70" t="str">
        <x:f t="shared" si="53"/>
      </x:c>
      <x:c r="AT266" s="68" t="str">
        <x:f t="shared" si="54"/>
        <x:v>Belum Dapat Ditentukan</x:v>
      </x:c>
      <x:c r="AU266" s="65"/>
      <x:c r="AV266" s="65"/>
      <x:c r="AW266" s="65"/>
      <x:c r="AX266" s="65"/>
      <x:c r="AY266" s="65"/>
      <x:c r="AZ266" s="65"/>
      <x:c r="BA266" s="65"/>
      <x:c r="BB266" s="177"/>
      <x:c r="BC266" s="71"/>
      <x:c r="BD266" s="65"/>
      <x:c r="BE266" s="177"/>
      <x:c r="BF266" s="65"/>
    </x:row>
    <x:row r="267">
      <x:c r="A267" s="65"/>
      <x:c r="B267" s="65"/>
      <x:c r="C267" s="65"/>
      <x:c r="D267" s="65"/>
      <x:c r="E267" s="65"/>
      <x:c r="F267" s="65"/>
      <x:c r="G267" s="65"/>
      <x:c r="H267" s="65"/>
      <x:c r="I267" s="65"/>
      <x:c r="J267" s="65"/>
      <x:c r="K267" s="65"/>
      <x:c r="L267" s="65"/>
      <x:c r="M267" s="65"/>
      <x:c r="N267" s="65"/>
      <x:c r="O267" s="65"/>
      <x:c r="P267" s="65"/>
      <x:c r="Q267" s="85"/>
      <x:c r="R267" s="85"/>
      <x:c r="S267" s="85"/>
      <x:c r="T267" s="85"/>
      <x:c r="U267" s="85"/>
      <x:c r="V267" s="85"/>
      <x:c r="W267" s="66"/>
      <x:c r="X267" s="83" t="str">
        <x:f t="shared" si="44"/>
        <x:v>Tidak ada faktor rentan</x:v>
      </x:c>
      <x:c r="Y267" s="83" t="str">
        <x:f t="shared" si="45"/>
        <x:v>Tidak Ada Faktor Rentan</x:v>
      </x:c>
      <x:c r="Z267" s="84" t="str">
        <x:f t="shared" si="46"/>
      </x:c>
      <x:c r="AA267" s="84">
        <x:f t="shared" si="47"/>
        <x:v>0</x:v>
      </x:c>
      <x:c r="AB267" s="84" t="str">
        <x:f t="shared" si="48"/>
      </x:c>
      <x:c r="AC267" s="67"/>
      <x:c r="AD267" s="67"/>
      <x:c r="AE267" s="67"/>
      <x:c r="AF267" s="67"/>
      <x:c r="AG267" s="67"/>
      <x:c r="AH267" s="67"/>
      <x:c r="AI267" s="67"/>
      <x:c r="AJ267" s="67"/>
      <x:c r="AK267" s="67"/>
      <x:c r="AL267" s="67"/>
      <x:c r="AM267" s="67"/>
      <x:c r="AN267" s="83" t="str">
        <x:f t="shared" si="49"/>
        <x:v>Tidak ada risiko khusus</x:v>
      </x:c>
      <x:c r="AO267" s="83" t="str">
        <x:f t="shared" si="50"/>
        <x:v>Tidak Ada Risiko Khusus</x:v>
      </x:c>
      <x:c r="AP267" s="67"/>
      <x:c r="AQ267" s="70" t="str">
        <x:f t="shared" si="51"/>
      </x:c>
      <x:c r="AR267" s="70">
        <x:f t="shared" si="52"/>
        <x:v>0</x:v>
      </x:c>
      <x:c r="AS267" s="70" t="str">
        <x:f t="shared" si="53"/>
      </x:c>
      <x:c r="AT267" s="68" t="str">
        <x:f t="shared" si="54"/>
        <x:v>Belum Dapat Ditentukan</x:v>
      </x:c>
      <x:c r="AU267" s="65"/>
      <x:c r="AV267" s="65"/>
      <x:c r="AW267" s="65"/>
      <x:c r="AX267" s="65"/>
      <x:c r="AY267" s="65"/>
      <x:c r="AZ267" s="65"/>
      <x:c r="BA267" s="65"/>
      <x:c r="BB267" s="177"/>
      <x:c r="BC267" s="71"/>
      <x:c r="BD267" s="65"/>
      <x:c r="BE267" s="177"/>
      <x:c r="BF267" s="65"/>
    </x:row>
    <x:row r="268">
      <x:c r="A268" s="65"/>
      <x:c r="B268" s="65"/>
      <x:c r="C268" s="65"/>
      <x:c r="D268" s="65"/>
      <x:c r="E268" s="65"/>
      <x:c r="F268" s="65"/>
      <x:c r="G268" s="65"/>
      <x:c r="H268" s="65"/>
      <x:c r="I268" s="65"/>
      <x:c r="J268" s="65"/>
      <x:c r="K268" s="65"/>
      <x:c r="L268" s="65"/>
      <x:c r="M268" s="65"/>
      <x:c r="N268" s="65"/>
      <x:c r="O268" s="65"/>
      <x:c r="P268" s="65"/>
      <x:c r="Q268" s="85"/>
      <x:c r="R268" s="85"/>
      <x:c r="S268" s="85"/>
      <x:c r="T268" s="85"/>
      <x:c r="U268" s="85"/>
      <x:c r="V268" s="85"/>
      <x:c r="W268" s="66"/>
      <x:c r="X268" s="83" t="str">
        <x:f t="shared" si="44"/>
        <x:v>Tidak ada faktor rentan</x:v>
      </x:c>
      <x:c r="Y268" s="83" t="str">
        <x:f t="shared" si="45"/>
        <x:v>Tidak Ada Faktor Rentan</x:v>
      </x:c>
      <x:c r="Z268" s="84" t="str">
        <x:f t="shared" si="46"/>
      </x:c>
      <x:c r="AA268" s="84">
        <x:f t="shared" si="47"/>
        <x:v>0</x:v>
      </x:c>
      <x:c r="AB268" s="84" t="str">
        <x:f t="shared" si="48"/>
      </x:c>
      <x:c r="AC268" s="67"/>
      <x:c r="AD268" s="67"/>
      <x:c r="AE268" s="67"/>
      <x:c r="AF268" s="67"/>
      <x:c r="AG268" s="67"/>
      <x:c r="AH268" s="67"/>
      <x:c r="AI268" s="67"/>
      <x:c r="AJ268" s="67"/>
      <x:c r="AK268" s="67"/>
      <x:c r="AL268" s="67"/>
      <x:c r="AM268" s="67"/>
      <x:c r="AN268" s="83" t="str">
        <x:f t="shared" si="49"/>
        <x:v>Tidak ada risiko khusus</x:v>
      </x:c>
      <x:c r="AO268" s="83" t="str">
        <x:f t="shared" si="50"/>
        <x:v>Tidak Ada Risiko Khusus</x:v>
      </x:c>
      <x:c r="AP268" s="67"/>
      <x:c r="AQ268" s="70" t="str">
        <x:f t="shared" si="51"/>
      </x:c>
      <x:c r="AR268" s="70">
        <x:f t="shared" si="52"/>
        <x:v>0</x:v>
      </x:c>
      <x:c r="AS268" s="70" t="str">
        <x:f t="shared" si="53"/>
      </x:c>
      <x:c r="AT268" s="68" t="str">
        <x:f t="shared" si="54"/>
        <x:v>Belum Dapat Ditentukan</x:v>
      </x:c>
      <x:c r="AU268" s="65"/>
      <x:c r="AV268" s="65"/>
      <x:c r="AW268" s="65"/>
      <x:c r="AX268" s="65"/>
      <x:c r="AY268" s="65"/>
      <x:c r="AZ268" s="65"/>
      <x:c r="BA268" s="65"/>
      <x:c r="BB268" s="177"/>
      <x:c r="BC268" s="71"/>
      <x:c r="BD268" s="65"/>
      <x:c r="BE268" s="177"/>
      <x:c r="BF268" s="65"/>
    </x:row>
    <x:row r="269">
      <x:c r="A269" s="65"/>
      <x:c r="B269" s="65"/>
      <x:c r="C269" s="65"/>
      <x:c r="D269" s="65"/>
      <x:c r="E269" s="65"/>
      <x:c r="F269" s="65"/>
      <x:c r="G269" s="65"/>
      <x:c r="H269" s="65"/>
      <x:c r="I269" s="65"/>
      <x:c r="J269" s="65"/>
      <x:c r="K269" s="65"/>
      <x:c r="L269" s="65"/>
      <x:c r="M269" s="65"/>
      <x:c r="N269" s="65"/>
      <x:c r="O269" s="65"/>
      <x:c r="P269" s="65"/>
      <x:c r="Q269" s="85"/>
      <x:c r="R269" s="85"/>
      <x:c r="S269" s="85"/>
      <x:c r="T269" s="85"/>
      <x:c r="U269" s="85"/>
      <x:c r="V269" s="85"/>
      <x:c r="W269" s="66"/>
      <x:c r="X269" s="83" t="str">
        <x:f t="shared" si="44"/>
        <x:v>Tidak ada faktor rentan</x:v>
      </x:c>
      <x:c r="Y269" s="83" t="str">
        <x:f t="shared" si="45"/>
        <x:v>Tidak Ada Faktor Rentan</x:v>
      </x:c>
      <x:c r="Z269" s="84" t="str">
        <x:f t="shared" si="46"/>
      </x:c>
      <x:c r="AA269" s="84">
        <x:f t="shared" si="47"/>
        <x:v>0</x:v>
      </x:c>
      <x:c r="AB269" s="84" t="str">
        <x:f t="shared" si="48"/>
      </x:c>
      <x:c r="AC269" s="67"/>
      <x:c r="AD269" s="67"/>
      <x:c r="AE269" s="67"/>
      <x:c r="AF269" s="67"/>
      <x:c r="AG269" s="67"/>
      <x:c r="AH269" s="67"/>
      <x:c r="AI269" s="67"/>
      <x:c r="AJ269" s="67"/>
      <x:c r="AK269" s="67"/>
      <x:c r="AL269" s="67"/>
      <x:c r="AM269" s="67"/>
      <x:c r="AN269" s="83" t="str">
        <x:f t="shared" si="49"/>
        <x:v>Tidak ada risiko khusus</x:v>
      </x:c>
      <x:c r="AO269" s="83" t="str">
        <x:f t="shared" si="50"/>
        <x:v>Tidak Ada Risiko Khusus</x:v>
      </x:c>
      <x:c r="AP269" s="67"/>
      <x:c r="AQ269" s="70" t="str">
        <x:f t="shared" si="51"/>
      </x:c>
      <x:c r="AR269" s="70">
        <x:f t="shared" si="52"/>
        <x:v>0</x:v>
      </x:c>
      <x:c r="AS269" s="70" t="str">
        <x:f t="shared" si="53"/>
      </x:c>
      <x:c r="AT269" s="68" t="str">
        <x:f t="shared" si="54"/>
        <x:v>Belum Dapat Ditentukan</x:v>
      </x:c>
      <x:c r="AU269" s="65"/>
      <x:c r="AV269" s="65"/>
      <x:c r="AW269" s="65"/>
      <x:c r="AX269" s="65"/>
      <x:c r="AY269" s="65"/>
      <x:c r="AZ269" s="65"/>
      <x:c r="BA269" s="65"/>
      <x:c r="BB269" s="177"/>
      <x:c r="BC269" s="71"/>
      <x:c r="BD269" s="65"/>
      <x:c r="BE269" s="177"/>
      <x:c r="BF269" s="65"/>
    </x:row>
    <x:row r="270">
      <x:c r="A270" s="65"/>
      <x:c r="B270" s="65"/>
      <x:c r="C270" s="65"/>
      <x:c r="D270" s="65"/>
      <x:c r="E270" s="65"/>
      <x:c r="F270" s="65"/>
      <x:c r="G270" s="65"/>
      <x:c r="H270" s="65"/>
      <x:c r="I270" s="65"/>
      <x:c r="J270" s="65"/>
      <x:c r="K270" s="65"/>
      <x:c r="L270" s="65"/>
      <x:c r="M270" s="65"/>
      <x:c r="N270" s="65"/>
      <x:c r="O270" s="65"/>
      <x:c r="P270" s="65"/>
      <x:c r="Q270" s="85"/>
      <x:c r="R270" s="85"/>
      <x:c r="S270" s="85"/>
      <x:c r="T270" s="85"/>
      <x:c r="U270" s="85"/>
      <x:c r="V270" s="85"/>
      <x:c r="W270" s="66"/>
      <x:c r="X270" s="83" t="str">
        <x:f t="shared" si="44"/>
        <x:v>Tidak ada faktor rentan</x:v>
      </x:c>
      <x:c r="Y270" s="83" t="str">
        <x:f t="shared" si="45"/>
        <x:v>Tidak Ada Faktor Rentan</x:v>
      </x:c>
      <x:c r="Z270" s="84" t="str">
        <x:f t="shared" si="46"/>
      </x:c>
      <x:c r="AA270" s="84">
        <x:f t="shared" si="47"/>
        <x:v>0</x:v>
      </x:c>
      <x:c r="AB270" s="84" t="str">
        <x:f t="shared" si="48"/>
      </x:c>
      <x:c r="AC270" s="67"/>
      <x:c r="AD270" s="67"/>
      <x:c r="AE270" s="67"/>
      <x:c r="AF270" s="67"/>
      <x:c r="AG270" s="67"/>
      <x:c r="AH270" s="67"/>
      <x:c r="AI270" s="67"/>
      <x:c r="AJ270" s="67"/>
      <x:c r="AK270" s="67"/>
      <x:c r="AL270" s="67"/>
      <x:c r="AM270" s="67"/>
      <x:c r="AN270" s="83" t="str">
        <x:f t="shared" si="49"/>
        <x:v>Tidak ada risiko khusus</x:v>
      </x:c>
      <x:c r="AO270" s="83" t="str">
        <x:f t="shared" si="50"/>
        <x:v>Tidak Ada Risiko Khusus</x:v>
      </x:c>
      <x:c r="AP270" s="67"/>
      <x:c r="AQ270" s="70" t="str">
        <x:f t="shared" si="51"/>
      </x:c>
      <x:c r="AR270" s="70">
        <x:f t="shared" si="52"/>
        <x:v>0</x:v>
      </x:c>
      <x:c r="AS270" s="70" t="str">
        <x:f t="shared" si="53"/>
      </x:c>
      <x:c r="AT270" s="68" t="str">
        <x:f t="shared" si="54"/>
        <x:v>Belum Dapat Ditentukan</x:v>
      </x:c>
      <x:c r="AU270" s="65"/>
      <x:c r="AV270" s="65"/>
      <x:c r="AW270" s="65"/>
      <x:c r="AX270" s="65"/>
      <x:c r="AY270" s="65"/>
      <x:c r="AZ270" s="65"/>
      <x:c r="BA270" s="65"/>
      <x:c r="BB270" s="177"/>
      <x:c r="BC270" s="71"/>
      <x:c r="BD270" s="65"/>
      <x:c r="BE270" s="177"/>
      <x:c r="BF270" s="65"/>
    </x:row>
    <x:row r="271">
      <x:c r="A271" s="65"/>
      <x:c r="B271" s="65"/>
      <x:c r="C271" s="65"/>
      <x:c r="D271" s="65"/>
      <x:c r="E271" s="65"/>
      <x:c r="F271" s="65"/>
      <x:c r="G271" s="65"/>
      <x:c r="H271" s="65"/>
      <x:c r="I271" s="65"/>
      <x:c r="J271" s="65"/>
      <x:c r="K271" s="65"/>
      <x:c r="L271" s="65"/>
      <x:c r="M271" s="65"/>
      <x:c r="N271" s="65"/>
      <x:c r="O271" s="65"/>
      <x:c r="P271" s="65"/>
      <x:c r="Q271" s="85"/>
      <x:c r="R271" s="85"/>
      <x:c r="S271" s="85"/>
      <x:c r="T271" s="85"/>
      <x:c r="U271" s="85"/>
      <x:c r="V271" s="85"/>
      <x:c r="W271" s="66"/>
      <x:c r="X271" s="83" t="str">
        <x:f t="shared" si="44"/>
        <x:v>Tidak ada faktor rentan</x:v>
      </x:c>
      <x:c r="Y271" s="83" t="str">
        <x:f t="shared" si="45"/>
        <x:v>Tidak Ada Faktor Rentan</x:v>
      </x:c>
      <x:c r="Z271" s="84" t="str">
        <x:f t="shared" si="46"/>
      </x:c>
      <x:c r="AA271" s="84">
        <x:f t="shared" si="47"/>
        <x:v>0</x:v>
      </x:c>
      <x:c r="AB271" s="84" t="str">
        <x:f t="shared" si="48"/>
      </x:c>
      <x:c r="AC271" s="67"/>
      <x:c r="AD271" s="67"/>
      <x:c r="AE271" s="67"/>
      <x:c r="AF271" s="67"/>
      <x:c r="AG271" s="67"/>
      <x:c r="AH271" s="67"/>
      <x:c r="AI271" s="67"/>
      <x:c r="AJ271" s="67"/>
      <x:c r="AK271" s="67"/>
      <x:c r="AL271" s="67"/>
      <x:c r="AM271" s="67"/>
      <x:c r="AN271" s="83" t="str">
        <x:f t="shared" si="49"/>
        <x:v>Tidak ada risiko khusus</x:v>
      </x:c>
      <x:c r="AO271" s="83" t="str">
        <x:f t="shared" si="50"/>
        <x:v>Tidak Ada Risiko Khusus</x:v>
      </x:c>
      <x:c r="AP271" s="67"/>
      <x:c r="AQ271" s="70" t="str">
        <x:f t="shared" si="51"/>
      </x:c>
      <x:c r="AR271" s="70">
        <x:f t="shared" si="52"/>
        <x:v>0</x:v>
      </x:c>
      <x:c r="AS271" s="70" t="str">
        <x:f t="shared" si="53"/>
      </x:c>
      <x:c r="AT271" s="68" t="str">
        <x:f t="shared" si="54"/>
        <x:v>Belum Dapat Ditentukan</x:v>
      </x:c>
      <x:c r="AU271" s="65"/>
      <x:c r="AV271" s="65"/>
      <x:c r="AW271" s="65"/>
      <x:c r="AX271" s="65"/>
      <x:c r="AY271" s="65"/>
      <x:c r="AZ271" s="65"/>
      <x:c r="BA271" s="65"/>
      <x:c r="BB271" s="177"/>
      <x:c r="BC271" s="71"/>
      <x:c r="BD271" s="65"/>
      <x:c r="BE271" s="177"/>
      <x:c r="BF271" s="65"/>
    </x:row>
    <x:row r="272">
      <x:c r="A272" s="65"/>
      <x:c r="B272" s="65"/>
      <x:c r="C272" s="65"/>
      <x:c r="D272" s="65"/>
      <x:c r="E272" s="65"/>
      <x:c r="F272" s="65"/>
      <x:c r="G272" s="65"/>
      <x:c r="H272" s="65"/>
      <x:c r="I272" s="65"/>
      <x:c r="J272" s="65"/>
      <x:c r="K272" s="65"/>
      <x:c r="L272" s="65"/>
      <x:c r="M272" s="65"/>
      <x:c r="N272" s="65"/>
      <x:c r="O272" s="65"/>
      <x:c r="P272" s="65"/>
      <x:c r="Q272" s="85"/>
      <x:c r="R272" s="85"/>
      <x:c r="S272" s="85"/>
      <x:c r="T272" s="85"/>
      <x:c r="U272" s="85"/>
      <x:c r="V272" s="85"/>
      <x:c r="W272" s="66"/>
      <x:c r="X272" s="83" t="str">
        <x:f t="shared" si="44"/>
        <x:v>Tidak ada faktor rentan</x:v>
      </x:c>
      <x:c r="Y272" s="83" t="str">
        <x:f t="shared" si="45"/>
        <x:v>Tidak Ada Faktor Rentan</x:v>
      </x:c>
      <x:c r="Z272" s="84" t="str">
        <x:f t="shared" si="46"/>
      </x:c>
      <x:c r="AA272" s="84">
        <x:f t="shared" si="47"/>
        <x:v>0</x:v>
      </x:c>
      <x:c r="AB272" s="84" t="str">
        <x:f t="shared" si="48"/>
      </x:c>
      <x:c r="AC272" s="67"/>
      <x:c r="AD272" s="67"/>
      <x:c r="AE272" s="67"/>
      <x:c r="AF272" s="67"/>
      <x:c r="AG272" s="67"/>
      <x:c r="AH272" s="67"/>
      <x:c r="AI272" s="67"/>
      <x:c r="AJ272" s="67"/>
      <x:c r="AK272" s="67"/>
      <x:c r="AL272" s="67"/>
      <x:c r="AM272" s="67"/>
      <x:c r="AN272" s="83" t="str">
        <x:f t="shared" si="49"/>
        <x:v>Tidak ada risiko khusus</x:v>
      </x:c>
      <x:c r="AO272" s="83" t="str">
        <x:f t="shared" si="50"/>
        <x:v>Tidak Ada Risiko Khusus</x:v>
      </x:c>
      <x:c r="AP272" s="67"/>
      <x:c r="AQ272" s="70" t="str">
        <x:f t="shared" si="51"/>
      </x:c>
      <x:c r="AR272" s="70">
        <x:f t="shared" si="52"/>
        <x:v>0</x:v>
      </x:c>
      <x:c r="AS272" s="70" t="str">
        <x:f t="shared" si="53"/>
      </x:c>
      <x:c r="AT272" s="68" t="str">
        <x:f t="shared" si="54"/>
        <x:v>Belum Dapat Ditentukan</x:v>
      </x:c>
      <x:c r="AU272" s="65"/>
      <x:c r="AV272" s="65"/>
      <x:c r="AW272" s="65"/>
      <x:c r="AX272" s="65"/>
      <x:c r="AY272" s="65"/>
      <x:c r="AZ272" s="65"/>
      <x:c r="BA272" s="65"/>
      <x:c r="BB272" s="177"/>
      <x:c r="BC272" s="71"/>
      <x:c r="BD272" s="65"/>
      <x:c r="BE272" s="177"/>
      <x:c r="BF272" s="65"/>
    </x:row>
    <x:row r="273">
      <x:c r="A273" s="65"/>
      <x:c r="B273" s="65"/>
      <x:c r="C273" s="65"/>
      <x:c r="D273" s="65"/>
      <x:c r="E273" s="65"/>
      <x:c r="F273" s="65"/>
      <x:c r="G273" s="65"/>
      <x:c r="H273" s="65"/>
      <x:c r="I273" s="65"/>
      <x:c r="J273" s="65"/>
      <x:c r="K273" s="65"/>
      <x:c r="L273" s="65"/>
      <x:c r="M273" s="65"/>
      <x:c r="N273" s="65"/>
      <x:c r="O273" s="65"/>
      <x:c r="P273" s="65"/>
      <x:c r="Q273" s="85"/>
      <x:c r="R273" s="85"/>
      <x:c r="S273" s="85"/>
      <x:c r="T273" s="85"/>
      <x:c r="U273" s="85"/>
      <x:c r="V273" s="85"/>
      <x:c r="W273" s="66"/>
      <x:c r="X273" s="83" t="str">
        <x:f t="shared" si="44"/>
        <x:v>Tidak ada faktor rentan</x:v>
      </x:c>
      <x:c r="Y273" s="83" t="str">
        <x:f t="shared" si="45"/>
        <x:v>Tidak Ada Faktor Rentan</x:v>
      </x:c>
      <x:c r="Z273" s="84" t="str">
        <x:f t="shared" si="46"/>
      </x:c>
      <x:c r="AA273" s="84">
        <x:f t="shared" si="47"/>
        <x:v>0</x:v>
      </x:c>
      <x:c r="AB273" s="84" t="str">
        <x:f t="shared" si="48"/>
      </x:c>
      <x:c r="AC273" s="67"/>
      <x:c r="AD273" s="67"/>
      <x:c r="AE273" s="67"/>
      <x:c r="AF273" s="67"/>
      <x:c r="AG273" s="67"/>
      <x:c r="AH273" s="67"/>
      <x:c r="AI273" s="67"/>
      <x:c r="AJ273" s="67"/>
      <x:c r="AK273" s="67"/>
      <x:c r="AL273" s="67"/>
      <x:c r="AM273" s="67"/>
      <x:c r="AN273" s="83" t="str">
        <x:f t="shared" si="49"/>
        <x:v>Tidak ada risiko khusus</x:v>
      </x:c>
      <x:c r="AO273" s="83" t="str">
        <x:f t="shared" si="50"/>
        <x:v>Tidak Ada Risiko Khusus</x:v>
      </x:c>
      <x:c r="AP273" s="67"/>
      <x:c r="AQ273" s="70" t="str">
        <x:f t="shared" si="51"/>
      </x:c>
      <x:c r="AR273" s="70">
        <x:f t="shared" si="52"/>
        <x:v>0</x:v>
      </x:c>
      <x:c r="AS273" s="70" t="str">
        <x:f t="shared" si="53"/>
      </x:c>
      <x:c r="AT273" s="68" t="str">
        <x:f t="shared" si="54"/>
        <x:v>Belum Dapat Ditentukan</x:v>
      </x:c>
      <x:c r="AU273" s="65"/>
      <x:c r="AV273" s="65"/>
      <x:c r="AW273" s="65"/>
      <x:c r="AX273" s="65"/>
      <x:c r="AY273" s="65"/>
      <x:c r="AZ273" s="65"/>
      <x:c r="BA273" s="65"/>
      <x:c r="BB273" s="177"/>
      <x:c r="BC273" s="71"/>
      <x:c r="BD273" s="65"/>
      <x:c r="BE273" s="177"/>
      <x:c r="BF273" s="65"/>
    </x:row>
    <x:row r="274">
      <x:c r="A274" s="65"/>
      <x:c r="B274" s="65"/>
      <x:c r="C274" s="65"/>
      <x:c r="D274" s="65"/>
      <x:c r="E274" s="65"/>
      <x:c r="F274" s="65"/>
      <x:c r="G274" s="65"/>
      <x:c r="H274" s="65"/>
      <x:c r="I274" s="65"/>
      <x:c r="J274" s="65"/>
      <x:c r="K274" s="65"/>
      <x:c r="L274" s="65"/>
      <x:c r="M274" s="65"/>
      <x:c r="N274" s="65"/>
      <x:c r="O274" s="65"/>
      <x:c r="P274" s="65"/>
      <x:c r="Q274" s="85"/>
      <x:c r="R274" s="85"/>
      <x:c r="S274" s="85"/>
      <x:c r="T274" s="85"/>
      <x:c r="U274" s="85"/>
      <x:c r="V274" s="85"/>
      <x:c r="W274" s="66"/>
      <x:c r="X274" s="83" t="str">
        <x:f t="shared" si="44"/>
        <x:v>Tidak ada faktor rentan</x:v>
      </x:c>
      <x:c r="Y274" s="83" t="str">
        <x:f t="shared" si="45"/>
        <x:v>Tidak Ada Faktor Rentan</x:v>
      </x:c>
      <x:c r="Z274" s="84" t="str">
        <x:f t="shared" si="46"/>
      </x:c>
      <x:c r="AA274" s="84">
        <x:f t="shared" si="47"/>
        <x:v>0</x:v>
      </x:c>
      <x:c r="AB274" s="84" t="str">
        <x:f t="shared" si="48"/>
      </x:c>
      <x:c r="AC274" s="67"/>
      <x:c r="AD274" s="67"/>
      <x:c r="AE274" s="67"/>
      <x:c r="AF274" s="67"/>
      <x:c r="AG274" s="67"/>
      <x:c r="AH274" s="67"/>
      <x:c r="AI274" s="67"/>
      <x:c r="AJ274" s="67"/>
      <x:c r="AK274" s="67"/>
      <x:c r="AL274" s="67"/>
      <x:c r="AM274" s="67"/>
      <x:c r="AN274" s="83" t="str">
        <x:f t="shared" si="49"/>
        <x:v>Tidak ada risiko khusus</x:v>
      </x:c>
      <x:c r="AO274" s="83" t="str">
        <x:f t="shared" si="50"/>
        <x:v>Tidak Ada Risiko Khusus</x:v>
      </x:c>
      <x:c r="AP274" s="67"/>
      <x:c r="AQ274" s="70" t="str">
        <x:f t="shared" si="51"/>
      </x:c>
      <x:c r="AR274" s="70">
        <x:f t="shared" si="52"/>
        <x:v>0</x:v>
      </x:c>
      <x:c r="AS274" s="70" t="str">
        <x:f t="shared" si="53"/>
      </x:c>
      <x:c r="AT274" s="68" t="str">
        <x:f t="shared" si="54"/>
        <x:v>Belum Dapat Ditentukan</x:v>
      </x:c>
      <x:c r="AU274" s="65"/>
      <x:c r="AV274" s="65"/>
      <x:c r="AW274" s="65"/>
      <x:c r="AX274" s="65"/>
      <x:c r="AY274" s="65"/>
      <x:c r="AZ274" s="65"/>
      <x:c r="BA274" s="65"/>
      <x:c r="BB274" s="177"/>
      <x:c r="BC274" s="71"/>
      <x:c r="BD274" s="65"/>
      <x:c r="BE274" s="177"/>
      <x:c r="BF274" s="65"/>
    </x:row>
    <x:row r="275">
      <x:c r="A275" s="65"/>
      <x:c r="B275" s="65"/>
      <x:c r="C275" s="65"/>
      <x:c r="D275" s="65"/>
      <x:c r="E275" s="65"/>
      <x:c r="F275" s="65"/>
      <x:c r="G275" s="65"/>
      <x:c r="H275" s="65"/>
      <x:c r="I275" s="65"/>
      <x:c r="J275" s="65"/>
      <x:c r="K275" s="65"/>
      <x:c r="L275" s="65"/>
      <x:c r="M275" s="65"/>
      <x:c r="N275" s="65"/>
      <x:c r="O275" s="65"/>
      <x:c r="P275" s="65"/>
      <x:c r="Q275" s="85"/>
      <x:c r="R275" s="85"/>
      <x:c r="S275" s="85"/>
      <x:c r="T275" s="85"/>
      <x:c r="U275" s="85"/>
      <x:c r="V275" s="85"/>
      <x:c r="W275" s="66"/>
      <x:c r="X275" s="83" t="str">
        <x:f t="shared" si="44"/>
        <x:v>Tidak ada faktor rentan</x:v>
      </x:c>
      <x:c r="Y275" s="83" t="str">
        <x:f t="shared" si="45"/>
        <x:v>Tidak Ada Faktor Rentan</x:v>
      </x:c>
      <x:c r="Z275" s="84" t="str">
        <x:f t="shared" si="46"/>
      </x:c>
      <x:c r="AA275" s="84">
        <x:f t="shared" si="47"/>
        <x:v>0</x:v>
      </x:c>
      <x:c r="AB275" s="84" t="str">
        <x:f t="shared" si="48"/>
      </x:c>
      <x:c r="AC275" s="67"/>
      <x:c r="AD275" s="67"/>
      <x:c r="AE275" s="67"/>
      <x:c r="AF275" s="67"/>
      <x:c r="AG275" s="67"/>
      <x:c r="AH275" s="67"/>
      <x:c r="AI275" s="67"/>
      <x:c r="AJ275" s="67"/>
      <x:c r="AK275" s="67"/>
      <x:c r="AL275" s="67"/>
      <x:c r="AM275" s="67"/>
      <x:c r="AN275" s="83" t="str">
        <x:f t="shared" si="49"/>
        <x:v>Tidak ada risiko khusus</x:v>
      </x:c>
      <x:c r="AO275" s="83" t="str">
        <x:f t="shared" si="50"/>
        <x:v>Tidak Ada Risiko Khusus</x:v>
      </x:c>
      <x:c r="AP275" s="67"/>
      <x:c r="AQ275" s="70" t="str">
        <x:f t="shared" si="51"/>
      </x:c>
      <x:c r="AR275" s="70">
        <x:f t="shared" si="52"/>
        <x:v>0</x:v>
      </x:c>
      <x:c r="AS275" s="70" t="str">
        <x:f t="shared" si="53"/>
      </x:c>
      <x:c r="AT275" s="68" t="str">
        <x:f t="shared" si="54"/>
        <x:v>Belum Dapat Ditentukan</x:v>
      </x:c>
      <x:c r="AU275" s="65"/>
      <x:c r="AV275" s="65"/>
      <x:c r="AW275" s="65"/>
      <x:c r="AX275" s="65"/>
      <x:c r="AY275" s="65"/>
      <x:c r="AZ275" s="65"/>
      <x:c r="BA275" s="65"/>
      <x:c r="BB275" s="177"/>
      <x:c r="BC275" s="71"/>
      <x:c r="BD275" s="65"/>
      <x:c r="BE275" s="177"/>
      <x:c r="BF275" s="65"/>
    </x:row>
    <x:row r="276">
      <x:c r="A276" s="65"/>
      <x:c r="B276" s="65"/>
      <x:c r="C276" s="65"/>
      <x:c r="D276" s="65"/>
      <x:c r="E276" s="65"/>
      <x:c r="F276" s="65"/>
      <x:c r="G276" s="65"/>
      <x:c r="H276" s="65"/>
      <x:c r="I276" s="65"/>
      <x:c r="J276" s="65"/>
      <x:c r="K276" s="65"/>
      <x:c r="L276" s="65"/>
      <x:c r="M276" s="65"/>
      <x:c r="N276" s="65"/>
      <x:c r="O276" s="65"/>
      <x:c r="P276" s="65"/>
      <x:c r="Q276" s="85"/>
      <x:c r="R276" s="85"/>
      <x:c r="S276" s="85"/>
      <x:c r="T276" s="85"/>
      <x:c r="U276" s="85"/>
      <x:c r="V276" s="85"/>
      <x:c r="W276" s="66"/>
      <x:c r="X276" s="83" t="str">
        <x:f t="shared" si="44"/>
        <x:v>Tidak ada faktor rentan</x:v>
      </x:c>
      <x:c r="Y276" s="83" t="str">
        <x:f t="shared" si="45"/>
        <x:v>Tidak Ada Faktor Rentan</x:v>
      </x:c>
      <x:c r="Z276" s="84" t="str">
        <x:f t="shared" si="46"/>
      </x:c>
      <x:c r="AA276" s="84">
        <x:f t="shared" si="47"/>
        <x:v>0</x:v>
      </x:c>
      <x:c r="AB276" s="84" t="str">
        <x:f t="shared" si="48"/>
      </x:c>
      <x:c r="AC276" s="67"/>
      <x:c r="AD276" s="67"/>
      <x:c r="AE276" s="67"/>
      <x:c r="AF276" s="67"/>
      <x:c r="AG276" s="67"/>
      <x:c r="AH276" s="67"/>
      <x:c r="AI276" s="67"/>
      <x:c r="AJ276" s="67"/>
      <x:c r="AK276" s="67"/>
      <x:c r="AL276" s="67"/>
      <x:c r="AM276" s="67"/>
      <x:c r="AN276" s="83" t="str">
        <x:f t="shared" si="49"/>
        <x:v>Tidak ada risiko khusus</x:v>
      </x:c>
      <x:c r="AO276" s="83" t="str">
        <x:f t="shared" si="50"/>
        <x:v>Tidak Ada Risiko Khusus</x:v>
      </x:c>
      <x:c r="AP276" s="67"/>
      <x:c r="AQ276" s="70" t="str">
        <x:f t="shared" si="51"/>
      </x:c>
      <x:c r="AR276" s="70">
        <x:f t="shared" si="52"/>
        <x:v>0</x:v>
      </x:c>
      <x:c r="AS276" s="70" t="str">
        <x:f t="shared" si="53"/>
      </x:c>
      <x:c r="AT276" s="68" t="str">
        <x:f t="shared" si="54"/>
        <x:v>Belum Dapat Ditentukan</x:v>
      </x:c>
      <x:c r="AU276" s="65"/>
      <x:c r="AV276" s="65"/>
      <x:c r="AW276" s="65"/>
      <x:c r="AX276" s="65"/>
      <x:c r="AY276" s="65"/>
      <x:c r="AZ276" s="65"/>
      <x:c r="BA276" s="65"/>
      <x:c r="BB276" s="177"/>
      <x:c r="BC276" s="71"/>
      <x:c r="BD276" s="65"/>
      <x:c r="BE276" s="177"/>
      <x:c r="BF276" s="65"/>
    </x:row>
    <x:row r="277">
      <x:c r="A277" s="65"/>
      <x:c r="B277" s="65"/>
      <x:c r="C277" s="65"/>
      <x:c r="D277" s="65"/>
      <x:c r="E277" s="65"/>
      <x:c r="F277" s="65"/>
      <x:c r="G277" s="65"/>
      <x:c r="H277" s="65"/>
      <x:c r="I277" s="65"/>
      <x:c r="J277" s="65"/>
      <x:c r="K277" s="65"/>
      <x:c r="L277" s="65"/>
      <x:c r="M277" s="65"/>
      <x:c r="N277" s="65"/>
      <x:c r="O277" s="65"/>
      <x:c r="P277" s="65"/>
      <x:c r="Q277" s="85"/>
      <x:c r="R277" s="85"/>
      <x:c r="S277" s="85"/>
      <x:c r="T277" s="85"/>
      <x:c r="U277" s="85"/>
      <x:c r="V277" s="85"/>
      <x:c r="W277" s="66"/>
      <x:c r="X277" s="83" t="str">
        <x:f t="shared" si="44"/>
        <x:v>Tidak ada faktor rentan</x:v>
      </x:c>
      <x:c r="Y277" s="83" t="str">
        <x:f t="shared" si="45"/>
        <x:v>Tidak Ada Faktor Rentan</x:v>
      </x:c>
      <x:c r="Z277" s="84" t="str">
        <x:f t="shared" si="46"/>
      </x:c>
      <x:c r="AA277" s="84">
        <x:f t="shared" si="47"/>
        <x:v>0</x:v>
      </x:c>
      <x:c r="AB277" s="84" t="str">
        <x:f t="shared" si="48"/>
      </x:c>
      <x:c r="AC277" s="67"/>
      <x:c r="AD277" s="67"/>
      <x:c r="AE277" s="67"/>
      <x:c r="AF277" s="67"/>
      <x:c r="AG277" s="67"/>
      <x:c r="AH277" s="67"/>
      <x:c r="AI277" s="67"/>
      <x:c r="AJ277" s="67"/>
      <x:c r="AK277" s="67"/>
      <x:c r="AL277" s="67"/>
      <x:c r="AM277" s="67"/>
      <x:c r="AN277" s="83" t="str">
        <x:f t="shared" si="49"/>
        <x:v>Tidak ada risiko khusus</x:v>
      </x:c>
      <x:c r="AO277" s="83" t="str">
        <x:f t="shared" si="50"/>
        <x:v>Tidak Ada Risiko Khusus</x:v>
      </x:c>
      <x:c r="AP277" s="67"/>
      <x:c r="AQ277" s="70" t="str">
        <x:f t="shared" si="51"/>
      </x:c>
      <x:c r="AR277" s="70">
        <x:f t="shared" si="52"/>
        <x:v>0</x:v>
      </x:c>
      <x:c r="AS277" s="70" t="str">
        <x:f t="shared" si="53"/>
      </x:c>
      <x:c r="AT277" s="68" t="str">
        <x:f t="shared" si="54"/>
        <x:v>Belum Dapat Ditentukan</x:v>
      </x:c>
      <x:c r="AU277" s="65"/>
      <x:c r="AV277" s="65"/>
      <x:c r="AW277" s="65"/>
      <x:c r="AX277" s="65"/>
      <x:c r="AY277" s="65"/>
      <x:c r="AZ277" s="65"/>
      <x:c r="BA277" s="65"/>
      <x:c r="BB277" s="177"/>
      <x:c r="BC277" s="71"/>
      <x:c r="BD277" s="65"/>
      <x:c r="BE277" s="177"/>
      <x:c r="BF277" s="65"/>
    </x:row>
    <x:row r="278">
      <x:c r="A278" s="65"/>
      <x:c r="B278" s="65"/>
      <x:c r="C278" s="65"/>
      <x:c r="D278" s="65"/>
      <x:c r="E278" s="65"/>
      <x:c r="F278" s="65"/>
      <x:c r="G278" s="65"/>
      <x:c r="H278" s="65"/>
      <x:c r="I278" s="65"/>
      <x:c r="J278" s="65"/>
      <x:c r="K278" s="65"/>
      <x:c r="L278" s="65"/>
      <x:c r="M278" s="65"/>
      <x:c r="N278" s="65"/>
      <x:c r="O278" s="65"/>
      <x:c r="P278" s="65"/>
      <x:c r="Q278" s="85"/>
      <x:c r="R278" s="85"/>
      <x:c r="S278" s="85"/>
      <x:c r="T278" s="85"/>
      <x:c r="U278" s="85"/>
      <x:c r="V278" s="85"/>
      <x:c r="W278" s="66"/>
      <x:c r="X278" s="83" t="str">
        <x:f t="shared" si="44"/>
        <x:v>Tidak ada faktor rentan</x:v>
      </x:c>
      <x:c r="Y278" s="83" t="str">
        <x:f t="shared" si="45"/>
        <x:v>Tidak Ada Faktor Rentan</x:v>
      </x:c>
      <x:c r="Z278" s="84" t="str">
        <x:f t="shared" si="46"/>
      </x:c>
      <x:c r="AA278" s="84">
        <x:f t="shared" si="47"/>
        <x:v>0</x:v>
      </x:c>
      <x:c r="AB278" s="84" t="str">
        <x:f t="shared" si="48"/>
      </x:c>
      <x:c r="AC278" s="67"/>
      <x:c r="AD278" s="67"/>
      <x:c r="AE278" s="67"/>
      <x:c r="AF278" s="67"/>
      <x:c r="AG278" s="67"/>
      <x:c r="AH278" s="67"/>
      <x:c r="AI278" s="67"/>
      <x:c r="AJ278" s="67"/>
      <x:c r="AK278" s="67"/>
      <x:c r="AL278" s="67"/>
      <x:c r="AM278" s="67"/>
      <x:c r="AN278" s="83" t="str">
        <x:f t="shared" si="49"/>
        <x:v>Tidak ada risiko khusus</x:v>
      </x:c>
      <x:c r="AO278" s="83" t="str">
        <x:f t="shared" si="50"/>
        <x:v>Tidak Ada Risiko Khusus</x:v>
      </x:c>
      <x:c r="AP278" s="67"/>
      <x:c r="AQ278" s="70" t="str">
        <x:f t="shared" si="51"/>
      </x:c>
      <x:c r="AR278" s="70">
        <x:f t="shared" si="52"/>
        <x:v>0</x:v>
      </x:c>
      <x:c r="AS278" s="70" t="str">
        <x:f t="shared" si="53"/>
      </x:c>
      <x:c r="AT278" s="68" t="str">
        <x:f t="shared" si="54"/>
        <x:v>Belum Dapat Ditentukan</x:v>
      </x:c>
      <x:c r="AU278" s="65"/>
      <x:c r="AV278" s="65"/>
      <x:c r="AW278" s="65"/>
      <x:c r="AX278" s="65"/>
      <x:c r="AY278" s="65"/>
      <x:c r="AZ278" s="65"/>
      <x:c r="BA278" s="65"/>
      <x:c r="BB278" s="177"/>
      <x:c r="BC278" s="71"/>
      <x:c r="BD278" s="65"/>
      <x:c r="BE278" s="177"/>
      <x:c r="BF278" s="65"/>
    </x:row>
    <x:row r="279">
      <x:c r="A279" s="65"/>
      <x:c r="B279" s="65"/>
      <x:c r="C279" s="65"/>
      <x:c r="D279" s="65"/>
      <x:c r="E279" s="65"/>
      <x:c r="F279" s="65"/>
      <x:c r="G279" s="65"/>
      <x:c r="H279" s="65"/>
      <x:c r="I279" s="65"/>
      <x:c r="J279" s="65"/>
      <x:c r="K279" s="65"/>
      <x:c r="L279" s="65"/>
      <x:c r="M279" s="65"/>
      <x:c r="N279" s="65"/>
      <x:c r="O279" s="65"/>
      <x:c r="P279" s="65"/>
      <x:c r="Q279" s="85"/>
      <x:c r="R279" s="85"/>
      <x:c r="S279" s="85"/>
      <x:c r="T279" s="85"/>
      <x:c r="U279" s="85"/>
      <x:c r="V279" s="85"/>
      <x:c r="W279" s="66"/>
      <x:c r="X279" s="83" t="str">
        <x:f t="shared" si="44"/>
        <x:v>Tidak ada faktor rentan</x:v>
      </x:c>
      <x:c r="Y279" s="83" t="str">
        <x:f t="shared" si="45"/>
        <x:v>Tidak Ada Faktor Rentan</x:v>
      </x:c>
      <x:c r="Z279" s="84" t="str">
        <x:f t="shared" si="46"/>
      </x:c>
      <x:c r="AA279" s="84">
        <x:f t="shared" si="47"/>
        <x:v>0</x:v>
      </x:c>
      <x:c r="AB279" s="84" t="str">
        <x:f t="shared" si="48"/>
      </x:c>
      <x:c r="AC279" s="67"/>
      <x:c r="AD279" s="67"/>
      <x:c r="AE279" s="67"/>
      <x:c r="AF279" s="67"/>
      <x:c r="AG279" s="67"/>
      <x:c r="AH279" s="67"/>
      <x:c r="AI279" s="67"/>
      <x:c r="AJ279" s="67"/>
      <x:c r="AK279" s="67"/>
      <x:c r="AL279" s="67"/>
      <x:c r="AM279" s="67"/>
      <x:c r="AN279" s="83" t="str">
        <x:f t="shared" si="49"/>
        <x:v>Tidak ada risiko khusus</x:v>
      </x:c>
      <x:c r="AO279" s="83" t="str">
        <x:f t="shared" si="50"/>
        <x:v>Tidak Ada Risiko Khusus</x:v>
      </x:c>
      <x:c r="AP279" s="67"/>
      <x:c r="AQ279" s="70" t="str">
        <x:f t="shared" si="51"/>
      </x:c>
      <x:c r="AR279" s="70">
        <x:f t="shared" si="52"/>
        <x:v>0</x:v>
      </x:c>
      <x:c r="AS279" s="70" t="str">
        <x:f t="shared" si="53"/>
      </x:c>
      <x:c r="AT279" s="68" t="str">
        <x:f t="shared" si="54"/>
        <x:v>Belum Dapat Ditentukan</x:v>
      </x:c>
      <x:c r="AU279" s="65"/>
      <x:c r="AV279" s="65"/>
      <x:c r="AW279" s="65"/>
      <x:c r="AX279" s="65"/>
      <x:c r="AY279" s="65"/>
      <x:c r="AZ279" s="65"/>
      <x:c r="BA279" s="65"/>
      <x:c r="BB279" s="177"/>
      <x:c r="BC279" s="71"/>
      <x:c r="BD279" s="65"/>
      <x:c r="BE279" s="177"/>
      <x:c r="BF279" s="65"/>
    </x:row>
    <x:row r="280">
      <x:c r="A280" s="65"/>
      <x:c r="B280" s="65"/>
      <x:c r="C280" s="65"/>
      <x:c r="D280" s="65"/>
      <x:c r="E280" s="65"/>
      <x:c r="F280" s="65"/>
      <x:c r="G280" s="65"/>
      <x:c r="H280" s="65"/>
      <x:c r="I280" s="65"/>
      <x:c r="J280" s="65"/>
      <x:c r="K280" s="65"/>
      <x:c r="L280" s="65"/>
      <x:c r="M280" s="65"/>
      <x:c r="N280" s="65"/>
      <x:c r="O280" s="65"/>
      <x:c r="P280" s="65"/>
      <x:c r="Q280" s="85"/>
      <x:c r="R280" s="85"/>
      <x:c r="S280" s="85"/>
      <x:c r="T280" s="85"/>
      <x:c r="U280" s="85"/>
      <x:c r="V280" s="85"/>
      <x:c r="W280" s="66"/>
      <x:c r="X280" s="83" t="str">
        <x:f t="shared" si="44"/>
        <x:v>Tidak ada faktor rentan</x:v>
      </x:c>
      <x:c r="Y280" s="83" t="str">
        <x:f t="shared" si="45"/>
        <x:v>Tidak Ada Faktor Rentan</x:v>
      </x:c>
      <x:c r="Z280" s="84" t="str">
        <x:f t="shared" si="46"/>
      </x:c>
      <x:c r="AA280" s="84">
        <x:f t="shared" si="47"/>
        <x:v>0</x:v>
      </x:c>
      <x:c r="AB280" s="84" t="str">
        <x:f t="shared" si="48"/>
      </x:c>
      <x:c r="AC280" s="67"/>
      <x:c r="AD280" s="67"/>
      <x:c r="AE280" s="67"/>
      <x:c r="AF280" s="67"/>
      <x:c r="AG280" s="67"/>
      <x:c r="AH280" s="67"/>
      <x:c r="AI280" s="67"/>
      <x:c r="AJ280" s="67"/>
      <x:c r="AK280" s="67"/>
      <x:c r="AL280" s="67"/>
      <x:c r="AM280" s="67"/>
      <x:c r="AN280" s="83" t="str">
        <x:f t="shared" si="49"/>
        <x:v>Tidak ada risiko khusus</x:v>
      </x:c>
      <x:c r="AO280" s="83" t="str">
        <x:f t="shared" si="50"/>
        <x:v>Tidak Ada Risiko Khusus</x:v>
      </x:c>
      <x:c r="AP280" s="67"/>
      <x:c r="AQ280" s="70" t="str">
        <x:f t="shared" si="51"/>
      </x:c>
      <x:c r="AR280" s="70">
        <x:f t="shared" si="52"/>
        <x:v>0</x:v>
      </x:c>
      <x:c r="AS280" s="70" t="str">
        <x:f t="shared" si="53"/>
      </x:c>
      <x:c r="AT280" s="68" t="str">
        <x:f t="shared" si="54"/>
        <x:v>Belum Dapat Ditentukan</x:v>
      </x:c>
      <x:c r="AU280" s="65"/>
      <x:c r="AV280" s="65"/>
      <x:c r="AW280" s="65"/>
      <x:c r="AX280" s="65"/>
      <x:c r="AY280" s="65"/>
      <x:c r="AZ280" s="65"/>
      <x:c r="BA280" s="65"/>
      <x:c r="BB280" s="177"/>
      <x:c r="BC280" s="71"/>
      <x:c r="BD280" s="65"/>
      <x:c r="BE280" s="177"/>
      <x:c r="BF280" s="65"/>
    </x:row>
    <x:row r="281">
      <x:c r="A281" s="65"/>
      <x:c r="B281" s="65"/>
      <x:c r="C281" s="65"/>
      <x:c r="D281" s="65"/>
      <x:c r="E281" s="65"/>
      <x:c r="F281" s="65"/>
      <x:c r="G281" s="65"/>
      <x:c r="H281" s="65"/>
      <x:c r="I281" s="65"/>
      <x:c r="J281" s="65"/>
      <x:c r="K281" s="65"/>
      <x:c r="L281" s="65"/>
      <x:c r="M281" s="65"/>
      <x:c r="N281" s="65"/>
      <x:c r="O281" s="65"/>
      <x:c r="P281" s="65"/>
      <x:c r="Q281" s="85"/>
      <x:c r="R281" s="85"/>
      <x:c r="S281" s="85"/>
      <x:c r="T281" s="85"/>
      <x:c r="U281" s="85"/>
      <x:c r="V281" s="85"/>
      <x:c r="W281" s="66"/>
      <x:c r="X281" s="83" t="str">
        <x:f t="shared" si="44"/>
        <x:v>Tidak ada faktor rentan</x:v>
      </x:c>
      <x:c r="Y281" s="83" t="str">
        <x:f t="shared" si="45"/>
        <x:v>Tidak Ada Faktor Rentan</x:v>
      </x:c>
      <x:c r="Z281" s="84" t="str">
        <x:f t="shared" si="46"/>
      </x:c>
      <x:c r="AA281" s="84">
        <x:f t="shared" si="47"/>
        <x:v>0</x:v>
      </x:c>
      <x:c r="AB281" s="84" t="str">
        <x:f t="shared" si="48"/>
      </x:c>
      <x:c r="AC281" s="67"/>
      <x:c r="AD281" s="67"/>
      <x:c r="AE281" s="67"/>
      <x:c r="AF281" s="67"/>
      <x:c r="AG281" s="67"/>
      <x:c r="AH281" s="67"/>
      <x:c r="AI281" s="67"/>
      <x:c r="AJ281" s="67"/>
      <x:c r="AK281" s="67"/>
      <x:c r="AL281" s="67"/>
      <x:c r="AM281" s="67"/>
      <x:c r="AN281" s="83" t="str">
        <x:f t="shared" si="49"/>
        <x:v>Tidak ada risiko khusus</x:v>
      </x:c>
      <x:c r="AO281" s="83" t="str">
        <x:f t="shared" si="50"/>
        <x:v>Tidak Ada Risiko Khusus</x:v>
      </x:c>
      <x:c r="AP281" s="67"/>
      <x:c r="AQ281" s="70" t="str">
        <x:f t="shared" si="51"/>
      </x:c>
      <x:c r="AR281" s="70">
        <x:f t="shared" si="52"/>
        <x:v>0</x:v>
      </x:c>
      <x:c r="AS281" s="70" t="str">
        <x:f t="shared" si="53"/>
      </x:c>
      <x:c r="AT281" s="68" t="str">
        <x:f t="shared" si="54"/>
        <x:v>Belum Dapat Ditentukan</x:v>
      </x:c>
      <x:c r="AU281" s="65"/>
      <x:c r="AV281" s="65"/>
      <x:c r="AW281" s="65"/>
      <x:c r="AX281" s="65"/>
      <x:c r="AY281" s="65"/>
      <x:c r="AZ281" s="65"/>
      <x:c r="BA281" s="65"/>
      <x:c r="BB281" s="177"/>
      <x:c r="BC281" s="71"/>
      <x:c r="BD281" s="65"/>
      <x:c r="BE281" s="177"/>
      <x:c r="BF281" s="65"/>
    </x:row>
    <x:row r="282">
      <x:c r="A282" s="65"/>
      <x:c r="B282" s="65"/>
      <x:c r="C282" s="65"/>
      <x:c r="D282" s="65"/>
      <x:c r="E282" s="65"/>
      <x:c r="F282" s="65"/>
      <x:c r="G282" s="65"/>
      <x:c r="H282" s="65"/>
      <x:c r="I282" s="65"/>
      <x:c r="J282" s="65"/>
      <x:c r="K282" s="65"/>
      <x:c r="L282" s="65"/>
      <x:c r="M282" s="65"/>
      <x:c r="N282" s="65"/>
      <x:c r="O282" s="65"/>
      <x:c r="P282" s="65"/>
      <x:c r="Q282" s="85"/>
      <x:c r="R282" s="85"/>
      <x:c r="S282" s="85"/>
      <x:c r="T282" s="85"/>
      <x:c r="U282" s="85"/>
      <x:c r="V282" s="85"/>
      <x:c r="W282" s="66"/>
      <x:c r="X282" s="83" t="str">
        <x:f t="shared" si="44"/>
        <x:v>Tidak ada faktor rentan</x:v>
      </x:c>
      <x:c r="Y282" s="83" t="str">
        <x:f t="shared" si="45"/>
        <x:v>Tidak Ada Faktor Rentan</x:v>
      </x:c>
      <x:c r="Z282" s="84" t="str">
        <x:f t="shared" si="46"/>
      </x:c>
      <x:c r="AA282" s="84">
        <x:f t="shared" si="47"/>
        <x:v>0</x:v>
      </x:c>
      <x:c r="AB282" s="84" t="str">
        <x:f t="shared" si="48"/>
      </x:c>
      <x:c r="AC282" s="67"/>
      <x:c r="AD282" s="67"/>
      <x:c r="AE282" s="67"/>
      <x:c r="AF282" s="67"/>
      <x:c r="AG282" s="67"/>
      <x:c r="AH282" s="67"/>
      <x:c r="AI282" s="67"/>
      <x:c r="AJ282" s="67"/>
      <x:c r="AK282" s="67"/>
      <x:c r="AL282" s="67"/>
      <x:c r="AM282" s="67"/>
      <x:c r="AN282" s="83" t="str">
        <x:f t="shared" si="49"/>
        <x:v>Tidak ada risiko khusus</x:v>
      </x:c>
      <x:c r="AO282" s="83" t="str">
        <x:f t="shared" si="50"/>
        <x:v>Tidak Ada Risiko Khusus</x:v>
      </x:c>
      <x:c r="AP282" s="67"/>
      <x:c r="AQ282" s="70" t="str">
        <x:f t="shared" si="51"/>
      </x:c>
      <x:c r="AR282" s="70">
        <x:f t="shared" si="52"/>
        <x:v>0</x:v>
      </x:c>
      <x:c r="AS282" s="70" t="str">
        <x:f t="shared" si="53"/>
      </x:c>
      <x:c r="AT282" s="68" t="str">
        <x:f t="shared" si="54"/>
        <x:v>Belum Dapat Ditentukan</x:v>
      </x:c>
      <x:c r="AU282" s="65"/>
      <x:c r="AV282" s="65"/>
      <x:c r="AW282" s="65"/>
      <x:c r="AX282" s="65"/>
      <x:c r="AY282" s="65"/>
      <x:c r="AZ282" s="65"/>
      <x:c r="BA282" s="65"/>
      <x:c r="BB282" s="177"/>
      <x:c r="BC282" s="71"/>
      <x:c r="BD282" s="65"/>
      <x:c r="BE282" s="177"/>
      <x:c r="BF282" s="65"/>
    </x:row>
    <x:row r="283">
      <x:c r="A283" s="65"/>
      <x:c r="B283" s="65"/>
      <x:c r="C283" s="65"/>
      <x:c r="D283" s="65"/>
      <x:c r="E283" s="65"/>
      <x:c r="F283" s="65"/>
      <x:c r="G283" s="65"/>
      <x:c r="H283" s="65"/>
      <x:c r="I283" s="65"/>
      <x:c r="J283" s="65"/>
      <x:c r="K283" s="65"/>
      <x:c r="L283" s="65"/>
      <x:c r="M283" s="65"/>
      <x:c r="N283" s="65"/>
      <x:c r="O283" s="65"/>
      <x:c r="P283" s="65"/>
      <x:c r="Q283" s="85"/>
      <x:c r="R283" s="85"/>
      <x:c r="S283" s="85"/>
      <x:c r="T283" s="85"/>
      <x:c r="U283" s="85"/>
      <x:c r="V283" s="85"/>
      <x:c r="W283" s="66"/>
      <x:c r="X283" s="83" t="str">
        <x:f t="shared" si="44"/>
        <x:v>Tidak ada faktor rentan</x:v>
      </x:c>
      <x:c r="Y283" s="83" t="str">
        <x:f t="shared" si="45"/>
        <x:v>Tidak Ada Faktor Rentan</x:v>
      </x:c>
      <x:c r="Z283" s="84" t="str">
        <x:f t="shared" si="46"/>
      </x:c>
      <x:c r="AA283" s="84">
        <x:f t="shared" si="47"/>
        <x:v>0</x:v>
      </x:c>
      <x:c r="AB283" s="84" t="str">
        <x:f t="shared" si="48"/>
      </x:c>
      <x:c r="AC283" s="67"/>
      <x:c r="AD283" s="67"/>
      <x:c r="AE283" s="67"/>
      <x:c r="AF283" s="67"/>
      <x:c r="AG283" s="67"/>
      <x:c r="AH283" s="67"/>
      <x:c r="AI283" s="67"/>
      <x:c r="AJ283" s="67"/>
      <x:c r="AK283" s="67"/>
      <x:c r="AL283" s="67"/>
      <x:c r="AM283" s="67"/>
      <x:c r="AN283" s="83" t="str">
        <x:f t="shared" si="49"/>
        <x:v>Tidak ada risiko khusus</x:v>
      </x:c>
      <x:c r="AO283" s="83" t="str">
        <x:f t="shared" si="50"/>
        <x:v>Tidak Ada Risiko Khusus</x:v>
      </x:c>
      <x:c r="AP283" s="67"/>
      <x:c r="AQ283" s="70" t="str">
        <x:f t="shared" si="51"/>
      </x:c>
      <x:c r="AR283" s="70">
        <x:f t="shared" si="52"/>
        <x:v>0</x:v>
      </x:c>
      <x:c r="AS283" s="70" t="str">
        <x:f t="shared" si="53"/>
      </x:c>
      <x:c r="AT283" s="68" t="str">
        <x:f t="shared" si="54"/>
        <x:v>Belum Dapat Ditentukan</x:v>
      </x:c>
      <x:c r="AU283" s="65"/>
      <x:c r="AV283" s="65"/>
      <x:c r="AW283" s="65"/>
      <x:c r="AX283" s="65"/>
      <x:c r="AY283" s="65"/>
      <x:c r="AZ283" s="65"/>
      <x:c r="BA283" s="65"/>
      <x:c r="BB283" s="177"/>
      <x:c r="BC283" s="71"/>
      <x:c r="BD283" s="65"/>
      <x:c r="BE283" s="177"/>
      <x:c r="BF283" s="65"/>
    </x:row>
    <x:row r="284">
      <x:c r="A284" s="65"/>
      <x:c r="B284" s="65"/>
      <x:c r="C284" s="65"/>
      <x:c r="D284" s="65"/>
      <x:c r="E284" s="65"/>
      <x:c r="F284" s="65"/>
      <x:c r="G284" s="65"/>
      <x:c r="H284" s="65"/>
      <x:c r="I284" s="65"/>
      <x:c r="J284" s="65"/>
      <x:c r="K284" s="65"/>
      <x:c r="L284" s="65"/>
      <x:c r="M284" s="65"/>
      <x:c r="N284" s="65"/>
      <x:c r="O284" s="65"/>
      <x:c r="P284" s="65"/>
      <x:c r="Q284" s="85"/>
      <x:c r="R284" s="85"/>
      <x:c r="S284" s="85"/>
      <x:c r="T284" s="85"/>
      <x:c r="U284" s="85"/>
      <x:c r="V284" s="85"/>
      <x:c r="W284" s="66"/>
      <x:c r="X284" s="83" t="str">
        <x:f t="shared" si="44"/>
        <x:v>Tidak ada faktor rentan</x:v>
      </x:c>
      <x:c r="Y284" s="83" t="str">
        <x:f t="shared" si="45"/>
        <x:v>Tidak Ada Faktor Rentan</x:v>
      </x:c>
      <x:c r="Z284" s="84" t="str">
        <x:f t="shared" si="46"/>
      </x:c>
      <x:c r="AA284" s="84">
        <x:f t="shared" si="47"/>
        <x:v>0</x:v>
      </x:c>
      <x:c r="AB284" s="84" t="str">
        <x:f t="shared" si="48"/>
      </x:c>
      <x:c r="AC284" s="67"/>
      <x:c r="AD284" s="67"/>
      <x:c r="AE284" s="67"/>
      <x:c r="AF284" s="67"/>
      <x:c r="AG284" s="67"/>
      <x:c r="AH284" s="67"/>
      <x:c r="AI284" s="67"/>
      <x:c r="AJ284" s="67"/>
      <x:c r="AK284" s="67"/>
      <x:c r="AL284" s="67"/>
      <x:c r="AM284" s="67"/>
      <x:c r="AN284" s="83" t="str">
        <x:f t="shared" si="49"/>
        <x:v>Tidak ada risiko khusus</x:v>
      </x:c>
      <x:c r="AO284" s="83" t="str">
        <x:f t="shared" si="50"/>
        <x:v>Tidak Ada Risiko Khusus</x:v>
      </x:c>
      <x:c r="AP284" s="67"/>
      <x:c r="AQ284" s="70" t="str">
        <x:f t="shared" si="51"/>
      </x:c>
      <x:c r="AR284" s="70">
        <x:f t="shared" si="52"/>
        <x:v>0</x:v>
      </x:c>
      <x:c r="AS284" s="70" t="str">
        <x:f t="shared" si="53"/>
      </x:c>
      <x:c r="AT284" s="68" t="str">
        <x:f t="shared" si="54"/>
        <x:v>Belum Dapat Ditentukan</x:v>
      </x:c>
      <x:c r="AU284" s="65"/>
      <x:c r="AV284" s="65"/>
      <x:c r="AW284" s="65"/>
      <x:c r="AX284" s="65"/>
      <x:c r="AY284" s="65"/>
      <x:c r="AZ284" s="65"/>
      <x:c r="BA284" s="65"/>
      <x:c r="BB284" s="177"/>
      <x:c r="BC284" s="71"/>
      <x:c r="BD284" s="65"/>
      <x:c r="BE284" s="177"/>
      <x:c r="BF284" s="65"/>
    </x:row>
    <x:row r="285">
      <x:c r="A285" s="65"/>
      <x:c r="B285" s="65"/>
      <x:c r="C285" s="65"/>
      <x:c r="D285" s="65"/>
      <x:c r="E285" s="65"/>
      <x:c r="F285" s="65"/>
      <x:c r="G285" s="65"/>
      <x:c r="H285" s="65"/>
      <x:c r="I285" s="65"/>
      <x:c r="J285" s="65"/>
      <x:c r="K285" s="65"/>
      <x:c r="L285" s="65"/>
      <x:c r="M285" s="65"/>
      <x:c r="N285" s="65"/>
      <x:c r="O285" s="65"/>
      <x:c r="P285" s="65"/>
      <x:c r="Q285" s="85"/>
      <x:c r="R285" s="85"/>
      <x:c r="S285" s="85"/>
      <x:c r="T285" s="85"/>
      <x:c r="U285" s="85"/>
      <x:c r="V285" s="85"/>
      <x:c r="W285" s="66"/>
      <x:c r="X285" s="83" t="str">
        <x:f t="shared" si="44"/>
        <x:v>Tidak ada faktor rentan</x:v>
      </x:c>
      <x:c r="Y285" s="83" t="str">
        <x:f t="shared" si="45"/>
        <x:v>Tidak Ada Faktor Rentan</x:v>
      </x:c>
      <x:c r="Z285" s="84" t="str">
        <x:f t="shared" si="46"/>
      </x:c>
      <x:c r="AA285" s="84">
        <x:f t="shared" si="47"/>
        <x:v>0</x:v>
      </x:c>
      <x:c r="AB285" s="84" t="str">
        <x:f t="shared" si="48"/>
      </x:c>
      <x:c r="AC285" s="67"/>
      <x:c r="AD285" s="67"/>
      <x:c r="AE285" s="67"/>
      <x:c r="AF285" s="67"/>
      <x:c r="AG285" s="67"/>
      <x:c r="AH285" s="67"/>
      <x:c r="AI285" s="67"/>
      <x:c r="AJ285" s="67"/>
      <x:c r="AK285" s="67"/>
      <x:c r="AL285" s="67"/>
      <x:c r="AM285" s="67"/>
      <x:c r="AN285" s="83" t="str">
        <x:f t="shared" si="49"/>
        <x:v>Tidak ada risiko khusus</x:v>
      </x:c>
      <x:c r="AO285" s="83" t="str">
        <x:f t="shared" si="50"/>
        <x:v>Tidak Ada Risiko Khusus</x:v>
      </x:c>
      <x:c r="AP285" s="67"/>
      <x:c r="AQ285" s="70" t="str">
        <x:f t="shared" si="51"/>
      </x:c>
      <x:c r="AR285" s="70">
        <x:f t="shared" si="52"/>
        <x:v>0</x:v>
      </x:c>
      <x:c r="AS285" s="70" t="str">
        <x:f t="shared" si="53"/>
      </x:c>
      <x:c r="AT285" s="68" t="str">
        <x:f t="shared" si="54"/>
        <x:v>Belum Dapat Ditentukan</x:v>
      </x:c>
      <x:c r="AU285" s="65"/>
      <x:c r="AV285" s="65"/>
      <x:c r="AW285" s="65"/>
      <x:c r="AX285" s="65"/>
      <x:c r="AY285" s="65"/>
      <x:c r="AZ285" s="65"/>
      <x:c r="BA285" s="65"/>
      <x:c r="BB285" s="177"/>
      <x:c r="BC285" s="71"/>
      <x:c r="BD285" s="65"/>
      <x:c r="BE285" s="177"/>
      <x:c r="BF285" s="65"/>
    </x:row>
    <x:row r="286">
      <x:c r="A286" s="65"/>
      <x:c r="B286" s="65"/>
      <x:c r="C286" s="65"/>
      <x:c r="D286" s="65"/>
      <x:c r="E286" s="65"/>
      <x:c r="F286" s="65"/>
      <x:c r="G286" s="65"/>
      <x:c r="H286" s="65"/>
      <x:c r="I286" s="65"/>
      <x:c r="J286" s="65"/>
      <x:c r="K286" s="65"/>
      <x:c r="L286" s="65"/>
      <x:c r="M286" s="65"/>
      <x:c r="N286" s="65"/>
      <x:c r="O286" s="65"/>
      <x:c r="P286" s="65"/>
      <x:c r="Q286" s="85"/>
      <x:c r="R286" s="85"/>
      <x:c r="S286" s="85"/>
      <x:c r="T286" s="85"/>
      <x:c r="U286" s="85"/>
      <x:c r="V286" s="85"/>
      <x:c r="W286" s="66"/>
      <x:c r="X286" s="83" t="str">
        <x:f t="shared" si="44"/>
        <x:v>Tidak ada faktor rentan</x:v>
      </x:c>
      <x:c r="Y286" s="83" t="str">
        <x:f t="shared" si="45"/>
        <x:v>Tidak Ada Faktor Rentan</x:v>
      </x:c>
      <x:c r="Z286" s="84" t="str">
        <x:f t="shared" si="46"/>
      </x:c>
      <x:c r="AA286" s="84">
        <x:f t="shared" si="47"/>
        <x:v>0</x:v>
      </x:c>
      <x:c r="AB286" s="84" t="str">
        <x:f t="shared" si="48"/>
      </x:c>
      <x:c r="AC286" s="67"/>
      <x:c r="AD286" s="67"/>
      <x:c r="AE286" s="67"/>
      <x:c r="AF286" s="67"/>
      <x:c r="AG286" s="67"/>
      <x:c r="AH286" s="67"/>
      <x:c r="AI286" s="67"/>
      <x:c r="AJ286" s="67"/>
      <x:c r="AK286" s="67"/>
      <x:c r="AL286" s="67"/>
      <x:c r="AM286" s="67"/>
      <x:c r="AN286" s="83" t="str">
        <x:f t="shared" si="49"/>
        <x:v>Tidak ada risiko khusus</x:v>
      </x:c>
      <x:c r="AO286" s="83" t="str">
        <x:f t="shared" si="50"/>
        <x:v>Tidak Ada Risiko Khusus</x:v>
      </x:c>
      <x:c r="AP286" s="67"/>
      <x:c r="AQ286" s="70" t="str">
        <x:f t="shared" si="51"/>
      </x:c>
      <x:c r="AR286" s="70">
        <x:f t="shared" si="52"/>
        <x:v>0</x:v>
      </x:c>
      <x:c r="AS286" s="70" t="str">
        <x:f t="shared" si="53"/>
      </x:c>
      <x:c r="AT286" s="68" t="str">
        <x:f t="shared" si="54"/>
        <x:v>Belum Dapat Ditentukan</x:v>
      </x:c>
      <x:c r="AU286" s="65"/>
      <x:c r="AV286" s="65"/>
      <x:c r="AW286" s="65"/>
      <x:c r="AX286" s="65"/>
      <x:c r="AY286" s="65"/>
      <x:c r="AZ286" s="65"/>
      <x:c r="BA286" s="65"/>
      <x:c r="BB286" s="177"/>
      <x:c r="BC286" s="71"/>
      <x:c r="BD286" s="65"/>
      <x:c r="BE286" s="177"/>
      <x:c r="BF286" s="65"/>
    </x:row>
    <x:row r="287">
      <x:c r="A287" s="65"/>
      <x:c r="B287" s="65"/>
      <x:c r="C287" s="65"/>
      <x:c r="D287" s="65"/>
      <x:c r="E287" s="65"/>
      <x:c r="F287" s="65"/>
      <x:c r="G287" s="65"/>
      <x:c r="H287" s="65"/>
      <x:c r="I287" s="65"/>
      <x:c r="J287" s="65"/>
      <x:c r="K287" s="65"/>
      <x:c r="L287" s="65"/>
      <x:c r="M287" s="65"/>
      <x:c r="N287" s="65"/>
      <x:c r="O287" s="65"/>
      <x:c r="P287" s="65"/>
      <x:c r="Q287" s="85"/>
      <x:c r="R287" s="85"/>
      <x:c r="S287" s="85"/>
      <x:c r="T287" s="85"/>
      <x:c r="U287" s="85"/>
      <x:c r="V287" s="85"/>
      <x:c r="W287" s="66"/>
      <x:c r="X287" s="83" t="str">
        <x:f t="shared" si="44"/>
        <x:v>Tidak ada faktor rentan</x:v>
      </x:c>
      <x:c r="Y287" s="83" t="str">
        <x:f t="shared" si="45"/>
        <x:v>Tidak Ada Faktor Rentan</x:v>
      </x:c>
      <x:c r="Z287" s="84" t="str">
        <x:f t="shared" si="46"/>
      </x:c>
      <x:c r="AA287" s="84">
        <x:f t="shared" si="47"/>
        <x:v>0</x:v>
      </x:c>
      <x:c r="AB287" s="84" t="str">
        <x:f t="shared" si="48"/>
      </x:c>
      <x:c r="AC287" s="67"/>
      <x:c r="AD287" s="67"/>
      <x:c r="AE287" s="67"/>
      <x:c r="AF287" s="67"/>
      <x:c r="AG287" s="67"/>
      <x:c r="AH287" s="67"/>
      <x:c r="AI287" s="67"/>
      <x:c r="AJ287" s="67"/>
      <x:c r="AK287" s="67"/>
      <x:c r="AL287" s="67"/>
      <x:c r="AM287" s="67"/>
      <x:c r="AN287" s="83" t="str">
        <x:f t="shared" si="49"/>
        <x:v>Tidak ada risiko khusus</x:v>
      </x:c>
      <x:c r="AO287" s="83" t="str">
        <x:f t="shared" si="50"/>
        <x:v>Tidak Ada Risiko Khusus</x:v>
      </x:c>
      <x:c r="AP287" s="67"/>
      <x:c r="AQ287" s="70" t="str">
        <x:f t="shared" si="51"/>
      </x:c>
      <x:c r="AR287" s="70">
        <x:f t="shared" si="52"/>
        <x:v>0</x:v>
      </x:c>
      <x:c r="AS287" s="70" t="str">
        <x:f t="shared" si="53"/>
      </x:c>
      <x:c r="AT287" s="68" t="str">
        <x:f t="shared" si="54"/>
        <x:v>Belum Dapat Ditentukan</x:v>
      </x:c>
      <x:c r="AU287" s="65"/>
      <x:c r="AV287" s="65"/>
      <x:c r="AW287" s="65"/>
      <x:c r="AX287" s="65"/>
      <x:c r="AY287" s="65"/>
      <x:c r="AZ287" s="65"/>
      <x:c r="BA287" s="65"/>
      <x:c r="BB287" s="177"/>
      <x:c r="BC287" s="71"/>
      <x:c r="BD287" s="65"/>
      <x:c r="BE287" s="177"/>
      <x:c r="BF287" s="65"/>
    </x:row>
    <x:row r="288">
      <x:c r="A288" s="65"/>
      <x:c r="B288" s="65"/>
      <x:c r="C288" s="65"/>
      <x:c r="D288" s="65"/>
      <x:c r="E288" s="65"/>
      <x:c r="F288" s="65"/>
      <x:c r="G288" s="65"/>
      <x:c r="H288" s="65"/>
      <x:c r="I288" s="65"/>
      <x:c r="J288" s="65"/>
      <x:c r="K288" s="65"/>
      <x:c r="L288" s="65"/>
      <x:c r="M288" s="65"/>
      <x:c r="N288" s="65"/>
      <x:c r="O288" s="65"/>
      <x:c r="P288" s="65"/>
      <x:c r="Q288" s="85"/>
      <x:c r="R288" s="85"/>
      <x:c r="S288" s="85"/>
      <x:c r="T288" s="85"/>
      <x:c r="U288" s="85"/>
      <x:c r="V288" s="85"/>
      <x:c r="W288" s="66"/>
      <x:c r="X288" s="83" t="str">
        <x:f t="shared" si="44"/>
        <x:v>Tidak ada faktor rentan</x:v>
      </x:c>
      <x:c r="Y288" s="83" t="str">
        <x:f t="shared" si="45"/>
        <x:v>Tidak Ada Faktor Rentan</x:v>
      </x:c>
      <x:c r="Z288" s="84" t="str">
        <x:f t="shared" si="46"/>
      </x:c>
      <x:c r="AA288" s="84">
        <x:f t="shared" si="47"/>
        <x:v>0</x:v>
      </x:c>
      <x:c r="AB288" s="84" t="str">
        <x:f t="shared" si="48"/>
      </x:c>
      <x:c r="AC288" s="67"/>
      <x:c r="AD288" s="67"/>
      <x:c r="AE288" s="67"/>
      <x:c r="AF288" s="67"/>
      <x:c r="AG288" s="67"/>
      <x:c r="AH288" s="67"/>
      <x:c r="AI288" s="67"/>
      <x:c r="AJ288" s="67"/>
      <x:c r="AK288" s="67"/>
      <x:c r="AL288" s="67"/>
      <x:c r="AM288" s="67"/>
      <x:c r="AN288" s="83" t="str">
        <x:f t="shared" si="49"/>
        <x:v>Tidak ada risiko khusus</x:v>
      </x:c>
      <x:c r="AO288" s="83" t="str">
        <x:f t="shared" si="50"/>
        <x:v>Tidak Ada Risiko Khusus</x:v>
      </x:c>
      <x:c r="AP288" s="67"/>
      <x:c r="AQ288" s="70" t="str">
        <x:f t="shared" si="51"/>
      </x:c>
      <x:c r="AR288" s="70">
        <x:f t="shared" si="52"/>
        <x:v>0</x:v>
      </x:c>
      <x:c r="AS288" s="70" t="str">
        <x:f t="shared" si="53"/>
      </x:c>
      <x:c r="AT288" s="68" t="str">
        <x:f t="shared" si="54"/>
        <x:v>Belum Dapat Ditentukan</x:v>
      </x:c>
      <x:c r="AU288" s="65"/>
      <x:c r="AV288" s="65"/>
      <x:c r="AW288" s="65"/>
      <x:c r="AX288" s="65"/>
      <x:c r="AY288" s="65"/>
      <x:c r="AZ288" s="65"/>
      <x:c r="BA288" s="65"/>
      <x:c r="BB288" s="177"/>
      <x:c r="BC288" s="71"/>
      <x:c r="BD288" s="65"/>
      <x:c r="BE288" s="177"/>
      <x:c r="BF288" s="65"/>
    </x:row>
    <x:row r="289">
      <x:c r="A289" s="65"/>
      <x:c r="B289" s="65"/>
      <x:c r="C289" s="65"/>
      <x:c r="D289" s="65"/>
      <x:c r="E289" s="65"/>
      <x:c r="F289" s="65"/>
      <x:c r="G289" s="65"/>
      <x:c r="H289" s="65"/>
      <x:c r="I289" s="65"/>
      <x:c r="J289" s="65"/>
      <x:c r="K289" s="65"/>
      <x:c r="L289" s="65"/>
      <x:c r="M289" s="65"/>
      <x:c r="N289" s="65"/>
      <x:c r="O289" s="65"/>
      <x:c r="P289" s="65"/>
      <x:c r="Q289" s="85"/>
      <x:c r="R289" s="85"/>
      <x:c r="S289" s="85"/>
      <x:c r="T289" s="85"/>
      <x:c r="U289" s="85"/>
      <x:c r="V289" s="85"/>
      <x:c r="W289" s="66"/>
      <x:c r="X289" s="83" t="str">
        <x:f t="shared" si="44"/>
        <x:v>Tidak ada faktor rentan</x:v>
      </x:c>
      <x:c r="Y289" s="83" t="str">
        <x:f t="shared" si="45"/>
        <x:v>Tidak Ada Faktor Rentan</x:v>
      </x:c>
      <x:c r="Z289" s="84" t="str">
        <x:f t="shared" si="46"/>
      </x:c>
      <x:c r="AA289" s="84">
        <x:f t="shared" si="47"/>
        <x:v>0</x:v>
      </x:c>
      <x:c r="AB289" s="84" t="str">
        <x:f t="shared" si="48"/>
      </x:c>
      <x:c r="AC289" s="67"/>
      <x:c r="AD289" s="67"/>
      <x:c r="AE289" s="67"/>
      <x:c r="AF289" s="67"/>
      <x:c r="AG289" s="67"/>
      <x:c r="AH289" s="67"/>
      <x:c r="AI289" s="67"/>
      <x:c r="AJ289" s="67"/>
      <x:c r="AK289" s="67"/>
      <x:c r="AL289" s="67"/>
      <x:c r="AM289" s="67"/>
      <x:c r="AN289" s="83" t="str">
        <x:f t="shared" si="49"/>
        <x:v>Tidak ada risiko khusus</x:v>
      </x:c>
      <x:c r="AO289" s="83" t="str">
        <x:f t="shared" si="50"/>
        <x:v>Tidak Ada Risiko Khusus</x:v>
      </x:c>
      <x:c r="AP289" s="67"/>
      <x:c r="AQ289" s="70" t="str">
        <x:f t="shared" si="51"/>
      </x:c>
      <x:c r="AR289" s="70">
        <x:f t="shared" si="52"/>
        <x:v>0</x:v>
      </x:c>
      <x:c r="AS289" s="70" t="str">
        <x:f t="shared" si="53"/>
      </x:c>
      <x:c r="AT289" s="68" t="str">
        <x:f t="shared" si="54"/>
        <x:v>Belum Dapat Ditentukan</x:v>
      </x:c>
      <x:c r="AU289" s="65"/>
      <x:c r="AV289" s="65"/>
      <x:c r="AW289" s="65"/>
      <x:c r="AX289" s="65"/>
      <x:c r="AY289" s="65"/>
      <x:c r="AZ289" s="65"/>
      <x:c r="BA289" s="65"/>
      <x:c r="BB289" s="177"/>
      <x:c r="BC289" s="71"/>
      <x:c r="BD289" s="65"/>
      <x:c r="BE289" s="177"/>
      <x:c r="BF289" s="65"/>
    </x:row>
  </x:sheetData>
  <x:mergeCells>
    <x:mergeCell ref="A1:BF1"/>
    <x:mergeCell ref="A2:BF2"/>
    <x:mergeCell ref="A3:BF3"/>
  </x:mergeCells>
  <x:conditionalFormatting sqref="AS6:AS289">
    <x:cfRule type="dataBar" priority="1">
      <x:dataBar>
        <x:cfvo type="min"/>
        <x:cfvo type="max"/>
        <x:color rgb="FF175B72"/>
      </x:dataBar>
    </x:cfRule>
    <x:cfRule type="dataBar" priority="2">
      <x:dataBar>
        <x:cfvo type="min"/>
        <x:cfvo type="max"/>
        <x:color rgb="FF175B72"/>
      </x:dataBar>
      <x:extLst>
        <x:ext xmlns:x14="http://schemas.microsoft.com/office/spreadsheetml/2009/9/main" uri="{B025F937-C7B1-47D3-B67F-A62EFF666E3E}">
          <x14:id>{90C7FB45-05DF-470D-A9F0-6401B86881F3}</x14:id>
        </x:ext>
      </x:extLst>
    </x:cfRule>
  </x:conditionalFormatting>
  <x:dataValidations count="18">
    <x:dataValidation type="list" sqref="H6:H289">
      <x:formula1>$BI$2:$BI$5</x:formula1>
    </x:dataValidation>
    <x:dataValidation type="list" sqref="J6:J289">
      <x:formula1>$BJ$2:$BJ$5</x:formula1>
    </x:dataValidation>
    <x:dataValidation type="list" sqref="L6:L289">
      <x:formula1>$BL$2:$BL$7</x:formula1>
    </x:dataValidation>
    <x:dataValidation type="list" sqref="N6:N289">
      <x:formula1>$BN$2:$BN$7</x:formula1>
    </x:dataValidation>
    <x:dataValidation type="list" sqref="P6:P289">
      <x:formula1>$BP$2:$BP$7</x:formula1>
    </x:dataValidation>
    <x:dataValidation type="list" sqref="Q6:Q289">
      <x:formula1>$BQ$2:$BQ$5</x:formula1>
    </x:dataValidation>
    <x:dataValidation type="list" sqref="AC6:AK289 R6:V289">
      <x:formula1>$BR$2:$BR$4</x:formula1>
    </x:dataValidation>
    <x:dataValidation type="list" sqref="AM6:AM289">
      <x:formula1>$BS$2:$BS$4</x:formula1>
    </x:dataValidation>
    <x:dataValidation type="list" sqref="AU6:AU289">
      <x:formula1>$BT$2:$BT$3</x:formula1>
    </x:dataValidation>
    <x:dataValidation type="list" sqref="AV6:AV289">
      <x:formula1>$BU$2:$BU$3</x:formula1>
    </x:dataValidation>
    <x:dataValidation type="list" sqref="AW6:AW289">
      <x:formula1>$BV$2:$BV$5</x:formula1>
    </x:dataValidation>
    <x:dataValidation type="list" sqref="AZ6:AZ289">
      <x:formula1>$BX$2:$BX$6</x:formula1>
    </x:dataValidation>
    <x:dataValidation type="list" sqref="BD6:BD289">
      <x:formula1>$BY$2:$BY$6</x:formula1>
    </x:dataValidation>
    <x:dataValidation type="list" sqref="AX6:AX289">
      <x:formula1>$BW$2:$BW$8</x:formula1>
    </x:dataValidation>
    <x:dataValidation type="list" sqref="O6:O289">
      <x:formula1>$BO$2:$BO$8</x:formula1>
    </x:dataValidation>
    <x:dataValidation type="list" sqref="M6:M289">
      <x:formula1>$BM$2:$BM$10</x:formula1>
    </x:dataValidation>
    <x:dataValidation type="list" sqref="K6:K289">
      <x:formula1>$BK$2:$BK$9</x:formula1>
    </x:dataValidation>
    <x:dataValidation type="list" sqref="G6:G289">
      <x:formula1>$BH$2:$BH$8</x:formula1>
    </x:dataValidation>
  </x:dataValidations>
  <x:pageMargins left="0.7" right="0.7" top="0.75" bottom="0.75" header="0.3" footer="0.3"/>
  <x:legacyDrawing xmlns:r="http://schemas.openxmlformats.org/officeDocument/2006/relationships" r:id="R8719e7f066a94cad"/>
  <x:tableParts count="1">
    <x:tablePart xmlns:r="http://schemas.openxmlformats.org/officeDocument/2006/relationships" r:id="Rf4a4c7c0f5a2475e"/>
  </x:tableParts>
  <x:extLst>
    <x:ext xmlns:x14="http://schemas.microsoft.com/office/spreadsheetml/2009/9/main" xmlns:xm="http://schemas.microsoft.com/office/excel/2006/main" uri="{78C0D931-6437-407d-A8EE-F0AAD7539E65}">
      <x14:conditionalFormattings>
        <x14:conditionalFormatting>
          <x14:cfRule type="dataBar" priority="2" id="{90C7FB45-05DF-470D-A9F0-6401B86881F3}">
            <x14:dataBar>
              <x14:cfvo type="min"/>
              <x14:cfvo type="max"/>
              <x14:fillColor rgb="FF175B72"/>
              <x14:negativeFillColor auto="1"/>
              <x14:axisColor auto="1"/>
            </x14:dataBar>
          </x14:cfRule>
          <xm:sqref>AS6:AS289</xm:sqref>
        </x14:conditionalFormatting>
      </x14:conditionalFormattings>
    </x:ext>
  </x:extLst>
</x:worksheet>
</file>

<file path=xl/worksheets/sheet6.xml><?xml version="1.0" encoding="utf-8"?>
<x:worksheet xmlns:x="http://schemas.openxmlformats.org/spreadsheetml/2006/main">
  <x:sheetFormatPr defaultRowHeight="14"/>
  <x:cols>
    <x:col min="1" max="1" width="15" customWidth="1"/>
    <x:col min="2" max="2" width="28" customWidth="1"/>
    <x:col min="3" max="3" width="16" customWidth="1"/>
    <x:col min="4" max="4" width="12" customWidth="1"/>
    <x:col min="5" max="5" width="16" customWidth="1"/>
    <x:col min="6" max="6" width="15" customWidth="1"/>
    <x:col min="7" max="7" width="22" customWidth="1"/>
    <x:col min="8" max="8" width="20" customWidth="1"/>
    <x:col min="9" max="9" width="34" customWidth="1"/>
    <x:col min="10" max="10" width="13" customWidth="1"/>
    <x:col min="11" max="11" width="30" customWidth="1"/>
    <x:col min="12" max="12" width="20" customWidth="1"/>
    <x:col min="13" max="13" width="16" customWidth="1"/>
    <x:col min="14" max="14" width="20" customWidth="1"/>
  </x:cols>
  <x:sheetData>
    <x:row r="1" ht="23">
      <x:c r="A1" s="228" t="s">
        <x:v>1814</x:v>
      </x:c>
      <x:c r="B1" s="228"/>
      <x:c r="C1" s="228"/>
      <x:c r="D1" s="228"/>
      <x:c r="E1" s="228"/>
      <x:c r="F1" s="228"/>
      <x:c r="G1" s="228"/>
      <x:c r="H1" s="228"/>
      <x:c r="I1" s="228"/>
      <x:c r="J1" s="228"/>
      <x:c r="K1" s="228"/>
      <x:c r="L1" s="228"/>
      <x:c r="M1" s="228"/>
      <x:c r="N1" s="228"/>
    </x:row>
    <x:row r="2">
      <x:c r="A2" s="229" t="s">
        <x:v>1815</x:v>
      </x:c>
      <x:c r="B2" s="229"/>
      <x:c r="C2" s="229"/>
      <x:c r="D2" s="229"/>
      <x:c r="E2" s="229"/>
      <x:c r="F2" s="229"/>
      <x:c r="G2" s="229"/>
      <x:c r="H2" s="229"/>
      <x:c r="I2" s="229"/>
      <x:c r="J2" s="229"/>
      <x:c r="K2" s="229"/>
      <x:c r="L2" s="229"/>
      <x:c r="M2" s="229"/>
      <x:c r="N2" s="229"/>
    </x:row>
    <x:row r="3">
      <x:c r="A3" s="230" t="s">
        <x:v>845</x:v>
      </x:c>
      <x:c r="B3" s="230"/>
      <x:c r="C3" s="230"/>
      <x:c r="D3" s="230"/>
      <x:c r="E3" s="230"/>
      <x:c r="F3" s="230"/>
      <x:c r="G3" s="230"/>
      <x:c r="H3" s="230"/>
      <x:c r="I3" s="230"/>
      <x:c r="J3" s="230"/>
      <x:c r="K3" s="230"/>
      <x:c r="L3" s="230"/>
      <x:c r="M3" s="230"/>
      <x:c r="N3" s="230"/>
    </x:row>
    <x:row r="5" ht="26">
      <x:c r="A5" s="1" t="s">
        <x:v>1816</x:v>
      </x:c>
      <x:c r="B5" s="2" t="s">
        <x:v>1817</x:v>
      </x:c>
      <x:c r="C5" s="2" t="s">
        <x:v>1818</x:v>
      </x:c>
      <x:c r="D5" s="2" t="s">
        <x:v>1819</x:v>
      </x:c>
      <x:c r="E5" s="2" t="s">
        <x:v>1820</x:v>
      </x:c>
      <x:c r="F5" s="2" t="s">
        <x:v>1821</x:v>
      </x:c>
      <x:c r="G5" s="2" t="s">
        <x:v>1822</x:v>
      </x:c>
      <x:c r="H5" s="2" t="s">
        <x:v>1823</x:v>
      </x:c>
      <x:c r="I5" s="2" t="s">
        <x:v>13</x:v>
      </x:c>
      <x:c r="J5" s="2" t="s">
        <x:v>58</x:v>
      </x:c>
      <x:c r="K5" s="2" t="s">
        <x:v>59</x:v>
      </x:c>
      <x:c r="L5" s="2" t="s">
        <x:v>12</x:v>
      </x:c>
      <x:c r="M5" s="2" t="s">
        <x:v>15</x:v>
      </x:c>
      <x:c r="N5" s="3" t="s">
        <x:v>16</x:v>
      </x:c>
    </x:row>
    <x:row r="6">
      <x:c r="A6" s="30" t="s">
        <x:v>1824</x:v>
      </x:c>
      <x:c r="B6" s="56" t="str">
        <x:v>RUSUNAWA Kota Pangkal Pinang</x:v>
      </x:c>
      <x:c r="C6" s="8" t="s">
        <x:v>1825</x:v>
      </x:c>
      <x:c r="D6" s="18" t="s">
        <x:v>1826</x:v>
      </x:c>
      <x:c r="E6" s="38" t="s">
        <x:v>851</x:v>
      </x:c>
      <x:c r="F6" s="5"/>
      <x:c r="G6" s="9" t="s">
        <x:v>1827</x:v>
      </x:c>
      <x:c r="H6" s="9" t="s">
        <x:v>881</x:v>
      </x:c>
      <x:c r="I6" s="5"/>
      <x:c r="J6" s="18"/>
      <x:c r="K6" s="9"/>
      <x:c r="L6" s="9"/>
      <x:c r="M6" s="12"/>
      <x:c r="N6" s="33"/>
    </x:row>
    <x:row r="7">
      <x:c r="A7" s="30" t="s">
        <x:v>1828</x:v>
      </x:c>
      <x:c r="B7" s="56" t="str">
        <x:v>RUSUNAWA Kota Pangkal Pinang</x:v>
      </x:c>
      <x:c r="C7" s="8" t="s">
        <x:v>1825</x:v>
      </x:c>
      <x:c r="D7" s="18" t="s">
        <x:v>1826</x:v>
      </x:c>
      <x:c r="E7" s="38" t="s">
        <x:v>853</x:v>
      </x:c>
      <x:c r="F7" s="5"/>
      <x:c r="G7" s="9" t="s">
        <x:v>1827</x:v>
      </x:c>
      <x:c r="H7" s="9" t="s">
        <x:v>897</x:v>
      </x:c>
      <x:c r="I7" s="5"/>
      <x:c r="J7" s="18"/>
      <x:c r="K7" s="9"/>
      <x:c r="L7" s="9"/>
      <x:c r="M7" s="12"/>
      <x:c r="N7" s="33"/>
    </x:row>
    <x:row r="8">
      <x:c r="A8" s="30" t="s">
        <x:v>1829</x:v>
      </x:c>
      <x:c r="B8" s="56" t="str">
        <x:v>RUSUNAWA Kota Pangkal Pinang</x:v>
      </x:c>
      <x:c r="C8" s="8" t="s">
        <x:v>1825</x:v>
      </x:c>
      <x:c r="D8" s="18" t="s">
        <x:v>1826</x:v>
      </x:c>
      <x:c r="E8" s="38" t="s">
        <x:v>854</x:v>
      </x:c>
      <x:c r="F8" s="5"/>
      <x:c r="G8" s="9" t="s">
        <x:v>1827</x:v>
      </x:c>
      <x:c r="H8" s="9" t="s">
        <x:v>881</x:v>
      </x:c>
      <x:c r="I8" s="5"/>
      <x:c r="J8" s="18"/>
      <x:c r="K8" s="9"/>
      <x:c r="L8" s="9"/>
      <x:c r="M8" s="12"/>
      <x:c r="N8" s="33"/>
    </x:row>
    <x:row r="9">
      <x:c r="A9" s="30" t="s">
        <x:v>1830</x:v>
      </x:c>
      <x:c r="B9" s="56" t="str">
        <x:v>RUSUNAWA Kota Pangkal Pinang</x:v>
      </x:c>
      <x:c r="C9" s="8" t="s">
        <x:v>1825</x:v>
      </x:c>
      <x:c r="D9" s="18" t="s">
        <x:v>1826</x:v>
      </x:c>
      <x:c r="E9" s="38" t="s">
        <x:v>855</x:v>
      </x:c>
      <x:c r="F9" s="5"/>
      <x:c r="G9" s="9" t="s">
        <x:v>1827</x:v>
      </x:c>
      <x:c r="H9" s="9" t="s">
        <x:v>881</x:v>
      </x:c>
      <x:c r="I9" s="5"/>
      <x:c r="J9" s="18"/>
      <x:c r="K9" s="9"/>
      <x:c r="L9" s="9"/>
      <x:c r="M9" s="12"/>
      <x:c r="N9" s="33"/>
    </x:row>
    <x:row r="10">
      <x:c r="A10" s="30" t="s">
        <x:v>1831</x:v>
      </x:c>
      <x:c r="B10" s="56" t="str">
        <x:v>RUSUNAWA Kota Pangkal Pinang</x:v>
      </x:c>
      <x:c r="C10" s="8" t="s">
        <x:v>1825</x:v>
      </x:c>
      <x:c r="D10" s="18" t="s">
        <x:v>1826</x:v>
      </x:c>
      <x:c r="E10" s="38" t="s">
        <x:v>856</x:v>
      </x:c>
      <x:c r="F10" s="5"/>
      <x:c r="G10" s="9" t="s">
        <x:v>1832</x:v>
      </x:c>
      <x:c r="H10" s="9" t="s">
        <x:v>897</x:v>
      </x:c>
      <x:c r="I10" s="5"/>
      <x:c r="J10" s="18"/>
      <x:c r="K10" s="9"/>
      <x:c r="L10" s="9"/>
      <x:c r="M10" s="12"/>
      <x:c r="N10" s="33"/>
    </x:row>
    <x:row r="11">
      <x:c r="A11" s="30" t="s">
        <x:v>1833</x:v>
      </x:c>
      <x:c r="B11" s="56" t="str">
        <x:v>RUSUNAWA Kota Pangkal Pinang</x:v>
      </x:c>
      <x:c r="C11" s="8" t="s">
        <x:v>1825</x:v>
      </x:c>
      <x:c r="D11" s="18" t="s">
        <x:v>1826</x:v>
      </x:c>
      <x:c r="E11" s="38" t="s">
        <x:v>857</x:v>
      </x:c>
      <x:c r="F11" s="5"/>
      <x:c r="G11" s="9" t="s">
        <x:v>1827</x:v>
      </x:c>
      <x:c r="H11" s="9" t="s">
        <x:v>897</x:v>
      </x:c>
      <x:c r="I11" s="5"/>
      <x:c r="J11" s="18"/>
      <x:c r="K11" s="9"/>
      <x:c r="L11" s="9"/>
      <x:c r="M11" s="12"/>
      <x:c r="N11" s="33"/>
    </x:row>
    <x:row r="12">
      <x:c r="A12" s="30" t="s">
        <x:v>1834</x:v>
      </x:c>
      <x:c r="B12" s="56" t="str">
        <x:v>RUSUNAWA Kota Pangkal Pinang</x:v>
      </x:c>
      <x:c r="C12" s="8" t="s">
        <x:v>1825</x:v>
      </x:c>
      <x:c r="D12" s="18" t="s">
        <x:v>1826</x:v>
      </x:c>
      <x:c r="E12" s="38" t="s">
        <x:v>858</x:v>
      </x:c>
      <x:c r="F12" s="5"/>
      <x:c r="G12" s="9" t="s">
        <x:v>1827</x:v>
      </x:c>
      <x:c r="H12" s="9" t="s">
        <x:v>897</x:v>
      </x:c>
      <x:c r="I12" s="5"/>
      <x:c r="J12" s="18"/>
      <x:c r="K12" s="9"/>
      <x:c r="L12" s="9"/>
      <x:c r="M12" s="12"/>
      <x:c r="N12" s="33"/>
    </x:row>
    <x:row r="13">
      <x:c r="A13" s="30" t="s">
        <x:v>1835</x:v>
      </x:c>
      <x:c r="B13" s="56" t="str">
        <x:v>RUSUNAWA Kota Pangkal Pinang</x:v>
      </x:c>
      <x:c r="C13" s="8" t="s">
        <x:v>1825</x:v>
      </x:c>
      <x:c r="D13" s="18" t="s">
        <x:v>1826</x:v>
      </x:c>
      <x:c r="E13" s="38" t="s">
        <x:v>1836</x:v>
      </x:c>
      <x:c r="F13" s="5"/>
      <x:c r="G13" s="9" t="s">
        <x:v>1827</x:v>
      </x:c>
      <x:c r="H13" s="9" t="s">
        <x:v>881</x:v>
      </x:c>
      <x:c r="I13" s="5"/>
      <x:c r="J13" s="18"/>
      <x:c r="K13" s="9"/>
      <x:c r="L13" s="9"/>
      <x:c r="M13" s="12"/>
      <x:c r="N13" s="33"/>
    </x:row>
    <x:row r="14">
      <x:c r="A14" s="30" t="s">
        <x:v>1837</x:v>
      </x:c>
      <x:c r="B14" s="56" t="str">
        <x:v>RUSUNAWA Kota Pangkal Pinang</x:v>
      </x:c>
      <x:c r="C14" s="8" t="s">
        <x:v>1825</x:v>
      </x:c>
      <x:c r="D14" s="18" t="s">
        <x:v>1826</x:v>
      </x:c>
      <x:c r="E14" s="38" t="s">
        <x:v>1838</x:v>
      </x:c>
      <x:c r="F14" s="5"/>
      <x:c r="G14" s="9" t="s">
        <x:v>1832</x:v>
      </x:c>
      <x:c r="H14" s="9" t="s">
        <x:v>881</x:v>
      </x:c>
      <x:c r="I14" s="5"/>
      <x:c r="J14" s="18"/>
      <x:c r="K14" s="9"/>
      <x:c r="L14" s="9"/>
      <x:c r="M14" s="12"/>
      <x:c r="N14" s="33"/>
    </x:row>
    <x:row r="15">
      <x:c r="A15" s="30" t="s">
        <x:v>1839</x:v>
      </x:c>
      <x:c r="B15" s="56" t="str">
        <x:v>RUSUNAWA Kota Pangkal Pinang</x:v>
      </x:c>
      <x:c r="C15" s="8" t="s">
        <x:v>1825</x:v>
      </x:c>
      <x:c r="D15" s="18" t="s">
        <x:v>1826</x:v>
      </x:c>
      <x:c r="E15" s="38" t="s">
        <x:v>1840</x:v>
      </x:c>
      <x:c r="F15" s="5"/>
      <x:c r="G15" s="9" t="s">
        <x:v>1841</x:v>
      </x:c>
      <x:c r="H15" s="9" t="s">
        <x:v>966</x:v>
      </x:c>
      <x:c r="I15" s="5"/>
      <x:c r="J15" s="18"/>
      <x:c r="K15" s="9"/>
      <x:c r="L15" s="9"/>
      <x:c r="M15" s="12"/>
      <x:c r="N15" s="33"/>
    </x:row>
    <x:row r="16">
      <x:c r="A16" s="30" t="s">
        <x:v>1842</x:v>
      </x:c>
      <x:c r="B16" s="56" t="str">
        <x:v>RUSUNAWA Kota Pangkal Pinang</x:v>
      </x:c>
      <x:c r="C16" s="8" t="s">
        <x:v>1825</x:v>
      </x:c>
      <x:c r="D16" s="18" t="s">
        <x:v>1826</x:v>
      </x:c>
      <x:c r="E16" s="38" t="s">
        <x:v>1843</x:v>
      </x:c>
      <x:c r="F16" s="5"/>
      <x:c r="G16" s="9" t="s">
        <x:v>1841</x:v>
      </x:c>
      <x:c r="H16" s="9" t="s">
        <x:v>966</x:v>
      </x:c>
      <x:c r="I16" s="5"/>
      <x:c r="J16" s="18"/>
      <x:c r="K16" s="9"/>
      <x:c r="L16" s="9"/>
      <x:c r="M16" s="12"/>
      <x:c r="N16" s="33"/>
    </x:row>
    <x:row r="17">
      <x:c r="A17" s="30" t="s">
        <x:v>1844</x:v>
      </x:c>
      <x:c r="B17" s="56" t="str">
        <x:v>RUSUNAWA Kota Pangkal Pinang</x:v>
      </x:c>
      <x:c r="C17" s="8" t="s">
        <x:v>1825</x:v>
      </x:c>
      <x:c r="D17" s="18" t="s">
        <x:v>1826</x:v>
      </x:c>
      <x:c r="E17" s="38" t="s">
        <x:v>1845</x:v>
      </x:c>
      <x:c r="F17" s="5"/>
      <x:c r="G17" s="9" t="s">
        <x:v>1841</x:v>
      </x:c>
      <x:c r="H17" s="9" t="s">
        <x:v>966</x:v>
      </x:c>
      <x:c r="I17" s="5"/>
      <x:c r="J17" s="18"/>
      <x:c r="K17" s="9"/>
      <x:c r="L17" s="9"/>
      <x:c r="M17" s="12"/>
      <x:c r="N17" s="33"/>
    </x:row>
    <x:row r="18">
      <x:c r="A18" s="30" t="s">
        <x:v>1846</x:v>
      </x:c>
      <x:c r="B18" s="56" t="str">
        <x:v>RUSUNAWA Kota Pangkal Pinang</x:v>
      </x:c>
      <x:c r="C18" s="8" t="s">
        <x:v>1825</x:v>
      </x:c>
      <x:c r="D18" s="18" t="s">
        <x:v>1826</x:v>
      </x:c>
      <x:c r="E18" s="38" t="s">
        <x:v>1847</x:v>
      </x:c>
      <x:c r="F18" s="5"/>
      <x:c r="G18" s="9" t="s">
        <x:v>1832</x:v>
      </x:c>
      <x:c r="H18" s="9" t="s">
        <x:v>897</x:v>
      </x:c>
      <x:c r="I18" s="5"/>
      <x:c r="J18" s="18"/>
      <x:c r="K18" s="9"/>
      <x:c r="L18" s="9"/>
      <x:c r="M18" s="12"/>
      <x:c r="N18" s="33"/>
    </x:row>
    <x:row r="19">
      <x:c r="A19" s="30" t="s">
        <x:v>1848</x:v>
      </x:c>
      <x:c r="B19" s="56" t="str">
        <x:v>RUSUNAWA Kota Pangkal Pinang</x:v>
      </x:c>
      <x:c r="C19" s="8" t="s">
        <x:v>1825</x:v>
      </x:c>
      <x:c r="D19" s="18" t="s">
        <x:v>1826</x:v>
      </x:c>
      <x:c r="E19" s="38" t="s">
        <x:v>1849</x:v>
      </x:c>
      <x:c r="F19" s="5"/>
      <x:c r="G19" s="9" t="s">
        <x:v>1832</x:v>
      </x:c>
      <x:c r="H19" s="9" t="s">
        <x:v>897</x:v>
      </x:c>
      <x:c r="I19" s="5"/>
      <x:c r="J19" s="18"/>
      <x:c r="K19" s="9"/>
      <x:c r="L19" s="9"/>
      <x:c r="M19" s="12"/>
      <x:c r="N19" s="33"/>
    </x:row>
    <x:row r="20">
      <x:c r="A20" s="30" t="s">
        <x:v>1850</x:v>
      </x:c>
      <x:c r="B20" s="56" t="str">
        <x:v>RUSUNAWA Kota Pangkal Pinang</x:v>
      </x:c>
      <x:c r="C20" s="8" t="s">
        <x:v>1825</x:v>
      </x:c>
      <x:c r="D20" s="18" t="s">
        <x:v>1826</x:v>
      </x:c>
      <x:c r="E20" s="38" t="s">
        <x:v>1851</x:v>
      </x:c>
      <x:c r="F20" s="5"/>
      <x:c r="G20" s="9" t="s">
        <x:v>1832</x:v>
      </x:c>
      <x:c r="H20" s="9" t="s">
        <x:v>897</x:v>
      </x:c>
      <x:c r="I20" s="5"/>
      <x:c r="J20" s="18"/>
      <x:c r="K20" s="9"/>
      <x:c r="L20" s="9"/>
      <x:c r="M20" s="12"/>
      <x:c r="N20" s="33"/>
    </x:row>
    <x:row r="21">
      <x:c r="A21" s="30" t="s">
        <x:v>1852</x:v>
      </x:c>
      <x:c r="B21" s="56" t="str">
        <x:v>RUSUNAWA Kota Pangkal Pinang</x:v>
      </x:c>
      <x:c r="C21" s="8" t="s">
        <x:v>1825</x:v>
      </x:c>
      <x:c r="D21" s="18" t="s">
        <x:v>1826</x:v>
      </x:c>
      <x:c r="E21" s="38" t="s">
        <x:v>1853</x:v>
      </x:c>
      <x:c r="F21" s="5"/>
      <x:c r="G21" s="9" t="s">
        <x:v>1827</x:v>
      </x:c>
      <x:c r="H21" s="9" t="s">
        <x:v>897</x:v>
      </x:c>
      <x:c r="I21" s="5"/>
      <x:c r="J21" s="18"/>
      <x:c r="K21" s="9"/>
      <x:c r="L21" s="9"/>
      <x:c r="M21" s="12"/>
      <x:c r="N21" s="33"/>
    </x:row>
    <x:row r="22">
      <x:c r="A22" s="30" t="s">
        <x:v>1854</x:v>
      </x:c>
      <x:c r="B22" s="56" t="str">
        <x:v>RUSUNAWA Kota Pangkal Pinang</x:v>
      </x:c>
      <x:c r="C22" s="8" t="s">
        <x:v>1825</x:v>
      </x:c>
      <x:c r="D22" s="18" t="s">
        <x:v>1826</x:v>
      </x:c>
      <x:c r="E22" s="38" t="s">
        <x:v>1855</x:v>
      </x:c>
      <x:c r="F22" s="5"/>
      <x:c r="G22" s="9" t="s">
        <x:v>1827</x:v>
      </x:c>
      <x:c r="H22" s="9" t="s">
        <x:v>897</x:v>
      </x:c>
      <x:c r="I22" s="5"/>
      <x:c r="J22" s="18"/>
      <x:c r="K22" s="9"/>
      <x:c r="L22" s="9"/>
      <x:c r="M22" s="12"/>
      <x:c r="N22" s="33"/>
    </x:row>
    <x:row r="23">
      <x:c r="A23" s="30" t="s">
        <x:v>1856</x:v>
      </x:c>
      <x:c r="B23" s="56" t="str">
        <x:v>RUSUNAWA Kota Pangkal Pinang</x:v>
      </x:c>
      <x:c r="C23" s="8" t="s">
        <x:v>1825</x:v>
      </x:c>
      <x:c r="D23" s="18" t="s">
        <x:v>1826</x:v>
      </x:c>
      <x:c r="E23" s="38" t="s">
        <x:v>1857</x:v>
      </x:c>
      <x:c r="F23" s="5"/>
      <x:c r="G23" s="9" t="s">
        <x:v>1827</x:v>
      </x:c>
      <x:c r="H23" s="9" t="s">
        <x:v>897</x:v>
      </x:c>
      <x:c r="I23" s="5"/>
      <x:c r="J23" s="18"/>
      <x:c r="K23" s="9"/>
      <x:c r="L23" s="9"/>
      <x:c r="M23" s="12"/>
      <x:c r="N23" s="33"/>
    </x:row>
    <x:row r="24">
      <x:c r="A24" s="30" t="s">
        <x:v>1858</x:v>
      </x:c>
      <x:c r="B24" s="56" t="str">
        <x:v>RUSUNAWA Kota Pangkal Pinang</x:v>
      </x:c>
      <x:c r="C24" s="8" t="s">
        <x:v>1825</x:v>
      </x:c>
      <x:c r="D24" s="18" t="s">
        <x:v>1826</x:v>
      </x:c>
      <x:c r="E24" s="38" t="s">
        <x:v>1859</x:v>
      </x:c>
      <x:c r="F24" s="5"/>
      <x:c r="G24" s="9" t="s">
        <x:v>1832</x:v>
      </x:c>
      <x:c r="H24" s="9" t="s">
        <x:v>912</x:v>
      </x:c>
      <x:c r="I24" s="5"/>
      <x:c r="J24" s="18"/>
      <x:c r="K24" s="9"/>
      <x:c r="L24" s="9"/>
      <x:c r="M24" s="12"/>
      <x:c r="N24" s="33"/>
    </x:row>
    <x:row r="25">
      <x:c r="A25" s="30" t="s">
        <x:v>1860</x:v>
      </x:c>
      <x:c r="B25" s="56" t="str">
        <x:v>RUSUNAWA Kota Pangkal Pinang</x:v>
      </x:c>
      <x:c r="C25" s="8" t="s">
        <x:v>1825</x:v>
      </x:c>
      <x:c r="D25" s="18" t="s">
        <x:v>1826</x:v>
      </x:c>
      <x:c r="E25" s="38" t="s">
        <x:v>1861</x:v>
      </x:c>
      <x:c r="F25" s="5"/>
      <x:c r="G25" s="9" t="s">
        <x:v>1827</x:v>
      </x:c>
      <x:c r="H25" s="9" t="s">
        <x:v>897</x:v>
      </x:c>
      <x:c r="I25" s="5"/>
      <x:c r="J25" s="18"/>
      <x:c r="K25" s="9"/>
      <x:c r="L25" s="9"/>
      <x:c r="M25" s="12"/>
      <x:c r="N25" s="33"/>
    </x:row>
    <x:row r="26">
      <x:c r="A26" s="30" t="s">
        <x:v>1862</x:v>
      </x:c>
      <x:c r="B26" s="56" t="str">
        <x:v>RUSUNAWA Kota Pangkal Pinang</x:v>
      </x:c>
      <x:c r="C26" s="8" t="s">
        <x:v>1825</x:v>
      </x:c>
      <x:c r="D26" s="18" t="s">
        <x:v>1826</x:v>
      </x:c>
      <x:c r="E26" s="38" t="s">
        <x:v>1863</x:v>
      </x:c>
      <x:c r="F26" s="5"/>
      <x:c r="G26" s="9" t="s">
        <x:v>1827</x:v>
      </x:c>
      <x:c r="H26" s="9" t="s">
        <x:v>881</x:v>
      </x:c>
      <x:c r="I26" s="5"/>
      <x:c r="J26" s="18"/>
      <x:c r="K26" s="9"/>
      <x:c r="L26" s="9"/>
      <x:c r="M26" s="12"/>
      <x:c r="N26" s="33"/>
    </x:row>
    <x:row r="27">
      <x:c r="A27" s="30" t="s">
        <x:v>1864</x:v>
      </x:c>
      <x:c r="B27" s="56" t="str">
        <x:v>RUSUNAWA Kota Pangkal Pinang</x:v>
      </x:c>
      <x:c r="C27" s="8" t="s">
        <x:v>1825</x:v>
      </x:c>
      <x:c r="D27" s="18" t="s">
        <x:v>1826</x:v>
      </x:c>
      <x:c r="E27" s="38" t="s">
        <x:v>1865</x:v>
      </x:c>
      <x:c r="F27" s="5"/>
      <x:c r="G27" s="9" t="s">
        <x:v>1827</x:v>
      </x:c>
      <x:c r="H27" s="9" t="s">
        <x:v>881</x:v>
      </x:c>
      <x:c r="I27" s="5"/>
      <x:c r="J27" s="18"/>
      <x:c r="K27" s="9"/>
      <x:c r="L27" s="9"/>
      <x:c r="M27" s="12"/>
      <x:c r="N27" s="33"/>
    </x:row>
    <x:row r="28">
      <x:c r="A28" s="30" t="s">
        <x:v>1866</x:v>
      </x:c>
      <x:c r="B28" s="56" t="str">
        <x:v>RUSUNAWA Kota Pangkal Pinang</x:v>
      </x:c>
      <x:c r="C28" s="8" t="s">
        <x:v>1825</x:v>
      </x:c>
      <x:c r="D28" s="18" t="s">
        <x:v>1826</x:v>
      </x:c>
      <x:c r="E28" s="38" t="s">
        <x:v>1867</x:v>
      </x:c>
      <x:c r="F28" s="5"/>
      <x:c r="G28" s="9" t="s">
        <x:v>1832</x:v>
      </x:c>
      <x:c r="H28" s="9" t="s">
        <x:v>897</x:v>
      </x:c>
      <x:c r="I28" s="5"/>
      <x:c r="J28" s="18"/>
      <x:c r="K28" s="9"/>
      <x:c r="L28" s="9"/>
      <x:c r="M28" s="12"/>
      <x:c r="N28" s="33"/>
    </x:row>
    <x:row r="29">
      <x:c r="A29" s="30" t="s">
        <x:v>1868</x:v>
      </x:c>
      <x:c r="B29" s="56" t="str">
        <x:v>RUSUNAWA Kota Pangkal Pinang</x:v>
      </x:c>
      <x:c r="C29" s="8" t="s">
        <x:v>1825</x:v>
      </x:c>
      <x:c r="D29" s="18" t="s">
        <x:v>1826</x:v>
      </x:c>
      <x:c r="E29" s="38" t="s">
        <x:v>1869</x:v>
      </x:c>
      <x:c r="F29" s="5"/>
      <x:c r="G29" s="9" t="s">
        <x:v>1832</x:v>
      </x:c>
      <x:c r="H29" s="9" t="s">
        <x:v>897</x:v>
      </x:c>
      <x:c r="I29" s="5"/>
      <x:c r="J29" s="18"/>
      <x:c r="K29" s="9"/>
      <x:c r="L29" s="9"/>
      <x:c r="M29" s="12"/>
      <x:c r="N29" s="33"/>
    </x:row>
    <x:row r="30">
      <x:c r="A30" s="30" t="s">
        <x:v>1870</x:v>
      </x:c>
      <x:c r="B30" s="56" t="str">
        <x:v>RUSUNAWA Kota Pangkal Pinang</x:v>
      </x:c>
      <x:c r="C30" s="8" t="s">
        <x:v>1825</x:v>
      </x:c>
      <x:c r="D30" s="18" t="s">
        <x:v>1871</x:v>
      </x:c>
      <x:c r="E30" s="38" t="s">
        <x:v>851</x:v>
      </x:c>
      <x:c r="F30" s="5"/>
      <x:c r="G30" s="9" t="s">
        <x:v>1827</x:v>
      </x:c>
      <x:c r="H30" s="9" t="s">
        <x:v>912</x:v>
      </x:c>
      <x:c r="I30" s="5"/>
      <x:c r="J30" s="18"/>
      <x:c r="K30" s="9"/>
      <x:c r="L30" s="9"/>
      <x:c r="M30" s="12"/>
      <x:c r="N30" s="33"/>
    </x:row>
    <x:row r="31">
      <x:c r="A31" s="30" t="s">
        <x:v>1872</x:v>
      </x:c>
      <x:c r="B31" s="56" t="str">
        <x:v>RUSUNAWA Kota Pangkal Pinang</x:v>
      </x:c>
      <x:c r="C31" s="8" t="s">
        <x:v>1825</x:v>
      </x:c>
      <x:c r="D31" s="18" t="s">
        <x:v>1871</x:v>
      </x:c>
      <x:c r="E31" s="38" t="s">
        <x:v>853</x:v>
      </x:c>
      <x:c r="F31" s="5"/>
      <x:c r="G31" s="9" t="s">
        <x:v>1827</x:v>
      </x:c>
      <x:c r="H31" s="9" t="s">
        <x:v>912</x:v>
      </x:c>
      <x:c r="I31" s="5"/>
      <x:c r="J31" s="18"/>
      <x:c r="K31" s="9"/>
      <x:c r="L31" s="9"/>
      <x:c r="M31" s="12"/>
      <x:c r="N31" s="33"/>
    </x:row>
    <x:row r="32">
      <x:c r="A32" s="30" t="s">
        <x:v>1873</x:v>
      </x:c>
      <x:c r="B32" s="56" t="str">
        <x:v>RUSUNAWA Kota Pangkal Pinang</x:v>
      </x:c>
      <x:c r="C32" s="8" t="s">
        <x:v>1825</x:v>
      </x:c>
      <x:c r="D32" s="18" t="s">
        <x:v>1871</x:v>
      </x:c>
      <x:c r="E32" s="38" t="s">
        <x:v>854</x:v>
      </x:c>
      <x:c r="F32" s="5"/>
      <x:c r="G32" s="9" t="s">
        <x:v>1827</x:v>
      </x:c>
      <x:c r="H32" s="9" t="s">
        <x:v>897</x:v>
      </x:c>
      <x:c r="I32" s="5"/>
      <x:c r="J32" s="18"/>
      <x:c r="K32" s="9"/>
      <x:c r="L32" s="9"/>
      <x:c r="M32" s="12"/>
      <x:c r="N32" s="33"/>
    </x:row>
    <x:row r="33">
      <x:c r="A33" s="30" t="s">
        <x:v>1874</x:v>
      </x:c>
      <x:c r="B33" s="56" t="str">
        <x:v>RUSUNAWA Kota Pangkal Pinang</x:v>
      </x:c>
      <x:c r="C33" s="8" t="s">
        <x:v>1825</x:v>
      </x:c>
      <x:c r="D33" s="18" t="s">
        <x:v>1871</x:v>
      </x:c>
      <x:c r="E33" s="38" t="s">
        <x:v>855</x:v>
      </x:c>
      <x:c r="F33" s="5"/>
      <x:c r="G33" s="9" t="s">
        <x:v>1827</x:v>
      </x:c>
      <x:c r="H33" s="9" t="s">
        <x:v>897</x:v>
      </x:c>
      <x:c r="I33" s="5"/>
      <x:c r="J33" s="18"/>
      <x:c r="K33" s="9"/>
      <x:c r="L33" s="9"/>
      <x:c r="M33" s="12"/>
      <x:c r="N33" s="33"/>
    </x:row>
    <x:row r="34">
      <x:c r="A34" s="30" t="s">
        <x:v>1875</x:v>
      </x:c>
      <x:c r="B34" s="56" t="str">
        <x:v>RUSUNAWA Kota Pangkal Pinang</x:v>
      </x:c>
      <x:c r="C34" s="8" t="s">
        <x:v>1825</x:v>
      </x:c>
      <x:c r="D34" s="18" t="s">
        <x:v>1871</x:v>
      </x:c>
      <x:c r="E34" s="38" t="s">
        <x:v>856</x:v>
      </x:c>
      <x:c r="F34" s="5"/>
      <x:c r="G34" s="9" t="s">
        <x:v>1841</x:v>
      </x:c>
      <x:c r="H34" s="9" t="s">
        <x:v>966</x:v>
      </x:c>
      <x:c r="I34" s="5"/>
      <x:c r="J34" s="18"/>
      <x:c r="K34" s="9"/>
      <x:c r="L34" s="9"/>
      <x:c r="M34" s="12"/>
      <x:c r="N34" s="33"/>
    </x:row>
    <x:row r="35">
      <x:c r="A35" s="30" t="s">
        <x:v>1876</x:v>
      </x:c>
      <x:c r="B35" s="56" t="str">
        <x:v>RUSUNAWA Kota Pangkal Pinang</x:v>
      </x:c>
      <x:c r="C35" s="8" t="s">
        <x:v>1825</x:v>
      </x:c>
      <x:c r="D35" s="18" t="s">
        <x:v>1871</x:v>
      </x:c>
      <x:c r="E35" s="38" t="s">
        <x:v>857</x:v>
      </x:c>
      <x:c r="F35" s="5"/>
      <x:c r="G35" s="9" t="s">
        <x:v>1841</x:v>
      </x:c>
      <x:c r="H35" s="9" t="s">
        <x:v>966</x:v>
      </x:c>
      <x:c r="I35" s="5"/>
      <x:c r="J35" s="18"/>
      <x:c r="K35" s="9"/>
      <x:c r="L35" s="9"/>
      <x:c r="M35" s="12"/>
      <x:c r="N35" s="33"/>
    </x:row>
    <x:row r="36">
      <x:c r="A36" s="30" t="s">
        <x:v>1877</x:v>
      </x:c>
      <x:c r="B36" s="56" t="str">
        <x:v>RUSUNAWA Kota Pangkal Pinang</x:v>
      </x:c>
      <x:c r="C36" s="8" t="s">
        <x:v>1825</x:v>
      </x:c>
      <x:c r="D36" s="18" t="s">
        <x:v>1871</x:v>
      </x:c>
      <x:c r="E36" s="38" t="s">
        <x:v>858</x:v>
      </x:c>
      <x:c r="F36" s="5"/>
      <x:c r="G36" s="9" t="s">
        <x:v>1832</x:v>
      </x:c>
      <x:c r="H36" s="9" t="s">
        <x:v>897</x:v>
      </x:c>
      <x:c r="I36" s="5"/>
      <x:c r="J36" s="18"/>
      <x:c r="K36" s="9"/>
      <x:c r="L36" s="9"/>
      <x:c r="M36" s="12"/>
      <x:c r="N36" s="33"/>
    </x:row>
    <x:row r="37">
      <x:c r="A37" s="30" t="s">
        <x:v>1878</x:v>
      </x:c>
      <x:c r="B37" s="56" t="str">
        <x:v>RUSUNAWA Kota Pangkal Pinang</x:v>
      </x:c>
      <x:c r="C37" s="8" t="s">
        <x:v>1825</x:v>
      </x:c>
      <x:c r="D37" s="18" t="s">
        <x:v>1871</x:v>
      </x:c>
      <x:c r="E37" s="38" t="s">
        <x:v>1836</x:v>
      </x:c>
      <x:c r="F37" s="5"/>
      <x:c r="G37" s="9" t="s">
        <x:v>1827</x:v>
      </x:c>
      <x:c r="H37" s="9" t="s">
        <x:v>897</x:v>
      </x:c>
      <x:c r="I37" s="5"/>
      <x:c r="J37" s="18"/>
      <x:c r="K37" s="9"/>
      <x:c r="L37" s="9"/>
      <x:c r="M37" s="12"/>
      <x:c r="N37" s="33"/>
    </x:row>
    <x:row r="38">
      <x:c r="A38" s="30" t="s">
        <x:v>1879</x:v>
      </x:c>
      <x:c r="B38" s="56" t="str">
        <x:v>RUSUNAWA Kota Pangkal Pinang</x:v>
      </x:c>
      <x:c r="C38" s="8" t="s">
        <x:v>1825</x:v>
      </x:c>
      <x:c r="D38" s="18" t="s">
        <x:v>1871</x:v>
      </x:c>
      <x:c r="E38" s="38" t="s">
        <x:v>1838</x:v>
      </x:c>
      <x:c r="F38" s="5"/>
      <x:c r="G38" s="9" t="s">
        <x:v>1832</x:v>
      </x:c>
      <x:c r="H38" s="9" t="s">
        <x:v>912</x:v>
      </x:c>
      <x:c r="I38" s="5"/>
      <x:c r="J38" s="18"/>
      <x:c r="K38" s="9"/>
      <x:c r="L38" s="9"/>
      <x:c r="M38" s="12"/>
      <x:c r="N38" s="33"/>
    </x:row>
    <x:row r="39">
      <x:c r="A39" s="30" t="s">
        <x:v>1880</x:v>
      </x:c>
      <x:c r="B39" s="56" t="str">
        <x:v>RUSUNAWA Kota Pangkal Pinang</x:v>
      </x:c>
      <x:c r="C39" s="8" t="s">
        <x:v>1825</x:v>
      </x:c>
      <x:c r="D39" s="18" t="s">
        <x:v>1871</x:v>
      </x:c>
      <x:c r="E39" s="38" t="s">
        <x:v>1840</x:v>
      </x:c>
      <x:c r="F39" s="5"/>
      <x:c r="G39" s="9" t="s">
        <x:v>1832</x:v>
      </x:c>
      <x:c r="H39" s="9" t="s">
        <x:v>912</x:v>
      </x:c>
      <x:c r="I39" s="5"/>
      <x:c r="J39" s="18"/>
      <x:c r="K39" s="9"/>
      <x:c r="L39" s="9"/>
      <x:c r="M39" s="12"/>
      <x:c r="N39" s="33"/>
    </x:row>
    <x:row r="40">
      <x:c r="A40" s="30" t="s">
        <x:v>1881</x:v>
      </x:c>
      <x:c r="B40" s="56" t="str">
        <x:v>RUSUNAWA Kota Pangkal Pinang</x:v>
      </x:c>
      <x:c r="C40" s="8" t="s">
        <x:v>1825</x:v>
      </x:c>
      <x:c r="D40" s="18" t="s">
        <x:v>1871</x:v>
      </x:c>
      <x:c r="E40" s="38" t="s">
        <x:v>1843</x:v>
      </x:c>
      <x:c r="F40" s="5"/>
      <x:c r="G40" s="9" t="s">
        <x:v>1832</x:v>
      </x:c>
      <x:c r="H40" s="9" t="s">
        <x:v>912</x:v>
      </x:c>
      <x:c r="I40" s="5"/>
      <x:c r="J40" s="18"/>
      <x:c r="K40" s="9"/>
      <x:c r="L40" s="9"/>
      <x:c r="M40" s="12"/>
      <x:c r="N40" s="33"/>
    </x:row>
    <x:row r="41">
      <x:c r="A41" s="30" t="s">
        <x:v>1882</x:v>
      </x:c>
      <x:c r="B41" s="56" t="str">
        <x:v>RUSUNAWA Kota Pangkal Pinang</x:v>
      </x:c>
      <x:c r="C41" s="8" t="s">
        <x:v>1825</x:v>
      </x:c>
      <x:c r="D41" s="18" t="s">
        <x:v>1871</x:v>
      </x:c>
      <x:c r="E41" s="38" t="s">
        <x:v>1845</x:v>
      </x:c>
      <x:c r="F41" s="5"/>
      <x:c r="G41" s="9" t="s">
        <x:v>1827</x:v>
      </x:c>
      <x:c r="H41" s="9" t="s">
        <x:v>897</x:v>
      </x:c>
      <x:c r="I41" s="5"/>
      <x:c r="J41" s="18"/>
      <x:c r="K41" s="9"/>
      <x:c r="L41" s="9"/>
      <x:c r="M41" s="12"/>
      <x:c r="N41" s="33"/>
    </x:row>
    <x:row r="42">
      <x:c r="A42" s="30" t="s">
        <x:v>1883</x:v>
      </x:c>
      <x:c r="B42" s="56" t="str">
        <x:v>RUSUNAWA Kota Pangkal Pinang</x:v>
      </x:c>
      <x:c r="C42" s="8" t="s">
        <x:v>1825</x:v>
      </x:c>
      <x:c r="D42" s="18" t="s">
        <x:v>1871</x:v>
      </x:c>
      <x:c r="E42" s="38" t="s">
        <x:v>1847</x:v>
      </x:c>
      <x:c r="F42" s="5"/>
      <x:c r="G42" s="9" t="s">
        <x:v>1832</x:v>
      </x:c>
      <x:c r="H42" s="9" t="s">
        <x:v>912</x:v>
      </x:c>
      <x:c r="I42" s="5"/>
      <x:c r="J42" s="18"/>
      <x:c r="K42" s="9"/>
      <x:c r="L42" s="9"/>
      <x:c r="M42" s="12"/>
      <x:c r="N42" s="33"/>
    </x:row>
    <x:row r="43">
      <x:c r="A43" s="30" t="s">
        <x:v>1884</x:v>
      </x:c>
      <x:c r="B43" s="56" t="str">
        <x:v>RUSUNAWA Kota Pangkal Pinang</x:v>
      </x:c>
      <x:c r="C43" s="8" t="s">
        <x:v>1825</x:v>
      </x:c>
      <x:c r="D43" s="18" t="s">
        <x:v>1871</x:v>
      </x:c>
      <x:c r="E43" s="38" t="s">
        <x:v>1849</x:v>
      </x:c>
      <x:c r="F43" s="5"/>
      <x:c r="G43" s="9" t="s">
        <x:v>1827</x:v>
      </x:c>
      <x:c r="H43" s="9" t="s">
        <x:v>897</x:v>
      </x:c>
      <x:c r="I43" s="5"/>
      <x:c r="J43" s="18"/>
      <x:c r="K43" s="9"/>
      <x:c r="L43" s="9"/>
      <x:c r="M43" s="12"/>
      <x:c r="N43" s="33"/>
    </x:row>
    <x:row r="44">
      <x:c r="A44" s="30" t="s">
        <x:v>1885</x:v>
      </x:c>
      <x:c r="B44" s="56" t="str">
        <x:v>RUSUNAWA Kota Pangkal Pinang</x:v>
      </x:c>
      <x:c r="C44" s="8" t="s">
        <x:v>1825</x:v>
      </x:c>
      <x:c r="D44" s="18" t="s">
        <x:v>1871</x:v>
      </x:c>
      <x:c r="E44" s="38" t="s">
        <x:v>1851</x:v>
      </x:c>
      <x:c r="F44" s="5"/>
      <x:c r="G44" s="9" t="s">
        <x:v>1827</x:v>
      </x:c>
      <x:c r="H44" s="9" t="s">
        <x:v>897</x:v>
      </x:c>
      <x:c r="I44" s="5"/>
      <x:c r="J44" s="18"/>
      <x:c r="K44" s="9"/>
      <x:c r="L44" s="9"/>
      <x:c r="M44" s="12"/>
      <x:c r="N44" s="33"/>
    </x:row>
    <x:row r="45">
      <x:c r="A45" s="30" t="s">
        <x:v>1886</x:v>
      </x:c>
      <x:c r="B45" s="56" t="str">
        <x:v>RUSUNAWA Kota Pangkal Pinang</x:v>
      </x:c>
      <x:c r="C45" s="8" t="s">
        <x:v>1825</x:v>
      </x:c>
      <x:c r="D45" s="18" t="s">
        <x:v>1871</x:v>
      </x:c>
      <x:c r="E45" s="38" t="s">
        <x:v>1853</x:v>
      </x:c>
      <x:c r="F45" s="5"/>
      <x:c r="G45" s="9" t="s">
        <x:v>1827</x:v>
      </x:c>
      <x:c r="H45" s="9" t="s">
        <x:v>897</x:v>
      </x:c>
      <x:c r="I45" s="5"/>
      <x:c r="J45" s="18"/>
      <x:c r="K45" s="9"/>
      <x:c r="L45" s="9"/>
      <x:c r="M45" s="12"/>
      <x:c r="N45" s="33"/>
    </x:row>
    <x:row r="46">
      <x:c r="A46" s="30" t="s">
        <x:v>1887</x:v>
      </x:c>
      <x:c r="B46" s="56" t="str">
        <x:v>RUSUNAWA Kota Pangkal Pinang</x:v>
      </x:c>
      <x:c r="C46" s="8" t="s">
        <x:v>1825</x:v>
      </x:c>
      <x:c r="D46" s="18" t="s">
        <x:v>1871</x:v>
      </x:c>
      <x:c r="E46" s="38" t="s">
        <x:v>1855</x:v>
      </x:c>
      <x:c r="F46" s="5"/>
      <x:c r="G46" s="9" t="s">
        <x:v>1827</x:v>
      </x:c>
      <x:c r="H46" s="9" t="s">
        <x:v>897</x:v>
      </x:c>
      <x:c r="I46" s="5"/>
      <x:c r="J46" s="18"/>
      <x:c r="K46" s="9"/>
      <x:c r="L46" s="9"/>
      <x:c r="M46" s="12"/>
      <x:c r="N46" s="33"/>
    </x:row>
    <x:row r="47">
      <x:c r="A47" s="30" t="s">
        <x:v>1888</x:v>
      </x:c>
      <x:c r="B47" s="56" t="str">
        <x:v>RUSUNAWA Kota Pangkal Pinang</x:v>
      </x:c>
      <x:c r="C47" s="8" t="s">
        <x:v>1825</x:v>
      </x:c>
      <x:c r="D47" s="18" t="s">
        <x:v>1871</x:v>
      </x:c>
      <x:c r="E47" s="38" t="s">
        <x:v>1857</x:v>
      </x:c>
      <x:c r="F47" s="5"/>
      <x:c r="G47" s="9" t="s">
        <x:v>1827</x:v>
      </x:c>
      <x:c r="H47" s="9" t="s">
        <x:v>897</x:v>
      </x:c>
      <x:c r="I47" s="5"/>
      <x:c r="J47" s="18"/>
      <x:c r="K47" s="9"/>
      <x:c r="L47" s="9"/>
      <x:c r="M47" s="12"/>
      <x:c r="N47" s="33"/>
    </x:row>
    <x:row r="48">
      <x:c r="A48" s="30" t="s">
        <x:v>1889</x:v>
      </x:c>
      <x:c r="B48" s="56" t="str">
        <x:v>RUSUNAWA Kota Pangkal Pinang</x:v>
      </x:c>
      <x:c r="C48" s="8" t="s">
        <x:v>1825</x:v>
      </x:c>
      <x:c r="D48" s="18" t="s">
        <x:v>1871</x:v>
      </x:c>
      <x:c r="E48" s="38" t="s">
        <x:v>1859</x:v>
      </x:c>
      <x:c r="F48" s="5"/>
      <x:c r="G48" s="9" t="s">
        <x:v>1827</x:v>
      </x:c>
      <x:c r="H48" s="9" t="s">
        <x:v>912</x:v>
      </x:c>
      <x:c r="I48" s="5"/>
      <x:c r="J48" s="18"/>
      <x:c r="K48" s="9"/>
      <x:c r="L48" s="9"/>
      <x:c r="M48" s="12"/>
      <x:c r="N48" s="33"/>
    </x:row>
    <x:row r="49">
      <x:c r="A49" s="30" t="s">
        <x:v>1890</x:v>
      </x:c>
      <x:c r="B49" s="56" t="str">
        <x:v>RUSUNAWA Kota Pangkal Pinang</x:v>
      </x:c>
      <x:c r="C49" s="8" t="s">
        <x:v>1825</x:v>
      </x:c>
      <x:c r="D49" s="18" t="s">
        <x:v>1871</x:v>
      </x:c>
      <x:c r="E49" s="38" t="s">
        <x:v>1861</x:v>
      </x:c>
      <x:c r="F49" s="5"/>
      <x:c r="G49" s="9" t="s">
        <x:v>1827</x:v>
      </x:c>
      <x:c r="H49" s="9" t="s">
        <x:v>912</x:v>
      </x:c>
      <x:c r="I49" s="5"/>
      <x:c r="J49" s="18"/>
      <x:c r="K49" s="9"/>
      <x:c r="L49" s="9"/>
      <x:c r="M49" s="12"/>
      <x:c r="N49" s="33"/>
    </x:row>
    <x:row r="50">
      <x:c r="A50" s="30" t="s">
        <x:v>1891</x:v>
      </x:c>
      <x:c r="B50" s="56" t="str">
        <x:v>RUSUNAWA Kota Pangkal Pinang</x:v>
      </x:c>
      <x:c r="C50" s="8" t="s">
        <x:v>1825</x:v>
      </x:c>
      <x:c r="D50" s="18" t="s">
        <x:v>1871</x:v>
      </x:c>
      <x:c r="E50" s="38" t="s">
        <x:v>1863</x:v>
      </x:c>
      <x:c r="F50" s="5"/>
      <x:c r="G50" s="9" t="s">
        <x:v>1827</x:v>
      </x:c>
      <x:c r="H50" s="9" t="s">
        <x:v>897</x:v>
      </x:c>
      <x:c r="I50" s="5"/>
      <x:c r="J50" s="18"/>
      <x:c r="K50" s="9"/>
      <x:c r="L50" s="9"/>
      <x:c r="M50" s="12"/>
      <x:c r="N50" s="33"/>
    </x:row>
    <x:row r="51">
      <x:c r="A51" s="30" t="s">
        <x:v>1892</x:v>
      </x:c>
      <x:c r="B51" s="56" t="str">
        <x:v>RUSUNAWA Kota Pangkal Pinang</x:v>
      </x:c>
      <x:c r="C51" s="8" t="s">
        <x:v>1825</x:v>
      </x:c>
      <x:c r="D51" s="18" t="s">
        <x:v>1871</x:v>
      </x:c>
      <x:c r="E51" s="38" t="s">
        <x:v>1865</x:v>
      </x:c>
      <x:c r="F51" s="5"/>
      <x:c r="G51" s="9" t="s">
        <x:v>1832</x:v>
      </x:c>
      <x:c r="H51" s="9" t="s">
        <x:v>912</x:v>
      </x:c>
      <x:c r="I51" s="5"/>
      <x:c r="J51" s="18"/>
      <x:c r="K51" s="9"/>
      <x:c r="L51" s="9"/>
      <x:c r="M51" s="12"/>
      <x:c r="N51" s="33"/>
    </x:row>
    <x:row r="52">
      <x:c r="A52" s="30" t="s">
        <x:v>1893</x:v>
      </x:c>
      <x:c r="B52" s="56" t="str">
        <x:v>RUSUNAWA Kota Pangkal Pinang</x:v>
      </x:c>
      <x:c r="C52" s="8" t="s">
        <x:v>1825</x:v>
      </x:c>
      <x:c r="D52" s="18" t="s">
        <x:v>1871</x:v>
      </x:c>
      <x:c r="E52" s="38" t="s">
        <x:v>1867</x:v>
      </x:c>
      <x:c r="F52" s="5"/>
      <x:c r="G52" s="9" t="s">
        <x:v>1841</x:v>
      </x:c>
      <x:c r="H52" s="9" t="s">
        <x:v>966</x:v>
      </x:c>
      <x:c r="I52" s="5"/>
      <x:c r="J52" s="18"/>
      <x:c r="K52" s="9"/>
      <x:c r="L52" s="9"/>
      <x:c r="M52" s="12"/>
      <x:c r="N52" s="33"/>
    </x:row>
    <x:row r="53">
      <x:c r="A53" s="30" t="s">
        <x:v>1894</x:v>
      </x:c>
      <x:c r="B53" s="56" t="str">
        <x:v>RUSUNAWA Kota Pangkal Pinang</x:v>
      </x:c>
      <x:c r="C53" s="8" t="s">
        <x:v>1825</x:v>
      </x:c>
      <x:c r="D53" s="18" t="s">
        <x:v>1871</x:v>
      </x:c>
      <x:c r="E53" s="38" t="s">
        <x:v>1869</x:v>
      </x:c>
      <x:c r="F53" s="5"/>
      <x:c r="G53" s="9" t="s">
        <x:v>1841</x:v>
      </x:c>
      <x:c r="H53" s="9" t="s">
        <x:v>966</x:v>
      </x:c>
      <x:c r="I53" s="5"/>
      <x:c r="J53" s="18"/>
      <x:c r="K53" s="9"/>
      <x:c r="L53" s="9"/>
      <x:c r="M53" s="12"/>
      <x:c r="N53" s="33"/>
    </x:row>
    <x:row r="54">
      <x:c r="A54" s="30" t="s">
        <x:v>1895</x:v>
      </x:c>
      <x:c r="B54" s="56" t="str">
        <x:v>RUSUNAWA Kota Pangkal Pinang</x:v>
      </x:c>
      <x:c r="C54" s="8" t="s">
        <x:v>1825</x:v>
      </x:c>
      <x:c r="D54" s="18" t="s">
        <x:v>1896</x:v>
      </x:c>
      <x:c r="E54" s="38" t="s">
        <x:v>851</x:v>
      </x:c>
      <x:c r="F54" s="5"/>
      <x:c r="G54" s="9" t="s">
        <x:v>1827</x:v>
      </x:c>
      <x:c r="H54" s="9" t="s">
        <x:v>897</x:v>
      </x:c>
      <x:c r="I54" s="5"/>
      <x:c r="J54" s="18"/>
      <x:c r="K54" s="9"/>
      <x:c r="L54" s="9"/>
      <x:c r="M54" s="12"/>
      <x:c r="N54" s="33"/>
    </x:row>
    <x:row r="55">
      <x:c r="A55" s="30" t="s">
        <x:v>1897</x:v>
      </x:c>
      <x:c r="B55" s="56" t="str">
        <x:v>RUSUNAWA Kota Pangkal Pinang</x:v>
      </x:c>
      <x:c r="C55" s="8" t="s">
        <x:v>1825</x:v>
      </x:c>
      <x:c r="D55" s="18" t="s">
        <x:v>1896</x:v>
      </x:c>
      <x:c r="E55" s="38" t="s">
        <x:v>853</x:v>
      </x:c>
      <x:c r="F55" s="5"/>
      <x:c r="G55" s="9" t="s">
        <x:v>1827</x:v>
      </x:c>
      <x:c r="H55" s="9" t="s">
        <x:v>897</x:v>
      </x:c>
      <x:c r="I55" s="5"/>
      <x:c r="J55" s="18"/>
      <x:c r="K55" s="9"/>
      <x:c r="L55" s="9"/>
      <x:c r="M55" s="12"/>
      <x:c r="N55" s="33"/>
    </x:row>
    <x:row r="56">
      <x:c r="A56" s="30" t="s">
        <x:v>1898</x:v>
      </x:c>
      <x:c r="B56" s="56" t="str">
        <x:v>RUSUNAWA Kota Pangkal Pinang</x:v>
      </x:c>
      <x:c r="C56" s="8" t="s">
        <x:v>1825</x:v>
      </x:c>
      <x:c r="D56" s="18" t="s">
        <x:v>1896</x:v>
      </x:c>
      <x:c r="E56" s="38" t="s">
        <x:v>854</x:v>
      </x:c>
      <x:c r="F56" s="5"/>
      <x:c r="G56" s="9" t="s">
        <x:v>1827</x:v>
      </x:c>
      <x:c r="H56" s="9" t="s">
        <x:v>897</x:v>
      </x:c>
      <x:c r="I56" s="5"/>
      <x:c r="J56" s="18"/>
      <x:c r="K56" s="9"/>
      <x:c r="L56" s="9"/>
      <x:c r="M56" s="12"/>
      <x:c r="N56" s="33"/>
    </x:row>
    <x:row r="57">
      <x:c r="A57" s="30" t="s">
        <x:v>1899</x:v>
      </x:c>
      <x:c r="B57" s="56" t="str">
        <x:v>RUSUNAWA Kota Pangkal Pinang</x:v>
      </x:c>
      <x:c r="C57" s="8" t="s">
        <x:v>1825</x:v>
      </x:c>
      <x:c r="D57" s="18" t="s">
        <x:v>1896</x:v>
      </x:c>
      <x:c r="E57" s="38" t="s">
        <x:v>855</x:v>
      </x:c>
      <x:c r="F57" s="5"/>
      <x:c r="G57" s="9" t="s">
        <x:v>1827</x:v>
      </x:c>
      <x:c r="H57" s="9" t="s">
        <x:v>912</x:v>
      </x:c>
      <x:c r="I57" s="5"/>
      <x:c r="J57" s="18"/>
      <x:c r="K57" s="9"/>
      <x:c r="L57" s="9"/>
      <x:c r="M57" s="12"/>
      <x:c r="N57" s="33"/>
    </x:row>
    <x:row r="58">
      <x:c r="A58" s="30" t="s">
        <x:v>1900</x:v>
      </x:c>
      <x:c r="B58" s="56" t="str">
        <x:v>RUSUNAWA Kota Pangkal Pinang</x:v>
      </x:c>
      <x:c r="C58" s="8" t="s">
        <x:v>1825</x:v>
      </x:c>
      <x:c r="D58" s="18" t="s">
        <x:v>1896</x:v>
      </x:c>
      <x:c r="E58" s="38" t="s">
        <x:v>856</x:v>
      </x:c>
      <x:c r="F58" s="5"/>
      <x:c r="G58" s="9" t="s">
        <x:v>1827</x:v>
      </x:c>
      <x:c r="H58" s="9" t="s">
        <x:v>897</x:v>
      </x:c>
      <x:c r="I58" s="5"/>
      <x:c r="J58" s="18"/>
      <x:c r="K58" s="9"/>
      <x:c r="L58" s="9"/>
      <x:c r="M58" s="12"/>
      <x:c r="N58" s="33"/>
    </x:row>
    <x:row r="59">
      <x:c r="A59" s="30" t="s">
        <x:v>1901</x:v>
      </x:c>
      <x:c r="B59" s="56" t="str">
        <x:v>RUSUNAWA Kota Pangkal Pinang</x:v>
      </x:c>
      <x:c r="C59" s="8" t="s">
        <x:v>1825</x:v>
      </x:c>
      <x:c r="D59" s="18" t="s">
        <x:v>1896</x:v>
      </x:c>
      <x:c r="E59" s="38" t="s">
        <x:v>857</x:v>
      </x:c>
      <x:c r="F59" s="5"/>
      <x:c r="G59" s="9" t="s">
        <x:v>1827</x:v>
      </x:c>
      <x:c r="H59" s="9" t="s">
        <x:v>881</x:v>
      </x:c>
      <x:c r="I59" s="5"/>
      <x:c r="J59" s="18"/>
      <x:c r="K59" s="9"/>
      <x:c r="L59" s="9"/>
      <x:c r="M59" s="12"/>
      <x:c r="N59" s="33"/>
    </x:row>
    <x:row r="60">
      <x:c r="A60" s="30" t="s">
        <x:v>1902</x:v>
      </x:c>
      <x:c r="B60" s="56" t="str">
        <x:v>RUSUNAWA Kota Pangkal Pinang</x:v>
      </x:c>
      <x:c r="C60" s="8" t="s">
        <x:v>1825</x:v>
      </x:c>
      <x:c r="D60" s="18" t="s">
        <x:v>1896</x:v>
      </x:c>
      <x:c r="E60" s="38" t="s">
        <x:v>858</x:v>
      </x:c>
      <x:c r="F60" s="5"/>
      <x:c r="G60" s="9" t="s">
        <x:v>1827</x:v>
      </x:c>
      <x:c r="H60" s="9" t="s">
        <x:v>897</x:v>
      </x:c>
      <x:c r="I60" s="5"/>
      <x:c r="J60" s="18"/>
      <x:c r="K60" s="9"/>
      <x:c r="L60" s="9"/>
      <x:c r="M60" s="12"/>
      <x:c r="N60" s="33"/>
    </x:row>
    <x:row r="61">
      <x:c r="A61" s="30" t="s">
        <x:v>1903</x:v>
      </x:c>
      <x:c r="B61" s="56" t="str">
        <x:v>RUSUNAWA Kota Pangkal Pinang</x:v>
      </x:c>
      <x:c r="C61" s="8" t="s">
        <x:v>1825</x:v>
      </x:c>
      <x:c r="D61" s="18" t="s">
        <x:v>1896</x:v>
      </x:c>
      <x:c r="E61" s="38" t="s">
        <x:v>1836</x:v>
      </x:c>
      <x:c r="F61" s="5"/>
      <x:c r="G61" s="9" t="s">
        <x:v>1827</x:v>
      </x:c>
      <x:c r="H61" s="9" t="s">
        <x:v>897</x:v>
      </x:c>
      <x:c r="I61" s="5"/>
      <x:c r="J61" s="18"/>
      <x:c r="K61" s="9"/>
      <x:c r="L61" s="9"/>
      <x:c r="M61" s="12"/>
      <x:c r="N61" s="33"/>
    </x:row>
    <x:row r="62">
      <x:c r="A62" s="30" t="s">
        <x:v>1904</x:v>
      </x:c>
      <x:c r="B62" s="56" t="str">
        <x:v>RUSUNAWA Kota Pangkal Pinang</x:v>
      </x:c>
      <x:c r="C62" s="8" t="s">
        <x:v>1825</x:v>
      </x:c>
      <x:c r="D62" s="18" t="s">
        <x:v>1896</x:v>
      </x:c>
      <x:c r="E62" s="38" t="s">
        <x:v>1838</x:v>
      </x:c>
      <x:c r="F62" s="5"/>
      <x:c r="G62" s="9" t="s">
        <x:v>1827</x:v>
      </x:c>
      <x:c r="H62" s="9" t="s">
        <x:v>912</x:v>
      </x:c>
      <x:c r="I62" s="5"/>
      <x:c r="J62" s="18"/>
      <x:c r="K62" s="9"/>
      <x:c r="L62" s="9"/>
      <x:c r="M62" s="12"/>
      <x:c r="N62" s="33"/>
    </x:row>
    <x:row r="63">
      <x:c r="A63" s="30" t="s">
        <x:v>1905</x:v>
      </x:c>
      <x:c r="B63" s="56" t="str">
        <x:v>RUSUNAWA Kota Pangkal Pinang</x:v>
      </x:c>
      <x:c r="C63" s="8" t="s">
        <x:v>1825</x:v>
      </x:c>
      <x:c r="D63" s="18" t="s">
        <x:v>1896</x:v>
      </x:c>
      <x:c r="E63" s="38" t="s">
        <x:v>1840</x:v>
      </x:c>
      <x:c r="F63" s="5"/>
      <x:c r="G63" s="9" t="s">
        <x:v>1827</x:v>
      </x:c>
      <x:c r="H63" s="9" t="s">
        <x:v>881</x:v>
      </x:c>
      <x:c r="I63" s="5"/>
      <x:c r="J63" s="18"/>
      <x:c r="K63" s="9"/>
      <x:c r="L63" s="9"/>
      <x:c r="M63" s="12"/>
      <x:c r="N63" s="33"/>
    </x:row>
    <x:row r="64">
      <x:c r="A64" s="30" t="s">
        <x:v>1906</x:v>
      </x:c>
      <x:c r="B64" s="56" t="str">
        <x:v>RUSUNAWA Kota Pangkal Pinang</x:v>
      </x:c>
      <x:c r="C64" s="8" t="s">
        <x:v>1825</x:v>
      </x:c>
      <x:c r="D64" s="18" t="s">
        <x:v>1896</x:v>
      </x:c>
      <x:c r="E64" s="38" t="s">
        <x:v>1843</x:v>
      </x:c>
      <x:c r="F64" s="5"/>
      <x:c r="G64" s="9" t="s">
        <x:v>1827</x:v>
      </x:c>
      <x:c r="H64" s="9" t="s">
        <x:v>881</x:v>
      </x:c>
      <x:c r="I64" s="5"/>
      <x:c r="J64" s="18"/>
      <x:c r="K64" s="9"/>
      <x:c r="L64" s="9"/>
      <x:c r="M64" s="12"/>
      <x:c r="N64" s="33"/>
    </x:row>
    <x:row r="65">
      <x:c r="A65" s="30" t="s">
        <x:v>1907</x:v>
      </x:c>
      <x:c r="B65" s="56" t="str">
        <x:v>RUSUNAWA Kota Pangkal Pinang</x:v>
      </x:c>
      <x:c r="C65" s="8" t="s">
        <x:v>1825</x:v>
      </x:c>
      <x:c r="D65" s="18" t="s">
        <x:v>1896</x:v>
      </x:c>
      <x:c r="E65" s="38" t="s">
        <x:v>1845</x:v>
      </x:c>
      <x:c r="F65" s="5"/>
      <x:c r="G65" s="9" t="s">
        <x:v>1827</x:v>
      </x:c>
      <x:c r="H65" s="9" t="s">
        <x:v>881</x:v>
      </x:c>
      <x:c r="I65" s="5"/>
      <x:c r="J65" s="18"/>
      <x:c r="K65" s="9"/>
      <x:c r="L65" s="9"/>
      <x:c r="M65" s="12"/>
      <x:c r="N65" s="33"/>
    </x:row>
    <x:row r="66">
      <x:c r="A66" s="30" t="s">
        <x:v>1908</x:v>
      </x:c>
      <x:c r="B66" s="56" t="str">
        <x:v>RUSUNAWA Kota Pangkal Pinang</x:v>
      </x:c>
      <x:c r="C66" s="8" t="s">
        <x:v>1825</x:v>
      </x:c>
      <x:c r="D66" s="18" t="s">
        <x:v>1896</x:v>
      </x:c>
      <x:c r="E66" s="38" t="s">
        <x:v>1847</x:v>
      </x:c>
      <x:c r="F66" s="5"/>
      <x:c r="G66" s="9" t="s">
        <x:v>1827</x:v>
      </x:c>
      <x:c r="H66" s="9" t="s">
        <x:v>912</x:v>
      </x:c>
      <x:c r="I66" s="5"/>
      <x:c r="J66" s="18"/>
      <x:c r="K66" s="9"/>
      <x:c r="L66" s="9"/>
      <x:c r="M66" s="12"/>
      <x:c r="N66" s="33"/>
    </x:row>
    <x:row r="67">
      <x:c r="A67" s="30" t="s">
        <x:v>1909</x:v>
      </x:c>
      <x:c r="B67" s="56" t="str">
        <x:v>RUSUNAWA Kota Pangkal Pinang</x:v>
      </x:c>
      <x:c r="C67" s="8" t="s">
        <x:v>1825</x:v>
      </x:c>
      <x:c r="D67" s="18" t="s">
        <x:v>1896</x:v>
      </x:c>
      <x:c r="E67" s="38" t="s">
        <x:v>1849</x:v>
      </x:c>
      <x:c r="F67" s="5"/>
      <x:c r="G67" s="9" t="s">
        <x:v>1827</x:v>
      </x:c>
      <x:c r="H67" s="9" t="s">
        <x:v>897</x:v>
      </x:c>
      <x:c r="I67" s="5"/>
      <x:c r="J67" s="18"/>
      <x:c r="K67" s="9"/>
      <x:c r="L67" s="9"/>
      <x:c r="M67" s="12"/>
      <x:c r="N67" s="33"/>
    </x:row>
    <x:row r="68">
      <x:c r="A68" s="30" t="s">
        <x:v>1910</x:v>
      </x:c>
      <x:c r="B68" s="56" t="str">
        <x:v>RUSUNAWA Kota Pangkal Pinang</x:v>
      </x:c>
      <x:c r="C68" s="8" t="s">
        <x:v>1825</x:v>
      </x:c>
      <x:c r="D68" s="18" t="s">
        <x:v>1896</x:v>
      </x:c>
      <x:c r="E68" s="38" t="s">
        <x:v>1851</x:v>
      </x:c>
      <x:c r="F68" s="5"/>
      <x:c r="G68" s="9" t="s">
        <x:v>1827</x:v>
      </x:c>
      <x:c r="H68" s="9" t="s">
        <x:v>897</x:v>
      </x:c>
      <x:c r="I68" s="5"/>
      <x:c r="J68" s="18"/>
      <x:c r="K68" s="9"/>
      <x:c r="L68" s="9"/>
      <x:c r="M68" s="12"/>
      <x:c r="N68" s="33"/>
    </x:row>
    <x:row r="69">
      <x:c r="A69" s="30" t="s">
        <x:v>1911</x:v>
      </x:c>
      <x:c r="B69" s="56" t="str">
        <x:v>RUSUNAWA Kota Pangkal Pinang</x:v>
      </x:c>
      <x:c r="C69" s="8" t="s">
        <x:v>1825</x:v>
      </x:c>
      <x:c r="D69" s="18" t="s">
        <x:v>1896</x:v>
      </x:c>
      <x:c r="E69" s="38" t="s">
        <x:v>1853</x:v>
      </x:c>
      <x:c r="F69" s="5"/>
      <x:c r="G69" s="9" t="s">
        <x:v>1827</x:v>
      </x:c>
      <x:c r="H69" s="9" t="s">
        <x:v>897</x:v>
      </x:c>
      <x:c r="I69" s="5"/>
      <x:c r="J69" s="18"/>
      <x:c r="K69" s="9"/>
      <x:c r="L69" s="9"/>
      <x:c r="M69" s="12"/>
      <x:c r="N69" s="33"/>
    </x:row>
    <x:row r="70">
      <x:c r="A70" s="30" t="s">
        <x:v>1912</x:v>
      </x:c>
      <x:c r="B70" s="56" t="str">
        <x:v>RUSUNAWA Kota Pangkal Pinang</x:v>
      </x:c>
      <x:c r="C70" s="8" t="s">
        <x:v>1825</x:v>
      </x:c>
      <x:c r="D70" s="18" t="s">
        <x:v>1896</x:v>
      </x:c>
      <x:c r="E70" s="38" t="s">
        <x:v>1855</x:v>
      </x:c>
      <x:c r="F70" s="5"/>
      <x:c r="G70" s="9" t="s">
        <x:v>1832</x:v>
      </x:c>
      <x:c r="H70" s="9" t="s">
        <x:v>897</x:v>
      </x:c>
      <x:c r="I70" s="5"/>
      <x:c r="J70" s="18"/>
      <x:c r="K70" s="9"/>
      <x:c r="L70" s="9"/>
      <x:c r="M70" s="12"/>
      <x:c r="N70" s="33"/>
    </x:row>
    <x:row r="71">
      <x:c r="A71" s="30" t="s">
        <x:v>1913</x:v>
      </x:c>
      <x:c r="B71" s="56" t="str">
        <x:v>RUSUNAWA Kota Pangkal Pinang</x:v>
      </x:c>
      <x:c r="C71" s="8" t="s">
        <x:v>1825</x:v>
      </x:c>
      <x:c r="D71" s="18" t="s">
        <x:v>1896</x:v>
      </x:c>
      <x:c r="E71" s="38" t="s">
        <x:v>1857</x:v>
      </x:c>
      <x:c r="F71" s="5"/>
      <x:c r="G71" s="9" t="s">
        <x:v>1827</x:v>
      </x:c>
      <x:c r="H71" s="9" t="s">
        <x:v>897</x:v>
      </x:c>
      <x:c r="I71" s="5"/>
      <x:c r="J71" s="18"/>
      <x:c r="K71" s="9"/>
      <x:c r="L71" s="9"/>
      <x:c r="M71" s="12"/>
      <x:c r="N71" s="33"/>
    </x:row>
    <x:row r="72">
      <x:c r="A72" s="30" t="s">
        <x:v>1914</x:v>
      </x:c>
      <x:c r="B72" s="56" t="str">
        <x:v>RUSUNAWA Kota Pangkal Pinang</x:v>
      </x:c>
      <x:c r="C72" s="8" t="s">
        <x:v>1825</x:v>
      </x:c>
      <x:c r="D72" s="18" t="s">
        <x:v>1896</x:v>
      </x:c>
      <x:c r="E72" s="38" t="s">
        <x:v>1859</x:v>
      </x:c>
      <x:c r="F72" s="5"/>
      <x:c r="G72" s="9" t="s">
        <x:v>1827</x:v>
      </x:c>
      <x:c r="H72" s="9" t="s">
        <x:v>912</x:v>
      </x:c>
      <x:c r="I72" s="5"/>
      <x:c r="J72" s="18"/>
      <x:c r="K72" s="9"/>
      <x:c r="L72" s="9"/>
      <x:c r="M72" s="12"/>
      <x:c r="N72" s="33"/>
    </x:row>
    <x:row r="73">
      <x:c r="A73" s="30" t="s">
        <x:v>1915</x:v>
      </x:c>
      <x:c r="B73" s="56" t="str">
        <x:v>RUSUNAWA Kota Pangkal Pinang</x:v>
      </x:c>
      <x:c r="C73" s="8" t="s">
        <x:v>1825</x:v>
      </x:c>
      <x:c r="D73" s="18" t="s">
        <x:v>1896</x:v>
      </x:c>
      <x:c r="E73" s="38" t="s">
        <x:v>1861</x:v>
      </x:c>
      <x:c r="F73" s="5"/>
      <x:c r="G73" s="9" t="s">
        <x:v>1827</x:v>
      </x:c>
      <x:c r="H73" s="9" t="s">
        <x:v>897</x:v>
      </x:c>
      <x:c r="I73" s="5"/>
      <x:c r="J73" s="18"/>
      <x:c r="K73" s="9"/>
      <x:c r="L73" s="9"/>
      <x:c r="M73" s="12"/>
      <x:c r="N73" s="33"/>
    </x:row>
    <x:row r="74">
      <x:c r="A74" s="30" t="s">
        <x:v>1916</x:v>
      </x:c>
      <x:c r="B74" s="56" t="str">
        <x:v>RUSUNAWA Kota Pangkal Pinang</x:v>
      </x:c>
      <x:c r="C74" s="8" t="s">
        <x:v>1825</x:v>
      </x:c>
      <x:c r="D74" s="18" t="s">
        <x:v>1896</x:v>
      </x:c>
      <x:c r="E74" s="38" t="s">
        <x:v>1863</x:v>
      </x:c>
      <x:c r="F74" s="5"/>
      <x:c r="G74" s="9" t="s">
        <x:v>1827</x:v>
      </x:c>
      <x:c r="H74" s="9" t="s">
        <x:v>897</x:v>
      </x:c>
      <x:c r="I74" s="5"/>
      <x:c r="J74" s="18"/>
      <x:c r="K74" s="9"/>
      <x:c r="L74" s="9"/>
      <x:c r="M74" s="12"/>
      <x:c r="N74" s="33"/>
    </x:row>
    <x:row r="75">
      <x:c r="A75" s="30" t="s">
        <x:v>1917</x:v>
      </x:c>
      <x:c r="B75" s="56" t="str">
        <x:v>RUSUNAWA Kota Pangkal Pinang</x:v>
      </x:c>
      <x:c r="C75" s="8" t="s">
        <x:v>1825</x:v>
      </x:c>
      <x:c r="D75" s="18" t="s">
        <x:v>1896</x:v>
      </x:c>
      <x:c r="E75" s="38" t="s">
        <x:v>1865</x:v>
      </x:c>
      <x:c r="F75" s="5"/>
      <x:c r="G75" s="9" t="s">
        <x:v>1827</x:v>
      </x:c>
      <x:c r="H75" s="9" t="s">
        <x:v>897</x:v>
      </x:c>
      <x:c r="I75" s="5"/>
      <x:c r="J75" s="18"/>
      <x:c r="K75" s="9"/>
      <x:c r="L75" s="9"/>
      <x:c r="M75" s="12"/>
      <x:c r="N75" s="33"/>
    </x:row>
    <x:row r="76">
      <x:c r="A76" s="30" t="s">
        <x:v>1918</x:v>
      </x:c>
      <x:c r="B76" s="56" t="str">
        <x:v>RUSUNAWA Kota Pangkal Pinang</x:v>
      </x:c>
      <x:c r="C76" s="8" t="s">
        <x:v>1825</x:v>
      </x:c>
      <x:c r="D76" s="18" t="s">
        <x:v>1896</x:v>
      </x:c>
      <x:c r="E76" s="38" t="s">
        <x:v>1867</x:v>
      </x:c>
      <x:c r="F76" s="5"/>
      <x:c r="G76" s="9" t="s">
        <x:v>1832</x:v>
      </x:c>
      <x:c r="H76" s="9" t="s">
        <x:v>912</x:v>
      </x:c>
      <x:c r="I76" s="5"/>
      <x:c r="J76" s="18"/>
      <x:c r="K76" s="9"/>
      <x:c r="L76" s="9"/>
      <x:c r="M76" s="12"/>
      <x:c r="N76" s="33"/>
    </x:row>
    <x:row r="77">
      <x:c r="A77" s="30" t="s">
        <x:v>1919</x:v>
      </x:c>
      <x:c r="B77" s="56" t="str">
        <x:v>RUSUNAWA Kota Pangkal Pinang</x:v>
      </x:c>
      <x:c r="C77" s="8" t="s">
        <x:v>1825</x:v>
      </x:c>
      <x:c r="D77" s="18" t="s">
        <x:v>1896</x:v>
      </x:c>
      <x:c r="E77" s="38" t="s">
        <x:v>1869</x:v>
      </x:c>
      <x:c r="F77" s="5"/>
      <x:c r="G77" s="9" t="s">
        <x:v>1832</x:v>
      </x:c>
      <x:c r="H77" s="9" t="s">
        <x:v>912</x:v>
      </x:c>
      <x:c r="I77" s="5"/>
      <x:c r="J77" s="18"/>
      <x:c r="K77" s="9"/>
      <x:c r="L77" s="9"/>
      <x:c r="M77" s="12"/>
      <x:c r="N77" s="33"/>
    </x:row>
    <x:row r="78">
      <x:c r="A78" s="30" t="s">
        <x:v>1920</x:v>
      </x:c>
      <x:c r="B78" s="56" t="str">
        <x:v>RUSUNAWA Kota Pangkal Pinang</x:v>
      </x:c>
      <x:c r="C78" s="8" t="s">
        <x:v>1825</x:v>
      </x:c>
      <x:c r="D78" s="18" t="s">
        <x:v>1921</x:v>
      </x:c>
      <x:c r="E78" s="38" t="s">
        <x:v>851</x:v>
      </x:c>
      <x:c r="F78" s="5"/>
      <x:c r="G78" s="9" t="s">
        <x:v>1827</x:v>
      </x:c>
      <x:c r="H78" s="9" t="s">
        <x:v>897</x:v>
      </x:c>
      <x:c r="I78" s="5"/>
      <x:c r="J78" s="18"/>
      <x:c r="K78" s="9"/>
      <x:c r="L78" s="9"/>
      <x:c r="M78" s="12"/>
      <x:c r="N78" s="33"/>
    </x:row>
    <x:row r="79">
      <x:c r="A79" s="30" t="s">
        <x:v>1922</x:v>
      </x:c>
      <x:c r="B79" s="56" t="str">
        <x:v>RUSUNAWA Kota Pangkal Pinang</x:v>
      </x:c>
      <x:c r="C79" s="8" t="s">
        <x:v>1825</x:v>
      </x:c>
      <x:c r="D79" s="18" t="s">
        <x:v>1921</x:v>
      </x:c>
      <x:c r="E79" s="38" t="s">
        <x:v>853</x:v>
      </x:c>
      <x:c r="F79" s="5"/>
      <x:c r="G79" s="9" t="s">
        <x:v>1827</x:v>
      </x:c>
      <x:c r="H79" s="9" t="s">
        <x:v>881</x:v>
      </x:c>
      <x:c r="I79" s="5"/>
      <x:c r="J79" s="18"/>
      <x:c r="K79" s="9"/>
      <x:c r="L79" s="9"/>
      <x:c r="M79" s="12"/>
      <x:c r="N79" s="33"/>
    </x:row>
    <x:row r="80">
      <x:c r="A80" s="30" t="s">
        <x:v>1923</x:v>
      </x:c>
      <x:c r="B80" s="56" t="str">
        <x:v>RUSUNAWA Kota Pangkal Pinang</x:v>
      </x:c>
      <x:c r="C80" s="8" t="s">
        <x:v>1825</x:v>
      </x:c>
      <x:c r="D80" s="18" t="s">
        <x:v>1921</x:v>
      </x:c>
      <x:c r="E80" s="38" t="s">
        <x:v>854</x:v>
      </x:c>
      <x:c r="F80" s="5"/>
      <x:c r="G80" s="9" t="s">
        <x:v>1832</x:v>
      </x:c>
      <x:c r="H80" s="9" t="s">
        <x:v>881</x:v>
      </x:c>
      <x:c r="I80" s="5"/>
      <x:c r="J80" s="18"/>
      <x:c r="K80" s="9"/>
      <x:c r="L80" s="9"/>
      <x:c r="M80" s="12"/>
      <x:c r="N80" s="33"/>
    </x:row>
    <x:row r="81">
      <x:c r="A81" s="30" t="s">
        <x:v>1924</x:v>
      </x:c>
      <x:c r="B81" s="56" t="str">
        <x:v>RUSUNAWA Kota Pangkal Pinang</x:v>
      </x:c>
      <x:c r="C81" s="8" t="s">
        <x:v>1825</x:v>
      </x:c>
      <x:c r="D81" s="18" t="s">
        <x:v>1921</x:v>
      </x:c>
      <x:c r="E81" s="38" t="s">
        <x:v>855</x:v>
      </x:c>
      <x:c r="F81" s="5"/>
      <x:c r="G81" s="9" t="s">
        <x:v>1827</x:v>
      </x:c>
      <x:c r="H81" s="9" t="s">
        <x:v>881</x:v>
      </x:c>
      <x:c r="I81" s="5"/>
      <x:c r="J81" s="18"/>
      <x:c r="K81" s="9"/>
      <x:c r="L81" s="9"/>
      <x:c r="M81" s="12"/>
      <x:c r="N81" s="33"/>
    </x:row>
    <x:row r="82">
      <x:c r="A82" s="30" t="s">
        <x:v>1925</x:v>
      </x:c>
      <x:c r="B82" s="56" t="str">
        <x:v>RUSUNAWA Kota Pangkal Pinang</x:v>
      </x:c>
      <x:c r="C82" s="8" t="s">
        <x:v>1825</x:v>
      </x:c>
      <x:c r="D82" s="18" t="s">
        <x:v>1921</x:v>
      </x:c>
      <x:c r="E82" s="38" t="s">
        <x:v>856</x:v>
      </x:c>
      <x:c r="F82" s="5"/>
      <x:c r="G82" s="9" t="s">
        <x:v>1827</x:v>
      </x:c>
      <x:c r="H82" s="9" t="s">
        <x:v>881</x:v>
      </x:c>
      <x:c r="I82" s="5"/>
      <x:c r="J82" s="18"/>
      <x:c r="K82" s="9"/>
      <x:c r="L82" s="9"/>
      <x:c r="M82" s="12"/>
      <x:c r="N82" s="33"/>
    </x:row>
    <x:row r="83">
      <x:c r="A83" s="30" t="s">
        <x:v>1926</x:v>
      </x:c>
      <x:c r="B83" s="56" t="str">
        <x:v>RUSUNAWA Kota Pangkal Pinang</x:v>
      </x:c>
      <x:c r="C83" s="8" t="s">
        <x:v>1825</x:v>
      </x:c>
      <x:c r="D83" s="18" t="s">
        <x:v>1921</x:v>
      </x:c>
      <x:c r="E83" s="38" t="s">
        <x:v>857</x:v>
      </x:c>
      <x:c r="F83" s="5"/>
      <x:c r="G83" s="9" t="s">
        <x:v>1827</x:v>
      </x:c>
      <x:c r="H83" s="9" t="s">
        <x:v>881</x:v>
      </x:c>
      <x:c r="I83" s="5"/>
      <x:c r="J83" s="18"/>
      <x:c r="K83" s="9"/>
      <x:c r="L83" s="9"/>
      <x:c r="M83" s="12"/>
      <x:c r="N83" s="33"/>
    </x:row>
    <x:row r="84">
      <x:c r="A84" s="30" t="s">
        <x:v>1927</x:v>
      </x:c>
      <x:c r="B84" s="56" t="str">
        <x:v>RUSUNAWA Kota Pangkal Pinang</x:v>
      </x:c>
      <x:c r="C84" s="8" t="s">
        <x:v>1825</x:v>
      </x:c>
      <x:c r="D84" s="18" t="s">
        <x:v>1921</x:v>
      </x:c>
      <x:c r="E84" s="38" t="s">
        <x:v>858</x:v>
      </x:c>
      <x:c r="F84" s="5"/>
      <x:c r="G84" s="9" t="s">
        <x:v>1827</x:v>
      </x:c>
      <x:c r="H84" s="9" t="s">
        <x:v>881</x:v>
      </x:c>
      <x:c r="I84" s="5"/>
      <x:c r="J84" s="18"/>
      <x:c r="K84" s="9"/>
      <x:c r="L84" s="9"/>
      <x:c r="M84" s="12"/>
      <x:c r="N84" s="33"/>
    </x:row>
    <x:row r="85">
      <x:c r="A85" s="30" t="s">
        <x:v>1928</x:v>
      </x:c>
      <x:c r="B85" s="56" t="str">
        <x:v>RUSUNAWA Kota Pangkal Pinang</x:v>
      </x:c>
      <x:c r="C85" s="8" t="s">
        <x:v>1825</x:v>
      </x:c>
      <x:c r="D85" s="18" t="s">
        <x:v>1921</x:v>
      </x:c>
      <x:c r="E85" s="38" t="s">
        <x:v>1836</x:v>
      </x:c>
      <x:c r="F85" s="5"/>
      <x:c r="G85" s="9" t="s">
        <x:v>1827</x:v>
      </x:c>
      <x:c r="H85" s="9" t="s">
        <x:v>881</x:v>
      </x:c>
      <x:c r="I85" s="5"/>
      <x:c r="J85" s="18"/>
      <x:c r="K85" s="9"/>
      <x:c r="L85" s="9"/>
      <x:c r="M85" s="12"/>
      <x:c r="N85" s="33"/>
    </x:row>
    <x:row r="86">
      <x:c r="A86" s="30" t="s">
        <x:v>1929</x:v>
      </x:c>
      <x:c r="B86" s="56" t="str">
        <x:v>RUSUNAWA Kota Pangkal Pinang</x:v>
      </x:c>
      <x:c r="C86" s="8" t="s">
        <x:v>1825</x:v>
      </x:c>
      <x:c r="D86" s="18" t="s">
        <x:v>1921</x:v>
      </x:c>
      <x:c r="E86" s="38" t="s">
        <x:v>1838</x:v>
      </x:c>
      <x:c r="F86" s="5"/>
      <x:c r="G86" s="9" t="s">
        <x:v>1827</x:v>
      </x:c>
      <x:c r="H86" s="9" t="s">
        <x:v>881</x:v>
      </x:c>
      <x:c r="I86" s="5"/>
      <x:c r="J86" s="18"/>
      <x:c r="K86" s="9"/>
      <x:c r="L86" s="9"/>
      <x:c r="M86" s="12"/>
      <x:c r="N86" s="33"/>
    </x:row>
    <x:row r="87">
      <x:c r="A87" s="30" t="s">
        <x:v>1930</x:v>
      </x:c>
      <x:c r="B87" s="56" t="str">
        <x:v>RUSUNAWA Kota Pangkal Pinang</x:v>
      </x:c>
      <x:c r="C87" s="8" t="s">
        <x:v>1825</x:v>
      </x:c>
      <x:c r="D87" s="18" t="s">
        <x:v>1921</x:v>
      </x:c>
      <x:c r="E87" s="38" t="s">
        <x:v>1840</x:v>
      </x:c>
      <x:c r="F87" s="5"/>
      <x:c r="G87" s="9" t="s">
        <x:v>1832</x:v>
      </x:c>
      <x:c r="H87" s="9" t="s">
        <x:v>897</x:v>
      </x:c>
      <x:c r="I87" s="5"/>
      <x:c r="J87" s="18"/>
      <x:c r="K87" s="9"/>
      <x:c r="L87" s="9"/>
      <x:c r="M87" s="12"/>
      <x:c r="N87" s="33"/>
    </x:row>
    <x:row r="88">
      <x:c r="A88" s="30" t="s">
        <x:v>1931</x:v>
      </x:c>
      <x:c r="B88" s="56" t="str">
        <x:v>RUSUNAWA Kota Pangkal Pinang</x:v>
      </x:c>
      <x:c r="C88" s="8" t="s">
        <x:v>1825</x:v>
      </x:c>
      <x:c r="D88" s="18" t="s">
        <x:v>1921</x:v>
      </x:c>
      <x:c r="E88" s="38" t="s">
        <x:v>1843</x:v>
      </x:c>
      <x:c r="F88" s="5"/>
      <x:c r="G88" s="9" t="s">
        <x:v>1832</x:v>
      </x:c>
      <x:c r="H88" s="9" t="s">
        <x:v>897</x:v>
      </x:c>
      <x:c r="I88" s="5"/>
      <x:c r="J88" s="18"/>
      <x:c r="K88" s="9"/>
      <x:c r="L88" s="9"/>
      <x:c r="M88" s="12"/>
      <x:c r="N88" s="33"/>
    </x:row>
    <x:row r="89">
      <x:c r="A89" s="30" t="s">
        <x:v>1932</x:v>
      </x:c>
      <x:c r="B89" s="56" t="str">
        <x:v>RUSUNAWA Kota Pangkal Pinang</x:v>
      </x:c>
      <x:c r="C89" s="8" t="s">
        <x:v>1825</x:v>
      </x:c>
      <x:c r="D89" s="18" t="s">
        <x:v>1921</x:v>
      </x:c>
      <x:c r="E89" s="38" t="s">
        <x:v>1845</x:v>
      </x:c>
      <x:c r="F89" s="5"/>
      <x:c r="G89" s="9" t="s">
        <x:v>1832</x:v>
      </x:c>
      <x:c r="H89" s="9" t="s">
        <x:v>897</x:v>
      </x:c>
      <x:c r="I89" s="5"/>
      <x:c r="J89" s="18"/>
      <x:c r="K89" s="9"/>
      <x:c r="L89" s="9"/>
      <x:c r="M89" s="12"/>
      <x:c r="N89" s="33"/>
    </x:row>
    <x:row r="90">
      <x:c r="A90" s="30" t="s">
        <x:v>1933</x:v>
      </x:c>
      <x:c r="B90" s="56" t="str">
        <x:v>RUSUNAWA Kota Pangkal Pinang</x:v>
      </x:c>
      <x:c r="C90" s="8" t="s">
        <x:v>1825</x:v>
      </x:c>
      <x:c r="D90" s="18" t="s">
        <x:v>1921</x:v>
      </x:c>
      <x:c r="E90" s="38" t="s">
        <x:v>1847</x:v>
      </x:c>
      <x:c r="F90" s="5"/>
      <x:c r="G90" s="9" t="s">
        <x:v>1827</x:v>
      </x:c>
      <x:c r="H90" s="9" t="s">
        <x:v>881</x:v>
      </x:c>
      <x:c r="I90" s="5"/>
      <x:c r="J90" s="18"/>
      <x:c r="K90" s="9"/>
      <x:c r="L90" s="9"/>
      <x:c r="M90" s="12"/>
      <x:c r="N90" s="33"/>
    </x:row>
    <x:row r="91">
      <x:c r="A91" s="30" t="s">
        <x:v>1934</x:v>
      </x:c>
      <x:c r="B91" s="56" t="str">
        <x:v>RUSUNAWA Kota Pangkal Pinang</x:v>
      </x:c>
      <x:c r="C91" s="8" t="s">
        <x:v>1825</x:v>
      </x:c>
      <x:c r="D91" s="18" t="s">
        <x:v>1921</x:v>
      </x:c>
      <x:c r="E91" s="38" t="s">
        <x:v>1849</x:v>
      </x:c>
      <x:c r="F91" s="5"/>
      <x:c r="G91" s="9" t="s">
        <x:v>1827</x:v>
      </x:c>
      <x:c r="H91" s="9" t="s">
        <x:v>881</x:v>
      </x:c>
      <x:c r="I91" s="5"/>
      <x:c r="J91" s="18"/>
      <x:c r="K91" s="9"/>
      <x:c r="L91" s="9"/>
      <x:c r="M91" s="12"/>
      <x:c r="N91" s="33"/>
    </x:row>
    <x:row r="92">
      <x:c r="A92" s="30" t="s">
        <x:v>1935</x:v>
      </x:c>
      <x:c r="B92" s="56" t="str">
        <x:v>RUSUNAWA Kota Pangkal Pinang</x:v>
      </x:c>
      <x:c r="C92" s="8" t="s">
        <x:v>1825</x:v>
      </x:c>
      <x:c r="D92" s="18" t="s">
        <x:v>1921</x:v>
      </x:c>
      <x:c r="E92" s="38" t="s">
        <x:v>1851</x:v>
      </x:c>
      <x:c r="F92" s="5"/>
      <x:c r="G92" s="9" t="s">
        <x:v>1827</x:v>
      </x:c>
      <x:c r="H92" s="9" t="s">
        <x:v>881</x:v>
      </x:c>
      <x:c r="I92" s="5"/>
      <x:c r="J92" s="18"/>
      <x:c r="K92" s="9"/>
      <x:c r="L92" s="9"/>
      <x:c r="M92" s="12"/>
      <x:c r="N92" s="33"/>
    </x:row>
    <x:row r="93">
      <x:c r="A93" s="30" t="s">
        <x:v>1936</x:v>
      </x:c>
      <x:c r="B93" s="56" t="str">
        <x:v>RUSUNAWA Kota Pangkal Pinang</x:v>
      </x:c>
      <x:c r="C93" s="8" t="s">
        <x:v>1825</x:v>
      </x:c>
      <x:c r="D93" s="18" t="s">
        <x:v>1921</x:v>
      </x:c>
      <x:c r="E93" s="38" t="s">
        <x:v>1853</x:v>
      </x:c>
      <x:c r="F93" s="5"/>
      <x:c r="G93" s="9" t="s">
        <x:v>1827</x:v>
      </x:c>
      <x:c r="H93" s="9" t="s">
        <x:v>897</x:v>
      </x:c>
      <x:c r="I93" s="5"/>
      <x:c r="J93" s="18"/>
      <x:c r="K93" s="9"/>
      <x:c r="L93" s="9"/>
      <x:c r="M93" s="12"/>
      <x:c r="N93" s="33"/>
    </x:row>
    <x:row r="94">
      <x:c r="A94" s="30" t="s">
        <x:v>1937</x:v>
      </x:c>
      <x:c r="B94" s="56" t="str">
        <x:v>RUSUNAWA Kota Pangkal Pinang</x:v>
      </x:c>
      <x:c r="C94" s="8" t="s">
        <x:v>1825</x:v>
      </x:c>
      <x:c r="D94" s="18" t="s">
        <x:v>1921</x:v>
      </x:c>
      <x:c r="E94" s="38" t="s">
        <x:v>1855</x:v>
      </x:c>
      <x:c r="F94" s="5"/>
      <x:c r="G94" s="9" t="s">
        <x:v>1827</x:v>
      </x:c>
      <x:c r="H94" s="9" t="s">
        <x:v>881</x:v>
      </x:c>
      <x:c r="I94" s="5"/>
      <x:c r="J94" s="18"/>
      <x:c r="K94" s="9"/>
      <x:c r="L94" s="9"/>
      <x:c r="M94" s="12"/>
      <x:c r="N94" s="33"/>
    </x:row>
    <x:row r="95">
      <x:c r="A95" s="30" t="s">
        <x:v>1938</x:v>
      </x:c>
      <x:c r="B95" s="56" t="str">
        <x:v>RUSUNAWA Kota Pangkal Pinang</x:v>
      </x:c>
      <x:c r="C95" s="8" t="s">
        <x:v>1825</x:v>
      </x:c>
      <x:c r="D95" s="18" t="s">
        <x:v>1921</x:v>
      </x:c>
      <x:c r="E95" s="38" t="s">
        <x:v>1857</x:v>
      </x:c>
      <x:c r="F95" s="5"/>
      <x:c r="G95" s="9" t="s">
        <x:v>1827</x:v>
      </x:c>
      <x:c r="H95" s="9" t="s">
        <x:v>881</x:v>
      </x:c>
      <x:c r="I95" s="5"/>
      <x:c r="J95" s="18"/>
      <x:c r="K95" s="9"/>
      <x:c r="L95" s="9"/>
      <x:c r="M95" s="12"/>
      <x:c r="N95" s="33"/>
    </x:row>
    <x:row r="96">
      <x:c r="A96" s="30" t="s">
        <x:v>1939</x:v>
      </x:c>
      <x:c r="B96" s="56" t="str">
        <x:v>RUSUNAWA Kota Pangkal Pinang</x:v>
      </x:c>
      <x:c r="C96" s="8" t="s">
        <x:v>1825</x:v>
      </x:c>
      <x:c r="D96" s="18" t="s">
        <x:v>1921</x:v>
      </x:c>
      <x:c r="E96" s="38" t="s">
        <x:v>1859</x:v>
      </x:c>
      <x:c r="F96" s="5"/>
      <x:c r="G96" s="9" t="s">
        <x:v>1827</x:v>
      </x:c>
      <x:c r="H96" s="9" t="s">
        <x:v>881</x:v>
      </x:c>
      <x:c r="I96" s="5"/>
      <x:c r="J96" s="18"/>
      <x:c r="K96" s="9"/>
      <x:c r="L96" s="9"/>
      <x:c r="M96" s="12"/>
      <x:c r="N96" s="33"/>
    </x:row>
    <x:row r="97">
      <x:c r="A97" s="30" t="s">
        <x:v>1940</x:v>
      </x:c>
      <x:c r="B97" s="56" t="str">
        <x:v>RUSUNAWA Kota Pangkal Pinang</x:v>
      </x:c>
      <x:c r="C97" s="8" t="s">
        <x:v>1825</x:v>
      </x:c>
      <x:c r="D97" s="18" t="s">
        <x:v>1921</x:v>
      </x:c>
      <x:c r="E97" s="38" t="s">
        <x:v>1861</x:v>
      </x:c>
      <x:c r="F97" s="5"/>
      <x:c r="G97" s="9" t="s">
        <x:v>1832</x:v>
      </x:c>
      <x:c r="H97" s="9" t="s">
        <x:v>881</x:v>
      </x:c>
      <x:c r="I97" s="5"/>
      <x:c r="J97" s="18"/>
      <x:c r="K97" s="9"/>
      <x:c r="L97" s="9"/>
      <x:c r="M97" s="12"/>
      <x:c r="N97" s="33"/>
    </x:row>
    <x:row r="98">
      <x:c r="A98" s="30" t="s">
        <x:v>1941</x:v>
      </x:c>
      <x:c r="B98" s="56" t="str">
        <x:v>RUSUNAWA Kota Pangkal Pinang</x:v>
      </x:c>
      <x:c r="C98" s="8" t="s">
        <x:v>1825</x:v>
      </x:c>
      <x:c r="D98" s="18" t="s">
        <x:v>1921</x:v>
      </x:c>
      <x:c r="E98" s="38" t="s">
        <x:v>1863</x:v>
      </x:c>
      <x:c r="F98" s="5"/>
      <x:c r="G98" s="9" t="s">
        <x:v>1832</x:v>
      </x:c>
      <x:c r="H98" s="9" t="s">
        <x:v>897</x:v>
      </x:c>
      <x:c r="I98" s="5"/>
      <x:c r="J98" s="18"/>
      <x:c r="K98" s="9"/>
      <x:c r="L98" s="9"/>
      <x:c r="M98" s="12"/>
      <x:c r="N98" s="33"/>
    </x:row>
    <x:row r="99">
      <x:c r="A99" s="30" t="s">
        <x:v>1942</x:v>
      </x:c>
      <x:c r="B99" s="56" t="str">
        <x:v>RUSUNAWA Kota Pangkal Pinang</x:v>
      </x:c>
      <x:c r="C99" s="8" t="s">
        <x:v>1825</x:v>
      </x:c>
      <x:c r="D99" s="18" t="s">
        <x:v>1921</x:v>
      </x:c>
      <x:c r="E99" s="38" t="s">
        <x:v>1865</x:v>
      </x:c>
      <x:c r="F99" s="5"/>
      <x:c r="G99" s="9" t="s">
        <x:v>1827</x:v>
      </x:c>
      <x:c r="H99" s="9" t="s">
        <x:v>881</x:v>
      </x:c>
      <x:c r="I99" s="5"/>
      <x:c r="J99" s="18"/>
      <x:c r="K99" s="9"/>
      <x:c r="L99" s="9"/>
      <x:c r="M99" s="12"/>
      <x:c r="N99" s="33"/>
    </x:row>
    <x:row r="100">
      <x:c r="A100" s="30" t="s">
        <x:v>1943</x:v>
      </x:c>
      <x:c r="B100" s="56" t="str">
        <x:v>RUSUNAWA Kota Pangkal Pinang</x:v>
      </x:c>
      <x:c r="C100" s="8" t="s">
        <x:v>1825</x:v>
      </x:c>
      <x:c r="D100" s="18" t="s">
        <x:v>1921</x:v>
      </x:c>
      <x:c r="E100" s="38" t="s">
        <x:v>1867</x:v>
      </x:c>
      <x:c r="F100" s="5"/>
      <x:c r="G100" s="9" t="s">
        <x:v>1832</x:v>
      </x:c>
      <x:c r="H100" s="9" t="s">
        <x:v>897</x:v>
      </x:c>
      <x:c r="I100" s="5"/>
      <x:c r="J100" s="18"/>
      <x:c r="K100" s="9"/>
      <x:c r="L100" s="9"/>
      <x:c r="M100" s="12"/>
      <x:c r="N100" s="33"/>
    </x:row>
    <x:row r="101">
      <x:c r="A101" s="30" t="s">
        <x:v>1944</x:v>
      </x:c>
      <x:c r="B101" s="56" t="str">
        <x:v>RUSUNAWA Kota Pangkal Pinang</x:v>
      </x:c>
      <x:c r="C101" s="8" t="s">
        <x:v>1825</x:v>
      </x:c>
      <x:c r="D101" s="18" t="s">
        <x:v>1921</x:v>
      </x:c>
      <x:c r="E101" s="38" t="s">
        <x:v>1869</x:v>
      </x:c>
      <x:c r="F101" s="5"/>
      <x:c r="G101" s="9" t="s">
        <x:v>1827</x:v>
      </x:c>
      <x:c r="H101" s="9" t="s">
        <x:v>881</x:v>
      </x:c>
      <x:c r="I101" s="5"/>
      <x:c r="J101" s="18"/>
      <x:c r="K101" s="9"/>
      <x:c r="L101" s="9"/>
      <x:c r="M101" s="12"/>
      <x:c r="N101" s="33"/>
    </x:row>
    <x:row r="102">
      <x:c r="A102" s="30" t="s">
        <x:v>1945</x:v>
      </x:c>
      <x:c r="B102" s="56" t="str">
        <x:v>RUSUNAWA Kota Pangkal Pinang</x:v>
      </x:c>
      <x:c r="C102" s="8" t="s">
        <x:v>1946</x:v>
      </x:c>
      <x:c r="D102" s="18" t="s">
        <x:v>1947</x:v>
      </x:c>
      <x:c r="E102" s="38" t="s">
        <x:v>851</x:v>
      </x:c>
      <x:c r="F102" s="5"/>
      <x:c r="G102" s="9" t="s">
        <x:v>1841</x:v>
      </x:c>
      <x:c r="H102" s="9" t="s">
        <x:v>966</x:v>
      </x:c>
      <x:c r="I102" s="5"/>
      <x:c r="J102" s="18"/>
      <x:c r="K102" s="9"/>
      <x:c r="L102" s="9"/>
      <x:c r="M102" s="12"/>
      <x:c r="N102" s="33"/>
    </x:row>
    <x:row r="103">
      <x:c r="A103" s="30" t="s">
        <x:v>1948</x:v>
      </x:c>
      <x:c r="B103" s="56" t="str">
        <x:v>RUSUNAWA Kota Pangkal Pinang</x:v>
      </x:c>
      <x:c r="C103" s="8" t="s">
        <x:v>1946</x:v>
      </x:c>
      <x:c r="D103" s="18" t="s">
        <x:v>1947</x:v>
      </x:c>
      <x:c r="E103" s="38" t="s">
        <x:v>853</x:v>
      </x:c>
      <x:c r="F103" s="5"/>
      <x:c r="G103" s="9" t="s">
        <x:v>1827</x:v>
      </x:c>
      <x:c r="H103" s="9" t="s">
        <x:v>897</x:v>
      </x:c>
      <x:c r="I103" s="5"/>
      <x:c r="J103" s="18"/>
      <x:c r="K103" s="9"/>
      <x:c r="L103" s="9"/>
      <x:c r="M103" s="12"/>
      <x:c r="N103" s="33"/>
    </x:row>
    <x:row r="104">
      <x:c r="A104" s="30" t="s">
        <x:v>1949</x:v>
      </x:c>
      <x:c r="B104" s="56" t="str">
        <x:v>RUSUNAWA Kota Pangkal Pinang</x:v>
      </x:c>
      <x:c r="C104" s="8" t="s">
        <x:v>1946</x:v>
      </x:c>
      <x:c r="D104" s="18" t="s">
        <x:v>1947</x:v>
      </x:c>
      <x:c r="E104" s="38" t="s">
        <x:v>854</x:v>
      </x:c>
      <x:c r="F104" s="5"/>
      <x:c r="G104" s="9" t="s">
        <x:v>1827</x:v>
      </x:c>
      <x:c r="H104" s="9" t="s">
        <x:v>897</x:v>
      </x:c>
      <x:c r="I104" s="5"/>
      <x:c r="J104" s="18"/>
      <x:c r="K104" s="9"/>
      <x:c r="L104" s="9"/>
      <x:c r="M104" s="12"/>
      <x:c r="N104" s="33"/>
    </x:row>
    <x:row r="105">
      <x:c r="A105" s="30" t="s">
        <x:v>1950</x:v>
      </x:c>
      <x:c r="B105" s="56" t="str">
        <x:v>RUSUNAWA Kota Pangkal Pinang</x:v>
      </x:c>
      <x:c r="C105" s="8" t="s">
        <x:v>1946</x:v>
      </x:c>
      <x:c r="D105" s="18" t="s">
        <x:v>1826</x:v>
      </x:c>
      <x:c r="E105" s="38" t="s">
        <x:v>851</x:v>
      </x:c>
      <x:c r="F105" s="5"/>
      <x:c r="G105" s="9" t="s">
        <x:v>1841</x:v>
      </x:c>
      <x:c r="H105" s="9" t="s">
        <x:v>966</x:v>
      </x:c>
      <x:c r="I105" s="5"/>
      <x:c r="J105" s="18"/>
      <x:c r="K105" s="9"/>
      <x:c r="L105" s="9"/>
      <x:c r="M105" s="12"/>
      <x:c r="N105" s="33"/>
    </x:row>
    <x:row r="106">
      <x:c r="A106" s="30" t="s">
        <x:v>1951</x:v>
      </x:c>
      <x:c r="B106" s="56" t="str">
        <x:v>RUSUNAWA Kota Pangkal Pinang</x:v>
      </x:c>
      <x:c r="C106" s="8" t="s">
        <x:v>1946</x:v>
      </x:c>
      <x:c r="D106" s="18" t="s">
        <x:v>1826</x:v>
      </x:c>
      <x:c r="E106" s="38" t="s">
        <x:v>853</x:v>
      </x:c>
      <x:c r="F106" s="5"/>
      <x:c r="G106" s="9" t="s">
        <x:v>1827</x:v>
      </x:c>
      <x:c r="H106" s="9" t="s">
        <x:v>881</x:v>
      </x:c>
      <x:c r="I106" s="5"/>
      <x:c r="J106" s="18"/>
      <x:c r="K106" s="9"/>
      <x:c r="L106" s="9"/>
      <x:c r="M106" s="12"/>
      <x:c r="N106" s="33"/>
    </x:row>
    <x:row r="107">
      <x:c r="A107" s="30" t="s">
        <x:v>1952</x:v>
      </x:c>
      <x:c r="B107" s="56" t="str">
        <x:v>RUSUNAWA Kota Pangkal Pinang</x:v>
      </x:c>
      <x:c r="C107" s="8" t="s">
        <x:v>1946</x:v>
      </x:c>
      <x:c r="D107" s="18" t="s">
        <x:v>1826</x:v>
      </x:c>
      <x:c r="E107" s="38" t="s">
        <x:v>854</x:v>
      </x:c>
      <x:c r="F107" s="5"/>
      <x:c r="G107" s="9" t="s">
        <x:v>1827</x:v>
      </x:c>
      <x:c r="H107" s="9" t="s">
        <x:v>881</x:v>
      </x:c>
      <x:c r="I107" s="5"/>
      <x:c r="J107" s="18"/>
      <x:c r="K107" s="9"/>
      <x:c r="L107" s="9"/>
      <x:c r="M107" s="12"/>
      <x:c r="N107" s="33"/>
    </x:row>
    <x:row r="108">
      <x:c r="A108" s="30" t="s">
        <x:v>1953</x:v>
      </x:c>
      <x:c r="B108" s="56" t="str">
        <x:v>RUSUNAWA Kota Pangkal Pinang</x:v>
      </x:c>
      <x:c r="C108" s="8" t="s">
        <x:v>1946</x:v>
      </x:c>
      <x:c r="D108" s="18" t="s">
        <x:v>1826</x:v>
      </x:c>
      <x:c r="E108" s="38" t="s">
        <x:v>855</x:v>
      </x:c>
      <x:c r="F108" s="5"/>
      <x:c r="G108" s="9" t="s">
        <x:v>1827</x:v>
      </x:c>
      <x:c r="H108" s="9" t="s">
        <x:v>897</x:v>
      </x:c>
      <x:c r="I108" s="5"/>
      <x:c r="J108" s="18"/>
      <x:c r="K108" s="9"/>
      <x:c r="L108" s="9"/>
      <x:c r="M108" s="12"/>
      <x:c r="N108" s="33"/>
    </x:row>
    <x:row r="109">
      <x:c r="A109" s="30" t="s">
        <x:v>1954</x:v>
      </x:c>
      <x:c r="B109" s="56" t="str">
        <x:v>RUSUNAWA Kota Pangkal Pinang</x:v>
      </x:c>
      <x:c r="C109" s="8" t="s">
        <x:v>1946</x:v>
      </x:c>
      <x:c r="D109" s="18" t="s">
        <x:v>1826</x:v>
      </x:c>
      <x:c r="E109" s="38" t="s">
        <x:v>856</x:v>
      </x:c>
      <x:c r="F109" s="5"/>
      <x:c r="G109" s="9" t="s">
        <x:v>1827</x:v>
      </x:c>
      <x:c r="H109" s="9" t="s">
        <x:v>897</x:v>
      </x:c>
      <x:c r="I109" s="5"/>
      <x:c r="J109" s="18"/>
      <x:c r="K109" s="9"/>
      <x:c r="L109" s="9"/>
      <x:c r="M109" s="12"/>
      <x:c r="N109" s="33"/>
    </x:row>
    <x:row r="110">
      <x:c r="A110" s="30" t="s">
        <x:v>1955</x:v>
      </x:c>
      <x:c r="B110" s="56" t="str">
        <x:v>RUSUNAWA Kota Pangkal Pinang</x:v>
      </x:c>
      <x:c r="C110" s="8" t="s">
        <x:v>1946</x:v>
      </x:c>
      <x:c r="D110" s="18" t="s">
        <x:v>1826</x:v>
      </x:c>
      <x:c r="E110" s="38" t="s">
        <x:v>857</x:v>
      </x:c>
      <x:c r="F110" s="5"/>
      <x:c r="G110" s="9" t="s">
        <x:v>1832</x:v>
      </x:c>
      <x:c r="H110" s="9" t="s">
        <x:v>897</x:v>
      </x:c>
      <x:c r="I110" s="5"/>
      <x:c r="J110" s="18"/>
      <x:c r="K110" s="9"/>
      <x:c r="L110" s="9"/>
      <x:c r="M110" s="12"/>
      <x:c r="N110" s="33"/>
    </x:row>
    <x:row r="111">
      <x:c r="A111" s="30" t="s">
        <x:v>1956</x:v>
      </x:c>
      <x:c r="B111" s="56" t="str">
        <x:v>RUSUNAWA Kota Pangkal Pinang</x:v>
      </x:c>
      <x:c r="C111" s="8" t="s">
        <x:v>1946</x:v>
      </x:c>
      <x:c r="D111" s="18" t="s">
        <x:v>1826</x:v>
      </x:c>
      <x:c r="E111" s="38" t="s">
        <x:v>858</x:v>
      </x:c>
      <x:c r="F111" s="5"/>
      <x:c r="G111" s="9" t="s">
        <x:v>1827</x:v>
      </x:c>
      <x:c r="H111" s="9" t="s">
        <x:v>897</x:v>
      </x:c>
      <x:c r="I111" s="5"/>
      <x:c r="J111" s="18"/>
      <x:c r="K111" s="9"/>
      <x:c r="L111" s="9"/>
      <x:c r="M111" s="12"/>
      <x:c r="N111" s="33"/>
    </x:row>
    <x:row r="112">
      <x:c r="A112" s="30" t="s">
        <x:v>1957</x:v>
      </x:c>
      <x:c r="B112" s="56" t="str">
        <x:v>RUSUNAWA Kota Pangkal Pinang</x:v>
      </x:c>
      <x:c r="C112" s="8" t="s">
        <x:v>1946</x:v>
      </x:c>
      <x:c r="D112" s="18" t="s">
        <x:v>1826</x:v>
      </x:c>
      <x:c r="E112" s="38" t="s">
        <x:v>1836</x:v>
      </x:c>
      <x:c r="F112" s="5"/>
      <x:c r="G112" s="9" t="s">
        <x:v>1827</x:v>
      </x:c>
      <x:c r="H112" s="9" t="s">
        <x:v>897</x:v>
      </x:c>
      <x:c r="I112" s="5"/>
      <x:c r="J112" s="18"/>
      <x:c r="K112" s="9"/>
      <x:c r="L112" s="9"/>
      <x:c r="M112" s="12"/>
      <x:c r="N112" s="33"/>
    </x:row>
    <x:row r="113">
      <x:c r="A113" s="30" t="s">
        <x:v>1958</x:v>
      </x:c>
      <x:c r="B113" s="56" t="str">
        <x:v>RUSUNAWA Kota Pangkal Pinang</x:v>
      </x:c>
      <x:c r="C113" s="8" t="s">
        <x:v>1946</x:v>
      </x:c>
      <x:c r="D113" s="18" t="s">
        <x:v>1826</x:v>
      </x:c>
      <x:c r="E113" s="38" t="s">
        <x:v>1838</x:v>
      </x:c>
      <x:c r="F113" s="5"/>
      <x:c r="G113" s="9" t="s">
        <x:v>1827</x:v>
      </x:c>
      <x:c r="H113" s="9" t="s">
        <x:v>881</x:v>
      </x:c>
      <x:c r="I113" s="5"/>
      <x:c r="J113" s="18"/>
      <x:c r="K113" s="9"/>
      <x:c r="L113" s="9"/>
      <x:c r="M113" s="12"/>
      <x:c r="N113" s="33"/>
    </x:row>
    <x:row r="114">
      <x:c r="A114" s="30" t="s">
        <x:v>1959</x:v>
      </x:c>
      <x:c r="B114" s="56" t="str">
        <x:v>RUSUNAWA Kota Pangkal Pinang</x:v>
      </x:c>
      <x:c r="C114" s="8" t="s">
        <x:v>1946</x:v>
      </x:c>
      <x:c r="D114" s="18" t="s">
        <x:v>1826</x:v>
      </x:c>
      <x:c r="E114" s="38" t="s">
        <x:v>1840</x:v>
      </x:c>
      <x:c r="F114" s="5"/>
      <x:c r="G114" s="9" t="s">
        <x:v>1841</x:v>
      </x:c>
      <x:c r="H114" s="9" t="s">
        <x:v>966</x:v>
      </x:c>
      <x:c r="I114" s="5"/>
      <x:c r="J114" s="18"/>
      <x:c r="K114" s="9"/>
      <x:c r="L114" s="9"/>
      <x:c r="M114" s="12"/>
      <x:c r="N114" s="33"/>
    </x:row>
    <x:row r="115">
      <x:c r="A115" s="30" t="s">
        <x:v>1960</x:v>
      </x:c>
      <x:c r="B115" s="56" t="str">
        <x:v>RUSUNAWA Kota Pangkal Pinang</x:v>
      </x:c>
      <x:c r="C115" s="8" t="s">
        <x:v>1946</x:v>
      </x:c>
      <x:c r="D115" s="18" t="s">
        <x:v>1826</x:v>
      </x:c>
      <x:c r="E115" s="38" t="s">
        <x:v>1843</x:v>
      </x:c>
      <x:c r="F115" s="5"/>
      <x:c r="G115" s="9" t="s">
        <x:v>1827</x:v>
      </x:c>
      <x:c r="H115" s="9" t="s">
        <x:v>897</x:v>
      </x:c>
      <x:c r="I115" s="5"/>
      <x:c r="J115" s="18"/>
      <x:c r="K115" s="9"/>
      <x:c r="L115" s="9"/>
      <x:c r="M115" s="12"/>
      <x:c r="N115" s="33"/>
    </x:row>
    <x:row r="116">
      <x:c r="A116" s="30" t="s">
        <x:v>1961</x:v>
      </x:c>
      <x:c r="B116" s="56" t="str">
        <x:v>RUSUNAWA Kota Pangkal Pinang</x:v>
      </x:c>
      <x:c r="C116" s="8" t="s">
        <x:v>1946</x:v>
      </x:c>
      <x:c r="D116" s="18" t="s">
        <x:v>1826</x:v>
      </x:c>
      <x:c r="E116" s="38" t="s">
        <x:v>1845</x:v>
      </x:c>
      <x:c r="F116" s="5"/>
      <x:c r="G116" s="9" t="s">
        <x:v>1827</x:v>
      </x:c>
      <x:c r="H116" s="9" t="s">
        <x:v>881</x:v>
      </x:c>
      <x:c r="I116" s="5"/>
      <x:c r="J116" s="18"/>
      <x:c r="K116" s="9"/>
      <x:c r="L116" s="9"/>
      <x:c r="M116" s="12"/>
      <x:c r="N116" s="33"/>
    </x:row>
    <x:row r="117">
      <x:c r="A117" s="30" t="s">
        <x:v>1962</x:v>
      </x:c>
      <x:c r="B117" s="56" t="str">
        <x:v>RUSUNAWA Kota Pangkal Pinang</x:v>
      </x:c>
      <x:c r="C117" s="8" t="s">
        <x:v>1946</x:v>
      </x:c>
      <x:c r="D117" s="18" t="s">
        <x:v>1826</x:v>
      </x:c>
      <x:c r="E117" s="38" t="s">
        <x:v>1847</x:v>
      </x:c>
      <x:c r="F117" s="5"/>
      <x:c r="G117" s="9" t="s">
        <x:v>1832</x:v>
      </x:c>
      <x:c r="H117" s="9" t="s">
        <x:v>897</x:v>
      </x:c>
      <x:c r="I117" s="5"/>
      <x:c r="J117" s="18"/>
      <x:c r="K117" s="9"/>
      <x:c r="L117" s="9"/>
      <x:c r="M117" s="12"/>
      <x:c r="N117" s="33"/>
    </x:row>
    <x:row r="118">
      <x:c r="A118" s="30" t="s">
        <x:v>1963</x:v>
      </x:c>
      <x:c r="B118" s="56" t="str">
        <x:v>RUSUNAWA Kota Pangkal Pinang</x:v>
      </x:c>
      <x:c r="C118" s="8" t="s">
        <x:v>1946</x:v>
      </x:c>
      <x:c r="D118" s="18" t="s">
        <x:v>1826</x:v>
      </x:c>
      <x:c r="E118" s="38" t="s">
        <x:v>1849</x:v>
      </x:c>
      <x:c r="F118" s="5"/>
      <x:c r="G118" s="9" t="s">
        <x:v>1841</x:v>
      </x:c>
      <x:c r="H118" s="9" t="s">
        <x:v>966</x:v>
      </x:c>
      <x:c r="I118" s="5"/>
      <x:c r="J118" s="18"/>
      <x:c r="K118" s="9"/>
      <x:c r="L118" s="9"/>
      <x:c r="M118" s="12"/>
      <x:c r="N118" s="33"/>
    </x:row>
    <x:row r="119">
      <x:c r="A119" s="30" t="s">
        <x:v>1964</x:v>
      </x:c>
      <x:c r="B119" s="56" t="str">
        <x:v>RUSUNAWA Kota Pangkal Pinang</x:v>
      </x:c>
      <x:c r="C119" s="8" t="s">
        <x:v>1946</x:v>
      </x:c>
      <x:c r="D119" s="18" t="s">
        <x:v>1826</x:v>
      </x:c>
      <x:c r="E119" s="38" t="s">
        <x:v>1851</x:v>
      </x:c>
      <x:c r="F119" s="5"/>
      <x:c r="G119" s="9" t="s">
        <x:v>1841</x:v>
      </x:c>
      <x:c r="H119" s="9" t="s">
        <x:v>966</x:v>
      </x:c>
      <x:c r="I119" s="5"/>
      <x:c r="J119" s="18"/>
      <x:c r="K119" s="9"/>
      <x:c r="L119" s="9"/>
      <x:c r="M119" s="12"/>
      <x:c r="N119" s="33"/>
    </x:row>
    <x:row r="120">
      <x:c r="A120" s="30" t="s">
        <x:v>1965</x:v>
      </x:c>
      <x:c r="B120" s="56" t="str">
        <x:v>RUSUNAWA Kota Pangkal Pinang</x:v>
      </x:c>
      <x:c r="C120" s="8" t="s">
        <x:v>1946</x:v>
      </x:c>
      <x:c r="D120" s="18" t="s">
        <x:v>1826</x:v>
      </x:c>
      <x:c r="E120" s="38" t="s">
        <x:v>1853</x:v>
      </x:c>
      <x:c r="F120" s="5"/>
      <x:c r="G120" s="9" t="s">
        <x:v>1827</x:v>
      </x:c>
      <x:c r="H120" s="9" t="s">
        <x:v>897</x:v>
      </x:c>
      <x:c r="I120" s="5"/>
      <x:c r="J120" s="18"/>
      <x:c r="K120" s="9"/>
      <x:c r="L120" s="9"/>
      <x:c r="M120" s="12"/>
      <x:c r="N120" s="33"/>
    </x:row>
    <x:row r="121">
      <x:c r="A121" s="30" t="s">
        <x:v>1966</x:v>
      </x:c>
      <x:c r="B121" s="56" t="str">
        <x:v>RUSUNAWA Kota Pangkal Pinang</x:v>
      </x:c>
      <x:c r="C121" s="8" t="s">
        <x:v>1946</x:v>
      </x:c>
      <x:c r="D121" s="18" t="s">
        <x:v>1826</x:v>
      </x:c>
      <x:c r="E121" s="38" t="s">
        <x:v>1855</x:v>
      </x:c>
      <x:c r="F121" s="5"/>
      <x:c r="G121" s="9" t="s">
        <x:v>1832</x:v>
      </x:c>
      <x:c r="H121" s="9" t="s">
        <x:v>912</x:v>
      </x:c>
      <x:c r="I121" s="5"/>
      <x:c r="J121" s="18"/>
      <x:c r="K121" s="9"/>
      <x:c r="L121" s="9"/>
      <x:c r="M121" s="12"/>
      <x:c r="N121" s="33"/>
    </x:row>
    <x:row r="122">
      <x:c r="A122" s="30" t="s">
        <x:v>1967</x:v>
      </x:c>
      <x:c r="B122" s="56" t="str">
        <x:v>RUSUNAWA Kota Pangkal Pinang</x:v>
      </x:c>
      <x:c r="C122" s="8" t="s">
        <x:v>1946</x:v>
      </x:c>
      <x:c r="D122" s="18" t="s">
        <x:v>1826</x:v>
      </x:c>
      <x:c r="E122" s="38" t="s">
        <x:v>1857</x:v>
      </x:c>
      <x:c r="F122" s="5"/>
      <x:c r="G122" s="9" t="s">
        <x:v>1827</x:v>
      </x:c>
      <x:c r="H122" s="9" t="s">
        <x:v>881</x:v>
      </x:c>
      <x:c r="I122" s="5"/>
      <x:c r="J122" s="18"/>
      <x:c r="K122" s="9"/>
      <x:c r="L122" s="9"/>
      <x:c r="M122" s="12"/>
      <x:c r="N122" s="33"/>
    </x:row>
    <x:row r="123">
      <x:c r="A123" s="30" t="s">
        <x:v>1968</x:v>
      </x:c>
      <x:c r="B123" s="56" t="str">
        <x:v>RUSUNAWA Kota Pangkal Pinang</x:v>
      </x:c>
      <x:c r="C123" s="8" t="s">
        <x:v>1946</x:v>
      </x:c>
      <x:c r="D123" s="18" t="s">
        <x:v>1826</x:v>
      </x:c>
      <x:c r="E123" s="38" t="s">
        <x:v>1859</x:v>
      </x:c>
      <x:c r="F123" s="5"/>
      <x:c r="G123" s="9" t="s">
        <x:v>1827</x:v>
      </x:c>
      <x:c r="H123" s="9" t="s">
        <x:v>897</x:v>
      </x:c>
      <x:c r="I123" s="5"/>
      <x:c r="J123" s="18"/>
      <x:c r="K123" s="9"/>
      <x:c r="L123" s="9"/>
      <x:c r="M123" s="12"/>
      <x:c r="N123" s="33"/>
    </x:row>
    <x:row r="124">
      <x:c r="A124" s="30" t="s">
        <x:v>1969</x:v>
      </x:c>
      <x:c r="B124" s="56" t="str">
        <x:v>RUSUNAWA Kota Pangkal Pinang</x:v>
      </x:c>
      <x:c r="C124" s="8" t="s">
        <x:v>1946</x:v>
      </x:c>
      <x:c r="D124" s="18" t="s">
        <x:v>1826</x:v>
      </x:c>
      <x:c r="E124" s="38" t="s">
        <x:v>1861</x:v>
      </x:c>
      <x:c r="F124" s="5"/>
      <x:c r="G124" s="9" t="s">
        <x:v>1827</x:v>
      </x:c>
      <x:c r="H124" s="9" t="s">
        <x:v>897</x:v>
      </x:c>
      <x:c r="I124" s="5"/>
      <x:c r="J124" s="18"/>
      <x:c r="K124" s="9"/>
      <x:c r="L124" s="9"/>
      <x:c r="M124" s="12"/>
      <x:c r="N124" s="33"/>
    </x:row>
    <x:row r="125">
      <x:c r="A125" s="30" t="s">
        <x:v>1970</x:v>
      </x:c>
      <x:c r="B125" s="56" t="str">
        <x:v>RUSUNAWA Kota Pangkal Pinang</x:v>
      </x:c>
      <x:c r="C125" s="8" t="s">
        <x:v>1946</x:v>
      </x:c>
      <x:c r="D125" s="18" t="s">
        <x:v>1826</x:v>
      </x:c>
      <x:c r="E125" s="38" t="s">
        <x:v>1863</x:v>
      </x:c>
      <x:c r="F125" s="5"/>
      <x:c r="G125" s="9" t="s">
        <x:v>1841</x:v>
      </x:c>
      <x:c r="H125" s="9" t="s">
        <x:v>966</x:v>
      </x:c>
      <x:c r="I125" s="5"/>
      <x:c r="J125" s="18"/>
      <x:c r="K125" s="9"/>
      <x:c r="L125" s="9"/>
      <x:c r="M125" s="12"/>
      <x:c r="N125" s="33"/>
    </x:row>
    <x:row r="126">
      <x:c r="A126" s="30" t="s">
        <x:v>1971</x:v>
      </x:c>
      <x:c r="B126" s="56" t="str">
        <x:v>RUSUNAWA Kota Pangkal Pinang</x:v>
      </x:c>
      <x:c r="C126" s="8" t="s">
        <x:v>1946</x:v>
      </x:c>
      <x:c r="D126" s="18" t="s">
        <x:v>1826</x:v>
      </x:c>
      <x:c r="E126" s="38" t="s">
        <x:v>1865</x:v>
      </x:c>
      <x:c r="F126" s="5"/>
      <x:c r="G126" s="9" t="s">
        <x:v>1827</x:v>
      </x:c>
      <x:c r="H126" s="9" t="s">
        <x:v>897</x:v>
      </x:c>
      <x:c r="I126" s="5"/>
      <x:c r="J126" s="18"/>
      <x:c r="K126" s="9"/>
      <x:c r="L126" s="9"/>
      <x:c r="M126" s="12"/>
      <x:c r="N126" s="33"/>
    </x:row>
    <x:row r="127">
      <x:c r="A127" s="30" t="s">
        <x:v>1972</x:v>
      </x:c>
      <x:c r="B127" s="56" t="str">
        <x:v>RUSUNAWA Kota Pangkal Pinang</x:v>
      </x:c>
      <x:c r="C127" s="8" t="s">
        <x:v>1946</x:v>
      </x:c>
      <x:c r="D127" s="18" t="s">
        <x:v>1826</x:v>
      </x:c>
      <x:c r="E127" s="38" t="s">
        <x:v>1867</x:v>
      </x:c>
      <x:c r="F127" s="5"/>
      <x:c r="G127" s="9" t="s">
        <x:v>1827</x:v>
      </x:c>
      <x:c r="H127" s="9" t="s">
        <x:v>897</x:v>
      </x:c>
      <x:c r="I127" s="5"/>
      <x:c r="J127" s="18"/>
      <x:c r="K127" s="9"/>
      <x:c r="L127" s="9"/>
      <x:c r="M127" s="12"/>
      <x:c r="N127" s="33"/>
    </x:row>
    <x:row r="128">
      <x:c r="A128" s="30" t="s">
        <x:v>1973</x:v>
      </x:c>
      <x:c r="B128" s="56" t="str">
        <x:v>RUSUNAWA Kota Pangkal Pinang</x:v>
      </x:c>
      <x:c r="C128" s="8" t="s">
        <x:v>1946</x:v>
      </x:c>
      <x:c r="D128" s="18" t="s">
        <x:v>1826</x:v>
      </x:c>
      <x:c r="E128" s="38" t="s">
        <x:v>1869</x:v>
      </x:c>
      <x:c r="F128" s="5"/>
      <x:c r="G128" s="9" t="s">
        <x:v>1827</x:v>
      </x:c>
      <x:c r="H128" s="9" t="s">
        <x:v>966</x:v>
      </x:c>
      <x:c r="I128" s="5"/>
      <x:c r="J128" s="18"/>
      <x:c r="K128" s="9"/>
      <x:c r="L128" s="9"/>
      <x:c r="M128" s="12"/>
      <x:c r="N128" s="33"/>
    </x:row>
    <x:row r="129">
      <x:c r="A129" s="30" t="s">
        <x:v>1974</x:v>
      </x:c>
      <x:c r="B129" s="56" t="str">
        <x:v>RUSUNAWA Kota Pangkal Pinang</x:v>
      </x:c>
      <x:c r="C129" s="8" t="s">
        <x:v>1946</x:v>
      </x:c>
      <x:c r="D129" s="18" t="s">
        <x:v>1871</x:v>
      </x:c>
      <x:c r="E129" s="38" t="s">
        <x:v>851</x:v>
      </x:c>
      <x:c r="F129" s="5"/>
      <x:c r="G129" s="9" t="s">
        <x:v>1827</x:v>
      </x:c>
      <x:c r="H129" s="9" t="s">
        <x:v>881</x:v>
      </x:c>
      <x:c r="I129" s="5"/>
      <x:c r="J129" s="18"/>
      <x:c r="K129" s="9"/>
      <x:c r="L129" s="9"/>
      <x:c r="M129" s="12"/>
      <x:c r="N129" s="33"/>
    </x:row>
    <x:row r="130">
      <x:c r="A130" s="30" t="s">
        <x:v>1975</x:v>
      </x:c>
      <x:c r="B130" s="56" t="str">
        <x:v>RUSUNAWA Kota Pangkal Pinang</x:v>
      </x:c>
      <x:c r="C130" s="8" t="s">
        <x:v>1946</x:v>
      </x:c>
      <x:c r="D130" s="18" t="s">
        <x:v>1871</x:v>
      </x:c>
      <x:c r="E130" s="38" t="s">
        <x:v>853</x:v>
      </x:c>
      <x:c r="F130" s="5"/>
      <x:c r="G130" s="9" t="s">
        <x:v>1827</x:v>
      </x:c>
      <x:c r="H130" s="9" t="s">
        <x:v>897</x:v>
      </x:c>
      <x:c r="I130" s="5"/>
      <x:c r="J130" s="18"/>
      <x:c r="K130" s="9"/>
      <x:c r="L130" s="9"/>
      <x:c r="M130" s="12"/>
      <x:c r="N130" s="33"/>
    </x:row>
    <x:row r="131">
      <x:c r="A131" s="30" t="s">
        <x:v>1976</x:v>
      </x:c>
      <x:c r="B131" s="56" t="str">
        <x:v>RUSUNAWA Kota Pangkal Pinang</x:v>
      </x:c>
      <x:c r="C131" s="8" t="s">
        <x:v>1946</x:v>
      </x:c>
      <x:c r="D131" s="18" t="s">
        <x:v>1871</x:v>
      </x:c>
      <x:c r="E131" s="38" t="s">
        <x:v>854</x:v>
      </x:c>
      <x:c r="F131" s="5"/>
      <x:c r="G131" s="9" t="s">
        <x:v>1827</x:v>
      </x:c>
      <x:c r="H131" s="9" t="s">
        <x:v>897</x:v>
      </x:c>
      <x:c r="I131" s="5"/>
      <x:c r="J131" s="18"/>
      <x:c r="K131" s="9"/>
      <x:c r="L131" s="9"/>
      <x:c r="M131" s="12"/>
      <x:c r="N131" s="33"/>
    </x:row>
    <x:row r="132">
      <x:c r="A132" s="30" t="s">
        <x:v>1977</x:v>
      </x:c>
      <x:c r="B132" s="56" t="str">
        <x:v>RUSUNAWA Kota Pangkal Pinang</x:v>
      </x:c>
      <x:c r="C132" s="8" t="s">
        <x:v>1946</x:v>
      </x:c>
      <x:c r="D132" s="18" t="s">
        <x:v>1871</x:v>
      </x:c>
      <x:c r="E132" s="38" t="s">
        <x:v>855</x:v>
      </x:c>
      <x:c r="F132" s="5"/>
      <x:c r="G132" s="9" t="s">
        <x:v>1827</x:v>
      </x:c>
      <x:c r="H132" s="9" t="s">
        <x:v>897</x:v>
      </x:c>
      <x:c r="I132" s="5"/>
      <x:c r="J132" s="18"/>
      <x:c r="K132" s="9"/>
      <x:c r="L132" s="9"/>
      <x:c r="M132" s="12"/>
      <x:c r="N132" s="33"/>
    </x:row>
    <x:row r="133">
      <x:c r="A133" s="30" t="s">
        <x:v>1978</x:v>
      </x:c>
      <x:c r="B133" s="56" t="str">
        <x:v>RUSUNAWA Kota Pangkal Pinang</x:v>
      </x:c>
      <x:c r="C133" s="8" t="s">
        <x:v>1946</x:v>
      </x:c>
      <x:c r="D133" s="18" t="s">
        <x:v>1871</x:v>
      </x:c>
      <x:c r="E133" s="38" t="s">
        <x:v>856</x:v>
      </x:c>
      <x:c r="F133" s="5"/>
      <x:c r="G133" s="9" t="s">
        <x:v>1827</x:v>
      </x:c>
      <x:c r="H133" s="9" t="s">
        <x:v>897</x:v>
      </x:c>
      <x:c r="I133" s="5"/>
      <x:c r="J133" s="18"/>
      <x:c r="K133" s="9"/>
      <x:c r="L133" s="9"/>
      <x:c r="M133" s="12"/>
      <x:c r="N133" s="33"/>
    </x:row>
    <x:row r="134">
      <x:c r="A134" s="30" t="s">
        <x:v>1979</x:v>
      </x:c>
      <x:c r="B134" s="56" t="str">
        <x:v>RUSUNAWA Kota Pangkal Pinang</x:v>
      </x:c>
      <x:c r="C134" s="8" t="s">
        <x:v>1946</x:v>
      </x:c>
      <x:c r="D134" s="18" t="s">
        <x:v>1871</x:v>
      </x:c>
      <x:c r="E134" s="38" t="s">
        <x:v>857</x:v>
      </x:c>
      <x:c r="F134" s="5"/>
      <x:c r="G134" s="9" t="s">
        <x:v>1827</x:v>
      </x:c>
      <x:c r="H134" s="9" t="s">
        <x:v>966</x:v>
      </x:c>
      <x:c r="I134" s="5"/>
      <x:c r="J134" s="18"/>
      <x:c r="K134" s="9"/>
      <x:c r="L134" s="9"/>
      <x:c r="M134" s="12"/>
      <x:c r="N134" s="33"/>
    </x:row>
    <x:row r="135">
      <x:c r="A135" s="30" t="s">
        <x:v>1980</x:v>
      </x:c>
      <x:c r="B135" s="56" t="str">
        <x:v>RUSUNAWA Kota Pangkal Pinang</x:v>
      </x:c>
      <x:c r="C135" s="8" t="s">
        <x:v>1946</x:v>
      </x:c>
      <x:c r="D135" s="18" t="s">
        <x:v>1871</x:v>
      </x:c>
      <x:c r="E135" s="38" t="s">
        <x:v>858</x:v>
      </x:c>
      <x:c r="F135" s="5"/>
      <x:c r="G135" s="9" t="s">
        <x:v>1827</x:v>
      </x:c>
      <x:c r="H135" s="9" t="s">
        <x:v>897</x:v>
      </x:c>
      <x:c r="I135" s="5"/>
      <x:c r="J135" s="18"/>
      <x:c r="K135" s="9"/>
      <x:c r="L135" s="9"/>
      <x:c r="M135" s="12"/>
      <x:c r="N135" s="33"/>
    </x:row>
    <x:row r="136">
      <x:c r="A136" s="30" t="s">
        <x:v>1981</x:v>
      </x:c>
      <x:c r="B136" s="56" t="str">
        <x:v>RUSUNAWA Kota Pangkal Pinang</x:v>
      </x:c>
      <x:c r="C136" s="8" t="s">
        <x:v>1946</x:v>
      </x:c>
      <x:c r="D136" s="18" t="s">
        <x:v>1871</x:v>
      </x:c>
      <x:c r="E136" s="38" t="s">
        <x:v>1836</x:v>
      </x:c>
      <x:c r="F136" s="5"/>
      <x:c r="G136" s="9" t="s">
        <x:v>1827</x:v>
      </x:c>
      <x:c r="H136" s="9" t="s">
        <x:v>881</x:v>
      </x:c>
      <x:c r="I136" s="5"/>
      <x:c r="J136" s="18"/>
      <x:c r="K136" s="9"/>
      <x:c r="L136" s="9"/>
      <x:c r="M136" s="12"/>
      <x:c r="N136" s="33"/>
    </x:row>
    <x:row r="137">
      <x:c r="A137" s="30" t="s">
        <x:v>1982</x:v>
      </x:c>
      <x:c r="B137" s="56" t="str">
        <x:v>RUSUNAWA Kota Pangkal Pinang</x:v>
      </x:c>
      <x:c r="C137" s="8" t="s">
        <x:v>1946</x:v>
      </x:c>
      <x:c r="D137" s="18" t="s">
        <x:v>1871</x:v>
      </x:c>
      <x:c r="E137" s="38" t="s">
        <x:v>1838</x:v>
      </x:c>
      <x:c r="F137" s="5"/>
      <x:c r="G137" s="9" t="s">
        <x:v>1827</x:v>
      </x:c>
      <x:c r="H137" s="9" t="s">
        <x:v>897</x:v>
      </x:c>
      <x:c r="I137" s="5"/>
      <x:c r="J137" s="18"/>
      <x:c r="K137" s="9"/>
      <x:c r="L137" s="9"/>
      <x:c r="M137" s="12"/>
      <x:c r="N137" s="33"/>
    </x:row>
    <x:row r="138">
      <x:c r="A138" s="30" t="s">
        <x:v>1983</x:v>
      </x:c>
      <x:c r="B138" s="56" t="str">
        <x:v>RUSUNAWA Kota Pangkal Pinang</x:v>
      </x:c>
      <x:c r="C138" s="8" t="s">
        <x:v>1946</x:v>
      </x:c>
      <x:c r="D138" s="18" t="s">
        <x:v>1871</x:v>
      </x:c>
      <x:c r="E138" s="38" t="s">
        <x:v>1840</x:v>
      </x:c>
      <x:c r="F138" s="5"/>
      <x:c r="G138" s="9" t="s">
        <x:v>1827</x:v>
      </x:c>
      <x:c r="H138" s="9" t="s">
        <x:v>897</x:v>
      </x:c>
      <x:c r="I138" s="5"/>
      <x:c r="J138" s="18"/>
      <x:c r="K138" s="9"/>
      <x:c r="L138" s="9"/>
      <x:c r="M138" s="12"/>
      <x:c r="N138" s="33"/>
    </x:row>
    <x:row r="139">
      <x:c r="A139" s="30" t="s">
        <x:v>1984</x:v>
      </x:c>
      <x:c r="B139" s="56" t="str">
        <x:v>RUSUNAWA Kota Pangkal Pinang</x:v>
      </x:c>
      <x:c r="C139" s="8" t="s">
        <x:v>1946</x:v>
      </x:c>
      <x:c r="D139" s="18" t="s">
        <x:v>1871</x:v>
      </x:c>
      <x:c r="E139" s="38" t="s">
        <x:v>1843</x:v>
      </x:c>
      <x:c r="F139" s="5"/>
      <x:c r="G139" s="9" t="s">
        <x:v>1827</x:v>
      </x:c>
      <x:c r="H139" s="9" t="s">
        <x:v>881</x:v>
      </x:c>
      <x:c r="I139" s="5"/>
      <x:c r="J139" s="18"/>
      <x:c r="K139" s="9"/>
      <x:c r="L139" s="9"/>
      <x:c r="M139" s="12"/>
      <x:c r="N139" s="33"/>
    </x:row>
    <x:row r="140">
      <x:c r="A140" s="30" t="s">
        <x:v>1985</x:v>
      </x:c>
      <x:c r="B140" s="56" t="str">
        <x:v>RUSUNAWA Kota Pangkal Pinang</x:v>
      </x:c>
      <x:c r="C140" s="8" t="s">
        <x:v>1946</x:v>
      </x:c>
      <x:c r="D140" s="18" t="s">
        <x:v>1871</x:v>
      </x:c>
      <x:c r="E140" s="38" t="s">
        <x:v>1845</x:v>
      </x:c>
      <x:c r="F140" s="5"/>
      <x:c r="G140" s="9" t="s">
        <x:v>1827</x:v>
      </x:c>
      <x:c r="H140" s="9" t="s">
        <x:v>897</x:v>
      </x:c>
      <x:c r="I140" s="5"/>
      <x:c r="J140" s="18"/>
      <x:c r="K140" s="9"/>
      <x:c r="L140" s="9"/>
      <x:c r="M140" s="12"/>
      <x:c r="N140" s="33"/>
    </x:row>
    <x:row r="141">
      <x:c r="A141" s="30" t="s">
        <x:v>1986</x:v>
      </x:c>
      <x:c r="B141" s="56" t="str">
        <x:v>RUSUNAWA Kota Pangkal Pinang</x:v>
      </x:c>
      <x:c r="C141" s="8" t="s">
        <x:v>1946</x:v>
      </x:c>
      <x:c r="D141" s="18" t="s">
        <x:v>1871</x:v>
      </x:c>
      <x:c r="E141" s="38" t="s">
        <x:v>1847</x:v>
      </x:c>
      <x:c r="F141" s="5"/>
      <x:c r="G141" s="9" t="s">
        <x:v>1827</x:v>
      </x:c>
      <x:c r="H141" s="9" t="s">
        <x:v>897</x:v>
      </x:c>
      <x:c r="I141" s="5"/>
      <x:c r="J141" s="18"/>
      <x:c r="K141" s="9"/>
      <x:c r="L141" s="9"/>
      <x:c r="M141" s="12"/>
      <x:c r="N141" s="33"/>
    </x:row>
    <x:row r="142">
      <x:c r="A142" s="30" t="s">
        <x:v>1987</x:v>
      </x:c>
      <x:c r="B142" s="56" t="str">
        <x:v>RUSUNAWA Kota Pangkal Pinang</x:v>
      </x:c>
      <x:c r="C142" s="8" t="s">
        <x:v>1946</x:v>
      </x:c>
      <x:c r="D142" s="18" t="s">
        <x:v>1871</x:v>
      </x:c>
      <x:c r="E142" s="38" t="s">
        <x:v>1849</x:v>
      </x:c>
      <x:c r="F142" s="5"/>
      <x:c r="G142" s="9" t="s">
        <x:v>1827</x:v>
      </x:c>
      <x:c r="H142" s="9" t="s">
        <x:v>897</x:v>
      </x:c>
      <x:c r="I142" s="5"/>
      <x:c r="J142" s="18"/>
      <x:c r="K142" s="9"/>
      <x:c r="L142" s="9"/>
      <x:c r="M142" s="12"/>
      <x:c r="N142" s="33"/>
    </x:row>
    <x:row r="143">
      <x:c r="A143" s="30" t="s">
        <x:v>1988</x:v>
      </x:c>
      <x:c r="B143" s="56" t="str">
        <x:v>RUSUNAWA Kota Pangkal Pinang</x:v>
      </x:c>
      <x:c r="C143" s="8" t="s">
        <x:v>1946</x:v>
      </x:c>
      <x:c r="D143" s="18" t="s">
        <x:v>1871</x:v>
      </x:c>
      <x:c r="E143" s="38" t="s">
        <x:v>1851</x:v>
      </x:c>
      <x:c r="F143" s="5"/>
      <x:c r="G143" s="9" t="s">
        <x:v>1832</x:v>
      </x:c>
      <x:c r="H143" s="9" t="s">
        <x:v>897</x:v>
      </x:c>
      <x:c r="I143" s="5"/>
      <x:c r="J143" s="18"/>
      <x:c r="K143" s="9"/>
      <x:c r="L143" s="9"/>
      <x:c r="M143" s="12"/>
      <x:c r="N143" s="33"/>
    </x:row>
    <x:row r="144">
      <x:c r="A144" s="30" t="s">
        <x:v>1989</x:v>
      </x:c>
      <x:c r="B144" s="56" t="str">
        <x:v>RUSUNAWA Kota Pangkal Pinang</x:v>
      </x:c>
      <x:c r="C144" s="8" t="s">
        <x:v>1946</x:v>
      </x:c>
      <x:c r="D144" s="18" t="s">
        <x:v>1871</x:v>
      </x:c>
      <x:c r="E144" s="38" t="s">
        <x:v>1853</x:v>
      </x:c>
      <x:c r="F144" s="5"/>
      <x:c r="G144" s="9" t="s">
        <x:v>1832</x:v>
      </x:c>
      <x:c r="H144" s="9" t="s">
        <x:v>881</x:v>
      </x:c>
      <x:c r="I144" s="5"/>
      <x:c r="J144" s="18"/>
      <x:c r="K144" s="9"/>
      <x:c r="L144" s="9"/>
      <x:c r="M144" s="12"/>
      <x:c r="N144" s="33"/>
    </x:row>
    <x:row r="145">
      <x:c r="A145" s="30" t="s">
        <x:v>1990</x:v>
      </x:c>
      <x:c r="B145" s="56" t="str">
        <x:v>RUSUNAWA Kota Pangkal Pinang</x:v>
      </x:c>
      <x:c r="C145" s="8" t="s">
        <x:v>1946</x:v>
      </x:c>
      <x:c r="D145" s="18" t="s">
        <x:v>1871</x:v>
      </x:c>
      <x:c r="E145" s="38" t="s">
        <x:v>1855</x:v>
      </x:c>
      <x:c r="F145" s="5"/>
      <x:c r="G145" s="9" t="s">
        <x:v>1841</x:v>
      </x:c>
      <x:c r="H145" s="9" t="s">
        <x:v>966</x:v>
      </x:c>
      <x:c r="I145" s="5"/>
      <x:c r="J145" s="18"/>
      <x:c r="K145" s="9"/>
      <x:c r="L145" s="9"/>
      <x:c r="M145" s="12"/>
      <x:c r="N145" s="33"/>
    </x:row>
    <x:row r="146">
      <x:c r="A146" s="30" t="s">
        <x:v>1991</x:v>
      </x:c>
      <x:c r="B146" s="56" t="str">
        <x:v>RUSUNAWA Kota Pangkal Pinang</x:v>
      </x:c>
      <x:c r="C146" s="8" t="s">
        <x:v>1946</x:v>
      </x:c>
      <x:c r="D146" s="18" t="s">
        <x:v>1871</x:v>
      </x:c>
      <x:c r="E146" s="38" t="s">
        <x:v>1857</x:v>
      </x:c>
      <x:c r="F146" s="5"/>
      <x:c r="G146" s="9" t="s">
        <x:v>1827</x:v>
      </x:c>
      <x:c r="H146" s="9" t="s">
        <x:v>897</x:v>
      </x:c>
      <x:c r="I146" s="5"/>
      <x:c r="J146" s="18"/>
      <x:c r="K146" s="9"/>
      <x:c r="L146" s="9"/>
      <x:c r="M146" s="12"/>
      <x:c r="N146" s="33"/>
    </x:row>
    <x:row r="147">
      <x:c r="A147" s="30" t="s">
        <x:v>1992</x:v>
      </x:c>
      <x:c r="B147" s="56" t="str">
        <x:v>RUSUNAWA Kota Pangkal Pinang</x:v>
      </x:c>
      <x:c r="C147" s="8" t="s">
        <x:v>1946</x:v>
      </x:c>
      <x:c r="D147" s="18" t="s">
        <x:v>1871</x:v>
      </x:c>
      <x:c r="E147" s="38" t="s">
        <x:v>1859</x:v>
      </x:c>
      <x:c r="F147" s="5"/>
      <x:c r="G147" s="9" t="s">
        <x:v>1827</x:v>
      </x:c>
      <x:c r="H147" s="9" t="s">
        <x:v>881</x:v>
      </x:c>
      <x:c r="I147" s="5"/>
      <x:c r="J147" s="18"/>
      <x:c r="K147" s="9"/>
      <x:c r="L147" s="9"/>
      <x:c r="M147" s="12"/>
      <x:c r="N147" s="33"/>
    </x:row>
    <x:row r="148">
      <x:c r="A148" s="30" t="s">
        <x:v>1993</x:v>
      </x:c>
      <x:c r="B148" s="56" t="str">
        <x:v>RUSUNAWA Kota Pangkal Pinang</x:v>
      </x:c>
      <x:c r="C148" s="8" t="s">
        <x:v>1946</x:v>
      </x:c>
      <x:c r="D148" s="18" t="s">
        <x:v>1871</x:v>
      </x:c>
      <x:c r="E148" s="38" t="s">
        <x:v>1861</x:v>
      </x:c>
      <x:c r="F148" s="5"/>
      <x:c r="G148" s="9" t="s">
        <x:v>1827</x:v>
      </x:c>
      <x:c r="H148" s="9" t="s">
        <x:v>912</x:v>
      </x:c>
      <x:c r="I148" s="5"/>
      <x:c r="J148" s="18"/>
      <x:c r="K148" s="9"/>
      <x:c r="L148" s="9"/>
      <x:c r="M148" s="12"/>
      <x:c r="N148" s="33"/>
    </x:row>
    <x:row r="149">
      <x:c r="A149" s="30" t="s">
        <x:v>1994</x:v>
      </x:c>
      <x:c r="B149" s="56" t="str">
        <x:v>RUSUNAWA Kota Pangkal Pinang</x:v>
      </x:c>
      <x:c r="C149" s="8" t="s">
        <x:v>1946</x:v>
      </x:c>
      <x:c r="D149" s="18" t="s">
        <x:v>1871</x:v>
      </x:c>
      <x:c r="E149" s="38" t="s">
        <x:v>1863</x:v>
      </x:c>
      <x:c r="F149" s="5"/>
      <x:c r="G149" s="9" t="s">
        <x:v>1827</x:v>
      </x:c>
      <x:c r="H149" s="9" t="s">
        <x:v>897</x:v>
      </x:c>
      <x:c r="I149" s="5"/>
      <x:c r="J149" s="18"/>
      <x:c r="K149" s="9"/>
      <x:c r="L149" s="9"/>
      <x:c r="M149" s="12"/>
      <x:c r="N149" s="33"/>
    </x:row>
    <x:row r="150">
      <x:c r="A150" s="30" t="s">
        <x:v>1995</x:v>
      </x:c>
      <x:c r="B150" s="56" t="str">
        <x:v>RUSUNAWA Kota Pangkal Pinang</x:v>
      </x:c>
      <x:c r="C150" s="8" t="s">
        <x:v>1946</x:v>
      </x:c>
      <x:c r="D150" s="18" t="s">
        <x:v>1871</x:v>
      </x:c>
      <x:c r="E150" s="38" t="s">
        <x:v>1865</x:v>
      </x:c>
      <x:c r="F150" s="5"/>
      <x:c r="G150" s="9" t="s">
        <x:v>1827</x:v>
      </x:c>
      <x:c r="H150" s="9" t="s">
        <x:v>881</x:v>
      </x:c>
      <x:c r="I150" s="5"/>
      <x:c r="J150" s="18"/>
      <x:c r="K150" s="9"/>
      <x:c r="L150" s="9"/>
      <x:c r="M150" s="12"/>
      <x:c r="N150" s="33"/>
    </x:row>
    <x:row r="151">
      <x:c r="A151" s="30" t="s">
        <x:v>1996</x:v>
      </x:c>
      <x:c r="B151" s="56" t="str">
        <x:v>RUSUNAWA Kota Pangkal Pinang</x:v>
      </x:c>
      <x:c r="C151" s="8" t="s">
        <x:v>1946</x:v>
      </x:c>
      <x:c r="D151" s="18" t="s">
        <x:v>1871</x:v>
      </x:c>
      <x:c r="E151" s="38" t="s">
        <x:v>1867</x:v>
      </x:c>
      <x:c r="F151" s="5"/>
      <x:c r="G151" s="9" t="s">
        <x:v>1827</x:v>
      </x:c>
      <x:c r="H151" s="9" t="s">
        <x:v>897</x:v>
      </x:c>
      <x:c r="I151" s="5"/>
      <x:c r="J151" s="18"/>
      <x:c r="K151" s="9"/>
      <x:c r="L151" s="9"/>
      <x:c r="M151" s="12"/>
      <x:c r="N151" s="33"/>
    </x:row>
    <x:row r="152">
      <x:c r="A152" s="30" t="s">
        <x:v>1997</x:v>
      </x:c>
      <x:c r="B152" s="56" t="str">
        <x:v>RUSUNAWA Kota Pangkal Pinang</x:v>
      </x:c>
      <x:c r="C152" s="8" t="s">
        <x:v>1946</x:v>
      </x:c>
      <x:c r="D152" s="18" t="s">
        <x:v>1871</x:v>
      </x:c>
      <x:c r="E152" s="38" t="s">
        <x:v>1869</x:v>
      </x:c>
      <x:c r="F152" s="5"/>
      <x:c r="G152" s="9" t="s">
        <x:v>1827</x:v>
      </x:c>
      <x:c r="H152" s="9" t="s">
        <x:v>881</x:v>
      </x:c>
      <x:c r="I152" s="5"/>
      <x:c r="J152" s="18"/>
      <x:c r="K152" s="9"/>
      <x:c r="L152" s="9"/>
      <x:c r="M152" s="12"/>
      <x:c r="N152" s="33"/>
    </x:row>
    <x:row r="153">
      <x:c r="A153" s="30" t="s">
        <x:v>1998</x:v>
      </x:c>
      <x:c r="B153" s="56" t="str">
        <x:v>RUSUNAWA Kota Pangkal Pinang</x:v>
      </x:c>
      <x:c r="C153" s="8" t="s">
        <x:v>1946</x:v>
      </x:c>
      <x:c r="D153" s="18" t="s">
        <x:v>1896</x:v>
      </x:c>
      <x:c r="E153" s="38" t="s">
        <x:v>851</x:v>
      </x:c>
      <x:c r="F153" s="5"/>
      <x:c r="G153" s="9" t="s">
        <x:v>1827</x:v>
      </x:c>
      <x:c r="H153" s="9" t="s">
        <x:v>881</x:v>
      </x:c>
      <x:c r="I153" s="5"/>
      <x:c r="J153" s="18"/>
      <x:c r="K153" s="9"/>
      <x:c r="L153" s="9"/>
      <x:c r="M153" s="12"/>
      <x:c r="N153" s="33"/>
    </x:row>
    <x:row r="154">
      <x:c r="A154" s="30" t="s">
        <x:v>1999</x:v>
      </x:c>
      <x:c r="B154" s="56" t="str">
        <x:v>RUSUNAWA Kota Pangkal Pinang</x:v>
      </x:c>
      <x:c r="C154" s="8" t="s">
        <x:v>1946</x:v>
      </x:c>
      <x:c r="D154" s="18" t="s">
        <x:v>1896</x:v>
      </x:c>
      <x:c r="E154" s="38" t="s">
        <x:v>853</x:v>
      </x:c>
      <x:c r="F154" s="5"/>
      <x:c r="G154" s="9" t="s">
        <x:v>1827</x:v>
      </x:c>
      <x:c r="H154" s="9" t="s">
        <x:v>881</x:v>
      </x:c>
      <x:c r="I154" s="5"/>
      <x:c r="J154" s="18"/>
      <x:c r="K154" s="9"/>
      <x:c r="L154" s="9"/>
      <x:c r="M154" s="12"/>
      <x:c r="N154" s="33"/>
    </x:row>
    <x:row r="155">
      <x:c r="A155" s="30" t="s">
        <x:v>2000</x:v>
      </x:c>
      <x:c r="B155" s="56" t="str">
        <x:v>RUSUNAWA Kota Pangkal Pinang</x:v>
      </x:c>
      <x:c r="C155" s="8" t="s">
        <x:v>1946</x:v>
      </x:c>
      <x:c r="D155" s="18" t="s">
        <x:v>1896</x:v>
      </x:c>
      <x:c r="E155" s="38" t="s">
        <x:v>854</x:v>
      </x:c>
      <x:c r="F155" s="5"/>
      <x:c r="G155" s="9" t="s">
        <x:v>1827</x:v>
      </x:c>
      <x:c r="H155" s="9" t="s">
        <x:v>881</x:v>
      </x:c>
      <x:c r="I155" s="5"/>
      <x:c r="J155" s="18"/>
      <x:c r="K155" s="9"/>
      <x:c r="L155" s="9"/>
      <x:c r="M155" s="12"/>
      <x:c r="N155" s="33"/>
    </x:row>
    <x:row r="156">
      <x:c r="A156" s="30" t="s">
        <x:v>2001</x:v>
      </x:c>
      <x:c r="B156" s="56" t="str">
        <x:v>RUSUNAWA Kota Pangkal Pinang</x:v>
      </x:c>
      <x:c r="C156" s="8" t="s">
        <x:v>1946</x:v>
      </x:c>
      <x:c r="D156" s="18" t="s">
        <x:v>1896</x:v>
      </x:c>
      <x:c r="E156" s="38" t="s">
        <x:v>855</x:v>
      </x:c>
      <x:c r="F156" s="5"/>
      <x:c r="G156" s="9" t="s">
        <x:v>1832</x:v>
      </x:c>
      <x:c r="H156" s="9" t="s">
        <x:v>912</x:v>
      </x:c>
      <x:c r="I156" s="5"/>
      <x:c r="J156" s="18"/>
      <x:c r="K156" s="9"/>
      <x:c r="L156" s="9"/>
      <x:c r="M156" s="12"/>
      <x:c r="N156" s="33"/>
    </x:row>
    <x:row r="157">
      <x:c r="A157" s="30" t="s">
        <x:v>2002</x:v>
      </x:c>
      <x:c r="B157" s="56" t="str">
        <x:v>RUSUNAWA Kota Pangkal Pinang</x:v>
      </x:c>
      <x:c r="C157" s="8" t="s">
        <x:v>1946</x:v>
      </x:c>
      <x:c r="D157" s="18" t="s">
        <x:v>1896</x:v>
      </x:c>
      <x:c r="E157" s="38" t="s">
        <x:v>856</x:v>
      </x:c>
      <x:c r="F157" s="5"/>
      <x:c r="G157" s="9" t="s">
        <x:v>1827</x:v>
      </x:c>
      <x:c r="H157" s="9" t="s">
        <x:v>897</x:v>
      </x:c>
      <x:c r="I157" s="5"/>
      <x:c r="J157" s="18"/>
      <x:c r="K157" s="9"/>
      <x:c r="L157" s="9"/>
      <x:c r="M157" s="12"/>
      <x:c r="N157" s="33"/>
    </x:row>
    <x:row r="158">
      <x:c r="A158" s="30" t="s">
        <x:v>2003</x:v>
      </x:c>
      <x:c r="B158" s="56" t="str">
        <x:v>RUSUNAWA Kota Pangkal Pinang</x:v>
      </x:c>
      <x:c r="C158" s="8" t="s">
        <x:v>1946</x:v>
      </x:c>
      <x:c r="D158" s="18" t="s">
        <x:v>1896</x:v>
      </x:c>
      <x:c r="E158" s="38" t="s">
        <x:v>857</x:v>
      </x:c>
      <x:c r="F158" s="5"/>
      <x:c r="G158" s="9" t="s">
        <x:v>1827</x:v>
      </x:c>
      <x:c r="H158" s="9" t="s">
        <x:v>966</x:v>
      </x:c>
      <x:c r="I158" s="5"/>
      <x:c r="J158" s="18"/>
      <x:c r="K158" s="9"/>
      <x:c r="L158" s="9"/>
      <x:c r="M158" s="12"/>
      <x:c r="N158" s="33"/>
    </x:row>
    <x:row r="159">
      <x:c r="A159" s="30" t="s">
        <x:v>2004</x:v>
      </x:c>
      <x:c r="B159" s="56" t="str">
        <x:v>RUSUNAWA Kota Pangkal Pinang</x:v>
      </x:c>
      <x:c r="C159" s="8" t="s">
        <x:v>1946</x:v>
      </x:c>
      <x:c r="D159" s="18" t="s">
        <x:v>1896</x:v>
      </x:c>
      <x:c r="E159" s="38" t="s">
        <x:v>858</x:v>
      </x:c>
      <x:c r="F159" s="5"/>
      <x:c r="G159" s="9" t="s">
        <x:v>1827</x:v>
      </x:c>
      <x:c r="H159" s="9" t="s">
        <x:v>897</x:v>
      </x:c>
      <x:c r="I159" s="5"/>
      <x:c r="J159" s="18"/>
      <x:c r="K159" s="9"/>
      <x:c r="L159" s="9"/>
      <x:c r="M159" s="12"/>
      <x:c r="N159" s="33"/>
    </x:row>
    <x:row r="160">
      <x:c r="A160" s="30" t="s">
        <x:v>2005</x:v>
      </x:c>
      <x:c r="B160" s="56" t="str">
        <x:v>RUSUNAWA Kota Pangkal Pinang</x:v>
      </x:c>
      <x:c r="C160" s="8" t="s">
        <x:v>1946</x:v>
      </x:c>
      <x:c r="D160" s="18" t="s">
        <x:v>1896</x:v>
      </x:c>
      <x:c r="E160" s="38" t="s">
        <x:v>1836</x:v>
      </x:c>
      <x:c r="F160" s="5"/>
      <x:c r="G160" s="9" t="s">
        <x:v>1827</x:v>
      </x:c>
      <x:c r="H160" s="9" t="s">
        <x:v>881</x:v>
      </x:c>
      <x:c r="I160" s="5"/>
      <x:c r="J160" s="18"/>
      <x:c r="K160" s="9"/>
      <x:c r="L160" s="9"/>
      <x:c r="M160" s="12"/>
      <x:c r="N160" s="33"/>
    </x:row>
    <x:row r="161">
      <x:c r="A161" s="30" t="s">
        <x:v>2006</x:v>
      </x:c>
      <x:c r="B161" s="56" t="str">
        <x:v>RUSUNAWA Kota Pangkal Pinang</x:v>
      </x:c>
      <x:c r="C161" s="8" t="s">
        <x:v>1946</x:v>
      </x:c>
      <x:c r="D161" s="18" t="s">
        <x:v>1896</x:v>
      </x:c>
      <x:c r="E161" s="38" t="s">
        <x:v>1838</x:v>
      </x:c>
      <x:c r="F161" s="5"/>
      <x:c r="G161" s="9" t="s">
        <x:v>1827</x:v>
      </x:c>
      <x:c r="H161" s="9" t="s">
        <x:v>881</x:v>
      </x:c>
      <x:c r="I161" s="5"/>
      <x:c r="J161" s="18"/>
      <x:c r="K161" s="9"/>
      <x:c r="L161" s="9"/>
      <x:c r="M161" s="12"/>
      <x:c r="N161" s="33"/>
    </x:row>
    <x:row r="162">
      <x:c r="A162" s="30" t="s">
        <x:v>2007</x:v>
      </x:c>
      <x:c r="B162" s="56" t="str">
        <x:v>RUSUNAWA Kota Pangkal Pinang</x:v>
      </x:c>
      <x:c r="C162" s="8" t="s">
        <x:v>1946</x:v>
      </x:c>
      <x:c r="D162" s="18" t="s">
        <x:v>1896</x:v>
      </x:c>
      <x:c r="E162" s="38" t="s">
        <x:v>1840</x:v>
      </x:c>
      <x:c r="F162" s="5"/>
      <x:c r="G162" s="9" t="s">
        <x:v>1827</x:v>
      </x:c>
      <x:c r="H162" s="9" t="s">
        <x:v>881</x:v>
      </x:c>
      <x:c r="I162" s="5"/>
      <x:c r="J162" s="18"/>
      <x:c r="K162" s="9"/>
      <x:c r="L162" s="9"/>
      <x:c r="M162" s="12"/>
      <x:c r="N162" s="33"/>
    </x:row>
    <x:row r="163">
      <x:c r="A163" s="30" t="s">
        <x:v>2008</x:v>
      </x:c>
      <x:c r="B163" s="56" t="str">
        <x:v>RUSUNAWA Kota Pangkal Pinang</x:v>
      </x:c>
      <x:c r="C163" s="8" t="s">
        <x:v>1946</x:v>
      </x:c>
      <x:c r="D163" s="18" t="s">
        <x:v>1896</x:v>
      </x:c>
      <x:c r="E163" s="38" t="s">
        <x:v>1843</x:v>
      </x:c>
      <x:c r="F163" s="5"/>
      <x:c r="G163" s="9" t="s">
        <x:v>1827</x:v>
      </x:c>
      <x:c r="H163" s="9" t="s">
        <x:v>881</x:v>
      </x:c>
      <x:c r="I163" s="5"/>
      <x:c r="J163" s="18"/>
      <x:c r="K163" s="9"/>
      <x:c r="L163" s="9"/>
      <x:c r="M163" s="12"/>
      <x:c r="N163" s="33"/>
    </x:row>
    <x:row r="164">
      <x:c r="A164" s="30" t="s">
        <x:v>2009</x:v>
      </x:c>
      <x:c r="B164" s="56" t="str">
        <x:v>RUSUNAWA Kota Pangkal Pinang</x:v>
      </x:c>
      <x:c r="C164" s="8" t="s">
        <x:v>1946</x:v>
      </x:c>
      <x:c r="D164" s="18" t="s">
        <x:v>1896</x:v>
      </x:c>
      <x:c r="E164" s="38" t="s">
        <x:v>1845</x:v>
      </x:c>
      <x:c r="F164" s="5"/>
      <x:c r="G164" s="9" t="s">
        <x:v>1827</x:v>
      </x:c>
      <x:c r="H164" s="9" t="s">
        <x:v>881</x:v>
      </x:c>
      <x:c r="I164" s="5"/>
      <x:c r="J164" s="18"/>
      <x:c r="K164" s="9"/>
      <x:c r="L164" s="9"/>
      <x:c r="M164" s="12"/>
      <x:c r="N164" s="33"/>
    </x:row>
    <x:row r="165">
      <x:c r="A165" s="30" t="s">
        <x:v>2010</x:v>
      </x:c>
      <x:c r="B165" s="56" t="str">
        <x:v>RUSUNAWA Kota Pangkal Pinang</x:v>
      </x:c>
      <x:c r="C165" s="8" t="s">
        <x:v>1946</x:v>
      </x:c>
      <x:c r="D165" s="18" t="s">
        <x:v>1896</x:v>
      </x:c>
      <x:c r="E165" s="38" t="s">
        <x:v>1847</x:v>
      </x:c>
      <x:c r="F165" s="5"/>
      <x:c r="G165" s="9" t="s">
        <x:v>1832</x:v>
      </x:c>
      <x:c r="H165" s="9" t="s">
        <x:v>897</x:v>
      </x:c>
      <x:c r="I165" s="5"/>
      <x:c r="J165" s="18"/>
      <x:c r="K165" s="9"/>
      <x:c r="L165" s="9"/>
      <x:c r="M165" s="12"/>
      <x:c r="N165" s="33"/>
    </x:row>
    <x:row r="166">
      <x:c r="A166" s="30" t="s">
        <x:v>2011</x:v>
      </x:c>
      <x:c r="B166" s="56" t="str">
        <x:v>RUSUNAWA Kota Pangkal Pinang</x:v>
      </x:c>
      <x:c r="C166" s="8" t="s">
        <x:v>1946</x:v>
      </x:c>
      <x:c r="D166" s="18" t="s">
        <x:v>1896</x:v>
      </x:c>
      <x:c r="E166" s="38" t="s">
        <x:v>1849</x:v>
      </x:c>
      <x:c r="F166" s="5"/>
      <x:c r="G166" s="9" t="s">
        <x:v>1827</x:v>
      </x:c>
      <x:c r="H166" s="9" t="s">
        <x:v>881</x:v>
      </x:c>
      <x:c r="I166" s="5"/>
      <x:c r="J166" s="18"/>
      <x:c r="K166" s="9"/>
      <x:c r="L166" s="9"/>
      <x:c r="M166" s="12"/>
      <x:c r="N166" s="33"/>
    </x:row>
    <x:row r="167">
      <x:c r="A167" s="30" t="s">
        <x:v>2012</x:v>
      </x:c>
      <x:c r="B167" s="56" t="str">
        <x:v>RUSUNAWA Kota Pangkal Pinang</x:v>
      </x:c>
      <x:c r="C167" s="8" t="s">
        <x:v>1946</x:v>
      </x:c>
      <x:c r="D167" s="18" t="s">
        <x:v>1896</x:v>
      </x:c>
      <x:c r="E167" s="38" t="s">
        <x:v>1851</x:v>
      </x:c>
      <x:c r="F167" s="5"/>
      <x:c r="G167" s="9" t="s">
        <x:v>1827</x:v>
      </x:c>
      <x:c r="H167" s="9" t="s">
        <x:v>881</x:v>
      </x:c>
      <x:c r="I167" s="5"/>
      <x:c r="J167" s="18"/>
      <x:c r="K167" s="9"/>
      <x:c r="L167" s="9"/>
      <x:c r="M167" s="12"/>
      <x:c r="N167" s="33"/>
    </x:row>
    <x:row r="168">
      <x:c r="A168" s="30" t="s">
        <x:v>2013</x:v>
      </x:c>
      <x:c r="B168" s="56" t="str">
        <x:v>RUSUNAWA Kota Pangkal Pinang</x:v>
      </x:c>
      <x:c r="C168" s="8" t="s">
        <x:v>1946</x:v>
      </x:c>
      <x:c r="D168" s="18" t="s">
        <x:v>1896</x:v>
      </x:c>
      <x:c r="E168" s="38" t="s">
        <x:v>1853</x:v>
      </x:c>
      <x:c r="F168" s="5"/>
      <x:c r="G168" s="9" t="s">
        <x:v>1827</x:v>
      </x:c>
      <x:c r="H168" s="9" t="s">
        <x:v>881</x:v>
      </x:c>
      <x:c r="I168" s="5"/>
      <x:c r="J168" s="18"/>
      <x:c r="K168" s="9"/>
      <x:c r="L168" s="9"/>
      <x:c r="M168" s="12"/>
      <x:c r="N168" s="33"/>
    </x:row>
    <x:row r="169">
      <x:c r="A169" s="30" t="s">
        <x:v>2014</x:v>
      </x:c>
      <x:c r="B169" s="56" t="str">
        <x:v>RUSUNAWA Kota Pangkal Pinang</x:v>
      </x:c>
      <x:c r="C169" s="8" t="s">
        <x:v>1946</x:v>
      </x:c>
      <x:c r="D169" s="18" t="s">
        <x:v>1896</x:v>
      </x:c>
      <x:c r="E169" s="38" t="s">
        <x:v>1855</x:v>
      </x:c>
      <x:c r="F169" s="5"/>
      <x:c r="G169" s="9" t="s">
        <x:v>1827</x:v>
      </x:c>
      <x:c r="H169" s="9" t="s">
        <x:v>881</x:v>
      </x:c>
      <x:c r="I169" s="5"/>
      <x:c r="J169" s="18"/>
      <x:c r="K169" s="9"/>
      <x:c r="L169" s="9"/>
      <x:c r="M169" s="12"/>
      <x:c r="N169" s="33"/>
    </x:row>
    <x:row r="170">
      <x:c r="A170" s="30" t="s">
        <x:v>2015</x:v>
      </x:c>
      <x:c r="B170" s="56" t="str">
        <x:v>RUSUNAWA Kota Pangkal Pinang</x:v>
      </x:c>
      <x:c r="C170" s="8" t="s">
        <x:v>1946</x:v>
      </x:c>
      <x:c r="D170" s="18" t="s">
        <x:v>1896</x:v>
      </x:c>
      <x:c r="E170" s="38" t="s">
        <x:v>1857</x:v>
      </x:c>
      <x:c r="F170" s="5"/>
      <x:c r="G170" s="9" t="s">
        <x:v>1827</x:v>
      </x:c>
      <x:c r="H170" s="9" t="s">
        <x:v>881</x:v>
      </x:c>
      <x:c r="I170" s="5"/>
      <x:c r="J170" s="18"/>
      <x:c r="K170" s="9"/>
      <x:c r="L170" s="9"/>
      <x:c r="M170" s="12"/>
      <x:c r="N170" s="33"/>
    </x:row>
    <x:row r="171">
      <x:c r="A171" s="30" t="s">
        <x:v>2016</x:v>
      </x:c>
      <x:c r="B171" s="56" t="str">
        <x:v>RUSUNAWA Kota Pangkal Pinang</x:v>
      </x:c>
      <x:c r="C171" s="8" t="s">
        <x:v>1946</x:v>
      </x:c>
      <x:c r="D171" s="18" t="s">
        <x:v>1896</x:v>
      </x:c>
      <x:c r="E171" s="38" t="s">
        <x:v>1859</x:v>
      </x:c>
      <x:c r="F171" s="5"/>
      <x:c r="G171" s="9" t="s">
        <x:v>1827</x:v>
      </x:c>
      <x:c r="H171" s="9" t="s">
        <x:v>897</x:v>
      </x:c>
      <x:c r="I171" s="5"/>
      <x:c r="J171" s="18"/>
      <x:c r="K171" s="9"/>
      <x:c r="L171" s="9"/>
      <x:c r="M171" s="12"/>
      <x:c r="N171" s="33"/>
    </x:row>
    <x:row r="172">
      <x:c r="A172" s="30" t="s">
        <x:v>2017</x:v>
      </x:c>
      <x:c r="B172" s="56" t="str">
        <x:v>RUSUNAWA Kota Pangkal Pinang</x:v>
      </x:c>
      <x:c r="C172" s="8" t="s">
        <x:v>1946</x:v>
      </x:c>
      <x:c r="D172" s="18" t="s">
        <x:v>1896</x:v>
      </x:c>
      <x:c r="E172" s="38" t="s">
        <x:v>1861</x:v>
      </x:c>
      <x:c r="F172" s="5"/>
      <x:c r="G172" s="9" t="s">
        <x:v>1827</x:v>
      </x:c>
      <x:c r="H172" s="9" t="s">
        <x:v>881</x:v>
      </x:c>
      <x:c r="I172" s="5"/>
      <x:c r="J172" s="18"/>
      <x:c r="K172" s="9"/>
      <x:c r="L172" s="9"/>
      <x:c r="M172" s="12"/>
      <x:c r="N172" s="33"/>
    </x:row>
    <x:row r="173">
      <x:c r="A173" s="30" t="s">
        <x:v>2018</x:v>
      </x:c>
      <x:c r="B173" s="56" t="str">
        <x:v>RUSUNAWA Kota Pangkal Pinang</x:v>
      </x:c>
      <x:c r="C173" s="8" t="s">
        <x:v>1946</x:v>
      </x:c>
      <x:c r="D173" s="18" t="s">
        <x:v>1896</x:v>
      </x:c>
      <x:c r="E173" s="38" t="s">
        <x:v>1863</x:v>
      </x:c>
      <x:c r="F173" s="5"/>
      <x:c r="G173" s="9" t="s">
        <x:v>1827</x:v>
      </x:c>
      <x:c r="H173" s="9" t="s">
        <x:v>881</x:v>
      </x:c>
      <x:c r="I173" s="5"/>
      <x:c r="J173" s="18"/>
      <x:c r="K173" s="9"/>
      <x:c r="L173" s="9"/>
      <x:c r="M173" s="12"/>
      <x:c r="N173" s="33"/>
    </x:row>
    <x:row r="174">
      <x:c r="A174" s="30" t="s">
        <x:v>2019</x:v>
      </x:c>
      <x:c r="B174" s="56" t="str">
        <x:v>RUSUNAWA Kota Pangkal Pinang</x:v>
      </x:c>
      <x:c r="C174" s="8" t="s">
        <x:v>1946</x:v>
      </x:c>
      <x:c r="D174" s="18" t="s">
        <x:v>1896</x:v>
      </x:c>
      <x:c r="E174" s="38" t="s">
        <x:v>1865</x:v>
      </x:c>
      <x:c r="F174" s="5"/>
      <x:c r="G174" s="9" t="s">
        <x:v>1832</x:v>
      </x:c>
      <x:c r="H174" s="9" t="s">
        <x:v>897</x:v>
      </x:c>
      <x:c r="I174" s="5"/>
      <x:c r="J174" s="18"/>
      <x:c r="K174" s="9"/>
      <x:c r="L174" s="9"/>
      <x:c r="M174" s="12"/>
      <x:c r="N174" s="33"/>
    </x:row>
    <x:row r="175">
      <x:c r="A175" s="30" t="s">
        <x:v>2020</x:v>
      </x:c>
      <x:c r="B175" s="56" t="str">
        <x:v>RUSUNAWA Kota Pangkal Pinang</x:v>
      </x:c>
      <x:c r="C175" s="8" t="s">
        <x:v>1946</x:v>
      </x:c>
      <x:c r="D175" s="18" t="s">
        <x:v>1896</x:v>
      </x:c>
      <x:c r="E175" s="38" t="s">
        <x:v>1867</x:v>
      </x:c>
      <x:c r="F175" s="5"/>
      <x:c r="G175" s="9" t="s">
        <x:v>1827</x:v>
      </x:c>
      <x:c r="H175" s="9" t="s">
        <x:v>881</x:v>
      </x:c>
      <x:c r="I175" s="5"/>
      <x:c r="J175" s="18"/>
      <x:c r="K175" s="9"/>
      <x:c r="L175" s="9"/>
      <x:c r="M175" s="12"/>
      <x:c r="N175" s="33"/>
    </x:row>
    <x:row r="176">
      <x:c r="A176" s="30" t="s">
        <x:v>2021</x:v>
      </x:c>
      <x:c r="B176" s="56" t="str">
        <x:v>RUSUNAWA Kota Pangkal Pinang</x:v>
      </x:c>
      <x:c r="C176" s="8" t="s">
        <x:v>1946</x:v>
      </x:c>
      <x:c r="D176" s="18" t="s">
        <x:v>1896</x:v>
      </x:c>
      <x:c r="E176" s="38" t="s">
        <x:v>1869</x:v>
      </x:c>
      <x:c r="F176" s="5"/>
      <x:c r="G176" s="9" t="s">
        <x:v>1827</x:v>
      </x:c>
      <x:c r="H176" s="9" t="s">
        <x:v>881</x:v>
      </x:c>
      <x:c r="I176" s="5"/>
      <x:c r="J176" s="18"/>
      <x:c r="K176" s="9"/>
      <x:c r="L176" s="9"/>
      <x:c r="M176" s="12"/>
      <x:c r="N176" s="33"/>
    </x:row>
    <x:row r="177">
      <x:c r="A177" s="30" t="s">
        <x:v>2022</x:v>
      </x:c>
      <x:c r="B177" s="56" t="str">
        <x:v>RUSUNAWA Kota Pangkal Pinang</x:v>
      </x:c>
      <x:c r="C177" s="8" t="s">
        <x:v>1946</x:v>
      </x:c>
      <x:c r="D177" s="18" t="s">
        <x:v>1921</x:v>
      </x:c>
      <x:c r="E177" s="38" t="s">
        <x:v>851</x:v>
      </x:c>
      <x:c r="F177" s="5"/>
      <x:c r="G177" s="9" t="s">
        <x:v>1832</x:v>
      </x:c>
      <x:c r="H177" s="9" t="s">
        <x:v>881</x:v>
      </x:c>
      <x:c r="I177" s="5"/>
      <x:c r="J177" s="18"/>
      <x:c r="K177" s="9"/>
      <x:c r="L177" s="9"/>
      <x:c r="M177" s="12"/>
      <x:c r="N177" s="33"/>
    </x:row>
    <x:row r="178">
      <x:c r="A178" s="30" t="s">
        <x:v>2023</x:v>
      </x:c>
      <x:c r="B178" s="56" t="str">
        <x:v>RUSUNAWA Kota Pangkal Pinang</x:v>
      </x:c>
      <x:c r="C178" s="8" t="s">
        <x:v>1946</x:v>
      </x:c>
      <x:c r="D178" s="18" t="s">
        <x:v>1921</x:v>
      </x:c>
      <x:c r="E178" s="38" t="s">
        <x:v>853</x:v>
      </x:c>
      <x:c r="F178" s="5"/>
      <x:c r="G178" s="9" t="s">
        <x:v>1841</x:v>
      </x:c>
      <x:c r="H178" s="9" t="s">
        <x:v>966</x:v>
      </x:c>
      <x:c r="I178" s="5"/>
      <x:c r="J178" s="18"/>
      <x:c r="K178" s="9"/>
      <x:c r="L178" s="9"/>
      <x:c r="M178" s="12"/>
      <x:c r="N178" s="33"/>
    </x:row>
    <x:row r="179">
      <x:c r="A179" s="30" t="s">
        <x:v>2024</x:v>
      </x:c>
      <x:c r="B179" s="56" t="str">
        <x:v>RUSUNAWA Kota Pangkal Pinang</x:v>
      </x:c>
      <x:c r="C179" s="8" t="s">
        <x:v>1946</x:v>
      </x:c>
      <x:c r="D179" s="18" t="s">
        <x:v>1921</x:v>
      </x:c>
      <x:c r="E179" s="38" t="s">
        <x:v>854</x:v>
      </x:c>
      <x:c r="F179" s="5"/>
      <x:c r="G179" s="9" t="s">
        <x:v>1832</x:v>
      </x:c>
      <x:c r="H179" s="9" t="s">
        <x:v>897</x:v>
      </x:c>
      <x:c r="I179" s="5"/>
      <x:c r="J179" s="18"/>
      <x:c r="K179" s="9"/>
      <x:c r="L179" s="9"/>
      <x:c r="M179" s="12"/>
      <x:c r="N179" s="33"/>
    </x:row>
    <x:row r="180">
      <x:c r="A180" s="30" t="s">
        <x:v>2025</x:v>
      </x:c>
      <x:c r="B180" s="56" t="str">
        <x:v>RUSUNAWA Kota Pangkal Pinang</x:v>
      </x:c>
      <x:c r="C180" s="8" t="s">
        <x:v>1946</x:v>
      </x:c>
      <x:c r="D180" s="18" t="s">
        <x:v>1921</x:v>
      </x:c>
      <x:c r="E180" s="38" t="s">
        <x:v>855</x:v>
      </x:c>
      <x:c r="F180" s="5"/>
      <x:c r="G180" s="9" t="s">
        <x:v>1827</x:v>
      </x:c>
      <x:c r="H180" s="9" t="s">
        <x:v>881</x:v>
      </x:c>
      <x:c r="I180" s="5"/>
      <x:c r="J180" s="18"/>
      <x:c r="K180" s="9"/>
      <x:c r="L180" s="9"/>
      <x:c r="M180" s="12"/>
      <x:c r="N180" s="33"/>
    </x:row>
    <x:row r="181">
      <x:c r="A181" s="30" t="s">
        <x:v>2026</x:v>
      </x:c>
      <x:c r="B181" s="56" t="str">
        <x:v>RUSUNAWA Kota Pangkal Pinang</x:v>
      </x:c>
      <x:c r="C181" s="8" t="s">
        <x:v>1946</x:v>
      </x:c>
      <x:c r="D181" s="18" t="s">
        <x:v>1921</x:v>
      </x:c>
      <x:c r="E181" s="38" t="s">
        <x:v>856</x:v>
      </x:c>
      <x:c r="F181" s="5"/>
      <x:c r="G181" s="9" t="s">
        <x:v>1827</x:v>
      </x:c>
      <x:c r="H181" s="9" t="s">
        <x:v>881</x:v>
      </x:c>
      <x:c r="I181" s="5"/>
      <x:c r="J181" s="18"/>
      <x:c r="K181" s="9"/>
      <x:c r="L181" s="9"/>
      <x:c r="M181" s="12"/>
      <x:c r="N181" s="33"/>
    </x:row>
    <x:row r="182">
      <x:c r="A182" s="30" t="s">
        <x:v>2027</x:v>
      </x:c>
      <x:c r="B182" s="56" t="str">
        <x:v>RUSUNAWA Kota Pangkal Pinang</x:v>
      </x:c>
      <x:c r="C182" s="8" t="s">
        <x:v>1946</x:v>
      </x:c>
      <x:c r="D182" s="18" t="s">
        <x:v>1921</x:v>
      </x:c>
      <x:c r="E182" s="38" t="s">
        <x:v>857</x:v>
      </x:c>
      <x:c r="F182" s="5"/>
      <x:c r="G182" s="9" t="s">
        <x:v>1827</x:v>
      </x:c>
      <x:c r="H182" s="9" t="s">
        <x:v>881</x:v>
      </x:c>
      <x:c r="I182" s="5"/>
      <x:c r="J182" s="18"/>
      <x:c r="K182" s="9"/>
      <x:c r="L182" s="9"/>
      <x:c r="M182" s="12"/>
      <x:c r="N182" s="33"/>
    </x:row>
    <x:row r="183">
      <x:c r="A183" s="30" t="s">
        <x:v>2028</x:v>
      </x:c>
      <x:c r="B183" s="56" t="str">
        <x:v>RUSUNAWA Kota Pangkal Pinang</x:v>
      </x:c>
      <x:c r="C183" s="8" t="s">
        <x:v>1946</x:v>
      </x:c>
      <x:c r="D183" s="18" t="s">
        <x:v>1921</x:v>
      </x:c>
      <x:c r="E183" s="38" t="s">
        <x:v>858</x:v>
      </x:c>
      <x:c r="F183" s="5"/>
      <x:c r="G183" s="9" t="s">
        <x:v>1827</x:v>
      </x:c>
      <x:c r="H183" s="9" t="s">
        <x:v>881</x:v>
      </x:c>
      <x:c r="I183" s="5"/>
      <x:c r="J183" s="18"/>
      <x:c r="K183" s="9"/>
      <x:c r="L183" s="9"/>
      <x:c r="M183" s="12"/>
      <x:c r="N183" s="33"/>
    </x:row>
    <x:row r="184">
      <x:c r="A184" s="30" t="s">
        <x:v>2029</x:v>
      </x:c>
      <x:c r="B184" s="56" t="str">
        <x:v>RUSUNAWA Kota Pangkal Pinang</x:v>
      </x:c>
      <x:c r="C184" s="8" t="s">
        <x:v>1946</x:v>
      </x:c>
      <x:c r="D184" s="18" t="s">
        <x:v>1921</x:v>
      </x:c>
      <x:c r="E184" s="38" t="s">
        <x:v>1836</x:v>
      </x:c>
      <x:c r="F184" s="5"/>
      <x:c r="G184" s="9" t="s">
        <x:v>1841</x:v>
      </x:c>
      <x:c r="H184" s="9" t="s">
        <x:v>966</x:v>
      </x:c>
      <x:c r="I184" s="5"/>
      <x:c r="J184" s="18"/>
      <x:c r="K184" s="9"/>
      <x:c r="L184" s="9"/>
      <x:c r="M184" s="12"/>
      <x:c r="N184" s="33"/>
    </x:row>
    <x:row r="185">
      <x:c r="A185" s="30" t="s">
        <x:v>2030</x:v>
      </x:c>
      <x:c r="B185" s="56" t="str">
        <x:v>RUSUNAWA Kota Pangkal Pinang</x:v>
      </x:c>
      <x:c r="C185" s="8" t="s">
        <x:v>1946</x:v>
      </x:c>
      <x:c r="D185" s="18" t="s">
        <x:v>1921</x:v>
      </x:c>
      <x:c r="E185" s="38" t="s">
        <x:v>1838</x:v>
      </x:c>
      <x:c r="F185" s="5"/>
      <x:c r="G185" s="9" t="s">
        <x:v>1841</x:v>
      </x:c>
      <x:c r="H185" s="9" t="s">
        <x:v>966</x:v>
      </x:c>
      <x:c r="I185" s="5"/>
      <x:c r="J185" s="18"/>
      <x:c r="K185" s="9"/>
      <x:c r="L185" s="9"/>
      <x:c r="M185" s="12"/>
      <x:c r="N185" s="33"/>
    </x:row>
    <x:row r="186">
      <x:c r="A186" s="30" t="s">
        <x:v>2031</x:v>
      </x:c>
      <x:c r="B186" s="56" t="str">
        <x:v>RUSUNAWA Kota Pangkal Pinang</x:v>
      </x:c>
      <x:c r="C186" s="8" t="s">
        <x:v>1946</x:v>
      </x:c>
      <x:c r="D186" s="18" t="s">
        <x:v>1921</x:v>
      </x:c>
      <x:c r="E186" s="38" t="s">
        <x:v>1840</x:v>
      </x:c>
      <x:c r="F186" s="5"/>
      <x:c r="G186" s="9" t="s">
        <x:v>1841</x:v>
      </x:c>
      <x:c r="H186" s="9" t="s">
        <x:v>966</x:v>
      </x:c>
      <x:c r="I186" s="5"/>
      <x:c r="J186" s="18"/>
      <x:c r="K186" s="9"/>
      <x:c r="L186" s="9"/>
      <x:c r="M186" s="12"/>
      <x:c r="N186" s="33"/>
    </x:row>
    <x:row r="187">
      <x:c r="A187" s="30" t="s">
        <x:v>2032</x:v>
      </x:c>
      <x:c r="B187" s="56" t="str">
        <x:v>RUSUNAWA Kota Pangkal Pinang</x:v>
      </x:c>
      <x:c r="C187" s="8" t="s">
        <x:v>1946</x:v>
      </x:c>
      <x:c r="D187" s="18" t="s">
        <x:v>1921</x:v>
      </x:c>
      <x:c r="E187" s="38" t="s">
        <x:v>1843</x:v>
      </x:c>
      <x:c r="F187" s="5"/>
      <x:c r="G187" s="9" t="s">
        <x:v>1832</x:v>
      </x:c>
      <x:c r="H187" s="9" t="s">
        <x:v>897</x:v>
      </x:c>
      <x:c r="I187" s="5"/>
      <x:c r="J187" s="18"/>
      <x:c r="K187" s="9"/>
      <x:c r="L187" s="9"/>
      <x:c r="M187" s="12"/>
      <x:c r="N187" s="33"/>
    </x:row>
    <x:row r="188">
      <x:c r="A188" s="30" t="s">
        <x:v>2033</x:v>
      </x:c>
      <x:c r="B188" s="56" t="str">
        <x:v>RUSUNAWA Kota Pangkal Pinang</x:v>
      </x:c>
      <x:c r="C188" s="8" t="s">
        <x:v>1946</x:v>
      </x:c>
      <x:c r="D188" s="18" t="s">
        <x:v>1921</x:v>
      </x:c>
      <x:c r="E188" s="38" t="s">
        <x:v>1845</x:v>
      </x:c>
      <x:c r="F188" s="5"/>
      <x:c r="G188" s="9" t="s">
        <x:v>1832</x:v>
      </x:c>
      <x:c r="H188" s="9" t="s">
        <x:v>897</x:v>
      </x:c>
      <x:c r="I188" s="5"/>
      <x:c r="J188" s="18"/>
      <x:c r="K188" s="9"/>
      <x:c r="L188" s="9"/>
      <x:c r="M188" s="12"/>
      <x:c r="N188" s="33"/>
    </x:row>
    <x:row r="189">
      <x:c r="A189" s="30" t="s">
        <x:v>2034</x:v>
      </x:c>
      <x:c r="B189" s="56" t="str">
        <x:v>RUSUNAWA Kota Pangkal Pinang</x:v>
      </x:c>
      <x:c r="C189" s="8" t="s">
        <x:v>1946</x:v>
      </x:c>
      <x:c r="D189" s="18" t="s">
        <x:v>1921</x:v>
      </x:c>
      <x:c r="E189" s="38" t="s">
        <x:v>1847</x:v>
      </x:c>
      <x:c r="F189" s="5"/>
      <x:c r="G189" s="9" t="s">
        <x:v>1841</x:v>
      </x:c>
      <x:c r="H189" s="9" t="s">
        <x:v>966</x:v>
      </x:c>
      <x:c r="I189" s="5"/>
      <x:c r="J189" s="18"/>
      <x:c r="K189" s="9"/>
      <x:c r="L189" s="9"/>
      <x:c r="M189" s="12"/>
      <x:c r="N189" s="33"/>
    </x:row>
    <x:row r="190">
      <x:c r="A190" s="30" t="s">
        <x:v>2035</x:v>
      </x:c>
      <x:c r="B190" s="56" t="str">
        <x:v>RUSUNAWA Kota Pangkal Pinang</x:v>
      </x:c>
      <x:c r="C190" s="8" t="s">
        <x:v>1946</x:v>
      </x:c>
      <x:c r="D190" s="18" t="s">
        <x:v>1921</x:v>
      </x:c>
      <x:c r="E190" s="38" t="s">
        <x:v>1849</x:v>
      </x:c>
      <x:c r="F190" s="5"/>
      <x:c r="G190" s="9" t="s">
        <x:v>1841</x:v>
      </x:c>
      <x:c r="H190" s="9" t="s">
        <x:v>966</x:v>
      </x:c>
      <x:c r="I190" s="5"/>
      <x:c r="J190" s="18"/>
      <x:c r="K190" s="9"/>
      <x:c r="L190" s="9"/>
      <x:c r="M190" s="12"/>
      <x:c r="N190" s="33"/>
    </x:row>
    <x:row r="191">
      <x:c r="A191" s="30" t="s">
        <x:v>2036</x:v>
      </x:c>
      <x:c r="B191" s="56" t="str">
        <x:v>RUSUNAWA Kota Pangkal Pinang</x:v>
      </x:c>
      <x:c r="C191" s="8" t="s">
        <x:v>1946</x:v>
      </x:c>
      <x:c r="D191" s="18" t="s">
        <x:v>1921</x:v>
      </x:c>
      <x:c r="E191" s="38" t="s">
        <x:v>1851</x:v>
      </x:c>
      <x:c r="F191" s="5"/>
      <x:c r="G191" s="9" t="s">
        <x:v>1841</x:v>
      </x:c>
      <x:c r="H191" s="9" t="s">
        <x:v>966</x:v>
      </x:c>
      <x:c r="I191" s="5"/>
      <x:c r="J191" s="18"/>
      <x:c r="K191" s="9"/>
      <x:c r="L191" s="9"/>
      <x:c r="M191" s="12"/>
      <x:c r="N191" s="33"/>
    </x:row>
    <x:row r="192">
      <x:c r="A192" s="30" t="s">
        <x:v>2037</x:v>
      </x:c>
      <x:c r="B192" s="56" t="str">
        <x:v>RUSUNAWA Kota Pangkal Pinang</x:v>
      </x:c>
      <x:c r="C192" s="8" t="s">
        <x:v>1946</x:v>
      </x:c>
      <x:c r="D192" s="18" t="s">
        <x:v>1921</x:v>
      </x:c>
      <x:c r="E192" s="38" t="s">
        <x:v>1853</x:v>
      </x:c>
      <x:c r="F192" s="5"/>
      <x:c r="G192" s="9" t="s">
        <x:v>1841</x:v>
      </x:c>
      <x:c r="H192" s="9" t="s">
        <x:v>966</x:v>
      </x:c>
      <x:c r="I192" s="5"/>
      <x:c r="J192" s="18"/>
      <x:c r="K192" s="9"/>
      <x:c r="L192" s="9"/>
      <x:c r="M192" s="12"/>
      <x:c r="N192" s="33"/>
    </x:row>
    <x:row r="193">
      <x:c r="A193" s="30" t="s">
        <x:v>2038</x:v>
      </x:c>
      <x:c r="B193" s="56" t="str">
        <x:v>RUSUNAWA Kota Pangkal Pinang</x:v>
      </x:c>
      <x:c r="C193" s="8" t="s">
        <x:v>1946</x:v>
      </x:c>
      <x:c r="D193" s="18" t="s">
        <x:v>1921</x:v>
      </x:c>
      <x:c r="E193" s="38" t="s">
        <x:v>1855</x:v>
      </x:c>
      <x:c r="F193" s="5"/>
      <x:c r="G193" s="9" t="s">
        <x:v>1832</x:v>
      </x:c>
      <x:c r="H193" s="9" t="s">
        <x:v>897</x:v>
      </x:c>
      <x:c r="I193" s="5"/>
      <x:c r="J193" s="18"/>
      <x:c r="K193" s="9"/>
      <x:c r="L193" s="9"/>
      <x:c r="M193" s="12"/>
      <x:c r="N193" s="33"/>
    </x:row>
    <x:row r="194">
      <x:c r="A194" s="30" t="s">
        <x:v>2039</x:v>
      </x:c>
      <x:c r="B194" s="56" t="str">
        <x:v>RUSUNAWA Kota Pangkal Pinang</x:v>
      </x:c>
      <x:c r="C194" s="8" t="s">
        <x:v>1946</x:v>
      </x:c>
      <x:c r="D194" s="18" t="s">
        <x:v>1921</x:v>
      </x:c>
      <x:c r="E194" s="38" t="s">
        <x:v>1857</x:v>
      </x:c>
      <x:c r="F194" s="5"/>
      <x:c r="G194" s="9" t="s">
        <x:v>1827</x:v>
      </x:c>
      <x:c r="H194" s="9" t="s">
        <x:v>881</x:v>
      </x:c>
      <x:c r="I194" s="5"/>
      <x:c r="J194" s="18"/>
      <x:c r="K194" s="9"/>
      <x:c r="L194" s="9"/>
      <x:c r="M194" s="12"/>
      <x:c r="N194" s="33"/>
    </x:row>
    <x:row r="195">
      <x:c r="A195" s="30" t="s">
        <x:v>2040</x:v>
      </x:c>
      <x:c r="B195" s="56" t="str">
        <x:v>RUSUNAWA Kota Pangkal Pinang</x:v>
      </x:c>
      <x:c r="C195" s="8" t="s">
        <x:v>1946</x:v>
      </x:c>
      <x:c r="D195" s="18" t="s">
        <x:v>1921</x:v>
      </x:c>
      <x:c r="E195" s="38" t="s">
        <x:v>1859</x:v>
      </x:c>
      <x:c r="F195" s="5"/>
      <x:c r="G195" s="9" t="s">
        <x:v>1827</x:v>
      </x:c>
      <x:c r="H195" s="9" t="s">
        <x:v>881</x:v>
      </x:c>
      <x:c r="I195" s="5"/>
      <x:c r="J195" s="18"/>
      <x:c r="K195" s="9"/>
      <x:c r="L195" s="9"/>
      <x:c r="M195" s="12"/>
      <x:c r="N195" s="33"/>
    </x:row>
    <x:row r="196">
      <x:c r="A196" s="30" t="s">
        <x:v>2041</x:v>
      </x:c>
      <x:c r="B196" s="56" t="str">
        <x:v>RUSUNAWA Kota Pangkal Pinang</x:v>
      </x:c>
      <x:c r="C196" s="8" t="s">
        <x:v>1946</x:v>
      </x:c>
      <x:c r="D196" s="18" t="s">
        <x:v>1921</x:v>
      </x:c>
      <x:c r="E196" s="38" t="s">
        <x:v>1861</x:v>
      </x:c>
      <x:c r="F196" s="5"/>
      <x:c r="G196" s="9" t="s">
        <x:v>1827</x:v>
      </x:c>
      <x:c r="H196" s="9" t="s">
        <x:v>881</x:v>
      </x:c>
      <x:c r="I196" s="5"/>
      <x:c r="J196" s="18"/>
      <x:c r="K196" s="9"/>
      <x:c r="L196" s="9"/>
      <x:c r="M196" s="12"/>
      <x:c r="N196" s="33"/>
    </x:row>
    <x:row r="197">
      <x:c r="A197" s="30" t="s">
        <x:v>2042</x:v>
      </x:c>
      <x:c r="B197" s="56" t="str">
        <x:v>RUSUNAWA Kota Pangkal Pinang</x:v>
      </x:c>
      <x:c r="C197" s="8" t="s">
        <x:v>1946</x:v>
      </x:c>
      <x:c r="D197" s="18" t="s">
        <x:v>1921</x:v>
      </x:c>
      <x:c r="E197" s="38" t="s">
        <x:v>1863</x:v>
      </x:c>
      <x:c r="F197" s="5"/>
      <x:c r="G197" s="9" t="s">
        <x:v>1827</x:v>
      </x:c>
      <x:c r="H197" s="9" t="s">
        <x:v>881</x:v>
      </x:c>
      <x:c r="I197" s="5"/>
      <x:c r="J197" s="18"/>
      <x:c r="K197" s="9"/>
      <x:c r="L197" s="9"/>
      <x:c r="M197" s="12"/>
      <x:c r="N197" s="33"/>
    </x:row>
    <x:row r="198">
      <x:c r="A198" s="30" t="s">
        <x:v>2043</x:v>
      </x:c>
      <x:c r="B198" s="56" t="str">
        <x:v>RUSUNAWA Kota Pangkal Pinang</x:v>
      </x:c>
      <x:c r="C198" s="8" t="s">
        <x:v>1946</x:v>
      </x:c>
      <x:c r="D198" s="18" t="s">
        <x:v>1921</x:v>
      </x:c>
      <x:c r="E198" s="38" t="s">
        <x:v>1865</x:v>
      </x:c>
      <x:c r="F198" s="5"/>
      <x:c r="G198" s="9" t="s">
        <x:v>1827</x:v>
      </x:c>
      <x:c r="H198" s="9" t="s">
        <x:v>881</x:v>
      </x:c>
      <x:c r="I198" s="5"/>
      <x:c r="J198" s="18"/>
      <x:c r="K198" s="9"/>
      <x:c r="L198" s="9"/>
      <x:c r="M198" s="12"/>
      <x:c r="N198" s="33"/>
    </x:row>
    <x:row r="199">
      <x:c r="A199" s="30" t="s">
        <x:v>2044</x:v>
      </x:c>
      <x:c r="B199" s="56" t="str">
        <x:v>RUSUNAWA Kota Pangkal Pinang</x:v>
      </x:c>
      <x:c r="C199" s="8" t="s">
        <x:v>1946</x:v>
      </x:c>
      <x:c r="D199" s="18" t="s">
        <x:v>1921</x:v>
      </x:c>
      <x:c r="E199" s="38" t="s">
        <x:v>1867</x:v>
      </x:c>
      <x:c r="F199" s="5"/>
      <x:c r="G199" s="9" t="s">
        <x:v>1827</x:v>
      </x:c>
      <x:c r="H199" s="9" t="s">
        <x:v>881</x:v>
      </x:c>
      <x:c r="I199" s="5"/>
      <x:c r="J199" s="18"/>
      <x:c r="K199" s="9"/>
      <x:c r="L199" s="9"/>
      <x:c r="M199" s="12"/>
      <x:c r="N199" s="33"/>
    </x:row>
    <x:row r="200">
      <x:c r="A200" s="30" t="s">
        <x:v>2045</x:v>
      </x:c>
      <x:c r="B200" s="56" t="str">
        <x:v>RUSUNAWA Kota Pangkal Pinang</x:v>
      </x:c>
      <x:c r="C200" s="8" t="s">
        <x:v>1946</x:v>
      </x:c>
      <x:c r="D200" s="18" t="s">
        <x:v>1921</x:v>
      </x:c>
      <x:c r="E200" s="38" t="s">
        <x:v>1869</x:v>
      </x:c>
      <x:c r="F200" s="5"/>
      <x:c r="G200" s="9" t="s">
        <x:v>1841</x:v>
      </x:c>
      <x:c r="H200" s="9" t="s">
        <x:v>966</x:v>
      </x:c>
      <x:c r="I200" s="5"/>
      <x:c r="J200" s="18"/>
      <x:c r="K200" s="9"/>
      <x:c r="L200" s="9"/>
      <x:c r="M200" s="12"/>
      <x:c r="N200" s="33"/>
    </x:row>
    <x:row r="201">
      <x:c r="A201" s="30"/>
      <x:c r="B201" s="9"/>
      <x:c r="C201" s="9"/>
      <x:c r="D201" s="18"/>
      <x:c r="E201" s="38"/>
      <x:c r="F201" s="5"/>
      <x:c r="G201" s="9"/>
      <x:c r="H201" s="9"/>
      <x:c r="I201" s="5"/>
      <x:c r="J201" s="18"/>
      <x:c r="K201" s="9"/>
      <x:c r="L201" s="9"/>
      <x:c r="M201" s="12"/>
      <x:c r="N201" s="33"/>
    </x:row>
    <x:row r="202">
      <x:c r="A202" s="31"/>
      <x:c r="B202" s="10"/>
      <x:c r="C202" s="10"/>
      <x:c r="D202" s="19"/>
      <x:c r="E202" s="39"/>
      <x:c r="F202" s="6"/>
      <x:c r="G202" s="10"/>
      <x:c r="H202" s="10"/>
      <x:c r="I202" s="6"/>
      <x:c r="J202" s="19"/>
      <x:c r="K202" s="10"/>
      <x:c r="L202" s="10"/>
      <x:c r="M202" s="13"/>
      <x:c r="N202" s="34"/>
    </x:row>
  </x:sheetData>
  <x:mergeCells>
    <x:mergeCell ref="A1:N1"/>
    <x:mergeCell ref="A2:N2"/>
    <x:mergeCell ref="A3:N3"/>
  </x:mergeCells>
  <x:dataValidations count="3">
    <x:dataValidation type="list" sqref="G6:G202">
      <x:formula1>"Terisi,Kosong,Dalam Perbaikan,Tidak Dapat Digunakan"</x:formula1>
    </x:dataValidation>
    <x:dataValidation type="list" sqref="H6:H202">
      <x:formula1>"Baik,Rusak Ringan,Rusak Sedang,Rusak Berat"</x:formula1>
    </x:dataValidation>
    <x:dataValidation type="list" sqref="L6:L202">
      <x:formula1>"Draft,Dalam Verifikasi,Terverifikasi,Perlu Perbaikan"</x:formula1>
    </x:dataValidation>
  </x:dataValidations>
  <x:pageMargins left="0.7" right="0.7" top="0.75" bottom="0.75" header="0.3" footer="0.3"/>
  <x:tableParts count="1">
    <x:tablePart xmlns:r="http://schemas.openxmlformats.org/officeDocument/2006/relationships" r:id="Rc36868055c2d4522"/>
  </x:tableParts>
</x:worksheet>
</file>

<file path=xl/worksheets/sheet7.xml><?xml version="1.0" encoding="utf-8"?>
<x:worksheet xmlns:x="http://schemas.openxmlformats.org/spreadsheetml/2006/main">
  <x:sheetFormatPr defaultRowHeight="14"/>
  <x:cols>
    <x:col min="1" max="1" width="18" customWidth="1"/>
    <x:col min="2" max="2" width="30" customWidth="1"/>
    <x:col min="3" max="3" width="10" customWidth="1"/>
    <x:col min="4" max="4" width="14" customWidth="1"/>
    <x:col min="5" max="5" width="19" customWidth="1"/>
    <x:col min="6" max="6" width="18" customWidth="1"/>
    <x:col min="7" max="7" width="22" customWidth="1"/>
    <x:col min="8" max="8" width="18" customWidth="1"/>
    <x:col min="9" max="9" width="22" customWidth="1"/>
    <x:col min="10" max="10" width="26" customWidth="1"/>
    <x:col min="11" max="11" width="17" customWidth="1"/>
    <x:col min="12" max="12" width="18" customWidth="1"/>
    <x:col min="13" max="13" width="42" customWidth="1"/>
  </x:cols>
  <x:sheetData>
    <x:row r="1" ht="20">
      <x:c r="A1" s="244" t="s">
        <x:v>2046</x:v>
      </x:c>
      <x:c r="B1" s="244"/>
      <x:c r="C1" s="244"/>
      <x:c r="D1" s="244"/>
      <x:c r="E1" s="244"/>
      <x:c r="F1" s="244"/>
      <x:c r="G1" s="244"/>
      <x:c r="H1" s="244"/>
      <x:c r="I1" s="244"/>
      <x:c r="J1" s="244"/>
      <x:c r="K1" s="244"/>
      <x:c r="L1" s="244"/>
      <x:c r="M1" s="245"/>
    </x:row>
    <x:row r="2" ht="14.5">
      <x:c r="A2" s="246" t="s">
        <x:v>2047</x:v>
      </x:c>
      <x:c r="B2" s="246"/>
      <x:c r="C2" s="246"/>
      <x:c r="D2" s="246"/>
      <x:c r="E2" s="246"/>
      <x:c r="F2" s="246"/>
      <x:c r="G2" s="246"/>
      <x:c r="H2" s="246"/>
      <x:c r="I2" s="246"/>
      <x:c r="J2" s="246"/>
      <x:c r="K2" s="246"/>
      <x:c r="L2" s="246"/>
      <x:c r="M2" s="247"/>
    </x:row>
    <x:row r="3">
      <x:c r="A3" s="248" t="s">
        <x:v>2048</x:v>
      </x:c>
      <x:c r="B3" s="248"/>
      <x:c r="C3" s="248"/>
      <x:c r="D3" s="248"/>
      <x:c r="E3" s="248"/>
      <x:c r="F3" s="248"/>
      <x:c r="G3" s="248"/>
      <x:c r="H3" s="248"/>
      <x:c r="I3" s="248"/>
      <x:c r="J3" s="248"/>
      <x:c r="K3" s="248"/>
      <x:c r="L3" s="248"/>
      <x:c r="M3" s="249"/>
    </x:row>
    <x:row r="5" ht="26">
      <x:c r="A5" s="54" t="s">
        <x:v>2049</x:v>
      </x:c>
      <x:c r="B5" s="54" t="s">
        <x:v>1817</x:v>
      </x:c>
      <x:c r="C5" s="54" t="s">
        <x:v>2050</x:v>
      </x:c>
      <x:c r="D5" s="54" t="s">
        <x:v>2051</x:v>
      </x:c>
      <x:c r="E5" s="54" t="s">
        <x:v>2052</x:v>
      </x:c>
      <x:c r="F5" s="54" t="s">
        <x:v>2053</x:v>
      </x:c>
      <x:c r="G5" s="54" t="s">
        <x:v>2054</x:v>
      </x:c>
      <x:c r="H5" s="54" t="s">
        <x:v>2055</x:v>
      </x:c>
      <x:c r="I5" s="54" t="s">
        <x:v>12</x:v>
      </x:c>
      <x:c r="J5" s="54" t="s">
        <x:v>59</x:v>
      </x:c>
      <x:c r="K5" s="54" t="s">
        <x:v>15</x:v>
      </x:c>
      <x:c r="L5" s="54" t="s">
        <x:v>16</x:v>
      </x:c>
      <x:c r="M5" s="54" t="s">
        <x:v>54</x:v>
      </x:c>
    </x:row>
    <x:row r="6">
      <x:c r="A6" s="55" t="s">
        <x:v>2056</x:v>
      </x:c>
      <x:c r="B6" s="56" t="str">
        <x:v>RUSUNAWA Kota Pangkal Pinang</x:v>
      </x:c>
      <x:c r="C6" s="57">
        <x:v>2026</x:v>
      </x:c>
      <x:c r="D6" s="55" t="s">
        <x:v>2057</x:v>
      </x:c>
      <x:c r="E6" s="58">
        <x:v>350000000</x:v>
      </x:c>
      <x:c r="F6" s="58">
        <x:v>15850000</x:v>
      </x:c>
      <x:c r="G6" s="59" t="n">
        <x:f t="shared" ref="G6:G69" si="0">IF(A6="","",SUMIFS($F$6:F6,$B$6:B6,B6,$C$6:C6,C6))</x:f>
        <x:v>15850000</x:v>
      </x:c>
      <x:c r="H6" s="60" t="n">
        <x:f t="shared" ref="H6:H69" si="1">IF(A6="","",IFERROR(G6/E6,0))</x:f>
        <x:v>0.04528571428571428</x:v>
      </x:c>
      <x:c r="I6" s="55" t="s">
        <x:v>904</x:v>
      </x:c>
      <x:c r="J6" s="61"/>
      <x:c r="K6" s="61"/>
      <x:c r="L6" s="55"/>
      <x:c r="M6" s="56"/>
    </x:row>
    <x:row r="7">
      <x:c r="A7" s="55" t="s">
        <x:v>2058</x:v>
      </x:c>
      <x:c r="B7" s="56" t="str">
        <x:v>RUSUNAWA Kota Pangkal Pinang</x:v>
      </x:c>
      <x:c r="C7" s="57">
        <x:v>2026</x:v>
      </x:c>
      <x:c r="D7" s="55" t="s">
        <x:v>2059</x:v>
      </x:c>
      <x:c r="E7" s="58">
        <x:v>350000000</x:v>
      </x:c>
      <x:c r="F7" s="58">
        <x:v>23675000</x:v>
      </x:c>
      <x:c r="G7" s="59">
        <x:f t="shared" si="0"/>
        <x:v>39525000</x:v>
      </x:c>
      <x:c r="H7" s="60">
        <x:f t="shared" si="1"/>
        <x:v>0.11292857142857143</x:v>
      </x:c>
      <x:c r="I7" s="55" t="s">
        <x:v>904</x:v>
      </x:c>
      <x:c r="J7" s="61"/>
      <x:c r="K7" s="61"/>
      <x:c r="L7" s="55"/>
      <x:c r="M7" s="56"/>
    </x:row>
    <x:row r="8">
      <x:c r="A8" s="55" t="s">
        <x:v>2060</x:v>
      </x:c>
      <x:c r="B8" s="56" t="str">
        <x:v>RUSUNAWA Kota Pangkal Pinang</x:v>
      </x:c>
      <x:c r="C8" s="57">
        <x:v>2026</x:v>
      </x:c>
      <x:c r="D8" s="55" t="s">
        <x:v>2061</x:v>
      </x:c>
      <x:c r="E8" s="58">
        <x:v>350000000</x:v>
      </x:c>
      <x:c r="F8" s="58">
        <x:v>24950000</x:v>
      </x:c>
      <x:c r="G8" s="59">
        <x:f t="shared" si="0"/>
        <x:v>64475000</x:v>
      </x:c>
      <x:c r="H8" s="60">
        <x:f t="shared" si="1"/>
        <x:v>0.18421428571428572</x:v>
      </x:c>
      <x:c r="I8" s="55" t="s">
        <x:v>904</x:v>
      </x:c>
      <x:c r="J8" s="61"/>
      <x:c r="K8" s="61"/>
      <x:c r="L8" s="55"/>
      <x:c r="M8" s="56"/>
    </x:row>
    <x:row r="9">
      <x:c r="A9" s="55" t="s">
        <x:v>2062</x:v>
      </x:c>
      <x:c r="B9" s="56" t="str">
        <x:v>RUSUNAWA Kota Pangkal Pinang</x:v>
      </x:c>
      <x:c r="C9" s="57">
        <x:v>2026</x:v>
      </x:c>
      <x:c r="D9" s="55" t="s">
        <x:v>2063</x:v>
      </x:c>
      <x:c r="E9" s="58">
        <x:v>350000000</x:v>
      </x:c>
      <x:c r="F9" s="58">
        <x:v>32950000</x:v>
      </x:c>
      <x:c r="G9" s="59">
        <x:f t="shared" si="0"/>
        <x:v>97425000</x:v>
      </x:c>
      <x:c r="H9" s="60">
        <x:f t="shared" si="1"/>
        <x:v>0.27835714285714286</x:v>
      </x:c>
      <x:c r="I9" s="55" t="s">
        <x:v>904</x:v>
      </x:c>
      <x:c r="J9" s="61"/>
      <x:c r="K9" s="61"/>
      <x:c r="L9" s="55"/>
      <x:c r="M9" s="56"/>
    </x:row>
    <x:row r="10">
      <x:c r="A10" s="55" t="s">
        <x:v>2064</x:v>
      </x:c>
      <x:c r="B10" s="56" t="str">
        <x:v>RUSUNAWA Kota Pangkal Pinang</x:v>
      </x:c>
      <x:c r="C10" s="57">
        <x:v>2026</x:v>
      </x:c>
      <x:c r="D10" s="55" t="s">
        <x:v>2065</x:v>
      </x:c>
      <x:c r="E10" s="58">
        <x:v>350000000</x:v>
      </x:c>
      <x:c r="F10" s="58">
        <x:v>23000000</x:v>
      </x:c>
      <x:c r="G10" s="59">
        <x:f t="shared" si="0"/>
        <x:v>120425000</x:v>
      </x:c>
      <x:c r="H10" s="60">
        <x:f t="shared" si="1"/>
        <x:v>0.34407142857142858</x:v>
      </x:c>
      <x:c r="I10" s="55" t="s">
        <x:v>904</x:v>
      </x:c>
      <x:c r="J10" s="61"/>
      <x:c r="K10" s="61"/>
      <x:c r="L10" s="55"/>
      <x:c r="M10" s="56"/>
    </x:row>
    <x:row r="11">
      <x:c r="A11" s="55" t="s">
        <x:v>2066</x:v>
      </x:c>
      <x:c r="B11" s="56" t="str">
        <x:v>RUSUNAWA Kota Pangkal Pinang</x:v>
      </x:c>
      <x:c r="C11" s="57">
        <x:v>2026</x:v>
      </x:c>
      <x:c r="D11" s="55" t="s">
        <x:v>2067</x:v>
      </x:c>
      <x:c r="E11" s="58">
        <x:v>350000000</x:v>
      </x:c>
      <x:c r="F11" s="58">
        <x:v>34775000</x:v>
      </x:c>
      <x:c r="G11" s="59">
        <x:f t="shared" si="0"/>
        <x:v>155200000</x:v>
      </x:c>
      <x:c r="H11" s="60">
        <x:f t="shared" si="1"/>
        <x:v>0.44342857142857145</x:v>
      </x:c>
      <x:c r="I11" s="55"/>
      <x:c r="J11" s="61"/>
      <x:c r="K11" s="61"/>
      <x:c r="L11" s="55"/>
      <x:c r="M11" s="56"/>
    </x:row>
    <x:row r="12">
      <x:c r="A12" s="55"/>
      <x:c r="B12" s="56"/>
      <x:c r="C12" s="57"/>
      <x:c r="D12" s="55"/>
      <x:c r="E12" s="58"/>
      <x:c r="F12" s="58"/>
      <x:c r="G12" s="59" t="str">
        <x:f t="shared" si="0"/>
      </x:c>
      <x:c r="H12" s="60" t="str">
        <x:f t="shared" si="1"/>
      </x:c>
      <x:c r="I12" s="55"/>
      <x:c r="J12" s="61"/>
      <x:c r="K12" s="61"/>
      <x:c r="L12" s="55"/>
      <x:c r="M12" s="56"/>
    </x:row>
    <x:row r="13">
      <x:c r="A13" s="55"/>
      <x:c r="B13" s="56"/>
      <x:c r="C13" s="57"/>
      <x:c r="D13" s="55"/>
      <x:c r="E13" s="58"/>
      <x:c r="F13" s="58"/>
      <x:c r="G13" s="59" t="str">
        <x:f t="shared" si="0"/>
      </x:c>
      <x:c r="H13" s="60" t="str">
        <x:f t="shared" si="1"/>
      </x:c>
      <x:c r="I13" s="55"/>
      <x:c r="J13" s="61"/>
      <x:c r="K13" s="61"/>
      <x:c r="L13" s="55"/>
      <x:c r="M13" s="56"/>
    </x:row>
    <x:row r="14">
      <x:c r="A14" s="55"/>
      <x:c r="B14" s="56"/>
      <x:c r="C14" s="57"/>
      <x:c r="D14" s="55"/>
      <x:c r="E14" s="58"/>
      <x:c r="F14" s="58"/>
      <x:c r="G14" s="59" t="str">
        <x:f t="shared" si="0"/>
      </x:c>
      <x:c r="H14" s="60" t="str">
        <x:f t="shared" si="1"/>
      </x:c>
      <x:c r="I14" s="55"/>
      <x:c r="J14" s="61"/>
      <x:c r="K14" s="61"/>
      <x:c r="L14" s="55"/>
      <x:c r="M14" s="56"/>
    </x:row>
    <x:row r="15">
      <x:c r="A15" s="55"/>
      <x:c r="B15" s="56"/>
      <x:c r="C15" s="57"/>
      <x:c r="D15" s="55"/>
      <x:c r="E15" s="58"/>
      <x:c r="F15" s="58"/>
      <x:c r="G15" s="59" t="str">
        <x:f t="shared" si="0"/>
      </x:c>
      <x:c r="H15" s="60" t="str">
        <x:f t="shared" si="1"/>
      </x:c>
      <x:c r="I15" s="55"/>
      <x:c r="J15" s="61"/>
      <x:c r="K15" s="61"/>
      <x:c r="L15" s="55"/>
      <x:c r="M15" s="56"/>
    </x:row>
    <x:row r="16">
      <x:c r="A16" s="55"/>
      <x:c r="B16" s="56"/>
      <x:c r="C16" s="57"/>
      <x:c r="D16" s="55"/>
      <x:c r="E16" s="58"/>
      <x:c r="F16" s="58"/>
      <x:c r="G16" s="59" t="str">
        <x:f t="shared" si="0"/>
      </x:c>
      <x:c r="H16" s="60" t="str">
        <x:f t="shared" si="1"/>
      </x:c>
      <x:c r="I16" s="55"/>
      <x:c r="J16" s="61"/>
      <x:c r="K16" s="61"/>
      <x:c r="L16" s="55"/>
      <x:c r="M16" s="56"/>
    </x:row>
    <x:row r="17">
      <x:c r="A17" s="55"/>
      <x:c r="B17" s="56"/>
      <x:c r="C17" s="57"/>
      <x:c r="D17" s="55"/>
      <x:c r="E17" s="58"/>
      <x:c r="F17" s="58"/>
      <x:c r="G17" s="59" t="str">
        <x:f t="shared" si="0"/>
      </x:c>
      <x:c r="H17" s="60" t="str">
        <x:f t="shared" si="1"/>
      </x:c>
      <x:c r="I17" s="55"/>
      <x:c r="J17" s="61"/>
      <x:c r="K17" s="61"/>
      <x:c r="L17" s="55"/>
      <x:c r="M17" s="56"/>
    </x:row>
    <x:row r="18">
      <x:c r="A18" s="55"/>
      <x:c r="B18" s="56"/>
      <x:c r="C18" s="57"/>
      <x:c r="D18" s="55"/>
      <x:c r="E18" s="58"/>
      <x:c r="F18" s="58"/>
      <x:c r="G18" s="59" t="str">
        <x:f t="shared" si="0"/>
      </x:c>
      <x:c r="H18" s="60" t="str">
        <x:f t="shared" si="1"/>
      </x:c>
      <x:c r="I18" s="55"/>
      <x:c r="J18" s="61"/>
      <x:c r="K18" s="61"/>
      <x:c r="L18" s="55"/>
      <x:c r="M18" s="56"/>
    </x:row>
    <x:row r="19">
      <x:c r="A19" s="55"/>
      <x:c r="B19" s="56"/>
      <x:c r="C19" s="57"/>
      <x:c r="D19" s="55"/>
      <x:c r="E19" s="58"/>
      <x:c r="F19" s="58"/>
      <x:c r="G19" s="59" t="str">
        <x:f t="shared" si="0"/>
      </x:c>
      <x:c r="H19" s="60" t="str">
        <x:f t="shared" si="1"/>
      </x:c>
      <x:c r="I19" s="55"/>
      <x:c r="J19" s="61"/>
      <x:c r="K19" s="61"/>
      <x:c r="L19" s="55"/>
      <x:c r="M19" s="56"/>
    </x:row>
    <x:row r="20">
      <x:c r="A20" s="55"/>
      <x:c r="B20" s="56"/>
      <x:c r="C20" s="57"/>
      <x:c r="D20" s="55"/>
      <x:c r="E20" s="58"/>
      <x:c r="F20" s="58"/>
      <x:c r="G20" s="59" t="str">
        <x:f t="shared" si="0"/>
      </x:c>
      <x:c r="H20" s="60" t="str">
        <x:f t="shared" si="1"/>
      </x:c>
      <x:c r="I20" s="55"/>
      <x:c r="J20" s="61"/>
      <x:c r="K20" s="61"/>
      <x:c r="L20" s="55"/>
      <x:c r="M20" s="56"/>
    </x:row>
    <x:row r="21">
      <x:c r="A21" s="55"/>
      <x:c r="B21" s="56"/>
      <x:c r="C21" s="57"/>
      <x:c r="D21" s="55"/>
      <x:c r="E21" s="58"/>
      <x:c r="F21" s="58"/>
      <x:c r="G21" s="59" t="str">
        <x:f t="shared" si="0"/>
      </x:c>
      <x:c r="H21" s="60" t="str">
        <x:f t="shared" si="1"/>
      </x:c>
      <x:c r="I21" s="55"/>
      <x:c r="J21" s="61"/>
      <x:c r="K21" s="61"/>
      <x:c r="L21" s="55"/>
      <x:c r="M21" s="56"/>
    </x:row>
    <x:row r="22">
      <x:c r="A22" s="55"/>
      <x:c r="B22" s="56"/>
      <x:c r="C22" s="57"/>
      <x:c r="D22" s="55"/>
      <x:c r="E22" s="58"/>
      <x:c r="F22" s="58"/>
      <x:c r="G22" s="59" t="str">
        <x:f t="shared" si="0"/>
      </x:c>
      <x:c r="H22" s="60" t="str">
        <x:f t="shared" si="1"/>
      </x:c>
      <x:c r="I22" s="55"/>
      <x:c r="J22" s="61"/>
      <x:c r="K22" s="61"/>
      <x:c r="L22" s="55"/>
      <x:c r="M22" s="56"/>
    </x:row>
    <x:row r="23">
      <x:c r="A23" s="55"/>
      <x:c r="B23" s="56"/>
      <x:c r="C23" s="57"/>
      <x:c r="D23" s="55"/>
      <x:c r="E23" s="58"/>
      <x:c r="F23" s="58"/>
      <x:c r="G23" s="59" t="str">
        <x:f t="shared" si="0"/>
      </x:c>
      <x:c r="H23" s="60" t="str">
        <x:f t="shared" si="1"/>
      </x:c>
      <x:c r="I23" s="55"/>
      <x:c r="J23" s="61"/>
      <x:c r="K23" s="61"/>
      <x:c r="L23" s="55"/>
      <x:c r="M23" s="56"/>
    </x:row>
    <x:row r="24">
      <x:c r="A24" s="55"/>
      <x:c r="B24" s="56"/>
      <x:c r="C24" s="57"/>
      <x:c r="D24" s="55"/>
      <x:c r="E24" s="58"/>
      <x:c r="F24" s="58"/>
      <x:c r="G24" s="59" t="str">
        <x:f t="shared" si="0"/>
      </x:c>
      <x:c r="H24" s="60" t="str">
        <x:f t="shared" si="1"/>
      </x:c>
      <x:c r="I24" s="55"/>
      <x:c r="J24" s="61"/>
      <x:c r="K24" s="61"/>
      <x:c r="L24" s="55"/>
      <x:c r="M24" s="56"/>
    </x:row>
    <x:row r="25">
      <x:c r="A25" s="55"/>
      <x:c r="B25" s="56"/>
      <x:c r="C25" s="57"/>
      <x:c r="D25" s="55"/>
      <x:c r="E25" s="58"/>
      <x:c r="F25" s="58"/>
      <x:c r="G25" s="59" t="str">
        <x:f t="shared" si="0"/>
      </x:c>
      <x:c r="H25" s="60" t="str">
        <x:f t="shared" si="1"/>
      </x:c>
      <x:c r="I25" s="55"/>
      <x:c r="J25" s="61"/>
      <x:c r="K25" s="61"/>
      <x:c r="L25" s="55"/>
      <x:c r="M25" s="56"/>
    </x:row>
    <x:row r="26">
      <x:c r="A26" s="55"/>
      <x:c r="B26" s="56"/>
      <x:c r="C26" s="57"/>
      <x:c r="D26" s="55"/>
      <x:c r="E26" s="58"/>
      <x:c r="F26" s="58"/>
      <x:c r="G26" s="59" t="str">
        <x:f t="shared" si="0"/>
      </x:c>
      <x:c r="H26" s="60" t="str">
        <x:f t="shared" si="1"/>
      </x:c>
      <x:c r="I26" s="55"/>
      <x:c r="J26" s="61"/>
      <x:c r="K26" s="61"/>
      <x:c r="L26" s="55"/>
      <x:c r="M26" s="56"/>
    </x:row>
    <x:row r="27">
      <x:c r="A27" s="55"/>
      <x:c r="B27" s="56"/>
      <x:c r="C27" s="57"/>
      <x:c r="D27" s="55"/>
      <x:c r="E27" s="58"/>
      <x:c r="F27" s="58"/>
      <x:c r="G27" s="59" t="str">
        <x:f t="shared" si="0"/>
      </x:c>
      <x:c r="H27" s="60" t="str">
        <x:f t="shared" si="1"/>
      </x:c>
      <x:c r="I27" s="55"/>
      <x:c r="J27" s="61"/>
      <x:c r="K27" s="61"/>
      <x:c r="L27" s="55"/>
      <x:c r="M27" s="56"/>
    </x:row>
    <x:row r="28">
      <x:c r="A28" s="55"/>
      <x:c r="B28" s="56"/>
      <x:c r="C28" s="57"/>
      <x:c r="D28" s="55"/>
      <x:c r="E28" s="58"/>
      <x:c r="F28" s="58"/>
      <x:c r="G28" s="59" t="str">
        <x:f t="shared" si="0"/>
      </x:c>
      <x:c r="H28" s="60" t="str">
        <x:f t="shared" si="1"/>
      </x:c>
      <x:c r="I28" s="55"/>
      <x:c r="J28" s="61"/>
      <x:c r="K28" s="61"/>
      <x:c r="L28" s="55"/>
      <x:c r="M28" s="56"/>
    </x:row>
    <x:row r="29">
      <x:c r="A29" s="55"/>
      <x:c r="B29" s="56"/>
      <x:c r="C29" s="57"/>
      <x:c r="D29" s="55"/>
      <x:c r="E29" s="58"/>
      <x:c r="F29" s="58"/>
      <x:c r="G29" s="59" t="str">
        <x:f t="shared" si="0"/>
      </x:c>
      <x:c r="H29" s="60" t="str">
        <x:f t="shared" si="1"/>
      </x:c>
      <x:c r="I29" s="55"/>
      <x:c r="J29" s="61"/>
      <x:c r="K29" s="61"/>
      <x:c r="L29" s="55"/>
      <x:c r="M29" s="56"/>
    </x:row>
    <x:row r="30">
      <x:c r="A30" s="55"/>
      <x:c r="B30" s="56"/>
      <x:c r="C30" s="57"/>
      <x:c r="D30" s="55"/>
      <x:c r="E30" s="58"/>
      <x:c r="F30" s="58"/>
      <x:c r="G30" s="59" t="str">
        <x:f t="shared" si="0"/>
      </x:c>
      <x:c r="H30" s="60" t="str">
        <x:f t="shared" si="1"/>
      </x:c>
      <x:c r="I30" s="55"/>
      <x:c r="J30" s="61"/>
      <x:c r="K30" s="61"/>
      <x:c r="L30" s="55"/>
      <x:c r="M30" s="56"/>
    </x:row>
    <x:row r="31">
      <x:c r="A31" s="55"/>
      <x:c r="B31" s="56"/>
      <x:c r="C31" s="57"/>
      <x:c r="D31" s="55"/>
      <x:c r="E31" s="58"/>
      <x:c r="F31" s="58"/>
      <x:c r="G31" s="59" t="str">
        <x:f t="shared" si="0"/>
      </x:c>
      <x:c r="H31" s="60" t="str">
        <x:f t="shared" si="1"/>
      </x:c>
      <x:c r="I31" s="55"/>
      <x:c r="J31" s="61"/>
      <x:c r="K31" s="61"/>
      <x:c r="L31" s="55"/>
      <x:c r="M31" s="56"/>
    </x:row>
    <x:row r="32">
      <x:c r="A32" s="55"/>
      <x:c r="B32" s="56"/>
      <x:c r="C32" s="57"/>
      <x:c r="D32" s="55"/>
      <x:c r="E32" s="58"/>
      <x:c r="F32" s="58"/>
      <x:c r="G32" s="59" t="str">
        <x:f t="shared" si="0"/>
      </x:c>
      <x:c r="H32" s="60" t="str">
        <x:f t="shared" si="1"/>
      </x:c>
      <x:c r="I32" s="55"/>
      <x:c r="J32" s="61"/>
      <x:c r="K32" s="61"/>
      <x:c r="L32" s="55"/>
      <x:c r="M32" s="56"/>
    </x:row>
    <x:row r="33">
      <x:c r="A33" s="55"/>
      <x:c r="B33" s="56"/>
      <x:c r="C33" s="57"/>
      <x:c r="D33" s="55"/>
      <x:c r="E33" s="58"/>
      <x:c r="F33" s="58"/>
      <x:c r="G33" s="59" t="str">
        <x:f t="shared" si="0"/>
      </x:c>
      <x:c r="H33" s="60" t="str">
        <x:f t="shared" si="1"/>
      </x:c>
      <x:c r="I33" s="55"/>
      <x:c r="J33" s="61"/>
      <x:c r="K33" s="61"/>
      <x:c r="L33" s="55"/>
      <x:c r="M33" s="56"/>
    </x:row>
    <x:row r="34">
      <x:c r="A34" s="55"/>
      <x:c r="B34" s="56"/>
      <x:c r="C34" s="57"/>
      <x:c r="D34" s="55"/>
      <x:c r="E34" s="58"/>
      <x:c r="F34" s="58"/>
      <x:c r="G34" s="59" t="str">
        <x:f t="shared" si="0"/>
      </x:c>
      <x:c r="H34" s="60" t="str">
        <x:f t="shared" si="1"/>
      </x:c>
      <x:c r="I34" s="55"/>
      <x:c r="J34" s="61"/>
      <x:c r="K34" s="61"/>
      <x:c r="L34" s="55"/>
      <x:c r="M34" s="56"/>
    </x:row>
    <x:row r="35">
      <x:c r="A35" s="55"/>
      <x:c r="B35" s="56"/>
      <x:c r="C35" s="57"/>
      <x:c r="D35" s="55"/>
      <x:c r="E35" s="58"/>
      <x:c r="F35" s="58"/>
      <x:c r="G35" s="59" t="str">
        <x:f t="shared" si="0"/>
      </x:c>
      <x:c r="H35" s="60" t="str">
        <x:f t="shared" si="1"/>
      </x:c>
      <x:c r="I35" s="55"/>
      <x:c r="J35" s="61"/>
      <x:c r="K35" s="61"/>
      <x:c r="L35" s="55"/>
      <x:c r="M35" s="56"/>
    </x:row>
    <x:row r="36">
      <x:c r="A36" s="55"/>
      <x:c r="B36" s="56"/>
      <x:c r="C36" s="57"/>
      <x:c r="D36" s="55"/>
      <x:c r="E36" s="58"/>
      <x:c r="F36" s="58"/>
      <x:c r="G36" s="59" t="str">
        <x:f t="shared" si="0"/>
      </x:c>
      <x:c r="H36" s="60" t="str">
        <x:f t="shared" si="1"/>
      </x:c>
      <x:c r="I36" s="55"/>
      <x:c r="J36" s="61"/>
      <x:c r="K36" s="61"/>
      <x:c r="L36" s="55"/>
      <x:c r="M36" s="56"/>
    </x:row>
    <x:row r="37">
      <x:c r="A37" s="55"/>
      <x:c r="B37" s="56"/>
      <x:c r="C37" s="57"/>
      <x:c r="D37" s="55"/>
      <x:c r="E37" s="58"/>
      <x:c r="F37" s="58"/>
      <x:c r="G37" s="59" t="str">
        <x:f t="shared" si="0"/>
      </x:c>
      <x:c r="H37" s="60" t="str">
        <x:f t="shared" si="1"/>
      </x:c>
      <x:c r="I37" s="55"/>
      <x:c r="J37" s="61"/>
      <x:c r="K37" s="61"/>
      <x:c r="L37" s="55"/>
      <x:c r="M37" s="56"/>
    </x:row>
    <x:row r="38">
      <x:c r="A38" s="55"/>
      <x:c r="B38" s="56"/>
      <x:c r="C38" s="57"/>
      <x:c r="D38" s="55"/>
      <x:c r="E38" s="58"/>
      <x:c r="F38" s="58"/>
      <x:c r="G38" s="59" t="str">
        <x:f t="shared" si="0"/>
      </x:c>
      <x:c r="H38" s="60" t="str">
        <x:f t="shared" si="1"/>
      </x:c>
      <x:c r="I38" s="55"/>
      <x:c r="J38" s="61"/>
      <x:c r="K38" s="61"/>
      <x:c r="L38" s="55"/>
      <x:c r="M38" s="56"/>
    </x:row>
    <x:row r="39">
      <x:c r="A39" s="55"/>
      <x:c r="B39" s="56"/>
      <x:c r="C39" s="57"/>
      <x:c r="D39" s="55"/>
      <x:c r="E39" s="58"/>
      <x:c r="F39" s="58"/>
      <x:c r="G39" s="59" t="str">
        <x:f t="shared" si="0"/>
      </x:c>
      <x:c r="H39" s="60" t="str">
        <x:f t="shared" si="1"/>
      </x:c>
      <x:c r="I39" s="55"/>
      <x:c r="J39" s="61"/>
      <x:c r="K39" s="61"/>
      <x:c r="L39" s="55"/>
      <x:c r="M39" s="56"/>
    </x:row>
    <x:row r="40">
      <x:c r="A40" s="55"/>
      <x:c r="B40" s="56"/>
      <x:c r="C40" s="57"/>
      <x:c r="D40" s="55"/>
      <x:c r="E40" s="58"/>
      <x:c r="F40" s="58"/>
      <x:c r="G40" s="59" t="str">
        <x:f t="shared" si="0"/>
      </x:c>
      <x:c r="H40" s="60" t="str">
        <x:f t="shared" si="1"/>
      </x:c>
      <x:c r="I40" s="55"/>
      <x:c r="J40" s="61"/>
      <x:c r="K40" s="61"/>
      <x:c r="L40" s="55"/>
      <x:c r="M40" s="56"/>
    </x:row>
    <x:row r="41">
      <x:c r="A41" s="55"/>
      <x:c r="B41" s="56"/>
      <x:c r="C41" s="57"/>
      <x:c r="D41" s="55"/>
      <x:c r="E41" s="58"/>
      <x:c r="F41" s="58"/>
      <x:c r="G41" s="59" t="str">
        <x:f t="shared" si="0"/>
      </x:c>
      <x:c r="H41" s="60" t="str">
        <x:f t="shared" si="1"/>
      </x:c>
      <x:c r="I41" s="55"/>
      <x:c r="J41" s="61"/>
      <x:c r="K41" s="61"/>
      <x:c r="L41" s="55"/>
      <x:c r="M41" s="56"/>
    </x:row>
    <x:row r="42">
      <x:c r="A42" s="55"/>
      <x:c r="B42" s="56"/>
      <x:c r="C42" s="57"/>
      <x:c r="D42" s="55"/>
      <x:c r="E42" s="58"/>
      <x:c r="F42" s="58"/>
      <x:c r="G42" s="59" t="str">
        <x:f t="shared" si="0"/>
      </x:c>
      <x:c r="H42" s="60" t="str">
        <x:f t="shared" si="1"/>
      </x:c>
      <x:c r="I42" s="55"/>
      <x:c r="J42" s="61"/>
      <x:c r="K42" s="61"/>
      <x:c r="L42" s="55"/>
      <x:c r="M42" s="56"/>
    </x:row>
    <x:row r="43">
      <x:c r="A43" s="55"/>
      <x:c r="B43" s="56"/>
      <x:c r="C43" s="57"/>
      <x:c r="D43" s="55"/>
      <x:c r="E43" s="58"/>
      <x:c r="F43" s="58"/>
      <x:c r="G43" s="59" t="str">
        <x:f t="shared" si="0"/>
      </x:c>
      <x:c r="H43" s="60" t="str">
        <x:f t="shared" si="1"/>
      </x:c>
      <x:c r="I43" s="55"/>
      <x:c r="J43" s="61"/>
      <x:c r="K43" s="61"/>
      <x:c r="L43" s="55"/>
      <x:c r="M43" s="56"/>
    </x:row>
    <x:row r="44">
      <x:c r="A44" s="55"/>
      <x:c r="B44" s="56"/>
      <x:c r="C44" s="57"/>
      <x:c r="D44" s="55"/>
      <x:c r="E44" s="58"/>
      <x:c r="F44" s="58"/>
      <x:c r="G44" s="59" t="str">
        <x:f t="shared" si="0"/>
      </x:c>
      <x:c r="H44" s="60" t="str">
        <x:f t="shared" si="1"/>
      </x:c>
      <x:c r="I44" s="55"/>
      <x:c r="J44" s="61"/>
      <x:c r="K44" s="61"/>
      <x:c r="L44" s="55"/>
      <x:c r="M44" s="56"/>
    </x:row>
    <x:row r="45">
      <x:c r="A45" s="55"/>
      <x:c r="B45" s="56"/>
      <x:c r="C45" s="57"/>
      <x:c r="D45" s="55"/>
      <x:c r="E45" s="58"/>
      <x:c r="F45" s="58"/>
      <x:c r="G45" s="59" t="str">
        <x:f t="shared" si="0"/>
      </x:c>
      <x:c r="H45" s="60" t="str">
        <x:f t="shared" si="1"/>
      </x:c>
      <x:c r="I45" s="55"/>
      <x:c r="J45" s="61"/>
      <x:c r="K45" s="61"/>
      <x:c r="L45" s="55"/>
      <x:c r="M45" s="56"/>
    </x:row>
    <x:row r="46">
      <x:c r="A46" s="55"/>
      <x:c r="B46" s="56"/>
      <x:c r="C46" s="57"/>
      <x:c r="D46" s="55"/>
      <x:c r="E46" s="58"/>
      <x:c r="F46" s="58"/>
      <x:c r="G46" s="59" t="str">
        <x:f t="shared" si="0"/>
      </x:c>
      <x:c r="H46" s="60" t="str">
        <x:f t="shared" si="1"/>
      </x:c>
      <x:c r="I46" s="55"/>
      <x:c r="J46" s="61"/>
      <x:c r="K46" s="61"/>
      <x:c r="L46" s="55"/>
      <x:c r="M46" s="56"/>
    </x:row>
    <x:row r="47">
      <x:c r="A47" s="55"/>
      <x:c r="B47" s="56"/>
      <x:c r="C47" s="57"/>
      <x:c r="D47" s="55"/>
      <x:c r="E47" s="58"/>
      <x:c r="F47" s="58"/>
      <x:c r="G47" s="59" t="str">
        <x:f t="shared" si="0"/>
      </x:c>
      <x:c r="H47" s="60" t="str">
        <x:f t="shared" si="1"/>
      </x:c>
      <x:c r="I47" s="55"/>
      <x:c r="J47" s="61"/>
      <x:c r="K47" s="61"/>
      <x:c r="L47" s="55"/>
      <x:c r="M47" s="56"/>
    </x:row>
    <x:row r="48">
      <x:c r="A48" s="55"/>
      <x:c r="B48" s="56"/>
      <x:c r="C48" s="57"/>
      <x:c r="D48" s="55"/>
      <x:c r="E48" s="58"/>
      <x:c r="F48" s="58"/>
      <x:c r="G48" s="59" t="str">
        <x:f t="shared" si="0"/>
      </x:c>
      <x:c r="H48" s="60" t="str">
        <x:f t="shared" si="1"/>
      </x:c>
      <x:c r="I48" s="55"/>
      <x:c r="J48" s="61"/>
      <x:c r="K48" s="61"/>
      <x:c r="L48" s="55"/>
      <x:c r="M48" s="56"/>
    </x:row>
    <x:row r="49">
      <x:c r="A49" s="55"/>
      <x:c r="B49" s="56"/>
      <x:c r="C49" s="57"/>
      <x:c r="D49" s="55"/>
      <x:c r="E49" s="58"/>
      <x:c r="F49" s="58"/>
      <x:c r="G49" s="59" t="str">
        <x:f t="shared" si="0"/>
      </x:c>
      <x:c r="H49" s="60" t="str">
        <x:f t="shared" si="1"/>
      </x:c>
      <x:c r="I49" s="55"/>
      <x:c r="J49" s="61"/>
      <x:c r="K49" s="61"/>
      <x:c r="L49" s="55"/>
      <x:c r="M49" s="56"/>
    </x:row>
    <x:row r="50">
      <x:c r="A50" s="55"/>
      <x:c r="B50" s="56"/>
      <x:c r="C50" s="57"/>
      <x:c r="D50" s="55"/>
      <x:c r="E50" s="58"/>
      <x:c r="F50" s="58"/>
      <x:c r="G50" s="59" t="str">
        <x:f t="shared" si="0"/>
      </x:c>
      <x:c r="H50" s="60" t="str">
        <x:f t="shared" si="1"/>
      </x:c>
      <x:c r="I50" s="55"/>
      <x:c r="J50" s="61"/>
      <x:c r="K50" s="61"/>
      <x:c r="L50" s="55"/>
      <x:c r="M50" s="56"/>
    </x:row>
    <x:row r="51">
      <x:c r="A51" s="55"/>
      <x:c r="B51" s="56"/>
      <x:c r="C51" s="57"/>
      <x:c r="D51" s="55"/>
      <x:c r="E51" s="58"/>
      <x:c r="F51" s="58"/>
      <x:c r="G51" s="59" t="str">
        <x:f t="shared" si="0"/>
      </x:c>
      <x:c r="H51" s="60" t="str">
        <x:f t="shared" si="1"/>
      </x:c>
      <x:c r="I51" s="55"/>
      <x:c r="J51" s="61"/>
      <x:c r="K51" s="61"/>
      <x:c r="L51" s="55"/>
      <x:c r="M51" s="56"/>
    </x:row>
    <x:row r="52">
      <x:c r="A52" s="55"/>
      <x:c r="B52" s="56"/>
      <x:c r="C52" s="57"/>
      <x:c r="D52" s="55"/>
      <x:c r="E52" s="58"/>
      <x:c r="F52" s="58"/>
      <x:c r="G52" s="59" t="str">
        <x:f t="shared" si="0"/>
      </x:c>
      <x:c r="H52" s="60" t="str">
        <x:f t="shared" si="1"/>
      </x:c>
      <x:c r="I52" s="55"/>
      <x:c r="J52" s="61"/>
      <x:c r="K52" s="61"/>
      <x:c r="L52" s="55"/>
      <x:c r="M52" s="56"/>
    </x:row>
    <x:row r="53">
      <x:c r="A53" s="55"/>
      <x:c r="B53" s="56"/>
      <x:c r="C53" s="57"/>
      <x:c r="D53" s="55"/>
      <x:c r="E53" s="58"/>
      <x:c r="F53" s="58"/>
      <x:c r="G53" s="59" t="str">
        <x:f t="shared" si="0"/>
      </x:c>
      <x:c r="H53" s="60" t="str">
        <x:f t="shared" si="1"/>
      </x:c>
      <x:c r="I53" s="55"/>
      <x:c r="J53" s="61"/>
      <x:c r="K53" s="61"/>
      <x:c r="L53" s="55"/>
      <x:c r="M53" s="56"/>
    </x:row>
    <x:row r="54">
      <x:c r="A54" s="55"/>
      <x:c r="B54" s="56"/>
      <x:c r="C54" s="57"/>
      <x:c r="D54" s="55"/>
      <x:c r="E54" s="58"/>
      <x:c r="F54" s="58"/>
      <x:c r="G54" s="59" t="str">
        <x:f t="shared" si="0"/>
      </x:c>
      <x:c r="H54" s="60" t="str">
        <x:f t="shared" si="1"/>
      </x:c>
      <x:c r="I54" s="55"/>
      <x:c r="J54" s="61"/>
      <x:c r="K54" s="61"/>
      <x:c r="L54" s="55"/>
      <x:c r="M54" s="56"/>
    </x:row>
    <x:row r="55">
      <x:c r="A55" s="55"/>
      <x:c r="B55" s="56"/>
      <x:c r="C55" s="57"/>
      <x:c r="D55" s="55"/>
      <x:c r="E55" s="58"/>
      <x:c r="F55" s="58"/>
      <x:c r="G55" s="59" t="str">
        <x:f t="shared" si="0"/>
      </x:c>
      <x:c r="H55" s="60" t="str">
        <x:f t="shared" si="1"/>
      </x:c>
      <x:c r="I55" s="55"/>
      <x:c r="J55" s="61"/>
      <x:c r="K55" s="61"/>
      <x:c r="L55" s="55"/>
      <x:c r="M55" s="56"/>
    </x:row>
    <x:row r="56">
      <x:c r="A56" s="55"/>
      <x:c r="B56" s="56"/>
      <x:c r="C56" s="57"/>
      <x:c r="D56" s="55"/>
      <x:c r="E56" s="58"/>
      <x:c r="F56" s="58"/>
      <x:c r="G56" s="59" t="str">
        <x:f t="shared" si="0"/>
      </x:c>
      <x:c r="H56" s="60" t="str">
        <x:f t="shared" si="1"/>
      </x:c>
      <x:c r="I56" s="55"/>
      <x:c r="J56" s="61"/>
      <x:c r="K56" s="61"/>
      <x:c r="L56" s="55"/>
      <x:c r="M56" s="56"/>
    </x:row>
    <x:row r="57">
      <x:c r="A57" s="55"/>
      <x:c r="B57" s="56"/>
      <x:c r="C57" s="57"/>
      <x:c r="D57" s="55"/>
      <x:c r="E57" s="58"/>
      <x:c r="F57" s="58"/>
      <x:c r="G57" s="59" t="str">
        <x:f t="shared" si="0"/>
      </x:c>
      <x:c r="H57" s="60" t="str">
        <x:f t="shared" si="1"/>
      </x:c>
      <x:c r="I57" s="55"/>
      <x:c r="J57" s="61"/>
      <x:c r="K57" s="61"/>
      <x:c r="L57" s="55"/>
      <x:c r="M57" s="56"/>
    </x:row>
    <x:row r="58">
      <x:c r="A58" s="55"/>
      <x:c r="B58" s="56"/>
      <x:c r="C58" s="57"/>
      <x:c r="D58" s="55"/>
      <x:c r="E58" s="58"/>
      <x:c r="F58" s="58"/>
      <x:c r="G58" s="59" t="str">
        <x:f t="shared" si="0"/>
      </x:c>
      <x:c r="H58" s="60" t="str">
        <x:f t="shared" si="1"/>
      </x:c>
      <x:c r="I58" s="55"/>
      <x:c r="J58" s="61"/>
      <x:c r="K58" s="61"/>
      <x:c r="L58" s="55"/>
      <x:c r="M58" s="56"/>
    </x:row>
    <x:row r="59">
      <x:c r="A59" s="55"/>
      <x:c r="B59" s="56"/>
      <x:c r="C59" s="57"/>
      <x:c r="D59" s="55"/>
      <x:c r="E59" s="58"/>
      <x:c r="F59" s="58"/>
      <x:c r="G59" s="59" t="str">
        <x:f t="shared" si="0"/>
      </x:c>
      <x:c r="H59" s="60" t="str">
        <x:f t="shared" si="1"/>
      </x:c>
      <x:c r="I59" s="55"/>
      <x:c r="J59" s="61"/>
      <x:c r="K59" s="61"/>
      <x:c r="L59" s="55"/>
      <x:c r="M59" s="56"/>
    </x:row>
    <x:row r="60">
      <x:c r="A60" s="55"/>
      <x:c r="B60" s="56"/>
      <x:c r="C60" s="57"/>
      <x:c r="D60" s="55"/>
      <x:c r="E60" s="58"/>
      <x:c r="F60" s="58"/>
      <x:c r="G60" s="59" t="str">
        <x:f t="shared" si="0"/>
      </x:c>
      <x:c r="H60" s="60" t="str">
        <x:f t="shared" si="1"/>
      </x:c>
      <x:c r="I60" s="55"/>
      <x:c r="J60" s="61"/>
      <x:c r="K60" s="61"/>
      <x:c r="L60" s="55"/>
      <x:c r="M60" s="56"/>
    </x:row>
    <x:row r="61">
      <x:c r="A61" s="55"/>
      <x:c r="B61" s="56"/>
      <x:c r="C61" s="57"/>
      <x:c r="D61" s="55"/>
      <x:c r="E61" s="58"/>
      <x:c r="F61" s="58"/>
      <x:c r="G61" s="59" t="str">
        <x:f t="shared" si="0"/>
      </x:c>
      <x:c r="H61" s="60" t="str">
        <x:f t="shared" si="1"/>
      </x:c>
      <x:c r="I61" s="55"/>
      <x:c r="J61" s="61"/>
      <x:c r="K61" s="61"/>
      <x:c r="L61" s="55"/>
      <x:c r="M61" s="56"/>
    </x:row>
    <x:row r="62">
      <x:c r="A62" s="55"/>
      <x:c r="B62" s="56"/>
      <x:c r="C62" s="57"/>
      <x:c r="D62" s="55"/>
      <x:c r="E62" s="58"/>
      <x:c r="F62" s="58"/>
      <x:c r="G62" s="59" t="str">
        <x:f t="shared" si="0"/>
      </x:c>
      <x:c r="H62" s="60" t="str">
        <x:f t="shared" si="1"/>
      </x:c>
      <x:c r="I62" s="55"/>
      <x:c r="J62" s="61"/>
      <x:c r="K62" s="61"/>
      <x:c r="L62" s="55"/>
      <x:c r="M62" s="56"/>
    </x:row>
    <x:row r="63">
      <x:c r="A63" s="55"/>
      <x:c r="B63" s="56"/>
      <x:c r="C63" s="57"/>
      <x:c r="D63" s="55"/>
      <x:c r="E63" s="58"/>
      <x:c r="F63" s="58"/>
      <x:c r="G63" s="59" t="str">
        <x:f t="shared" si="0"/>
      </x:c>
      <x:c r="H63" s="60" t="str">
        <x:f t="shared" si="1"/>
      </x:c>
      <x:c r="I63" s="55"/>
      <x:c r="J63" s="61"/>
      <x:c r="K63" s="61"/>
      <x:c r="L63" s="55"/>
      <x:c r="M63" s="56"/>
    </x:row>
    <x:row r="64">
      <x:c r="A64" s="55"/>
      <x:c r="B64" s="56"/>
      <x:c r="C64" s="57"/>
      <x:c r="D64" s="55"/>
      <x:c r="E64" s="58"/>
      <x:c r="F64" s="58"/>
      <x:c r="G64" s="59" t="str">
        <x:f t="shared" si="0"/>
      </x:c>
      <x:c r="H64" s="60" t="str">
        <x:f t="shared" si="1"/>
      </x:c>
      <x:c r="I64" s="55"/>
      <x:c r="J64" s="61"/>
      <x:c r="K64" s="61"/>
      <x:c r="L64" s="55"/>
      <x:c r="M64" s="56"/>
    </x:row>
    <x:row r="65">
      <x:c r="A65" s="55"/>
      <x:c r="B65" s="56"/>
      <x:c r="C65" s="57"/>
      <x:c r="D65" s="55"/>
      <x:c r="E65" s="58"/>
      <x:c r="F65" s="58"/>
      <x:c r="G65" s="59" t="str">
        <x:f t="shared" si="0"/>
      </x:c>
      <x:c r="H65" s="60" t="str">
        <x:f t="shared" si="1"/>
      </x:c>
      <x:c r="I65" s="55"/>
      <x:c r="J65" s="61"/>
      <x:c r="K65" s="61"/>
      <x:c r="L65" s="55"/>
      <x:c r="M65" s="56"/>
    </x:row>
    <x:row r="66">
      <x:c r="A66" s="55"/>
      <x:c r="B66" s="56"/>
      <x:c r="C66" s="57"/>
      <x:c r="D66" s="55"/>
      <x:c r="E66" s="58"/>
      <x:c r="F66" s="58"/>
      <x:c r="G66" s="59" t="str">
        <x:f t="shared" si="0"/>
      </x:c>
      <x:c r="H66" s="60" t="str">
        <x:f t="shared" si="1"/>
      </x:c>
      <x:c r="I66" s="55"/>
      <x:c r="J66" s="61"/>
      <x:c r="K66" s="61"/>
      <x:c r="L66" s="55"/>
      <x:c r="M66" s="56"/>
    </x:row>
    <x:row r="67">
      <x:c r="A67" s="55"/>
      <x:c r="B67" s="56"/>
      <x:c r="C67" s="57"/>
      <x:c r="D67" s="55"/>
      <x:c r="E67" s="58"/>
      <x:c r="F67" s="58"/>
      <x:c r="G67" s="59" t="str">
        <x:f t="shared" si="0"/>
      </x:c>
      <x:c r="H67" s="60" t="str">
        <x:f t="shared" si="1"/>
      </x:c>
      <x:c r="I67" s="55"/>
      <x:c r="J67" s="61"/>
      <x:c r="K67" s="61"/>
      <x:c r="L67" s="55"/>
      <x:c r="M67" s="56"/>
    </x:row>
    <x:row r="68">
      <x:c r="A68" s="55"/>
      <x:c r="B68" s="56"/>
      <x:c r="C68" s="57"/>
      <x:c r="D68" s="55"/>
      <x:c r="E68" s="58"/>
      <x:c r="F68" s="58"/>
      <x:c r="G68" s="59" t="str">
        <x:f t="shared" si="0"/>
      </x:c>
      <x:c r="H68" s="60" t="str">
        <x:f t="shared" si="1"/>
      </x:c>
      <x:c r="I68" s="55"/>
      <x:c r="J68" s="61"/>
      <x:c r="K68" s="61"/>
      <x:c r="L68" s="55"/>
      <x:c r="M68" s="56"/>
    </x:row>
    <x:row r="69">
      <x:c r="A69" s="55"/>
      <x:c r="B69" s="56"/>
      <x:c r="C69" s="57"/>
      <x:c r="D69" s="55"/>
      <x:c r="E69" s="58"/>
      <x:c r="F69" s="58"/>
      <x:c r="G69" s="59" t="str">
        <x:f t="shared" si="0"/>
      </x:c>
      <x:c r="H69" s="60" t="str">
        <x:f t="shared" si="1"/>
      </x:c>
      <x:c r="I69" s="55"/>
      <x:c r="J69" s="61"/>
      <x:c r="K69" s="61"/>
      <x:c r="L69" s="55"/>
      <x:c r="M69" s="56"/>
    </x:row>
    <x:row r="70">
      <x:c r="A70" s="55"/>
      <x:c r="B70" s="56"/>
      <x:c r="C70" s="57"/>
      <x:c r="D70" s="55"/>
      <x:c r="E70" s="58"/>
      <x:c r="F70" s="58"/>
      <x:c r="G70" s="59" t="str">
        <x:f t="shared" ref="G70:G105" si="2">IF(A70="","",SUMIFS($F$6:F70,$B$6:B70,B70,$C$6:C70,C70))</x:f>
      </x:c>
      <x:c r="H70" s="60" t="str">
        <x:f t="shared" ref="H70:H105" si="3">IF(A70="","",IFERROR(G70/E70,0))</x:f>
      </x:c>
      <x:c r="I70" s="55"/>
      <x:c r="J70" s="61"/>
      <x:c r="K70" s="61"/>
      <x:c r="L70" s="55"/>
      <x:c r="M70" s="56"/>
    </x:row>
    <x:row r="71">
      <x:c r="A71" s="55"/>
      <x:c r="B71" s="56"/>
      <x:c r="C71" s="57"/>
      <x:c r="D71" s="55"/>
      <x:c r="E71" s="58"/>
      <x:c r="F71" s="58"/>
      <x:c r="G71" s="59" t="str">
        <x:f t="shared" si="2"/>
      </x:c>
      <x:c r="H71" s="60" t="str">
        <x:f t="shared" si="3"/>
      </x:c>
      <x:c r="I71" s="55"/>
      <x:c r="J71" s="61"/>
      <x:c r="K71" s="61"/>
      <x:c r="L71" s="55"/>
      <x:c r="M71" s="56"/>
    </x:row>
    <x:row r="72">
      <x:c r="A72" s="55"/>
      <x:c r="B72" s="56"/>
      <x:c r="C72" s="57"/>
      <x:c r="D72" s="55"/>
      <x:c r="E72" s="58"/>
      <x:c r="F72" s="58"/>
      <x:c r="G72" s="59" t="str">
        <x:f t="shared" si="2"/>
      </x:c>
      <x:c r="H72" s="60" t="str">
        <x:f t="shared" si="3"/>
      </x:c>
      <x:c r="I72" s="55"/>
      <x:c r="J72" s="61"/>
      <x:c r="K72" s="61"/>
      <x:c r="L72" s="55"/>
      <x:c r="M72" s="56"/>
    </x:row>
    <x:row r="73">
      <x:c r="A73" s="55"/>
      <x:c r="B73" s="56"/>
      <x:c r="C73" s="57"/>
      <x:c r="D73" s="55"/>
      <x:c r="E73" s="58"/>
      <x:c r="F73" s="58"/>
      <x:c r="G73" s="59" t="str">
        <x:f t="shared" si="2"/>
      </x:c>
      <x:c r="H73" s="60" t="str">
        <x:f t="shared" si="3"/>
      </x:c>
      <x:c r="I73" s="55"/>
      <x:c r="J73" s="61"/>
      <x:c r="K73" s="61"/>
      <x:c r="L73" s="55"/>
      <x:c r="M73" s="56"/>
    </x:row>
    <x:row r="74">
      <x:c r="A74" s="55"/>
      <x:c r="B74" s="56"/>
      <x:c r="C74" s="57"/>
      <x:c r="D74" s="55"/>
      <x:c r="E74" s="58"/>
      <x:c r="F74" s="58"/>
      <x:c r="G74" s="59" t="str">
        <x:f t="shared" si="2"/>
      </x:c>
      <x:c r="H74" s="60" t="str">
        <x:f t="shared" si="3"/>
      </x:c>
      <x:c r="I74" s="55"/>
      <x:c r="J74" s="61"/>
      <x:c r="K74" s="61"/>
      <x:c r="L74" s="55"/>
      <x:c r="M74" s="56"/>
    </x:row>
    <x:row r="75">
      <x:c r="A75" s="55"/>
      <x:c r="B75" s="56"/>
      <x:c r="C75" s="57"/>
      <x:c r="D75" s="55"/>
      <x:c r="E75" s="58"/>
      <x:c r="F75" s="58"/>
      <x:c r="G75" s="59" t="str">
        <x:f t="shared" si="2"/>
      </x:c>
      <x:c r="H75" s="60" t="str">
        <x:f t="shared" si="3"/>
      </x:c>
      <x:c r="I75" s="55"/>
      <x:c r="J75" s="61"/>
      <x:c r="K75" s="61"/>
      <x:c r="L75" s="55"/>
      <x:c r="M75" s="56"/>
    </x:row>
    <x:row r="76">
      <x:c r="A76" s="55"/>
      <x:c r="B76" s="56"/>
      <x:c r="C76" s="57"/>
      <x:c r="D76" s="55"/>
      <x:c r="E76" s="58"/>
      <x:c r="F76" s="58"/>
      <x:c r="G76" s="59" t="str">
        <x:f t="shared" si="2"/>
      </x:c>
      <x:c r="H76" s="60" t="str">
        <x:f t="shared" si="3"/>
      </x:c>
      <x:c r="I76" s="55"/>
      <x:c r="J76" s="61"/>
      <x:c r="K76" s="61"/>
      <x:c r="L76" s="55"/>
      <x:c r="M76" s="56"/>
    </x:row>
    <x:row r="77">
      <x:c r="A77" s="55"/>
      <x:c r="B77" s="56"/>
      <x:c r="C77" s="57"/>
      <x:c r="D77" s="55"/>
      <x:c r="E77" s="58"/>
      <x:c r="F77" s="58"/>
      <x:c r="G77" s="59" t="str">
        <x:f t="shared" si="2"/>
      </x:c>
      <x:c r="H77" s="60" t="str">
        <x:f t="shared" si="3"/>
      </x:c>
      <x:c r="I77" s="55"/>
      <x:c r="J77" s="61"/>
      <x:c r="K77" s="61"/>
      <x:c r="L77" s="55"/>
      <x:c r="M77" s="56"/>
    </x:row>
    <x:row r="78">
      <x:c r="A78" s="55"/>
      <x:c r="B78" s="56"/>
      <x:c r="C78" s="57"/>
      <x:c r="D78" s="55"/>
      <x:c r="E78" s="58"/>
      <x:c r="F78" s="58"/>
      <x:c r="G78" s="59" t="str">
        <x:f t="shared" si="2"/>
      </x:c>
      <x:c r="H78" s="60" t="str">
        <x:f t="shared" si="3"/>
      </x:c>
      <x:c r="I78" s="55"/>
      <x:c r="J78" s="61"/>
      <x:c r="K78" s="61"/>
      <x:c r="L78" s="55"/>
      <x:c r="M78" s="56"/>
    </x:row>
    <x:row r="79">
      <x:c r="A79" s="55"/>
      <x:c r="B79" s="56"/>
      <x:c r="C79" s="57"/>
      <x:c r="D79" s="55"/>
      <x:c r="E79" s="58"/>
      <x:c r="F79" s="58"/>
      <x:c r="G79" s="59" t="str">
        <x:f t="shared" si="2"/>
      </x:c>
      <x:c r="H79" s="60" t="str">
        <x:f t="shared" si="3"/>
      </x:c>
      <x:c r="I79" s="55"/>
      <x:c r="J79" s="61"/>
      <x:c r="K79" s="61"/>
      <x:c r="L79" s="55"/>
      <x:c r="M79" s="56"/>
    </x:row>
    <x:row r="80">
      <x:c r="A80" s="55"/>
      <x:c r="B80" s="56"/>
      <x:c r="C80" s="57"/>
      <x:c r="D80" s="55"/>
      <x:c r="E80" s="58"/>
      <x:c r="F80" s="58"/>
      <x:c r="G80" s="59" t="str">
        <x:f t="shared" si="2"/>
      </x:c>
      <x:c r="H80" s="60" t="str">
        <x:f t="shared" si="3"/>
      </x:c>
      <x:c r="I80" s="55"/>
      <x:c r="J80" s="61"/>
      <x:c r="K80" s="61"/>
      <x:c r="L80" s="55"/>
      <x:c r="M80" s="56"/>
    </x:row>
    <x:row r="81">
      <x:c r="A81" s="55"/>
      <x:c r="B81" s="56"/>
      <x:c r="C81" s="57"/>
      <x:c r="D81" s="55"/>
      <x:c r="E81" s="58"/>
      <x:c r="F81" s="58"/>
      <x:c r="G81" s="59" t="str">
        <x:f t="shared" si="2"/>
      </x:c>
      <x:c r="H81" s="60" t="str">
        <x:f t="shared" si="3"/>
      </x:c>
      <x:c r="I81" s="55"/>
      <x:c r="J81" s="61"/>
      <x:c r="K81" s="61"/>
      <x:c r="L81" s="55"/>
      <x:c r="M81" s="56"/>
    </x:row>
    <x:row r="82">
      <x:c r="A82" s="55"/>
      <x:c r="B82" s="56"/>
      <x:c r="C82" s="57"/>
      <x:c r="D82" s="55"/>
      <x:c r="E82" s="58"/>
      <x:c r="F82" s="58"/>
      <x:c r="G82" s="59" t="str">
        <x:f t="shared" si="2"/>
      </x:c>
      <x:c r="H82" s="60" t="str">
        <x:f t="shared" si="3"/>
      </x:c>
      <x:c r="I82" s="55"/>
      <x:c r="J82" s="61"/>
      <x:c r="K82" s="61"/>
      <x:c r="L82" s="55"/>
      <x:c r="M82" s="56"/>
    </x:row>
    <x:row r="83">
      <x:c r="A83" s="55"/>
      <x:c r="B83" s="56"/>
      <x:c r="C83" s="57"/>
      <x:c r="D83" s="55"/>
      <x:c r="E83" s="58"/>
      <x:c r="F83" s="58"/>
      <x:c r="G83" s="59" t="str">
        <x:f t="shared" si="2"/>
      </x:c>
      <x:c r="H83" s="60" t="str">
        <x:f t="shared" si="3"/>
      </x:c>
      <x:c r="I83" s="55"/>
      <x:c r="J83" s="61"/>
      <x:c r="K83" s="61"/>
      <x:c r="L83" s="55"/>
      <x:c r="M83" s="56"/>
    </x:row>
    <x:row r="84">
      <x:c r="A84" s="55"/>
      <x:c r="B84" s="56"/>
      <x:c r="C84" s="57"/>
      <x:c r="D84" s="55"/>
      <x:c r="E84" s="58"/>
      <x:c r="F84" s="58"/>
      <x:c r="G84" s="59" t="str">
        <x:f t="shared" si="2"/>
      </x:c>
      <x:c r="H84" s="60" t="str">
        <x:f t="shared" si="3"/>
      </x:c>
      <x:c r="I84" s="55"/>
      <x:c r="J84" s="61"/>
      <x:c r="K84" s="61"/>
      <x:c r="L84" s="55"/>
      <x:c r="M84" s="56"/>
    </x:row>
    <x:row r="85">
      <x:c r="A85" s="55"/>
      <x:c r="B85" s="56"/>
      <x:c r="C85" s="57"/>
      <x:c r="D85" s="55"/>
      <x:c r="E85" s="58"/>
      <x:c r="F85" s="58"/>
      <x:c r="G85" s="59" t="str">
        <x:f t="shared" si="2"/>
      </x:c>
      <x:c r="H85" s="60" t="str">
        <x:f t="shared" si="3"/>
      </x:c>
      <x:c r="I85" s="55"/>
      <x:c r="J85" s="61"/>
      <x:c r="K85" s="61"/>
      <x:c r="L85" s="55"/>
      <x:c r="M85" s="56"/>
    </x:row>
    <x:row r="86">
      <x:c r="A86" s="55"/>
      <x:c r="B86" s="56"/>
      <x:c r="C86" s="57"/>
      <x:c r="D86" s="55"/>
      <x:c r="E86" s="58"/>
      <x:c r="F86" s="58"/>
      <x:c r="G86" s="59" t="str">
        <x:f t="shared" si="2"/>
      </x:c>
      <x:c r="H86" s="60" t="str">
        <x:f t="shared" si="3"/>
      </x:c>
      <x:c r="I86" s="55"/>
      <x:c r="J86" s="61"/>
      <x:c r="K86" s="61"/>
      <x:c r="L86" s="55"/>
      <x:c r="M86" s="56"/>
    </x:row>
    <x:row r="87">
      <x:c r="A87" s="55"/>
      <x:c r="B87" s="56"/>
      <x:c r="C87" s="57"/>
      <x:c r="D87" s="55"/>
      <x:c r="E87" s="58"/>
      <x:c r="F87" s="58"/>
      <x:c r="G87" s="59" t="str">
        <x:f t="shared" si="2"/>
      </x:c>
      <x:c r="H87" s="60" t="str">
        <x:f t="shared" si="3"/>
      </x:c>
      <x:c r="I87" s="55"/>
      <x:c r="J87" s="61"/>
      <x:c r="K87" s="61"/>
      <x:c r="L87" s="55"/>
      <x:c r="M87" s="56"/>
    </x:row>
    <x:row r="88">
      <x:c r="A88" s="55"/>
      <x:c r="B88" s="56"/>
      <x:c r="C88" s="57"/>
      <x:c r="D88" s="55"/>
      <x:c r="E88" s="58"/>
      <x:c r="F88" s="58"/>
      <x:c r="G88" s="59" t="str">
        <x:f t="shared" si="2"/>
      </x:c>
      <x:c r="H88" s="60" t="str">
        <x:f t="shared" si="3"/>
      </x:c>
      <x:c r="I88" s="55"/>
      <x:c r="J88" s="61"/>
      <x:c r="K88" s="61"/>
      <x:c r="L88" s="55"/>
      <x:c r="M88" s="56"/>
    </x:row>
    <x:row r="89">
      <x:c r="A89" s="55"/>
      <x:c r="B89" s="56"/>
      <x:c r="C89" s="57"/>
      <x:c r="D89" s="55"/>
      <x:c r="E89" s="58"/>
      <x:c r="F89" s="58"/>
      <x:c r="G89" s="59" t="str">
        <x:f t="shared" si="2"/>
      </x:c>
      <x:c r="H89" s="60" t="str">
        <x:f t="shared" si="3"/>
      </x:c>
      <x:c r="I89" s="55"/>
      <x:c r="J89" s="61"/>
      <x:c r="K89" s="61"/>
      <x:c r="L89" s="55"/>
      <x:c r="M89" s="56"/>
    </x:row>
    <x:row r="90">
      <x:c r="A90" s="55"/>
      <x:c r="B90" s="56"/>
      <x:c r="C90" s="57"/>
      <x:c r="D90" s="55"/>
      <x:c r="E90" s="58"/>
      <x:c r="F90" s="58"/>
      <x:c r="G90" s="59" t="str">
        <x:f t="shared" si="2"/>
      </x:c>
      <x:c r="H90" s="60" t="str">
        <x:f t="shared" si="3"/>
      </x:c>
      <x:c r="I90" s="55"/>
      <x:c r="J90" s="61"/>
      <x:c r="K90" s="61"/>
      <x:c r="L90" s="55"/>
      <x:c r="M90" s="56"/>
    </x:row>
    <x:row r="91">
      <x:c r="A91" s="55"/>
      <x:c r="B91" s="56"/>
      <x:c r="C91" s="57"/>
      <x:c r="D91" s="55"/>
      <x:c r="E91" s="58"/>
      <x:c r="F91" s="58"/>
      <x:c r="G91" s="59" t="str">
        <x:f t="shared" si="2"/>
      </x:c>
      <x:c r="H91" s="60" t="str">
        <x:f t="shared" si="3"/>
      </x:c>
      <x:c r="I91" s="55"/>
      <x:c r="J91" s="61"/>
      <x:c r="K91" s="61"/>
      <x:c r="L91" s="55"/>
      <x:c r="M91" s="56"/>
    </x:row>
    <x:row r="92">
      <x:c r="A92" s="55"/>
      <x:c r="B92" s="56"/>
      <x:c r="C92" s="57"/>
      <x:c r="D92" s="55"/>
      <x:c r="E92" s="58"/>
      <x:c r="F92" s="58"/>
      <x:c r="G92" s="59" t="str">
        <x:f t="shared" si="2"/>
      </x:c>
      <x:c r="H92" s="60" t="str">
        <x:f t="shared" si="3"/>
      </x:c>
      <x:c r="I92" s="55"/>
      <x:c r="J92" s="61"/>
      <x:c r="K92" s="61"/>
      <x:c r="L92" s="55"/>
      <x:c r="M92" s="56"/>
    </x:row>
    <x:row r="93">
      <x:c r="A93" s="55"/>
      <x:c r="B93" s="56"/>
      <x:c r="C93" s="57"/>
      <x:c r="D93" s="55"/>
      <x:c r="E93" s="58"/>
      <x:c r="F93" s="58"/>
      <x:c r="G93" s="59" t="str">
        <x:f t="shared" si="2"/>
      </x:c>
      <x:c r="H93" s="60" t="str">
        <x:f t="shared" si="3"/>
      </x:c>
      <x:c r="I93" s="55"/>
      <x:c r="J93" s="61"/>
      <x:c r="K93" s="61"/>
      <x:c r="L93" s="55"/>
      <x:c r="M93" s="56"/>
    </x:row>
    <x:row r="94">
      <x:c r="A94" s="55"/>
      <x:c r="B94" s="56"/>
      <x:c r="C94" s="57"/>
      <x:c r="D94" s="55"/>
      <x:c r="E94" s="58"/>
      <x:c r="F94" s="58"/>
      <x:c r="G94" s="59" t="str">
        <x:f t="shared" si="2"/>
      </x:c>
      <x:c r="H94" s="60" t="str">
        <x:f t="shared" si="3"/>
      </x:c>
      <x:c r="I94" s="55"/>
      <x:c r="J94" s="61"/>
      <x:c r="K94" s="61"/>
      <x:c r="L94" s="55"/>
      <x:c r="M94" s="56"/>
    </x:row>
    <x:row r="95">
      <x:c r="A95" s="55"/>
      <x:c r="B95" s="56"/>
      <x:c r="C95" s="57"/>
      <x:c r="D95" s="55"/>
      <x:c r="E95" s="58"/>
      <x:c r="F95" s="58"/>
      <x:c r="G95" s="59" t="str">
        <x:f t="shared" si="2"/>
      </x:c>
      <x:c r="H95" s="60" t="str">
        <x:f t="shared" si="3"/>
      </x:c>
      <x:c r="I95" s="55"/>
      <x:c r="J95" s="61"/>
      <x:c r="K95" s="61"/>
      <x:c r="L95" s="55"/>
      <x:c r="M95" s="56"/>
    </x:row>
    <x:row r="96">
      <x:c r="A96" s="55"/>
      <x:c r="B96" s="56"/>
      <x:c r="C96" s="57"/>
      <x:c r="D96" s="55"/>
      <x:c r="E96" s="58"/>
      <x:c r="F96" s="58"/>
      <x:c r="G96" s="59" t="str">
        <x:f t="shared" si="2"/>
      </x:c>
      <x:c r="H96" s="60" t="str">
        <x:f t="shared" si="3"/>
      </x:c>
      <x:c r="I96" s="55"/>
      <x:c r="J96" s="61"/>
      <x:c r="K96" s="61"/>
      <x:c r="L96" s="55"/>
      <x:c r="M96" s="56"/>
    </x:row>
    <x:row r="97">
      <x:c r="A97" s="55"/>
      <x:c r="B97" s="56"/>
      <x:c r="C97" s="57"/>
      <x:c r="D97" s="55"/>
      <x:c r="E97" s="58"/>
      <x:c r="F97" s="58"/>
      <x:c r="G97" s="59" t="str">
        <x:f t="shared" si="2"/>
      </x:c>
      <x:c r="H97" s="60" t="str">
        <x:f t="shared" si="3"/>
      </x:c>
      <x:c r="I97" s="55"/>
      <x:c r="J97" s="61"/>
      <x:c r="K97" s="61"/>
      <x:c r="L97" s="55"/>
      <x:c r="M97" s="56"/>
    </x:row>
    <x:row r="98">
      <x:c r="A98" s="55"/>
      <x:c r="B98" s="56"/>
      <x:c r="C98" s="57"/>
      <x:c r="D98" s="55"/>
      <x:c r="E98" s="58"/>
      <x:c r="F98" s="58"/>
      <x:c r="G98" s="59" t="str">
        <x:f t="shared" si="2"/>
      </x:c>
      <x:c r="H98" s="60" t="str">
        <x:f t="shared" si="3"/>
      </x:c>
      <x:c r="I98" s="55"/>
      <x:c r="J98" s="61"/>
      <x:c r="K98" s="61"/>
      <x:c r="L98" s="55"/>
      <x:c r="M98" s="56"/>
    </x:row>
    <x:row r="99">
      <x:c r="A99" s="55"/>
      <x:c r="B99" s="56"/>
      <x:c r="C99" s="57"/>
      <x:c r="D99" s="55"/>
      <x:c r="E99" s="58"/>
      <x:c r="F99" s="58"/>
      <x:c r="G99" s="59" t="str">
        <x:f t="shared" si="2"/>
      </x:c>
      <x:c r="H99" s="60" t="str">
        <x:f t="shared" si="3"/>
      </x:c>
      <x:c r="I99" s="55"/>
      <x:c r="J99" s="61"/>
      <x:c r="K99" s="61"/>
      <x:c r="L99" s="55"/>
      <x:c r="M99" s="56"/>
    </x:row>
    <x:row r="100">
      <x:c r="A100" s="55"/>
      <x:c r="B100" s="56"/>
      <x:c r="C100" s="57"/>
      <x:c r="D100" s="55"/>
      <x:c r="E100" s="58"/>
      <x:c r="F100" s="58"/>
      <x:c r="G100" s="59" t="str">
        <x:f t="shared" si="2"/>
      </x:c>
      <x:c r="H100" s="60" t="str">
        <x:f t="shared" si="3"/>
      </x:c>
      <x:c r="I100" s="55"/>
      <x:c r="J100" s="61"/>
      <x:c r="K100" s="61"/>
      <x:c r="L100" s="55"/>
      <x:c r="M100" s="56"/>
    </x:row>
    <x:row r="101">
      <x:c r="A101" s="55"/>
      <x:c r="B101" s="56"/>
      <x:c r="C101" s="57"/>
      <x:c r="D101" s="55"/>
      <x:c r="E101" s="58"/>
      <x:c r="F101" s="58"/>
      <x:c r="G101" s="59" t="str">
        <x:f t="shared" si="2"/>
      </x:c>
      <x:c r="H101" s="60" t="str">
        <x:f t="shared" si="3"/>
      </x:c>
      <x:c r="I101" s="55"/>
      <x:c r="J101" s="61"/>
      <x:c r="K101" s="61"/>
      <x:c r="L101" s="55"/>
      <x:c r="M101" s="56"/>
    </x:row>
    <x:row r="102">
      <x:c r="A102" s="55"/>
      <x:c r="B102" s="56"/>
      <x:c r="C102" s="57"/>
      <x:c r="D102" s="55"/>
      <x:c r="E102" s="58"/>
      <x:c r="F102" s="58"/>
      <x:c r="G102" s="59" t="str">
        <x:f t="shared" si="2"/>
      </x:c>
      <x:c r="H102" s="60" t="str">
        <x:f t="shared" si="3"/>
      </x:c>
      <x:c r="I102" s="55"/>
      <x:c r="J102" s="61"/>
      <x:c r="K102" s="61"/>
      <x:c r="L102" s="55"/>
      <x:c r="M102" s="56"/>
    </x:row>
    <x:row r="103">
      <x:c r="A103" s="55"/>
      <x:c r="B103" s="56"/>
      <x:c r="C103" s="57"/>
      <x:c r="D103" s="55"/>
      <x:c r="E103" s="58"/>
      <x:c r="F103" s="58"/>
      <x:c r="G103" s="59" t="str">
        <x:f t="shared" si="2"/>
      </x:c>
      <x:c r="H103" s="60" t="str">
        <x:f t="shared" si="3"/>
      </x:c>
      <x:c r="I103" s="55"/>
      <x:c r="J103" s="61"/>
      <x:c r="K103" s="61"/>
      <x:c r="L103" s="55"/>
      <x:c r="M103" s="56"/>
    </x:row>
    <x:row r="104">
      <x:c r="A104" s="55"/>
      <x:c r="B104" s="56"/>
      <x:c r="C104" s="57"/>
      <x:c r="D104" s="55"/>
      <x:c r="E104" s="58"/>
      <x:c r="F104" s="58"/>
      <x:c r="G104" s="59" t="str">
        <x:f t="shared" si="2"/>
      </x:c>
      <x:c r="H104" s="60" t="str">
        <x:f t="shared" si="3"/>
      </x:c>
      <x:c r="I104" s="55"/>
      <x:c r="J104" s="61"/>
      <x:c r="K104" s="61"/>
      <x:c r="L104" s="55"/>
      <x:c r="M104" s="56"/>
    </x:row>
    <x:row r="105">
      <x:c r="A105" s="55"/>
      <x:c r="B105" s="56"/>
      <x:c r="C105" s="57"/>
      <x:c r="D105" s="55"/>
      <x:c r="E105" s="58"/>
      <x:c r="F105" s="58"/>
      <x:c r="G105" s="59" t="str">
        <x:f t="shared" si="2"/>
      </x:c>
      <x:c r="H105" s="60" t="str">
        <x:f t="shared" si="3"/>
      </x:c>
      <x:c r="I105" s="55"/>
      <x:c r="J105" s="61"/>
      <x:c r="K105" s="61"/>
      <x:c r="L105" s="55"/>
      <x:c r="M105" s="56"/>
    </x:row>
  </x:sheetData>
  <x:mergeCells>
    <x:mergeCell ref="A1:M1"/>
    <x:mergeCell ref="A2:M2"/>
    <x:mergeCell ref="A3:M3"/>
  </x:mergeCells>
  <x:conditionalFormatting sqref="G6:G105">
    <x:cfRule type="dataBar" priority="1">
      <x:dataBar>
        <x:cfvo type="min"/>
        <x:cfvo type="max"/>
        <x:color rgb="FFE8F4F4"/>
      </x:dataBar>
    </x:cfRule>
    <x:cfRule type="dataBar" priority="2">
      <x:dataBar>
        <x:cfvo type="min"/>
        <x:cfvo type="max"/>
        <x:color rgb="FFE8F4F4"/>
      </x:dataBar>
    </x:cfRule>
    <x:cfRule type="dataBar" priority="4">
      <x:dataBar>
        <x:cfvo type="min"/>
        <x:cfvo type="max"/>
        <x:color rgb="FFE8F4F4"/>
      </x:dataBar>
    </x:cfRule>
    <x:cfRule type="dataBar" priority="6">
      <x:dataBar>
        <x:cfvo type="min"/>
        <x:cfvo type="max"/>
        <x:color rgb="FFE8F4F4"/>
      </x:dataBar>
    </x:cfRule>
    <x:cfRule type="dataBar" priority="8">
      <x:dataBar>
        <x:cfvo type="min"/>
        <x:cfvo type="max"/>
        <x:color rgb="FFE8F4F4"/>
      </x:dataBar>
    </x:cfRule>
    <x:cfRule type="dataBar" priority="10">
      <x:dataBar>
        <x:cfvo type="min"/>
        <x:cfvo type="max"/>
        <x:color rgb="FFE8F4F4"/>
      </x:dataBar>
      <x:extLst>
        <x:ext xmlns:x14="http://schemas.microsoft.com/office/spreadsheetml/2009/9/main" uri="{B025F937-C7B1-47D3-B67F-A62EFF666E3E}">
          <x14:id>{1BDB8642-C99B-45A4-A39A-F48C122B76D7}</x14:id>
        </x:ext>
      </x:extLst>
    </x:cfRule>
  </x:conditionalFormatting>
  <x:conditionalFormatting sqref="H6:H105">
    <x:cfRule type="dataBar" priority="3">
      <x:dataBar>
        <x:cfvo type="min"/>
        <x:cfvo type="max"/>
        <x:color rgb="FF175B72"/>
      </x:dataBar>
    </x:cfRule>
    <x:cfRule type="dataBar" priority="5">
      <x:dataBar>
        <x:cfvo type="min"/>
        <x:cfvo type="max"/>
        <x:color rgb="FF175B72"/>
      </x:dataBar>
    </x:cfRule>
    <x:cfRule type="dataBar" priority="7">
      <x:dataBar>
        <x:cfvo type="min"/>
        <x:cfvo type="max"/>
        <x:color rgb="FF175B72"/>
      </x:dataBar>
    </x:cfRule>
    <x:cfRule type="dataBar" priority="9">
      <x:dataBar>
        <x:cfvo type="min"/>
        <x:cfvo type="max"/>
        <x:color rgb="FF175B72"/>
      </x:dataBar>
    </x:cfRule>
    <x:cfRule type="dataBar" priority="11">
      <x:dataBar>
        <x:cfvo type="min"/>
        <x:cfvo type="max"/>
        <x:color rgb="FF175B72"/>
      </x:dataBar>
      <x:extLst>
        <x:ext xmlns:x14="http://schemas.microsoft.com/office/spreadsheetml/2009/9/main" uri="{B025F937-C7B1-47D3-B67F-A62EFF666E3E}">
          <x14:id>{CB30F313-E5F9-4971-AD65-553A1399BD80}</x14:id>
        </x:ext>
      </x:extLst>
    </x:cfRule>
  </x:conditionalFormatting>
  <x:dataValidations count="3">
    <x:dataValidation type="list" sqref="D6:D105">
      <x:formula1>"Januari,Februari,Maret,April,Mei,Juni,Juli,Agustus,September,Oktober,November,Desember"</x:formula1>
    </x:dataValidation>
    <x:dataValidation type="list" sqref="I6:I105">
      <x:formula1>"Belum Diverifikasi,Sudah Diverifikasi"</x:formula1>
    </x:dataValidation>
    <x:dataValidation type="list" sqref="G6:H105">
      <x:formula1>"Belum Diverifikasi,Terverifikasi,Perlu Perbaikan"</x:formula1>
    </x:dataValidation>
  </x:dataValidations>
  <x:pageMargins left="0.7" right="0.7" top="0.75" bottom="0.75" header="0.3" footer="0.3"/>
  <x:tableParts count="1">
    <x:tablePart xmlns:r="http://schemas.openxmlformats.org/officeDocument/2006/relationships" r:id="R62c0a60326804331"/>
  </x:tableParts>
  <x:extLst>
    <x:ext xmlns:x14="http://schemas.microsoft.com/office/spreadsheetml/2009/9/main" xmlns:xm="http://schemas.microsoft.com/office/excel/2006/main" uri="{78C0D931-6437-407d-A8EE-F0AAD7539E65}">
      <x14:conditionalFormattings>
        <x14:conditionalFormatting>
          <x14:cfRule type="dataBar" priority="10" id="{1BDB8642-C99B-45A4-A39A-F48C122B76D7}">
            <x14:dataBar>
              <x14:cfvo type="min"/>
              <x14:cfvo type="max"/>
              <x14:fillColor rgb="FFE8F4F4"/>
              <x14:negativeFillColor auto="1"/>
              <x14:axisColor auto="1"/>
            </x14:dataBar>
          </x14:cfRule>
          <xm:sqref>G6:G105</xm:sqref>
        </x14:conditionalFormatting>
        <x14:conditionalFormatting>
          <x14:cfRule type="dataBar" priority="11" id="{CB30F313-E5F9-4971-AD65-553A1399BD80}">
            <x14:dataBar>
              <x14:cfvo type="min"/>
              <x14:cfvo type="max"/>
              <x14:fillColor rgb="FF175B72"/>
              <x14:negativeFillColor auto="1"/>
              <x14:axisColor auto="1"/>
            </x14:dataBar>
          </x14:cfRule>
          <xm:sqref>H6:H105</xm:sqref>
        </x14:conditionalFormatting>
      </x14:conditionalFormattings>
    </x:ext>
  </x:extLst>
</x:worksheet>
</file>

<file path=xl/worksheets/sheet8.xml><?xml version="1.0" encoding="utf-8"?>
<x:worksheet xmlns:x="http://schemas.openxmlformats.org/spreadsheetml/2006/main">
  <x:sheetFormatPr defaultRowHeight="14"/>
  <x:cols>
    <x:col min="1" max="1" width="16" customWidth="1"/>
    <x:col min="2" max="3" width="28" customWidth="1"/>
    <x:col min="4" max="4" width="24" customWidth="1"/>
    <x:col min="5" max="5" width="22" customWidth="1"/>
    <x:col min="6" max="6" width="14" style="62" customWidth="1"/>
    <x:col min="7" max="7" width="36" customWidth="1"/>
    <x:col min="8" max="8" width="24" customWidth="1"/>
    <x:col min="9" max="9" width="20" customWidth="1"/>
    <x:col min="10" max="10" width="13" customWidth="1"/>
    <x:col min="11" max="11" width="30" customWidth="1"/>
    <x:col min="12" max="12" width="20" customWidth="1"/>
    <x:col min="13" max="13" width="16" customWidth="1"/>
    <x:col min="14" max="14" width="20" customWidth="1"/>
  </x:cols>
  <x:sheetData>
    <x:row r="1" ht="23">
      <x:c r="A1" s="228" t="s">
        <x:v>2068</x:v>
      </x:c>
      <x:c r="B1" s="228"/>
      <x:c r="C1" s="228"/>
      <x:c r="D1" s="228"/>
      <x:c r="E1" s="228"/>
      <x:c r="F1" s="228"/>
      <x:c r="G1" s="228"/>
      <x:c r="H1" s="228"/>
      <x:c r="I1" s="228"/>
      <x:c r="J1" s="228"/>
      <x:c r="K1" s="228"/>
      <x:c r="L1" s="228"/>
      <x:c r="M1" s="228"/>
      <x:c r="N1" s="228"/>
    </x:row>
    <x:row r="2">
      <x:c r="A2" s="229" t="s">
        <x:v>2069</x:v>
      </x:c>
      <x:c r="B2" s="229"/>
      <x:c r="C2" s="229"/>
      <x:c r="D2" s="229"/>
      <x:c r="E2" s="229"/>
      <x:c r="F2" s="229"/>
      <x:c r="G2" s="229"/>
      <x:c r="H2" s="229"/>
      <x:c r="I2" s="229"/>
      <x:c r="J2" s="229"/>
      <x:c r="K2" s="229"/>
      <x:c r="L2" s="229"/>
      <x:c r="M2" s="229"/>
      <x:c r="N2" s="229"/>
    </x:row>
    <x:row r="3">
      <x:c r="A3" s="230" t="s">
        <x:v>845</x:v>
      </x:c>
      <x:c r="B3" s="230"/>
      <x:c r="C3" s="230"/>
      <x:c r="D3" s="230"/>
      <x:c r="E3" s="230"/>
      <x:c r="F3" s="230"/>
      <x:c r="G3" s="230"/>
      <x:c r="H3" s="230"/>
      <x:c r="I3" s="230"/>
      <x:c r="J3" s="230"/>
      <x:c r="K3" s="230"/>
      <x:c r="L3" s="230"/>
      <x:c r="M3" s="230"/>
      <x:c r="N3" s="230"/>
    </x:row>
    <x:row r="5" ht="26">
      <x:c r="A5" s="1" t="s">
        <x:v>2070</x:v>
      </x:c>
      <x:c r="B5" s="2" t="s">
        <x:v>1817</x:v>
      </x:c>
      <x:c r="C5" s="2" t="s">
        <x:v>2071</x:v>
      </x:c>
      <x:c r="D5" s="2" t="s">
        <x:v>2072</x:v>
      </x:c>
      <x:c r="E5" s="2" t="s">
        <x:v>2073</x:v>
      </x:c>
      <x:c r="F5" s="63" t="s">
        <x:v>2074</x:v>
      </x:c>
      <x:c r="G5" s="2" t="s">
        <x:v>2075</x:v>
      </x:c>
      <x:c r="H5" s="2" t="s">
        <x:v>2076</x:v>
      </x:c>
      <x:c r="I5" s="2" t="s">
        <x:v>2077</x:v>
      </x:c>
      <x:c r="J5" s="2" t="s">
        <x:v>58</x:v>
      </x:c>
      <x:c r="K5" s="2" t="s">
        <x:v>59</x:v>
      </x:c>
      <x:c r="L5" s="2" t="s">
        <x:v>12</x:v>
      </x:c>
      <x:c r="M5" s="2" t="s">
        <x:v>15</x:v>
      </x:c>
      <x:c r="N5" s="3" t="s">
        <x:v>16</x:v>
      </x:c>
    </x:row>
    <x:row r="6">
      <x:c r="A6" s="29" t="s">
        <x:v>2078</x:v>
      </x:c>
      <x:c r="B6" s="8" t="str">
        <x:v>RUSUNAWA Kota Pangkal Pinang</x:v>
      </x:c>
      <x:c r="C6" s="8" t="s">
        <x:v>2079</x:v>
      </x:c>
      <x:c r="D6" s="4"/>
      <x:c r="E6" s="8" t="s">
        <x:v>2080</x:v>
      </x:c>
      <x:c r="F6" s="8" t="s">
        <x:v>2081</x:v>
      </x:c>
      <x:c r="G6" s="8"/>
      <x:c r="H6" s="8"/>
      <x:c r="I6" s="11"/>
      <x:c r="J6" s="17"/>
      <x:c r="K6" s="8"/>
      <x:c r="L6" s="8"/>
      <x:c r="M6" s="11"/>
      <x:c r="N6" s="32"/>
    </x:row>
    <x:row r="7">
      <x:c r="A7" s="30" t="s">
        <x:v>2082</x:v>
      </x:c>
      <x:c r="B7" s="9" t="str">
        <x:v>RUSUNAWA Kota Pangkal Pinang</x:v>
      </x:c>
      <x:c r="C7" s="9" t="s">
        <x:v>2083</x:v>
      </x:c>
      <x:c r="D7" s="5"/>
      <x:c r="E7" s="9" t="s">
        <x:v>881</x:v>
      </x:c>
      <x:c r="F7" s="9" t="s">
        <x:v>2081</x:v>
      </x:c>
      <x:c r="G7" s="9"/>
      <x:c r="H7" s="9"/>
      <x:c r="I7" s="12"/>
      <x:c r="J7" s="18"/>
      <x:c r="K7" s="9"/>
      <x:c r="L7" s="9"/>
      <x:c r="M7" s="12"/>
      <x:c r="N7" s="33"/>
    </x:row>
    <x:row r="8">
      <x:c r="A8" s="30" t="s">
        <x:v>2084</x:v>
      </x:c>
      <x:c r="B8" s="9" t="str">
        <x:v>RUSUNAWA Kota Pangkal Pinang</x:v>
      </x:c>
      <x:c r="C8" s="9" t="s">
        <x:v>2085</x:v>
      </x:c>
      <x:c r="D8" s="5"/>
      <x:c r="E8" s="9" t="s">
        <x:v>912</x:v>
      </x:c>
      <x:c r="F8" s="9" t="s">
        <x:v>2086</x:v>
      </x:c>
      <x:c r="G8" s="9"/>
      <x:c r="H8" s="9"/>
      <x:c r="I8" s="12"/>
      <x:c r="J8" s="18"/>
      <x:c r="K8" s="9"/>
      <x:c r="L8" s="9"/>
      <x:c r="M8" s="12"/>
      <x:c r="N8" s="33"/>
    </x:row>
    <x:row r="9">
      <x:c r="A9" s="30" t="s">
        <x:v>2087</x:v>
      </x:c>
      <x:c r="B9" s="9" t="str">
        <x:v>RUSUNAWA Kota Pangkal Pinang</x:v>
      </x:c>
      <x:c r="C9" s="9" t="s">
        <x:v>2088</x:v>
      </x:c>
      <x:c r="D9" s="5"/>
      <x:c r="E9" s="9" t="s">
        <x:v>2080</x:v>
      </x:c>
      <x:c r="F9" s="9" t="s">
        <x:v>2081</x:v>
      </x:c>
      <x:c r="G9" s="9"/>
      <x:c r="H9" s="9"/>
      <x:c r="I9" s="12"/>
      <x:c r="J9" s="18"/>
      <x:c r="K9" s="9"/>
      <x:c r="L9" s="9"/>
      <x:c r="M9" s="12"/>
      <x:c r="N9" s="33"/>
    </x:row>
    <x:row r="10">
      <x:c r="A10" s="30" t="s">
        <x:v>2089</x:v>
      </x:c>
      <x:c r="B10" s="9" t="str">
        <x:v>RUSUNAWA Kota Pangkal Pinang</x:v>
      </x:c>
      <x:c r="C10" s="9" t="s">
        <x:v>2090</x:v>
      </x:c>
      <x:c r="D10" s="5"/>
      <x:c r="E10" s="9" t="s">
        <x:v>897</x:v>
      </x:c>
      <x:c r="F10" s="9" t="s">
        <x:v>2081</x:v>
      </x:c>
      <x:c r="G10" s="9"/>
      <x:c r="H10" s="9"/>
      <x:c r="I10" s="12"/>
      <x:c r="J10" s="18"/>
      <x:c r="K10" s="9"/>
      <x:c r="L10" s="9"/>
      <x:c r="M10" s="12"/>
      <x:c r="N10" s="33"/>
    </x:row>
    <x:row r="11">
      <x:c r="A11" s="30" t="s">
        <x:v>2091</x:v>
      </x:c>
      <x:c r="B11" s="9" t="str">
        <x:v>RUSUNAWA Kota Pangkal Pinang</x:v>
      </x:c>
      <x:c r="C11" s="9" t="s">
        <x:v>2092</x:v>
      </x:c>
      <x:c r="D11" s="5"/>
      <x:c r="E11" s="9" t="s">
        <x:v>897</x:v>
      </x:c>
      <x:c r="F11" s="9" t="s">
        <x:v>2081</x:v>
      </x:c>
      <x:c r="G11" s="9"/>
      <x:c r="H11" s="9"/>
      <x:c r="I11" s="12"/>
      <x:c r="J11" s="18"/>
      <x:c r="K11" s="9"/>
      <x:c r="L11" s="9"/>
      <x:c r="M11" s="12"/>
      <x:c r="N11" s="33"/>
    </x:row>
    <x:row r="12">
      <x:c r="A12" s="30" t="s">
        <x:v>2093</x:v>
      </x:c>
      <x:c r="B12" s="9" t="str">
        <x:v>RUSUNAWA Kota Pangkal Pinang</x:v>
      </x:c>
      <x:c r="C12" s="9" t="s">
        <x:v>2094</x:v>
      </x:c>
      <x:c r="D12" s="5"/>
      <x:c r="E12" s="9" t="s">
        <x:v>2080</x:v>
      </x:c>
      <x:c r="F12" s="9" t="s">
        <x:v>2081</x:v>
      </x:c>
      <x:c r="G12" s="9"/>
      <x:c r="H12" s="9"/>
      <x:c r="I12" s="12"/>
      <x:c r="J12" s="18"/>
      <x:c r="K12" s="9"/>
      <x:c r="L12" s="9"/>
      <x:c r="M12" s="12"/>
      <x:c r="N12" s="33"/>
    </x:row>
    <x:row r="13">
      <x:c r="A13" s="30"/>
      <x:c r="B13" s="9"/>
      <x:c r="C13" s="9"/>
      <x:c r="D13" s="5"/>
      <x:c r="E13" s="9"/>
      <x:c r="F13" s="9"/>
      <x:c r="G13" s="9"/>
      <x:c r="H13" s="9"/>
      <x:c r="I13" s="12"/>
      <x:c r="J13" s="18"/>
      <x:c r="K13" s="9"/>
      <x:c r="L13" s="9"/>
      <x:c r="M13" s="12"/>
      <x:c r="N13" s="33"/>
    </x:row>
    <x:row r="14">
      <x:c r="A14" s="30"/>
      <x:c r="B14" s="9"/>
      <x:c r="C14" s="9"/>
      <x:c r="D14" s="5"/>
      <x:c r="E14" s="9"/>
      <x:c r="F14" s="9"/>
      <x:c r="G14" s="9"/>
      <x:c r="H14" s="9"/>
      <x:c r="I14" s="12"/>
      <x:c r="J14" s="18"/>
      <x:c r="K14" s="9"/>
      <x:c r="L14" s="9"/>
      <x:c r="M14" s="12"/>
      <x:c r="N14" s="33"/>
    </x:row>
    <x:row r="15">
      <x:c r="A15" s="30"/>
      <x:c r="B15" s="9"/>
      <x:c r="C15" s="9"/>
      <x:c r="D15" s="5"/>
      <x:c r="E15" s="9"/>
      <x:c r="F15" s="9"/>
      <x:c r="G15" s="9"/>
      <x:c r="H15" s="9"/>
      <x:c r="I15" s="12"/>
      <x:c r="J15" s="18"/>
      <x:c r="K15" s="9"/>
      <x:c r="L15" s="9"/>
      <x:c r="M15" s="12"/>
      <x:c r="N15" s="33"/>
    </x:row>
    <x:row r="16">
      <x:c r="A16" s="30"/>
      <x:c r="B16" s="9"/>
      <x:c r="C16" s="9"/>
      <x:c r="D16" s="5"/>
      <x:c r="E16" s="9"/>
      <x:c r="F16" s="9"/>
      <x:c r="G16" s="9"/>
      <x:c r="H16" s="9"/>
      <x:c r="I16" s="12"/>
      <x:c r="J16" s="18"/>
      <x:c r="K16" s="9"/>
      <x:c r="L16" s="9"/>
      <x:c r="M16" s="12"/>
      <x:c r="N16" s="33"/>
    </x:row>
    <x:row r="17">
      <x:c r="A17" s="30"/>
      <x:c r="B17" s="9"/>
      <x:c r="C17" s="9"/>
      <x:c r="D17" s="5"/>
      <x:c r="E17" s="9"/>
      <x:c r="F17" s="9"/>
      <x:c r="G17" s="9"/>
      <x:c r="H17" s="9"/>
      <x:c r="I17" s="12"/>
      <x:c r="J17" s="18"/>
      <x:c r="K17" s="9"/>
      <x:c r="L17" s="9"/>
      <x:c r="M17" s="12"/>
      <x:c r="N17" s="33"/>
    </x:row>
    <x:row r="18">
      <x:c r="A18" s="30"/>
      <x:c r="B18" s="9"/>
      <x:c r="C18" s="9"/>
      <x:c r="D18" s="5"/>
      <x:c r="E18" s="9"/>
      <x:c r="F18" s="9"/>
      <x:c r="G18" s="9"/>
      <x:c r="H18" s="9"/>
      <x:c r="I18" s="12"/>
      <x:c r="J18" s="18"/>
      <x:c r="K18" s="9"/>
      <x:c r="L18" s="9"/>
      <x:c r="M18" s="12"/>
      <x:c r="N18" s="33"/>
    </x:row>
    <x:row r="19">
      <x:c r="A19" s="30"/>
      <x:c r="B19" s="9"/>
      <x:c r="C19" s="9"/>
      <x:c r="D19" s="5"/>
      <x:c r="E19" s="9"/>
      <x:c r="F19" s="9"/>
      <x:c r="G19" s="9"/>
      <x:c r="H19" s="9"/>
      <x:c r="I19" s="12"/>
      <x:c r="J19" s="18"/>
      <x:c r="K19" s="9"/>
      <x:c r="L19" s="9"/>
      <x:c r="M19" s="12"/>
      <x:c r="N19" s="33"/>
    </x:row>
    <x:row r="20">
      <x:c r="A20" s="30"/>
      <x:c r="B20" s="9"/>
      <x:c r="C20" s="9"/>
      <x:c r="D20" s="5"/>
      <x:c r="E20" s="9"/>
      <x:c r="F20" s="9"/>
      <x:c r="G20" s="9"/>
      <x:c r="H20" s="9"/>
      <x:c r="I20" s="12"/>
      <x:c r="J20" s="18"/>
      <x:c r="K20" s="9"/>
      <x:c r="L20" s="9"/>
      <x:c r="M20" s="12"/>
      <x:c r="N20" s="33"/>
    </x:row>
    <x:row r="21">
      <x:c r="A21" s="30"/>
      <x:c r="B21" s="9"/>
      <x:c r="C21" s="9"/>
      <x:c r="D21" s="5"/>
      <x:c r="E21" s="9"/>
      <x:c r="F21" s="9"/>
      <x:c r="G21" s="9"/>
      <x:c r="H21" s="9"/>
      <x:c r="I21" s="12"/>
      <x:c r="J21" s="18"/>
      <x:c r="K21" s="9"/>
      <x:c r="L21" s="9"/>
      <x:c r="M21" s="12"/>
      <x:c r="N21" s="33"/>
    </x:row>
    <x:row r="22">
      <x:c r="A22" s="30"/>
      <x:c r="B22" s="9"/>
      <x:c r="C22" s="9"/>
      <x:c r="D22" s="5"/>
      <x:c r="E22" s="9"/>
      <x:c r="F22" s="9"/>
      <x:c r="G22" s="9"/>
      <x:c r="H22" s="9"/>
      <x:c r="I22" s="12"/>
      <x:c r="J22" s="18"/>
      <x:c r="K22" s="9"/>
      <x:c r="L22" s="9"/>
      <x:c r="M22" s="12"/>
      <x:c r="N22" s="33"/>
    </x:row>
    <x:row r="23">
      <x:c r="A23" s="30"/>
      <x:c r="B23" s="9"/>
      <x:c r="C23" s="9"/>
      <x:c r="D23" s="5"/>
      <x:c r="E23" s="9"/>
      <x:c r="F23" s="9"/>
      <x:c r="G23" s="9"/>
      <x:c r="H23" s="9"/>
      <x:c r="I23" s="12"/>
      <x:c r="J23" s="18"/>
      <x:c r="K23" s="9"/>
      <x:c r="L23" s="9"/>
      <x:c r="M23" s="12"/>
      <x:c r="N23" s="33"/>
    </x:row>
    <x:row r="24">
      <x:c r="A24" s="30"/>
      <x:c r="B24" s="9"/>
      <x:c r="C24" s="9"/>
      <x:c r="D24" s="5"/>
      <x:c r="E24" s="9"/>
      <x:c r="F24" s="9"/>
      <x:c r="G24" s="9"/>
      <x:c r="H24" s="9"/>
      <x:c r="I24" s="12"/>
      <x:c r="J24" s="18"/>
      <x:c r="K24" s="9"/>
      <x:c r="L24" s="9"/>
      <x:c r="M24" s="12"/>
      <x:c r="N24" s="33"/>
    </x:row>
    <x:row r="25">
      <x:c r="A25" s="30"/>
      <x:c r="B25" s="9"/>
      <x:c r="C25" s="9"/>
      <x:c r="D25" s="5"/>
      <x:c r="E25" s="9"/>
      <x:c r="F25" s="9"/>
      <x:c r="G25" s="9"/>
      <x:c r="H25" s="9"/>
      <x:c r="I25" s="12"/>
      <x:c r="J25" s="18"/>
      <x:c r="K25" s="9"/>
      <x:c r="L25" s="9"/>
      <x:c r="M25" s="12"/>
      <x:c r="N25" s="33"/>
    </x:row>
    <x:row r="26">
      <x:c r="A26" s="30"/>
      <x:c r="B26" s="9"/>
      <x:c r="C26" s="9"/>
      <x:c r="D26" s="5"/>
      <x:c r="E26" s="9"/>
      <x:c r="F26" s="9"/>
      <x:c r="G26" s="9"/>
      <x:c r="H26" s="9"/>
      <x:c r="I26" s="12"/>
      <x:c r="J26" s="18"/>
      <x:c r="K26" s="9"/>
      <x:c r="L26" s="9"/>
      <x:c r="M26" s="12"/>
      <x:c r="N26" s="33"/>
    </x:row>
    <x:row r="27">
      <x:c r="A27" s="30"/>
      <x:c r="B27" s="9"/>
      <x:c r="C27" s="9"/>
      <x:c r="D27" s="5"/>
      <x:c r="E27" s="9"/>
      <x:c r="F27" s="9"/>
      <x:c r="G27" s="9"/>
      <x:c r="H27" s="9"/>
      <x:c r="I27" s="12"/>
      <x:c r="J27" s="18"/>
      <x:c r="K27" s="9"/>
      <x:c r="L27" s="9"/>
      <x:c r="M27" s="12"/>
      <x:c r="N27" s="33"/>
    </x:row>
    <x:row r="28">
      <x:c r="A28" s="30"/>
      <x:c r="B28" s="9"/>
      <x:c r="C28" s="9"/>
      <x:c r="D28" s="5"/>
      <x:c r="E28" s="9"/>
      <x:c r="F28" s="9"/>
      <x:c r="G28" s="9"/>
      <x:c r="H28" s="9"/>
      <x:c r="I28" s="12"/>
      <x:c r="J28" s="18"/>
      <x:c r="K28" s="9"/>
      <x:c r="L28" s="9"/>
      <x:c r="M28" s="12"/>
      <x:c r="N28" s="33"/>
    </x:row>
    <x:row r="29">
      <x:c r="A29" s="30"/>
      <x:c r="B29" s="9"/>
      <x:c r="C29" s="9"/>
      <x:c r="D29" s="5"/>
      <x:c r="E29" s="9"/>
      <x:c r="F29" s="9"/>
      <x:c r="G29" s="9"/>
      <x:c r="H29" s="9"/>
      <x:c r="I29" s="12"/>
      <x:c r="J29" s="18"/>
      <x:c r="K29" s="9"/>
      <x:c r="L29" s="9"/>
      <x:c r="M29" s="12"/>
      <x:c r="N29" s="33"/>
    </x:row>
    <x:row r="30">
      <x:c r="A30" s="30"/>
      <x:c r="B30" s="9"/>
      <x:c r="C30" s="9"/>
      <x:c r="D30" s="5"/>
      <x:c r="E30" s="9"/>
      <x:c r="F30" s="9"/>
      <x:c r="G30" s="9"/>
      <x:c r="H30" s="9"/>
      <x:c r="I30" s="12"/>
      <x:c r="J30" s="18"/>
      <x:c r="K30" s="9"/>
      <x:c r="L30" s="9"/>
      <x:c r="M30" s="12"/>
      <x:c r="N30" s="33"/>
    </x:row>
    <x:row r="31">
      <x:c r="A31" s="30"/>
      <x:c r="B31" s="9"/>
      <x:c r="C31" s="9"/>
      <x:c r="D31" s="5"/>
      <x:c r="E31" s="9"/>
      <x:c r="F31" s="9"/>
      <x:c r="G31" s="9"/>
      <x:c r="H31" s="9"/>
      <x:c r="I31" s="12"/>
      <x:c r="J31" s="18"/>
      <x:c r="K31" s="9"/>
      <x:c r="L31" s="9"/>
      <x:c r="M31" s="12"/>
      <x:c r="N31" s="33"/>
    </x:row>
    <x:row r="32">
      <x:c r="A32" s="30"/>
      <x:c r="B32" s="9"/>
      <x:c r="C32" s="9"/>
      <x:c r="D32" s="5"/>
      <x:c r="E32" s="9"/>
      <x:c r="F32" s="9"/>
      <x:c r="G32" s="9"/>
      <x:c r="H32" s="9"/>
      <x:c r="I32" s="12"/>
      <x:c r="J32" s="18"/>
      <x:c r="K32" s="9"/>
      <x:c r="L32" s="9"/>
      <x:c r="M32" s="12"/>
      <x:c r="N32" s="33"/>
    </x:row>
    <x:row r="33">
      <x:c r="A33" s="30"/>
      <x:c r="B33" s="9"/>
      <x:c r="C33" s="9"/>
      <x:c r="D33" s="5"/>
      <x:c r="E33" s="9"/>
      <x:c r="F33" s="9"/>
      <x:c r="G33" s="9"/>
      <x:c r="H33" s="9"/>
      <x:c r="I33" s="12"/>
      <x:c r="J33" s="18"/>
      <x:c r="K33" s="9"/>
      <x:c r="L33" s="9"/>
      <x:c r="M33" s="12"/>
      <x:c r="N33" s="33"/>
    </x:row>
    <x:row r="34">
      <x:c r="A34" s="30"/>
      <x:c r="B34" s="9"/>
      <x:c r="C34" s="9"/>
      <x:c r="D34" s="5"/>
      <x:c r="E34" s="9"/>
      <x:c r="F34" s="9"/>
      <x:c r="G34" s="9"/>
      <x:c r="H34" s="9"/>
      <x:c r="I34" s="12"/>
      <x:c r="J34" s="18"/>
      <x:c r="K34" s="9"/>
      <x:c r="L34" s="9"/>
      <x:c r="M34" s="12"/>
      <x:c r="N34" s="33"/>
    </x:row>
    <x:row r="35">
      <x:c r="A35" s="30"/>
      <x:c r="B35" s="9"/>
      <x:c r="C35" s="9"/>
      <x:c r="D35" s="5"/>
      <x:c r="E35" s="9"/>
      <x:c r="F35" s="9"/>
      <x:c r="G35" s="9"/>
      <x:c r="H35" s="9"/>
      <x:c r="I35" s="12"/>
      <x:c r="J35" s="18"/>
      <x:c r="K35" s="9"/>
      <x:c r="L35" s="9"/>
      <x:c r="M35" s="12"/>
      <x:c r="N35" s="33"/>
    </x:row>
    <x:row r="36">
      <x:c r="A36" s="30"/>
      <x:c r="B36" s="9"/>
      <x:c r="C36" s="9"/>
      <x:c r="D36" s="5"/>
      <x:c r="E36" s="9"/>
      <x:c r="F36" s="9"/>
      <x:c r="G36" s="9"/>
      <x:c r="H36" s="9"/>
      <x:c r="I36" s="12"/>
      <x:c r="J36" s="18"/>
      <x:c r="K36" s="9"/>
      <x:c r="L36" s="9"/>
      <x:c r="M36" s="12"/>
      <x:c r="N36" s="33"/>
    </x:row>
    <x:row r="37">
      <x:c r="A37" s="30"/>
      <x:c r="B37" s="9"/>
      <x:c r="C37" s="9"/>
      <x:c r="D37" s="5"/>
      <x:c r="E37" s="9"/>
      <x:c r="F37" s="9"/>
      <x:c r="G37" s="9"/>
      <x:c r="H37" s="9"/>
      <x:c r="I37" s="12"/>
      <x:c r="J37" s="18"/>
      <x:c r="K37" s="9"/>
      <x:c r="L37" s="9"/>
      <x:c r="M37" s="12"/>
      <x:c r="N37" s="33"/>
    </x:row>
    <x:row r="38">
      <x:c r="A38" s="30"/>
      <x:c r="B38" s="9"/>
      <x:c r="C38" s="9"/>
      <x:c r="D38" s="5"/>
      <x:c r="E38" s="9"/>
      <x:c r="F38" s="9"/>
      <x:c r="G38" s="9"/>
      <x:c r="H38" s="9"/>
      <x:c r="I38" s="12"/>
      <x:c r="J38" s="18"/>
      <x:c r="K38" s="9"/>
      <x:c r="L38" s="9"/>
      <x:c r="M38" s="12"/>
      <x:c r="N38" s="33"/>
    </x:row>
    <x:row r="39">
      <x:c r="A39" s="30"/>
      <x:c r="B39" s="9"/>
      <x:c r="C39" s="9"/>
      <x:c r="D39" s="5"/>
      <x:c r="E39" s="9"/>
      <x:c r="F39" s="9"/>
      <x:c r="G39" s="9"/>
      <x:c r="H39" s="9"/>
      <x:c r="I39" s="12"/>
      <x:c r="J39" s="18"/>
      <x:c r="K39" s="9"/>
      <x:c r="L39" s="9"/>
      <x:c r="M39" s="12"/>
      <x:c r="N39" s="33"/>
    </x:row>
    <x:row r="40">
      <x:c r="A40" s="30"/>
      <x:c r="B40" s="9"/>
      <x:c r="C40" s="9"/>
      <x:c r="D40" s="5"/>
      <x:c r="E40" s="9"/>
      <x:c r="F40" s="9"/>
      <x:c r="G40" s="9"/>
      <x:c r="H40" s="9"/>
      <x:c r="I40" s="12"/>
      <x:c r="J40" s="18"/>
      <x:c r="K40" s="9"/>
      <x:c r="L40" s="9"/>
      <x:c r="M40" s="12"/>
      <x:c r="N40" s="33"/>
    </x:row>
    <x:row r="41">
      <x:c r="A41" s="30"/>
      <x:c r="B41" s="9"/>
      <x:c r="C41" s="9"/>
      <x:c r="D41" s="5"/>
      <x:c r="E41" s="9"/>
      <x:c r="F41" s="9"/>
      <x:c r="G41" s="9"/>
      <x:c r="H41" s="9"/>
      <x:c r="I41" s="12"/>
      <x:c r="J41" s="18"/>
      <x:c r="K41" s="9"/>
      <x:c r="L41" s="9"/>
      <x:c r="M41" s="12"/>
      <x:c r="N41" s="33"/>
    </x:row>
    <x:row r="42">
      <x:c r="A42" s="30"/>
      <x:c r="B42" s="9"/>
      <x:c r="C42" s="9"/>
      <x:c r="D42" s="5"/>
      <x:c r="E42" s="9"/>
      <x:c r="F42" s="9"/>
      <x:c r="G42" s="9"/>
      <x:c r="H42" s="9"/>
      <x:c r="I42" s="12"/>
      <x:c r="J42" s="18"/>
      <x:c r="K42" s="9"/>
      <x:c r="L42" s="9"/>
      <x:c r="M42" s="12"/>
      <x:c r="N42" s="33"/>
    </x:row>
    <x:row r="43">
      <x:c r="A43" s="30"/>
      <x:c r="B43" s="9"/>
      <x:c r="C43" s="9"/>
      <x:c r="D43" s="5"/>
      <x:c r="E43" s="9"/>
      <x:c r="F43" s="9"/>
      <x:c r="G43" s="9"/>
      <x:c r="H43" s="9"/>
      <x:c r="I43" s="12"/>
      <x:c r="J43" s="18"/>
      <x:c r="K43" s="9"/>
      <x:c r="L43" s="9"/>
      <x:c r="M43" s="12"/>
      <x:c r="N43" s="33"/>
    </x:row>
    <x:row r="44">
      <x:c r="A44" s="30"/>
      <x:c r="B44" s="9"/>
      <x:c r="C44" s="9"/>
      <x:c r="D44" s="5"/>
      <x:c r="E44" s="9"/>
      <x:c r="F44" s="9"/>
      <x:c r="G44" s="9"/>
      <x:c r="H44" s="9"/>
      <x:c r="I44" s="12"/>
      <x:c r="J44" s="18"/>
      <x:c r="K44" s="9"/>
      <x:c r="L44" s="9"/>
      <x:c r="M44" s="12"/>
      <x:c r="N44" s="33"/>
    </x:row>
    <x:row r="45">
      <x:c r="A45" s="30"/>
      <x:c r="B45" s="9"/>
      <x:c r="C45" s="9"/>
      <x:c r="D45" s="5"/>
      <x:c r="E45" s="9"/>
      <x:c r="F45" s="9"/>
      <x:c r="G45" s="9"/>
      <x:c r="H45" s="9"/>
      <x:c r="I45" s="12"/>
      <x:c r="J45" s="18"/>
      <x:c r="K45" s="9"/>
      <x:c r="L45" s="9"/>
      <x:c r="M45" s="12"/>
      <x:c r="N45" s="33"/>
    </x:row>
    <x:row r="46">
      <x:c r="A46" s="30"/>
      <x:c r="B46" s="9"/>
      <x:c r="C46" s="9"/>
      <x:c r="D46" s="5"/>
      <x:c r="E46" s="9"/>
      <x:c r="F46" s="9"/>
      <x:c r="G46" s="9"/>
      <x:c r="H46" s="9"/>
      <x:c r="I46" s="12"/>
      <x:c r="J46" s="18"/>
      <x:c r="K46" s="9"/>
      <x:c r="L46" s="9"/>
      <x:c r="M46" s="12"/>
      <x:c r="N46" s="33"/>
    </x:row>
    <x:row r="47">
      <x:c r="A47" s="30"/>
      <x:c r="B47" s="9"/>
      <x:c r="C47" s="9"/>
      <x:c r="D47" s="5"/>
      <x:c r="E47" s="9"/>
      <x:c r="F47" s="9"/>
      <x:c r="G47" s="9"/>
      <x:c r="H47" s="9"/>
      <x:c r="I47" s="12"/>
      <x:c r="J47" s="18"/>
      <x:c r="K47" s="9"/>
      <x:c r="L47" s="9"/>
      <x:c r="M47" s="12"/>
      <x:c r="N47" s="33"/>
    </x:row>
    <x:row r="48">
      <x:c r="A48" s="30"/>
      <x:c r="B48" s="9"/>
      <x:c r="C48" s="9"/>
      <x:c r="D48" s="5"/>
      <x:c r="E48" s="9"/>
      <x:c r="F48" s="9"/>
      <x:c r="G48" s="9"/>
      <x:c r="H48" s="9"/>
      <x:c r="I48" s="12"/>
      <x:c r="J48" s="18"/>
      <x:c r="K48" s="9"/>
      <x:c r="L48" s="9"/>
      <x:c r="M48" s="12"/>
      <x:c r="N48" s="33"/>
    </x:row>
    <x:row r="49">
      <x:c r="A49" s="30"/>
      <x:c r="B49" s="9"/>
      <x:c r="C49" s="9"/>
      <x:c r="D49" s="5"/>
      <x:c r="E49" s="9"/>
      <x:c r="F49" s="9"/>
      <x:c r="G49" s="9"/>
      <x:c r="H49" s="9"/>
      <x:c r="I49" s="12"/>
      <x:c r="J49" s="18"/>
      <x:c r="K49" s="9"/>
      <x:c r="L49" s="9"/>
      <x:c r="M49" s="12"/>
      <x:c r="N49" s="33"/>
    </x:row>
    <x:row r="50">
      <x:c r="A50" s="30"/>
      <x:c r="B50" s="9"/>
      <x:c r="C50" s="9"/>
      <x:c r="D50" s="5"/>
      <x:c r="E50" s="9"/>
      <x:c r="F50" s="9"/>
      <x:c r="G50" s="9"/>
      <x:c r="H50" s="9"/>
      <x:c r="I50" s="12"/>
      <x:c r="J50" s="18"/>
      <x:c r="K50" s="9"/>
      <x:c r="L50" s="9"/>
      <x:c r="M50" s="12"/>
      <x:c r="N50" s="33"/>
    </x:row>
    <x:row r="51">
      <x:c r="A51" s="30"/>
      <x:c r="B51" s="9"/>
      <x:c r="C51" s="9"/>
      <x:c r="D51" s="5"/>
      <x:c r="E51" s="9"/>
      <x:c r="F51" s="9"/>
      <x:c r="G51" s="9"/>
      <x:c r="H51" s="9"/>
      <x:c r="I51" s="12"/>
      <x:c r="J51" s="18"/>
      <x:c r="K51" s="9"/>
      <x:c r="L51" s="9"/>
      <x:c r="M51" s="12"/>
      <x:c r="N51" s="33"/>
    </x:row>
    <x:row r="52">
      <x:c r="A52" s="30"/>
      <x:c r="B52" s="9"/>
      <x:c r="C52" s="9"/>
      <x:c r="D52" s="5"/>
      <x:c r="E52" s="9"/>
      <x:c r="F52" s="9"/>
      <x:c r="G52" s="9"/>
      <x:c r="H52" s="9"/>
      <x:c r="I52" s="12"/>
      <x:c r="J52" s="18"/>
      <x:c r="K52" s="9"/>
      <x:c r="L52" s="9"/>
      <x:c r="M52" s="12"/>
      <x:c r="N52" s="33"/>
    </x:row>
    <x:row r="53">
      <x:c r="A53" s="30"/>
      <x:c r="B53" s="9"/>
      <x:c r="C53" s="9"/>
      <x:c r="D53" s="5"/>
      <x:c r="E53" s="9"/>
      <x:c r="F53" s="9"/>
      <x:c r="G53" s="9"/>
      <x:c r="H53" s="9"/>
      <x:c r="I53" s="12"/>
      <x:c r="J53" s="18"/>
      <x:c r="K53" s="9"/>
      <x:c r="L53" s="9"/>
      <x:c r="M53" s="12"/>
      <x:c r="N53" s="33"/>
    </x:row>
    <x:row r="54">
      <x:c r="A54" s="30"/>
      <x:c r="B54" s="9"/>
      <x:c r="C54" s="9"/>
      <x:c r="D54" s="5"/>
      <x:c r="E54" s="9"/>
      <x:c r="F54" s="9"/>
      <x:c r="G54" s="9"/>
      <x:c r="H54" s="9"/>
      <x:c r="I54" s="12"/>
      <x:c r="J54" s="18"/>
      <x:c r="K54" s="9"/>
      <x:c r="L54" s="9"/>
      <x:c r="M54" s="12"/>
      <x:c r="N54" s="33"/>
    </x:row>
    <x:row r="55">
      <x:c r="A55" s="30"/>
      <x:c r="B55" s="9"/>
      <x:c r="C55" s="9"/>
      <x:c r="D55" s="5"/>
      <x:c r="E55" s="9"/>
      <x:c r="F55" s="9"/>
      <x:c r="G55" s="9"/>
      <x:c r="H55" s="9"/>
      <x:c r="I55" s="12"/>
      <x:c r="J55" s="18"/>
      <x:c r="K55" s="9"/>
      <x:c r="L55" s="9"/>
      <x:c r="M55" s="12"/>
      <x:c r="N55" s="33"/>
    </x:row>
    <x:row r="56">
      <x:c r="A56" s="30"/>
      <x:c r="B56" s="9"/>
      <x:c r="C56" s="9"/>
      <x:c r="D56" s="5"/>
      <x:c r="E56" s="9"/>
      <x:c r="F56" s="9"/>
      <x:c r="G56" s="9"/>
      <x:c r="H56" s="9"/>
      <x:c r="I56" s="12"/>
      <x:c r="J56" s="18"/>
      <x:c r="K56" s="9"/>
      <x:c r="L56" s="9"/>
      <x:c r="M56" s="12"/>
      <x:c r="N56" s="33"/>
    </x:row>
    <x:row r="57">
      <x:c r="A57" s="30"/>
      <x:c r="B57" s="9"/>
      <x:c r="C57" s="9"/>
      <x:c r="D57" s="5"/>
      <x:c r="E57" s="9"/>
      <x:c r="F57" s="9"/>
      <x:c r="G57" s="9"/>
      <x:c r="H57" s="9"/>
      <x:c r="I57" s="12"/>
      <x:c r="J57" s="18"/>
      <x:c r="K57" s="9"/>
      <x:c r="L57" s="9"/>
      <x:c r="M57" s="12"/>
      <x:c r="N57" s="33"/>
    </x:row>
    <x:row r="58">
      <x:c r="A58" s="30"/>
      <x:c r="B58" s="9"/>
      <x:c r="C58" s="9"/>
      <x:c r="D58" s="5"/>
      <x:c r="E58" s="9"/>
      <x:c r="F58" s="9"/>
      <x:c r="G58" s="9"/>
      <x:c r="H58" s="9"/>
      <x:c r="I58" s="12"/>
      <x:c r="J58" s="18"/>
      <x:c r="K58" s="9"/>
      <x:c r="L58" s="9"/>
      <x:c r="M58" s="12"/>
      <x:c r="N58" s="33"/>
    </x:row>
    <x:row r="59">
      <x:c r="A59" s="30"/>
      <x:c r="B59" s="9"/>
      <x:c r="C59" s="9"/>
      <x:c r="D59" s="5"/>
      <x:c r="E59" s="9"/>
      <x:c r="F59" s="9"/>
      <x:c r="G59" s="9"/>
      <x:c r="H59" s="9"/>
      <x:c r="I59" s="12"/>
      <x:c r="J59" s="18"/>
      <x:c r="K59" s="9"/>
      <x:c r="L59" s="9"/>
      <x:c r="M59" s="12"/>
      <x:c r="N59" s="33"/>
    </x:row>
    <x:row r="60">
      <x:c r="A60" s="30"/>
      <x:c r="B60" s="9"/>
      <x:c r="C60" s="9"/>
      <x:c r="D60" s="5"/>
      <x:c r="E60" s="9"/>
      <x:c r="F60" s="9"/>
      <x:c r="G60" s="9"/>
      <x:c r="H60" s="9"/>
      <x:c r="I60" s="12"/>
      <x:c r="J60" s="18"/>
      <x:c r="K60" s="9"/>
      <x:c r="L60" s="9"/>
      <x:c r="M60" s="12"/>
      <x:c r="N60" s="33"/>
    </x:row>
    <x:row r="61">
      <x:c r="A61" s="30"/>
      <x:c r="B61" s="9"/>
      <x:c r="C61" s="9"/>
      <x:c r="D61" s="5"/>
      <x:c r="E61" s="9"/>
      <x:c r="F61" s="9"/>
      <x:c r="G61" s="9"/>
      <x:c r="H61" s="9"/>
      <x:c r="I61" s="12"/>
      <x:c r="J61" s="18"/>
      <x:c r="K61" s="9"/>
      <x:c r="L61" s="9"/>
      <x:c r="M61" s="12"/>
      <x:c r="N61" s="33"/>
    </x:row>
    <x:row r="62">
      <x:c r="A62" s="30"/>
      <x:c r="B62" s="9"/>
      <x:c r="C62" s="9"/>
      <x:c r="D62" s="5"/>
      <x:c r="E62" s="9"/>
      <x:c r="F62" s="9"/>
      <x:c r="G62" s="9"/>
      <x:c r="H62" s="9"/>
      <x:c r="I62" s="12"/>
      <x:c r="J62" s="18"/>
      <x:c r="K62" s="9"/>
      <x:c r="L62" s="9"/>
      <x:c r="M62" s="12"/>
      <x:c r="N62" s="33"/>
    </x:row>
    <x:row r="63">
      <x:c r="A63" s="30"/>
      <x:c r="B63" s="9"/>
      <x:c r="C63" s="9"/>
      <x:c r="D63" s="5"/>
      <x:c r="E63" s="9"/>
      <x:c r="F63" s="9"/>
      <x:c r="G63" s="9"/>
      <x:c r="H63" s="9"/>
      <x:c r="I63" s="12"/>
      <x:c r="J63" s="18"/>
      <x:c r="K63" s="9"/>
      <x:c r="L63" s="9"/>
      <x:c r="M63" s="12"/>
      <x:c r="N63" s="33"/>
    </x:row>
    <x:row r="64">
      <x:c r="A64" s="30"/>
      <x:c r="B64" s="9"/>
      <x:c r="C64" s="9"/>
      <x:c r="D64" s="5"/>
      <x:c r="E64" s="9"/>
      <x:c r="F64" s="9"/>
      <x:c r="G64" s="9"/>
      <x:c r="H64" s="9"/>
      <x:c r="I64" s="12"/>
      <x:c r="J64" s="18"/>
      <x:c r="K64" s="9"/>
      <x:c r="L64" s="9"/>
      <x:c r="M64" s="12"/>
      <x:c r="N64" s="33"/>
    </x:row>
    <x:row r="65">
      <x:c r="A65" s="30"/>
      <x:c r="B65" s="9"/>
      <x:c r="C65" s="9"/>
      <x:c r="D65" s="5"/>
      <x:c r="E65" s="9"/>
      <x:c r="F65" s="9"/>
      <x:c r="G65" s="9"/>
      <x:c r="H65" s="9"/>
      <x:c r="I65" s="12"/>
      <x:c r="J65" s="18"/>
      <x:c r="K65" s="9"/>
      <x:c r="L65" s="9"/>
      <x:c r="M65" s="12"/>
      <x:c r="N65" s="33"/>
    </x:row>
    <x:row r="66">
      <x:c r="A66" s="30"/>
      <x:c r="B66" s="9"/>
      <x:c r="C66" s="9"/>
      <x:c r="D66" s="5"/>
      <x:c r="E66" s="9"/>
      <x:c r="F66" s="9"/>
      <x:c r="G66" s="9"/>
      <x:c r="H66" s="9"/>
      <x:c r="I66" s="12"/>
      <x:c r="J66" s="18"/>
      <x:c r="K66" s="9"/>
      <x:c r="L66" s="9"/>
      <x:c r="M66" s="12"/>
      <x:c r="N66" s="33"/>
    </x:row>
    <x:row r="67">
      <x:c r="A67" s="30"/>
      <x:c r="B67" s="9"/>
      <x:c r="C67" s="9"/>
      <x:c r="D67" s="5"/>
      <x:c r="E67" s="9"/>
      <x:c r="F67" s="9"/>
      <x:c r="G67" s="9"/>
      <x:c r="H67" s="9"/>
      <x:c r="I67" s="12"/>
      <x:c r="J67" s="18"/>
      <x:c r="K67" s="9"/>
      <x:c r="L67" s="9"/>
      <x:c r="M67" s="12"/>
      <x:c r="N67" s="33"/>
    </x:row>
    <x:row r="68">
      <x:c r="A68" s="30"/>
      <x:c r="B68" s="9"/>
      <x:c r="C68" s="9"/>
      <x:c r="D68" s="5"/>
      <x:c r="E68" s="9"/>
      <x:c r="F68" s="9"/>
      <x:c r="G68" s="9"/>
      <x:c r="H68" s="9"/>
      <x:c r="I68" s="12"/>
      <x:c r="J68" s="18"/>
      <x:c r="K68" s="9"/>
      <x:c r="L68" s="9"/>
      <x:c r="M68" s="12"/>
      <x:c r="N68" s="33"/>
    </x:row>
    <x:row r="69">
      <x:c r="A69" s="30"/>
      <x:c r="B69" s="9"/>
      <x:c r="C69" s="9"/>
      <x:c r="D69" s="5"/>
      <x:c r="E69" s="9"/>
      <x:c r="F69" s="9"/>
      <x:c r="G69" s="9"/>
      <x:c r="H69" s="9"/>
      <x:c r="I69" s="12"/>
      <x:c r="J69" s="18"/>
      <x:c r="K69" s="9"/>
      <x:c r="L69" s="9"/>
      <x:c r="M69" s="12"/>
      <x:c r="N69" s="33"/>
    </x:row>
    <x:row r="70">
      <x:c r="A70" s="30"/>
      <x:c r="B70" s="9"/>
      <x:c r="C70" s="9"/>
      <x:c r="D70" s="5"/>
      <x:c r="E70" s="9"/>
      <x:c r="F70" s="9"/>
      <x:c r="G70" s="9"/>
      <x:c r="H70" s="9"/>
      <x:c r="I70" s="12"/>
      <x:c r="J70" s="18"/>
      <x:c r="K70" s="9"/>
      <x:c r="L70" s="9"/>
      <x:c r="M70" s="12"/>
      <x:c r="N70" s="33"/>
    </x:row>
    <x:row r="71">
      <x:c r="A71" s="30"/>
      <x:c r="B71" s="9"/>
      <x:c r="C71" s="9"/>
      <x:c r="D71" s="5"/>
      <x:c r="E71" s="9"/>
      <x:c r="F71" s="9"/>
      <x:c r="G71" s="9"/>
      <x:c r="H71" s="9"/>
      <x:c r="I71" s="12"/>
      <x:c r="J71" s="18"/>
      <x:c r="K71" s="9"/>
      <x:c r="L71" s="9"/>
      <x:c r="M71" s="12"/>
      <x:c r="N71" s="33"/>
    </x:row>
    <x:row r="72">
      <x:c r="A72" s="30"/>
      <x:c r="B72" s="9"/>
      <x:c r="C72" s="9"/>
      <x:c r="D72" s="5"/>
      <x:c r="E72" s="9"/>
      <x:c r="F72" s="9"/>
      <x:c r="G72" s="9"/>
      <x:c r="H72" s="9"/>
      <x:c r="I72" s="12"/>
      <x:c r="J72" s="18"/>
      <x:c r="K72" s="9"/>
      <x:c r="L72" s="9"/>
      <x:c r="M72" s="12"/>
      <x:c r="N72" s="33"/>
    </x:row>
    <x:row r="73">
      <x:c r="A73" s="30"/>
      <x:c r="B73" s="9"/>
      <x:c r="C73" s="9"/>
      <x:c r="D73" s="5"/>
      <x:c r="E73" s="9"/>
      <x:c r="F73" s="9"/>
      <x:c r="G73" s="9"/>
      <x:c r="H73" s="9"/>
      <x:c r="I73" s="12"/>
      <x:c r="J73" s="18"/>
      <x:c r="K73" s="9"/>
      <x:c r="L73" s="9"/>
      <x:c r="M73" s="12"/>
      <x:c r="N73" s="33"/>
    </x:row>
    <x:row r="74">
      <x:c r="A74" s="30"/>
      <x:c r="B74" s="9"/>
      <x:c r="C74" s="9"/>
      <x:c r="D74" s="5"/>
      <x:c r="E74" s="9"/>
      <x:c r="F74" s="9"/>
      <x:c r="G74" s="9"/>
      <x:c r="H74" s="9"/>
      <x:c r="I74" s="12"/>
      <x:c r="J74" s="18"/>
      <x:c r="K74" s="9"/>
      <x:c r="L74" s="9"/>
      <x:c r="M74" s="12"/>
      <x:c r="N74" s="33"/>
    </x:row>
    <x:row r="75">
      <x:c r="A75" s="30"/>
      <x:c r="B75" s="9"/>
      <x:c r="C75" s="9"/>
      <x:c r="D75" s="5"/>
      <x:c r="E75" s="9"/>
      <x:c r="F75" s="9"/>
      <x:c r="G75" s="9"/>
      <x:c r="H75" s="9"/>
      <x:c r="I75" s="12"/>
      <x:c r="J75" s="18"/>
      <x:c r="K75" s="9"/>
      <x:c r="L75" s="9"/>
      <x:c r="M75" s="12"/>
      <x:c r="N75" s="33"/>
    </x:row>
    <x:row r="76">
      <x:c r="A76" s="30"/>
      <x:c r="B76" s="9"/>
      <x:c r="C76" s="9"/>
      <x:c r="D76" s="5"/>
      <x:c r="E76" s="9"/>
      <x:c r="F76" s="9"/>
      <x:c r="G76" s="9"/>
      <x:c r="H76" s="9"/>
      <x:c r="I76" s="12"/>
      <x:c r="J76" s="18"/>
      <x:c r="K76" s="9"/>
      <x:c r="L76" s="9"/>
      <x:c r="M76" s="12"/>
      <x:c r="N76" s="33"/>
    </x:row>
    <x:row r="77">
      <x:c r="A77" s="30"/>
      <x:c r="B77" s="9"/>
      <x:c r="C77" s="9"/>
      <x:c r="D77" s="5"/>
      <x:c r="E77" s="9"/>
      <x:c r="F77" s="9"/>
      <x:c r="G77" s="9"/>
      <x:c r="H77" s="9"/>
      <x:c r="I77" s="12"/>
      <x:c r="J77" s="18"/>
      <x:c r="K77" s="9"/>
      <x:c r="L77" s="9"/>
      <x:c r="M77" s="12"/>
      <x:c r="N77" s="33"/>
    </x:row>
    <x:row r="78">
      <x:c r="A78" s="30"/>
      <x:c r="B78" s="9"/>
      <x:c r="C78" s="9"/>
      <x:c r="D78" s="5"/>
      <x:c r="E78" s="9"/>
      <x:c r="F78" s="9"/>
      <x:c r="G78" s="9"/>
      <x:c r="H78" s="9"/>
      <x:c r="I78" s="12"/>
      <x:c r="J78" s="18"/>
      <x:c r="K78" s="9"/>
      <x:c r="L78" s="9"/>
      <x:c r="M78" s="12"/>
      <x:c r="N78" s="33"/>
    </x:row>
    <x:row r="79">
      <x:c r="A79" s="30"/>
      <x:c r="B79" s="9"/>
      <x:c r="C79" s="9"/>
      <x:c r="D79" s="5"/>
      <x:c r="E79" s="9"/>
      <x:c r="F79" s="9"/>
      <x:c r="G79" s="9"/>
      <x:c r="H79" s="9"/>
      <x:c r="I79" s="12"/>
      <x:c r="J79" s="18"/>
      <x:c r="K79" s="9"/>
      <x:c r="L79" s="9"/>
      <x:c r="M79" s="12"/>
      <x:c r="N79" s="33"/>
    </x:row>
    <x:row r="80">
      <x:c r="A80" s="30"/>
      <x:c r="B80" s="9"/>
      <x:c r="C80" s="9"/>
      <x:c r="D80" s="5"/>
      <x:c r="E80" s="9"/>
      <x:c r="F80" s="9"/>
      <x:c r="G80" s="9"/>
      <x:c r="H80" s="9"/>
      <x:c r="I80" s="12"/>
      <x:c r="J80" s="18"/>
      <x:c r="K80" s="9"/>
      <x:c r="L80" s="9"/>
      <x:c r="M80" s="12"/>
      <x:c r="N80" s="33"/>
    </x:row>
    <x:row r="81">
      <x:c r="A81" s="30"/>
      <x:c r="B81" s="9"/>
      <x:c r="C81" s="9"/>
      <x:c r="D81" s="5"/>
      <x:c r="E81" s="9"/>
      <x:c r="F81" s="9"/>
      <x:c r="G81" s="9"/>
      <x:c r="H81" s="9"/>
      <x:c r="I81" s="12"/>
      <x:c r="J81" s="18"/>
      <x:c r="K81" s="9"/>
      <x:c r="L81" s="9"/>
      <x:c r="M81" s="12"/>
      <x:c r="N81" s="33"/>
    </x:row>
    <x:row r="82">
      <x:c r="A82" s="30"/>
      <x:c r="B82" s="9"/>
      <x:c r="C82" s="9"/>
      <x:c r="D82" s="5"/>
      <x:c r="E82" s="9"/>
      <x:c r="F82" s="9"/>
      <x:c r="G82" s="9"/>
      <x:c r="H82" s="9"/>
      <x:c r="I82" s="12"/>
      <x:c r="J82" s="18"/>
      <x:c r="K82" s="9"/>
      <x:c r="L82" s="9"/>
      <x:c r="M82" s="12"/>
      <x:c r="N82" s="33"/>
    </x:row>
    <x:row r="83">
      <x:c r="A83" s="30"/>
      <x:c r="B83" s="9"/>
      <x:c r="C83" s="9"/>
      <x:c r="D83" s="5"/>
      <x:c r="E83" s="9"/>
      <x:c r="F83" s="9"/>
      <x:c r="G83" s="9"/>
      <x:c r="H83" s="9"/>
      <x:c r="I83" s="12"/>
      <x:c r="J83" s="18"/>
      <x:c r="K83" s="9"/>
      <x:c r="L83" s="9"/>
      <x:c r="M83" s="12"/>
      <x:c r="N83" s="33"/>
    </x:row>
    <x:row r="84">
      <x:c r="A84" s="30"/>
      <x:c r="B84" s="9"/>
      <x:c r="C84" s="9"/>
      <x:c r="D84" s="5"/>
      <x:c r="E84" s="9"/>
      <x:c r="F84" s="9"/>
      <x:c r="G84" s="9"/>
      <x:c r="H84" s="9"/>
      <x:c r="I84" s="12"/>
      <x:c r="J84" s="18"/>
      <x:c r="K84" s="9"/>
      <x:c r="L84" s="9"/>
      <x:c r="M84" s="12"/>
      <x:c r="N84" s="33"/>
    </x:row>
    <x:row r="85">
      <x:c r="A85" s="30"/>
      <x:c r="B85" s="9"/>
      <x:c r="C85" s="9"/>
      <x:c r="D85" s="5"/>
      <x:c r="E85" s="9"/>
      <x:c r="F85" s="9"/>
      <x:c r="G85" s="9"/>
      <x:c r="H85" s="9"/>
      <x:c r="I85" s="12"/>
      <x:c r="J85" s="18"/>
      <x:c r="K85" s="9"/>
      <x:c r="L85" s="9"/>
      <x:c r="M85" s="12"/>
      <x:c r="N85" s="33"/>
    </x:row>
    <x:row r="86">
      <x:c r="A86" s="30"/>
      <x:c r="B86" s="9"/>
      <x:c r="C86" s="9"/>
      <x:c r="D86" s="5"/>
      <x:c r="E86" s="9"/>
      <x:c r="F86" s="9"/>
      <x:c r="G86" s="9"/>
      <x:c r="H86" s="9"/>
      <x:c r="I86" s="12"/>
      <x:c r="J86" s="18"/>
      <x:c r="K86" s="9"/>
      <x:c r="L86" s="9"/>
      <x:c r="M86" s="12"/>
      <x:c r="N86" s="33"/>
    </x:row>
    <x:row r="87">
      <x:c r="A87" s="30"/>
      <x:c r="B87" s="9"/>
      <x:c r="C87" s="9"/>
      <x:c r="D87" s="5"/>
      <x:c r="E87" s="9"/>
      <x:c r="F87" s="9"/>
      <x:c r="G87" s="9"/>
      <x:c r="H87" s="9"/>
      <x:c r="I87" s="12"/>
      <x:c r="J87" s="18"/>
      <x:c r="K87" s="9"/>
      <x:c r="L87" s="9"/>
      <x:c r="M87" s="12"/>
      <x:c r="N87" s="33"/>
    </x:row>
    <x:row r="88">
      <x:c r="A88" s="30"/>
      <x:c r="B88" s="9"/>
      <x:c r="C88" s="9"/>
      <x:c r="D88" s="5"/>
      <x:c r="E88" s="9"/>
      <x:c r="F88" s="9"/>
      <x:c r="G88" s="9"/>
      <x:c r="H88" s="9"/>
      <x:c r="I88" s="12"/>
      <x:c r="J88" s="18"/>
      <x:c r="K88" s="9"/>
      <x:c r="L88" s="9"/>
      <x:c r="M88" s="12"/>
      <x:c r="N88" s="33"/>
    </x:row>
    <x:row r="89">
      <x:c r="A89" s="30"/>
      <x:c r="B89" s="9"/>
      <x:c r="C89" s="9"/>
      <x:c r="D89" s="5"/>
      <x:c r="E89" s="9"/>
      <x:c r="F89" s="9"/>
      <x:c r="G89" s="9"/>
      <x:c r="H89" s="9"/>
      <x:c r="I89" s="12"/>
      <x:c r="J89" s="18"/>
      <x:c r="K89" s="9"/>
      <x:c r="L89" s="9"/>
      <x:c r="M89" s="12"/>
      <x:c r="N89" s="33"/>
    </x:row>
    <x:row r="90">
      <x:c r="A90" s="30"/>
      <x:c r="B90" s="9"/>
      <x:c r="C90" s="9"/>
      <x:c r="D90" s="5"/>
      <x:c r="E90" s="9"/>
      <x:c r="F90" s="9"/>
      <x:c r="G90" s="9"/>
      <x:c r="H90" s="9"/>
      <x:c r="I90" s="12"/>
      <x:c r="J90" s="18"/>
      <x:c r="K90" s="9"/>
      <x:c r="L90" s="9"/>
      <x:c r="M90" s="12"/>
      <x:c r="N90" s="33"/>
    </x:row>
    <x:row r="91">
      <x:c r="A91" s="30"/>
      <x:c r="B91" s="9"/>
      <x:c r="C91" s="9"/>
      <x:c r="D91" s="5"/>
      <x:c r="E91" s="9"/>
      <x:c r="F91" s="9"/>
      <x:c r="G91" s="9"/>
      <x:c r="H91" s="9"/>
      <x:c r="I91" s="12"/>
      <x:c r="J91" s="18"/>
      <x:c r="K91" s="9"/>
      <x:c r="L91" s="9"/>
      <x:c r="M91" s="12"/>
      <x:c r="N91" s="33"/>
    </x:row>
    <x:row r="92">
      <x:c r="A92" s="30"/>
      <x:c r="B92" s="9"/>
      <x:c r="C92" s="9"/>
      <x:c r="D92" s="5"/>
      <x:c r="E92" s="9"/>
      <x:c r="F92" s="9"/>
      <x:c r="G92" s="9"/>
      <x:c r="H92" s="9"/>
      <x:c r="I92" s="12"/>
      <x:c r="J92" s="18"/>
      <x:c r="K92" s="9"/>
      <x:c r="L92" s="9"/>
      <x:c r="M92" s="12"/>
      <x:c r="N92" s="33"/>
    </x:row>
    <x:row r="93">
      <x:c r="A93" s="30"/>
      <x:c r="B93" s="9"/>
      <x:c r="C93" s="9"/>
      <x:c r="D93" s="5"/>
      <x:c r="E93" s="9"/>
      <x:c r="F93" s="9"/>
      <x:c r="G93" s="9"/>
      <x:c r="H93" s="9"/>
      <x:c r="I93" s="12"/>
      <x:c r="J93" s="18"/>
      <x:c r="K93" s="9"/>
      <x:c r="L93" s="9"/>
      <x:c r="M93" s="12"/>
      <x:c r="N93" s="33"/>
    </x:row>
    <x:row r="94">
      <x:c r="A94" s="30"/>
      <x:c r="B94" s="9"/>
      <x:c r="C94" s="9"/>
      <x:c r="D94" s="5"/>
      <x:c r="E94" s="9"/>
      <x:c r="F94" s="9"/>
      <x:c r="G94" s="9"/>
      <x:c r="H94" s="9"/>
      <x:c r="I94" s="12"/>
      <x:c r="J94" s="18"/>
      <x:c r="K94" s="9"/>
      <x:c r="L94" s="9"/>
      <x:c r="M94" s="12"/>
      <x:c r="N94" s="33"/>
    </x:row>
    <x:row r="95">
      <x:c r="A95" s="30"/>
      <x:c r="B95" s="9"/>
      <x:c r="C95" s="9"/>
      <x:c r="D95" s="5"/>
      <x:c r="E95" s="9"/>
      <x:c r="F95" s="9"/>
      <x:c r="G95" s="9"/>
      <x:c r="H95" s="9"/>
      <x:c r="I95" s="12"/>
      <x:c r="J95" s="18"/>
      <x:c r="K95" s="9"/>
      <x:c r="L95" s="9"/>
      <x:c r="M95" s="12"/>
      <x:c r="N95" s="33"/>
    </x:row>
    <x:row r="96">
      <x:c r="A96" s="30"/>
      <x:c r="B96" s="9"/>
      <x:c r="C96" s="9"/>
      <x:c r="D96" s="5"/>
      <x:c r="E96" s="9"/>
      <x:c r="F96" s="9"/>
      <x:c r="G96" s="9"/>
      <x:c r="H96" s="9"/>
      <x:c r="I96" s="12"/>
      <x:c r="J96" s="18"/>
      <x:c r="K96" s="9"/>
      <x:c r="L96" s="9"/>
      <x:c r="M96" s="12"/>
      <x:c r="N96" s="33"/>
    </x:row>
    <x:row r="97">
      <x:c r="A97" s="30"/>
      <x:c r="B97" s="9"/>
      <x:c r="C97" s="9"/>
      <x:c r="D97" s="5"/>
      <x:c r="E97" s="9"/>
      <x:c r="F97" s="9"/>
      <x:c r="G97" s="9"/>
      <x:c r="H97" s="9"/>
      <x:c r="I97" s="12"/>
      <x:c r="J97" s="18"/>
      <x:c r="K97" s="9"/>
      <x:c r="L97" s="9"/>
      <x:c r="M97" s="12"/>
      <x:c r="N97" s="33"/>
    </x:row>
    <x:row r="98">
      <x:c r="A98" s="30"/>
      <x:c r="B98" s="9"/>
      <x:c r="C98" s="9"/>
      <x:c r="D98" s="5"/>
      <x:c r="E98" s="9"/>
      <x:c r="F98" s="9"/>
      <x:c r="G98" s="9"/>
      <x:c r="H98" s="9"/>
      <x:c r="I98" s="12"/>
      <x:c r="J98" s="18"/>
      <x:c r="K98" s="9"/>
      <x:c r="L98" s="9"/>
      <x:c r="M98" s="12"/>
      <x:c r="N98" s="33"/>
    </x:row>
    <x:row r="99">
      <x:c r="A99" s="30"/>
      <x:c r="B99" s="9"/>
      <x:c r="C99" s="9"/>
      <x:c r="D99" s="5"/>
      <x:c r="E99" s="9"/>
      <x:c r="F99" s="9"/>
      <x:c r="G99" s="9"/>
      <x:c r="H99" s="9"/>
      <x:c r="I99" s="12"/>
      <x:c r="J99" s="18"/>
      <x:c r="K99" s="9"/>
      <x:c r="L99" s="9"/>
      <x:c r="M99" s="12"/>
      <x:c r="N99" s="33"/>
    </x:row>
    <x:row r="100">
      <x:c r="A100" s="30"/>
      <x:c r="B100" s="9"/>
      <x:c r="C100" s="9"/>
      <x:c r="D100" s="5"/>
      <x:c r="E100" s="9"/>
      <x:c r="F100" s="9"/>
      <x:c r="G100" s="9"/>
      <x:c r="H100" s="9"/>
      <x:c r="I100" s="12"/>
      <x:c r="J100" s="18"/>
      <x:c r="K100" s="9"/>
      <x:c r="L100" s="9"/>
      <x:c r="M100" s="12"/>
      <x:c r="N100" s="33"/>
    </x:row>
    <x:row r="101">
      <x:c r="A101" s="30"/>
      <x:c r="B101" s="9"/>
      <x:c r="C101" s="9"/>
      <x:c r="D101" s="5"/>
      <x:c r="E101" s="9"/>
      <x:c r="F101" s="9"/>
      <x:c r="G101" s="9"/>
      <x:c r="H101" s="9"/>
      <x:c r="I101" s="12"/>
      <x:c r="J101" s="18"/>
      <x:c r="K101" s="9"/>
      <x:c r="L101" s="9"/>
      <x:c r="M101" s="12"/>
      <x:c r="N101" s="33"/>
    </x:row>
    <x:row r="102">
      <x:c r="A102" s="30"/>
      <x:c r="B102" s="9"/>
      <x:c r="C102" s="9"/>
      <x:c r="D102" s="5"/>
      <x:c r="E102" s="9"/>
      <x:c r="F102" s="9"/>
      <x:c r="G102" s="9"/>
      <x:c r="H102" s="9"/>
      <x:c r="I102" s="12"/>
      <x:c r="J102" s="18"/>
      <x:c r="K102" s="9"/>
      <x:c r="L102" s="9"/>
      <x:c r="M102" s="12"/>
      <x:c r="N102" s="33"/>
    </x:row>
    <x:row r="103">
      <x:c r="A103" s="30"/>
      <x:c r="B103" s="9"/>
      <x:c r="C103" s="9"/>
      <x:c r="D103" s="5"/>
      <x:c r="E103" s="9"/>
      <x:c r="F103" s="9"/>
      <x:c r="G103" s="9"/>
      <x:c r="H103" s="9"/>
      <x:c r="I103" s="12"/>
      <x:c r="J103" s="18"/>
      <x:c r="K103" s="9"/>
      <x:c r="L103" s="9"/>
      <x:c r="M103" s="12"/>
      <x:c r="N103" s="33"/>
    </x:row>
    <x:row r="104">
      <x:c r="A104" s="30"/>
      <x:c r="B104" s="9"/>
      <x:c r="C104" s="9"/>
      <x:c r="D104" s="5"/>
      <x:c r="E104" s="9"/>
      <x:c r="F104" s="9"/>
      <x:c r="G104" s="9"/>
      <x:c r="H104" s="9"/>
      <x:c r="I104" s="12"/>
      <x:c r="J104" s="18"/>
      <x:c r="K104" s="9"/>
      <x:c r="L104" s="9"/>
      <x:c r="M104" s="12"/>
      <x:c r="N104" s="33"/>
    </x:row>
    <x:row r="105">
      <x:c r="A105" s="30"/>
      <x:c r="B105" s="9"/>
      <x:c r="C105" s="9"/>
      <x:c r="D105" s="5"/>
      <x:c r="E105" s="9"/>
      <x:c r="F105" s="9"/>
      <x:c r="G105" s="9"/>
      <x:c r="H105" s="9"/>
      <x:c r="I105" s="12"/>
      <x:c r="J105" s="18"/>
      <x:c r="K105" s="9"/>
      <x:c r="L105" s="9"/>
      <x:c r="M105" s="12"/>
      <x:c r="N105" s="33"/>
    </x:row>
    <x:row r="106">
      <x:c r="A106" s="30"/>
      <x:c r="B106" s="9"/>
      <x:c r="C106" s="9"/>
      <x:c r="D106" s="5"/>
      <x:c r="E106" s="9"/>
      <x:c r="F106" s="9"/>
      <x:c r="G106" s="9"/>
      <x:c r="H106" s="9"/>
      <x:c r="I106" s="12"/>
      <x:c r="J106" s="18"/>
      <x:c r="K106" s="9"/>
      <x:c r="L106" s="9"/>
      <x:c r="M106" s="12"/>
      <x:c r="N106" s="33"/>
    </x:row>
    <x:row r="107">
      <x:c r="A107" s="30"/>
      <x:c r="B107" s="9"/>
      <x:c r="C107" s="9"/>
      <x:c r="D107" s="5"/>
      <x:c r="E107" s="9"/>
      <x:c r="F107" s="9"/>
      <x:c r="G107" s="9"/>
      <x:c r="H107" s="9"/>
      <x:c r="I107" s="12"/>
      <x:c r="J107" s="18"/>
      <x:c r="K107" s="9"/>
      <x:c r="L107" s="9"/>
      <x:c r="M107" s="12"/>
      <x:c r="N107" s="33"/>
    </x:row>
    <x:row r="108">
      <x:c r="A108" s="30"/>
      <x:c r="B108" s="9"/>
      <x:c r="C108" s="9"/>
      <x:c r="D108" s="5"/>
      <x:c r="E108" s="9"/>
      <x:c r="F108" s="9"/>
      <x:c r="G108" s="9"/>
      <x:c r="H108" s="9"/>
      <x:c r="I108" s="12"/>
      <x:c r="J108" s="18"/>
      <x:c r="K108" s="9"/>
      <x:c r="L108" s="9"/>
      <x:c r="M108" s="12"/>
      <x:c r="N108" s="33"/>
    </x:row>
    <x:row r="109">
      <x:c r="A109" s="30"/>
      <x:c r="B109" s="9"/>
      <x:c r="C109" s="9"/>
      <x:c r="D109" s="5"/>
      <x:c r="E109" s="9"/>
      <x:c r="F109" s="9"/>
      <x:c r="G109" s="9"/>
      <x:c r="H109" s="9"/>
      <x:c r="I109" s="12"/>
      <x:c r="J109" s="18"/>
      <x:c r="K109" s="9"/>
      <x:c r="L109" s="9"/>
      <x:c r="M109" s="12"/>
      <x:c r="N109" s="33"/>
    </x:row>
    <x:row r="110">
      <x:c r="A110" s="30"/>
      <x:c r="B110" s="9"/>
      <x:c r="C110" s="9"/>
      <x:c r="D110" s="5"/>
      <x:c r="E110" s="9"/>
      <x:c r="F110" s="9"/>
      <x:c r="G110" s="9"/>
      <x:c r="H110" s="9"/>
      <x:c r="I110" s="12"/>
      <x:c r="J110" s="18"/>
      <x:c r="K110" s="9"/>
      <x:c r="L110" s="9"/>
      <x:c r="M110" s="12"/>
      <x:c r="N110" s="33"/>
    </x:row>
    <x:row r="111">
      <x:c r="A111" s="30"/>
      <x:c r="B111" s="9"/>
      <x:c r="C111" s="9"/>
      <x:c r="D111" s="5"/>
      <x:c r="E111" s="9"/>
      <x:c r="F111" s="9"/>
      <x:c r="G111" s="9"/>
      <x:c r="H111" s="9"/>
      <x:c r="I111" s="12"/>
      <x:c r="J111" s="18"/>
      <x:c r="K111" s="9"/>
      <x:c r="L111" s="9"/>
      <x:c r="M111" s="12"/>
      <x:c r="N111" s="33"/>
    </x:row>
    <x:row r="112">
      <x:c r="A112" s="30"/>
      <x:c r="B112" s="9"/>
      <x:c r="C112" s="9"/>
      <x:c r="D112" s="5"/>
      <x:c r="E112" s="9"/>
      <x:c r="F112" s="9"/>
      <x:c r="G112" s="9"/>
      <x:c r="H112" s="9"/>
      <x:c r="I112" s="12"/>
      <x:c r="J112" s="18"/>
      <x:c r="K112" s="9"/>
      <x:c r="L112" s="9"/>
      <x:c r="M112" s="12"/>
      <x:c r="N112" s="33"/>
    </x:row>
    <x:row r="113">
      <x:c r="A113" s="30"/>
      <x:c r="B113" s="9"/>
      <x:c r="C113" s="9"/>
      <x:c r="D113" s="5"/>
      <x:c r="E113" s="9"/>
      <x:c r="F113" s="9"/>
      <x:c r="G113" s="9"/>
      <x:c r="H113" s="9"/>
      <x:c r="I113" s="12"/>
      <x:c r="J113" s="18"/>
      <x:c r="K113" s="9"/>
      <x:c r="L113" s="9"/>
      <x:c r="M113" s="12"/>
      <x:c r="N113" s="33"/>
    </x:row>
    <x:row r="114">
      <x:c r="A114" s="30"/>
      <x:c r="B114" s="9"/>
      <x:c r="C114" s="9"/>
      <x:c r="D114" s="5"/>
      <x:c r="E114" s="9"/>
      <x:c r="F114" s="9"/>
      <x:c r="G114" s="9"/>
      <x:c r="H114" s="9"/>
      <x:c r="I114" s="12"/>
      <x:c r="J114" s="18"/>
      <x:c r="K114" s="9"/>
      <x:c r="L114" s="9"/>
      <x:c r="M114" s="12"/>
      <x:c r="N114" s="33"/>
    </x:row>
    <x:row r="115">
      <x:c r="A115" s="30"/>
      <x:c r="B115" s="9"/>
      <x:c r="C115" s="9"/>
      <x:c r="D115" s="5"/>
      <x:c r="E115" s="9"/>
      <x:c r="F115" s="9"/>
      <x:c r="G115" s="9"/>
      <x:c r="H115" s="9"/>
      <x:c r="I115" s="12"/>
      <x:c r="J115" s="18"/>
      <x:c r="K115" s="9"/>
      <x:c r="L115" s="9"/>
      <x:c r="M115" s="12"/>
      <x:c r="N115" s="33"/>
    </x:row>
    <x:row r="116">
      <x:c r="A116" s="30"/>
      <x:c r="B116" s="9"/>
      <x:c r="C116" s="9"/>
      <x:c r="D116" s="5"/>
      <x:c r="E116" s="9"/>
      <x:c r="F116" s="9"/>
      <x:c r="G116" s="9"/>
      <x:c r="H116" s="9"/>
      <x:c r="I116" s="12"/>
      <x:c r="J116" s="18"/>
      <x:c r="K116" s="9"/>
      <x:c r="L116" s="9"/>
      <x:c r="M116" s="12"/>
      <x:c r="N116" s="33"/>
    </x:row>
    <x:row r="117">
      <x:c r="A117" s="30"/>
      <x:c r="B117" s="9"/>
      <x:c r="C117" s="9"/>
      <x:c r="D117" s="5"/>
      <x:c r="E117" s="9"/>
      <x:c r="F117" s="9"/>
      <x:c r="G117" s="9"/>
      <x:c r="H117" s="9"/>
      <x:c r="I117" s="12"/>
      <x:c r="J117" s="18"/>
      <x:c r="K117" s="9"/>
      <x:c r="L117" s="9"/>
      <x:c r="M117" s="12"/>
      <x:c r="N117" s="33"/>
    </x:row>
    <x:row r="118">
      <x:c r="A118" s="30"/>
      <x:c r="B118" s="9"/>
      <x:c r="C118" s="9"/>
      <x:c r="D118" s="5"/>
      <x:c r="E118" s="9"/>
      <x:c r="F118" s="9"/>
      <x:c r="G118" s="9"/>
      <x:c r="H118" s="9"/>
      <x:c r="I118" s="12"/>
      <x:c r="J118" s="18"/>
      <x:c r="K118" s="9"/>
      <x:c r="L118" s="9"/>
      <x:c r="M118" s="12"/>
      <x:c r="N118" s="33"/>
    </x:row>
    <x:row r="119">
      <x:c r="A119" s="30"/>
      <x:c r="B119" s="9"/>
      <x:c r="C119" s="9"/>
      <x:c r="D119" s="5"/>
      <x:c r="E119" s="9"/>
      <x:c r="F119" s="9"/>
      <x:c r="G119" s="9"/>
      <x:c r="H119" s="9"/>
      <x:c r="I119" s="12"/>
      <x:c r="J119" s="18"/>
      <x:c r="K119" s="9"/>
      <x:c r="L119" s="9"/>
      <x:c r="M119" s="12"/>
      <x:c r="N119" s="33"/>
    </x:row>
    <x:row r="120">
      <x:c r="A120" s="30"/>
      <x:c r="B120" s="9"/>
      <x:c r="C120" s="9"/>
      <x:c r="D120" s="5"/>
      <x:c r="E120" s="9"/>
      <x:c r="F120" s="9"/>
      <x:c r="G120" s="9"/>
      <x:c r="H120" s="9"/>
      <x:c r="I120" s="12"/>
      <x:c r="J120" s="18"/>
      <x:c r="K120" s="9"/>
      <x:c r="L120" s="9"/>
      <x:c r="M120" s="12"/>
      <x:c r="N120" s="33"/>
    </x:row>
    <x:row r="121">
      <x:c r="A121" s="30"/>
      <x:c r="B121" s="9"/>
      <x:c r="C121" s="9"/>
      <x:c r="D121" s="5"/>
      <x:c r="E121" s="9"/>
      <x:c r="F121" s="9"/>
      <x:c r="G121" s="9"/>
      <x:c r="H121" s="9"/>
      <x:c r="I121" s="12"/>
      <x:c r="J121" s="18"/>
      <x:c r="K121" s="9"/>
      <x:c r="L121" s="9"/>
      <x:c r="M121" s="12"/>
      <x:c r="N121" s="33"/>
    </x:row>
    <x:row r="122">
      <x:c r="A122" s="30"/>
      <x:c r="B122" s="9"/>
      <x:c r="C122" s="9"/>
      <x:c r="D122" s="5"/>
      <x:c r="E122" s="9"/>
      <x:c r="F122" s="9"/>
      <x:c r="G122" s="9"/>
      <x:c r="H122" s="9"/>
      <x:c r="I122" s="12"/>
      <x:c r="J122" s="18"/>
      <x:c r="K122" s="9"/>
      <x:c r="L122" s="9"/>
      <x:c r="M122" s="12"/>
      <x:c r="N122" s="33"/>
    </x:row>
    <x:row r="123">
      <x:c r="A123" s="30"/>
      <x:c r="B123" s="9"/>
      <x:c r="C123" s="9"/>
      <x:c r="D123" s="5"/>
      <x:c r="E123" s="9"/>
      <x:c r="F123" s="9"/>
      <x:c r="G123" s="9"/>
      <x:c r="H123" s="9"/>
      <x:c r="I123" s="12"/>
      <x:c r="J123" s="18"/>
      <x:c r="K123" s="9"/>
      <x:c r="L123" s="9"/>
      <x:c r="M123" s="12"/>
      <x:c r="N123" s="33"/>
    </x:row>
    <x:row r="124">
      <x:c r="A124" s="30"/>
      <x:c r="B124" s="9"/>
      <x:c r="C124" s="9"/>
      <x:c r="D124" s="5"/>
      <x:c r="E124" s="9"/>
      <x:c r="F124" s="9"/>
      <x:c r="G124" s="9"/>
      <x:c r="H124" s="9"/>
      <x:c r="I124" s="12"/>
      <x:c r="J124" s="18"/>
      <x:c r="K124" s="9"/>
      <x:c r="L124" s="9"/>
      <x:c r="M124" s="12"/>
      <x:c r="N124" s="33"/>
    </x:row>
    <x:row r="125">
      <x:c r="A125" s="30"/>
      <x:c r="B125" s="9"/>
      <x:c r="C125" s="9"/>
      <x:c r="D125" s="5"/>
      <x:c r="E125" s="9"/>
      <x:c r="F125" s="9"/>
      <x:c r="G125" s="9"/>
      <x:c r="H125" s="9"/>
      <x:c r="I125" s="12"/>
      <x:c r="J125" s="18"/>
      <x:c r="K125" s="9"/>
      <x:c r="L125" s="9"/>
      <x:c r="M125" s="12"/>
      <x:c r="N125" s="33"/>
    </x:row>
    <x:row r="126">
      <x:c r="A126" s="30"/>
      <x:c r="B126" s="9"/>
      <x:c r="C126" s="9"/>
      <x:c r="D126" s="5"/>
      <x:c r="E126" s="9"/>
      <x:c r="F126" s="9"/>
      <x:c r="G126" s="9"/>
      <x:c r="H126" s="9"/>
      <x:c r="I126" s="12"/>
      <x:c r="J126" s="18"/>
      <x:c r="K126" s="9"/>
      <x:c r="L126" s="9"/>
      <x:c r="M126" s="12"/>
      <x:c r="N126" s="33"/>
    </x:row>
    <x:row r="127">
      <x:c r="A127" s="30"/>
      <x:c r="B127" s="9"/>
      <x:c r="C127" s="9"/>
      <x:c r="D127" s="5"/>
      <x:c r="E127" s="9"/>
      <x:c r="F127" s="9"/>
      <x:c r="G127" s="9"/>
      <x:c r="H127" s="9"/>
      <x:c r="I127" s="12"/>
      <x:c r="J127" s="18"/>
      <x:c r="K127" s="9"/>
      <x:c r="L127" s="9"/>
      <x:c r="M127" s="12"/>
      <x:c r="N127" s="33"/>
    </x:row>
    <x:row r="128">
      <x:c r="A128" s="30"/>
      <x:c r="B128" s="9"/>
      <x:c r="C128" s="9"/>
      <x:c r="D128" s="5"/>
      <x:c r="E128" s="9"/>
      <x:c r="F128" s="9"/>
      <x:c r="G128" s="9"/>
      <x:c r="H128" s="9"/>
      <x:c r="I128" s="12"/>
      <x:c r="J128" s="18"/>
      <x:c r="K128" s="9"/>
      <x:c r="L128" s="9"/>
      <x:c r="M128" s="12"/>
      <x:c r="N128" s="33"/>
    </x:row>
    <x:row r="129">
      <x:c r="A129" s="30"/>
      <x:c r="B129" s="9"/>
      <x:c r="C129" s="9"/>
      <x:c r="D129" s="5"/>
      <x:c r="E129" s="9"/>
      <x:c r="F129" s="9"/>
      <x:c r="G129" s="9"/>
      <x:c r="H129" s="9"/>
      <x:c r="I129" s="12"/>
      <x:c r="J129" s="18"/>
      <x:c r="K129" s="9"/>
      <x:c r="L129" s="9"/>
      <x:c r="M129" s="12"/>
      <x:c r="N129" s="33"/>
    </x:row>
    <x:row r="130">
      <x:c r="A130" s="30"/>
      <x:c r="B130" s="9"/>
      <x:c r="C130" s="9"/>
      <x:c r="D130" s="5"/>
      <x:c r="E130" s="9"/>
      <x:c r="F130" s="9"/>
      <x:c r="G130" s="9"/>
      <x:c r="H130" s="9"/>
      <x:c r="I130" s="12"/>
      <x:c r="J130" s="18"/>
      <x:c r="K130" s="9"/>
      <x:c r="L130" s="9"/>
      <x:c r="M130" s="12"/>
      <x:c r="N130" s="33"/>
    </x:row>
    <x:row r="131">
      <x:c r="A131" s="30"/>
      <x:c r="B131" s="9"/>
      <x:c r="C131" s="9"/>
      <x:c r="D131" s="5"/>
      <x:c r="E131" s="9"/>
      <x:c r="F131" s="9"/>
      <x:c r="G131" s="9"/>
      <x:c r="H131" s="9"/>
      <x:c r="I131" s="12"/>
      <x:c r="J131" s="18"/>
      <x:c r="K131" s="9"/>
      <x:c r="L131" s="9"/>
      <x:c r="M131" s="12"/>
      <x:c r="N131" s="33"/>
    </x:row>
    <x:row r="132">
      <x:c r="A132" s="30"/>
      <x:c r="B132" s="9"/>
      <x:c r="C132" s="9"/>
      <x:c r="D132" s="5"/>
      <x:c r="E132" s="9"/>
      <x:c r="F132" s="9"/>
      <x:c r="G132" s="9"/>
      <x:c r="H132" s="9"/>
      <x:c r="I132" s="12"/>
      <x:c r="J132" s="18"/>
      <x:c r="K132" s="9"/>
      <x:c r="L132" s="9"/>
      <x:c r="M132" s="12"/>
      <x:c r="N132" s="33"/>
    </x:row>
    <x:row r="133">
      <x:c r="A133" s="30"/>
      <x:c r="B133" s="9"/>
      <x:c r="C133" s="9"/>
      <x:c r="D133" s="5"/>
      <x:c r="E133" s="9"/>
      <x:c r="F133" s="9"/>
      <x:c r="G133" s="9"/>
      <x:c r="H133" s="9"/>
      <x:c r="I133" s="12"/>
      <x:c r="J133" s="18"/>
      <x:c r="K133" s="9"/>
      <x:c r="L133" s="9"/>
      <x:c r="M133" s="12"/>
      <x:c r="N133" s="33"/>
    </x:row>
    <x:row r="134">
      <x:c r="A134" s="30"/>
      <x:c r="B134" s="9"/>
      <x:c r="C134" s="9"/>
      <x:c r="D134" s="5"/>
      <x:c r="E134" s="9"/>
      <x:c r="F134" s="9"/>
      <x:c r="G134" s="9"/>
      <x:c r="H134" s="9"/>
      <x:c r="I134" s="12"/>
      <x:c r="J134" s="18"/>
      <x:c r="K134" s="9"/>
      <x:c r="L134" s="9"/>
      <x:c r="M134" s="12"/>
      <x:c r="N134" s="33"/>
    </x:row>
    <x:row r="135">
      <x:c r="A135" s="30"/>
      <x:c r="B135" s="9"/>
      <x:c r="C135" s="9"/>
      <x:c r="D135" s="5"/>
      <x:c r="E135" s="9"/>
      <x:c r="F135" s="9"/>
      <x:c r="G135" s="9"/>
      <x:c r="H135" s="9"/>
      <x:c r="I135" s="12"/>
      <x:c r="J135" s="18"/>
      <x:c r="K135" s="9"/>
      <x:c r="L135" s="9"/>
      <x:c r="M135" s="12"/>
      <x:c r="N135" s="33"/>
    </x:row>
    <x:row r="136">
      <x:c r="A136" s="30"/>
      <x:c r="B136" s="9"/>
      <x:c r="C136" s="9"/>
      <x:c r="D136" s="5"/>
      <x:c r="E136" s="9"/>
      <x:c r="F136" s="9"/>
      <x:c r="G136" s="9"/>
      <x:c r="H136" s="9"/>
      <x:c r="I136" s="12"/>
      <x:c r="J136" s="18"/>
      <x:c r="K136" s="9"/>
      <x:c r="L136" s="9"/>
      <x:c r="M136" s="12"/>
      <x:c r="N136" s="33"/>
    </x:row>
    <x:row r="137">
      <x:c r="A137" s="30"/>
      <x:c r="B137" s="9"/>
      <x:c r="C137" s="9"/>
      <x:c r="D137" s="5"/>
      <x:c r="E137" s="9"/>
      <x:c r="F137" s="9"/>
      <x:c r="G137" s="9"/>
      <x:c r="H137" s="9"/>
      <x:c r="I137" s="12"/>
      <x:c r="J137" s="18"/>
      <x:c r="K137" s="9"/>
      <x:c r="L137" s="9"/>
      <x:c r="M137" s="12"/>
      <x:c r="N137" s="33"/>
    </x:row>
    <x:row r="138">
      <x:c r="A138" s="30"/>
      <x:c r="B138" s="9"/>
      <x:c r="C138" s="9"/>
      <x:c r="D138" s="5"/>
      <x:c r="E138" s="9"/>
      <x:c r="F138" s="9"/>
      <x:c r="G138" s="9"/>
      <x:c r="H138" s="9"/>
      <x:c r="I138" s="12"/>
      <x:c r="J138" s="18"/>
      <x:c r="K138" s="9"/>
      <x:c r="L138" s="9"/>
      <x:c r="M138" s="12"/>
      <x:c r="N138" s="33"/>
    </x:row>
    <x:row r="139">
      <x:c r="A139" s="30"/>
      <x:c r="B139" s="9"/>
      <x:c r="C139" s="9"/>
      <x:c r="D139" s="5"/>
      <x:c r="E139" s="9"/>
      <x:c r="F139" s="9"/>
      <x:c r="G139" s="9"/>
      <x:c r="H139" s="9"/>
      <x:c r="I139" s="12"/>
      <x:c r="J139" s="18"/>
      <x:c r="K139" s="9"/>
      <x:c r="L139" s="9"/>
      <x:c r="M139" s="12"/>
      <x:c r="N139" s="33"/>
    </x:row>
    <x:row r="140">
      <x:c r="A140" s="30"/>
      <x:c r="B140" s="9"/>
      <x:c r="C140" s="9"/>
      <x:c r="D140" s="5"/>
      <x:c r="E140" s="9"/>
      <x:c r="F140" s="9"/>
      <x:c r="G140" s="9"/>
      <x:c r="H140" s="9"/>
      <x:c r="I140" s="12"/>
      <x:c r="J140" s="18"/>
      <x:c r="K140" s="9"/>
      <x:c r="L140" s="9"/>
      <x:c r="M140" s="12"/>
      <x:c r="N140" s="33"/>
    </x:row>
    <x:row r="141">
      <x:c r="A141" s="30"/>
      <x:c r="B141" s="9"/>
      <x:c r="C141" s="9"/>
      <x:c r="D141" s="5"/>
      <x:c r="E141" s="9"/>
      <x:c r="F141" s="9"/>
      <x:c r="G141" s="9"/>
      <x:c r="H141" s="9"/>
      <x:c r="I141" s="12"/>
      <x:c r="J141" s="18"/>
      <x:c r="K141" s="9"/>
      <x:c r="L141" s="9"/>
      <x:c r="M141" s="12"/>
      <x:c r="N141" s="33"/>
    </x:row>
    <x:row r="142">
      <x:c r="A142" s="30"/>
      <x:c r="B142" s="9"/>
      <x:c r="C142" s="9"/>
      <x:c r="D142" s="5"/>
      <x:c r="E142" s="9"/>
      <x:c r="F142" s="9"/>
      <x:c r="G142" s="9"/>
      <x:c r="H142" s="9"/>
      <x:c r="I142" s="12"/>
      <x:c r="J142" s="18"/>
      <x:c r="K142" s="9"/>
      <x:c r="L142" s="9"/>
      <x:c r="M142" s="12"/>
      <x:c r="N142" s="33"/>
    </x:row>
    <x:row r="143">
      <x:c r="A143" s="30"/>
      <x:c r="B143" s="9"/>
      <x:c r="C143" s="9"/>
      <x:c r="D143" s="5"/>
      <x:c r="E143" s="9"/>
      <x:c r="F143" s="9"/>
      <x:c r="G143" s="9"/>
      <x:c r="H143" s="9"/>
      <x:c r="I143" s="12"/>
      <x:c r="J143" s="18"/>
      <x:c r="K143" s="9"/>
      <x:c r="L143" s="9"/>
      <x:c r="M143" s="12"/>
      <x:c r="N143" s="33"/>
    </x:row>
    <x:row r="144">
      <x:c r="A144" s="30"/>
      <x:c r="B144" s="9"/>
      <x:c r="C144" s="9"/>
      <x:c r="D144" s="5"/>
      <x:c r="E144" s="9"/>
      <x:c r="F144" s="9"/>
      <x:c r="G144" s="9"/>
      <x:c r="H144" s="9"/>
      <x:c r="I144" s="12"/>
      <x:c r="J144" s="18"/>
      <x:c r="K144" s="9"/>
      <x:c r="L144" s="9"/>
      <x:c r="M144" s="12"/>
      <x:c r="N144" s="33"/>
    </x:row>
    <x:row r="145">
      <x:c r="A145" s="30"/>
      <x:c r="B145" s="9"/>
      <x:c r="C145" s="9"/>
      <x:c r="D145" s="5"/>
      <x:c r="E145" s="9"/>
      <x:c r="F145" s="9"/>
      <x:c r="G145" s="9"/>
      <x:c r="H145" s="9"/>
      <x:c r="I145" s="12"/>
      <x:c r="J145" s="18"/>
      <x:c r="K145" s="9"/>
      <x:c r="L145" s="9"/>
      <x:c r="M145" s="12"/>
      <x:c r="N145" s="33"/>
    </x:row>
    <x:row r="146">
      <x:c r="A146" s="30"/>
      <x:c r="B146" s="9"/>
      <x:c r="C146" s="9"/>
      <x:c r="D146" s="5"/>
      <x:c r="E146" s="9"/>
      <x:c r="F146" s="9"/>
      <x:c r="G146" s="9"/>
      <x:c r="H146" s="9"/>
      <x:c r="I146" s="12"/>
      <x:c r="J146" s="18"/>
      <x:c r="K146" s="9"/>
      <x:c r="L146" s="9"/>
      <x:c r="M146" s="12"/>
      <x:c r="N146" s="33"/>
    </x:row>
    <x:row r="147">
      <x:c r="A147" s="30"/>
      <x:c r="B147" s="9"/>
      <x:c r="C147" s="9"/>
      <x:c r="D147" s="5"/>
      <x:c r="E147" s="9"/>
      <x:c r="F147" s="9"/>
      <x:c r="G147" s="9"/>
      <x:c r="H147" s="9"/>
      <x:c r="I147" s="12"/>
      <x:c r="J147" s="18"/>
      <x:c r="K147" s="9"/>
      <x:c r="L147" s="9"/>
      <x:c r="M147" s="12"/>
      <x:c r="N147" s="33"/>
    </x:row>
    <x:row r="148">
      <x:c r="A148" s="30"/>
      <x:c r="B148" s="9"/>
      <x:c r="C148" s="9"/>
      <x:c r="D148" s="5"/>
      <x:c r="E148" s="9"/>
      <x:c r="F148" s="9"/>
      <x:c r="G148" s="9"/>
      <x:c r="H148" s="9"/>
      <x:c r="I148" s="12"/>
      <x:c r="J148" s="18"/>
      <x:c r="K148" s="9"/>
      <x:c r="L148" s="9"/>
      <x:c r="M148" s="12"/>
      <x:c r="N148" s="33"/>
    </x:row>
    <x:row r="149">
      <x:c r="A149" s="30"/>
      <x:c r="B149" s="9"/>
      <x:c r="C149" s="9"/>
      <x:c r="D149" s="5"/>
      <x:c r="E149" s="9"/>
      <x:c r="F149" s="9"/>
      <x:c r="G149" s="9"/>
      <x:c r="H149" s="9"/>
      <x:c r="I149" s="12"/>
      <x:c r="J149" s="18"/>
      <x:c r="K149" s="9"/>
      <x:c r="L149" s="9"/>
      <x:c r="M149" s="12"/>
      <x:c r="N149" s="33"/>
    </x:row>
    <x:row r="150">
      <x:c r="A150" s="30"/>
      <x:c r="B150" s="9"/>
      <x:c r="C150" s="9"/>
      <x:c r="D150" s="5"/>
      <x:c r="E150" s="9"/>
      <x:c r="F150" s="9"/>
      <x:c r="G150" s="9"/>
      <x:c r="H150" s="9"/>
      <x:c r="I150" s="12"/>
      <x:c r="J150" s="18"/>
      <x:c r="K150" s="9"/>
      <x:c r="L150" s="9"/>
      <x:c r="M150" s="12"/>
      <x:c r="N150" s="33"/>
    </x:row>
    <x:row r="151">
      <x:c r="A151" s="30"/>
      <x:c r="B151" s="9"/>
      <x:c r="C151" s="9"/>
      <x:c r="D151" s="5"/>
      <x:c r="E151" s="9"/>
      <x:c r="F151" s="9"/>
      <x:c r="G151" s="9"/>
      <x:c r="H151" s="9"/>
      <x:c r="I151" s="12"/>
      <x:c r="J151" s="18"/>
      <x:c r="K151" s="9"/>
      <x:c r="L151" s="9"/>
      <x:c r="M151" s="12"/>
      <x:c r="N151" s="33"/>
    </x:row>
    <x:row r="152">
      <x:c r="A152" s="30"/>
      <x:c r="B152" s="9"/>
      <x:c r="C152" s="9"/>
      <x:c r="D152" s="5"/>
      <x:c r="E152" s="9"/>
      <x:c r="F152" s="9"/>
      <x:c r="G152" s="9"/>
      <x:c r="H152" s="9"/>
      <x:c r="I152" s="12"/>
      <x:c r="J152" s="18"/>
      <x:c r="K152" s="9"/>
      <x:c r="L152" s="9"/>
      <x:c r="M152" s="12"/>
      <x:c r="N152" s="33"/>
    </x:row>
    <x:row r="153">
      <x:c r="A153" s="30"/>
      <x:c r="B153" s="9"/>
      <x:c r="C153" s="9"/>
      <x:c r="D153" s="5"/>
      <x:c r="E153" s="9"/>
      <x:c r="F153" s="9"/>
      <x:c r="G153" s="9"/>
      <x:c r="H153" s="9"/>
      <x:c r="I153" s="12"/>
      <x:c r="J153" s="18"/>
      <x:c r="K153" s="9"/>
      <x:c r="L153" s="9"/>
      <x:c r="M153" s="12"/>
      <x:c r="N153" s="33"/>
    </x:row>
    <x:row r="154">
      <x:c r="A154" s="30"/>
      <x:c r="B154" s="9"/>
      <x:c r="C154" s="9"/>
      <x:c r="D154" s="5"/>
      <x:c r="E154" s="9"/>
      <x:c r="F154" s="9"/>
      <x:c r="G154" s="9"/>
      <x:c r="H154" s="9"/>
      <x:c r="I154" s="12"/>
      <x:c r="J154" s="18"/>
      <x:c r="K154" s="9"/>
      <x:c r="L154" s="9"/>
      <x:c r="M154" s="12"/>
      <x:c r="N154" s="33"/>
    </x:row>
    <x:row r="155">
      <x:c r="A155" s="31"/>
      <x:c r="B155" s="10"/>
      <x:c r="C155" s="10"/>
      <x:c r="D155" s="6"/>
      <x:c r="E155" s="10"/>
      <x:c r="F155" s="10"/>
      <x:c r="G155" s="10"/>
      <x:c r="H155" s="10"/>
      <x:c r="I155" s="13"/>
      <x:c r="J155" s="19"/>
      <x:c r="K155" s="10"/>
      <x:c r="L155" s="10"/>
      <x:c r="M155" s="13"/>
      <x:c r="N155" s="34"/>
    </x:row>
  </x:sheetData>
  <x:mergeCells>
    <x:mergeCell ref="A1:N1"/>
    <x:mergeCell ref="A2:N2"/>
    <x:mergeCell ref="A3:N3"/>
  </x:mergeCells>
  <x:dataValidations count="4">
    <x:dataValidation type="list" sqref="E6:E155">
      <x:formula1>"Baik,Gangguan Ringan,Rusak Ringan,Rusak Sedang,Rusak Berat,Perlu Pembersihan,Perlu Pemantauan"</x:formula1>
    </x:dataValidation>
    <x:dataValidation type="list" sqref="F6:F155">
      <x:formula1>"Rendah,Sedang,Tinggi"</x:formula1>
    </x:dataValidation>
    <x:dataValidation type="list" sqref="H6:H155">
      <x:formula1>"Belum Ditindaklanjuti,Direncanakan,Dalam Pelaksanaan,Selesai"</x:formula1>
    </x:dataValidation>
    <x:dataValidation type="list" sqref="L6:L155">
      <x:formula1>"Draft,Dalam Verifikasi,Terverifikasi,Perlu Perbaikan"</x:formula1>
    </x:dataValidation>
  </x:dataValidations>
  <x:pageMargins left="0.7" right="0.7" top="0.75" bottom="0.75" header="0.3" footer="0.3"/>
  <x:tableParts count="1">
    <x:tablePart xmlns:r="http://schemas.openxmlformats.org/officeDocument/2006/relationships" r:id="R4be7ee14cd534bb4"/>
  </x:tableParts>
</x:worksheet>
</file>

<file path=xl/worksheets/sheet9.xml><?xml version="1.0" encoding="utf-8"?>
<x:worksheet xmlns:x="http://schemas.openxmlformats.org/spreadsheetml/2006/main">
  <x:sheetFormatPr defaultRowHeight="14"/>
  <x:cols>
    <x:col min="1" max="1" width="18" customWidth="1"/>
    <x:col min="2" max="2" width="10" customWidth="1"/>
    <x:col min="3" max="3" width="15" customWidth="1"/>
    <x:col min="4" max="4" width="17" customWidth="1"/>
    <x:col min="5" max="5" width="14" customWidth="1"/>
    <x:col min="6" max="6" width="16" customWidth="1"/>
    <x:col min="7" max="9" width="11" customWidth="1"/>
    <x:col min="10" max="10" width="13" customWidth="1"/>
    <x:col min="11" max="11" width="36" customWidth="1"/>
    <x:col min="12" max="12" width="20" customWidth="1"/>
    <x:col min="13" max="13" width="16" customWidth="1"/>
    <x:col min="14" max="14" width="18" customWidth="1"/>
    <x:col min="15" max="15" width="38" customWidth="1"/>
  </x:cols>
  <x:sheetData>
    <x:row r="1" ht="18.649999618530273" customHeight="1">
      <x:c r="A1" s="253" t="str">
        <x:v>TEMPLATE RESMI DATABASE SIRUMAH — KOLABORASI PENANGANAN RTLH KOTA PANGKAL PINANG</x:v>
      </x:c>
      <x:c r="B1" s="253"/>
      <x:c r="C1" s="253"/>
      <x:c r="D1" s="253"/>
      <x:c r="E1" s="253"/>
      <x:c r="F1" s="253"/>
      <x:c r="G1" s="253"/>
      <x:c r="H1" s="253"/>
      <x:c r="I1" s="253"/>
      <x:c r="J1" s="253"/>
      <x:c r="K1" s="253"/>
      <x:c r="L1" s="253"/>
      <x:c r="M1" s="253"/>
      <x:c r="N1" s="253"/>
      <x:c r="O1" s="253"/>
    </x:row>
    <x:row r="2" ht="16" customHeight="1">
      <x:c r="A2" s="254" t="s">
        <x:v>2095</x:v>
      </x:c>
      <x:c r="B2" s="254"/>
      <x:c r="C2" s="254"/>
      <x:c r="D2" s="254"/>
      <x:c r="E2" s="254"/>
      <x:c r="F2" s="254"/>
      <x:c r="G2" s="254"/>
      <x:c r="H2" s="254"/>
      <x:c r="I2" s="254"/>
      <x:c r="J2" s="254"/>
      <x:c r="K2" s="254"/>
      <x:c r="L2" s="254"/>
      <x:c r="M2" s="254"/>
      <x:c r="N2" s="254"/>
      <x:c r="O2" s="254"/>
    </x:row>
    <x:row r="3" ht="22.649999618530273" customHeight="1">
      <x:c r="A3" s="255" t="s">
        <x:v>2096</x:v>
      </x:c>
      <x:c r="B3" s="255"/>
      <x:c r="C3" s="255"/>
      <x:c r="D3" s="255"/>
      <x:c r="E3" s="255"/>
      <x:c r="F3" s="255"/>
      <x:c r="G3" s="255"/>
      <x:c r="H3" s="255"/>
      <x:c r="I3" s="255"/>
      <x:c r="J3" s="255"/>
      <x:c r="K3" s="255"/>
      <x:c r="L3" s="255"/>
      <x:c r="M3" s="255"/>
      <x:c r="N3" s="255"/>
      <x:c r="O3" s="255"/>
    </x:row>
    <x:row r="5" ht="25.399999618530273" customHeight="1">
      <x:c r="A5" s="162" t="s">
        <x:v>2097</x:v>
      </x:c>
      <x:c r="B5" s="161" t="s">
        <x:v>2050</x:v>
      </x:c>
      <x:c r="C5" s="161" t="s">
        <x:v>2098</x:v>
      </x:c>
      <x:c r="D5" s="161" t="s">
        <x:v>2099</x:v>
      </x:c>
      <x:c r="E5" s="161" t="s">
        <x:v>2100</x:v>
      </x:c>
      <x:c r="F5" s="161" t="s">
        <x:v>2101</x:v>
      </x:c>
      <x:c r="G5" s="161" t="s">
        <x:v>2102</x:v>
      </x:c>
      <x:c r="H5" s="161" t="s">
        <x:v>2103</x:v>
      </x:c>
      <x:c r="I5" s="161" t="s">
        <x:v>2104</x:v>
      </x:c>
      <x:c r="J5" s="161" t="s">
        <x:v>2105</x:v>
      </x:c>
      <x:c r="K5" s="161" t="s">
        <x:v>59</x:v>
      </x:c>
      <x:c r="L5" s="161" t="s">
        <x:v>12</x:v>
      </x:c>
      <x:c r="M5" s="161" t="s">
        <x:v>15</x:v>
      </x:c>
      <x:c r="N5" s="161" t="s">
        <x:v>16</x:v>
      </x:c>
      <x:c r="O5" s="160" t="s">
        <x:v>13</x:v>
      </x:c>
    </x:row>
    <x:row r="6" ht="16" customHeight="1">
      <x:c r="A6" s="159" t="s">
        <x:v>2106</x:v>
      </x:c>
      <x:c r="B6" s="158">
        <x:v>2018</x:v>
      </x:c>
      <x:c r="C6" s="158" t="s">
        <x:v>2107</x:v>
      </x:c>
      <x:c r="D6" s="158" t="s">
        <x:v>2108</x:v>
      </x:c>
      <x:c r="E6" s="157">
        <x:v>87</x:v>
      </x:c>
      <x:c r="F6" s="157">
        <x:v>36</x:v>
      </x:c>
      <x:c r="G6" s="157">
        <x:v>122</x:v>
      </x:c>
      <x:c r="H6" s="157">
        <x:v>0</x:v>
      </x:c>
      <x:c r="I6" s="157">
        <x:v>0</x:v>
      </x:c>
      <x:c r="J6" s="157" t="n">
        <x:f t="shared" ref="J6:J23" si="0">SUM(E6:I6)</x:f>
        <x:v>245</x:v>
      </x:c>
      <x:c r="K6" s="156" t="str">
        <x:v>Dinas Perkim Kota Pangkal Pinang</x:v>
      </x:c>
      <x:c r="L6" s="156" t="s">
        <x:v>888</x:v>
      </x:c>
      <x:c r="M6" s="156"/>
      <x:c r="N6" s="156"/>
      <x:c r="O6" s="155"/>
    </x:row>
    <x:row r="7" ht="16" customHeight="1">
      <x:c r="A7" s="154" t="s">
        <x:v>2109</x:v>
      </x:c>
      <x:c r="B7" s="153">
        <x:v>2018</x:v>
      </x:c>
      <x:c r="C7" s="153" t="s">
        <x:v>2107</x:v>
      </x:c>
      <x:c r="D7" s="153" t="s">
        <x:v>2110</x:v>
      </x:c>
      <x:c r="E7" s="152">
        <x:v>169</x:v>
      </x:c>
      <x:c r="F7" s="152">
        <x:v>46</x:v>
      </x:c>
      <x:c r="G7" s="152">
        <x:v>0</x:v>
      </x:c>
      <x:c r="H7" s="152">
        <x:v>0</x:v>
      </x:c>
      <x:c r="I7" s="152">
        <x:v>0</x:v>
      </x:c>
      <x:c r="J7" s="152">
        <x:f t="shared" si="0"/>
        <x:v>215</x:v>
      </x:c>
      <x:c r="K7" s="151" t="str">
        <x:v>Dinas Perkim Kota Pangkal Pinang</x:v>
      </x:c>
      <x:c r="L7" s="151" t="s">
        <x:v>888</x:v>
      </x:c>
      <x:c r="M7" s="151"/>
      <x:c r="N7" s="151"/>
      <x:c r="O7" s="150"/>
    </x:row>
    <x:row r="8" ht="16" customHeight="1">
      <x:c r="A8" s="154" t="s">
        <x:v>2111</x:v>
      </x:c>
      <x:c r="B8" s="153">
        <x:v>2019</x:v>
      </x:c>
      <x:c r="C8" s="153" t="s">
        <x:v>2107</x:v>
      </x:c>
      <x:c r="D8" s="153" t="s">
        <x:v>2108</x:v>
      </x:c>
      <x:c r="E8" s="152">
        <x:v>70</x:v>
      </x:c>
      <x:c r="F8" s="152">
        <x:v>0</x:v>
      </x:c>
      <x:c r="G8" s="152">
        <x:v>111</x:v>
      </x:c>
      <x:c r="H8" s="152">
        <x:v>0</x:v>
      </x:c>
      <x:c r="I8" s="152">
        <x:v>0</x:v>
      </x:c>
      <x:c r="J8" s="152">
        <x:f t="shared" si="0"/>
        <x:v>181</x:v>
      </x:c>
      <x:c r="K8" s="151" t="str">
        <x:v>Dinas Perkim Kota Pangkal Pinang</x:v>
      </x:c>
      <x:c r="L8" s="151" t="s">
        <x:v>888</x:v>
      </x:c>
      <x:c r="M8" s="151"/>
      <x:c r="N8" s="151"/>
      <x:c r="O8" s="150"/>
    </x:row>
    <x:row r="9" ht="16" customHeight="1">
      <x:c r="A9" s="154" t="s">
        <x:v>2112</x:v>
      </x:c>
      <x:c r="B9" s="153">
        <x:v>2019</x:v>
      </x:c>
      <x:c r="C9" s="153" t="s">
        <x:v>2107</x:v>
      </x:c>
      <x:c r="D9" s="153" t="s">
        <x:v>2110</x:v>
      </x:c>
      <x:c r="E9" s="152">
        <x:v>50</x:v>
      </x:c>
      <x:c r="F9" s="152">
        <x:v>12</x:v>
      </x:c>
      <x:c r="G9" s="152">
        <x:v>0</x:v>
      </x:c>
      <x:c r="H9" s="152">
        <x:v>57</x:v>
      </x:c>
      <x:c r="I9" s="152">
        <x:v>0</x:v>
      </x:c>
      <x:c r="J9" s="152">
        <x:f t="shared" si="0"/>
        <x:v>119</x:v>
      </x:c>
      <x:c r="K9" s="151" t="str">
        <x:v>Dinas Perkim Kota Pangkal Pinang</x:v>
      </x:c>
      <x:c r="L9" s="151" t="s">
        <x:v>888</x:v>
      </x:c>
      <x:c r="M9" s="151"/>
      <x:c r="N9" s="151"/>
      <x:c r="O9" s="150"/>
    </x:row>
    <x:row r="10" ht="16" customHeight="1">
      <x:c r="A10" s="154" t="s">
        <x:v>2113</x:v>
      </x:c>
      <x:c r="B10" s="153">
        <x:v>2020</x:v>
      </x:c>
      <x:c r="C10" s="153" t="s">
        <x:v>2107</x:v>
      </x:c>
      <x:c r="D10" s="153" t="s">
        <x:v>2108</x:v>
      </x:c>
      <x:c r="E10" s="152">
        <x:v>8</x:v>
      </x:c>
      <x:c r="F10" s="152">
        <x:v>0</x:v>
      </x:c>
      <x:c r="G10" s="152">
        <x:v>19</x:v>
      </x:c>
      <x:c r="H10" s="152">
        <x:v>0</x:v>
      </x:c>
      <x:c r="I10" s="152">
        <x:v>0</x:v>
      </x:c>
      <x:c r="J10" s="152">
        <x:f t="shared" si="0"/>
        <x:v>27</x:v>
      </x:c>
      <x:c r="K10" s="151" t="str">
        <x:v>Dinas Perkim Kota Pangkal Pinang</x:v>
      </x:c>
      <x:c r="L10" s="151" t="s">
        <x:v>888</x:v>
      </x:c>
      <x:c r="M10" s="151"/>
      <x:c r="N10" s="151"/>
      <x:c r="O10" s="150"/>
    </x:row>
    <x:row r="11" ht="16" customHeight="1">
      <x:c r="A11" s="154" t="s">
        <x:v>2114</x:v>
      </x:c>
      <x:c r="B11" s="153">
        <x:v>2020</x:v>
      </x:c>
      <x:c r="C11" s="153" t="s">
        <x:v>2107</x:v>
      </x:c>
      <x:c r="D11" s="153" t="s">
        <x:v>2110</x:v>
      </x:c>
      <x:c r="E11" s="152">
        <x:v>40</x:v>
      </x:c>
      <x:c r="F11" s="152">
        <x:v>0</x:v>
      </x:c>
      <x:c r="G11" s="152">
        <x:v>80</x:v>
      </x:c>
      <x:c r="H11" s="152">
        <x:v>23</x:v>
      </x:c>
      <x:c r="I11" s="152">
        <x:v>0</x:v>
      </x:c>
      <x:c r="J11" s="152">
        <x:f t="shared" si="0"/>
        <x:v>143</x:v>
      </x:c>
      <x:c r="K11" s="151" t="str">
        <x:v>Dinas Perkim Kota Pangkal Pinang</x:v>
      </x:c>
      <x:c r="L11" s="151" t="s">
        <x:v>888</x:v>
      </x:c>
      <x:c r="M11" s="151"/>
      <x:c r="N11" s="151"/>
      <x:c r="O11" s="150"/>
    </x:row>
    <x:row r="12" ht="16" customHeight="1">
      <x:c r="A12" s="154" t="s">
        <x:v>2115</x:v>
      </x:c>
      <x:c r="B12" s="153">
        <x:v>2021</x:v>
      </x:c>
      <x:c r="C12" s="153" t="s">
        <x:v>2107</x:v>
      </x:c>
      <x:c r="D12" s="153" t="s">
        <x:v>2108</x:v>
      </x:c>
      <x:c r="E12" s="152">
        <x:v>6</x:v>
      </x:c>
      <x:c r="F12" s="152">
        <x:v>0</x:v>
      </x:c>
      <x:c r="G12" s="152">
        <x:v>0</x:v>
      </x:c>
      <x:c r="H12" s="152">
        <x:v>0</x:v>
      </x:c>
      <x:c r="I12" s="152">
        <x:v>0</x:v>
      </x:c>
      <x:c r="J12" s="152">
        <x:f t="shared" si="0"/>
        <x:v>6</x:v>
      </x:c>
      <x:c r="K12" s="151" t="str">
        <x:v>Dinas Perkim Kota Pangkal Pinang</x:v>
      </x:c>
      <x:c r="L12" s="151" t="s">
        <x:v>888</x:v>
      </x:c>
      <x:c r="M12" s="151"/>
      <x:c r="N12" s="151"/>
      <x:c r="O12" s="150"/>
    </x:row>
    <x:row r="13" ht="16" customHeight="1">
      <x:c r="A13" s="154" t="s">
        <x:v>2116</x:v>
      </x:c>
      <x:c r="B13" s="153">
        <x:v>2021</x:v>
      </x:c>
      <x:c r="C13" s="153" t="s">
        <x:v>2107</x:v>
      </x:c>
      <x:c r="D13" s="153" t="s">
        <x:v>2110</x:v>
      </x:c>
      <x:c r="E13" s="152">
        <x:v>16</x:v>
      </x:c>
      <x:c r="F13" s="152">
        <x:v>0</x:v>
      </x:c>
      <x:c r="G13" s="152">
        <x:v>47</x:v>
      </x:c>
      <x:c r="H13" s="152">
        <x:v>99</x:v>
      </x:c>
      <x:c r="I13" s="152">
        <x:v>0</x:v>
      </x:c>
      <x:c r="J13" s="152">
        <x:f t="shared" si="0"/>
        <x:v>162</x:v>
      </x:c>
      <x:c r="K13" s="151" t="str">
        <x:v>Dinas Perkim Kota Pangkal Pinang</x:v>
      </x:c>
      <x:c r="L13" s="151" t="s">
        <x:v>888</x:v>
      </x:c>
      <x:c r="M13" s="151"/>
      <x:c r="N13" s="151"/>
      <x:c r="O13" s="150"/>
    </x:row>
    <x:row r="14" ht="16" customHeight="1">
      <x:c r="A14" s="154" t="s">
        <x:v>2117</x:v>
      </x:c>
      <x:c r="B14" s="153">
        <x:v>2022</x:v>
      </x:c>
      <x:c r="C14" s="153" t="s">
        <x:v>2107</x:v>
      </x:c>
      <x:c r="D14" s="153" t="s">
        <x:v>2108</x:v>
      </x:c>
      <x:c r="E14" s="152">
        <x:v>4</x:v>
      </x:c>
      <x:c r="F14" s="152">
        <x:v>0</x:v>
      </x:c>
      <x:c r="G14" s="152">
        <x:v>0</x:v>
      </x:c>
      <x:c r="H14" s="152">
        <x:v>0</x:v>
      </x:c>
      <x:c r="I14" s="152">
        <x:v>0</x:v>
      </x:c>
      <x:c r="J14" s="152">
        <x:f t="shared" si="0"/>
        <x:v>4</x:v>
      </x:c>
      <x:c r="K14" s="151" t="str">
        <x:v>Dinas Perkim Kota Pangkal Pinang</x:v>
      </x:c>
      <x:c r="L14" s="151" t="s">
        <x:v>888</x:v>
      </x:c>
      <x:c r="M14" s="151"/>
      <x:c r="N14" s="151"/>
      <x:c r="O14" s="150"/>
    </x:row>
    <x:row r="15" ht="16" customHeight="1">
      <x:c r="A15" s="154" t="s">
        <x:v>2118</x:v>
      </x:c>
      <x:c r="B15" s="153">
        <x:v>2022</x:v>
      </x:c>
      <x:c r="C15" s="153" t="s">
        <x:v>2107</x:v>
      </x:c>
      <x:c r="D15" s="153" t="s">
        <x:v>2110</x:v>
      </x:c>
      <x:c r="E15" s="152">
        <x:v>18</x:v>
      </x:c>
      <x:c r="F15" s="152">
        <x:v>0</x:v>
      </x:c>
      <x:c r="G15" s="152">
        <x:v>0</x:v>
      </x:c>
      <x:c r="H15" s="152">
        <x:v>0</x:v>
      </x:c>
      <x:c r="I15" s="152">
        <x:v>0</x:v>
      </x:c>
      <x:c r="J15" s="152">
        <x:f t="shared" si="0"/>
        <x:v>18</x:v>
      </x:c>
      <x:c r="K15" s="151" t="str">
        <x:v>Dinas Perkim Kota Pangkal Pinang</x:v>
      </x:c>
      <x:c r="L15" s="151" t="s">
        <x:v>888</x:v>
      </x:c>
      <x:c r="M15" s="151"/>
      <x:c r="N15" s="151"/>
      <x:c r="O15" s="150"/>
    </x:row>
    <x:row r="16" ht="16" customHeight="1">
      <x:c r="A16" s="154" t="s">
        <x:v>2119</x:v>
      </x:c>
      <x:c r="B16" s="153">
        <x:v>2023</x:v>
      </x:c>
      <x:c r="C16" s="153" t="s">
        <x:v>2107</x:v>
      </x:c>
      <x:c r="D16" s="153" t="s">
        <x:v>2108</x:v>
      </x:c>
      <x:c r="E16" s="152">
        <x:v>4</x:v>
      </x:c>
      <x:c r="F16" s="152">
        <x:v>0</x:v>
      </x:c>
      <x:c r="G16" s="152">
        <x:v>0</x:v>
      </x:c>
      <x:c r="H16" s="152">
        <x:v>0</x:v>
      </x:c>
      <x:c r="I16" s="152">
        <x:v>0</x:v>
      </x:c>
      <x:c r="J16" s="152">
        <x:f t="shared" si="0"/>
        <x:v>4</x:v>
      </x:c>
      <x:c r="K16" s="151" t="str">
        <x:v>Dinas Perkim Kota Pangkal Pinang</x:v>
      </x:c>
      <x:c r="L16" s="151" t="s">
        <x:v>888</x:v>
      </x:c>
      <x:c r="M16" s="151"/>
      <x:c r="N16" s="151"/>
      <x:c r="O16" s="150"/>
    </x:row>
    <x:row r="17" ht="16" customHeight="1">
      <x:c r="A17" s="154" t="s">
        <x:v>2120</x:v>
      </x:c>
      <x:c r="B17" s="153">
        <x:v>2023</x:v>
      </x:c>
      <x:c r="C17" s="153" t="s">
        <x:v>2107</x:v>
      </x:c>
      <x:c r="D17" s="153" t="s">
        <x:v>2110</x:v>
      </x:c>
      <x:c r="E17" s="152">
        <x:v>11</x:v>
      </x:c>
      <x:c r="F17" s="152">
        <x:v>0</x:v>
      </x:c>
      <x:c r="G17" s="152">
        <x:v>0</x:v>
      </x:c>
      <x:c r="H17" s="152">
        <x:v>0</x:v>
      </x:c>
      <x:c r="I17" s="152">
        <x:v>0</x:v>
      </x:c>
      <x:c r="J17" s="152">
        <x:f t="shared" si="0"/>
        <x:v>11</x:v>
      </x:c>
      <x:c r="K17" s="151" t="str">
        <x:v>Dinas Perkim Kota Pangkal Pinang</x:v>
      </x:c>
      <x:c r="L17" s="151" t="s">
        <x:v>888</x:v>
      </x:c>
      <x:c r="M17" s="151"/>
      <x:c r="N17" s="151"/>
      <x:c r="O17" s="150"/>
    </x:row>
    <x:row r="18" ht="16" customHeight="1">
      <x:c r="A18" s="154" t="s">
        <x:v>2121</x:v>
      </x:c>
      <x:c r="B18" s="153">
        <x:v>2024</x:v>
      </x:c>
      <x:c r="C18" s="153" t="s">
        <x:v>2107</x:v>
      </x:c>
      <x:c r="D18" s="153" t="s">
        <x:v>2108</x:v>
      </x:c>
      <x:c r="E18" s="152">
        <x:v>0</x:v>
      </x:c>
      <x:c r="F18" s="152">
        <x:v>20</x:v>
      </x:c>
      <x:c r="G18" s="152">
        <x:v>0</x:v>
      </x:c>
      <x:c r="H18" s="152">
        <x:v>0</x:v>
      </x:c>
      <x:c r="I18" s="152">
        <x:v>0</x:v>
      </x:c>
      <x:c r="J18" s="152">
        <x:f t="shared" si="0"/>
        <x:v>20</x:v>
      </x:c>
      <x:c r="K18" s="151" t="str">
        <x:v>Dinas Perkim Kota Pangkal Pinang</x:v>
      </x:c>
      <x:c r="L18" s="151" t="s">
        <x:v>888</x:v>
      </x:c>
      <x:c r="M18" s="151"/>
      <x:c r="N18" s="151"/>
      <x:c r="O18" s="150"/>
    </x:row>
    <x:row r="19" ht="16" customHeight="1">
      <x:c r="A19" s="154" t="s">
        <x:v>2122</x:v>
      </x:c>
      <x:c r="B19" s="153">
        <x:v>2024</x:v>
      </x:c>
      <x:c r="C19" s="153" t="s">
        <x:v>2107</x:v>
      </x:c>
      <x:c r="D19" s="153" t="s">
        <x:v>2110</x:v>
      </x:c>
      <x:c r="E19" s="152">
        <x:v>8</x:v>
      </x:c>
      <x:c r="F19" s="152">
        <x:v>0</x:v>
      </x:c>
      <x:c r="G19" s="152">
        <x:v>0</x:v>
      </x:c>
      <x:c r="H19" s="152">
        <x:v>0</x:v>
      </x:c>
      <x:c r="I19" s="152">
        <x:v>2</x:v>
      </x:c>
      <x:c r="J19" s="152">
        <x:f t="shared" si="0"/>
        <x:v>10</x:v>
      </x:c>
      <x:c r="K19" s="151" t="str">
        <x:v>Dinas Perkim Kota Pangkal Pinang</x:v>
      </x:c>
      <x:c r="L19" s="151" t="s">
        <x:v>888</x:v>
      </x:c>
      <x:c r="M19" s="151"/>
      <x:c r="N19" s="151"/>
      <x:c r="O19" s="150"/>
    </x:row>
    <x:row r="20" ht="16" customHeight="1">
      <x:c r="A20" s="154" t="s">
        <x:v>2123</x:v>
      </x:c>
      <x:c r="B20" s="153">
        <x:v>2025</x:v>
      </x:c>
      <x:c r="C20" s="153" t="s">
        <x:v>2107</x:v>
      </x:c>
      <x:c r="D20" s="153" t="s">
        <x:v>2108</x:v>
      </x:c>
      <x:c r="E20" s="152">
        <x:v>1</x:v>
      </x:c>
      <x:c r="F20" s="152">
        <x:v>0</x:v>
      </x:c>
      <x:c r="G20" s="152">
        <x:v>0</x:v>
      </x:c>
      <x:c r="H20" s="152">
        <x:v>1</x:v>
      </x:c>
      <x:c r="I20" s="152">
        <x:v>0</x:v>
      </x:c>
      <x:c r="J20" s="152">
        <x:f t="shared" si="0"/>
        <x:v>2</x:v>
      </x:c>
      <x:c r="K20" s="151" t="str">
        <x:v>Dinas Perkim Kota Pangkal Pinang</x:v>
      </x:c>
      <x:c r="L20" s="151" t="s">
        <x:v>888</x:v>
      </x:c>
      <x:c r="M20" s="151"/>
      <x:c r="N20" s="151"/>
      <x:c r="O20" s="150"/>
    </x:row>
    <x:row r="21" ht="16" customHeight="1">
      <x:c r="A21" s="154" t="s">
        <x:v>2124</x:v>
      </x:c>
      <x:c r="B21" s="153">
        <x:v>2025</x:v>
      </x:c>
      <x:c r="C21" s="153" t="s">
        <x:v>2107</x:v>
      </x:c>
      <x:c r="D21" s="153" t="s">
        <x:v>2110</x:v>
      </x:c>
      <x:c r="E21" s="152">
        <x:v>4</x:v>
      </x:c>
      <x:c r="F21" s="152">
        <x:v>0</x:v>
      </x:c>
      <x:c r="G21" s="152">
        <x:v>0</x:v>
      </x:c>
      <x:c r="H21" s="152">
        <x:v>49</x:v>
      </x:c>
      <x:c r="I21" s="152">
        <x:v>6</x:v>
      </x:c>
      <x:c r="J21" s="152">
        <x:f t="shared" si="0"/>
        <x:v>59</x:v>
      </x:c>
      <x:c r="K21" s="151" t="str">
        <x:v>Dinas Perkim Kota Pangkal Pinang</x:v>
      </x:c>
      <x:c r="L21" s="151" t="s">
        <x:v>888</x:v>
      </x:c>
      <x:c r="M21" s="151"/>
      <x:c r="N21" s="151"/>
      <x:c r="O21" s="150"/>
    </x:row>
    <x:row r="22" ht="16" customHeight="1">
      <x:c r="A22" s="154" t="s">
        <x:v>2125</x:v>
      </x:c>
      <x:c r="B22" s="153">
        <x:v>2026</x:v>
      </x:c>
      <x:c r="C22" s="153" t="s">
        <x:v>2126</x:v>
      </x:c>
      <x:c r="D22" s="153" t="s">
        <x:v>2108</x:v>
      </x:c>
      <x:c r="E22" s="152">
        <x:v>2</x:v>
      </x:c>
      <x:c r="F22" s="152">
        <x:v>0</x:v>
      </x:c>
      <x:c r="G22" s="152">
        <x:v>0</x:v>
      </x:c>
      <x:c r="H22" s="152">
        <x:v>0</x:v>
      </x:c>
      <x:c r="I22" s="152">
        <x:v>0</x:v>
      </x:c>
      <x:c r="J22" s="152">
        <x:f t="shared" si="0"/>
        <x:v>2</x:v>
      </x:c>
      <x:c r="K22" s="151" t="str">
        <x:v>Dinas Perkim Kota Pangkal Pinang</x:v>
      </x:c>
      <x:c r="L22" s="151" t="s">
        <x:v>888</x:v>
      </x:c>
      <x:c r="M22" s="151"/>
      <x:c r="N22" s="151"/>
      <x:c r="O22" s="150" t="s">
        <x:v>2127</x:v>
      </x:c>
    </x:row>
    <x:row r="23" ht="16" customHeight="1">
      <x:c r="A23" s="149" t="s">
        <x:v>2128</x:v>
      </x:c>
      <x:c r="B23" s="148">
        <x:v>2026</x:v>
      </x:c>
      <x:c r="C23" s="148" t="s">
        <x:v>2126</x:v>
      </x:c>
      <x:c r="D23" s="148" t="s">
        <x:v>2110</x:v>
      </x:c>
      <x:c r="E23" s="147">
        <x:v>8</x:v>
      </x:c>
      <x:c r="F23" s="147">
        <x:v>0</x:v>
      </x:c>
      <x:c r="G23" s="147">
        <x:v>0</x:v>
      </x:c>
      <x:c r="H23" s="147">
        <x:v>135</x:v>
      </x:c>
      <x:c r="I23" s="147">
        <x:v>0</x:v>
      </x:c>
      <x:c r="J23" s="147">
        <x:f t="shared" si="0"/>
        <x:v>143</x:v>
      </x:c>
      <x:c r="K23" s="146" t="str">
        <x:v>Dinas Perkim Kota Pangkal Pinang</x:v>
      </x:c>
      <x:c r="L23" s="146" t="s">
        <x:v>888</x:v>
      </x:c>
      <x:c r="M23" s="146"/>
      <x:c r="N23" s="146"/>
      <x:c r="O23" s="145" t="s">
        <x:v>2127</x:v>
      </x:c>
    </x:row>
    <x:row r="24" ht="14.5">
      <x:c r="E24" s="144"/>
      <x:c r="F24" s="144"/>
      <x:c r="G24" s="144"/>
      <x:c r="H24" s="144"/>
      <x:c r="I24" s="144"/>
      <x:c r="J24" s="144"/>
    </x:row>
    <x:row r="25" ht="16" customHeight="1">
      <x:c r="B25" s="256" t="s">
        <x:v>2129</x:v>
      </x:c>
      <x:c r="C25" s="256"/>
      <x:c r="D25" s="256"/>
      <x:c r="E25" s="143" t="n">
        <x:f t="shared" ref="E25:J25" si="1">SUM(E6:E23)</x:f>
        <x:v>506</x:v>
      </x:c>
      <x:c r="F25" s="143">
        <x:f t="shared" si="1"/>
        <x:v>114</x:v>
      </x:c>
      <x:c r="G25" s="143">
        <x:f t="shared" si="1"/>
        <x:v>379</x:v>
      </x:c>
      <x:c r="H25" s="143">
        <x:f t="shared" si="1"/>
        <x:v>364</x:v>
      </x:c>
      <x:c r="I25" s="143">
        <x:f t="shared" si="1"/>
        <x:v>8</x:v>
      </x:c>
      <x:c r="J25" s="143">
        <x:f t="shared" si="1"/>
        <x:v>1371</x:v>
      </x:c>
      <x:c r="K25" s="142"/>
      <x:c r="L25" s="142"/>
      <x:c r="M25" s="142"/>
      <x:c r="N25" s="142"/>
      <x:c r="O25" s="142"/>
    </x:row>
    <x:row r="26" ht="16" customHeight="1">
      <x:c r="B26" s="250" t="s">
        <x:v>2130</x:v>
      </x:c>
      <x:c r="C26" s="250"/>
      <x:c r="D26" s="250"/>
      <x:c r="E26" s="251"/>
      <x:c r="F26" s="251"/>
      <x:c r="G26" s="251"/>
      <x:c r="H26" s="251"/>
      <x:c r="I26" s="251"/>
      <x:c r="J26" s="140" t="n">
        <x:f>SUMIF(C6:C23,"Realisasi",J6:J23)</x:f>
        <x:v>1226</x:v>
      </x:c>
    </x:row>
    <x:row r="27" ht="16" customHeight="1">
      <x:c r="B27" s="250" t="s">
        <x:v>2131</x:v>
      </x:c>
      <x:c r="C27" s="250"/>
      <x:c r="D27" s="250"/>
      <x:c r="E27" s="251"/>
      <x:c r="F27" s="251"/>
      <x:c r="G27" s="251"/>
      <x:c r="H27" s="251"/>
      <x:c r="I27" s="251"/>
      <x:c r="J27" s="140" t="n">
        <x:f>SUMIF(C6:C23,"Proses",J6:J23)</x:f>
        <x:v>145</x:v>
      </x:c>
      <x:c r="K27" s="252" t="s">
        <x:v>2132</x:v>
      </x:c>
      <x:c r="L27" s="252"/>
      <x:c r="M27" s="252"/>
      <x:c r="N27" s="252"/>
      <x:c r="O27" s="252"/>
    </x:row>
  </x:sheetData>
  <x:mergeCells>
    <x:mergeCell ref="B27:I27"/>
    <x:mergeCell ref="K27:O27"/>
    <x:mergeCell ref="A1:O1"/>
    <x:mergeCell ref="A2:O2"/>
    <x:mergeCell ref="A3:O3"/>
    <x:mergeCell ref="B25:D25"/>
    <x:mergeCell ref="B26:I26"/>
  </x:mergeCells>
  <x:conditionalFormatting sqref="C6:C205">
    <x:cfRule type="expression" dxfId="8" priority="1">
      <x:formula>C6="Proses"</x:formula>
    </x:cfRule>
  </x:conditionalFormatting>
  <x:conditionalFormatting sqref="J6:J23">
    <x:cfRule type="dataBar" priority="2">
      <x:dataBar>
        <x:cfvo type="min"/>
        <x:cfvo type="max"/>
        <x:color rgb="FF175B72"/>
      </x:dataBar>
    </x:cfRule>
    <x:cfRule type="dataBar" priority="3">
      <x:dataBar>
        <x:cfvo type="min"/>
        <x:cfvo type="max"/>
        <x:color rgb="FF175B72"/>
      </x:dataBar>
      <x:extLst>
        <x:ext xmlns:x14="http://schemas.microsoft.com/office/spreadsheetml/2009/9/main" uri="{B025F937-C7B1-47D3-B67F-A62EFF666E3E}">
          <x14:id>{4313DA93-B237-4016-A7F2-A9F209F2DC61}</x14:id>
        </x:ext>
      </x:extLst>
    </x:cfRule>
  </x:conditionalFormatting>
  <x:dataValidations count="3">
    <x:dataValidation type="list" sqref="L6:L205">
      <x:formula1>"Terverifikasi,Belum Diverifikasi,Perlu Perbaikan"</x:formula1>
    </x:dataValidation>
    <x:dataValidation type="list" sqref="D6:D205">
      <x:formula1>"Kumuh,Luar Kumuh"</x:formula1>
    </x:dataValidation>
    <x:dataValidation type="list" sqref="C6:C205">
      <x:formula1>"Realisasi,Proses"</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3" id="{4313DA93-B237-4016-A7F2-A9F209F2DC61}">
            <x14:dataBar>
              <x14:cfvo type="min"/>
              <x14:cfvo type="max"/>
              <x14:fillColor rgb="FF175B72"/>
              <x14:negativeFillColor auto="1"/>
              <x14:axisColor auto="1"/>
            </x14:dataBar>
          </x14:cfRule>
          <xm:sqref>J6:J23</xm:sqref>
        </x14:conditionalFormatting>
      </x14:conditionalFormattings>
    </x:ext>
  </x:extLst>
</x:worksheet>
</file>

<file path=xl/worksheets/sheet10.xml><?xml version="1.0" encoding="utf-8"?>
<x:worksheet xmlns:x="http://schemas.openxmlformats.org/spreadsheetml/2006/main">
  <x:sheetFormatPr defaultRowHeight="14"/>
  <x:cols>
    <x:col min="1" max="1" width="20" customWidth="1"/>
    <x:col min="2" max="2" width="10" customWidth="1"/>
    <x:col min="3" max="3" width="20" customWidth="1"/>
    <x:col min="4" max="4" width="37" customWidth="1"/>
    <x:col min="5" max="5" width="18" customWidth="1"/>
    <x:col min="6" max="6" width="16" customWidth="1"/>
    <x:col min="7" max="7" width="15" customWidth="1"/>
    <x:col min="8" max="9" width="18" customWidth="1"/>
    <x:col min="10" max="10" width="21" customWidth="1"/>
    <x:col min="11" max="11" width="23" customWidth="1"/>
    <x:col min="12" max="12" width="42" customWidth="1"/>
    <x:col min="13" max="13" width="25" customWidth="1"/>
    <x:col min="14" max="14" width="14" customWidth="1"/>
    <x:col min="15" max="15" width="48" customWidth="1"/>
    <x:col min="16" max="16" width="29" customWidth="1"/>
    <x:col min="17" max="17" width="24" customWidth="1"/>
    <x:col min="18" max="18" width="17" customWidth="1"/>
    <x:col min="19" max="19" width="18" customWidth="1"/>
  </x:cols>
  <x:sheetData>
    <x:row r="1" ht="18.649999618530273" customHeight="1">
      <x:c r="A1" s="253" t="str">
        <x:v>TEMPLATE RESMI DATABASE SIRUMAH — REKAP PERKEMBANGAN KAWASAN KUMUH KOTA PANGKAL PINANG</x:v>
      </x:c>
      <x:c r="B1" s="253"/>
      <x:c r="C1" s="253"/>
      <x:c r="D1" s="253"/>
      <x:c r="E1" s="253"/>
      <x:c r="F1" s="253"/>
      <x:c r="G1" s="253"/>
      <x:c r="H1" s="253"/>
      <x:c r="I1" s="253"/>
      <x:c r="J1" s="253"/>
      <x:c r="K1" s="253"/>
      <x:c r="L1" s="253"/>
      <x:c r="M1" s="253"/>
      <x:c r="N1" s="253"/>
      <x:c r="O1" s="253"/>
      <x:c r="P1" s="253"/>
      <x:c r="Q1" s="253"/>
      <x:c r="R1" s="253"/>
      <x:c r="S1" s="253"/>
    </x:row>
    <x:row r="2" ht="17.399999618530273" customHeight="1">
      <x:c r="A2" s="254" t="s">
        <x:v>2133</x:v>
      </x:c>
      <x:c r="B2" s="254"/>
      <x:c r="C2" s="254"/>
      <x:c r="D2" s="254"/>
      <x:c r="E2" s="254"/>
      <x:c r="F2" s="254"/>
      <x:c r="G2" s="254"/>
      <x:c r="H2" s="254"/>
      <x:c r="I2" s="254"/>
      <x:c r="J2" s="254"/>
      <x:c r="K2" s="254"/>
      <x:c r="L2" s="254"/>
      <x:c r="M2" s="254"/>
      <x:c r="N2" s="254"/>
      <x:c r="O2" s="254"/>
      <x:c r="P2" s="254"/>
      <x:c r="Q2" s="254"/>
      <x:c r="R2" s="254"/>
      <x:c r="S2" s="254"/>
    </x:row>
    <x:row r="3" ht="24" customHeight="1">
      <x:c r="A3" s="255" t="s">
        <x:v>2134</x:v>
      </x:c>
      <x:c r="B3" s="255"/>
      <x:c r="C3" s="255"/>
      <x:c r="D3" s="255"/>
      <x:c r="E3" s="255"/>
      <x:c r="F3" s="255"/>
      <x:c r="G3" s="255"/>
      <x:c r="H3" s="255"/>
      <x:c r="I3" s="255"/>
      <x:c r="J3" s="255"/>
      <x:c r="K3" s="255"/>
      <x:c r="L3" s="255"/>
      <x:c r="M3" s="255"/>
      <x:c r="N3" s="255"/>
      <x:c r="O3" s="255"/>
      <x:c r="P3" s="255"/>
      <x:c r="Q3" s="255"/>
      <x:c r="R3" s="255"/>
      <x:c r="S3" s="255"/>
    </x:row>
    <x:row r="5" ht="28" customHeight="1">
      <x:c r="A5" s="162" t="s">
        <x:v>2135</x:v>
      </x:c>
      <x:c r="B5" s="161" t="s">
        <x:v>2050</x:v>
      </x:c>
      <x:c r="C5" s="161" t="s">
        <x:v>2136</x:v>
      </x:c>
      <x:c r="D5" s="161" t="s">
        <x:v>2137</x:v>
      </x:c>
      <x:c r="E5" s="161" t="s">
        <x:v>2138</x:v>
      </x:c>
      <x:c r="F5" s="161" t="s">
        <x:v>2139</x:v>
      </x:c>
      <x:c r="G5" s="161" t="s">
        <x:v>2140</x:v>
      </x:c>
      <x:c r="H5" s="161" t="s">
        <x:v>2141</x:v>
      </x:c>
      <x:c r="I5" s="161" t="s">
        <x:v>2142</x:v>
      </x:c>
      <x:c r="J5" s="161" t="s">
        <x:v>2143</x:v>
      </x:c>
      <x:c r="K5" s="161" t="s">
        <x:v>2144</x:v>
      </x:c>
      <x:c r="L5" s="161" t="s">
        <x:v>2145</x:v>
      </x:c>
      <x:c r="M5" s="161" t="s">
        <x:v>2146</x:v>
      </x:c>
      <x:c r="N5" s="161" t="s">
        <x:v>2098</x:v>
      </x:c>
      <x:c r="O5" s="161" t="s">
        <x:v>13</x:v>
      </x:c>
      <x:c r="P5" s="161" t="s">
        <x:v>59</x:v>
      </x:c>
      <x:c r="Q5" s="161" t="s">
        <x:v>12</x:v>
      </x:c>
      <x:c r="R5" s="161" t="s">
        <x:v>15</x:v>
      </x:c>
      <x:c r="S5" s="160" t="s">
        <x:v>16</x:v>
      </x:c>
    </x:row>
    <x:row r="6" ht="28" customHeight="1">
      <x:c r="A6" s="159" t="s">
        <x:v>2147</x:v>
      </x:c>
      <x:c r="B6" s="158">
        <x:v>2014</x:v>
      </x:c>
      <x:c r="C6" s="158" t="s">
        <x:v>2148</x:v>
      </x:c>
      <x:c r="D6" s="158" t="s">
        <x:v>2149</x:v>
      </x:c>
      <x:c r="E6" s="158"/>
      <x:c r="F6" s="158">
        <x:v>14</x:v>
      </x:c>
      <x:c r="G6" s="174">
        <x:v>196.2</x:v>
      </x:c>
      <x:c r="H6" s="174"/>
      <x:c r="I6" s="173"/>
      <x:c r="J6" s="174" t="n">
        <x:f t="shared" ref="J6:J13" si="0">$G$6-G6</x:f>
        <x:v>0</x:v>
      </x:c>
      <x:c r="K6" s="173" t="n">
        <x:f t="shared" ref="K6:K13" si="1">IF($G$6=0,"",J6/$G$6)</x:f>
        <x:v>0</x:v>
      </x:c>
      <x:c r="L6" s="156" t="s">
        <x:v>2150</x:v>
      </x:c>
      <x:c r="M6" s="156" t="s">
        <x:v>2151</x:v>
      </x:c>
      <x:c r="N6" s="156" t="s">
        <x:v>2152</x:v>
      </x:c>
      <x:c r="O6" s="156" t="s">
        <x:v>2153</x:v>
      </x:c>
      <x:c r="P6" s="156" t="str">
        <x:v>Dinas Perkim Kota Pangkal Pinang</x:v>
      </x:c>
      <x:c r="Q6" s="156" t="s">
        <x:v>2154</x:v>
      </x:c>
      <x:c r="R6" s="156"/>
      <x:c r="S6" s="155"/>
    </x:row>
    <x:row r="7" ht="28" customHeight="1">
      <x:c r="A7" s="154" t="s">
        <x:v>2155</x:v>
      </x:c>
      <x:c r="B7" s="153">
        <x:v>2018</x:v>
      </x:c>
      <x:c r="C7" s="153" t="s">
        <x:v>2156</x:v>
      </x:c>
      <x:c r="D7" s="153" t="s">
        <x:v>2149</x:v>
      </x:c>
      <x:c r="E7" s="153"/>
      <x:c r="F7" s="153">
        <x:v>14</x:v>
      </x:c>
      <x:c r="G7" s="172">
        <x:v>187.89</x:v>
      </x:c>
      <x:c r="H7" s="172" t="n">
        <x:f t="shared" ref="H7:H13" si="2">G7-G6</x:f>
        <x:v>-8.310000000000002</x:v>
      </x:c>
      <x:c r="I7" s="171" t="n">
        <x:f t="shared" ref="I7:I13" si="3">IF(G6=0,"",H7/G6)</x:f>
        <x:v>-0.04235474006116209</x:v>
      </x:c>
      <x:c r="J7" s="172">
        <x:f t="shared" si="0"/>
        <x:v>8.3100000000000023</x:v>
      </x:c>
      <x:c r="K7" s="171">
        <x:f t="shared" si="1"/>
        <x:v>4.2354740061162091E-2</x:v>
      </x:c>
      <x:c r="L7" s="151" t="s">
        <x:v>2157</x:v>
      </x:c>
      <x:c r="M7" s="151" t="s">
        <x:v>2151</x:v>
      </x:c>
      <x:c r="N7" s="151" t="s">
        <x:v>2152</x:v>
      </x:c>
      <x:c r="O7" s="151" t="s">
        <x:v>2158</x:v>
      </x:c>
      <x:c r="P7" s="151" t="str">
        <x:v>Dinas Perkim Kota Pangkal Pinang</x:v>
      </x:c>
      <x:c r="Q7" s="151" t="s">
        <x:v>2154</x:v>
      </x:c>
      <x:c r="R7" s="151"/>
      <x:c r="S7" s="150"/>
    </x:row>
    <x:row r="8" ht="28" customHeight="1">
      <x:c r="A8" s="154" t="s">
        <x:v>2159</x:v>
      </x:c>
      <x:c r="B8" s="153">
        <x:v>2019</x:v>
      </x:c>
      <x:c r="C8" s="153" t="s">
        <x:v>2160</x:v>
      </x:c>
      <x:c r="D8" s="153" t="s">
        <x:v>2149</x:v>
      </x:c>
      <x:c r="E8" s="153"/>
      <x:c r="F8" s="153">
        <x:v>1</x:v>
      </x:c>
      <x:c r="G8" s="172">
        <x:v>21.9</x:v>
      </x:c>
      <x:c r="H8" s="172">
        <x:f t="shared" si="2"/>
        <x:v>-165.98999999999998</x:v>
      </x:c>
      <x:c r="I8" s="171">
        <x:f t="shared" si="3"/>
        <x:v>-0.88344243972537118</x:v>
      </x:c>
      <x:c r="J8" s="172">
        <x:f t="shared" si="0"/>
        <x:v>174.29999999999998</x:v>
      </x:c>
      <x:c r="K8" s="171">
        <x:f t="shared" si="1"/>
        <x:v>0.88837920489296629</x:v>
      </x:c>
      <x:c r="L8" s="151" t="s">
        <x:v>2161</x:v>
      </x:c>
      <x:c r="M8" s="151" t="s">
        <x:v>2151</x:v>
      </x:c>
      <x:c r="N8" s="151" t="s">
        <x:v>2152</x:v>
      </x:c>
      <x:c r="O8" s="151" t="s">
        <x:v>2162</x:v>
      </x:c>
      <x:c r="P8" s="151" t="str">
        <x:v>Dinas Perkim Kota Pangkal Pinang</x:v>
      </x:c>
      <x:c r="Q8" s="151" t="s">
        <x:v>2154</x:v>
      </x:c>
      <x:c r="R8" s="151"/>
      <x:c r="S8" s="150"/>
    </x:row>
    <x:row r="9" ht="28" customHeight="1">
      <x:c r="A9" s="154" t="s">
        <x:v>2163</x:v>
      </x:c>
      <x:c r="B9" s="153">
        <x:v>2020</x:v>
      </x:c>
      <x:c r="C9" s="153" t="s">
        <x:v>2164</x:v>
      </x:c>
      <x:c r="D9" s="153" t="s">
        <x:v>2165</x:v>
      </x:c>
      <x:c r="E9" s="153"/>
      <x:c r="F9" s="153">
        <x:v>8</x:v>
      </x:c>
      <x:c r="G9" s="172">
        <x:v>148.5</x:v>
      </x:c>
      <x:c r="H9" s="172">
        <x:f t="shared" si="2"/>
        <x:v>126.6</x:v>
      </x:c>
      <x:c r="I9" s="171">
        <x:f t="shared" si="3"/>
        <x:v>5.7808219178082192</x:v>
      </x:c>
      <x:c r="J9" s="172">
        <x:f t="shared" si="0"/>
        <x:v>47.699999999999989</x:v>
      </x:c>
      <x:c r="K9" s="171">
        <x:f t="shared" si="1"/>
        <x:v>0.24311926605504583</x:v>
      </x:c>
      <x:c r="L9" s="151" t="s">
        <x:v>2166</x:v>
      </x:c>
      <x:c r="M9" s="151" t="s">
        <x:v>2167</x:v>
      </x:c>
      <x:c r="N9" s="151" t="s">
        <x:v>2152</x:v>
      </x:c>
      <x:c r="O9" s="151" t="s">
        <x:v>2168</x:v>
      </x:c>
      <x:c r="P9" s="151" t="str">
        <x:v>Dinas Perkim Kota Pangkal Pinang</x:v>
      </x:c>
      <x:c r="Q9" s="151" t="s">
        <x:v>2154</x:v>
      </x:c>
      <x:c r="R9" s="151"/>
      <x:c r="S9" s="150"/>
    </x:row>
    <x:row r="10" ht="28" customHeight="1">
      <x:c r="A10" s="154" t="s">
        <x:v>2169</x:v>
      </x:c>
      <x:c r="B10" s="153">
        <x:v>2021</x:v>
      </x:c>
      <x:c r="C10" s="153" t="s">
        <x:v>2164</x:v>
      </x:c>
      <x:c r="D10" s="153" t="s">
        <x:v>2165</x:v>
      </x:c>
      <x:c r="E10" s="153"/>
      <x:c r="F10" s="153">
        <x:v>8</x:v>
      </x:c>
      <x:c r="G10" s="172">
        <x:v>150.09</x:v>
      </x:c>
      <x:c r="H10" s="172">
        <x:f t="shared" si="2"/>
        <x:v>1.5900000000000034</x:v>
      </x:c>
      <x:c r="I10" s="171">
        <x:f t="shared" si="3"/>
        <x:v>1.0707070707070729E-2</x:v>
      </x:c>
      <x:c r="J10" s="172">
        <x:f t="shared" si="0"/>
        <x:v>46.109999999999985</x:v>
      </x:c>
      <x:c r="K10" s="171">
        <x:f t="shared" si="1"/>
        <x:v>0.2350152905198776</x:v>
      </x:c>
      <x:c r="L10" s="151" t="s">
        <x:v>2170</x:v>
      </x:c>
      <x:c r="M10" s="151" t="s">
        <x:v>2167</x:v>
      </x:c>
      <x:c r="N10" s="151" t="s">
        <x:v>2152</x:v>
      </x:c>
      <x:c r="O10" s="151" t="s">
        <x:v>2171</x:v>
      </x:c>
      <x:c r="P10" s="151" t="str">
        <x:v>Dinas Perkim Kota Pangkal Pinang</x:v>
      </x:c>
      <x:c r="Q10" s="151" t="s">
        <x:v>2154</x:v>
      </x:c>
      <x:c r="R10" s="151"/>
      <x:c r="S10" s="150"/>
    </x:row>
    <x:row r="11" ht="28" customHeight="1">
      <x:c r="A11" s="154" t="s">
        <x:v>2172</x:v>
      </x:c>
      <x:c r="B11" s="153">
        <x:v>2022</x:v>
      </x:c>
      <x:c r="C11" s="153" t="s">
        <x:v>2164</x:v>
      </x:c>
      <x:c r="D11" s="153" t="s">
        <x:v>2165</x:v>
      </x:c>
      <x:c r="E11" s="153"/>
      <x:c r="F11" s="153">
        <x:v>6</x:v>
      </x:c>
      <x:c r="G11" s="172">
        <x:v>85.3</x:v>
      </x:c>
      <x:c r="H11" s="172">
        <x:f t="shared" si="2"/>
        <x:v>-64.790000000000006</x:v>
      </x:c>
      <x:c r="I11" s="171">
        <x:f t="shared" si="3"/>
        <x:v>-0.43167432873609168</x:v>
      </x:c>
      <x:c r="J11" s="172">
        <x:f t="shared" si="0"/>
        <x:v>110.89999999999999</x:v>
      </x:c>
      <x:c r="K11" s="171">
        <x:f t="shared" si="1"/>
        <x:v>0.56523955147808358</x:v>
      </x:c>
      <x:c r="L11" s="151" t="s">
        <x:v>2173</x:v>
      </x:c>
      <x:c r="M11" s="151" t="s">
        <x:v>2174</x:v>
      </x:c>
      <x:c r="N11" s="151" t="s">
        <x:v>2152</x:v>
      </x:c>
      <x:c r="O11" s="151" t="s">
        <x:v>2175</x:v>
      </x:c>
      <x:c r="P11" s="151" t="str">
        <x:v>Dinas Perkim Kota Pangkal Pinang</x:v>
      </x:c>
      <x:c r="Q11" s="151" t="s">
        <x:v>2154</x:v>
      </x:c>
      <x:c r="R11" s="151"/>
      <x:c r="S11" s="150"/>
    </x:row>
    <x:row r="12" ht="28" customHeight="1">
      <x:c r="A12" s="154" t="s">
        <x:v>2176</x:v>
      </x:c>
      <x:c r="B12" s="153">
        <x:v>2023</x:v>
      </x:c>
      <x:c r="C12" s="153" t="s">
        <x:v>2164</x:v>
      </x:c>
      <x:c r="D12" s="153" t="s">
        <x:v>2165</x:v>
      </x:c>
      <x:c r="E12" s="153"/>
      <x:c r="F12" s="153">
        <x:v>2</x:v>
      </x:c>
      <x:c r="G12" s="172">
        <x:v>28.43</x:v>
      </x:c>
      <x:c r="H12" s="172">
        <x:f t="shared" si="2"/>
        <x:v>-56.87</x:v>
      </x:c>
      <x:c r="I12" s="171">
        <x:f t="shared" si="3"/>
        <x:v>-0.6667057444314185</x:v>
      </x:c>
      <x:c r="J12" s="172">
        <x:f t="shared" si="0"/>
        <x:v>167.76999999999998</x:v>
      </x:c>
      <x:c r="K12" s="171">
        <x:f t="shared" si="1"/>
        <x:v>0.85509683995922525</x:v>
      </x:c>
      <x:c r="L12" s="151" t="s">
        <x:v>2177</x:v>
      </x:c>
      <x:c r="M12" s="151" t="s">
        <x:v>2174</x:v>
      </x:c>
      <x:c r="N12" s="151" t="s">
        <x:v>2152</x:v>
      </x:c>
      <x:c r="O12" s="151" t="s">
        <x:v>2178</x:v>
      </x:c>
      <x:c r="P12" s="151" t="str">
        <x:v>Dinas Perkim Kota Pangkal Pinang</x:v>
      </x:c>
      <x:c r="Q12" s="151" t="s">
        <x:v>2154</x:v>
      </x:c>
      <x:c r="R12" s="151"/>
      <x:c r="S12" s="150"/>
    </x:row>
    <x:row r="13" ht="28" customHeight="1">
      <x:c r="A13" s="149" t="s">
        <x:v>2179</x:v>
      </x:c>
      <x:c r="B13" s="148">
        <x:v>2024</x:v>
      </x:c>
      <x:c r="C13" s="148" t="s">
        <x:v>2180</x:v>
      </x:c>
      <x:c r="D13" s="148" t="s">
        <x:v>2165</x:v>
      </x:c>
      <x:c r="E13" s="148"/>
      <x:c r="F13" s="148">
        <x:v>2</x:v>
      </x:c>
      <x:c r="G13" s="170">
        <x:v>24.08</x:v>
      </x:c>
      <x:c r="H13" s="170">
        <x:f t="shared" si="2"/>
        <x:v>-4.3500000000000014</x:v>
      </x:c>
      <x:c r="I13" s="169">
        <x:f t="shared" si="3"/>
        <x:v>-0.15300738656348933</x:v>
      </x:c>
      <x:c r="J13" s="170">
        <x:f t="shared" si="0"/>
        <x:v>172.12</x:v>
      </x:c>
      <x:c r="K13" s="169">
        <x:f t="shared" si="1"/>
        <x:v>0.87726809378185533</x:v>
      </x:c>
      <x:c r="L13" s="146" t="s">
        <x:v>2181</x:v>
      </x:c>
      <x:c r="M13" s="146" t="s">
        <x:v>2174</x:v>
      </x:c>
      <x:c r="N13" s="146" t="s">
        <x:v>2182</x:v>
      </x:c>
      <x:c r="O13" s="146" t="s">
        <x:v>2183</x:v>
      </x:c>
      <x:c r="P13" s="146" t="str">
        <x:v>Dinas Perkim Kota Pangkal Pinang</x:v>
      </x:c>
      <x:c r="Q13" s="146" t="s">
        <x:v>2154</x:v>
      </x:c>
      <x:c r="R13" s="146"/>
      <x:c r="S13" s="145"/>
    </x:row>
    <x:row r="15" ht="16" customHeight="1">
      <x:c r="B15" s="258" t="s">
        <x:v>2184</x:v>
      </x:c>
      <x:c r="C15" s="258"/>
      <x:c r="D15" s="258"/>
      <x:c r="E15" s="258"/>
      <x:c r="F15" s="258"/>
      <x:c r="G15" s="168" t="s">
        <x:v>2185</x:v>
      </x:c>
    </x:row>
    <x:row r="16" ht="16" customHeight="1">
      <x:c r="B16" s="259" t="s">
        <x:v>2186</x:v>
      </x:c>
      <x:c r="C16" s="259"/>
      <x:c r="D16" s="259"/>
      <x:c r="E16" s="259"/>
      <x:c r="F16" s="259"/>
      <x:c r="G16" s="166" t="n">
        <x:f>G6</x:f>
        <x:v>196.2</x:v>
      </x:c>
    </x:row>
    <x:row r="17" ht="16" customHeight="1">
      <x:c r="B17" s="250" t="s">
        <x:v>2187</x:v>
      </x:c>
      <x:c r="C17" s="250"/>
      <x:c r="D17" s="250"/>
      <x:c r="E17" s="250"/>
      <x:c r="F17" s="250"/>
      <x:c r="G17" s="165" t="n">
        <x:f>G13</x:f>
        <x:v>24.08</x:v>
      </x:c>
    </x:row>
    <x:row r="18" ht="16" customHeight="1">
      <x:c r="B18" s="250" t="s">
        <x:v>2188</x:v>
      </x:c>
      <x:c r="C18" s="250"/>
      <x:c r="D18" s="250"/>
      <x:c r="E18" s="250"/>
      <x:c r="F18" s="250"/>
      <x:c r="G18" s="165" t="n">
        <x:f>G16-G17</x:f>
        <x:v>172.12</x:v>
      </x:c>
    </x:row>
    <x:row r="19" ht="16" customHeight="1">
      <x:c r="B19" s="257" t="s">
        <x:v>2189</x:v>
      </x:c>
      <x:c r="C19" s="257"/>
      <x:c r="D19" s="257"/>
      <x:c r="E19" s="257"/>
      <x:c r="F19" s="257"/>
      <x:c r="G19" s="163" t="n">
        <x:f>IF(G16=0,"",G18/G16)</x:f>
        <x:v>0.8772680937818553</x:v>
      </x:c>
    </x:row>
  </x:sheetData>
  <x:mergeCells>
    <x:mergeCell ref="B17:F17"/>
    <x:mergeCell ref="B18:F18"/>
    <x:mergeCell ref="B19:F19"/>
    <x:mergeCell ref="A1:S1"/>
    <x:mergeCell ref="A2:S2"/>
    <x:mergeCell ref="A3:S3"/>
    <x:mergeCell ref="B15:F15"/>
    <x:mergeCell ref="B16:F16"/>
  </x:mergeCells>
  <x:conditionalFormatting sqref="H6:H205">
    <x:cfRule type="expression" dxfId="7" priority="1">
      <x:formula>H6&lt;0</x:formula>
    </x:cfRule>
    <x:cfRule type="expression" dxfId="6" priority="2">
      <x:formula>H6&gt;0</x:formula>
    </x:cfRule>
  </x:conditionalFormatting>
  <x:conditionalFormatting sqref="N6:N205">
    <x:cfRule type="expression" dxfId="5" priority="3">
      <x:formula>N6="Terkini"</x:formula>
    </x:cfRule>
  </x:conditionalFormatting>
  <x:dataValidations count="4">
    <x:dataValidation type="list" sqref="Q6:Q205">
      <x:formula1>"Terverifikasi,Belum Diverifikasi,Perlu Konfirmasi Dokumen,Perlu Perbaikan"</x:formula1>
    </x:dataValidation>
    <x:dataValidation type="list" sqref="N6:N205">
      <x:formula1>"Historis,Terkini,Proses"</x:formula1>
    </x:dataValidation>
    <x:dataValidation type="list" sqref="M6:M205">
      <x:formula1>"Fase 1 — Penurunan awal,Fase 2 — Perubahan metode,Fase 3 — Penurunan konsisten,Fase berikutnya"</x:formula1>
    </x:dataValidation>
    <x:dataValidation type="list" sqref="C6:C205">
      <x:formula1>"Baseline/SK,Evaluasi,Berita Acara,Penetapan/Pemutakhiran,Verifikasi/Pemutakhiran"</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
  <x:cols>
    <x:col min="1" max="1" width="21" customWidth="1"/>
    <x:col min="2" max="2" width="13" customWidth="1"/>
    <x:col min="3" max="3" width="34" customWidth="1"/>
    <x:col min="4" max="5" width="20" customWidth="1"/>
    <x:col min="6" max="6" width="12" customWidth="1"/>
    <x:col min="7" max="7" width="16.58203125" customWidth="1"/>
    <x:col min="8" max="8" width="23" customWidth="1"/>
    <x:col min="9" max="9" width="22" customWidth="1"/>
    <x:col min="10" max="10" width="17" customWidth="1"/>
    <x:col min="11" max="11" width="37" customWidth="1"/>
    <x:col min="12" max="12" width="23.83203125" customWidth="1"/>
    <x:col min="13" max="14" width="15" customWidth="1"/>
    <x:col min="15" max="15" width="40" customWidth="1"/>
    <x:col min="16" max="16" width="48" customWidth="1"/>
    <x:col min="17" max="17" width="29" customWidth="1"/>
    <x:col min="18" max="18" width="24" customWidth="1"/>
    <x:col min="19" max="19" width="17" customWidth="1"/>
    <x:col min="20" max="20" width="18" customWidth="1"/>
  </x:cols>
  <x:sheetData>
    <x:row r="1" ht="20">
      <x:c r="A1" s="253" t="str">
        <x:v>TEMPLATE RESMI DATABASE SIRUMAH — LOKASI KAWASAN KUMUH KOTA PANGKAL PINANG</x:v>
      </x:c>
      <x:c r="B1" s="253"/>
      <x:c r="C1" s="253"/>
      <x:c r="D1" s="253"/>
      <x:c r="E1" s="253"/>
      <x:c r="F1" s="253"/>
      <x:c r="G1" s="253"/>
      <x:c r="H1" s="253"/>
      <x:c r="I1" s="253"/>
      <x:c r="J1" s="253"/>
      <x:c r="K1" s="253"/>
      <x:c r="L1" s="253"/>
      <x:c r="M1" s="253"/>
      <x:c r="N1" s="253"/>
      <x:c r="O1" s="253"/>
      <x:c r="P1" s="253"/>
      <x:c r="Q1" s="253"/>
      <x:c r="R1" s="253"/>
      <x:c r="S1" s="253"/>
      <x:c r="T1" s="253"/>
    </x:row>
    <x:row r="2" ht="14.5">
      <x:c r="A2" s="254" t="s">
        <x:v>2190</x:v>
      </x:c>
      <x:c r="B2" s="254"/>
      <x:c r="C2" s="254"/>
      <x:c r="D2" s="254"/>
      <x:c r="E2" s="254"/>
      <x:c r="F2" s="254"/>
      <x:c r="G2" s="254"/>
      <x:c r="H2" s="254"/>
      <x:c r="I2" s="254"/>
      <x:c r="J2" s="254"/>
      <x:c r="K2" s="254"/>
      <x:c r="L2" s="254"/>
      <x:c r="M2" s="254"/>
      <x:c r="N2" s="254"/>
      <x:c r="O2" s="254"/>
      <x:c r="P2" s="254"/>
      <x:c r="Q2" s="254"/>
      <x:c r="R2" s="254"/>
      <x:c r="S2" s="254"/>
      <x:c r="T2" s="254"/>
    </x:row>
    <x:row r="3">
      <x:c r="A3" s="255" t="s">
        <x:v>2191</x:v>
      </x:c>
      <x:c r="B3" s="255"/>
      <x:c r="C3" s="255"/>
      <x:c r="D3" s="255"/>
      <x:c r="E3" s="255"/>
      <x:c r="F3" s="255"/>
      <x:c r="G3" s="255"/>
      <x:c r="H3" s="255"/>
      <x:c r="I3" s="255"/>
      <x:c r="J3" s="255"/>
      <x:c r="K3" s="255"/>
      <x:c r="L3" s="255"/>
      <x:c r="M3" s="255"/>
      <x:c r="N3" s="255"/>
      <x:c r="O3" s="255"/>
      <x:c r="P3" s="255"/>
      <x:c r="Q3" s="255"/>
      <x:c r="R3" s="255"/>
      <x:c r="S3" s="255"/>
      <x:c r="T3" s="255"/>
    </x:row>
    <x:row r="5" ht="26">
      <x:c r="A5" s="162" t="s">
        <x:v>2192</x:v>
      </x:c>
      <x:c r="B5" s="161" t="s">
        <x:v>58</x:v>
      </x:c>
      <x:c r="C5" s="161" t="s">
        <x:v>2193</x:v>
      </x:c>
      <x:c r="D5" s="161" t="s">
        <x:v>38</x:v>
      </x:c>
      <x:c r="E5" s="161" t="s">
        <x:v>860</x:v>
      </x:c>
      <x:c r="F5" s="161" t="s">
        <x:v>2194</x:v>
      </x:c>
      <x:c r="G5" s="161" t="s">
        <x:v>2140</x:v>
      </x:c>
      <x:c r="H5" s="161" t="s">
        <x:v>2099</x:v>
      </x:c>
      <x:c r="I5" s="161" t="s">
        <x:v>874</x:v>
      </x:c>
      <x:c r="J5" s="161" t="s">
        <x:v>2195</x:v>
      </x:c>
      <x:c r="K5" s="161" t="s">
        <x:v>2137</x:v>
      </x:c>
      <x:c r="L5" s="161" t="s">
        <x:v>2138</x:v>
      </x:c>
      <x:c r="M5" s="161" t="s">
        <x:v>55</x:v>
      </x:c>
      <x:c r="N5" s="161" t="s">
        <x:v>56</x:v>
      </x:c>
      <x:c r="O5" s="161" t="s">
        <x:v>57</x:v>
      </x:c>
      <x:c r="P5" s="161" t="s">
        <x:v>13</x:v>
      </x:c>
      <x:c r="Q5" s="161" t="s">
        <x:v>59</x:v>
      </x:c>
      <x:c r="R5" s="161" t="s">
        <x:v>12</x:v>
      </x:c>
      <x:c r="S5" s="161" t="s">
        <x:v>15</x:v>
      </x:c>
      <x:c r="T5" s="160" t="s">
        <x:v>16</x:v>
      </x:c>
    </x:row>
    <x:row r="6" s="201" customFormat="1" ht="75">
      <x:c r="A6" s="188" t="s">
        <x:v>2196</x:v>
      </x:c>
      <x:c r="B6" s="188">
        <x:v>2014</x:v>
      </x:c>
      <x:c r="C6" s="188" t="s">
        <x:v>2197</x:v>
      </x:c>
      <x:c r="D6" s="188" t="s">
        <x:v>2198</x:v>
      </x:c>
      <x:c r="E6" s="188" t="s">
        <x:v>104</x:v>
      </x:c>
      <x:c r="F6" s="188">
        <x:v>6</x:v>
      </x:c>
      <x:c r="G6" s="189">
        <x:v>22.8</x:v>
      </x:c>
      <x:c r="H6" s="188" t="s">
        <x:v>2152</x:v>
      </x:c>
      <x:c r="I6" s="188" t="s">
        <x:v>889</x:v>
      </x:c>
      <x:c r="J6" s="188">
        <x:v>2014</x:v>
      </x:c>
      <x:c r="K6" s="188" t="s">
        <x:v>2199</x:v>
      </x:c>
      <x:c r="L6" s="198" t="s">
        <x:v>2200</x:v>
      </x:c>
      <x:c r="M6" s="199" t="s">
        <x:v>2201</x:v>
      </x:c>
      <x:c r="N6" s="199" t="s">
        <x:v>2202</x:v>
      </x:c>
      <x:c r="O6" s="188"/>
      <x:c r="P6" s="191" t="s">
        <x:v>2203</x:v>
      </x:c>
      <x:c r="Q6" s="191" t="s">
        <x:v>2204</x:v>
      </x:c>
      <x:c r="R6" s="191" t="s">
        <x:v>70</x:v>
      </x:c>
      <x:c r="S6" s="191"/>
      <x:c r="T6" s="191" t="str">
        <x:v>Dinas Perkim Kota Pangkal Pinang</x:v>
      </x:c>
    </x:row>
    <x:row r="7" s="201" customFormat="1" ht="75">
      <x:c r="A7" s="188" t="s">
        <x:v>2205</x:v>
      </x:c>
      <x:c r="B7" s="188">
        <x:v>2014</x:v>
      </x:c>
      <x:c r="C7" s="188" t="s">
        <x:v>2206</x:v>
      </x:c>
      <x:c r="D7" s="188" t="s">
        <x:v>393</x:v>
      </x:c>
      <x:c r="E7" s="188" t="s">
        <x:v>104</x:v>
      </x:c>
      <x:c r="F7" s="188">
        <x:v>5</x:v>
      </x:c>
      <x:c r="G7" s="189">
        <x:v>15.6</x:v>
      </x:c>
      <x:c r="H7" s="188" t="s">
        <x:v>2152</x:v>
      </x:c>
      <x:c r="I7" s="188" t="s">
        <x:v>889</x:v>
      </x:c>
      <x:c r="J7" s="188">
        <x:v>2014</x:v>
      </x:c>
      <x:c r="K7" s="188" t="s">
        <x:v>2199</x:v>
      </x:c>
      <x:c r="L7" s="198" t="s">
        <x:v>2200</x:v>
      </x:c>
      <x:c r="M7" s="199" t="s">
        <x:v>2207</x:v>
      </x:c>
      <x:c r="N7" s="199" t="s">
        <x:v>2208</x:v>
      </x:c>
      <x:c r="O7" s="188"/>
      <x:c r="P7" s="191" t="s">
        <x:v>2203</x:v>
      </x:c>
      <x:c r="Q7" s="191" t="s">
        <x:v>2204</x:v>
      </x:c>
      <x:c r="R7" s="191" t="s">
        <x:v>70</x:v>
      </x:c>
      <x:c r="S7" s="191"/>
      <x:c r="T7" s="191" t="str">
        <x:v>Dinas Perkim Kota Pangkal Pinang</x:v>
      </x:c>
    </x:row>
    <x:row r="8" s="201" customFormat="1" ht="75">
      <x:c r="A8" s="188" t="s">
        <x:v>2209</x:v>
      </x:c>
      <x:c r="B8" s="188">
        <x:v>2014</x:v>
      </x:c>
      <x:c r="C8" s="188" t="s">
        <x:v>2210</x:v>
      </x:c>
      <x:c r="D8" s="188" t="s">
        <x:v>2211</x:v>
      </x:c>
      <x:c r="E8" s="188" t="s">
        <x:v>314</x:v>
      </x:c>
      <x:c r="F8" s="188">
        <x:v>3</x:v>
      </x:c>
      <x:c r="G8" s="189">
        <x:v>8.3000000000000007</x:v>
      </x:c>
      <x:c r="H8" s="188" t="s">
        <x:v>2152</x:v>
      </x:c>
      <x:c r="I8" s="188" t="s">
        <x:v>889</x:v>
      </x:c>
      <x:c r="J8" s="188">
        <x:v>2014</x:v>
      </x:c>
      <x:c r="K8" s="188" t="s">
        <x:v>2199</x:v>
      </x:c>
      <x:c r="L8" s="198" t="s">
        <x:v>2200</x:v>
      </x:c>
      <x:c r="M8" s="199" t="s">
        <x:v>2212</x:v>
      </x:c>
      <x:c r="N8" s="199" t="s">
        <x:v>2213</x:v>
      </x:c>
      <x:c r="O8" s="188"/>
      <x:c r="P8" s="191" t="s">
        <x:v>2203</x:v>
      </x:c>
      <x:c r="Q8" s="191" t="s">
        <x:v>2204</x:v>
      </x:c>
      <x:c r="R8" s="191" t="s">
        <x:v>70</x:v>
      </x:c>
      <x:c r="S8" s="191"/>
      <x:c r="T8" s="191" t="str">
        <x:v>Dinas Perkim Kota Pangkal Pinang</x:v>
      </x:c>
    </x:row>
    <x:row r="9" s="201" customFormat="1" ht="75">
      <x:c r="A9" s="188" t="s">
        <x:v>2214</x:v>
      </x:c>
      <x:c r="B9" s="188">
        <x:v>2014</x:v>
      </x:c>
      <x:c r="C9" s="188" t="s">
        <x:v>2215</x:v>
      </x:c>
      <x:c r="D9" s="188" t="s">
        <x:v>2216</x:v>
      </x:c>
      <x:c r="E9" s="188" t="s">
        <x:v>314</x:v>
      </x:c>
      <x:c r="F9" s="188">
        <x:v>2</x:v>
      </x:c>
      <x:c r="G9" s="189">
        <x:v>2.4</x:v>
      </x:c>
      <x:c r="H9" s="188" t="s">
        <x:v>2152</x:v>
      </x:c>
      <x:c r="I9" s="188" t="s">
        <x:v>889</x:v>
      </x:c>
      <x:c r="J9" s="188">
        <x:v>2014</x:v>
      </x:c>
      <x:c r="K9" s="188" t="s">
        <x:v>2199</x:v>
      </x:c>
      <x:c r="L9" s="198" t="s">
        <x:v>2200</x:v>
      </x:c>
      <x:c r="M9" s="199" t="s">
        <x:v>2217</x:v>
      </x:c>
      <x:c r="N9" s="199" t="s">
        <x:v>2218</x:v>
      </x:c>
      <x:c r="O9" s="188"/>
      <x:c r="P9" s="191" t="s">
        <x:v>2203</x:v>
      </x:c>
      <x:c r="Q9" s="191" t="s">
        <x:v>2204</x:v>
      </x:c>
      <x:c r="R9" s="191" t="s">
        <x:v>70</x:v>
      </x:c>
      <x:c r="S9" s="191"/>
      <x:c r="T9" s="191" t="str">
        <x:v>Dinas Perkim Kota Pangkal Pinang</x:v>
      </x:c>
    </x:row>
    <x:row r="10" s="201" customFormat="1" ht="75">
      <x:c r="A10" s="188" t="s">
        <x:v>2219</x:v>
      </x:c>
      <x:c r="B10" s="188">
        <x:v>2014</x:v>
      </x:c>
      <x:c r="C10" s="188" t="s">
        <x:v>2220</x:v>
      </x:c>
      <x:c r="D10" s="188" t="s">
        <x:v>2221</x:v>
      </x:c>
      <x:c r="E10" s="188" t="s">
        <x:v>314</x:v>
      </x:c>
      <x:c r="F10" s="188">
        <x:v>5</x:v>
      </x:c>
      <x:c r="G10" s="189">
        <x:v>7.9</x:v>
      </x:c>
      <x:c r="H10" s="188" t="s">
        <x:v>2152</x:v>
      </x:c>
      <x:c r="I10" s="188" t="s">
        <x:v>889</x:v>
      </x:c>
      <x:c r="J10" s="188">
        <x:v>2014</x:v>
      </x:c>
      <x:c r="K10" s="188" t="s">
        <x:v>2199</x:v>
      </x:c>
      <x:c r="L10" s="198" t="s">
        <x:v>2200</x:v>
      </x:c>
      <x:c r="M10" s="199" t="s">
        <x:v>2222</x:v>
      </x:c>
      <x:c r="N10" s="199" t="s">
        <x:v>2223</x:v>
      </x:c>
      <x:c r="O10" s="188"/>
      <x:c r="P10" s="191" t="s">
        <x:v>2203</x:v>
      </x:c>
      <x:c r="Q10" s="191" t="s">
        <x:v>2204</x:v>
      </x:c>
      <x:c r="R10" s="191" t="s">
        <x:v>70</x:v>
      </x:c>
      <x:c r="S10" s="191"/>
      <x:c r="T10" s="191" t="str">
        <x:v>Dinas Perkim Kota Pangkal Pinang</x:v>
      </x:c>
    </x:row>
    <x:row r="11" s="201" customFormat="1" ht="75">
      <x:c r="A11" s="188" t="s">
        <x:v>2224</x:v>
      </x:c>
      <x:c r="B11" s="188">
        <x:v>2014</x:v>
      </x:c>
      <x:c r="C11" s="188" t="s">
        <x:v>2225</x:v>
      </x:c>
      <x:c r="D11" s="188" t="s">
        <x:v>123</x:v>
      </x:c>
      <x:c r="E11" s="188" t="s">
        <x:v>122</x:v>
      </x:c>
      <x:c r="F11" s="188">
        <x:v>4</x:v>
      </x:c>
      <x:c r="G11" s="189">
        <x:v>16.2</x:v>
      </x:c>
      <x:c r="H11" s="188" t="s">
        <x:v>2152</x:v>
      </x:c>
      <x:c r="I11" s="188" t="s">
        <x:v>889</x:v>
      </x:c>
      <x:c r="J11" s="188">
        <x:v>2014</x:v>
      </x:c>
      <x:c r="K11" s="188" t="s">
        <x:v>2199</x:v>
      </x:c>
      <x:c r="L11" s="198" t="s">
        <x:v>2200</x:v>
      </x:c>
      <x:c r="M11" s="199" t="s">
        <x:v>2226</x:v>
      </x:c>
      <x:c r="N11" s="199" t="s">
        <x:v>2227</x:v>
      </x:c>
      <x:c r="O11" s="188"/>
      <x:c r="P11" s="191" t="s">
        <x:v>2203</x:v>
      </x:c>
      <x:c r="Q11" s="191" t="s">
        <x:v>2204</x:v>
      </x:c>
      <x:c r="R11" s="191" t="s">
        <x:v>70</x:v>
      </x:c>
      <x:c r="S11" s="191"/>
      <x:c r="T11" s="191" t="str">
        <x:v>Dinas Perkim Kota Pangkal Pinang</x:v>
      </x:c>
    </x:row>
    <x:row r="12" s="201" customFormat="1" ht="75">
      <x:c r="A12" s="188" t="s">
        <x:v>2228</x:v>
      </x:c>
      <x:c r="B12" s="188">
        <x:v>2014</x:v>
      </x:c>
      <x:c r="C12" s="188" t="s">
        <x:v>2229</x:v>
      </x:c>
      <x:c r="D12" s="188" t="s">
        <x:v>216</x:v>
      </x:c>
      <x:c r="E12" s="188" t="s">
        <x:v>122</x:v>
      </x:c>
      <x:c r="F12" s="188">
        <x:v>2</x:v>
      </x:c>
      <x:c r="G12" s="189">
        <x:v>5.3</x:v>
      </x:c>
      <x:c r="H12" s="188" t="s">
        <x:v>2152</x:v>
      </x:c>
      <x:c r="I12" s="188" t="s">
        <x:v>889</x:v>
      </x:c>
      <x:c r="J12" s="188">
        <x:v>2014</x:v>
      </x:c>
      <x:c r="K12" s="188" t="s">
        <x:v>2199</x:v>
      </x:c>
      <x:c r="L12" s="198" t="s">
        <x:v>2200</x:v>
      </x:c>
      <x:c r="M12" s="199" t="s">
        <x:v>2230</x:v>
      </x:c>
      <x:c r="N12" s="199" t="s">
        <x:v>2231</x:v>
      </x:c>
      <x:c r="O12" s="188"/>
      <x:c r="P12" s="191" t="s">
        <x:v>2203</x:v>
      </x:c>
      <x:c r="Q12" s="191" t="s">
        <x:v>2204</x:v>
      </x:c>
      <x:c r="R12" s="191" t="s">
        <x:v>70</x:v>
      </x:c>
      <x:c r="S12" s="191"/>
      <x:c r="T12" s="191" t="str">
        <x:v>Dinas Perkim Kota Pangkal Pinang</x:v>
      </x:c>
    </x:row>
    <x:row r="13" s="201" customFormat="1" ht="75">
      <x:c r="A13" s="188" t="s">
        <x:v>2232</x:v>
      </x:c>
      <x:c r="B13" s="188">
        <x:v>2014</x:v>
      </x:c>
      <x:c r="C13" s="188" t="s">
        <x:v>2233</x:v>
      </x:c>
      <x:c r="D13" s="188" t="s">
        <x:v>2234</x:v>
      </x:c>
      <x:c r="E13" s="188" t="s">
        <x:v>786</x:v>
      </x:c>
      <x:c r="F13" s="188">
        <x:v>5</x:v>
      </x:c>
      <x:c r="G13" s="189">
        <x:v>6</x:v>
      </x:c>
      <x:c r="H13" s="188" t="s">
        <x:v>2152</x:v>
      </x:c>
      <x:c r="I13" s="188" t="s">
        <x:v>889</x:v>
      </x:c>
      <x:c r="J13" s="188">
        <x:v>2014</x:v>
      </x:c>
      <x:c r="K13" s="188" t="s">
        <x:v>2199</x:v>
      </x:c>
      <x:c r="L13" s="198" t="s">
        <x:v>2200</x:v>
      </x:c>
      <x:c r="M13" s="199" t="s">
        <x:v>2235</x:v>
      </x:c>
      <x:c r="N13" s="199" t="s">
        <x:v>2236</x:v>
      </x:c>
      <x:c r="O13" s="188"/>
      <x:c r="P13" s="191" t="s">
        <x:v>2203</x:v>
      </x:c>
      <x:c r="Q13" s="191" t="s">
        <x:v>2204</x:v>
      </x:c>
      <x:c r="R13" s="191" t="s">
        <x:v>70</x:v>
      </x:c>
      <x:c r="S13" s="191"/>
      <x:c r="T13" s="191" t="str">
        <x:v>Dinas Perkim Kota Pangkal Pinang</x:v>
      </x:c>
    </x:row>
    <x:row r="14" s="201" customFormat="1" ht="75">
      <x:c r="A14" s="188" t="s">
        <x:v>2237</x:v>
      </x:c>
      <x:c r="B14" s="188">
        <x:v>2014</x:v>
      </x:c>
      <x:c r="C14" s="188" t="s">
        <x:v>2238</x:v>
      </x:c>
      <x:c r="D14" s="188" t="s">
        <x:v>2161</x:v>
      </x:c>
      <x:c r="E14" s="188" t="s">
        <x:v>786</x:v>
      </x:c>
      <x:c r="F14" s="188">
        <x:v>8</x:v>
      </x:c>
      <x:c r="G14" s="189">
        <x:v>44.8</x:v>
      </x:c>
      <x:c r="H14" s="188" t="s">
        <x:v>2152</x:v>
      </x:c>
      <x:c r="I14" s="188" t="s">
        <x:v>889</x:v>
      </x:c>
      <x:c r="J14" s="188">
        <x:v>2014</x:v>
      </x:c>
      <x:c r="K14" s="188" t="s">
        <x:v>2199</x:v>
      </x:c>
      <x:c r="L14" s="198" t="s">
        <x:v>2200</x:v>
      </x:c>
      <x:c r="M14" s="199" t="s">
        <x:v>2239</x:v>
      </x:c>
      <x:c r="N14" s="199" t="s">
        <x:v>2240</x:v>
      </x:c>
      <x:c r="O14" s="188"/>
      <x:c r="P14" s="191" t="s">
        <x:v>2203</x:v>
      </x:c>
      <x:c r="Q14" s="191" t="s">
        <x:v>2204</x:v>
      </x:c>
      <x:c r="R14" s="191" t="s">
        <x:v>70</x:v>
      </x:c>
      <x:c r="S14" s="191"/>
      <x:c r="T14" s="191" t="str">
        <x:v>Dinas Perkim Kota Pangkal Pinang</x:v>
      </x:c>
    </x:row>
    <x:row r="15" s="201" customFormat="1" ht="75">
      <x:c r="A15" s="188" t="s">
        <x:v>2241</x:v>
      </x:c>
      <x:c r="B15" s="188">
        <x:v>2014</x:v>
      </x:c>
      <x:c r="C15" s="188" t="s">
        <x:v>2242</x:v>
      </x:c>
      <x:c r="D15" s="188" t="s">
        <x:v>2243</x:v>
      </x:c>
      <x:c r="E15" s="188" t="s">
        <x:v>835</x:v>
      </x:c>
      <x:c r="F15" s="188">
        <x:v>1</x:v>
      </x:c>
      <x:c r="G15" s="189">
        <x:v>1.8</x:v>
      </x:c>
      <x:c r="H15" s="188" t="s">
        <x:v>2152</x:v>
      </x:c>
      <x:c r="I15" s="188" t="s">
        <x:v>889</x:v>
      </x:c>
      <x:c r="J15" s="188">
        <x:v>2014</x:v>
      </x:c>
      <x:c r="K15" s="188" t="s">
        <x:v>2199</x:v>
      </x:c>
      <x:c r="L15" s="198" t="s">
        <x:v>2200</x:v>
      </x:c>
      <x:c r="M15" s="199" t="s">
        <x:v>2244</x:v>
      </x:c>
      <x:c r="N15" s="199" t="s">
        <x:v>2245</x:v>
      </x:c>
      <x:c r="O15" s="188"/>
      <x:c r="P15" s="191" t="s">
        <x:v>2203</x:v>
      </x:c>
      <x:c r="Q15" s="191" t="s">
        <x:v>2204</x:v>
      </x:c>
      <x:c r="R15" s="191" t="s">
        <x:v>70</x:v>
      </x:c>
      <x:c r="S15" s="191"/>
      <x:c r="T15" s="191" t="str">
        <x:v>Dinas Perkim Kota Pangkal Pinang</x:v>
      </x:c>
    </x:row>
    <x:row r="16" s="201" customFormat="1" ht="75">
      <x:c r="A16" s="188" t="s">
        <x:v>2246</x:v>
      </x:c>
      <x:c r="B16" s="188">
        <x:v>2014</x:v>
      </x:c>
      <x:c r="C16" s="188" t="s">
        <x:v>2247</x:v>
      </x:c>
      <x:c r="D16" s="188" t="s">
        <x:v>2248</x:v>
      </x:c>
      <x:c r="E16" s="188" t="s">
        <x:v>835</x:v>
      </x:c>
      <x:c r="F16" s="188">
        <x:v>2</x:v>
      </x:c>
      <x:c r="G16" s="189">
        <x:v>6.6</x:v>
      </x:c>
      <x:c r="H16" s="188" t="s">
        <x:v>2152</x:v>
      </x:c>
      <x:c r="I16" s="188" t="s">
        <x:v>889</x:v>
      </x:c>
      <x:c r="J16" s="188">
        <x:v>2014</x:v>
      </x:c>
      <x:c r="K16" s="188" t="s">
        <x:v>2199</x:v>
      </x:c>
      <x:c r="L16" s="198" t="s">
        <x:v>2200</x:v>
      </x:c>
      <x:c r="M16" s="199" t="s">
        <x:v>2249</x:v>
      </x:c>
      <x:c r="N16" s="199" t="s">
        <x:v>2250</x:v>
      </x:c>
      <x:c r="O16" s="188"/>
      <x:c r="P16" s="191" t="s">
        <x:v>2203</x:v>
      </x:c>
      <x:c r="Q16" s="191" t="s">
        <x:v>2204</x:v>
      </x:c>
      <x:c r="R16" s="191" t="s">
        <x:v>70</x:v>
      </x:c>
      <x:c r="S16" s="191"/>
      <x:c r="T16" s="191" t="str">
        <x:v>Dinas Perkim Kota Pangkal Pinang</x:v>
      </x:c>
    </x:row>
    <x:row r="17" s="201" customFormat="1" ht="75">
      <x:c r="A17" s="188" t="s">
        <x:v>2251</x:v>
      </x:c>
      <x:c r="B17" s="188">
        <x:v>2014</x:v>
      </x:c>
      <x:c r="C17" s="188" t="s">
        <x:v>2252</x:v>
      </x:c>
      <x:c r="D17" s="188" t="s">
        <x:v>2253</x:v>
      </x:c>
      <x:c r="E17" s="188" t="s">
        <x:v>835</x:v>
      </x:c>
      <x:c r="F17" s="188">
        <x:v>7</x:v>
      </x:c>
      <x:c r="G17" s="189">
        <x:v>24.5</x:v>
      </x:c>
      <x:c r="H17" s="188" t="s">
        <x:v>2152</x:v>
      </x:c>
      <x:c r="I17" s="188" t="s">
        <x:v>889</x:v>
      </x:c>
      <x:c r="J17" s="188">
        <x:v>2014</x:v>
      </x:c>
      <x:c r="K17" s="188" t="s">
        <x:v>2199</x:v>
      </x:c>
      <x:c r="L17" s="198" t="s">
        <x:v>2200</x:v>
      </x:c>
      <x:c r="M17" s="199" t="s">
        <x:v>2254</x:v>
      </x:c>
      <x:c r="N17" s="199" t="s">
        <x:v>2255</x:v>
      </x:c>
      <x:c r="O17" s="188"/>
      <x:c r="P17" s="191" t="s">
        <x:v>2203</x:v>
      </x:c>
      <x:c r="Q17" s="191" t="s">
        <x:v>2204</x:v>
      </x:c>
      <x:c r="R17" s="191" t="s">
        <x:v>70</x:v>
      </x:c>
      <x:c r="S17" s="191"/>
      <x:c r="T17" s="191" t="str">
        <x:v>Dinas Perkim Kota Pangkal Pinang</x:v>
      </x:c>
    </x:row>
    <x:row r="18" s="201" customFormat="1" ht="75">
      <x:c r="A18" s="188" t="s">
        <x:v>2256</x:v>
      </x:c>
      <x:c r="B18" s="188">
        <x:v>2014</x:v>
      </x:c>
      <x:c r="C18" s="188" t="s">
        <x:v>2257</x:v>
      </x:c>
      <x:c r="D18" s="188" t="s">
        <x:v>2258</x:v>
      </x:c>
      <x:c r="E18" s="188" t="s">
        <x:v>835</x:v>
      </x:c>
      <x:c r="F18" s="188">
        <x:v>4</x:v>
      </x:c>
      <x:c r="G18" s="189">
        <x:v>17.7</x:v>
      </x:c>
      <x:c r="H18" s="188" t="s">
        <x:v>2152</x:v>
      </x:c>
      <x:c r="I18" s="188" t="s">
        <x:v>889</x:v>
      </x:c>
      <x:c r="J18" s="188">
        <x:v>2014</x:v>
      </x:c>
      <x:c r="K18" s="188" t="s">
        <x:v>2199</x:v>
      </x:c>
      <x:c r="L18" s="198" t="s">
        <x:v>2200</x:v>
      </x:c>
      <x:c r="M18" s="199" t="s">
        <x:v>2259</x:v>
      </x:c>
      <x:c r="N18" s="199" t="s">
        <x:v>2260</x:v>
      </x:c>
      <x:c r="O18" s="188"/>
      <x:c r="P18" s="191" t="s">
        <x:v>2203</x:v>
      </x:c>
      <x:c r="Q18" s="191" t="s">
        <x:v>2204</x:v>
      </x:c>
      <x:c r="R18" s="191" t="s">
        <x:v>70</x:v>
      </x:c>
      <x:c r="S18" s="191"/>
      <x:c r="T18" s="191" t="str">
        <x:v>Dinas Perkim Kota Pangkal Pinang</x:v>
      </x:c>
    </x:row>
    <x:row r="19" s="201" customFormat="1" ht="75">
      <x:c r="A19" s="188" t="s">
        <x:v>2261</x:v>
      </x:c>
      <x:c r="B19" s="188">
        <x:v>2014</x:v>
      </x:c>
      <x:c r="C19" s="188" t="s">
        <x:v>2262</x:v>
      </x:c>
      <x:c r="D19" s="188" t="s">
        <x:v>2263</x:v>
      </x:c>
      <x:c r="E19" s="188" t="s">
        <x:v>835</x:v>
      </x:c>
      <x:c r="F19" s="188">
        <x:v>9</x:v>
      </x:c>
      <x:c r="G19" s="189">
        <x:v>16.3</x:v>
      </x:c>
      <x:c r="H19" s="188" t="s">
        <x:v>2152</x:v>
      </x:c>
      <x:c r="I19" s="188" t="s">
        <x:v>889</x:v>
      </x:c>
      <x:c r="J19" s="188">
        <x:v>2014</x:v>
      </x:c>
      <x:c r="K19" s="188" t="s">
        <x:v>2199</x:v>
      </x:c>
      <x:c r="L19" s="198" t="s">
        <x:v>2200</x:v>
      </x:c>
      <x:c r="M19" s="199">
        <x:v>-212775</x:v>
      </x:c>
      <x:c r="N19" s="199" t="s">
        <x:v>2264</x:v>
      </x:c>
      <x:c r="O19" s="188"/>
      <x:c r="P19" s="191" t="s">
        <x:v>2203</x:v>
      </x:c>
      <x:c r="Q19" s="191" t="s">
        <x:v>2204</x:v>
      </x:c>
      <x:c r="R19" s="191" t="s">
        <x:v>70</x:v>
      </x:c>
      <x:c r="S19" s="191"/>
      <x:c r="T19" s="191" t="str">
        <x:v>Dinas Perkim Kota Pangkal Pinang</x:v>
      </x:c>
    </x:row>
    <x:row r="20" s="197" customFormat="1" ht="25">
      <x:c r="A20" s="184" t="s">
        <x:v>2265</x:v>
      </x:c>
      <x:c r="B20" s="184">
        <x:v>2018</x:v>
      </x:c>
      <x:c r="C20" s="184" t="s">
        <x:v>2197</x:v>
      </x:c>
      <x:c r="D20" s="184" t="s">
        <x:v>2198</x:v>
      </x:c>
      <x:c r="E20" s="184" t="s">
        <x:v>104</x:v>
      </x:c>
      <x:c r="F20" s="184">
        <x:v>6</x:v>
      </x:c>
      <x:c r="G20" s="185">
        <x:v>22.6</x:v>
      </x:c>
      <x:c r="H20" s="184" t="s">
        <x:v>2152</x:v>
      </x:c>
      <x:c r="I20" s="184" t="s">
        <x:v>1001</x:v>
      </x:c>
      <x:c r="J20" s="184">
        <x:v>2018</x:v>
      </x:c>
      <x:c r="K20" s="184" t="s">
        <x:v>2199</x:v>
      </x:c>
      <x:c r="L20" s="194" t="s">
        <x:v>2266</x:v>
      </x:c>
      <x:c r="M20" s="195" t="s">
        <x:v>2201</x:v>
      </x:c>
      <x:c r="N20" s="195" t="s">
        <x:v>2202</x:v>
      </x:c>
      <x:c r="O20" s="184"/>
      <x:c r="P20" s="187" t="s">
        <x:v>2267</x:v>
      </x:c>
      <x:c r="Q20" s="187" t="s">
        <x:v>2204</x:v>
      </x:c>
      <x:c r="R20" s="187" t="s">
        <x:v>70</x:v>
      </x:c>
      <x:c r="S20" s="187"/>
      <x:c r="T20" s="187" t="str">
        <x:v>Dinas Perkim Kota Pangkal Pinang</x:v>
      </x:c>
      <x:c r="U20" s="196"/>
    </x:row>
    <x:row r="21" s="197" customFormat="1" ht="25">
      <x:c r="A21" s="184" t="s">
        <x:v>2268</x:v>
      </x:c>
      <x:c r="B21" s="184">
        <x:v>2018</x:v>
      </x:c>
      <x:c r="C21" s="184" t="s">
        <x:v>2206</x:v>
      </x:c>
      <x:c r="D21" s="184" t="s">
        <x:v>393</x:v>
      </x:c>
      <x:c r="E21" s="184" t="s">
        <x:v>104</x:v>
      </x:c>
      <x:c r="F21" s="184">
        <x:v>5</x:v>
      </x:c>
      <x:c r="G21" s="185">
        <x:v>15.6</x:v>
      </x:c>
      <x:c r="H21" s="184" t="s">
        <x:v>2152</x:v>
      </x:c>
      <x:c r="I21" s="184" t="s">
        <x:v>1001</x:v>
      </x:c>
      <x:c r="J21" s="184">
        <x:v>2018</x:v>
      </x:c>
      <x:c r="K21" s="184" t="s">
        <x:v>2199</x:v>
      </x:c>
      <x:c r="L21" s="194" t="s">
        <x:v>2266</x:v>
      </x:c>
      <x:c r="M21" s="195" t="s">
        <x:v>2207</x:v>
      </x:c>
      <x:c r="N21" s="195" t="s">
        <x:v>2208</x:v>
      </x:c>
      <x:c r="O21" s="184"/>
      <x:c r="P21" s="187" t="s">
        <x:v>2267</x:v>
      </x:c>
      <x:c r="Q21" s="187" t="s">
        <x:v>2204</x:v>
      </x:c>
      <x:c r="R21" s="187" t="s">
        <x:v>70</x:v>
      </x:c>
      <x:c r="S21" s="187"/>
      <x:c r="T21" s="187" t="str">
        <x:v>Dinas Perkim Kota Pangkal Pinang</x:v>
      </x:c>
      <x:c r="U21" s="196"/>
    </x:row>
    <x:row r="22" s="197" customFormat="1" ht="25">
      <x:c r="A22" s="184" t="s">
        <x:v>2269</x:v>
      </x:c>
      <x:c r="B22" s="184">
        <x:v>2018</x:v>
      </x:c>
      <x:c r="C22" s="184" t="s">
        <x:v>2210</x:v>
      </x:c>
      <x:c r="D22" s="184" t="s">
        <x:v>2211</x:v>
      </x:c>
      <x:c r="E22" s="184" t="s">
        <x:v>314</x:v>
      </x:c>
      <x:c r="F22" s="184">
        <x:v>3</x:v>
      </x:c>
      <x:c r="G22" s="185">
        <x:v>0</x:v>
      </x:c>
      <x:c r="H22" s="184" t="s">
        <x:v>2152</x:v>
      </x:c>
      <x:c r="I22" s="184" t="s">
        <x:v>1001</x:v>
      </x:c>
      <x:c r="J22" s="184">
        <x:v>2018</x:v>
      </x:c>
      <x:c r="K22" s="184" t="s">
        <x:v>2199</x:v>
      </x:c>
      <x:c r="L22" s="194" t="s">
        <x:v>2266</x:v>
      </x:c>
      <x:c r="M22" s="195" t="s">
        <x:v>2212</x:v>
      </x:c>
      <x:c r="N22" s="195" t="s">
        <x:v>2213</x:v>
      </x:c>
      <x:c r="O22" s="184"/>
      <x:c r="P22" s="187" t="s">
        <x:v>2267</x:v>
      </x:c>
      <x:c r="Q22" s="187" t="s">
        <x:v>2204</x:v>
      </x:c>
      <x:c r="R22" s="187" t="s">
        <x:v>70</x:v>
      </x:c>
      <x:c r="S22" s="187"/>
      <x:c r="T22" s="187" t="str">
        <x:v>Dinas Perkim Kota Pangkal Pinang</x:v>
      </x:c>
      <x:c r="U22" s="196"/>
    </x:row>
    <x:row r="23" s="197" customFormat="1" ht="25">
      <x:c r="A23" s="184" t="s">
        <x:v>2270</x:v>
      </x:c>
      <x:c r="B23" s="184">
        <x:v>2018</x:v>
      </x:c>
      <x:c r="C23" s="184" t="s">
        <x:v>2215</x:v>
      </x:c>
      <x:c r="D23" s="184" t="s">
        <x:v>2216</x:v>
      </x:c>
      <x:c r="E23" s="184" t="s">
        <x:v>314</x:v>
      </x:c>
      <x:c r="F23" s="184">
        <x:v>2</x:v>
      </x:c>
      <x:c r="G23" s="185">
        <x:v>2.4</x:v>
      </x:c>
      <x:c r="H23" s="184" t="s">
        <x:v>2152</x:v>
      </x:c>
      <x:c r="I23" s="184" t="s">
        <x:v>1001</x:v>
      </x:c>
      <x:c r="J23" s="184">
        <x:v>2018</x:v>
      </x:c>
      <x:c r="K23" s="184" t="s">
        <x:v>2199</x:v>
      </x:c>
      <x:c r="L23" s="194" t="s">
        <x:v>2266</x:v>
      </x:c>
      <x:c r="M23" s="195" t="s">
        <x:v>2217</x:v>
      </x:c>
      <x:c r="N23" s="195" t="s">
        <x:v>2218</x:v>
      </x:c>
      <x:c r="O23" s="184"/>
      <x:c r="P23" s="187" t="s">
        <x:v>2267</x:v>
      </x:c>
      <x:c r="Q23" s="187" t="s">
        <x:v>2204</x:v>
      </x:c>
      <x:c r="R23" s="187" t="s">
        <x:v>70</x:v>
      </x:c>
      <x:c r="S23" s="187"/>
      <x:c r="T23" s="187" t="str">
        <x:v>Dinas Perkim Kota Pangkal Pinang</x:v>
      </x:c>
      <x:c r="U23" s="196"/>
    </x:row>
    <x:row r="24" s="197" customFormat="1" ht="25">
      <x:c r="A24" s="184" t="s">
        <x:v>2271</x:v>
      </x:c>
      <x:c r="B24" s="184">
        <x:v>2018</x:v>
      </x:c>
      <x:c r="C24" s="184" t="s">
        <x:v>2220</x:v>
      </x:c>
      <x:c r="D24" s="184" t="s">
        <x:v>2221</x:v>
      </x:c>
      <x:c r="E24" s="184" t="s">
        <x:v>314</x:v>
      </x:c>
      <x:c r="F24" s="184">
        <x:v>5</x:v>
      </x:c>
      <x:c r="G24" s="185">
        <x:v>7.9</x:v>
      </x:c>
      <x:c r="H24" s="184" t="s">
        <x:v>2152</x:v>
      </x:c>
      <x:c r="I24" s="184" t="s">
        <x:v>1001</x:v>
      </x:c>
      <x:c r="J24" s="184">
        <x:v>2018</x:v>
      </x:c>
      <x:c r="K24" s="184" t="s">
        <x:v>2199</x:v>
      </x:c>
      <x:c r="L24" s="194" t="s">
        <x:v>2266</x:v>
      </x:c>
      <x:c r="M24" s="195" t="s">
        <x:v>2222</x:v>
      </x:c>
      <x:c r="N24" s="195" t="s">
        <x:v>2223</x:v>
      </x:c>
      <x:c r="O24" s="184"/>
      <x:c r="P24" s="187" t="s">
        <x:v>2267</x:v>
      </x:c>
      <x:c r="Q24" s="187" t="s">
        <x:v>2204</x:v>
      </x:c>
      <x:c r="R24" s="187" t="s">
        <x:v>70</x:v>
      </x:c>
      <x:c r="S24" s="187"/>
      <x:c r="T24" s="187" t="str">
        <x:v>Dinas Perkim Kota Pangkal Pinang</x:v>
      </x:c>
      <x:c r="U24" s="196"/>
    </x:row>
    <x:row r="25" s="197" customFormat="1" ht="25">
      <x:c r="A25" s="184" t="s">
        <x:v>2272</x:v>
      </x:c>
      <x:c r="B25" s="184">
        <x:v>2018</x:v>
      </x:c>
      <x:c r="C25" s="184" t="s">
        <x:v>2225</x:v>
      </x:c>
      <x:c r="D25" s="184" t="s">
        <x:v>123</x:v>
      </x:c>
      <x:c r="E25" s="184" t="s">
        <x:v>122</x:v>
      </x:c>
      <x:c r="F25" s="184">
        <x:v>4</x:v>
      </x:c>
      <x:c r="G25" s="185">
        <x:v>16.2</x:v>
      </x:c>
      <x:c r="H25" s="184" t="s">
        <x:v>2152</x:v>
      </x:c>
      <x:c r="I25" s="184" t="s">
        <x:v>1001</x:v>
      </x:c>
      <x:c r="J25" s="184">
        <x:v>2018</x:v>
      </x:c>
      <x:c r="K25" s="184" t="s">
        <x:v>2199</x:v>
      </x:c>
      <x:c r="L25" s="194" t="s">
        <x:v>2266</x:v>
      </x:c>
      <x:c r="M25" s="195" t="s">
        <x:v>2226</x:v>
      </x:c>
      <x:c r="N25" s="195" t="s">
        <x:v>2227</x:v>
      </x:c>
      <x:c r="O25" s="184"/>
      <x:c r="P25" s="187" t="s">
        <x:v>2267</x:v>
      </x:c>
      <x:c r="Q25" s="187" t="s">
        <x:v>2204</x:v>
      </x:c>
      <x:c r="R25" s="187" t="s">
        <x:v>70</x:v>
      </x:c>
      <x:c r="S25" s="187"/>
      <x:c r="T25" s="187" t="str">
        <x:v>Dinas Perkim Kota Pangkal Pinang</x:v>
      </x:c>
      <x:c r="U25" s="196"/>
    </x:row>
    <x:row r="26" s="197" customFormat="1" ht="25">
      <x:c r="A26" s="184" t="s">
        <x:v>2273</x:v>
      </x:c>
      <x:c r="B26" s="184">
        <x:v>2018</x:v>
      </x:c>
      <x:c r="C26" s="184" t="s">
        <x:v>2229</x:v>
      </x:c>
      <x:c r="D26" s="184" t="s">
        <x:v>216</x:v>
      </x:c>
      <x:c r="E26" s="184" t="s">
        <x:v>122</x:v>
      </x:c>
      <x:c r="F26" s="184">
        <x:v>2</x:v>
      </x:c>
      <x:c r="G26" s="185">
        <x:v>5.3</x:v>
      </x:c>
      <x:c r="H26" s="184" t="s">
        <x:v>2152</x:v>
      </x:c>
      <x:c r="I26" s="184" t="s">
        <x:v>1001</x:v>
      </x:c>
      <x:c r="J26" s="184">
        <x:v>2018</x:v>
      </x:c>
      <x:c r="K26" s="184" t="s">
        <x:v>2199</x:v>
      </x:c>
      <x:c r="L26" s="194" t="s">
        <x:v>2266</x:v>
      </x:c>
      <x:c r="M26" s="195" t="s">
        <x:v>2230</x:v>
      </x:c>
      <x:c r="N26" s="195" t="s">
        <x:v>2231</x:v>
      </x:c>
      <x:c r="O26" s="184"/>
      <x:c r="P26" s="187" t="s">
        <x:v>2267</x:v>
      </x:c>
      <x:c r="Q26" s="187" t="s">
        <x:v>2204</x:v>
      </x:c>
      <x:c r="R26" s="187" t="s">
        <x:v>70</x:v>
      </x:c>
      <x:c r="S26" s="187"/>
      <x:c r="T26" s="187" t="str">
        <x:v>Dinas Perkim Kota Pangkal Pinang</x:v>
      </x:c>
      <x:c r="U26" s="196"/>
    </x:row>
    <x:row r="27" s="197" customFormat="1" ht="25">
      <x:c r="A27" s="184" t="s">
        <x:v>2274</x:v>
      </x:c>
      <x:c r="B27" s="184">
        <x:v>2018</x:v>
      </x:c>
      <x:c r="C27" s="184" t="s">
        <x:v>2233</x:v>
      </x:c>
      <x:c r="D27" s="184" t="s">
        <x:v>2234</x:v>
      </x:c>
      <x:c r="E27" s="184" t="s">
        <x:v>786</x:v>
      </x:c>
      <x:c r="F27" s="184">
        <x:v>5</x:v>
      </x:c>
      <x:c r="G27" s="185">
        <x:v>6</x:v>
      </x:c>
      <x:c r="H27" s="184" t="s">
        <x:v>2152</x:v>
      </x:c>
      <x:c r="I27" s="184" t="s">
        <x:v>1001</x:v>
      </x:c>
      <x:c r="J27" s="184">
        <x:v>2018</x:v>
      </x:c>
      <x:c r="K27" s="184" t="s">
        <x:v>2199</x:v>
      </x:c>
      <x:c r="L27" s="194" t="s">
        <x:v>2266</x:v>
      </x:c>
      <x:c r="M27" s="195" t="s">
        <x:v>2235</x:v>
      </x:c>
      <x:c r="N27" s="195" t="s">
        <x:v>2236</x:v>
      </x:c>
      <x:c r="O27" s="184"/>
      <x:c r="P27" s="187" t="s">
        <x:v>2267</x:v>
      </x:c>
      <x:c r="Q27" s="187" t="s">
        <x:v>2204</x:v>
      </x:c>
      <x:c r="R27" s="187" t="s">
        <x:v>70</x:v>
      </x:c>
      <x:c r="S27" s="187"/>
      <x:c r="T27" s="187" t="str">
        <x:v>Dinas Perkim Kota Pangkal Pinang</x:v>
      </x:c>
      <x:c r="U27" s="196"/>
    </x:row>
    <x:row r="28" s="197" customFormat="1" ht="25">
      <x:c r="A28" s="184" t="s">
        <x:v>2275</x:v>
      </x:c>
      <x:c r="B28" s="184">
        <x:v>2018</x:v>
      </x:c>
      <x:c r="C28" s="184" t="s">
        <x:v>2238</x:v>
      </x:c>
      <x:c r="D28" s="184" t="s">
        <x:v>2161</x:v>
      </x:c>
      <x:c r="E28" s="184" t="s">
        <x:v>786</x:v>
      </x:c>
      <x:c r="F28" s="184">
        <x:v>8</x:v>
      </x:c>
      <x:c r="G28" s="185">
        <x:v>44.8</x:v>
      </x:c>
      <x:c r="H28" s="184" t="s">
        <x:v>2152</x:v>
      </x:c>
      <x:c r="I28" s="184" t="s">
        <x:v>1001</x:v>
      </x:c>
      <x:c r="J28" s="184">
        <x:v>2018</x:v>
      </x:c>
      <x:c r="K28" s="184" t="s">
        <x:v>2199</x:v>
      </x:c>
      <x:c r="L28" s="194" t="s">
        <x:v>2266</x:v>
      </x:c>
      <x:c r="M28" s="195" t="s">
        <x:v>2239</x:v>
      </x:c>
      <x:c r="N28" s="195" t="s">
        <x:v>2240</x:v>
      </x:c>
      <x:c r="O28" s="184"/>
      <x:c r="P28" s="187" t="s">
        <x:v>2267</x:v>
      </x:c>
      <x:c r="Q28" s="187" t="s">
        <x:v>2204</x:v>
      </x:c>
      <x:c r="R28" s="187" t="s">
        <x:v>70</x:v>
      </x:c>
      <x:c r="S28" s="187"/>
      <x:c r="T28" s="187" t="str">
        <x:v>Dinas Perkim Kota Pangkal Pinang</x:v>
      </x:c>
      <x:c r="U28" s="196"/>
    </x:row>
    <x:row r="29" s="197" customFormat="1" ht="25">
      <x:c r="A29" s="184" t="s">
        <x:v>2276</x:v>
      </x:c>
      <x:c r="B29" s="184">
        <x:v>2018</x:v>
      </x:c>
      <x:c r="C29" s="184" t="s">
        <x:v>2242</x:v>
      </x:c>
      <x:c r="D29" s="184" t="s">
        <x:v>2243</x:v>
      </x:c>
      <x:c r="E29" s="184" t="s">
        <x:v>835</x:v>
      </x:c>
      <x:c r="F29" s="184">
        <x:v>1</x:v>
      </x:c>
      <x:c r="G29" s="185">
        <x:v>1.89</x:v>
      </x:c>
      <x:c r="H29" s="184" t="s">
        <x:v>2152</x:v>
      </x:c>
      <x:c r="I29" s="184" t="s">
        <x:v>1001</x:v>
      </x:c>
      <x:c r="J29" s="184">
        <x:v>2018</x:v>
      </x:c>
      <x:c r="K29" s="184" t="s">
        <x:v>2199</x:v>
      </x:c>
      <x:c r="L29" s="194" t="s">
        <x:v>2266</x:v>
      </x:c>
      <x:c r="M29" s="195" t="s">
        <x:v>2244</x:v>
      </x:c>
      <x:c r="N29" s="195" t="s">
        <x:v>2245</x:v>
      </x:c>
      <x:c r="O29" s="184"/>
      <x:c r="P29" s="187" t="s">
        <x:v>2267</x:v>
      </x:c>
      <x:c r="Q29" s="187" t="s">
        <x:v>2204</x:v>
      </x:c>
      <x:c r="R29" s="187" t="s">
        <x:v>70</x:v>
      </x:c>
      <x:c r="S29" s="187"/>
      <x:c r="T29" s="187" t="str">
        <x:v>Dinas Perkim Kota Pangkal Pinang</x:v>
      </x:c>
      <x:c r="U29" s="196"/>
    </x:row>
    <x:row r="30" s="197" customFormat="1" ht="25">
      <x:c r="A30" s="184" t="s">
        <x:v>2277</x:v>
      </x:c>
      <x:c r="B30" s="184">
        <x:v>2018</x:v>
      </x:c>
      <x:c r="C30" s="184" t="s">
        <x:v>2247</x:v>
      </x:c>
      <x:c r="D30" s="184" t="s">
        <x:v>2248</x:v>
      </x:c>
      <x:c r="E30" s="184" t="s">
        <x:v>835</x:v>
      </x:c>
      <x:c r="F30" s="184">
        <x:v>2</x:v>
      </x:c>
      <x:c r="G30" s="185">
        <x:v>6.6</x:v>
      </x:c>
      <x:c r="H30" s="184" t="s">
        <x:v>2152</x:v>
      </x:c>
      <x:c r="I30" s="184" t="s">
        <x:v>1001</x:v>
      </x:c>
      <x:c r="J30" s="184">
        <x:v>2018</x:v>
      </x:c>
      <x:c r="K30" s="184" t="s">
        <x:v>2199</x:v>
      </x:c>
      <x:c r="L30" s="194" t="s">
        <x:v>2266</x:v>
      </x:c>
      <x:c r="M30" s="186" t="s">
        <x:v>2249</x:v>
      </x:c>
      <x:c r="N30" s="186" t="s">
        <x:v>2250</x:v>
      </x:c>
      <x:c r="O30" s="184"/>
      <x:c r="P30" s="187" t="s">
        <x:v>2267</x:v>
      </x:c>
      <x:c r="Q30" s="187" t="s">
        <x:v>2204</x:v>
      </x:c>
      <x:c r="R30" s="187" t="s">
        <x:v>70</x:v>
      </x:c>
      <x:c r="S30" s="187"/>
      <x:c r="T30" s="187" t="str">
        <x:v>Dinas Perkim Kota Pangkal Pinang</x:v>
      </x:c>
      <x:c r="U30" s="196"/>
    </x:row>
    <x:row r="31" s="197" customFormat="1" ht="25">
      <x:c r="A31" s="184" t="s">
        <x:v>2278</x:v>
      </x:c>
      <x:c r="B31" s="184">
        <x:v>2018</x:v>
      </x:c>
      <x:c r="C31" s="184" t="s">
        <x:v>2252</x:v>
      </x:c>
      <x:c r="D31" s="184" t="s">
        <x:v>2253</x:v>
      </x:c>
      <x:c r="E31" s="184" t="s">
        <x:v>835</x:v>
      </x:c>
      <x:c r="F31" s="184">
        <x:v>7</x:v>
      </x:c>
      <x:c r="G31" s="185">
        <x:v>24.6</x:v>
      </x:c>
      <x:c r="H31" s="184" t="s">
        <x:v>2152</x:v>
      </x:c>
      <x:c r="I31" s="184" t="s">
        <x:v>1001</x:v>
      </x:c>
      <x:c r="J31" s="184">
        <x:v>2018</x:v>
      </x:c>
      <x:c r="K31" s="184" t="s">
        <x:v>2199</x:v>
      </x:c>
      <x:c r="L31" s="194" t="s">
        <x:v>2266</x:v>
      </x:c>
      <x:c r="M31" s="195" t="s">
        <x:v>2254</x:v>
      </x:c>
      <x:c r="N31" s="195" t="s">
        <x:v>2255</x:v>
      </x:c>
      <x:c r="O31" s="184"/>
      <x:c r="P31" s="187" t="s">
        <x:v>2267</x:v>
      </x:c>
      <x:c r="Q31" s="187" t="s">
        <x:v>2204</x:v>
      </x:c>
      <x:c r="R31" s="187" t="s">
        <x:v>70</x:v>
      </x:c>
      <x:c r="S31" s="187"/>
      <x:c r="T31" s="187" t="str">
        <x:v>Dinas Perkim Kota Pangkal Pinang</x:v>
      </x:c>
      <x:c r="U31" s="196"/>
    </x:row>
    <x:row r="32" s="197" customFormat="1" ht="25">
      <x:c r="A32" s="184" t="s">
        <x:v>2279</x:v>
      </x:c>
      <x:c r="B32" s="184">
        <x:v>2018</x:v>
      </x:c>
      <x:c r="C32" s="184" t="s">
        <x:v>2257</x:v>
      </x:c>
      <x:c r="D32" s="184" t="s">
        <x:v>2258</x:v>
      </x:c>
      <x:c r="E32" s="184" t="s">
        <x:v>835</x:v>
      </x:c>
      <x:c r="F32" s="184">
        <x:v>4</x:v>
      </x:c>
      <x:c r="G32" s="185">
        <x:v>17.7</x:v>
      </x:c>
      <x:c r="H32" s="184" t="s">
        <x:v>2152</x:v>
      </x:c>
      <x:c r="I32" s="184" t="s">
        <x:v>1001</x:v>
      </x:c>
      <x:c r="J32" s="184">
        <x:v>2018</x:v>
      </x:c>
      <x:c r="K32" s="184" t="s">
        <x:v>2199</x:v>
      </x:c>
      <x:c r="L32" s="194" t="s">
        <x:v>2266</x:v>
      </x:c>
      <x:c r="M32" s="186" t="s">
        <x:v>2259</x:v>
      </x:c>
      <x:c r="N32" s="186" t="s">
        <x:v>2260</x:v>
      </x:c>
      <x:c r="O32" s="184"/>
      <x:c r="P32" s="187" t="s">
        <x:v>2267</x:v>
      </x:c>
      <x:c r="Q32" s="187" t="s">
        <x:v>2204</x:v>
      </x:c>
      <x:c r="R32" s="187" t="s">
        <x:v>70</x:v>
      </x:c>
      <x:c r="S32" s="187"/>
      <x:c r="T32" s="187" t="str">
        <x:v>Dinas Perkim Kota Pangkal Pinang</x:v>
      </x:c>
      <x:c r="U32" s="196"/>
    </x:row>
    <x:row r="33" s="197" customFormat="1" ht="25">
      <x:c r="A33" s="184" t="s">
        <x:v>2280</x:v>
      </x:c>
      <x:c r="B33" s="184">
        <x:v>2018</x:v>
      </x:c>
      <x:c r="C33" s="184" t="s">
        <x:v>2262</x:v>
      </x:c>
      <x:c r="D33" s="184" t="s">
        <x:v>2263</x:v>
      </x:c>
      <x:c r="E33" s="184" t="s">
        <x:v>835</x:v>
      </x:c>
      <x:c r="F33" s="184">
        <x:v>9</x:v>
      </x:c>
      <x:c r="G33" s="185">
        <x:v>16.3</x:v>
      </x:c>
      <x:c r="H33" s="184" t="s">
        <x:v>2152</x:v>
      </x:c>
      <x:c r="I33" s="184" t="s">
        <x:v>1001</x:v>
      </x:c>
      <x:c r="J33" s="184">
        <x:v>2018</x:v>
      </x:c>
      <x:c r="K33" s="184" t="s">
        <x:v>2199</x:v>
      </x:c>
      <x:c r="L33" s="194" t="s">
        <x:v>2266</x:v>
      </x:c>
      <x:c r="M33" s="186">
        <x:v>-212775</x:v>
      </x:c>
      <x:c r="N33" s="195" t="s">
        <x:v>2264</x:v>
      </x:c>
      <x:c r="O33" s="184"/>
      <x:c r="P33" s="187" t="s">
        <x:v>2267</x:v>
      </x:c>
      <x:c r="Q33" s="187" t="s">
        <x:v>2204</x:v>
      </x:c>
      <x:c r="R33" s="187" t="s">
        <x:v>70</x:v>
      </x:c>
      <x:c r="S33" s="187"/>
      <x:c r="T33" s="187" t="str">
        <x:v>Dinas Perkim Kota Pangkal Pinang</x:v>
      </x:c>
      <x:c r="U33" s="196"/>
    </x:row>
    <x:row r="34" s="193" customFormat="1" ht="37.5">
      <x:c r="A34" s="188" t="s">
        <x:v>2281</x:v>
      </x:c>
      <x:c r="B34" s="188">
        <x:v>2020</x:v>
      </x:c>
      <x:c r="C34" s="188" t="s">
        <x:v>2257</x:v>
      </x:c>
      <x:c r="D34" s="188" t="s">
        <x:v>2258</x:v>
      </x:c>
      <x:c r="E34" s="188" t="s">
        <x:v>835</x:v>
      </x:c>
      <x:c r="F34" s="188">
        <x:v>3</x:v>
      </x:c>
      <x:c r="G34" s="189" t="n">
        <x:f>4+1.5+7.1</x:f>
        <x:v>12.6</x:v>
      </x:c>
      <x:c r="H34" s="188" t="s">
        <x:v>2152</x:v>
      </x:c>
      <x:c r="I34" s="188" t="s">
        <x:v>1001</x:v>
      </x:c>
      <x:c r="J34" s="188">
        <x:v>2020</x:v>
      </x:c>
      <x:c r="K34" s="188" t="s">
        <x:v>2165</x:v>
      </x:c>
      <x:c r="L34" s="198" t="s">
        <x:v>2282</x:v>
      </x:c>
      <x:c r="M34" s="190" t="s">
        <x:v>2259</x:v>
      </x:c>
      <x:c r="N34" s="190" t="s">
        <x:v>2260</x:v>
      </x:c>
      <x:c r="O34" s="188"/>
      <x:c r="P34" s="191" t="s">
        <x:v>2283</x:v>
      </x:c>
      <x:c r="Q34" s="191" t="s">
        <x:v>2204</x:v>
      </x:c>
      <x:c r="R34" s="191" t="s">
        <x:v>70</x:v>
      </x:c>
      <x:c r="S34" s="191"/>
      <x:c r="T34" s="191" t="str">
        <x:v>Dinas Perkim Kota Pangkal Pinang</x:v>
      </x:c>
      <x:c r="U34" s="192"/>
    </x:row>
    <x:row r="35" s="193" customFormat="1" ht="37.5">
      <x:c r="A35" s="188" t="s">
        <x:v>2284</x:v>
      </x:c>
      <x:c r="B35" s="188">
        <x:v>2020</x:v>
      </x:c>
      <x:c r="C35" s="188" t="s">
        <x:v>2247</x:v>
      </x:c>
      <x:c r="D35" s="188" t="s">
        <x:v>2248</x:v>
      </x:c>
      <x:c r="E35" s="188" t="s">
        <x:v>835</x:v>
      </x:c>
      <x:c r="F35" s="188">
        <x:v>3</x:v>
      </x:c>
      <x:c r="G35" s="189" t="n">
        <x:f>3.4+1.4+6.9</x:f>
        <x:v>11.7</x:v>
      </x:c>
      <x:c r="H35" s="188" t="s">
        <x:v>2152</x:v>
      </x:c>
      <x:c r="I35" s="188" t="s">
        <x:v>1001</x:v>
      </x:c>
      <x:c r="J35" s="188">
        <x:v>2020</x:v>
      </x:c>
      <x:c r="K35" s="188" t="s">
        <x:v>2165</x:v>
      </x:c>
      <x:c r="L35" s="198" t="s">
        <x:v>2282</x:v>
      </x:c>
      <x:c r="M35" s="190" t="s">
        <x:v>2249</x:v>
      </x:c>
      <x:c r="N35" s="190" t="s">
        <x:v>2250</x:v>
      </x:c>
      <x:c r="O35" s="188"/>
      <x:c r="P35" s="191" t="s">
        <x:v>2283</x:v>
      </x:c>
      <x:c r="Q35" s="191" t="s">
        <x:v>2204</x:v>
      </x:c>
      <x:c r="R35" s="191" t="s">
        <x:v>70</x:v>
      </x:c>
      <x:c r="S35" s="191"/>
      <x:c r="T35" s="191" t="str">
        <x:v>Dinas Perkim Kota Pangkal Pinang</x:v>
      </x:c>
      <x:c r="U35" s="192"/>
    </x:row>
    <x:row r="36" s="193" customFormat="1" ht="37.5">
      <x:c r="A36" s="188" t="s">
        <x:v>2285</x:v>
      </x:c>
      <x:c r="B36" s="188">
        <x:v>2020</x:v>
      </x:c>
      <x:c r="C36" s="188" t="s">
        <x:v>2286</x:v>
      </x:c>
      <x:c r="D36" s="188" t="s">
        <x:v>787</x:v>
      </x:c>
      <x:c r="E36" s="188" t="s">
        <x:v>786</x:v>
      </x:c>
      <x:c r="F36" s="188">
        <x:v>1</x:v>
      </x:c>
      <x:c r="G36" s="189">
        <x:v>5.8</x:v>
      </x:c>
      <x:c r="H36" s="188" t="s">
        <x:v>2152</x:v>
      </x:c>
      <x:c r="I36" s="188" t="s">
        <x:v>889</x:v>
      </x:c>
      <x:c r="J36" s="188">
        <x:v>2020</x:v>
      </x:c>
      <x:c r="K36" s="188" t="s">
        <x:v>2165</x:v>
      </x:c>
      <x:c r="L36" s="198" t="s">
        <x:v>2282</x:v>
      </x:c>
      <x:c r="M36" s="199" t="s">
        <x:v>2287</x:v>
      </x:c>
      <x:c r="N36" s="199" t="s">
        <x:v>2288</x:v>
      </x:c>
      <x:c r="O36" s="188"/>
      <x:c r="P36" s="191" t="s">
        <x:v>2289</x:v>
      </x:c>
      <x:c r="Q36" s="191" t="s">
        <x:v>2204</x:v>
      </x:c>
      <x:c r="R36" s="191" t="s">
        <x:v>70</x:v>
      </x:c>
      <x:c r="S36" s="191"/>
      <x:c r="T36" s="191" t="str">
        <x:v>Dinas Perkim Kota Pangkal Pinang</x:v>
      </x:c>
      <x:c r="U36" s="192"/>
    </x:row>
    <x:row r="37" s="193" customFormat="1" ht="37.5">
      <x:c r="A37" s="188" t="s">
        <x:v>2290</x:v>
      </x:c>
      <x:c r="B37" s="188">
        <x:v>2020</x:v>
      </x:c>
      <x:c r="C37" s="188" t="s">
        <x:v>2291</x:v>
      </x:c>
      <x:c r="D37" s="188" t="s">
        <x:v>2292</x:v>
      </x:c>
      <x:c r="E37" s="188" t="s">
        <x:v>786</x:v>
      </x:c>
      <x:c r="F37" s="188">
        <x:v>3</x:v>
      </x:c>
      <x:c r="G37" s="189" t="n">
        <x:f>9.2+12.5+10.8</x:f>
        <x:v>32.5</x:v>
      </x:c>
      <x:c r="H37" s="188" t="s">
        <x:v>2152</x:v>
      </x:c>
      <x:c r="I37" s="188" t="s">
        <x:v>889</x:v>
      </x:c>
      <x:c r="J37" s="188">
        <x:v>2020</x:v>
      </x:c>
      <x:c r="K37" s="188" t="s">
        <x:v>2165</x:v>
      </x:c>
      <x:c r="L37" s="198" t="s">
        <x:v>2282</x:v>
      </x:c>
      <x:c r="M37" s="199" t="s">
        <x:v>2293</x:v>
      </x:c>
      <x:c r="N37" s="199" t="s">
        <x:v>2294</x:v>
      </x:c>
      <x:c r="O37" s="188"/>
      <x:c r="P37" s="191" t="s">
        <x:v>2289</x:v>
      </x:c>
      <x:c r="Q37" s="191" t="s">
        <x:v>2204</x:v>
      </x:c>
      <x:c r="R37" s="191" t="s">
        <x:v>70</x:v>
      </x:c>
      <x:c r="S37" s="191"/>
      <x:c r="T37" s="191" t="str">
        <x:v>Dinas Perkim Kota Pangkal Pinang</x:v>
      </x:c>
      <x:c r="U37" s="192"/>
    </x:row>
    <x:row r="38" s="193" customFormat="1" ht="37.5">
      <x:c r="A38" s="188" t="s">
        <x:v>2295</x:v>
      </x:c>
      <x:c r="B38" s="188">
        <x:v>2020</x:v>
      </x:c>
      <x:c r="C38" s="188" t="s">
        <x:v>2296</x:v>
      </x:c>
      <x:c r="D38" s="188" t="s">
        <x:v>2297</x:v>
      </x:c>
      <x:c r="E38" s="188" t="s">
        <x:v>122</x:v>
      </x:c>
      <x:c r="F38" s="188">
        <x:v>3</x:v>
      </x:c>
      <x:c r="G38" s="189" t="n">
        <x:f>3.2+5.4+5.3</x:f>
        <x:v>13.900000000000002</x:v>
      </x:c>
      <x:c r="H38" s="188" t="s">
        <x:v>2152</x:v>
      </x:c>
      <x:c r="I38" s="188" t="s">
        <x:v>889</x:v>
      </x:c>
      <x:c r="J38" s="188">
        <x:v>2020</x:v>
      </x:c>
      <x:c r="K38" s="188" t="s">
        <x:v>2165</x:v>
      </x:c>
      <x:c r="L38" s="198" t="s">
        <x:v>2282</x:v>
      </x:c>
      <x:c r="M38" s="199" t="s">
        <x:v>2298</x:v>
      </x:c>
      <x:c r="N38" s="199" t="s">
        <x:v>2299</x:v>
      </x:c>
      <x:c r="O38" s="188"/>
      <x:c r="P38" s="191" t="s">
        <x:v>2289</x:v>
      </x:c>
      <x:c r="Q38" s="191" t="s">
        <x:v>2204</x:v>
      </x:c>
      <x:c r="R38" s="191" t="s">
        <x:v>70</x:v>
      </x:c>
      <x:c r="S38" s="191"/>
      <x:c r="T38" s="191" t="str">
        <x:v>Dinas Perkim Kota Pangkal Pinang</x:v>
      </x:c>
      <x:c r="U38" s="192"/>
    </x:row>
    <x:row r="39" s="193" customFormat="1" ht="37.5">
      <x:c r="A39" s="188" t="s">
        <x:v>2300</x:v>
      </x:c>
      <x:c r="B39" s="188">
        <x:v>2020</x:v>
      </x:c>
      <x:c r="C39" s="188" t="s">
        <x:v>2301</x:v>
      </x:c>
      <x:c r="D39" s="188" t="s">
        <x:v>141</x:v>
      </x:c>
      <x:c r="E39" s="188" t="s">
        <x:v>104</x:v>
      </x:c>
      <x:c r="F39" s="188">
        <x:v>3</x:v>
      </x:c>
      <x:c r="G39" s="189" t="n">
        <x:f>6.2+4+6.9</x:f>
        <x:v>17.1</x:v>
      </x:c>
      <x:c r="H39" s="188" t="s">
        <x:v>2152</x:v>
      </x:c>
      <x:c r="I39" s="188" t="s">
        <x:v>889</x:v>
      </x:c>
      <x:c r="J39" s="188">
        <x:v>2020</x:v>
      </x:c>
      <x:c r="K39" s="188" t="s">
        <x:v>2165</x:v>
      </x:c>
      <x:c r="L39" s="198" t="s">
        <x:v>2282</x:v>
      </x:c>
      <x:c r="M39" s="199" t="s">
        <x:v>2302</x:v>
      </x:c>
      <x:c r="N39" s="199" t="s">
        <x:v>2303</x:v>
      </x:c>
      <x:c r="O39" s="188"/>
      <x:c r="P39" s="191" t="s">
        <x:v>2289</x:v>
      </x:c>
      <x:c r="Q39" s="191" t="s">
        <x:v>2204</x:v>
      </x:c>
      <x:c r="R39" s="191" t="s">
        <x:v>70</x:v>
      </x:c>
      <x:c r="S39" s="191"/>
      <x:c r="T39" s="191" t="str">
        <x:v>Dinas Perkim Kota Pangkal Pinang</x:v>
      </x:c>
      <x:c r="U39" s="192"/>
    </x:row>
    <x:row r="40" s="193" customFormat="1" ht="37.5">
      <x:c r="A40" s="188" t="s">
        <x:v>2304</x:v>
      </x:c>
      <x:c r="B40" s="188">
        <x:v>2020</x:v>
      </x:c>
      <x:c r="C40" s="188" t="s">
        <x:v>2238</x:v>
      </x:c>
      <x:c r="D40" s="188" t="s">
        <x:v>2161</x:v>
      </x:c>
      <x:c r="E40" s="188" t="s">
        <x:v>786</x:v>
      </x:c>
      <x:c r="F40" s="188">
        <x:v>5</x:v>
      </x:c>
      <x:c r="G40" s="189" t="n">
        <x:f>10.3+5.3+13.5+9.3+12.5</x:f>
        <x:v>50.900000000000006</x:v>
      </x:c>
      <x:c r="H40" s="188" t="s">
        <x:v>2152</x:v>
      </x:c>
      <x:c r="I40" s="188" t="s">
        <x:v>889</x:v>
      </x:c>
      <x:c r="J40" s="188">
        <x:v>2020</x:v>
      </x:c>
      <x:c r="K40" s="188" t="s">
        <x:v>2165</x:v>
      </x:c>
      <x:c r="L40" s="198" t="s">
        <x:v>2282</x:v>
      </x:c>
      <x:c r="M40" s="199" t="s">
        <x:v>2305</x:v>
      </x:c>
      <x:c r="N40" s="199" t="s">
        <x:v>2306</x:v>
      </x:c>
      <x:c r="O40" s="188"/>
      <x:c r="P40" s="191" t="s">
        <x:v>2289</x:v>
      </x:c>
      <x:c r="Q40" s="191" t="s">
        <x:v>2204</x:v>
      </x:c>
      <x:c r="R40" s="191" t="s">
        <x:v>70</x:v>
      </x:c>
      <x:c r="S40" s="191"/>
      <x:c r="T40" s="191" t="str">
        <x:v>Dinas Perkim Kota Pangkal Pinang</x:v>
      </x:c>
      <x:c r="U40" s="192"/>
    </x:row>
    <x:row r="41" s="193" customFormat="1" ht="37.5">
      <x:c r="A41" s="188" t="s">
        <x:v>2307</x:v>
      </x:c>
      <x:c r="B41" s="188">
        <x:v>2020</x:v>
      </x:c>
      <x:c r="C41" s="188" t="s">
        <x:v>2233</x:v>
      </x:c>
      <x:c r="D41" s="188" t="s">
        <x:v>2234</x:v>
      </x:c>
      <x:c r="E41" s="188" t="s">
        <x:v>786</x:v>
      </x:c>
      <x:c r="F41" s="188">
        <x:v>1</x:v>
      </x:c>
      <x:c r="G41" s="200">
        <x:v>3.9</x:v>
      </x:c>
      <x:c r="H41" s="188" t="s">
        <x:v>2152</x:v>
      </x:c>
      <x:c r="I41" s="188" t="s">
        <x:v>889</x:v>
      </x:c>
      <x:c r="J41" s="188">
        <x:v>2020</x:v>
      </x:c>
      <x:c r="K41" s="188" t="s">
        <x:v>2165</x:v>
      </x:c>
      <x:c r="L41" s="198" t="s">
        <x:v>2282</x:v>
      </x:c>
      <x:c r="M41" s="199" t="s">
        <x:v>2308</x:v>
      </x:c>
      <x:c r="N41" s="199" t="s">
        <x:v>2309</x:v>
      </x:c>
      <x:c r="O41" s="188"/>
      <x:c r="P41" s="191" t="s">
        <x:v>2289</x:v>
      </x:c>
      <x:c r="Q41" s="191" t="s">
        <x:v>2204</x:v>
      </x:c>
      <x:c r="R41" s="191" t="s">
        <x:v>70</x:v>
      </x:c>
      <x:c r="S41" s="191"/>
      <x:c r="T41" s="191" t="str">
        <x:v>Dinas Perkim Kota Pangkal Pinang</x:v>
      </x:c>
      <x:c r="U41" s="192"/>
    </x:row>
    <x:row r="42" s="197" customFormat="1" ht="25">
      <x:c r="A42" s="184" t="s">
        <x:v>2310</x:v>
      </x:c>
      <x:c r="B42" s="184">
        <x:v>2021</x:v>
      </x:c>
      <x:c r="C42" s="184" t="s">
        <x:v>2311</x:v>
      </x:c>
      <x:c r="D42" s="184" t="s">
        <x:v>787</x:v>
      </x:c>
      <x:c r="E42" s="184" t="s">
        <x:v>786</x:v>
      </x:c>
      <x:c r="F42" s="184">
        <x:v>1</x:v>
      </x:c>
      <x:c r="G42" s="185">
        <x:v>5.8</x:v>
      </x:c>
      <x:c r="H42" s="184" t="s">
        <x:v>2152</x:v>
      </x:c>
      <x:c r="I42" s="184" t="s">
        <x:v>1001</x:v>
      </x:c>
      <x:c r="J42" s="184">
        <x:v>2021</x:v>
      </x:c>
      <x:c r="K42" s="184" t="s">
        <x:v>2165</x:v>
      </x:c>
      <x:c r="L42" s="194" t="s">
        <x:v>2312</x:v>
      </x:c>
      <x:c r="M42" s="195" t="s">
        <x:v>2287</x:v>
      </x:c>
      <x:c r="N42" s="195" t="s">
        <x:v>2288</x:v>
      </x:c>
      <x:c r="O42" s="184"/>
      <x:c r="P42" s="187" t="s">
        <x:v>2267</x:v>
      </x:c>
      <x:c r="Q42" s="187" t="s">
        <x:v>2204</x:v>
      </x:c>
      <x:c r="R42" s="187" t="s">
        <x:v>70</x:v>
      </x:c>
      <x:c r="S42" s="187"/>
      <x:c r="T42" s="187" t="str">
        <x:v>Dinas Perkim Kota Pangkal Pinang</x:v>
      </x:c>
      <x:c r="U42" s="196"/>
    </x:row>
    <x:row r="43" s="197" customFormat="1" ht="50">
      <x:c r="A43" s="184" t="s">
        <x:v>2313</x:v>
      </x:c>
      <x:c r="B43" s="184">
        <x:v>2021</x:v>
      </x:c>
      <x:c r="C43" s="184" t="s">
        <x:v>2291</x:v>
      </x:c>
      <x:c r="D43" s="184" t="s">
        <x:v>2292</x:v>
      </x:c>
      <x:c r="E43" s="184" t="s">
        <x:v>786</x:v>
      </x:c>
      <x:c r="F43" s="184">
        <x:v>3</x:v>
      </x:c>
      <x:c r="G43" s="185">
        <x:v>32.520000000000003</x:v>
      </x:c>
      <x:c r="H43" s="184" t="s">
        <x:v>2152</x:v>
      </x:c>
      <x:c r="I43" s="184" t="s">
        <x:v>1001</x:v>
      </x:c>
      <x:c r="J43" s="184">
        <x:v>2021</x:v>
      </x:c>
      <x:c r="K43" s="184" t="s">
        <x:v>2165</x:v>
      </x:c>
      <x:c r="L43" s="194" t="s">
        <x:v>2312</x:v>
      </x:c>
      <x:c r="M43" s="186" t="s">
        <x:v>2293</x:v>
      </x:c>
      <x:c r="N43" s="186" t="s">
        <x:v>2294</x:v>
      </x:c>
      <x:c r="O43" s="184"/>
      <x:c r="P43" s="187" t="s">
        <x:v>2314</x:v>
      </x:c>
      <x:c r="Q43" s="187" t="s">
        <x:v>2204</x:v>
      </x:c>
      <x:c r="R43" s="187" t="s">
        <x:v>70</x:v>
      </x:c>
      <x:c r="S43" s="187"/>
      <x:c r="T43" s="187" t="str">
        <x:v>Dinas Perkim Kota Pangkal Pinang</x:v>
      </x:c>
      <x:c r="U43" s="196"/>
    </x:row>
    <x:row r="44" s="197" customFormat="1" ht="25">
      <x:c r="A44" s="184" t="s">
        <x:v>2315</x:v>
      </x:c>
      <x:c r="B44" s="184">
        <x:v>2021</x:v>
      </x:c>
      <x:c r="C44" s="184" t="s">
        <x:v>2296</x:v>
      </x:c>
      <x:c r="D44" s="184" t="s">
        <x:v>2297</x:v>
      </x:c>
      <x:c r="E44" s="184" t="s">
        <x:v>122</x:v>
      </x:c>
      <x:c r="F44" s="184">
        <x:v>3</x:v>
      </x:c>
      <x:c r="G44" s="185">
        <x:v>13.9</x:v>
      </x:c>
      <x:c r="H44" s="184" t="s">
        <x:v>2152</x:v>
      </x:c>
      <x:c r="I44" s="184" t="s">
        <x:v>1001</x:v>
      </x:c>
      <x:c r="J44" s="184">
        <x:v>2021</x:v>
      </x:c>
      <x:c r="K44" s="184" t="s">
        <x:v>2165</x:v>
      </x:c>
      <x:c r="L44" s="194" t="s">
        <x:v>2312</x:v>
      </x:c>
      <x:c r="M44" s="195" t="s">
        <x:v>2298</x:v>
      </x:c>
      <x:c r="N44" s="195" t="s">
        <x:v>2299</x:v>
      </x:c>
      <x:c r="O44" s="184"/>
      <x:c r="P44" s="187" t="s">
        <x:v>2267</x:v>
      </x:c>
      <x:c r="Q44" s="187" t="s">
        <x:v>2204</x:v>
      </x:c>
      <x:c r="R44" s="187" t="s">
        <x:v>70</x:v>
      </x:c>
      <x:c r="S44" s="187"/>
      <x:c r="T44" s="187" t="str">
        <x:v>Dinas Perkim Kota Pangkal Pinang</x:v>
      </x:c>
      <x:c r="U44" s="196"/>
    </x:row>
    <x:row r="45" s="197" customFormat="1" ht="25">
      <x:c r="A45" s="184" t="s">
        <x:v>2316</x:v>
      </x:c>
      <x:c r="B45" s="184">
        <x:v>2021</x:v>
      </x:c>
      <x:c r="C45" s="184" t="s">
        <x:v>2301</x:v>
      </x:c>
      <x:c r="D45" s="184" t="s">
        <x:v>141</x:v>
      </x:c>
      <x:c r="E45" s="184" t="s">
        <x:v>104</x:v>
      </x:c>
      <x:c r="F45" s="184">
        <x:v>3</x:v>
      </x:c>
      <x:c r="G45" s="185">
        <x:v>17.14</x:v>
      </x:c>
      <x:c r="H45" s="184" t="s">
        <x:v>2152</x:v>
      </x:c>
      <x:c r="I45" s="184" t="s">
        <x:v>1001</x:v>
      </x:c>
      <x:c r="J45" s="184">
        <x:v>2021</x:v>
      </x:c>
      <x:c r="K45" s="184" t="s">
        <x:v>2165</x:v>
      </x:c>
      <x:c r="L45" s="194" t="s">
        <x:v>2312</x:v>
      </x:c>
      <x:c r="M45" s="195" t="s">
        <x:v>2302</x:v>
      </x:c>
      <x:c r="N45" s="195" t="s">
        <x:v>2303</x:v>
      </x:c>
      <x:c r="O45" s="184"/>
      <x:c r="P45" s="187" t="s">
        <x:v>2267</x:v>
      </x:c>
      <x:c r="Q45" s="187" t="s">
        <x:v>2204</x:v>
      </x:c>
      <x:c r="R45" s="187" t="s">
        <x:v>70</x:v>
      </x:c>
      <x:c r="S45" s="187"/>
      <x:c r="T45" s="187" t="str">
        <x:v>Dinas Perkim Kota Pangkal Pinang</x:v>
      </x:c>
      <x:c r="U45" s="196"/>
    </x:row>
    <x:row r="46" s="197" customFormat="1" ht="50">
      <x:c r="A46" s="184" t="s">
        <x:v>2317</x:v>
      </x:c>
      <x:c r="B46" s="184">
        <x:v>2021</x:v>
      </x:c>
      <x:c r="C46" s="184" t="s">
        <x:v>2238</x:v>
      </x:c>
      <x:c r="D46" s="184" t="s">
        <x:v>2161</x:v>
      </x:c>
      <x:c r="E46" s="184" t="s">
        <x:v>786</x:v>
      </x:c>
      <x:c r="F46" s="184">
        <x:v>5</x:v>
      </x:c>
      <x:c r="G46" s="185">
        <x:v>50.92</x:v>
      </x:c>
      <x:c r="H46" s="184" t="s">
        <x:v>2152</x:v>
      </x:c>
      <x:c r="I46" s="184" t="s">
        <x:v>1001</x:v>
      </x:c>
      <x:c r="J46" s="184">
        <x:v>2021</x:v>
      </x:c>
      <x:c r="K46" s="184" t="s">
        <x:v>2165</x:v>
      </x:c>
      <x:c r="L46" s="194" t="s">
        <x:v>2312</x:v>
      </x:c>
      <x:c r="M46" s="186" t="s">
        <x:v>2305</x:v>
      </x:c>
      <x:c r="N46" s="186" t="s">
        <x:v>2306</x:v>
      </x:c>
      <x:c r="O46" s="184"/>
      <x:c r="P46" s="187" t="s">
        <x:v>2318</x:v>
      </x:c>
      <x:c r="Q46" s="187" t="s">
        <x:v>2204</x:v>
      </x:c>
      <x:c r="R46" s="187" t="s">
        <x:v>70</x:v>
      </x:c>
      <x:c r="S46" s="187"/>
      <x:c r="T46" s="187" t="str">
        <x:v>Dinas Perkim Kota Pangkal Pinang</x:v>
      </x:c>
      <x:c r="U46" s="196"/>
    </x:row>
    <x:row r="47" s="197" customFormat="1" ht="37.5">
      <x:c r="A47" s="184" t="s">
        <x:v>2319</x:v>
      </x:c>
      <x:c r="B47" s="184">
        <x:v>2021</x:v>
      </x:c>
      <x:c r="C47" s="184" t="s">
        <x:v>2233</x:v>
      </x:c>
      <x:c r="D47" s="184" t="s">
        <x:v>2234</x:v>
      </x:c>
      <x:c r="E47" s="184" t="s">
        <x:v>786</x:v>
      </x:c>
      <x:c r="F47" s="184">
        <x:v>1</x:v>
      </x:c>
      <x:c r="G47" s="185">
        <x:v>3.94</x:v>
      </x:c>
      <x:c r="H47" s="184" t="s">
        <x:v>2152</x:v>
      </x:c>
      <x:c r="I47" s="184" t="s">
        <x:v>2320</x:v>
      </x:c>
      <x:c r="J47" s="184">
        <x:v>2021</x:v>
      </x:c>
      <x:c r="K47" s="184" t="s">
        <x:v>2165</x:v>
      </x:c>
      <x:c r="L47" s="194" t="s">
        <x:v>2312</x:v>
      </x:c>
      <x:c r="M47" s="186" t="s">
        <x:v>2308</x:v>
      </x:c>
      <x:c r="N47" s="186" t="s">
        <x:v>2309</x:v>
      </x:c>
      <x:c r="O47" s="184"/>
      <x:c r="P47" s="187" t="s">
        <x:v>2321</x:v>
      </x:c>
      <x:c r="Q47" s="187" t="s">
        <x:v>2204</x:v>
      </x:c>
      <x:c r="R47" s="187" t="s">
        <x:v>70</x:v>
      </x:c>
      <x:c r="S47" s="187"/>
      <x:c r="T47" s="187" t="str">
        <x:v>Dinas Perkim Kota Pangkal Pinang</x:v>
      </x:c>
      <x:c r="U47" s="196"/>
    </x:row>
    <x:row r="48" s="197" customFormat="1" ht="25">
      <x:c r="A48" s="184" t="s">
        <x:v>2322</x:v>
      </x:c>
      <x:c r="B48" s="184">
        <x:v>2021</x:v>
      </x:c>
      <x:c r="C48" s="184" t="s">
        <x:v>2252</x:v>
      </x:c>
      <x:c r="D48" s="184" t="s">
        <x:v>2253</x:v>
      </x:c>
      <x:c r="E48" s="184" t="s">
        <x:v>835</x:v>
      </x:c>
      <x:c r="F48" s="184">
        <x:v>6</x:v>
      </x:c>
      <x:c r="G48" s="185">
        <x:v>18.13</x:v>
      </x:c>
      <x:c r="H48" s="184" t="s">
        <x:v>2152</x:v>
      </x:c>
      <x:c r="I48" s="184" t="s">
        <x:v>889</x:v>
      </x:c>
      <x:c r="J48" s="184">
        <x:v>2021</x:v>
      </x:c>
      <x:c r="K48" s="184" t="s">
        <x:v>2165</x:v>
      </x:c>
      <x:c r="L48" s="194" t="s">
        <x:v>2312</x:v>
      </x:c>
      <x:c r="M48" s="186" t="s">
        <x:v>2323</x:v>
      </x:c>
      <x:c r="N48" s="186" t="s">
        <x:v>2324</x:v>
      </x:c>
      <x:c r="O48" s="184"/>
      <x:c r="P48" s="187" t="s">
        <x:v>2325</x:v>
      </x:c>
      <x:c r="Q48" s="187" t="s">
        <x:v>2204</x:v>
      </x:c>
      <x:c r="R48" s="187" t="s">
        <x:v>70</x:v>
      </x:c>
      <x:c r="S48" s="187"/>
      <x:c r="T48" s="187" t="str">
        <x:v>Dinas Perkim Kota Pangkal Pinang</x:v>
      </x:c>
      <x:c r="U48" s="196"/>
    </x:row>
    <x:row r="49" s="197" customFormat="1" ht="25">
      <x:c r="A49" s="184" t="s">
        <x:v>2326</x:v>
      </x:c>
      <x:c r="B49" s="184">
        <x:v>2021</x:v>
      </x:c>
      <x:c r="C49" s="184" t="s">
        <x:v>2327</x:v>
      </x:c>
      <x:c r="D49" s="184" t="s">
        <x:v>2328</x:v>
      </x:c>
      <x:c r="E49" s="184" t="s">
        <x:v>786</x:v>
      </x:c>
      <x:c r="F49" s="184">
        <x:v>1</x:v>
      </x:c>
      <x:c r="G49" s="185">
        <x:v>7.74</x:v>
      </x:c>
      <x:c r="H49" s="184" t="s">
        <x:v>2152</x:v>
      </x:c>
      <x:c r="I49" s="184" t="s">
        <x:v>889</x:v>
      </x:c>
      <x:c r="J49" s="184">
        <x:v>2021</x:v>
      </x:c>
      <x:c r="K49" s="184" t="s">
        <x:v>2165</x:v>
      </x:c>
      <x:c r="L49" s="194" t="s">
        <x:v>2312</x:v>
      </x:c>
      <x:c r="M49" s="186" t="s">
        <x:v>2329</x:v>
      </x:c>
      <x:c r="N49" s="186" t="s">
        <x:v>2330</x:v>
      </x:c>
      <x:c r="O49" s="184"/>
      <x:c r="P49" s="187" t="s">
        <x:v>2325</x:v>
      </x:c>
      <x:c r="Q49" s="187" t="s">
        <x:v>2204</x:v>
      </x:c>
      <x:c r="R49" s="187" t="s">
        <x:v>70</x:v>
      </x:c>
      <x:c r="S49" s="187"/>
      <x:c r="T49" s="187" t="str">
        <x:v>Dinas Perkim Kota Pangkal Pinang</x:v>
      </x:c>
      <x:c r="U49" s="196"/>
    </x:row>
    <x:row r="50" s="193" customFormat="1" ht="25">
      <x:c r="A50" s="188" t="s">
        <x:v>2331</x:v>
      </x:c>
      <x:c r="B50" s="188">
        <x:v>2022</x:v>
      </x:c>
      <x:c r="C50" s="188" t="s">
        <x:v>2291</x:v>
      </x:c>
      <x:c r="D50" s="188" t="s">
        <x:v>2292</x:v>
      </x:c>
      <x:c r="E50" s="188" t="s">
        <x:v>786</x:v>
      </x:c>
      <x:c r="F50" s="188">
        <x:v>1</x:v>
      </x:c>
      <x:c r="G50" s="189">
        <x:v>12.5</x:v>
      </x:c>
      <x:c r="H50" s="188" t="s">
        <x:v>2152</x:v>
      </x:c>
      <x:c r="I50" s="188" t="s">
        <x:v>1001</x:v>
      </x:c>
      <x:c r="J50" s="188">
        <x:v>2022</x:v>
      </x:c>
      <x:c r="K50" s="188" t="s">
        <x:v>2165</x:v>
      </x:c>
      <x:c r="L50" s="188" t="s">
        <x:v>2332</x:v>
      </x:c>
      <x:c r="M50" s="190" t="s">
        <x:v>2293</x:v>
      </x:c>
      <x:c r="N50" s="190" t="s">
        <x:v>2294</x:v>
      </x:c>
      <x:c r="O50" s="188"/>
      <x:c r="P50" s="191" t="s">
        <x:v>2267</x:v>
      </x:c>
      <x:c r="Q50" s="191" t="str">
        <x:v>Dinas Perkim Kota Pangkal Pinang</x:v>
      </x:c>
      <x:c r="R50" s="191" t="s">
        <x:v>70</x:v>
      </x:c>
      <x:c r="S50" s="191"/>
      <x:c r="T50" s="191" t="str">
        <x:v>Dinas Perkim Kota Pangkal Pinang</x:v>
      </x:c>
      <x:c r="U50" s="192"/>
    </x:row>
    <x:row r="51" s="193" customFormat="1" ht="50">
      <x:c r="A51" s="188" t="s">
        <x:v>2333</x:v>
      </x:c>
      <x:c r="B51" s="188">
        <x:v>2022</x:v>
      </x:c>
      <x:c r="C51" s="188" t="s">
        <x:v>2238</x:v>
      </x:c>
      <x:c r="D51" s="188" t="s">
        <x:v>2161</x:v>
      </x:c>
      <x:c r="E51" s="188" t="s">
        <x:v>786</x:v>
      </x:c>
      <x:c r="F51" s="188">
        <x:v>3</x:v>
      </x:c>
      <x:c r="G51" s="189">
        <x:v>32.090000000000003</x:v>
      </x:c>
      <x:c r="H51" s="188" t="s">
        <x:v>2152</x:v>
      </x:c>
      <x:c r="I51" s="188" t="s">
        <x:v>1001</x:v>
      </x:c>
      <x:c r="J51" s="188">
        <x:v>2022</x:v>
      </x:c>
      <x:c r="K51" s="188" t="s">
        <x:v>2165</x:v>
      </x:c>
      <x:c r="L51" s="188" t="s">
        <x:v>2332</x:v>
      </x:c>
      <x:c r="M51" s="190" t="s">
        <x:v>2305</x:v>
      </x:c>
      <x:c r="N51" s="190" t="s">
        <x:v>2306</x:v>
      </x:c>
      <x:c r="O51" s="188"/>
      <x:c r="P51" s="191" t="s">
        <x:v>2334</x:v>
      </x:c>
      <x:c r="Q51" s="191" t="str">
        <x:v>Dinas Perkim Kota Pangkal Pinang</x:v>
      </x:c>
      <x:c r="R51" s="191" t="s">
        <x:v>70</x:v>
      </x:c>
      <x:c r="S51" s="191"/>
      <x:c r="T51" s="191" t="str">
        <x:v>Dinas Perkim Kota Pangkal Pinang</x:v>
      </x:c>
      <x:c r="U51" s="192"/>
    </x:row>
    <x:row r="52" s="193" customFormat="1" ht="25">
      <x:c r="A52" s="188" t="s">
        <x:v>2335</x:v>
      </x:c>
      <x:c r="B52" s="188">
        <x:v>2022</x:v>
      </x:c>
      <x:c r="C52" s="188" t="s">
        <x:v>2233</x:v>
      </x:c>
      <x:c r="D52" s="188" t="s">
        <x:v>2234</x:v>
      </x:c>
      <x:c r="E52" s="188" t="s">
        <x:v>786</x:v>
      </x:c>
      <x:c r="F52" s="188">
        <x:v>1</x:v>
      </x:c>
      <x:c r="G52" s="189">
        <x:v>3.94</x:v>
      </x:c>
      <x:c r="H52" s="188" t="s">
        <x:v>2152</x:v>
      </x:c>
      <x:c r="I52" s="188" t="s">
        <x:v>1001</x:v>
      </x:c>
      <x:c r="J52" s="188">
        <x:v>2022</x:v>
      </x:c>
      <x:c r="K52" s="188" t="s">
        <x:v>2165</x:v>
      </x:c>
      <x:c r="L52" s="188" t="s">
        <x:v>2332</x:v>
      </x:c>
      <x:c r="M52" s="190" t="s">
        <x:v>2308</x:v>
      </x:c>
      <x:c r="N52" s="190" t="s">
        <x:v>2309</x:v>
      </x:c>
      <x:c r="O52" s="188"/>
      <x:c r="P52" s="191" t="s">
        <x:v>2267</x:v>
      </x:c>
      <x:c r="Q52" s="191" t="str">
        <x:v>Dinas Perkim Kota Pangkal Pinang</x:v>
      </x:c>
      <x:c r="R52" s="191" t="s">
        <x:v>70</x:v>
      </x:c>
      <x:c r="S52" s="191"/>
      <x:c r="T52" s="191" t="str">
        <x:v>Dinas Perkim Kota Pangkal Pinang</x:v>
      </x:c>
      <x:c r="U52" s="192"/>
    </x:row>
    <x:row r="53" s="193" customFormat="1" ht="37.5">
      <x:c r="A53" s="188" t="s">
        <x:v>2336</x:v>
      </x:c>
      <x:c r="B53" s="188">
        <x:v>2022</x:v>
      </x:c>
      <x:c r="C53" s="188" t="s">
        <x:v>2252</x:v>
      </x:c>
      <x:c r="D53" s="188" t="s">
        <x:v>2253</x:v>
      </x:c>
      <x:c r="E53" s="188" t="s">
        <x:v>835</x:v>
      </x:c>
      <x:c r="F53" s="188">
        <x:v>6</x:v>
      </x:c>
      <x:c r="G53" s="189">
        <x:v>18.13</x:v>
      </x:c>
      <x:c r="H53" s="188" t="s">
        <x:v>2152</x:v>
      </x:c>
      <x:c r="I53" s="188" t="s">
        <x:v>2320</x:v>
      </x:c>
      <x:c r="J53" s="188">
        <x:v>2022</x:v>
      </x:c>
      <x:c r="K53" s="188" t="s">
        <x:v>2165</x:v>
      </x:c>
      <x:c r="L53" s="188" t="s">
        <x:v>2332</x:v>
      </x:c>
      <x:c r="M53" s="190" t="s">
        <x:v>2323</x:v>
      </x:c>
      <x:c r="N53" s="190" t="s">
        <x:v>2324</x:v>
      </x:c>
      <x:c r="O53" s="188"/>
      <x:c r="P53" s="191" t="s">
        <x:v>2321</x:v>
      </x:c>
      <x:c r="Q53" s="191" t="str">
        <x:v>Dinas Perkim Kota Pangkal Pinang</x:v>
      </x:c>
      <x:c r="R53" s="191" t="s">
        <x:v>70</x:v>
      </x:c>
      <x:c r="S53" s="191"/>
      <x:c r="T53" s="191" t="str">
        <x:v>Dinas Perkim Kota Pangkal Pinang</x:v>
      </x:c>
      <x:c r="U53" s="192"/>
    </x:row>
    <x:row r="54" s="193" customFormat="1" ht="25">
      <x:c r="A54" s="188" t="s">
        <x:v>2337</x:v>
      </x:c>
      <x:c r="B54" s="188">
        <x:v>2022</x:v>
      </x:c>
      <x:c r="C54" s="188" t="s">
        <x:v>2327</x:v>
      </x:c>
      <x:c r="D54" s="188" t="s">
        <x:v>2328</x:v>
      </x:c>
      <x:c r="E54" s="188" t="s">
        <x:v>786</x:v>
      </x:c>
      <x:c r="F54" s="188">
        <x:v>1</x:v>
      </x:c>
      <x:c r="G54" s="189">
        <x:v>7.74</x:v>
      </x:c>
      <x:c r="H54" s="188" t="s">
        <x:v>2152</x:v>
      </x:c>
      <x:c r="I54" s="188" t="s">
        <x:v>1001</x:v>
      </x:c>
      <x:c r="J54" s="188">
        <x:v>2022</x:v>
      </x:c>
      <x:c r="K54" s="188" t="s">
        <x:v>2165</x:v>
      </x:c>
      <x:c r="L54" s="188" t="s">
        <x:v>2332</x:v>
      </x:c>
      <x:c r="M54" s="190" t="s">
        <x:v>2329</x:v>
      </x:c>
      <x:c r="N54" s="190" t="s">
        <x:v>2330</x:v>
      </x:c>
      <x:c r="O54" s="188"/>
      <x:c r="P54" s="191" t="s">
        <x:v>2267</x:v>
      </x:c>
      <x:c r="Q54" s="191" t="str">
        <x:v>Dinas Perkim Kota Pangkal Pinang</x:v>
      </x:c>
      <x:c r="R54" s="191" t="s">
        <x:v>70</x:v>
      </x:c>
      <x:c r="S54" s="191"/>
      <x:c r="T54" s="191" t="str">
        <x:v>Dinas Perkim Kota Pangkal Pinang</x:v>
      </x:c>
      <x:c r="U54" s="192"/>
    </x:row>
    <x:row r="55" s="193" customFormat="1" ht="25">
      <x:c r="A55" s="188" t="s">
        <x:v>2338</x:v>
      </x:c>
      <x:c r="B55" s="188">
        <x:v>2022</x:v>
      </x:c>
      <x:c r="C55" s="188" t="s">
        <x:v>2339</x:v>
      </x:c>
      <x:c r="D55" s="188" t="s">
        <x:v>112</x:v>
      </x:c>
      <x:c r="E55" s="188" t="s">
        <x:v>86</x:v>
      </x:c>
      <x:c r="F55" s="188">
        <x:v>2</x:v>
      </x:c>
      <x:c r="G55" s="189">
        <x:v>10.9</x:v>
      </x:c>
      <x:c r="H55" s="188" t="s">
        <x:v>2152</x:v>
      </x:c>
      <x:c r="I55" s="188" t="s">
        <x:v>1001</x:v>
      </x:c>
      <x:c r="J55" s="188">
        <x:v>2022</x:v>
      </x:c>
      <x:c r="K55" s="188" t="s">
        <x:v>2165</x:v>
      </x:c>
      <x:c r="L55" s="188" t="s">
        <x:v>2332</x:v>
      </x:c>
      <x:c r="M55" s="190" t="s">
        <x:v>2340</x:v>
      </x:c>
      <x:c r="N55" s="190" t="s">
        <x:v>2341</x:v>
      </x:c>
      <x:c r="O55" s="188"/>
      <x:c r="P55" s="191" t="s">
        <x:v>2267</x:v>
      </x:c>
      <x:c r="Q55" s="191" t="str">
        <x:v>Dinas Perkim Kota Pangkal Pinang</x:v>
      </x:c>
      <x:c r="R55" s="191" t="s">
        <x:v>70</x:v>
      </x:c>
      <x:c r="S55" s="191"/>
      <x:c r="T55" s="191" t="str">
        <x:v>Dinas Perkim Kota Pangkal Pinang</x:v>
      </x:c>
      <x:c r="U55" s="192"/>
    </x:row>
    <x:row r="56" ht="25">
      <x:c r="A56" s="184" t="s">
        <x:v>2342</x:v>
      </x:c>
      <x:c r="B56" s="184">
        <x:v>2024</x:v>
      </x:c>
      <x:c r="C56" s="184" t="s">
        <x:v>2238</x:v>
      </x:c>
      <x:c r="D56" s="184" t="s">
        <x:v>2161</x:v>
      </x:c>
      <x:c r="E56" s="184" t="s">
        <x:v>786</x:v>
      </x:c>
      <x:c r="F56" s="184">
        <x:v>1</x:v>
      </x:c>
      <x:c r="G56" s="185">
        <x:v>8.8000000000000007</x:v>
      </x:c>
      <x:c r="H56" s="184" t="s">
        <x:v>2343</x:v>
      </x:c>
      <x:c r="I56" s="184" t="s">
        <x:v>889</x:v>
      </x:c>
      <x:c r="J56" s="184">
        <x:v>2024</x:v>
      </x:c>
      <x:c r="K56" s="184" t="s">
        <x:v>2165</x:v>
      </x:c>
      <x:c r="L56" s="184"/>
      <x:c r="M56" s="186" t="s">
        <x:v>2305</x:v>
      </x:c>
      <x:c r="N56" s="186" t="s">
        <x:v>2306</x:v>
      </x:c>
      <x:c r="O56" s="194"/>
      <x:c r="P56" s="187" t="s">
        <x:v>2344</x:v>
      </x:c>
      <x:c r="Q56" s="187" t="str">
        <x:v>Dinas Perkim Kota Pangkal Pinang</x:v>
      </x:c>
      <x:c r="R56" s="187" t="s">
        <x:v>70</x:v>
      </x:c>
      <x:c r="S56" s="187"/>
      <x:c r="T56" s="187" t="str">
        <x:v>Dinas Perkim Kota Pangkal Pinang</x:v>
      </x:c>
    </x:row>
    <x:row r="57" ht="25">
      <x:c r="A57" s="184" t="s">
        <x:v>2345</x:v>
      </x:c>
      <x:c r="B57" s="184">
        <x:v>2024</x:v>
      </x:c>
      <x:c r="C57" s="184" t="s">
        <x:v>2252</x:v>
      </x:c>
      <x:c r="D57" s="184" t="s">
        <x:v>2253</x:v>
      </x:c>
      <x:c r="E57" s="184" t="s">
        <x:v>835</x:v>
      </x:c>
      <x:c r="F57" s="184">
        <x:v>6</x:v>
      </x:c>
      <x:c r="G57" s="185">
        <x:v>15.28</x:v>
      </x:c>
      <x:c r="H57" s="184" t="s">
        <x:v>2343</x:v>
      </x:c>
      <x:c r="I57" s="184" t="s">
        <x:v>889</x:v>
      </x:c>
      <x:c r="J57" s="184">
        <x:v>2024</x:v>
      </x:c>
      <x:c r="K57" s="184" t="s">
        <x:v>2165</x:v>
      </x:c>
      <x:c r="L57" s="184"/>
      <x:c r="M57" s="186" t="s">
        <x:v>2323</x:v>
      </x:c>
      <x:c r="N57" s="186" t="s">
        <x:v>2324</x:v>
      </x:c>
      <x:c r="O57" s="184"/>
      <x:c r="P57" s="187" t="s">
        <x:v>2346</x:v>
      </x:c>
      <x:c r="Q57" s="187" t="str">
        <x:v>Dinas Perkim Kota Pangkal Pinang</x:v>
      </x:c>
      <x:c r="R57" s="187" t="s">
        <x:v>70</x:v>
      </x:c>
      <x:c r="S57" s="187"/>
      <x:c r="T57" s="187" t="str">
        <x:v>Dinas Perkim Kota Pangkal Pinang</x:v>
      </x:c>
    </x:row>
    <x:row r="58">
      <x:c r="A58" s="149"/>
      <x:c r="B58" s="148"/>
      <x:c r="C58" s="148"/>
      <x:c r="D58" s="148"/>
      <x:c r="E58" s="148"/>
      <x:c r="F58" s="148"/>
      <x:c r="G58" s="170"/>
      <x:c r="H58" s="148"/>
      <x:c r="I58" s="148"/>
      <x:c r="J58" s="148"/>
      <x:c r="K58" s="148"/>
      <x:c r="L58" s="148"/>
      <x:c r="M58" s="176"/>
      <x:c r="N58" s="176"/>
      <x:c r="O58" s="148"/>
      <x:c r="P58" s="146"/>
      <x:c r="Q58" s="146"/>
      <x:c r="R58" s="146"/>
      <x:c r="S58" s="146"/>
      <x:c r="T58" s="145"/>
    </x:row>
    <x:row r="59">
      <x:c r="M59" s="175"/>
      <x:c r="N59" s="175"/>
    </x:row>
    <x:row r="60">
      <x:c r="B60" s="260" t="s">
        <x:v>2347</x:v>
      </x:c>
      <x:c r="C60" s="260"/>
      <x:c r="D60" s="260"/>
      <x:c r="E60" s="260"/>
      <x:c r="F60" s="260"/>
      <x:c r="G60" s="168" t="s">
        <x:v>2185</x:v>
      </x:c>
      <x:c r="M60" s="175"/>
      <x:c r="N60" s="175"/>
    </x:row>
    <x:row r="61">
      <x:c r="B61" s="259" t="s">
        <x:v>2348</x:v>
      </x:c>
      <x:c r="C61" s="259"/>
      <x:c r="D61" s="259"/>
      <x:c r="E61" s="259"/>
      <x:c r="F61" s="259"/>
      <x:c r="G61" s="167" t="n">
        <x:f>COUNTA(A6:A58)</x:f>
        <x:v>52</x:v>
      </x:c>
      <x:c r="M61" s="175"/>
      <x:c r="N61" s="175"/>
    </x:row>
    <x:row r="62">
      <x:c r="B62" s="250" t="s">
        <x:v>2349</x:v>
      </x:c>
      <x:c r="C62" s="250"/>
      <x:c r="D62" s="250"/>
      <x:c r="E62" s="250"/>
      <x:c r="F62" s="250"/>
      <x:c r="G62" s="141" t="n">
        <x:f>SUM(F6:F58)</x:f>
        <x:v>192</x:v>
      </x:c>
      <x:c r="M62" s="175"/>
      <x:c r="N62" s="175"/>
    </x:row>
    <x:row r="63">
      <x:c r="B63" s="250" t="s">
        <x:v>2350</x:v>
      </x:c>
      <x:c r="C63" s="250"/>
      <x:c r="D63" s="250"/>
      <x:c r="E63" s="250"/>
      <x:c r="F63" s="250"/>
      <x:c r="G63" s="165" t="n">
        <x:f>SUM(G6:G58)</x:f>
        <x:v>791.96</x:v>
      </x:c>
      <x:c r="M63" s="175"/>
      <x:c r="N63" s="175"/>
    </x:row>
    <x:row r="64">
      <x:c r="B64" s="257" t="s">
        <x:v>2351</x:v>
      </x:c>
      <x:c r="C64" s="257"/>
      <x:c r="D64" s="257"/>
      <x:c r="E64" s="257"/>
      <x:c r="F64" s="257"/>
      <x:c r="G64" s="164" t="n">
        <x:f>COUNTIFS(M6:M58,"&lt;&gt;",N6:N58,"&lt;&gt;")</x:f>
        <x:v>52</x:v>
      </x:c>
      <x:c r="M64" s="175"/>
      <x:c r="N64" s="175"/>
    </x:row>
    <x:row r="65">
      <x:c r="M65" s="175"/>
      <x:c r="N65" s="175"/>
    </x:row>
    <x:row r="66">
      <x:c r="M66" s="175"/>
      <x:c r="N66" s="175"/>
    </x:row>
    <x:row r="67">
      <x:c r="M67" s="175"/>
      <x:c r="N67" s="175"/>
    </x:row>
    <x:row r="68">
      <x:c r="M68" s="175"/>
      <x:c r="N68" s="175"/>
    </x:row>
    <x:row r="69">
      <x:c r="M69" s="175"/>
      <x:c r="N69" s="175"/>
    </x:row>
    <x:row r="70">
      <x:c r="M70" s="175"/>
      <x:c r="N70" s="175"/>
    </x:row>
    <x:row r="71">
      <x:c r="M71" s="175"/>
      <x:c r="N71" s="175"/>
    </x:row>
    <x:row r="72">
      <x:c r="M72" s="175"/>
      <x:c r="N72" s="175"/>
    </x:row>
    <x:row r="73">
      <x:c r="M73" s="175"/>
      <x:c r="N73" s="175"/>
    </x:row>
    <x:row r="74">
      <x:c r="M74" s="175"/>
      <x:c r="N74" s="175"/>
    </x:row>
    <x:row r="75">
      <x:c r="M75" s="175"/>
      <x:c r="N75" s="175"/>
    </x:row>
    <x:row r="76">
      <x:c r="M76" s="175"/>
      <x:c r="N76" s="175"/>
    </x:row>
    <x:row r="77">
      <x:c r="M77" s="175"/>
      <x:c r="N77" s="175"/>
    </x:row>
    <x:row r="78">
      <x:c r="M78" s="175"/>
      <x:c r="N78" s="175"/>
    </x:row>
    <x:row r="79">
      <x:c r="M79" s="175"/>
      <x:c r="N79" s="175"/>
    </x:row>
    <x:row r="80">
      <x:c r="M80" s="175"/>
      <x:c r="N80" s="175"/>
    </x:row>
    <x:row r="81">
      <x:c r="M81" s="175"/>
      <x:c r="N81" s="175"/>
    </x:row>
    <x:row r="82">
      <x:c r="M82" s="175"/>
      <x:c r="N82" s="175"/>
    </x:row>
    <x:row r="83">
      <x:c r="M83" s="175"/>
      <x:c r="N83" s="175"/>
    </x:row>
    <x:row r="84">
      <x:c r="M84" s="175"/>
      <x:c r="N84" s="175"/>
    </x:row>
    <x:row r="85">
      <x:c r="M85" s="175"/>
      <x:c r="N85" s="175"/>
    </x:row>
    <x:row r="86">
      <x:c r="M86" s="175"/>
      <x:c r="N86" s="175"/>
    </x:row>
    <x:row r="87">
      <x:c r="M87" s="175"/>
      <x:c r="N87" s="175"/>
    </x:row>
    <x:row r="88">
      <x:c r="M88" s="175"/>
      <x:c r="N88" s="175"/>
    </x:row>
    <x:row r="89">
      <x:c r="M89" s="175"/>
      <x:c r="N89" s="175"/>
    </x:row>
    <x:row r="90">
      <x:c r="M90" s="175"/>
      <x:c r="N90" s="175"/>
    </x:row>
    <x:row r="91">
      <x:c r="M91" s="175"/>
      <x:c r="N91" s="175"/>
    </x:row>
    <x:row r="92">
      <x:c r="M92" s="175"/>
      <x:c r="N92" s="175"/>
    </x:row>
    <x:row r="93">
      <x:c r="M93" s="175"/>
      <x:c r="N93" s="175"/>
    </x:row>
    <x:row r="94">
      <x:c r="M94" s="175"/>
      <x:c r="N94" s="175"/>
    </x:row>
    <x:row r="95">
      <x:c r="M95" s="175"/>
      <x:c r="N95" s="175"/>
    </x:row>
    <x:row r="96">
      <x:c r="M96" s="175"/>
      <x:c r="N96" s="175"/>
    </x:row>
    <x:row r="97">
      <x:c r="M97" s="175"/>
      <x:c r="N97" s="175"/>
    </x:row>
    <x:row r="98">
      <x:c r="M98" s="175"/>
      <x:c r="N98" s="175"/>
    </x:row>
    <x:row r="99">
      <x:c r="M99" s="175"/>
      <x:c r="N99" s="175"/>
    </x:row>
    <x:row r="100">
      <x:c r="M100" s="175"/>
      <x:c r="N100" s="175"/>
    </x:row>
    <x:row r="101">
      <x:c r="M101" s="175"/>
      <x:c r="N101" s="175"/>
    </x:row>
    <x:row r="102">
      <x:c r="M102" s="175"/>
      <x:c r="N102" s="175"/>
    </x:row>
    <x:row r="103">
      <x:c r="M103" s="175"/>
      <x:c r="N103" s="175"/>
    </x:row>
    <x:row r="104">
      <x:c r="M104" s="175"/>
      <x:c r="N104" s="175"/>
    </x:row>
    <x:row r="105">
      <x:c r="M105" s="175"/>
      <x:c r="N105" s="175"/>
    </x:row>
    <x:row r="106">
      <x:c r="M106" s="175"/>
      <x:c r="N106" s="175"/>
    </x:row>
    <x:row r="107">
      <x:c r="M107" s="175"/>
      <x:c r="N107" s="175"/>
    </x:row>
    <x:row r="108">
      <x:c r="M108" s="175"/>
      <x:c r="N108" s="175"/>
    </x:row>
    <x:row r="109">
      <x:c r="M109" s="175"/>
      <x:c r="N109" s="175"/>
    </x:row>
    <x:row r="110">
      <x:c r="M110" s="175"/>
      <x:c r="N110" s="175"/>
    </x:row>
    <x:row r="111">
      <x:c r="M111" s="175"/>
      <x:c r="N111" s="175"/>
    </x:row>
    <x:row r="112">
      <x:c r="M112" s="175"/>
      <x:c r="N112" s="175"/>
    </x:row>
    <x:row r="113">
      <x:c r="M113" s="175"/>
      <x:c r="N113" s="175"/>
    </x:row>
    <x:row r="114">
      <x:c r="M114" s="175"/>
      <x:c r="N114" s="175"/>
    </x:row>
    <x:row r="115">
      <x:c r="M115" s="175"/>
      <x:c r="N115" s="175"/>
    </x:row>
    <x:row r="116">
      <x:c r="M116" s="175"/>
      <x:c r="N116" s="175"/>
    </x:row>
    <x:row r="117">
      <x:c r="M117" s="175"/>
      <x:c r="N117" s="175"/>
    </x:row>
    <x:row r="118">
      <x:c r="M118" s="175"/>
      <x:c r="N118" s="175"/>
    </x:row>
    <x:row r="119">
      <x:c r="M119" s="175"/>
      <x:c r="N119" s="175"/>
    </x:row>
    <x:row r="120">
      <x:c r="M120" s="175"/>
      <x:c r="N120" s="175"/>
    </x:row>
    <x:row r="121">
      <x:c r="M121" s="175"/>
      <x:c r="N121" s="175"/>
    </x:row>
    <x:row r="122">
      <x:c r="M122" s="175"/>
      <x:c r="N122" s="175"/>
    </x:row>
    <x:row r="123">
      <x:c r="M123" s="175"/>
      <x:c r="N123" s="175"/>
    </x:row>
    <x:row r="124">
      <x:c r="M124" s="175"/>
      <x:c r="N124" s="175"/>
    </x:row>
    <x:row r="125">
      <x:c r="M125" s="175"/>
      <x:c r="N125" s="175"/>
    </x:row>
    <x:row r="126">
      <x:c r="M126" s="175"/>
      <x:c r="N126" s="175"/>
    </x:row>
    <x:row r="127">
      <x:c r="M127" s="175"/>
      <x:c r="N127" s="175"/>
    </x:row>
    <x:row r="128">
      <x:c r="M128" s="175"/>
      <x:c r="N128" s="175"/>
    </x:row>
    <x:row r="129">
      <x:c r="M129" s="175"/>
      <x:c r="N129" s="175"/>
    </x:row>
    <x:row r="130">
      <x:c r="M130" s="175"/>
      <x:c r="N130" s="175"/>
    </x:row>
    <x:row r="131">
      <x:c r="M131" s="175"/>
      <x:c r="N131" s="175"/>
    </x:row>
    <x:row r="132">
      <x:c r="M132" s="175"/>
      <x:c r="N132" s="175"/>
    </x:row>
    <x:row r="133">
      <x:c r="M133" s="175"/>
      <x:c r="N133" s="175"/>
    </x:row>
    <x:row r="134">
      <x:c r="M134" s="175"/>
      <x:c r="N134" s="175"/>
    </x:row>
    <x:row r="135">
      <x:c r="M135" s="175"/>
      <x:c r="N135" s="175"/>
    </x:row>
    <x:row r="136">
      <x:c r="M136" s="175"/>
      <x:c r="N136" s="175"/>
    </x:row>
    <x:row r="137">
      <x:c r="M137" s="175"/>
      <x:c r="N137" s="175"/>
    </x:row>
    <x:row r="138">
      <x:c r="M138" s="175"/>
      <x:c r="N138" s="175"/>
    </x:row>
    <x:row r="139">
      <x:c r="M139" s="175"/>
      <x:c r="N139" s="175"/>
    </x:row>
    <x:row r="140">
      <x:c r="M140" s="175"/>
      <x:c r="N140" s="175"/>
    </x:row>
    <x:row r="141">
      <x:c r="M141" s="175"/>
      <x:c r="N141" s="175"/>
    </x:row>
    <x:row r="142">
      <x:c r="M142" s="175"/>
      <x:c r="N142" s="175"/>
    </x:row>
    <x:row r="143">
      <x:c r="M143" s="175"/>
      <x:c r="N143" s="175"/>
    </x:row>
    <x:row r="144">
      <x:c r="M144" s="175"/>
      <x:c r="N144" s="175"/>
    </x:row>
    <x:row r="145">
      <x:c r="M145" s="175"/>
      <x:c r="N145" s="175"/>
    </x:row>
    <x:row r="146">
      <x:c r="M146" s="175"/>
      <x:c r="N146" s="175"/>
    </x:row>
    <x:row r="147">
      <x:c r="M147" s="175"/>
      <x:c r="N147" s="175"/>
    </x:row>
    <x:row r="148">
      <x:c r="M148" s="175"/>
      <x:c r="N148" s="175"/>
    </x:row>
    <x:row r="149">
      <x:c r="M149" s="175"/>
      <x:c r="N149" s="175"/>
    </x:row>
    <x:row r="150">
      <x:c r="M150" s="175"/>
      <x:c r="N150" s="175"/>
    </x:row>
    <x:row r="151">
      <x:c r="M151" s="175"/>
      <x:c r="N151" s="175"/>
    </x:row>
    <x:row r="152">
      <x:c r="M152" s="175"/>
      <x:c r="N152" s="175"/>
    </x:row>
    <x:row r="153">
      <x:c r="M153" s="175"/>
      <x:c r="N153" s="175"/>
    </x:row>
    <x:row r="154">
      <x:c r="M154" s="175"/>
      <x:c r="N154" s="175"/>
    </x:row>
    <x:row r="155">
      <x:c r="M155" s="175"/>
      <x:c r="N155" s="175"/>
    </x:row>
    <x:row r="156">
      <x:c r="M156" s="175"/>
      <x:c r="N156" s="175"/>
    </x:row>
    <x:row r="157">
      <x:c r="M157" s="175"/>
      <x:c r="N157" s="175"/>
    </x:row>
    <x:row r="158">
      <x:c r="M158" s="175"/>
      <x:c r="N158" s="175"/>
    </x:row>
    <x:row r="159">
      <x:c r="M159" s="175"/>
      <x:c r="N159" s="175"/>
    </x:row>
    <x:row r="160">
      <x:c r="M160" s="175"/>
      <x:c r="N160" s="175"/>
    </x:row>
    <x:row r="161">
      <x:c r="M161" s="175"/>
      <x:c r="N161" s="175"/>
    </x:row>
    <x:row r="162">
      <x:c r="M162" s="175"/>
      <x:c r="N162" s="175"/>
    </x:row>
    <x:row r="163">
      <x:c r="M163" s="175"/>
      <x:c r="N163" s="175"/>
    </x:row>
    <x:row r="164">
      <x:c r="M164" s="175"/>
      <x:c r="N164" s="175"/>
    </x:row>
    <x:row r="165">
      <x:c r="M165" s="175"/>
      <x:c r="N165" s="175"/>
    </x:row>
    <x:row r="166">
      <x:c r="M166" s="175"/>
      <x:c r="N166" s="175"/>
    </x:row>
    <x:row r="167">
      <x:c r="M167" s="175"/>
      <x:c r="N167" s="175"/>
    </x:row>
    <x:row r="168">
      <x:c r="M168" s="175"/>
      <x:c r="N168" s="175"/>
    </x:row>
    <x:row r="169">
      <x:c r="M169" s="175"/>
      <x:c r="N169" s="175"/>
    </x:row>
    <x:row r="170">
      <x:c r="M170" s="175"/>
      <x:c r="N170" s="175"/>
    </x:row>
    <x:row r="171">
      <x:c r="M171" s="175"/>
      <x:c r="N171" s="175"/>
    </x:row>
    <x:row r="172">
      <x:c r="M172" s="175"/>
      <x:c r="N172" s="175"/>
    </x:row>
    <x:row r="173">
      <x:c r="M173" s="175"/>
      <x:c r="N173" s="175"/>
    </x:row>
    <x:row r="174">
      <x:c r="M174" s="175"/>
      <x:c r="N174" s="175"/>
    </x:row>
    <x:row r="175">
      <x:c r="M175" s="175"/>
      <x:c r="N175" s="175"/>
    </x:row>
    <x:row r="176">
      <x:c r="M176" s="175"/>
      <x:c r="N176" s="175"/>
    </x:row>
    <x:row r="177">
      <x:c r="M177" s="175"/>
      <x:c r="N177" s="175"/>
    </x:row>
    <x:row r="178">
      <x:c r="M178" s="175"/>
      <x:c r="N178" s="175"/>
    </x:row>
    <x:row r="179">
      <x:c r="M179" s="175"/>
      <x:c r="N179" s="175"/>
    </x:row>
    <x:row r="180">
      <x:c r="M180" s="175"/>
      <x:c r="N180" s="175"/>
    </x:row>
    <x:row r="181">
      <x:c r="M181" s="175"/>
      <x:c r="N181" s="175"/>
    </x:row>
    <x:row r="182">
      <x:c r="M182" s="175"/>
      <x:c r="N182" s="175"/>
    </x:row>
    <x:row r="183">
      <x:c r="M183" s="175"/>
      <x:c r="N183" s="175"/>
    </x:row>
    <x:row r="184">
      <x:c r="M184" s="175"/>
      <x:c r="N184" s="175"/>
    </x:row>
    <x:row r="185">
      <x:c r="M185" s="175"/>
      <x:c r="N185" s="175"/>
    </x:row>
    <x:row r="186">
      <x:c r="M186" s="175"/>
      <x:c r="N186" s="175"/>
    </x:row>
    <x:row r="187">
      <x:c r="M187" s="175"/>
      <x:c r="N187" s="175"/>
    </x:row>
    <x:row r="188">
      <x:c r="M188" s="175"/>
      <x:c r="N188" s="175"/>
    </x:row>
    <x:row r="189">
      <x:c r="M189" s="175"/>
      <x:c r="N189" s="175"/>
    </x:row>
    <x:row r="190">
      <x:c r="M190" s="175"/>
      <x:c r="N190" s="175"/>
    </x:row>
    <x:row r="191">
      <x:c r="M191" s="175"/>
      <x:c r="N191" s="175"/>
    </x:row>
    <x:row r="192">
      <x:c r="M192" s="175"/>
      <x:c r="N192" s="175"/>
    </x:row>
    <x:row r="193">
      <x:c r="M193" s="175"/>
      <x:c r="N193" s="175"/>
    </x:row>
    <x:row r="194">
      <x:c r="M194" s="175"/>
      <x:c r="N194" s="175"/>
    </x:row>
    <x:row r="195">
      <x:c r="M195" s="175"/>
      <x:c r="N195" s="175"/>
    </x:row>
    <x:row r="196">
      <x:c r="M196" s="175"/>
      <x:c r="N196" s="175"/>
    </x:row>
    <x:row r="197">
      <x:c r="M197" s="175"/>
      <x:c r="N197" s="175"/>
    </x:row>
    <x:row r="198">
      <x:c r="M198" s="175"/>
      <x:c r="N198" s="175"/>
    </x:row>
    <x:row r="199">
      <x:c r="M199" s="175"/>
      <x:c r="N199" s="175"/>
    </x:row>
    <x:row r="200">
      <x:c r="M200" s="175"/>
      <x:c r="N200" s="175"/>
    </x:row>
    <x:row r="201">
      <x:c r="M201" s="175"/>
      <x:c r="N201" s="175"/>
    </x:row>
    <x:row r="202">
      <x:c r="M202" s="175"/>
      <x:c r="N202" s="175"/>
    </x:row>
    <x:row r="203">
      <x:c r="M203" s="175"/>
      <x:c r="N203" s="175"/>
    </x:row>
    <x:row r="204">
      <x:c r="M204" s="175"/>
      <x:c r="N204" s="175"/>
    </x:row>
    <x:row r="205">
      <x:c r="M205" s="175"/>
      <x:c r="N205" s="175"/>
    </x:row>
    <x:row r="206">
      <x:c r="M206" s="175"/>
      <x:c r="N206" s="175"/>
    </x:row>
    <x:row r="207">
      <x:c r="M207" s="175"/>
      <x:c r="N207" s="175"/>
    </x:row>
    <x:row r="208">
      <x:c r="M208" s="175"/>
      <x:c r="N208" s="175"/>
    </x:row>
    <x:row r="209">
      <x:c r="M209" s="175"/>
      <x:c r="N209" s="175"/>
    </x:row>
    <x:row r="210">
      <x:c r="M210" s="175"/>
      <x:c r="N210" s="175"/>
    </x:row>
    <x:row r="211">
      <x:c r="M211" s="175"/>
      <x:c r="N211" s="175"/>
    </x:row>
    <x:row r="212">
      <x:c r="M212" s="175"/>
      <x:c r="N212" s="175"/>
    </x:row>
    <x:row r="213">
      <x:c r="M213" s="175"/>
      <x:c r="N213" s="175"/>
    </x:row>
    <x:row r="214">
      <x:c r="M214" s="175"/>
      <x:c r="N214" s="175"/>
    </x:row>
    <x:row r="215">
      <x:c r="M215" s="175"/>
      <x:c r="N215" s="175"/>
    </x:row>
    <x:row r="216">
      <x:c r="M216" s="175"/>
      <x:c r="N216" s="175"/>
    </x:row>
    <x:row r="217">
      <x:c r="M217" s="175"/>
      <x:c r="N217" s="175"/>
    </x:row>
    <x:row r="218">
      <x:c r="M218" s="175"/>
      <x:c r="N218" s="175"/>
    </x:row>
    <x:row r="219">
      <x:c r="M219" s="175"/>
      <x:c r="N219" s="175"/>
    </x:row>
    <x:row r="220">
      <x:c r="M220" s="175"/>
      <x:c r="N220" s="175"/>
    </x:row>
    <x:row r="221">
      <x:c r="M221" s="175"/>
      <x:c r="N221" s="175"/>
    </x:row>
    <x:row r="222">
      <x:c r="M222" s="175"/>
      <x:c r="N222" s="175"/>
    </x:row>
    <x:row r="223">
      <x:c r="M223" s="175"/>
      <x:c r="N223" s="175"/>
    </x:row>
    <x:row r="224">
      <x:c r="M224" s="175"/>
      <x:c r="N224" s="175"/>
    </x:row>
    <x:row r="225">
      <x:c r="M225" s="175"/>
      <x:c r="N225" s="175"/>
    </x:row>
    <x:row r="226">
      <x:c r="M226" s="175"/>
      <x:c r="N226" s="175"/>
    </x:row>
    <x:row r="227">
      <x:c r="M227" s="175"/>
      <x:c r="N227" s="175"/>
    </x:row>
    <x:row r="228">
      <x:c r="M228" s="175"/>
      <x:c r="N228" s="175"/>
    </x:row>
    <x:row r="229">
      <x:c r="M229" s="175"/>
      <x:c r="N229" s="175"/>
    </x:row>
    <x:row r="230">
      <x:c r="M230" s="175"/>
      <x:c r="N230" s="175"/>
    </x:row>
    <x:row r="231">
      <x:c r="M231" s="175"/>
      <x:c r="N231" s="175"/>
    </x:row>
    <x:row r="232">
      <x:c r="M232" s="175"/>
      <x:c r="N232" s="175"/>
    </x:row>
    <x:row r="233">
      <x:c r="M233" s="175"/>
      <x:c r="N233" s="175"/>
    </x:row>
    <x:row r="234">
      <x:c r="M234" s="175"/>
      <x:c r="N234" s="175"/>
    </x:row>
    <x:row r="235">
      <x:c r="M235" s="175"/>
      <x:c r="N235" s="175"/>
    </x:row>
    <x:row r="236">
      <x:c r="M236" s="175"/>
      <x:c r="N236" s="175"/>
    </x:row>
    <x:row r="237">
      <x:c r="M237" s="175"/>
      <x:c r="N237" s="175"/>
    </x:row>
    <x:row r="238">
      <x:c r="M238" s="175"/>
      <x:c r="N238" s="175"/>
    </x:row>
    <x:row r="239">
      <x:c r="M239" s="175"/>
      <x:c r="N239" s="175"/>
    </x:row>
    <x:row r="240">
      <x:c r="M240" s="175"/>
      <x:c r="N240" s="175"/>
    </x:row>
    <x:row r="241">
      <x:c r="M241" s="175"/>
      <x:c r="N241" s="175"/>
    </x:row>
    <x:row r="242">
      <x:c r="M242" s="175"/>
      <x:c r="N242" s="175"/>
    </x:row>
    <x:row r="243">
      <x:c r="M243" s="175"/>
      <x:c r="N243" s="175"/>
    </x:row>
    <x:row r="244">
      <x:c r="M244" s="175"/>
      <x:c r="N244" s="175"/>
    </x:row>
    <x:row r="245">
      <x:c r="M245" s="175"/>
      <x:c r="N245" s="175"/>
    </x:row>
    <x:row r="246">
      <x:c r="M246" s="175"/>
      <x:c r="N246" s="175"/>
    </x:row>
    <x:row r="247">
      <x:c r="M247" s="175"/>
      <x:c r="N247" s="175"/>
    </x:row>
    <x:row r="248">
      <x:c r="M248" s="175"/>
      <x:c r="N248" s="175"/>
    </x:row>
    <x:row r="249">
      <x:c r="M249" s="175"/>
      <x:c r="N249" s="175"/>
    </x:row>
    <x:row r="250">
      <x:c r="M250" s="175"/>
      <x:c r="N250" s="175"/>
    </x:row>
    <x:row r="251">
      <x:c r="M251" s="175"/>
      <x:c r="N251" s="175"/>
    </x:row>
    <x:row r="252">
      <x:c r="M252" s="175"/>
      <x:c r="N252" s="175"/>
    </x:row>
    <x:row r="253">
      <x:c r="M253" s="175"/>
      <x:c r="N253" s="175"/>
    </x:row>
    <x:row r="254">
      <x:c r="M254" s="175"/>
      <x:c r="N254" s="175"/>
    </x:row>
    <x:row r="255">
      <x:c r="M255" s="175"/>
      <x:c r="N255" s="175"/>
    </x:row>
    <x:row r="256">
      <x:c r="M256" s="175"/>
      <x:c r="N256" s="175"/>
    </x:row>
  </x:sheetData>
  <x:mergeCells>
    <x:mergeCell ref="B62:F62"/>
    <x:mergeCell ref="B63:F63"/>
    <x:mergeCell ref="B64:F64"/>
    <x:mergeCell ref="A1:T1"/>
    <x:mergeCell ref="A2:T2"/>
    <x:mergeCell ref="A3:T3"/>
    <x:mergeCell ref="B60:F60"/>
    <x:mergeCell ref="B61:F61"/>
  </x:mergeCells>
  <x:conditionalFormatting sqref="H6:H256">
    <x:cfRule type="expression" dxfId="4" priority="1">
      <x:formula>H6="Kawasan Kumuh Tersisa"</x:formula>
    </x:cfRule>
  </x:conditionalFormatting>
  <x:conditionalFormatting sqref="I6:I256">
    <x:cfRule type="expression" dxfId="3" priority="2">
      <x:formula>I6="Dalam Penanganan"</x:formula>
    </x:cfRule>
    <x:cfRule type="expression" dxfId="2" priority="3">
      <x:formula>I6="Selesai Ditangani"</x:formula>
    </x:cfRule>
  </x:conditionalFormatting>
  <x:dataValidations count="3">
    <x:dataValidation type="list" sqref="R6:R256">
      <x:formula1>"Terverifikasi,Belum Diverifikasi,Perlu Konfirmasi Dokumen,Perlu Perbaikan"</x:formula1>
    </x:dataValidation>
    <x:dataValidation type="list" sqref="I6:I256">
      <x:formula1>"Belum Ditangani,Dalam Penanganan,Selesai Ditangani,Perlu Verifikasi"</x:formula1>
    </x:dataValidation>
    <x:dataValidation type="list" sqref="H6:H256">
      <x:formula1>"Kawasan Kumuh Tersisa,Dalam Evaluasi,Keluar dari SK,Historis"</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
  <x:cols>
    <x:col min="1" max="1" width="18" customWidth="1"/>
    <x:col min="2" max="2" width="9" customWidth="1"/>
    <x:col min="3" max="3" width="15" customWidth="1"/>
    <x:col min="4" max="4" width="16" customWidth="1"/>
    <x:col min="5" max="5" width="18" customWidth="1"/>
    <x:col min="6" max="6" width="15" customWidth="1"/>
    <x:col min="7" max="7" width="16" customWidth="1"/>
    <x:col min="8" max="9" width="15" customWidth="1"/>
    <x:col min="10" max="10" width="14" customWidth="1"/>
    <x:col min="11" max="12" width="13" customWidth="1"/>
    <x:col min="13" max="13" width="16" customWidth="1"/>
    <x:col min="14" max="15" width="18" customWidth="1"/>
    <x:col min="16" max="16" width="20" customWidth="1"/>
    <x:col min="17" max="18" width="11" customWidth="1"/>
    <x:col min="19" max="19" width="16" customWidth="1"/>
    <x:col min="20" max="20" width="20" customWidth="1"/>
    <x:col min="21" max="21" width="19" customWidth="1"/>
    <x:col min="22" max="22" width="18" customWidth="1"/>
    <x:col min="23" max="23" width="25" customWidth="1"/>
    <x:col min="24" max="24" width="23" customWidth="1"/>
    <x:col min="25" max="25" width="22" customWidth="1"/>
    <x:col min="26" max="26" width="24" customWidth="1"/>
    <x:col min="27" max="27" width="25" customWidth="1"/>
    <x:col min="28" max="28" width="24" customWidth="1"/>
    <x:col min="29" max="29" width="34" customWidth="1"/>
    <x:col min="30" max="30" width="18" customWidth="1"/>
    <x:col min="31" max="31" width="16" customWidth="1"/>
  </x:cols>
  <x:sheetData>
    <x:row r="1" ht="17.399999618530273" customHeight="1">
      <x:c r="A1" s="261" t="s">
        <x:v>2352</x:v>
      </x:c>
      <x:c r="B1" s="261"/>
      <x:c r="C1" s="261"/>
      <x:c r="D1" s="261"/>
      <x:c r="E1" s="261"/>
      <x:c r="F1" s="261"/>
      <x:c r="G1" s="261"/>
      <x:c r="H1" s="261"/>
      <x:c r="I1" s="261"/>
      <x:c r="J1" s="261"/>
      <x:c r="K1" s="261"/>
      <x:c r="L1" s="261"/>
      <x:c r="M1" s="261"/>
      <x:c r="N1" s="261"/>
      <x:c r="O1" s="261"/>
      <x:c r="P1" s="261"/>
      <x:c r="Q1" s="261"/>
      <x:c r="R1" s="261"/>
      <x:c r="S1" s="261"/>
      <x:c r="T1" s="261"/>
      <x:c r="U1" s="261"/>
      <x:c r="V1" s="261"/>
      <x:c r="W1" s="261"/>
      <x:c r="X1" s="261"/>
      <x:c r="Y1" s="261"/>
      <x:c r="Z1" s="261"/>
      <x:c r="AA1" s="261"/>
      <x:c r="AB1" s="261"/>
      <x:c r="AC1" s="261"/>
      <x:c r="AD1" s="261"/>
      <x:c r="AE1" s="261"/>
    </x:row>
    <x:row r="2" ht="16" customHeight="1">
      <x:c r="A2" s="262" t="s">
        <x:v>2353</x:v>
      </x:c>
      <x:c r="B2" s="262"/>
      <x:c r="C2" s="262"/>
      <x:c r="D2" s="262"/>
      <x:c r="E2" s="262"/>
      <x:c r="F2" s="262"/>
      <x:c r="G2" s="262"/>
      <x:c r="H2" s="262"/>
      <x:c r="I2" s="262"/>
      <x:c r="J2" s="262"/>
      <x:c r="K2" s="262"/>
      <x:c r="L2" s="262"/>
      <x:c r="M2" s="262"/>
      <x:c r="N2" s="262"/>
      <x:c r="O2" s="262"/>
      <x:c r="P2" s="262"/>
      <x:c r="Q2" s="262"/>
      <x:c r="R2" s="262"/>
      <x:c r="S2" s="262"/>
      <x:c r="T2" s="262"/>
      <x:c r="U2" s="262"/>
      <x:c r="V2" s="262"/>
      <x:c r="W2" s="262"/>
      <x:c r="X2" s="262"/>
      <x:c r="Y2" s="262"/>
      <x:c r="Z2" s="262"/>
      <x:c r="AA2" s="262"/>
      <x:c r="AB2" s="262"/>
      <x:c r="AC2" s="262"/>
      <x:c r="AD2" s="262"/>
      <x:c r="AE2" s="262"/>
    </x:row>
    <x:row r="3" ht="21.399999618530273" customHeight="1">
      <x:c r="A3" s="263" t="s">
        <x:v>2354</x:v>
      </x:c>
      <x:c r="B3" s="263"/>
      <x:c r="C3" s="263"/>
      <x:c r="D3" s="263"/>
      <x:c r="E3" s="263"/>
      <x:c r="F3" s="263"/>
      <x:c r="G3" s="263"/>
      <x:c r="H3" s="263"/>
      <x:c r="I3" s="263"/>
      <x:c r="J3" s="263"/>
      <x:c r="K3" s="263"/>
      <x:c r="L3" s="263"/>
      <x:c r="M3" s="263"/>
      <x:c r="N3" s="263"/>
      <x:c r="O3" s="263"/>
      <x:c r="P3" s="263"/>
      <x:c r="Q3" s="263"/>
      <x:c r="R3" s="263"/>
      <x:c r="S3" s="263"/>
      <x:c r="T3" s="263"/>
      <x:c r="U3" s="263"/>
      <x:c r="V3" s="263"/>
      <x:c r="W3" s="263"/>
      <x:c r="X3" s="263"/>
      <x:c r="Y3" s="263"/>
      <x:c r="Z3" s="263"/>
      <x:c r="AA3" s="263"/>
      <x:c r="AB3" s="263"/>
      <x:c r="AC3" s="263"/>
      <x:c r="AD3" s="263"/>
      <x:c r="AE3" s="263"/>
    </x:row>
    <x:row r="5" ht="24" customHeight="1">
      <x:c r="A5" s="217" t="s">
        <x:v>2355</x:v>
      </x:c>
      <x:c r="B5" s="217" t="s">
        <x:v>2050</x:v>
      </x:c>
      <x:c r="C5" s="217" t="s">
        <x:v>2356</x:v>
      </x:c>
      <x:c r="D5" s="217" t="s">
        <x:v>821</x:v>
      </x:c>
      <x:c r="E5" s="217" t="s">
        <x:v>2357</x:v>
      </x:c>
      <x:c r="F5" s="217" t="s">
        <x:v>2358</x:v>
      </x:c>
      <x:c r="G5" s="217" t="s">
        <x:v>2359</x:v>
      </x:c>
      <x:c r="H5" s="217" t="s">
        <x:v>2360</x:v>
      </x:c>
      <x:c r="I5" s="217" t="s">
        <x:v>2361</x:v>
      </x:c>
      <x:c r="J5" s="217" t="s">
        <x:v>2362</x:v>
      </x:c>
      <x:c r="K5" s="217" t="s">
        <x:v>2363</x:v>
      </x:c>
      <x:c r="L5" s="217" t="s">
        <x:v>2364</x:v>
      </x:c>
      <x:c r="M5" s="217" t="s">
        <x:v>2365</x:v>
      </x:c>
      <x:c r="N5" s="217" t="s">
        <x:v>830</x:v>
      </x:c>
      <x:c r="O5" s="217" t="s">
        <x:v>2366</x:v>
      </x:c>
      <x:c r="P5" s="217" t="s">
        <x:v>2367</x:v>
      </x:c>
      <x:c r="Q5" s="217" t="s">
        <x:v>2368</x:v>
      </x:c>
      <x:c r="R5" s="217" t="s">
        <x:v>849</x:v>
      </x:c>
      <x:c r="S5" s="217" t="s">
        <x:v>2369</x:v>
      </x:c>
      <x:c r="T5" s="217" t="s">
        <x:v>2370</x:v>
      </x:c>
      <x:c r="U5" s="217" t="s">
        <x:v>2371</x:v>
      </x:c>
      <x:c r="V5" s="217" t="s">
        <x:v>2372</x:v>
      </x:c>
      <x:c r="W5" s="217" t="s">
        <x:v>2373</x:v>
      </x:c>
      <x:c r="X5" s="217" t="s">
        <x:v>2374</x:v>
      </x:c>
      <x:c r="Y5" s="217" t="s">
        <x:v>2375</x:v>
      </x:c>
      <x:c r="Z5" s="217" t="s">
        <x:v>2376</x:v>
      </x:c>
      <x:c r="AA5" s="217" t="s">
        <x:v>2377</x:v>
      </x:c>
      <x:c r="AB5" s="217" t="s">
        <x:v>59</x:v>
      </x:c>
      <x:c r="AC5" s="217" t="s">
        <x:v>13</x:v>
      </x:c>
      <x:c r="AD5" s="217" t="s">
        <x:v>16</x:v>
      </x:c>
      <x:c r="AE5" s="216" t="s">
        <x:v>15</x:v>
      </x:c>
    </x:row>
    <x:row r="6">
      <x:c r="A6" s="210"/>
      <x:c r="B6" s="215"/>
      <x:c r="C6" s="214"/>
      <x:c r="D6" s="210"/>
      <x:c r="E6" s="210"/>
      <x:c r="F6" s="210"/>
      <x:c r="G6" s="212"/>
      <x:c r="H6" s="212"/>
      <x:c r="I6" s="212"/>
      <x:c r="J6" s="212"/>
      <x:c r="K6" s="212"/>
      <x:c r="L6" s="212"/>
      <x:c r="M6" s="211" t="str">
        <x:f t="shared" ref="M6:M37" si="0">IF(OR($A6="",$G6=0),"",$K6/$G6)</x:f>
      </x:c>
      <x:c r="N6" s="212"/>
      <x:c r="O6" s="212"/>
      <x:c r="P6" s="212"/>
      <x:c r="Q6" s="212"/>
      <x:c r="R6" s="212"/>
      <x:c r="S6" s="213"/>
      <x:c r="T6" s="212"/>
      <x:c r="U6" s="212"/>
      <x:c r="V6" s="212"/>
      <x:c r="W6" s="212"/>
      <x:c r="X6" s="211" t="str">
        <x:f t="shared" ref="X6:X37" si="1">IF(OR($A6="",$T6=0),"",$U6/$T6)</x:f>
      </x:c>
      <x:c r="Y6" s="212"/>
      <x:c r="Z6" s="212"/>
      <x:c r="AA6" s="211" t="str">
        <x:f t="shared" ref="AA6:AA37" si="2">IF(OR($A6="",$Y6=0),"",$Z6/$Y6)</x:f>
      </x:c>
      <x:c r="AB6" s="210"/>
      <x:c r="AC6" s="210"/>
      <x:c r="AD6" s="210"/>
      <x:c r="AE6" s="209"/>
    </x:row>
    <x:row r="7">
      <x:c r="A7" s="210"/>
      <x:c r="B7" s="215"/>
      <x:c r="C7" s="214"/>
      <x:c r="D7" s="210"/>
      <x:c r="E7" s="210"/>
      <x:c r="F7" s="210"/>
      <x:c r="G7" s="212"/>
      <x:c r="H7" s="212"/>
      <x:c r="I7" s="212"/>
      <x:c r="J7" s="212"/>
      <x:c r="K7" s="212"/>
      <x:c r="L7" s="212"/>
      <x:c r="M7" s="211" t="str">
        <x:f t="shared" si="0"/>
      </x:c>
      <x:c r="N7" s="212"/>
      <x:c r="O7" s="212"/>
      <x:c r="P7" s="212"/>
      <x:c r="Q7" s="212"/>
      <x:c r="R7" s="212"/>
      <x:c r="S7" s="213"/>
      <x:c r="T7" s="212"/>
      <x:c r="U7" s="212"/>
      <x:c r="V7" s="212"/>
      <x:c r="W7" s="212"/>
      <x:c r="X7" s="211" t="str">
        <x:f t="shared" si="1"/>
      </x:c>
      <x:c r="Y7" s="212"/>
      <x:c r="Z7" s="212"/>
      <x:c r="AA7" s="211" t="str">
        <x:f t="shared" si="2"/>
      </x:c>
      <x:c r="AB7" s="210"/>
      <x:c r="AC7" s="210"/>
      <x:c r="AD7" s="210"/>
      <x:c r="AE7" s="209"/>
    </x:row>
    <x:row r="8">
      <x:c r="A8" s="210"/>
      <x:c r="B8" s="215"/>
      <x:c r="C8" s="214"/>
      <x:c r="D8" s="210"/>
      <x:c r="E8" s="210"/>
      <x:c r="F8" s="210"/>
      <x:c r="G8" s="212"/>
      <x:c r="H8" s="212"/>
      <x:c r="I8" s="212"/>
      <x:c r="J8" s="212"/>
      <x:c r="K8" s="212"/>
      <x:c r="L8" s="212"/>
      <x:c r="M8" s="211" t="str">
        <x:f t="shared" si="0"/>
      </x:c>
      <x:c r="N8" s="212"/>
      <x:c r="O8" s="212"/>
      <x:c r="P8" s="212"/>
      <x:c r="Q8" s="212"/>
      <x:c r="R8" s="212"/>
      <x:c r="S8" s="213"/>
      <x:c r="T8" s="212"/>
      <x:c r="U8" s="212"/>
      <x:c r="V8" s="212"/>
      <x:c r="W8" s="212"/>
      <x:c r="X8" s="211" t="str">
        <x:f t="shared" si="1"/>
      </x:c>
      <x:c r="Y8" s="212"/>
      <x:c r="Z8" s="212"/>
      <x:c r="AA8" s="211" t="str">
        <x:f t="shared" si="2"/>
      </x:c>
      <x:c r="AB8" s="210"/>
      <x:c r="AC8" s="210"/>
      <x:c r="AD8" s="210"/>
      <x:c r="AE8" s="209"/>
    </x:row>
    <x:row r="9">
      <x:c r="A9" s="210"/>
      <x:c r="B9" s="215"/>
      <x:c r="C9" s="214"/>
      <x:c r="D9" s="210"/>
      <x:c r="E9" s="210"/>
      <x:c r="F9" s="210"/>
      <x:c r="G9" s="212"/>
      <x:c r="H9" s="212"/>
      <x:c r="I9" s="212"/>
      <x:c r="J9" s="212"/>
      <x:c r="K9" s="212"/>
      <x:c r="L9" s="212"/>
      <x:c r="M9" s="211" t="str">
        <x:f t="shared" si="0"/>
      </x:c>
      <x:c r="N9" s="212"/>
      <x:c r="O9" s="212"/>
      <x:c r="P9" s="212"/>
      <x:c r="Q9" s="212"/>
      <x:c r="R9" s="212"/>
      <x:c r="S9" s="213"/>
      <x:c r="T9" s="212"/>
      <x:c r="U9" s="212"/>
      <x:c r="V9" s="212"/>
      <x:c r="W9" s="212"/>
      <x:c r="X9" s="211" t="str">
        <x:f t="shared" si="1"/>
      </x:c>
      <x:c r="Y9" s="212"/>
      <x:c r="Z9" s="212"/>
      <x:c r="AA9" s="211" t="str">
        <x:f t="shared" si="2"/>
      </x:c>
      <x:c r="AB9" s="210"/>
      <x:c r="AC9" s="210"/>
      <x:c r="AD9" s="210"/>
      <x:c r="AE9" s="209"/>
    </x:row>
    <x:row r="10">
      <x:c r="A10" s="210"/>
      <x:c r="B10" s="215"/>
      <x:c r="C10" s="214"/>
      <x:c r="D10" s="210"/>
      <x:c r="E10" s="210"/>
      <x:c r="F10" s="210"/>
      <x:c r="G10" s="212"/>
      <x:c r="H10" s="212"/>
      <x:c r="I10" s="212"/>
      <x:c r="J10" s="212"/>
      <x:c r="K10" s="212"/>
      <x:c r="L10" s="212"/>
      <x:c r="M10" s="211" t="str">
        <x:f t="shared" si="0"/>
      </x:c>
      <x:c r="N10" s="212"/>
      <x:c r="O10" s="212"/>
      <x:c r="P10" s="212"/>
      <x:c r="Q10" s="212"/>
      <x:c r="R10" s="212"/>
      <x:c r="S10" s="213"/>
      <x:c r="T10" s="212"/>
      <x:c r="U10" s="212"/>
      <x:c r="V10" s="212"/>
      <x:c r="W10" s="212"/>
      <x:c r="X10" s="211" t="str">
        <x:f t="shared" si="1"/>
      </x:c>
      <x:c r="Y10" s="212"/>
      <x:c r="Z10" s="212"/>
      <x:c r="AA10" s="211" t="str">
        <x:f t="shared" si="2"/>
      </x:c>
      <x:c r="AB10" s="210"/>
      <x:c r="AC10" s="210"/>
      <x:c r="AD10" s="210"/>
      <x:c r="AE10" s="209"/>
    </x:row>
    <x:row r="11">
      <x:c r="A11" s="210"/>
      <x:c r="B11" s="215"/>
      <x:c r="C11" s="214"/>
      <x:c r="D11" s="210"/>
      <x:c r="E11" s="210"/>
      <x:c r="F11" s="210"/>
      <x:c r="G11" s="212"/>
      <x:c r="H11" s="212"/>
      <x:c r="I11" s="212"/>
      <x:c r="J11" s="212"/>
      <x:c r="K11" s="212"/>
      <x:c r="L11" s="212"/>
      <x:c r="M11" s="211" t="str">
        <x:f t="shared" si="0"/>
      </x:c>
      <x:c r="N11" s="212"/>
      <x:c r="O11" s="212"/>
      <x:c r="P11" s="212"/>
      <x:c r="Q11" s="212"/>
      <x:c r="R11" s="212"/>
      <x:c r="S11" s="213"/>
      <x:c r="T11" s="212"/>
      <x:c r="U11" s="212"/>
      <x:c r="V11" s="212"/>
      <x:c r="W11" s="212"/>
      <x:c r="X11" s="211" t="str">
        <x:f t="shared" si="1"/>
      </x:c>
      <x:c r="Y11" s="212"/>
      <x:c r="Z11" s="212"/>
      <x:c r="AA11" s="211" t="str">
        <x:f t="shared" si="2"/>
      </x:c>
      <x:c r="AB11" s="210"/>
      <x:c r="AC11" s="210"/>
      <x:c r="AD11" s="210"/>
      <x:c r="AE11" s="209"/>
    </x:row>
    <x:row r="12">
      <x:c r="A12" s="210"/>
      <x:c r="B12" s="215"/>
      <x:c r="C12" s="214"/>
      <x:c r="D12" s="210"/>
      <x:c r="E12" s="210"/>
      <x:c r="F12" s="210"/>
      <x:c r="G12" s="212"/>
      <x:c r="H12" s="212"/>
      <x:c r="I12" s="212"/>
      <x:c r="J12" s="212"/>
      <x:c r="K12" s="212"/>
      <x:c r="L12" s="212"/>
      <x:c r="M12" s="211" t="str">
        <x:f t="shared" si="0"/>
      </x:c>
      <x:c r="N12" s="212"/>
      <x:c r="O12" s="212"/>
      <x:c r="P12" s="212"/>
      <x:c r="Q12" s="212"/>
      <x:c r="R12" s="212"/>
      <x:c r="S12" s="213"/>
      <x:c r="T12" s="212"/>
      <x:c r="U12" s="212"/>
      <x:c r="V12" s="212"/>
      <x:c r="W12" s="212"/>
      <x:c r="X12" s="211" t="str">
        <x:f t="shared" si="1"/>
      </x:c>
      <x:c r="Y12" s="212"/>
      <x:c r="Z12" s="212"/>
      <x:c r="AA12" s="211" t="str">
        <x:f t="shared" si="2"/>
      </x:c>
      <x:c r="AB12" s="210"/>
      <x:c r="AC12" s="210"/>
      <x:c r="AD12" s="210"/>
      <x:c r="AE12" s="209"/>
    </x:row>
    <x:row r="13">
      <x:c r="A13" s="210"/>
      <x:c r="B13" s="215"/>
      <x:c r="C13" s="214"/>
      <x:c r="D13" s="210"/>
      <x:c r="E13" s="210"/>
      <x:c r="F13" s="210"/>
      <x:c r="G13" s="212"/>
      <x:c r="H13" s="212"/>
      <x:c r="I13" s="212"/>
      <x:c r="J13" s="212"/>
      <x:c r="K13" s="212"/>
      <x:c r="L13" s="212"/>
      <x:c r="M13" s="211" t="str">
        <x:f t="shared" si="0"/>
      </x:c>
      <x:c r="N13" s="212"/>
      <x:c r="O13" s="212"/>
      <x:c r="P13" s="212"/>
      <x:c r="Q13" s="212"/>
      <x:c r="R13" s="212"/>
      <x:c r="S13" s="213"/>
      <x:c r="T13" s="212"/>
      <x:c r="U13" s="212"/>
      <x:c r="V13" s="212"/>
      <x:c r="W13" s="212"/>
      <x:c r="X13" s="211" t="str">
        <x:f t="shared" si="1"/>
      </x:c>
      <x:c r="Y13" s="212"/>
      <x:c r="Z13" s="212"/>
      <x:c r="AA13" s="211" t="str">
        <x:f t="shared" si="2"/>
      </x:c>
      <x:c r="AB13" s="210"/>
      <x:c r="AC13" s="210"/>
      <x:c r="AD13" s="210"/>
      <x:c r="AE13" s="209"/>
    </x:row>
    <x:row r="14">
      <x:c r="A14" s="210"/>
      <x:c r="B14" s="215"/>
      <x:c r="C14" s="214"/>
      <x:c r="D14" s="210"/>
      <x:c r="E14" s="210"/>
      <x:c r="F14" s="210"/>
      <x:c r="G14" s="212"/>
      <x:c r="H14" s="212"/>
      <x:c r="I14" s="212"/>
      <x:c r="J14" s="212"/>
      <x:c r="K14" s="212"/>
      <x:c r="L14" s="212"/>
      <x:c r="M14" s="211" t="str">
        <x:f t="shared" si="0"/>
      </x:c>
      <x:c r="N14" s="212"/>
      <x:c r="O14" s="212"/>
      <x:c r="P14" s="212"/>
      <x:c r="Q14" s="212"/>
      <x:c r="R14" s="212"/>
      <x:c r="S14" s="213"/>
      <x:c r="T14" s="212"/>
      <x:c r="U14" s="212"/>
      <x:c r="V14" s="212"/>
      <x:c r="W14" s="212"/>
      <x:c r="X14" s="211" t="str">
        <x:f t="shared" si="1"/>
      </x:c>
      <x:c r="Y14" s="212"/>
      <x:c r="Z14" s="212"/>
      <x:c r="AA14" s="211" t="str">
        <x:f t="shared" si="2"/>
      </x:c>
      <x:c r="AB14" s="210"/>
      <x:c r="AC14" s="210"/>
      <x:c r="AD14" s="210"/>
      <x:c r="AE14" s="209"/>
    </x:row>
    <x:row r="15">
      <x:c r="A15" s="210"/>
      <x:c r="B15" s="215"/>
      <x:c r="C15" s="214"/>
      <x:c r="D15" s="210"/>
      <x:c r="E15" s="210"/>
      <x:c r="F15" s="210"/>
      <x:c r="G15" s="212"/>
      <x:c r="H15" s="212"/>
      <x:c r="I15" s="212"/>
      <x:c r="J15" s="212"/>
      <x:c r="K15" s="212"/>
      <x:c r="L15" s="212"/>
      <x:c r="M15" s="211" t="str">
        <x:f t="shared" si="0"/>
      </x:c>
      <x:c r="N15" s="212"/>
      <x:c r="O15" s="212"/>
      <x:c r="P15" s="212"/>
      <x:c r="Q15" s="212"/>
      <x:c r="R15" s="212"/>
      <x:c r="S15" s="213"/>
      <x:c r="T15" s="212"/>
      <x:c r="U15" s="212"/>
      <x:c r="V15" s="212"/>
      <x:c r="W15" s="212"/>
      <x:c r="X15" s="211" t="str">
        <x:f t="shared" si="1"/>
      </x:c>
      <x:c r="Y15" s="212"/>
      <x:c r="Z15" s="212"/>
      <x:c r="AA15" s="211" t="str">
        <x:f t="shared" si="2"/>
      </x:c>
      <x:c r="AB15" s="210"/>
      <x:c r="AC15" s="210"/>
      <x:c r="AD15" s="210"/>
      <x:c r="AE15" s="209"/>
    </x:row>
    <x:row r="16">
      <x:c r="A16" s="210"/>
      <x:c r="B16" s="215"/>
      <x:c r="C16" s="214"/>
      <x:c r="D16" s="210"/>
      <x:c r="E16" s="210"/>
      <x:c r="F16" s="210"/>
      <x:c r="G16" s="212"/>
      <x:c r="H16" s="212"/>
      <x:c r="I16" s="212"/>
      <x:c r="J16" s="212"/>
      <x:c r="K16" s="212"/>
      <x:c r="L16" s="212"/>
      <x:c r="M16" s="211" t="str">
        <x:f t="shared" si="0"/>
      </x:c>
      <x:c r="N16" s="212"/>
      <x:c r="O16" s="212"/>
      <x:c r="P16" s="212"/>
      <x:c r="Q16" s="212"/>
      <x:c r="R16" s="212"/>
      <x:c r="S16" s="213"/>
      <x:c r="T16" s="212"/>
      <x:c r="U16" s="212"/>
      <x:c r="V16" s="212"/>
      <x:c r="W16" s="212"/>
      <x:c r="X16" s="211" t="str">
        <x:f t="shared" si="1"/>
      </x:c>
      <x:c r="Y16" s="212"/>
      <x:c r="Z16" s="212"/>
      <x:c r="AA16" s="211" t="str">
        <x:f t="shared" si="2"/>
      </x:c>
      <x:c r="AB16" s="210"/>
      <x:c r="AC16" s="210"/>
      <x:c r="AD16" s="210"/>
      <x:c r="AE16" s="209"/>
    </x:row>
    <x:row r="17">
      <x:c r="A17" s="210"/>
      <x:c r="B17" s="215"/>
      <x:c r="C17" s="214"/>
      <x:c r="D17" s="210"/>
      <x:c r="E17" s="210"/>
      <x:c r="F17" s="210"/>
      <x:c r="G17" s="212"/>
      <x:c r="H17" s="212"/>
      <x:c r="I17" s="212"/>
      <x:c r="J17" s="212"/>
      <x:c r="K17" s="212"/>
      <x:c r="L17" s="212"/>
      <x:c r="M17" s="211" t="str">
        <x:f t="shared" si="0"/>
      </x:c>
      <x:c r="N17" s="212"/>
      <x:c r="O17" s="212"/>
      <x:c r="P17" s="212"/>
      <x:c r="Q17" s="212"/>
      <x:c r="R17" s="212"/>
      <x:c r="S17" s="213"/>
      <x:c r="T17" s="212"/>
      <x:c r="U17" s="212"/>
      <x:c r="V17" s="212"/>
      <x:c r="W17" s="212"/>
      <x:c r="X17" s="211" t="str">
        <x:f t="shared" si="1"/>
      </x:c>
      <x:c r="Y17" s="212"/>
      <x:c r="Z17" s="212"/>
      <x:c r="AA17" s="211" t="str">
        <x:f t="shared" si="2"/>
      </x:c>
      <x:c r="AB17" s="210"/>
      <x:c r="AC17" s="210"/>
      <x:c r="AD17" s="210"/>
      <x:c r="AE17" s="209"/>
    </x:row>
    <x:row r="18">
      <x:c r="A18" s="210"/>
      <x:c r="B18" s="215"/>
      <x:c r="C18" s="214"/>
      <x:c r="D18" s="210"/>
      <x:c r="E18" s="210"/>
      <x:c r="F18" s="210"/>
      <x:c r="G18" s="212"/>
      <x:c r="H18" s="212"/>
      <x:c r="I18" s="212"/>
      <x:c r="J18" s="212"/>
      <x:c r="K18" s="212"/>
      <x:c r="L18" s="212"/>
      <x:c r="M18" s="211" t="str">
        <x:f t="shared" si="0"/>
      </x:c>
      <x:c r="N18" s="212"/>
      <x:c r="O18" s="212"/>
      <x:c r="P18" s="212"/>
      <x:c r="Q18" s="212"/>
      <x:c r="R18" s="212"/>
      <x:c r="S18" s="213"/>
      <x:c r="T18" s="212"/>
      <x:c r="U18" s="212"/>
      <x:c r="V18" s="212"/>
      <x:c r="W18" s="212"/>
      <x:c r="X18" s="211" t="str">
        <x:f t="shared" si="1"/>
      </x:c>
      <x:c r="Y18" s="212"/>
      <x:c r="Z18" s="212"/>
      <x:c r="AA18" s="211" t="str">
        <x:f t="shared" si="2"/>
      </x:c>
      <x:c r="AB18" s="210"/>
      <x:c r="AC18" s="210"/>
      <x:c r="AD18" s="210"/>
      <x:c r="AE18" s="209"/>
    </x:row>
    <x:row r="19">
      <x:c r="A19" s="210"/>
      <x:c r="B19" s="215"/>
      <x:c r="C19" s="214"/>
      <x:c r="D19" s="210"/>
      <x:c r="E19" s="210"/>
      <x:c r="F19" s="210"/>
      <x:c r="G19" s="212"/>
      <x:c r="H19" s="212"/>
      <x:c r="I19" s="212"/>
      <x:c r="J19" s="212"/>
      <x:c r="K19" s="212"/>
      <x:c r="L19" s="212"/>
      <x:c r="M19" s="211" t="str">
        <x:f t="shared" si="0"/>
      </x:c>
      <x:c r="N19" s="212"/>
      <x:c r="O19" s="212"/>
      <x:c r="P19" s="212"/>
      <x:c r="Q19" s="212"/>
      <x:c r="R19" s="212"/>
      <x:c r="S19" s="213"/>
      <x:c r="T19" s="212"/>
      <x:c r="U19" s="212"/>
      <x:c r="V19" s="212"/>
      <x:c r="W19" s="212"/>
      <x:c r="X19" s="211" t="str">
        <x:f t="shared" si="1"/>
      </x:c>
      <x:c r="Y19" s="212"/>
      <x:c r="Z19" s="212"/>
      <x:c r="AA19" s="211" t="str">
        <x:f t="shared" si="2"/>
      </x:c>
      <x:c r="AB19" s="210"/>
      <x:c r="AC19" s="210"/>
      <x:c r="AD19" s="210"/>
      <x:c r="AE19" s="209"/>
    </x:row>
    <x:row r="20">
      <x:c r="A20" s="210"/>
      <x:c r="B20" s="215"/>
      <x:c r="C20" s="214"/>
      <x:c r="D20" s="210"/>
      <x:c r="E20" s="210"/>
      <x:c r="F20" s="210"/>
      <x:c r="G20" s="212"/>
      <x:c r="H20" s="212"/>
      <x:c r="I20" s="212"/>
      <x:c r="J20" s="212"/>
      <x:c r="K20" s="212"/>
      <x:c r="L20" s="212"/>
      <x:c r="M20" s="211" t="str">
        <x:f t="shared" si="0"/>
      </x:c>
      <x:c r="N20" s="212"/>
      <x:c r="O20" s="212"/>
      <x:c r="P20" s="212"/>
      <x:c r="Q20" s="212"/>
      <x:c r="R20" s="212"/>
      <x:c r="S20" s="213"/>
      <x:c r="T20" s="212"/>
      <x:c r="U20" s="212"/>
      <x:c r="V20" s="212"/>
      <x:c r="W20" s="212"/>
      <x:c r="X20" s="211" t="str">
        <x:f t="shared" si="1"/>
      </x:c>
      <x:c r="Y20" s="212"/>
      <x:c r="Z20" s="212"/>
      <x:c r="AA20" s="211" t="str">
        <x:f t="shared" si="2"/>
      </x:c>
      <x:c r="AB20" s="210"/>
      <x:c r="AC20" s="210"/>
      <x:c r="AD20" s="210"/>
      <x:c r="AE20" s="209"/>
    </x:row>
    <x:row r="21">
      <x:c r="A21" s="210"/>
      <x:c r="B21" s="215"/>
      <x:c r="C21" s="214"/>
      <x:c r="D21" s="210"/>
      <x:c r="E21" s="210"/>
      <x:c r="F21" s="210"/>
      <x:c r="G21" s="212"/>
      <x:c r="H21" s="212"/>
      <x:c r="I21" s="212"/>
      <x:c r="J21" s="212"/>
      <x:c r="K21" s="212"/>
      <x:c r="L21" s="212"/>
      <x:c r="M21" s="211" t="str">
        <x:f t="shared" si="0"/>
      </x:c>
      <x:c r="N21" s="212"/>
      <x:c r="O21" s="212"/>
      <x:c r="P21" s="212"/>
      <x:c r="Q21" s="212"/>
      <x:c r="R21" s="212"/>
      <x:c r="S21" s="213"/>
      <x:c r="T21" s="212"/>
      <x:c r="U21" s="212"/>
      <x:c r="V21" s="212"/>
      <x:c r="W21" s="212"/>
      <x:c r="X21" s="211" t="str">
        <x:f t="shared" si="1"/>
      </x:c>
      <x:c r="Y21" s="212"/>
      <x:c r="Z21" s="212"/>
      <x:c r="AA21" s="211" t="str">
        <x:f t="shared" si="2"/>
      </x:c>
      <x:c r="AB21" s="210"/>
      <x:c r="AC21" s="210"/>
      <x:c r="AD21" s="210"/>
      <x:c r="AE21" s="209"/>
    </x:row>
    <x:row r="22">
      <x:c r="A22" s="210"/>
      <x:c r="B22" s="215"/>
      <x:c r="C22" s="214"/>
      <x:c r="D22" s="210"/>
      <x:c r="E22" s="210"/>
      <x:c r="F22" s="210"/>
      <x:c r="G22" s="212"/>
      <x:c r="H22" s="212"/>
      <x:c r="I22" s="212"/>
      <x:c r="J22" s="212"/>
      <x:c r="K22" s="212"/>
      <x:c r="L22" s="212"/>
      <x:c r="M22" s="211" t="str">
        <x:f t="shared" si="0"/>
      </x:c>
      <x:c r="N22" s="212"/>
      <x:c r="O22" s="212"/>
      <x:c r="P22" s="212"/>
      <x:c r="Q22" s="212"/>
      <x:c r="R22" s="212"/>
      <x:c r="S22" s="213"/>
      <x:c r="T22" s="212"/>
      <x:c r="U22" s="212"/>
      <x:c r="V22" s="212"/>
      <x:c r="W22" s="212"/>
      <x:c r="X22" s="211" t="str">
        <x:f t="shared" si="1"/>
      </x:c>
      <x:c r="Y22" s="212"/>
      <x:c r="Z22" s="212"/>
      <x:c r="AA22" s="211" t="str">
        <x:f t="shared" si="2"/>
      </x:c>
      <x:c r="AB22" s="210"/>
      <x:c r="AC22" s="210"/>
      <x:c r="AD22" s="210"/>
      <x:c r="AE22" s="209"/>
    </x:row>
    <x:row r="23">
      <x:c r="A23" s="210"/>
      <x:c r="B23" s="215"/>
      <x:c r="C23" s="214"/>
      <x:c r="D23" s="210"/>
      <x:c r="E23" s="210"/>
      <x:c r="F23" s="210"/>
      <x:c r="G23" s="212"/>
      <x:c r="H23" s="212"/>
      <x:c r="I23" s="212"/>
      <x:c r="J23" s="212"/>
      <x:c r="K23" s="212"/>
      <x:c r="L23" s="212"/>
      <x:c r="M23" s="211" t="str">
        <x:f t="shared" si="0"/>
      </x:c>
      <x:c r="N23" s="212"/>
      <x:c r="O23" s="212"/>
      <x:c r="P23" s="212"/>
      <x:c r="Q23" s="212"/>
      <x:c r="R23" s="212"/>
      <x:c r="S23" s="213"/>
      <x:c r="T23" s="212"/>
      <x:c r="U23" s="212"/>
      <x:c r="V23" s="212"/>
      <x:c r="W23" s="212"/>
      <x:c r="X23" s="211" t="str">
        <x:f t="shared" si="1"/>
      </x:c>
      <x:c r="Y23" s="212"/>
      <x:c r="Z23" s="212"/>
      <x:c r="AA23" s="211" t="str">
        <x:f t="shared" si="2"/>
      </x:c>
      <x:c r="AB23" s="210"/>
      <x:c r="AC23" s="210"/>
      <x:c r="AD23" s="210"/>
      <x:c r="AE23" s="209"/>
    </x:row>
    <x:row r="24">
      <x:c r="A24" s="210"/>
      <x:c r="B24" s="215"/>
      <x:c r="C24" s="214"/>
      <x:c r="D24" s="210"/>
      <x:c r="E24" s="210"/>
      <x:c r="F24" s="210"/>
      <x:c r="G24" s="212"/>
      <x:c r="H24" s="212"/>
      <x:c r="I24" s="212"/>
      <x:c r="J24" s="212"/>
      <x:c r="K24" s="212"/>
      <x:c r="L24" s="212"/>
      <x:c r="M24" s="211" t="str">
        <x:f t="shared" si="0"/>
      </x:c>
      <x:c r="N24" s="212"/>
      <x:c r="O24" s="212"/>
      <x:c r="P24" s="212"/>
      <x:c r="Q24" s="212"/>
      <x:c r="R24" s="212"/>
      <x:c r="S24" s="213"/>
      <x:c r="T24" s="212"/>
      <x:c r="U24" s="212"/>
      <x:c r="V24" s="212"/>
      <x:c r="W24" s="212"/>
      <x:c r="X24" s="211" t="str">
        <x:f t="shared" si="1"/>
      </x:c>
      <x:c r="Y24" s="212"/>
      <x:c r="Z24" s="212"/>
      <x:c r="AA24" s="211" t="str">
        <x:f t="shared" si="2"/>
      </x:c>
      <x:c r="AB24" s="210"/>
      <x:c r="AC24" s="210"/>
      <x:c r="AD24" s="210"/>
      <x:c r="AE24" s="209"/>
    </x:row>
    <x:row r="25">
      <x:c r="A25" s="210"/>
      <x:c r="B25" s="215"/>
      <x:c r="C25" s="214"/>
      <x:c r="D25" s="210"/>
      <x:c r="E25" s="210"/>
      <x:c r="F25" s="210"/>
      <x:c r="G25" s="212"/>
      <x:c r="H25" s="212"/>
      <x:c r="I25" s="212"/>
      <x:c r="J25" s="212"/>
      <x:c r="K25" s="212"/>
      <x:c r="L25" s="212"/>
      <x:c r="M25" s="211" t="str">
        <x:f t="shared" si="0"/>
      </x:c>
      <x:c r="N25" s="212"/>
      <x:c r="O25" s="212"/>
      <x:c r="P25" s="212"/>
      <x:c r="Q25" s="212"/>
      <x:c r="R25" s="212"/>
      <x:c r="S25" s="213"/>
      <x:c r="T25" s="212"/>
      <x:c r="U25" s="212"/>
      <x:c r="V25" s="212"/>
      <x:c r="W25" s="212"/>
      <x:c r="X25" s="211" t="str">
        <x:f t="shared" si="1"/>
      </x:c>
      <x:c r="Y25" s="212"/>
      <x:c r="Z25" s="212"/>
      <x:c r="AA25" s="211" t="str">
        <x:f t="shared" si="2"/>
      </x:c>
      <x:c r="AB25" s="210"/>
      <x:c r="AC25" s="210"/>
      <x:c r="AD25" s="210"/>
      <x:c r="AE25" s="209"/>
    </x:row>
    <x:row r="26">
      <x:c r="A26" s="210"/>
      <x:c r="B26" s="215"/>
      <x:c r="C26" s="214"/>
      <x:c r="D26" s="210"/>
      <x:c r="E26" s="210"/>
      <x:c r="F26" s="210"/>
      <x:c r="G26" s="212"/>
      <x:c r="H26" s="212"/>
      <x:c r="I26" s="212"/>
      <x:c r="J26" s="212"/>
      <x:c r="K26" s="212"/>
      <x:c r="L26" s="212"/>
      <x:c r="M26" s="211" t="str">
        <x:f t="shared" si="0"/>
      </x:c>
      <x:c r="N26" s="212"/>
      <x:c r="O26" s="212"/>
      <x:c r="P26" s="212"/>
      <x:c r="Q26" s="212"/>
      <x:c r="R26" s="212"/>
      <x:c r="S26" s="213"/>
      <x:c r="T26" s="212"/>
      <x:c r="U26" s="212"/>
      <x:c r="V26" s="212"/>
      <x:c r="W26" s="212"/>
      <x:c r="X26" s="211" t="str">
        <x:f t="shared" si="1"/>
      </x:c>
      <x:c r="Y26" s="212"/>
      <x:c r="Z26" s="212"/>
      <x:c r="AA26" s="211" t="str">
        <x:f t="shared" si="2"/>
      </x:c>
      <x:c r="AB26" s="210"/>
      <x:c r="AC26" s="210"/>
      <x:c r="AD26" s="210"/>
      <x:c r="AE26" s="209"/>
    </x:row>
    <x:row r="27">
      <x:c r="A27" s="210"/>
      <x:c r="B27" s="215"/>
      <x:c r="C27" s="214"/>
      <x:c r="D27" s="210"/>
      <x:c r="E27" s="210"/>
      <x:c r="F27" s="210"/>
      <x:c r="G27" s="212"/>
      <x:c r="H27" s="212"/>
      <x:c r="I27" s="212"/>
      <x:c r="J27" s="212"/>
      <x:c r="K27" s="212"/>
      <x:c r="L27" s="212"/>
      <x:c r="M27" s="211" t="str">
        <x:f t="shared" si="0"/>
      </x:c>
      <x:c r="N27" s="212"/>
      <x:c r="O27" s="212"/>
      <x:c r="P27" s="212"/>
      <x:c r="Q27" s="212"/>
      <x:c r="R27" s="212"/>
      <x:c r="S27" s="213"/>
      <x:c r="T27" s="212"/>
      <x:c r="U27" s="212"/>
      <x:c r="V27" s="212"/>
      <x:c r="W27" s="212"/>
      <x:c r="X27" s="211" t="str">
        <x:f t="shared" si="1"/>
      </x:c>
      <x:c r="Y27" s="212"/>
      <x:c r="Z27" s="212"/>
      <x:c r="AA27" s="211" t="str">
        <x:f t="shared" si="2"/>
      </x:c>
      <x:c r="AB27" s="210"/>
      <x:c r="AC27" s="210"/>
      <x:c r="AD27" s="210"/>
      <x:c r="AE27" s="209"/>
    </x:row>
    <x:row r="28">
      <x:c r="A28" s="210"/>
      <x:c r="B28" s="215"/>
      <x:c r="C28" s="214"/>
      <x:c r="D28" s="210"/>
      <x:c r="E28" s="210"/>
      <x:c r="F28" s="210"/>
      <x:c r="G28" s="212"/>
      <x:c r="H28" s="212"/>
      <x:c r="I28" s="212"/>
      <x:c r="J28" s="212"/>
      <x:c r="K28" s="212"/>
      <x:c r="L28" s="212"/>
      <x:c r="M28" s="211" t="str">
        <x:f t="shared" si="0"/>
      </x:c>
      <x:c r="N28" s="212"/>
      <x:c r="O28" s="212"/>
      <x:c r="P28" s="212"/>
      <x:c r="Q28" s="212"/>
      <x:c r="R28" s="212"/>
      <x:c r="S28" s="213"/>
      <x:c r="T28" s="212"/>
      <x:c r="U28" s="212"/>
      <x:c r="V28" s="212"/>
      <x:c r="W28" s="212"/>
      <x:c r="X28" s="211" t="str">
        <x:f t="shared" si="1"/>
      </x:c>
      <x:c r="Y28" s="212"/>
      <x:c r="Z28" s="212"/>
      <x:c r="AA28" s="211" t="str">
        <x:f t="shared" si="2"/>
      </x:c>
      <x:c r="AB28" s="210"/>
      <x:c r="AC28" s="210"/>
      <x:c r="AD28" s="210"/>
      <x:c r="AE28" s="209"/>
    </x:row>
    <x:row r="29">
      <x:c r="A29" s="210"/>
      <x:c r="B29" s="215"/>
      <x:c r="C29" s="214"/>
      <x:c r="D29" s="210"/>
      <x:c r="E29" s="210"/>
      <x:c r="F29" s="210"/>
      <x:c r="G29" s="212"/>
      <x:c r="H29" s="212"/>
      <x:c r="I29" s="212"/>
      <x:c r="J29" s="212"/>
      <x:c r="K29" s="212"/>
      <x:c r="L29" s="212"/>
      <x:c r="M29" s="211" t="str">
        <x:f t="shared" si="0"/>
      </x:c>
      <x:c r="N29" s="212"/>
      <x:c r="O29" s="212"/>
      <x:c r="P29" s="212"/>
      <x:c r="Q29" s="212"/>
      <x:c r="R29" s="212"/>
      <x:c r="S29" s="213"/>
      <x:c r="T29" s="212"/>
      <x:c r="U29" s="212"/>
      <x:c r="V29" s="212"/>
      <x:c r="W29" s="212"/>
      <x:c r="X29" s="211" t="str">
        <x:f t="shared" si="1"/>
      </x:c>
      <x:c r="Y29" s="212"/>
      <x:c r="Z29" s="212"/>
      <x:c r="AA29" s="211" t="str">
        <x:f t="shared" si="2"/>
      </x:c>
      <x:c r="AB29" s="210"/>
      <x:c r="AC29" s="210"/>
      <x:c r="AD29" s="210"/>
      <x:c r="AE29" s="209"/>
    </x:row>
    <x:row r="30">
      <x:c r="A30" s="210"/>
      <x:c r="B30" s="215"/>
      <x:c r="C30" s="214"/>
      <x:c r="D30" s="210"/>
      <x:c r="E30" s="210"/>
      <x:c r="F30" s="210"/>
      <x:c r="G30" s="212"/>
      <x:c r="H30" s="212"/>
      <x:c r="I30" s="212"/>
      <x:c r="J30" s="212"/>
      <x:c r="K30" s="212"/>
      <x:c r="L30" s="212"/>
      <x:c r="M30" s="211" t="str">
        <x:f t="shared" si="0"/>
      </x:c>
      <x:c r="N30" s="212"/>
      <x:c r="O30" s="212"/>
      <x:c r="P30" s="212"/>
      <x:c r="Q30" s="212"/>
      <x:c r="R30" s="212"/>
      <x:c r="S30" s="213"/>
      <x:c r="T30" s="212"/>
      <x:c r="U30" s="212"/>
      <x:c r="V30" s="212"/>
      <x:c r="W30" s="212"/>
      <x:c r="X30" s="211" t="str">
        <x:f t="shared" si="1"/>
      </x:c>
      <x:c r="Y30" s="212"/>
      <x:c r="Z30" s="212"/>
      <x:c r="AA30" s="211" t="str">
        <x:f t="shared" si="2"/>
      </x:c>
      <x:c r="AB30" s="210"/>
      <x:c r="AC30" s="210"/>
      <x:c r="AD30" s="210"/>
      <x:c r="AE30" s="209"/>
    </x:row>
    <x:row r="31">
      <x:c r="A31" s="210"/>
      <x:c r="B31" s="215"/>
      <x:c r="C31" s="214"/>
      <x:c r="D31" s="210"/>
      <x:c r="E31" s="210"/>
      <x:c r="F31" s="210"/>
      <x:c r="G31" s="212"/>
      <x:c r="H31" s="212"/>
      <x:c r="I31" s="212"/>
      <x:c r="J31" s="212"/>
      <x:c r="K31" s="212"/>
      <x:c r="L31" s="212"/>
      <x:c r="M31" s="211" t="str">
        <x:f t="shared" si="0"/>
      </x:c>
      <x:c r="N31" s="212"/>
      <x:c r="O31" s="212"/>
      <x:c r="P31" s="212"/>
      <x:c r="Q31" s="212"/>
      <x:c r="R31" s="212"/>
      <x:c r="S31" s="213"/>
      <x:c r="T31" s="212"/>
      <x:c r="U31" s="212"/>
      <x:c r="V31" s="212"/>
      <x:c r="W31" s="212"/>
      <x:c r="X31" s="211" t="str">
        <x:f t="shared" si="1"/>
      </x:c>
      <x:c r="Y31" s="212"/>
      <x:c r="Z31" s="212"/>
      <x:c r="AA31" s="211" t="str">
        <x:f t="shared" si="2"/>
      </x:c>
      <x:c r="AB31" s="210"/>
      <x:c r="AC31" s="210"/>
      <x:c r="AD31" s="210"/>
      <x:c r="AE31" s="209"/>
    </x:row>
    <x:row r="32">
      <x:c r="A32" s="210"/>
      <x:c r="B32" s="215"/>
      <x:c r="C32" s="214"/>
      <x:c r="D32" s="210"/>
      <x:c r="E32" s="210"/>
      <x:c r="F32" s="210"/>
      <x:c r="G32" s="212"/>
      <x:c r="H32" s="212"/>
      <x:c r="I32" s="212"/>
      <x:c r="J32" s="212"/>
      <x:c r="K32" s="212"/>
      <x:c r="L32" s="212"/>
      <x:c r="M32" s="211" t="str">
        <x:f t="shared" si="0"/>
      </x:c>
      <x:c r="N32" s="212"/>
      <x:c r="O32" s="212"/>
      <x:c r="P32" s="212"/>
      <x:c r="Q32" s="212"/>
      <x:c r="R32" s="212"/>
      <x:c r="S32" s="213"/>
      <x:c r="T32" s="212"/>
      <x:c r="U32" s="212"/>
      <x:c r="V32" s="212"/>
      <x:c r="W32" s="212"/>
      <x:c r="X32" s="211" t="str">
        <x:f t="shared" si="1"/>
      </x:c>
      <x:c r="Y32" s="212"/>
      <x:c r="Z32" s="212"/>
      <x:c r="AA32" s="211" t="str">
        <x:f t="shared" si="2"/>
      </x:c>
      <x:c r="AB32" s="210"/>
      <x:c r="AC32" s="210"/>
      <x:c r="AD32" s="210"/>
      <x:c r="AE32" s="209"/>
    </x:row>
    <x:row r="33">
      <x:c r="A33" s="210"/>
      <x:c r="B33" s="215"/>
      <x:c r="C33" s="214"/>
      <x:c r="D33" s="210"/>
      <x:c r="E33" s="210"/>
      <x:c r="F33" s="210"/>
      <x:c r="G33" s="212"/>
      <x:c r="H33" s="212"/>
      <x:c r="I33" s="212"/>
      <x:c r="J33" s="212"/>
      <x:c r="K33" s="212"/>
      <x:c r="L33" s="212"/>
      <x:c r="M33" s="211" t="str">
        <x:f t="shared" si="0"/>
      </x:c>
      <x:c r="N33" s="212"/>
      <x:c r="O33" s="212"/>
      <x:c r="P33" s="212"/>
      <x:c r="Q33" s="212"/>
      <x:c r="R33" s="212"/>
      <x:c r="S33" s="213"/>
      <x:c r="T33" s="212"/>
      <x:c r="U33" s="212"/>
      <x:c r="V33" s="212"/>
      <x:c r="W33" s="212"/>
      <x:c r="X33" s="211" t="str">
        <x:f t="shared" si="1"/>
      </x:c>
      <x:c r="Y33" s="212"/>
      <x:c r="Z33" s="212"/>
      <x:c r="AA33" s="211" t="str">
        <x:f t="shared" si="2"/>
      </x:c>
      <x:c r="AB33" s="210"/>
      <x:c r="AC33" s="210"/>
      <x:c r="AD33" s="210"/>
      <x:c r="AE33" s="209"/>
    </x:row>
    <x:row r="34">
      <x:c r="A34" s="210"/>
      <x:c r="B34" s="215"/>
      <x:c r="C34" s="214"/>
      <x:c r="D34" s="210"/>
      <x:c r="E34" s="210"/>
      <x:c r="F34" s="210"/>
      <x:c r="G34" s="212"/>
      <x:c r="H34" s="212"/>
      <x:c r="I34" s="212"/>
      <x:c r="J34" s="212"/>
      <x:c r="K34" s="212"/>
      <x:c r="L34" s="212"/>
      <x:c r="M34" s="211" t="str">
        <x:f t="shared" si="0"/>
      </x:c>
      <x:c r="N34" s="212"/>
      <x:c r="O34" s="212"/>
      <x:c r="P34" s="212"/>
      <x:c r="Q34" s="212"/>
      <x:c r="R34" s="212"/>
      <x:c r="S34" s="213"/>
      <x:c r="T34" s="212"/>
      <x:c r="U34" s="212"/>
      <x:c r="V34" s="212"/>
      <x:c r="W34" s="212"/>
      <x:c r="X34" s="211" t="str">
        <x:f t="shared" si="1"/>
      </x:c>
      <x:c r="Y34" s="212"/>
      <x:c r="Z34" s="212"/>
      <x:c r="AA34" s="211" t="str">
        <x:f t="shared" si="2"/>
      </x:c>
      <x:c r="AB34" s="210"/>
      <x:c r="AC34" s="210"/>
      <x:c r="AD34" s="210"/>
      <x:c r="AE34" s="209"/>
    </x:row>
    <x:row r="35">
      <x:c r="A35" s="210"/>
      <x:c r="B35" s="215"/>
      <x:c r="C35" s="214"/>
      <x:c r="D35" s="210"/>
      <x:c r="E35" s="210"/>
      <x:c r="F35" s="210"/>
      <x:c r="G35" s="212"/>
      <x:c r="H35" s="212"/>
      <x:c r="I35" s="212"/>
      <x:c r="J35" s="212"/>
      <x:c r="K35" s="212"/>
      <x:c r="L35" s="212"/>
      <x:c r="M35" s="211" t="str">
        <x:f t="shared" si="0"/>
      </x:c>
      <x:c r="N35" s="212"/>
      <x:c r="O35" s="212"/>
      <x:c r="P35" s="212"/>
      <x:c r="Q35" s="212"/>
      <x:c r="R35" s="212"/>
      <x:c r="S35" s="213"/>
      <x:c r="T35" s="212"/>
      <x:c r="U35" s="212"/>
      <x:c r="V35" s="212"/>
      <x:c r="W35" s="212"/>
      <x:c r="X35" s="211" t="str">
        <x:f t="shared" si="1"/>
      </x:c>
      <x:c r="Y35" s="212"/>
      <x:c r="Z35" s="212"/>
      <x:c r="AA35" s="211" t="str">
        <x:f t="shared" si="2"/>
      </x:c>
      <x:c r="AB35" s="210"/>
      <x:c r="AC35" s="210"/>
      <x:c r="AD35" s="210"/>
      <x:c r="AE35" s="209"/>
    </x:row>
    <x:row r="36">
      <x:c r="A36" s="210"/>
      <x:c r="B36" s="215"/>
      <x:c r="C36" s="214"/>
      <x:c r="D36" s="210"/>
      <x:c r="E36" s="210"/>
      <x:c r="F36" s="210"/>
      <x:c r="G36" s="212"/>
      <x:c r="H36" s="212"/>
      <x:c r="I36" s="212"/>
      <x:c r="J36" s="212"/>
      <x:c r="K36" s="212"/>
      <x:c r="L36" s="212"/>
      <x:c r="M36" s="211" t="str">
        <x:f t="shared" si="0"/>
      </x:c>
      <x:c r="N36" s="212"/>
      <x:c r="O36" s="212"/>
      <x:c r="P36" s="212"/>
      <x:c r="Q36" s="212"/>
      <x:c r="R36" s="212"/>
      <x:c r="S36" s="213"/>
      <x:c r="T36" s="212"/>
      <x:c r="U36" s="212"/>
      <x:c r="V36" s="212"/>
      <x:c r="W36" s="212"/>
      <x:c r="X36" s="211" t="str">
        <x:f t="shared" si="1"/>
      </x:c>
      <x:c r="Y36" s="212"/>
      <x:c r="Z36" s="212"/>
      <x:c r="AA36" s="211" t="str">
        <x:f t="shared" si="2"/>
      </x:c>
      <x:c r="AB36" s="210"/>
      <x:c r="AC36" s="210"/>
      <x:c r="AD36" s="210"/>
      <x:c r="AE36" s="209"/>
    </x:row>
    <x:row r="37">
      <x:c r="A37" s="210"/>
      <x:c r="B37" s="215"/>
      <x:c r="C37" s="214"/>
      <x:c r="D37" s="210"/>
      <x:c r="E37" s="210"/>
      <x:c r="F37" s="210"/>
      <x:c r="G37" s="212"/>
      <x:c r="H37" s="212"/>
      <x:c r="I37" s="212"/>
      <x:c r="J37" s="212"/>
      <x:c r="K37" s="212"/>
      <x:c r="L37" s="212"/>
      <x:c r="M37" s="211" t="str">
        <x:f t="shared" si="0"/>
      </x:c>
      <x:c r="N37" s="212"/>
      <x:c r="O37" s="212"/>
      <x:c r="P37" s="212"/>
      <x:c r="Q37" s="212"/>
      <x:c r="R37" s="212"/>
      <x:c r="S37" s="213"/>
      <x:c r="T37" s="212"/>
      <x:c r="U37" s="212"/>
      <x:c r="V37" s="212"/>
      <x:c r="W37" s="212"/>
      <x:c r="X37" s="211" t="str">
        <x:f t="shared" si="1"/>
      </x:c>
      <x:c r="Y37" s="212"/>
      <x:c r="Z37" s="212"/>
      <x:c r="AA37" s="211" t="str">
        <x:f t="shared" si="2"/>
      </x:c>
      <x:c r="AB37" s="210"/>
      <x:c r="AC37" s="210"/>
      <x:c r="AD37" s="210"/>
      <x:c r="AE37" s="209"/>
    </x:row>
    <x:row r="38">
      <x:c r="A38" s="210"/>
      <x:c r="B38" s="215"/>
      <x:c r="C38" s="214"/>
      <x:c r="D38" s="210"/>
      <x:c r="E38" s="210"/>
      <x:c r="F38" s="210"/>
      <x:c r="G38" s="212"/>
      <x:c r="H38" s="212"/>
      <x:c r="I38" s="212"/>
      <x:c r="J38" s="212"/>
      <x:c r="K38" s="212"/>
      <x:c r="L38" s="212"/>
      <x:c r="M38" s="211" t="str">
        <x:f t="shared" ref="M38:M69" si="3">IF(OR($A38="",$G38=0),"",$K38/$G38)</x:f>
      </x:c>
      <x:c r="N38" s="212"/>
      <x:c r="O38" s="212"/>
      <x:c r="P38" s="212"/>
      <x:c r="Q38" s="212"/>
      <x:c r="R38" s="212"/>
      <x:c r="S38" s="213"/>
      <x:c r="T38" s="212"/>
      <x:c r="U38" s="212"/>
      <x:c r="V38" s="212"/>
      <x:c r="W38" s="212"/>
      <x:c r="X38" s="211" t="str">
        <x:f t="shared" ref="X38:X69" si="4">IF(OR($A38="",$T38=0),"",$U38/$T38)</x:f>
      </x:c>
      <x:c r="Y38" s="212"/>
      <x:c r="Z38" s="212"/>
      <x:c r="AA38" s="211" t="str">
        <x:f t="shared" ref="AA38:AA69" si="5">IF(OR($A38="",$Y38=0),"",$Z38/$Y38)</x:f>
      </x:c>
      <x:c r="AB38" s="210"/>
      <x:c r="AC38" s="210"/>
      <x:c r="AD38" s="210"/>
      <x:c r="AE38" s="209"/>
    </x:row>
    <x:row r="39">
      <x:c r="A39" s="210"/>
      <x:c r="B39" s="215"/>
      <x:c r="C39" s="214"/>
      <x:c r="D39" s="210"/>
      <x:c r="E39" s="210"/>
      <x:c r="F39" s="210"/>
      <x:c r="G39" s="212"/>
      <x:c r="H39" s="212"/>
      <x:c r="I39" s="212"/>
      <x:c r="J39" s="212"/>
      <x:c r="K39" s="212"/>
      <x:c r="L39" s="212"/>
      <x:c r="M39" s="211" t="str">
        <x:f t="shared" si="3"/>
      </x:c>
      <x:c r="N39" s="212"/>
      <x:c r="O39" s="212"/>
      <x:c r="P39" s="212"/>
      <x:c r="Q39" s="212"/>
      <x:c r="R39" s="212"/>
      <x:c r="S39" s="213"/>
      <x:c r="T39" s="212"/>
      <x:c r="U39" s="212"/>
      <x:c r="V39" s="212"/>
      <x:c r="W39" s="212"/>
      <x:c r="X39" s="211" t="str">
        <x:f t="shared" si="4"/>
      </x:c>
      <x:c r="Y39" s="212"/>
      <x:c r="Z39" s="212"/>
      <x:c r="AA39" s="211" t="str">
        <x:f t="shared" si="5"/>
      </x:c>
      <x:c r="AB39" s="210"/>
      <x:c r="AC39" s="210"/>
      <x:c r="AD39" s="210"/>
      <x:c r="AE39" s="209"/>
    </x:row>
    <x:row r="40">
      <x:c r="A40" s="210"/>
      <x:c r="B40" s="215"/>
      <x:c r="C40" s="214"/>
      <x:c r="D40" s="210"/>
      <x:c r="E40" s="210"/>
      <x:c r="F40" s="210"/>
      <x:c r="G40" s="212"/>
      <x:c r="H40" s="212"/>
      <x:c r="I40" s="212"/>
      <x:c r="J40" s="212"/>
      <x:c r="K40" s="212"/>
      <x:c r="L40" s="212"/>
      <x:c r="M40" s="211" t="str">
        <x:f t="shared" si="3"/>
      </x:c>
      <x:c r="N40" s="212"/>
      <x:c r="O40" s="212"/>
      <x:c r="P40" s="212"/>
      <x:c r="Q40" s="212"/>
      <x:c r="R40" s="212"/>
      <x:c r="S40" s="213"/>
      <x:c r="T40" s="212"/>
      <x:c r="U40" s="212"/>
      <x:c r="V40" s="212"/>
      <x:c r="W40" s="212"/>
      <x:c r="X40" s="211" t="str">
        <x:f t="shared" si="4"/>
      </x:c>
      <x:c r="Y40" s="212"/>
      <x:c r="Z40" s="212"/>
      <x:c r="AA40" s="211" t="str">
        <x:f t="shared" si="5"/>
      </x:c>
      <x:c r="AB40" s="210"/>
      <x:c r="AC40" s="210"/>
      <x:c r="AD40" s="210"/>
      <x:c r="AE40" s="209"/>
    </x:row>
    <x:row r="41">
      <x:c r="A41" s="210"/>
      <x:c r="B41" s="215"/>
      <x:c r="C41" s="214"/>
      <x:c r="D41" s="210"/>
      <x:c r="E41" s="210"/>
      <x:c r="F41" s="210"/>
      <x:c r="G41" s="212"/>
      <x:c r="H41" s="212"/>
      <x:c r="I41" s="212"/>
      <x:c r="J41" s="212"/>
      <x:c r="K41" s="212"/>
      <x:c r="L41" s="212"/>
      <x:c r="M41" s="211" t="str">
        <x:f t="shared" si="3"/>
      </x:c>
      <x:c r="N41" s="212"/>
      <x:c r="O41" s="212"/>
      <x:c r="P41" s="212"/>
      <x:c r="Q41" s="212"/>
      <x:c r="R41" s="212"/>
      <x:c r="S41" s="213"/>
      <x:c r="T41" s="212"/>
      <x:c r="U41" s="212"/>
      <x:c r="V41" s="212"/>
      <x:c r="W41" s="212"/>
      <x:c r="X41" s="211" t="str">
        <x:f t="shared" si="4"/>
      </x:c>
      <x:c r="Y41" s="212"/>
      <x:c r="Z41" s="212"/>
      <x:c r="AA41" s="211" t="str">
        <x:f t="shared" si="5"/>
      </x:c>
      <x:c r="AB41" s="210"/>
      <x:c r="AC41" s="210"/>
      <x:c r="AD41" s="210"/>
      <x:c r="AE41" s="209"/>
    </x:row>
    <x:row r="42">
      <x:c r="A42" s="210"/>
      <x:c r="B42" s="215"/>
      <x:c r="C42" s="214"/>
      <x:c r="D42" s="210"/>
      <x:c r="E42" s="210"/>
      <x:c r="F42" s="210"/>
      <x:c r="G42" s="212"/>
      <x:c r="H42" s="212"/>
      <x:c r="I42" s="212"/>
      <x:c r="J42" s="212"/>
      <x:c r="K42" s="212"/>
      <x:c r="L42" s="212"/>
      <x:c r="M42" s="211" t="str">
        <x:f t="shared" si="3"/>
      </x:c>
      <x:c r="N42" s="212"/>
      <x:c r="O42" s="212"/>
      <x:c r="P42" s="212"/>
      <x:c r="Q42" s="212"/>
      <x:c r="R42" s="212"/>
      <x:c r="S42" s="213"/>
      <x:c r="T42" s="212"/>
      <x:c r="U42" s="212"/>
      <x:c r="V42" s="212"/>
      <x:c r="W42" s="212"/>
      <x:c r="X42" s="211" t="str">
        <x:f t="shared" si="4"/>
      </x:c>
      <x:c r="Y42" s="212"/>
      <x:c r="Z42" s="212"/>
      <x:c r="AA42" s="211" t="str">
        <x:f t="shared" si="5"/>
      </x:c>
      <x:c r="AB42" s="210"/>
      <x:c r="AC42" s="210"/>
      <x:c r="AD42" s="210"/>
      <x:c r="AE42" s="209"/>
    </x:row>
    <x:row r="43">
      <x:c r="A43" s="210"/>
      <x:c r="B43" s="215"/>
      <x:c r="C43" s="214"/>
      <x:c r="D43" s="210"/>
      <x:c r="E43" s="210"/>
      <x:c r="F43" s="210"/>
      <x:c r="G43" s="212"/>
      <x:c r="H43" s="212"/>
      <x:c r="I43" s="212"/>
      <x:c r="J43" s="212"/>
      <x:c r="K43" s="212"/>
      <x:c r="L43" s="212"/>
      <x:c r="M43" s="211" t="str">
        <x:f t="shared" si="3"/>
      </x:c>
      <x:c r="N43" s="212"/>
      <x:c r="O43" s="212"/>
      <x:c r="P43" s="212"/>
      <x:c r="Q43" s="212"/>
      <x:c r="R43" s="212"/>
      <x:c r="S43" s="213"/>
      <x:c r="T43" s="212"/>
      <x:c r="U43" s="212"/>
      <x:c r="V43" s="212"/>
      <x:c r="W43" s="212"/>
      <x:c r="X43" s="211" t="str">
        <x:f t="shared" si="4"/>
      </x:c>
      <x:c r="Y43" s="212"/>
      <x:c r="Z43" s="212"/>
      <x:c r="AA43" s="211" t="str">
        <x:f t="shared" si="5"/>
      </x:c>
      <x:c r="AB43" s="210"/>
      <x:c r="AC43" s="210"/>
      <x:c r="AD43" s="210"/>
      <x:c r="AE43" s="209"/>
    </x:row>
    <x:row r="44">
      <x:c r="A44" s="210"/>
      <x:c r="B44" s="215"/>
      <x:c r="C44" s="214"/>
      <x:c r="D44" s="210"/>
      <x:c r="E44" s="210"/>
      <x:c r="F44" s="210"/>
      <x:c r="G44" s="212"/>
      <x:c r="H44" s="212"/>
      <x:c r="I44" s="212"/>
      <x:c r="J44" s="212"/>
      <x:c r="K44" s="212"/>
      <x:c r="L44" s="212"/>
      <x:c r="M44" s="211" t="str">
        <x:f t="shared" si="3"/>
      </x:c>
      <x:c r="N44" s="212"/>
      <x:c r="O44" s="212"/>
      <x:c r="P44" s="212"/>
      <x:c r="Q44" s="212"/>
      <x:c r="R44" s="212"/>
      <x:c r="S44" s="213"/>
      <x:c r="T44" s="212"/>
      <x:c r="U44" s="212"/>
      <x:c r="V44" s="212"/>
      <x:c r="W44" s="212"/>
      <x:c r="X44" s="211" t="str">
        <x:f t="shared" si="4"/>
      </x:c>
      <x:c r="Y44" s="212"/>
      <x:c r="Z44" s="212"/>
      <x:c r="AA44" s="211" t="str">
        <x:f t="shared" si="5"/>
      </x:c>
      <x:c r="AB44" s="210"/>
      <x:c r="AC44" s="210"/>
      <x:c r="AD44" s="210"/>
      <x:c r="AE44" s="209"/>
    </x:row>
    <x:row r="45">
      <x:c r="A45" s="210"/>
      <x:c r="B45" s="215"/>
      <x:c r="C45" s="214"/>
      <x:c r="D45" s="210"/>
      <x:c r="E45" s="210"/>
      <x:c r="F45" s="210"/>
      <x:c r="G45" s="212"/>
      <x:c r="H45" s="212"/>
      <x:c r="I45" s="212"/>
      <x:c r="J45" s="212"/>
      <x:c r="K45" s="212"/>
      <x:c r="L45" s="212"/>
      <x:c r="M45" s="211" t="str">
        <x:f t="shared" si="3"/>
      </x:c>
      <x:c r="N45" s="212"/>
      <x:c r="O45" s="212"/>
      <x:c r="P45" s="212"/>
      <x:c r="Q45" s="212"/>
      <x:c r="R45" s="212"/>
      <x:c r="S45" s="213"/>
      <x:c r="T45" s="212"/>
      <x:c r="U45" s="212"/>
      <x:c r="V45" s="212"/>
      <x:c r="W45" s="212"/>
      <x:c r="X45" s="211" t="str">
        <x:f t="shared" si="4"/>
      </x:c>
      <x:c r="Y45" s="212"/>
      <x:c r="Z45" s="212"/>
      <x:c r="AA45" s="211" t="str">
        <x:f t="shared" si="5"/>
      </x:c>
      <x:c r="AB45" s="210"/>
      <x:c r="AC45" s="210"/>
      <x:c r="AD45" s="210"/>
      <x:c r="AE45" s="209"/>
    </x:row>
    <x:row r="46">
      <x:c r="A46" s="210"/>
      <x:c r="B46" s="215"/>
      <x:c r="C46" s="214"/>
      <x:c r="D46" s="210"/>
      <x:c r="E46" s="210"/>
      <x:c r="F46" s="210"/>
      <x:c r="G46" s="212"/>
      <x:c r="H46" s="212"/>
      <x:c r="I46" s="212"/>
      <x:c r="J46" s="212"/>
      <x:c r="K46" s="212"/>
      <x:c r="L46" s="212"/>
      <x:c r="M46" s="211" t="str">
        <x:f t="shared" si="3"/>
      </x:c>
      <x:c r="N46" s="212"/>
      <x:c r="O46" s="212"/>
      <x:c r="P46" s="212"/>
      <x:c r="Q46" s="212"/>
      <x:c r="R46" s="212"/>
      <x:c r="S46" s="213"/>
      <x:c r="T46" s="212"/>
      <x:c r="U46" s="212"/>
      <x:c r="V46" s="212"/>
      <x:c r="W46" s="212"/>
      <x:c r="X46" s="211" t="str">
        <x:f t="shared" si="4"/>
      </x:c>
      <x:c r="Y46" s="212"/>
      <x:c r="Z46" s="212"/>
      <x:c r="AA46" s="211" t="str">
        <x:f t="shared" si="5"/>
      </x:c>
      <x:c r="AB46" s="210"/>
      <x:c r="AC46" s="210"/>
      <x:c r="AD46" s="210"/>
      <x:c r="AE46" s="209"/>
    </x:row>
    <x:row r="47">
      <x:c r="A47" s="210"/>
      <x:c r="B47" s="215"/>
      <x:c r="C47" s="214"/>
      <x:c r="D47" s="210"/>
      <x:c r="E47" s="210"/>
      <x:c r="F47" s="210"/>
      <x:c r="G47" s="212"/>
      <x:c r="H47" s="212"/>
      <x:c r="I47" s="212"/>
      <x:c r="J47" s="212"/>
      <x:c r="K47" s="212"/>
      <x:c r="L47" s="212"/>
      <x:c r="M47" s="211" t="str">
        <x:f t="shared" si="3"/>
      </x:c>
      <x:c r="N47" s="212"/>
      <x:c r="O47" s="212"/>
      <x:c r="P47" s="212"/>
      <x:c r="Q47" s="212"/>
      <x:c r="R47" s="212"/>
      <x:c r="S47" s="213"/>
      <x:c r="T47" s="212"/>
      <x:c r="U47" s="212"/>
      <x:c r="V47" s="212"/>
      <x:c r="W47" s="212"/>
      <x:c r="X47" s="211" t="str">
        <x:f t="shared" si="4"/>
      </x:c>
      <x:c r="Y47" s="212"/>
      <x:c r="Z47" s="212"/>
      <x:c r="AA47" s="211" t="str">
        <x:f t="shared" si="5"/>
      </x:c>
      <x:c r="AB47" s="210"/>
      <x:c r="AC47" s="210"/>
      <x:c r="AD47" s="210"/>
      <x:c r="AE47" s="209"/>
    </x:row>
    <x:row r="48">
      <x:c r="A48" s="210"/>
      <x:c r="B48" s="215"/>
      <x:c r="C48" s="214"/>
      <x:c r="D48" s="210"/>
      <x:c r="E48" s="210"/>
      <x:c r="F48" s="210"/>
      <x:c r="G48" s="212"/>
      <x:c r="H48" s="212"/>
      <x:c r="I48" s="212"/>
      <x:c r="J48" s="212"/>
      <x:c r="K48" s="212"/>
      <x:c r="L48" s="212"/>
      <x:c r="M48" s="211" t="str">
        <x:f t="shared" si="3"/>
      </x:c>
      <x:c r="N48" s="212"/>
      <x:c r="O48" s="212"/>
      <x:c r="P48" s="212"/>
      <x:c r="Q48" s="212"/>
      <x:c r="R48" s="212"/>
      <x:c r="S48" s="213"/>
      <x:c r="T48" s="212"/>
      <x:c r="U48" s="212"/>
      <x:c r="V48" s="212"/>
      <x:c r="W48" s="212"/>
      <x:c r="X48" s="211" t="str">
        <x:f t="shared" si="4"/>
      </x:c>
      <x:c r="Y48" s="212"/>
      <x:c r="Z48" s="212"/>
      <x:c r="AA48" s="211" t="str">
        <x:f t="shared" si="5"/>
      </x:c>
      <x:c r="AB48" s="210"/>
      <x:c r="AC48" s="210"/>
      <x:c r="AD48" s="210"/>
      <x:c r="AE48" s="209"/>
    </x:row>
    <x:row r="49">
      <x:c r="A49" s="210"/>
      <x:c r="B49" s="215"/>
      <x:c r="C49" s="214"/>
      <x:c r="D49" s="210"/>
      <x:c r="E49" s="210"/>
      <x:c r="F49" s="210"/>
      <x:c r="G49" s="212"/>
      <x:c r="H49" s="212"/>
      <x:c r="I49" s="212"/>
      <x:c r="J49" s="212"/>
      <x:c r="K49" s="212"/>
      <x:c r="L49" s="212"/>
      <x:c r="M49" s="211" t="str">
        <x:f t="shared" si="3"/>
      </x:c>
      <x:c r="N49" s="212"/>
      <x:c r="O49" s="212"/>
      <x:c r="P49" s="212"/>
      <x:c r="Q49" s="212"/>
      <x:c r="R49" s="212"/>
      <x:c r="S49" s="213"/>
      <x:c r="T49" s="212"/>
      <x:c r="U49" s="212"/>
      <x:c r="V49" s="212"/>
      <x:c r="W49" s="212"/>
      <x:c r="X49" s="211" t="str">
        <x:f t="shared" si="4"/>
      </x:c>
      <x:c r="Y49" s="212"/>
      <x:c r="Z49" s="212"/>
      <x:c r="AA49" s="211" t="str">
        <x:f t="shared" si="5"/>
      </x:c>
      <x:c r="AB49" s="210"/>
      <x:c r="AC49" s="210"/>
      <x:c r="AD49" s="210"/>
      <x:c r="AE49" s="209"/>
    </x:row>
    <x:row r="50">
      <x:c r="A50" s="210"/>
      <x:c r="B50" s="215"/>
      <x:c r="C50" s="214"/>
      <x:c r="D50" s="210"/>
      <x:c r="E50" s="210"/>
      <x:c r="F50" s="210"/>
      <x:c r="G50" s="212"/>
      <x:c r="H50" s="212"/>
      <x:c r="I50" s="212"/>
      <x:c r="J50" s="212"/>
      <x:c r="K50" s="212"/>
      <x:c r="L50" s="212"/>
      <x:c r="M50" s="211" t="str">
        <x:f t="shared" si="3"/>
      </x:c>
      <x:c r="N50" s="212"/>
      <x:c r="O50" s="212"/>
      <x:c r="P50" s="212"/>
      <x:c r="Q50" s="212"/>
      <x:c r="R50" s="212"/>
      <x:c r="S50" s="213"/>
      <x:c r="T50" s="212"/>
      <x:c r="U50" s="212"/>
      <x:c r="V50" s="212"/>
      <x:c r="W50" s="212"/>
      <x:c r="X50" s="211" t="str">
        <x:f t="shared" si="4"/>
      </x:c>
      <x:c r="Y50" s="212"/>
      <x:c r="Z50" s="212"/>
      <x:c r="AA50" s="211" t="str">
        <x:f t="shared" si="5"/>
      </x:c>
      <x:c r="AB50" s="210"/>
      <x:c r="AC50" s="210"/>
      <x:c r="AD50" s="210"/>
      <x:c r="AE50" s="209"/>
    </x:row>
    <x:row r="51">
      <x:c r="A51" s="210"/>
      <x:c r="B51" s="215"/>
      <x:c r="C51" s="214"/>
      <x:c r="D51" s="210"/>
      <x:c r="E51" s="210"/>
      <x:c r="F51" s="210"/>
      <x:c r="G51" s="212"/>
      <x:c r="H51" s="212"/>
      <x:c r="I51" s="212"/>
      <x:c r="J51" s="212"/>
      <x:c r="K51" s="212"/>
      <x:c r="L51" s="212"/>
      <x:c r="M51" s="211" t="str">
        <x:f t="shared" si="3"/>
      </x:c>
      <x:c r="N51" s="212"/>
      <x:c r="O51" s="212"/>
      <x:c r="P51" s="212"/>
      <x:c r="Q51" s="212"/>
      <x:c r="R51" s="212"/>
      <x:c r="S51" s="213"/>
      <x:c r="T51" s="212"/>
      <x:c r="U51" s="212"/>
      <x:c r="V51" s="212"/>
      <x:c r="W51" s="212"/>
      <x:c r="X51" s="211" t="str">
        <x:f t="shared" si="4"/>
      </x:c>
      <x:c r="Y51" s="212"/>
      <x:c r="Z51" s="212"/>
      <x:c r="AA51" s="211" t="str">
        <x:f t="shared" si="5"/>
      </x:c>
      <x:c r="AB51" s="210"/>
      <x:c r="AC51" s="210"/>
      <x:c r="AD51" s="210"/>
      <x:c r="AE51" s="209"/>
    </x:row>
    <x:row r="52">
      <x:c r="A52" s="210"/>
      <x:c r="B52" s="215"/>
      <x:c r="C52" s="214"/>
      <x:c r="D52" s="210"/>
      <x:c r="E52" s="210"/>
      <x:c r="F52" s="210"/>
      <x:c r="G52" s="212"/>
      <x:c r="H52" s="212"/>
      <x:c r="I52" s="212"/>
      <x:c r="J52" s="212"/>
      <x:c r="K52" s="212"/>
      <x:c r="L52" s="212"/>
      <x:c r="M52" s="211" t="str">
        <x:f t="shared" si="3"/>
      </x:c>
      <x:c r="N52" s="212"/>
      <x:c r="O52" s="212"/>
      <x:c r="P52" s="212"/>
      <x:c r="Q52" s="212"/>
      <x:c r="R52" s="212"/>
      <x:c r="S52" s="213"/>
      <x:c r="T52" s="212"/>
      <x:c r="U52" s="212"/>
      <x:c r="V52" s="212"/>
      <x:c r="W52" s="212"/>
      <x:c r="X52" s="211" t="str">
        <x:f t="shared" si="4"/>
      </x:c>
      <x:c r="Y52" s="212"/>
      <x:c r="Z52" s="212"/>
      <x:c r="AA52" s="211" t="str">
        <x:f t="shared" si="5"/>
      </x:c>
      <x:c r="AB52" s="210"/>
      <x:c r="AC52" s="210"/>
      <x:c r="AD52" s="210"/>
      <x:c r="AE52" s="209"/>
    </x:row>
    <x:row r="53">
      <x:c r="A53" s="210"/>
      <x:c r="B53" s="215"/>
      <x:c r="C53" s="214"/>
      <x:c r="D53" s="210"/>
      <x:c r="E53" s="210"/>
      <x:c r="F53" s="210"/>
      <x:c r="G53" s="212"/>
      <x:c r="H53" s="212"/>
      <x:c r="I53" s="212"/>
      <x:c r="J53" s="212"/>
      <x:c r="K53" s="212"/>
      <x:c r="L53" s="212"/>
      <x:c r="M53" s="211" t="str">
        <x:f t="shared" si="3"/>
      </x:c>
      <x:c r="N53" s="212"/>
      <x:c r="O53" s="212"/>
      <x:c r="P53" s="212"/>
      <x:c r="Q53" s="212"/>
      <x:c r="R53" s="212"/>
      <x:c r="S53" s="213"/>
      <x:c r="T53" s="212"/>
      <x:c r="U53" s="212"/>
      <x:c r="V53" s="212"/>
      <x:c r="W53" s="212"/>
      <x:c r="X53" s="211" t="str">
        <x:f t="shared" si="4"/>
      </x:c>
      <x:c r="Y53" s="212"/>
      <x:c r="Z53" s="212"/>
      <x:c r="AA53" s="211" t="str">
        <x:f t="shared" si="5"/>
      </x:c>
      <x:c r="AB53" s="210"/>
      <x:c r="AC53" s="210"/>
      <x:c r="AD53" s="210"/>
      <x:c r="AE53" s="209"/>
    </x:row>
    <x:row r="54">
      <x:c r="A54" s="210"/>
      <x:c r="B54" s="215"/>
      <x:c r="C54" s="214"/>
      <x:c r="D54" s="210"/>
      <x:c r="E54" s="210"/>
      <x:c r="F54" s="210"/>
      <x:c r="G54" s="212"/>
      <x:c r="H54" s="212"/>
      <x:c r="I54" s="212"/>
      <x:c r="J54" s="212"/>
      <x:c r="K54" s="212"/>
      <x:c r="L54" s="212"/>
      <x:c r="M54" s="211" t="str">
        <x:f t="shared" si="3"/>
      </x:c>
      <x:c r="N54" s="212"/>
      <x:c r="O54" s="212"/>
      <x:c r="P54" s="212"/>
      <x:c r="Q54" s="212"/>
      <x:c r="R54" s="212"/>
      <x:c r="S54" s="213"/>
      <x:c r="T54" s="212"/>
      <x:c r="U54" s="212"/>
      <x:c r="V54" s="212"/>
      <x:c r="W54" s="212"/>
      <x:c r="X54" s="211" t="str">
        <x:f t="shared" si="4"/>
      </x:c>
      <x:c r="Y54" s="212"/>
      <x:c r="Z54" s="212"/>
      <x:c r="AA54" s="211" t="str">
        <x:f t="shared" si="5"/>
      </x:c>
      <x:c r="AB54" s="210"/>
      <x:c r="AC54" s="210"/>
      <x:c r="AD54" s="210"/>
      <x:c r="AE54" s="209"/>
    </x:row>
    <x:row r="55">
      <x:c r="A55" s="210"/>
      <x:c r="B55" s="215"/>
      <x:c r="C55" s="214"/>
      <x:c r="D55" s="210"/>
      <x:c r="E55" s="210"/>
      <x:c r="F55" s="210"/>
      <x:c r="G55" s="212"/>
      <x:c r="H55" s="212"/>
      <x:c r="I55" s="212"/>
      <x:c r="J55" s="212"/>
      <x:c r="K55" s="212"/>
      <x:c r="L55" s="212"/>
      <x:c r="M55" s="211" t="str">
        <x:f t="shared" si="3"/>
      </x:c>
      <x:c r="N55" s="212"/>
      <x:c r="O55" s="212"/>
      <x:c r="P55" s="212"/>
      <x:c r="Q55" s="212"/>
      <x:c r="R55" s="212"/>
      <x:c r="S55" s="213"/>
      <x:c r="T55" s="212"/>
      <x:c r="U55" s="212"/>
      <x:c r="V55" s="212"/>
      <x:c r="W55" s="212"/>
      <x:c r="X55" s="211" t="str">
        <x:f t="shared" si="4"/>
      </x:c>
      <x:c r="Y55" s="212"/>
      <x:c r="Z55" s="212"/>
      <x:c r="AA55" s="211" t="str">
        <x:f t="shared" si="5"/>
      </x:c>
      <x:c r="AB55" s="210"/>
      <x:c r="AC55" s="210"/>
      <x:c r="AD55" s="210"/>
      <x:c r="AE55" s="209"/>
    </x:row>
    <x:row r="56">
      <x:c r="A56" s="210"/>
      <x:c r="B56" s="215"/>
      <x:c r="C56" s="214"/>
      <x:c r="D56" s="210"/>
      <x:c r="E56" s="210"/>
      <x:c r="F56" s="210"/>
      <x:c r="G56" s="212"/>
      <x:c r="H56" s="212"/>
      <x:c r="I56" s="212"/>
      <x:c r="J56" s="212"/>
      <x:c r="K56" s="212"/>
      <x:c r="L56" s="212"/>
      <x:c r="M56" s="211" t="str">
        <x:f t="shared" si="3"/>
      </x:c>
      <x:c r="N56" s="212"/>
      <x:c r="O56" s="212"/>
      <x:c r="P56" s="212"/>
      <x:c r="Q56" s="212"/>
      <x:c r="R56" s="212"/>
      <x:c r="S56" s="213"/>
      <x:c r="T56" s="212"/>
      <x:c r="U56" s="212"/>
      <x:c r="V56" s="212"/>
      <x:c r="W56" s="212"/>
      <x:c r="X56" s="211" t="str">
        <x:f t="shared" si="4"/>
      </x:c>
      <x:c r="Y56" s="212"/>
      <x:c r="Z56" s="212"/>
      <x:c r="AA56" s="211" t="str">
        <x:f t="shared" si="5"/>
      </x:c>
      <x:c r="AB56" s="210"/>
      <x:c r="AC56" s="210"/>
      <x:c r="AD56" s="210"/>
      <x:c r="AE56" s="209"/>
    </x:row>
    <x:row r="57">
      <x:c r="A57" s="210"/>
      <x:c r="B57" s="215"/>
      <x:c r="C57" s="214"/>
      <x:c r="D57" s="210"/>
      <x:c r="E57" s="210"/>
      <x:c r="F57" s="210"/>
      <x:c r="G57" s="212"/>
      <x:c r="H57" s="212"/>
      <x:c r="I57" s="212"/>
      <x:c r="J57" s="212"/>
      <x:c r="K57" s="212"/>
      <x:c r="L57" s="212"/>
      <x:c r="M57" s="211" t="str">
        <x:f t="shared" si="3"/>
      </x:c>
      <x:c r="N57" s="212"/>
      <x:c r="O57" s="212"/>
      <x:c r="P57" s="212"/>
      <x:c r="Q57" s="212"/>
      <x:c r="R57" s="212"/>
      <x:c r="S57" s="213"/>
      <x:c r="T57" s="212"/>
      <x:c r="U57" s="212"/>
      <x:c r="V57" s="212"/>
      <x:c r="W57" s="212"/>
      <x:c r="X57" s="211" t="str">
        <x:f t="shared" si="4"/>
      </x:c>
      <x:c r="Y57" s="212"/>
      <x:c r="Z57" s="212"/>
      <x:c r="AA57" s="211" t="str">
        <x:f t="shared" si="5"/>
      </x:c>
      <x:c r="AB57" s="210"/>
      <x:c r="AC57" s="210"/>
      <x:c r="AD57" s="210"/>
      <x:c r="AE57" s="209"/>
    </x:row>
    <x:row r="58">
      <x:c r="A58" s="210"/>
      <x:c r="B58" s="215"/>
      <x:c r="C58" s="214"/>
      <x:c r="D58" s="210"/>
      <x:c r="E58" s="210"/>
      <x:c r="F58" s="210"/>
      <x:c r="G58" s="212"/>
      <x:c r="H58" s="212"/>
      <x:c r="I58" s="212"/>
      <x:c r="J58" s="212"/>
      <x:c r="K58" s="212"/>
      <x:c r="L58" s="212"/>
      <x:c r="M58" s="211" t="str">
        <x:f t="shared" si="3"/>
      </x:c>
      <x:c r="N58" s="212"/>
      <x:c r="O58" s="212"/>
      <x:c r="P58" s="212"/>
      <x:c r="Q58" s="212"/>
      <x:c r="R58" s="212"/>
      <x:c r="S58" s="213"/>
      <x:c r="T58" s="212"/>
      <x:c r="U58" s="212"/>
      <x:c r="V58" s="212"/>
      <x:c r="W58" s="212"/>
      <x:c r="X58" s="211" t="str">
        <x:f t="shared" si="4"/>
      </x:c>
      <x:c r="Y58" s="212"/>
      <x:c r="Z58" s="212"/>
      <x:c r="AA58" s="211" t="str">
        <x:f t="shared" si="5"/>
      </x:c>
      <x:c r="AB58" s="210"/>
      <x:c r="AC58" s="210"/>
      <x:c r="AD58" s="210"/>
      <x:c r="AE58" s="209"/>
    </x:row>
    <x:row r="59">
      <x:c r="A59" s="210"/>
      <x:c r="B59" s="215"/>
      <x:c r="C59" s="214"/>
      <x:c r="D59" s="210"/>
      <x:c r="E59" s="210"/>
      <x:c r="F59" s="210"/>
      <x:c r="G59" s="212"/>
      <x:c r="H59" s="212"/>
      <x:c r="I59" s="212"/>
      <x:c r="J59" s="212"/>
      <x:c r="K59" s="212"/>
      <x:c r="L59" s="212"/>
      <x:c r="M59" s="211" t="str">
        <x:f t="shared" si="3"/>
      </x:c>
      <x:c r="N59" s="212"/>
      <x:c r="O59" s="212"/>
      <x:c r="P59" s="212"/>
      <x:c r="Q59" s="212"/>
      <x:c r="R59" s="212"/>
      <x:c r="S59" s="213"/>
      <x:c r="T59" s="212"/>
      <x:c r="U59" s="212"/>
      <x:c r="V59" s="212"/>
      <x:c r="W59" s="212"/>
      <x:c r="X59" s="211" t="str">
        <x:f t="shared" si="4"/>
      </x:c>
      <x:c r="Y59" s="212"/>
      <x:c r="Z59" s="212"/>
      <x:c r="AA59" s="211" t="str">
        <x:f t="shared" si="5"/>
      </x:c>
      <x:c r="AB59" s="210"/>
      <x:c r="AC59" s="210"/>
      <x:c r="AD59" s="210"/>
      <x:c r="AE59" s="209"/>
    </x:row>
    <x:row r="60">
      <x:c r="A60" s="210"/>
      <x:c r="B60" s="215"/>
      <x:c r="C60" s="214"/>
      <x:c r="D60" s="210"/>
      <x:c r="E60" s="210"/>
      <x:c r="F60" s="210"/>
      <x:c r="G60" s="212"/>
      <x:c r="H60" s="212"/>
      <x:c r="I60" s="212"/>
      <x:c r="J60" s="212"/>
      <x:c r="K60" s="212"/>
      <x:c r="L60" s="212"/>
      <x:c r="M60" s="211" t="str">
        <x:f t="shared" si="3"/>
      </x:c>
      <x:c r="N60" s="212"/>
      <x:c r="O60" s="212"/>
      <x:c r="P60" s="212"/>
      <x:c r="Q60" s="212"/>
      <x:c r="R60" s="212"/>
      <x:c r="S60" s="213"/>
      <x:c r="T60" s="212"/>
      <x:c r="U60" s="212"/>
      <x:c r="V60" s="212"/>
      <x:c r="W60" s="212"/>
      <x:c r="X60" s="211" t="str">
        <x:f t="shared" si="4"/>
      </x:c>
      <x:c r="Y60" s="212"/>
      <x:c r="Z60" s="212"/>
      <x:c r="AA60" s="211" t="str">
        <x:f t="shared" si="5"/>
      </x:c>
      <x:c r="AB60" s="210"/>
      <x:c r="AC60" s="210"/>
      <x:c r="AD60" s="210"/>
      <x:c r="AE60" s="209"/>
    </x:row>
    <x:row r="61">
      <x:c r="A61" s="210"/>
      <x:c r="B61" s="215"/>
      <x:c r="C61" s="214"/>
      <x:c r="D61" s="210"/>
      <x:c r="E61" s="210"/>
      <x:c r="F61" s="210"/>
      <x:c r="G61" s="212"/>
      <x:c r="H61" s="212"/>
      <x:c r="I61" s="212"/>
      <x:c r="J61" s="212"/>
      <x:c r="K61" s="212"/>
      <x:c r="L61" s="212"/>
      <x:c r="M61" s="211" t="str">
        <x:f t="shared" si="3"/>
      </x:c>
      <x:c r="N61" s="212"/>
      <x:c r="O61" s="212"/>
      <x:c r="P61" s="212"/>
      <x:c r="Q61" s="212"/>
      <x:c r="R61" s="212"/>
      <x:c r="S61" s="213"/>
      <x:c r="T61" s="212"/>
      <x:c r="U61" s="212"/>
      <x:c r="V61" s="212"/>
      <x:c r="W61" s="212"/>
      <x:c r="X61" s="211" t="str">
        <x:f t="shared" si="4"/>
      </x:c>
      <x:c r="Y61" s="212"/>
      <x:c r="Z61" s="212"/>
      <x:c r="AA61" s="211" t="str">
        <x:f t="shared" si="5"/>
      </x:c>
      <x:c r="AB61" s="210"/>
      <x:c r="AC61" s="210"/>
      <x:c r="AD61" s="210"/>
      <x:c r="AE61" s="209"/>
    </x:row>
    <x:row r="62">
      <x:c r="A62" s="210"/>
      <x:c r="B62" s="215"/>
      <x:c r="C62" s="214"/>
      <x:c r="D62" s="210"/>
      <x:c r="E62" s="210"/>
      <x:c r="F62" s="210"/>
      <x:c r="G62" s="212"/>
      <x:c r="H62" s="212"/>
      <x:c r="I62" s="212"/>
      <x:c r="J62" s="212"/>
      <x:c r="K62" s="212"/>
      <x:c r="L62" s="212"/>
      <x:c r="M62" s="211" t="str">
        <x:f t="shared" si="3"/>
      </x:c>
      <x:c r="N62" s="212"/>
      <x:c r="O62" s="212"/>
      <x:c r="P62" s="212"/>
      <x:c r="Q62" s="212"/>
      <x:c r="R62" s="212"/>
      <x:c r="S62" s="213"/>
      <x:c r="T62" s="212"/>
      <x:c r="U62" s="212"/>
      <x:c r="V62" s="212"/>
      <x:c r="W62" s="212"/>
      <x:c r="X62" s="211" t="str">
        <x:f t="shared" si="4"/>
      </x:c>
      <x:c r="Y62" s="212"/>
      <x:c r="Z62" s="212"/>
      <x:c r="AA62" s="211" t="str">
        <x:f t="shared" si="5"/>
      </x:c>
      <x:c r="AB62" s="210"/>
      <x:c r="AC62" s="210"/>
      <x:c r="AD62" s="210"/>
      <x:c r="AE62" s="209"/>
    </x:row>
    <x:row r="63">
      <x:c r="A63" s="210"/>
      <x:c r="B63" s="215"/>
      <x:c r="C63" s="214"/>
      <x:c r="D63" s="210"/>
      <x:c r="E63" s="210"/>
      <x:c r="F63" s="210"/>
      <x:c r="G63" s="212"/>
      <x:c r="H63" s="212"/>
      <x:c r="I63" s="212"/>
      <x:c r="J63" s="212"/>
      <x:c r="K63" s="212"/>
      <x:c r="L63" s="212"/>
      <x:c r="M63" s="211" t="str">
        <x:f t="shared" si="3"/>
      </x:c>
      <x:c r="N63" s="212"/>
      <x:c r="O63" s="212"/>
      <x:c r="P63" s="212"/>
      <x:c r="Q63" s="212"/>
      <x:c r="R63" s="212"/>
      <x:c r="S63" s="213"/>
      <x:c r="T63" s="212"/>
      <x:c r="U63" s="212"/>
      <x:c r="V63" s="212"/>
      <x:c r="W63" s="212"/>
      <x:c r="X63" s="211" t="str">
        <x:f t="shared" si="4"/>
      </x:c>
      <x:c r="Y63" s="212"/>
      <x:c r="Z63" s="212"/>
      <x:c r="AA63" s="211" t="str">
        <x:f t="shared" si="5"/>
      </x:c>
      <x:c r="AB63" s="210"/>
      <x:c r="AC63" s="210"/>
      <x:c r="AD63" s="210"/>
      <x:c r="AE63" s="209"/>
    </x:row>
    <x:row r="64">
      <x:c r="A64" s="210"/>
      <x:c r="B64" s="215"/>
      <x:c r="C64" s="214"/>
      <x:c r="D64" s="210"/>
      <x:c r="E64" s="210"/>
      <x:c r="F64" s="210"/>
      <x:c r="G64" s="212"/>
      <x:c r="H64" s="212"/>
      <x:c r="I64" s="212"/>
      <x:c r="J64" s="212"/>
      <x:c r="K64" s="212"/>
      <x:c r="L64" s="212"/>
      <x:c r="M64" s="211" t="str">
        <x:f t="shared" si="3"/>
      </x:c>
      <x:c r="N64" s="212"/>
      <x:c r="O64" s="212"/>
      <x:c r="P64" s="212"/>
      <x:c r="Q64" s="212"/>
      <x:c r="R64" s="212"/>
      <x:c r="S64" s="213"/>
      <x:c r="T64" s="212"/>
      <x:c r="U64" s="212"/>
      <x:c r="V64" s="212"/>
      <x:c r="W64" s="212"/>
      <x:c r="X64" s="211" t="str">
        <x:f t="shared" si="4"/>
      </x:c>
      <x:c r="Y64" s="212"/>
      <x:c r="Z64" s="212"/>
      <x:c r="AA64" s="211" t="str">
        <x:f t="shared" si="5"/>
      </x:c>
      <x:c r="AB64" s="210"/>
      <x:c r="AC64" s="210"/>
      <x:c r="AD64" s="210"/>
      <x:c r="AE64" s="209"/>
    </x:row>
    <x:row r="65">
      <x:c r="A65" s="210"/>
      <x:c r="B65" s="215"/>
      <x:c r="C65" s="214"/>
      <x:c r="D65" s="210"/>
      <x:c r="E65" s="210"/>
      <x:c r="F65" s="210"/>
      <x:c r="G65" s="212"/>
      <x:c r="H65" s="212"/>
      <x:c r="I65" s="212"/>
      <x:c r="J65" s="212"/>
      <x:c r="K65" s="212"/>
      <x:c r="L65" s="212"/>
      <x:c r="M65" s="211" t="str">
        <x:f t="shared" si="3"/>
      </x:c>
      <x:c r="N65" s="212"/>
      <x:c r="O65" s="212"/>
      <x:c r="P65" s="212"/>
      <x:c r="Q65" s="212"/>
      <x:c r="R65" s="212"/>
      <x:c r="S65" s="213"/>
      <x:c r="T65" s="212"/>
      <x:c r="U65" s="212"/>
      <x:c r="V65" s="212"/>
      <x:c r="W65" s="212"/>
      <x:c r="X65" s="211" t="str">
        <x:f t="shared" si="4"/>
      </x:c>
      <x:c r="Y65" s="212"/>
      <x:c r="Z65" s="212"/>
      <x:c r="AA65" s="211" t="str">
        <x:f t="shared" si="5"/>
      </x:c>
      <x:c r="AB65" s="210"/>
      <x:c r="AC65" s="210"/>
      <x:c r="AD65" s="210"/>
      <x:c r="AE65" s="209"/>
    </x:row>
    <x:row r="66">
      <x:c r="A66" s="210"/>
      <x:c r="B66" s="215"/>
      <x:c r="C66" s="214"/>
      <x:c r="D66" s="210"/>
      <x:c r="E66" s="210"/>
      <x:c r="F66" s="210"/>
      <x:c r="G66" s="212"/>
      <x:c r="H66" s="212"/>
      <x:c r="I66" s="212"/>
      <x:c r="J66" s="212"/>
      <x:c r="K66" s="212"/>
      <x:c r="L66" s="212"/>
      <x:c r="M66" s="211" t="str">
        <x:f t="shared" si="3"/>
      </x:c>
      <x:c r="N66" s="212"/>
      <x:c r="O66" s="212"/>
      <x:c r="P66" s="212"/>
      <x:c r="Q66" s="212"/>
      <x:c r="R66" s="212"/>
      <x:c r="S66" s="213"/>
      <x:c r="T66" s="212"/>
      <x:c r="U66" s="212"/>
      <x:c r="V66" s="212"/>
      <x:c r="W66" s="212"/>
      <x:c r="X66" s="211" t="str">
        <x:f t="shared" si="4"/>
      </x:c>
      <x:c r="Y66" s="212"/>
      <x:c r="Z66" s="212"/>
      <x:c r="AA66" s="211" t="str">
        <x:f t="shared" si="5"/>
      </x:c>
      <x:c r="AB66" s="210"/>
      <x:c r="AC66" s="210"/>
      <x:c r="AD66" s="210"/>
      <x:c r="AE66" s="209"/>
    </x:row>
    <x:row r="67">
      <x:c r="A67" s="210"/>
      <x:c r="B67" s="215"/>
      <x:c r="C67" s="214"/>
      <x:c r="D67" s="210"/>
      <x:c r="E67" s="210"/>
      <x:c r="F67" s="210"/>
      <x:c r="G67" s="212"/>
      <x:c r="H67" s="212"/>
      <x:c r="I67" s="212"/>
      <x:c r="J67" s="212"/>
      <x:c r="K67" s="212"/>
      <x:c r="L67" s="212"/>
      <x:c r="M67" s="211" t="str">
        <x:f t="shared" si="3"/>
      </x:c>
      <x:c r="N67" s="212"/>
      <x:c r="O67" s="212"/>
      <x:c r="P67" s="212"/>
      <x:c r="Q67" s="212"/>
      <x:c r="R67" s="212"/>
      <x:c r="S67" s="213"/>
      <x:c r="T67" s="212"/>
      <x:c r="U67" s="212"/>
      <x:c r="V67" s="212"/>
      <x:c r="W67" s="212"/>
      <x:c r="X67" s="211" t="str">
        <x:f t="shared" si="4"/>
      </x:c>
      <x:c r="Y67" s="212"/>
      <x:c r="Z67" s="212"/>
      <x:c r="AA67" s="211" t="str">
        <x:f t="shared" si="5"/>
      </x:c>
      <x:c r="AB67" s="210"/>
      <x:c r="AC67" s="210"/>
      <x:c r="AD67" s="210"/>
      <x:c r="AE67" s="209"/>
    </x:row>
    <x:row r="68">
      <x:c r="A68" s="210"/>
      <x:c r="B68" s="215"/>
      <x:c r="C68" s="214"/>
      <x:c r="D68" s="210"/>
      <x:c r="E68" s="210"/>
      <x:c r="F68" s="210"/>
      <x:c r="G68" s="212"/>
      <x:c r="H68" s="212"/>
      <x:c r="I68" s="212"/>
      <x:c r="J68" s="212"/>
      <x:c r="K68" s="212"/>
      <x:c r="L68" s="212"/>
      <x:c r="M68" s="211" t="str">
        <x:f t="shared" si="3"/>
      </x:c>
      <x:c r="N68" s="212"/>
      <x:c r="O68" s="212"/>
      <x:c r="P68" s="212"/>
      <x:c r="Q68" s="212"/>
      <x:c r="R68" s="212"/>
      <x:c r="S68" s="213"/>
      <x:c r="T68" s="212"/>
      <x:c r="U68" s="212"/>
      <x:c r="V68" s="212"/>
      <x:c r="W68" s="212"/>
      <x:c r="X68" s="211" t="str">
        <x:f t="shared" si="4"/>
      </x:c>
      <x:c r="Y68" s="212"/>
      <x:c r="Z68" s="212"/>
      <x:c r="AA68" s="211" t="str">
        <x:f t="shared" si="5"/>
      </x:c>
      <x:c r="AB68" s="210"/>
      <x:c r="AC68" s="210"/>
      <x:c r="AD68" s="210"/>
      <x:c r="AE68" s="209"/>
    </x:row>
    <x:row r="69">
      <x:c r="A69" s="210"/>
      <x:c r="B69" s="215"/>
      <x:c r="C69" s="214"/>
      <x:c r="D69" s="210"/>
      <x:c r="E69" s="210"/>
      <x:c r="F69" s="210"/>
      <x:c r="G69" s="212"/>
      <x:c r="H69" s="212"/>
      <x:c r="I69" s="212"/>
      <x:c r="J69" s="212"/>
      <x:c r="K69" s="212"/>
      <x:c r="L69" s="212"/>
      <x:c r="M69" s="211" t="str">
        <x:f t="shared" si="3"/>
      </x:c>
      <x:c r="N69" s="212"/>
      <x:c r="O69" s="212"/>
      <x:c r="P69" s="212"/>
      <x:c r="Q69" s="212"/>
      <x:c r="R69" s="212"/>
      <x:c r="S69" s="213"/>
      <x:c r="T69" s="212"/>
      <x:c r="U69" s="212"/>
      <x:c r="V69" s="212"/>
      <x:c r="W69" s="212"/>
      <x:c r="X69" s="211" t="str">
        <x:f t="shared" si="4"/>
      </x:c>
      <x:c r="Y69" s="212"/>
      <x:c r="Z69" s="212"/>
      <x:c r="AA69" s="211" t="str">
        <x:f t="shared" si="5"/>
      </x:c>
      <x:c r="AB69" s="210"/>
      <x:c r="AC69" s="210"/>
      <x:c r="AD69" s="210"/>
      <x:c r="AE69" s="209"/>
    </x:row>
    <x:row r="70">
      <x:c r="A70" s="210"/>
      <x:c r="B70" s="215"/>
      <x:c r="C70" s="214"/>
      <x:c r="D70" s="210"/>
      <x:c r="E70" s="210"/>
      <x:c r="F70" s="210"/>
      <x:c r="G70" s="212"/>
      <x:c r="H70" s="212"/>
      <x:c r="I70" s="212"/>
      <x:c r="J70" s="212"/>
      <x:c r="K70" s="212"/>
      <x:c r="L70" s="212"/>
      <x:c r="M70" s="211" t="str">
        <x:f t="shared" ref="M70:M101" si="6">IF(OR($A70="",$G70=0),"",$K70/$G70)</x:f>
      </x:c>
      <x:c r="N70" s="212"/>
      <x:c r="O70" s="212"/>
      <x:c r="P70" s="212"/>
      <x:c r="Q70" s="212"/>
      <x:c r="R70" s="212"/>
      <x:c r="S70" s="213"/>
      <x:c r="T70" s="212"/>
      <x:c r="U70" s="212"/>
      <x:c r="V70" s="212"/>
      <x:c r="W70" s="212"/>
      <x:c r="X70" s="211" t="str">
        <x:f t="shared" ref="X70:X101" si="7">IF(OR($A70="",$T70=0),"",$U70/$T70)</x:f>
      </x:c>
      <x:c r="Y70" s="212"/>
      <x:c r="Z70" s="212"/>
      <x:c r="AA70" s="211" t="str">
        <x:f t="shared" ref="AA70:AA101" si="8">IF(OR($A70="",$Y70=0),"",$Z70/$Y70)</x:f>
      </x:c>
      <x:c r="AB70" s="210"/>
      <x:c r="AC70" s="210"/>
      <x:c r="AD70" s="210"/>
      <x:c r="AE70" s="209"/>
    </x:row>
    <x:row r="71">
      <x:c r="A71" s="210"/>
      <x:c r="B71" s="215"/>
      <x:c r="C71" s="214"/>
      <x:c r="D71" s="210"/>
      <x:c r="E71" s="210"/>
      <x:c r="F71" s="210"/>
      <x:c r="G71" s="212"/>
      <x:c r="H71" s="212"/>
      <x:c r="I71" s="212"/>
      <x:c r="J71" s="212"/>
      <x:c r="K71" s="212"/>
      <x:c r="L71" s="212"/>
      <x:c r="M71" s="211" t="str">
        <x:f t="shared" si="6"/>
      </x:c>
      <x:c r="N71" s="212"/>
      <x:c r="O71" s="212"/>
      <x:c r="P71" s="212"/>
      <x:c r="Q71" s="212"/>
      <x:c r="R71" s="212"/>
      <x:c r="S71" s="213"/>
      <x:c r="T71" s="212"/>
      <x:c r="U71" s="212"/>
      <x:c r="V71" s="212"/>
      <x:c r="W71" s="212"/>
      <x:c r="X71" s="211" t="str">
        <x:f t="shared" si="7"/>
      </x:c>
      <x:c r="Y71" s="212"/>
      <x:c r="Z71" s="212"/>
      <x:c r="AA71" s="211" t="str">
        <x:f t="shared" si="8"/>
      </x:c>
      <x:c r="AB71" s="210"/>
      <x:c r="AC71" s="210"/>
      <x:c r="AD71" s="210"/>
      <x:c r="AE71" s="209"/>
    </x:row>
    <x:row r="72">
      <x:c r="A72" s="210"/>
      <x:c r="B72" s="215"/>
      <x:c r="C72" s="214"/>
      <x:c r="D72" s="210"/>
      <x:c r="E72" s="210"/>
      <x:c r="F72" s="210"/>
      <x:c r="G72" s="212"/>
      <x:c r="H72" s="212"/>
      <x:c r="I72" s="212"/>
      <x:c r="J72" s="212"/>
      <x:c r="K72" s="212"/>
      <x:c r="L72" s="212"/>
      <x:c r="M72" s="211" t="str">
        <x:f t="shared" si="6"/>
      </x:c>
      <x:c r="N72" s="212"/>
      <x:c r="O72" s="212"/>
      <x:c r="P72" s="212"/>
      <x:c r="Q72" s="212"/>
      <x:c r="R72" s="212"/>
      <x:c r="S72" s="213"/>
      <x:c r="T72" s="212"/>
      <x:c r="U72" s="212"/>
      <x:c r="V72" s="212"/>
      <x:c r="W72" s="212"/>
      <x:c r="X72" s="211" t="str">
        <x:f t="shared" si="7"/>
      </x:c>
      <x:c r="Y72" s="212"/>
      <x:c r="Z72" s="212"/>
      <x:c r="AA72" s="211" t="str">
        <x:f t="shared" si="8"/>
      </x:c>
      <x:c r="AB72" s="210"/>
      <x:c r="AC72" s="210"/>
      <x:c r="AD72" s="210"/>
      <x:c r="AE72" s="209"/>
    </x:row>
    <x:row r="73">
      <x:c r="A73" s="210"/>
      <x:c r="B73" s="215"/>
      <x:c r="C73" s="214"/>
      <x:c r="D73" s="210"/>
      <x:c r="E73" s="210"/>
      <x:c r="F73" s="210"/>
      <x:c r="G73" s="212"/>
      <x:c r="H73" s="212"/>
      <x:c r="I73" s="212"/>
      <x:c r="J73" s="212"/>
      <x:c r="K73" s="212"/>
      <x:c r="L73" s="212"/>
      <x:c r="M73" s="211" t="str">
        <x:f t="shared" si="6"/>
      </x:c>
      <x:c r="N73" s="212"/>
      <x:c r="O73" s="212"/>
      <x:c r="P73" s="212"/>
      <x:c r="Q73" s="212"/>
      <x:c r="R73" s="212"/>
      <x:c r="S73" s="213"/>
      <x:c r="T73" s="212"/>
      <x:c r="U73" s="212"/>
      <x:c r="V73" s="212"/>
      <x:c r="W73" s="212"/>
      <x:c r="X73" s="211" t="str">
        <x:f t="shared" si="7"/>
      </x:c>
      <x:c r="Y73" s="212"/>
      <x:c r="Z73" s="212"/>
      <x:c r="AA73" s="211" t="str">
        <x:f t="shared" si="8"/>
      </x:c>
      <x:c r="AB73" s="210"/>
      <x:c r="AC73" s="210"/>
      <x:c r="AD73" s="210"/>
      <x:c r="AE73" s="209"/>
    </x:row>
    <x:row r="74">
      <x:c r="A74" s="210"/>
      <x:c r="B74" s="215"/>
      <x:c r="C74" s="214"/>
      <x:c r="D74" s="210"/>
      <x:c r="E74" s="210"/>
      <x:c r="F74" s="210"/>
      <x:c r="G74" s="212"/>
      <x:c r="H74" s="212"/>
      <x:c r="I74" s="212"/>
      <x:c r="J74" s="212"/>
      <x:c r="K74" s="212"/>
      <x:c r="L74" s="212"/>
      <x:c r="M74" s="211" t="str">
        <x:f t="shared" si="6"/>
      </x:c>
      <x:c r="N74" s="212"/>
      <x:c r="O74" s="212"/>
      <x:c r="P74" s="212"/>
      <x:c r="Q74" s="212"/>
      <x:c r="R74" s="212"/>
      <x:c r="S74" s="213"/>
      <x:c r="T74" s="212"/>
      <x:c r="U74" s="212"/>
      <x:c r="V74" s="212"/>
      <x:c r="W74" s="212"/>
      <x:c r="X74" s="211" t="str">
        <x:f t="shared" si="7"/>
      </x:c>
      <x:c r="Y74" s="212"/>
      <x:c r="Z74" s="212"/>
      <x:c r="AA74" s="211" t="str">
        <x:f t="shared" si="8"/>
      </x:c>
      <x:c r="AB74" s="210"/>
      <x:c r="AC74" s="210"/>
      <x:c r="AD74" s="210"/>
      <x:c r="AE74" s="209"/>
    </x:row>
    <x:row r="75">
      <x:c r="A75" s="210"/>
      <x:c r="B75" s="215"/>
      <x:c r="C75" s="214"/>
      <x:c r="D75" s="210"/>
      <x:c r="E75" s="210"/>
      <x:c r="F75" s="210"/>
      <x:c r="G75" s="212"/>
      <x:c r="H75" s="212"/>
      <x:c r="I75" s="212"/>
      <x:c r="J75" s="212"/>
      <x:c r="K75" s="212"/>
      <x:c r="L75" s="212"/>
      <x:c r="M75" s="211" t="str">
        <x:f t="shared" si="6"/>
      </x:c>
      <x:c r="N75" s="212"/>
      <x:c r="O75" s="212"/>
      <x:c r="P75" s="212"/>
      <x:c r="Q75" s="212"/>
      <x:c r="R75" s="212"/>
      <x:c r="S75" s="213"/>
      <x:c r="T75" s="212"/>
      <x:c r="U75" s="212"/>
      <x:c r="V75" s="212"/>
      <x:c r="W75" s="212"/>
      <x:c r="X75" s="211" t="str">
        <x:f t="shared" si="7"/>
      </x:c>
      <x:c r="Y75" s="212"/>
      <x:c r="Z75" s="212"/>
      <x:c r="AA75" s="211" t="str">
        <x:f t="shared" si="8"/>
      </x:c>
      <x:c r="AB75" s="210"/>
      <x:c r="AC75" s="210"/>
      <x:c r="AD75" s="210"/>
      <x:c r="AE75" s="209"/>
    </x:row>
    <x:row r="76">
      <x:c r="A76" s="210"/>
      <x:c r="B76" s="215"/>
      <x:c r="C76" s="214"/>
      <x:c r="D76" s="210"/>
      <x:c r="E76" s="210"/>
      <x:c r="F76" s="210"/>
      <x:c r="G76" s="212"/>
      <x:c r="H76" s="212"/>
      <x:c r="I76" s="212"/>
      <x:c r="J76" s="212"/>
      <x:c r="K76" s="212"/>
      <x:c r="L76" s="212"/>
      <x:c r="M76" s="211" t="str">
        <x:f t="shared" si="6"/>
      </x:c>
      <x:c r="N76" s="212"/>
      <x:c r="O76" s="212"/>
      <x:c r="P76" s="212"/>
      <x:c r="Q76" s="212"/>
      <x:c r="R76" s="212"/>
      <x:c r="S76" s="213"/>
      <x:c r="T76" s="212"/>
      <x:c r="U76" s="212"/>
      <x:c r="V76" s="212"/>
      <x:c r="W76" s="212"/>
      <x:c r="X76" s="211" t="str">
        <x:f t="shared" si="7"/>
      </x:c>
      <x:c r="Y76" s="212"/>
      <x:c r="Z76" s="212"/>
      <x:c r="AA76" s="211" t="str">
        <x:f t="shared" si="8"/>
      </x:c>
      <x:c r="AB76" s="210"/>
      <x:c r="AC76" s="210"/>
      <x:c r="AD76" s="210"/>
      <x:c r="AE76" s="209"/>
    </x:row>
    <x:row r="77">
      <x:c r="A77" s="210"/>
      <x:c r="B77" s="215"/>
      <x:c r="C77" s="214"/>
      <x:c r="D77" s="210"/>
      <x:c r="E77" s="210"/>
      <x:c r="F77" s="210"/>
      <x:c r="G77" s="212"/>
      <x:c r="H77" s="212"/>
      <x:c r="I77" s="212"/>
      <x:c r="J77" s="212"/>
      <x:c r="K77" s="212"/>
      <x:c r="L77" s="212"/>
      <x:c r="M77" s="211" t="str">
        <x:f t="shared" si="6"/>
      </x:c>
      <x:c r="N77" s="212"/>
      <x:c r="O77" s="212"/>
      <x:c r="P77" s="212"/>
      <x:c r="Q77" s="212"/>
      <x:c r="R77" s="212"/>
      <x:c r="S77" s="213"/>
      <x:c r="T77" s="212"/>
      <x:c r="U77" s="212"/>
      <x:c r="V77" s="212"/>
      <x:c r="W77" s="212"/>
      <x:c r="X77" s="211" t="str">
        <x:f t="shared" si="7"/>
      </x:c>
      <x:c r="Y77" s="212"/>
      <x:c r="Z77" s="212"/>
      <x:c r="AA77" s="211" t="str">
        <x:f t="shared" si="8"/>
      </x:c>
      <x:c r="AB77" s="210"/>
      <x:c r="AC77" s="210"/>
      <x:c r="AD77" s="210"/>
      <x:c r="AE77" s="209"/>
    </x:row>
    <x:row r="78">
      <x:c r="A78" s="210"/>
      <x:c r="B78" s="215"/>
      <x:c r="C78" s="214"/>
      <x:c r="D78" s="210"/>
      <x:c r="E78" s="210"/>
      <x:c r="F78" s="210"/>
      <x:c r="G78" s="212"/>
      <x:c r="H78" s="212"/>
      <x:c r="I78" s="212"/>
      <x:c r="J78" s="212"/>
      <x:c r="K78" s="212"/>
      <x:c r="L78" s="212"/>
      <x:c r="M78" s="211" t="str">
        <x:f t="shared" si="6"/>
      </x:c>
      <x:c r="N78" s="212"/>
      <x:c r="O78" s="212"/>
      <x:c r="P78" s="212"/>
      <x:c r="Q78" s="212"/>
      <x:c r="R78" s="212"/>
      <x:c r="S78" s="213"/>
      <x:c r="T78" s="212"/>
      <x:c r="U78" s="212"/>
      <x:c r="V78" s="212"/>
      <x:c r="W78" s="212"/>
      <x:c r="X78" s="211" t="str">
        <x:f t="shared" si="7"/>
      </x:c>
      <x:c r="Y78" s="212"/>
      <x:c r="Z78" s="212"/>
      <x:c r="AA78" s="211" t="str">
        <x:f t="shared" si="8"/>
      </x:c>
      <x:c r="AB78" s="210"/>
      <x:c r="AC78" s="210"/>
      <x:c r="AD78" s="210"/>
      <x:c r="AE78" s="209"/>
    </x:row>
    <x:row r="79">
      <x:c r="A79" s="210"/>
      <x:c r="B79" s="215"/>
      <x:c r="C79" s="214"/>
      <x:c r="D79" s="210"/>
      <x:c r="E79" s="210"/>
      <x:c r="F79" s="210"/>
      <x:c r="G79" s="212"/>
      <x:c r="H79" s="212"/>
      <x:c r="I79" s="212"/>
      <x:c r="J79" s="212"/>
      <x:c r="K79" s="212"/>
      <x:c r="L79" s="212"/>
      <x:c r="M79" s="211" t="str">
        <x:f t="shared" si="6"/>
      </x:c>
      <x:c r="N79" s="212"/>
      <x:c r="O79" s="212"/>
      <x:c r="P79" s="212"/>
      <x:c r="Q79" s="212"/>
      <x:c r="R79" s="212"/>
      <x:c r="S79" s="213"/>
      <x:c r="T79" s="212"/>
      <x:c r="U79" s="212"/>
      <x:c r="V79" s="212"/>
      <x:c r="W79" s="212"/>
      <x:c r="X79" s="211" t="str">
        <x:f t="shared" si="7"/>
      </x:c>
      <x:c r="Y79" s="212"/>
      <x:c r="Z79" s="212"/>
      <x:c r="AA79" s="211" t="str">
        <x:f t="shared" si="8"/>
      </x:c>
      <x:c r="AB79" s="210"/>
      <x:c r="AC79" s="210"/>
      <x:c r="AD79" s="210"/>
      <x:c r="AE79" s="209"/>
    </x:row>
    <x:row r="80">
      <x:c r="A80" s="210"/>
      <x:c r="B80" s="215"/>
      <x:c r="C80" s="214"/>
      <x:c r="D80" s="210"/>
      <x:c r="E80" s="210"/>
      <x:c r="F80" s="210"/>
      <x:c r="G80" s="212"/>
      <x:c r="H80" s="212"/>
      <x:c r="I80" s="212"/>
      <x:c r="J80" s="212"/>
      <x:c r="K80" s="212"/>
      <x:c r="L80" s="212"/>
      <x:c r="M80" s="211" t="str">
        <x:f t="shared" si="6"/>
      </x:c>
      <x:c r="N80" s="212"/>
      <x:c r="O80" s="212"/>
      <x:c r="P80" s="212"/>
      <x:c r="Q80" s="212"/>
      <x:c r="R80" s="212"/>
      <x:c r="S80" s="213"/>
      <x:c r="T80" s="212"/>
      <x:c r="U80" s="212"/>
      <x:c r="V80" s="212"/>
      <x:c r="W80" s="212"/>
      <x:c r="X80" s="211" t="str">
        <x:f t="shared" si="7"/>
      </x:c>
      <x:c r="Y80" s="212"/>
      <x:c r="Z80" s="212"/>
      <x:c r="AA80" s="211" t="str">
        <x:f t="shared" si="8"/>
      </x:c>
      <x:c r="AB80" s="210"/>
      <x:c r="AC80" s="210"/>
      <x:c r="AD80" s="210"/>
      <x:c r="AE80" s="209"/>
    </x:row>
    <x:row r="81">
      <x:c r="A81" s="210"/>
      <x:c r="B81" s="215"/>
      <x:c r="C81" s="214"/>
      <x:c r="D81" s="210"/>
      <x:c r="E81" s="210"/>
      <x:c r="F81" s="210"/>
      <x:c r="G81" s="212"/>
      <x:c r="H81" s="212"/>
      <x:c r="I81" s="212"/>
      <x:c r="J81" s="212"/>
      <x:c r="K81" s="212"/>
      <x:c r="L81" s="212"/>
      <x:c r="M81" s="211" t="str">
        <x:f t="shared" si="6"/>
      </x:c>
      <x:c r="N81" s="212"/>
      <x:c r="O81" s="212"/>
      <x:c r="P81" s="212"/>
      <x:c r="Q81" s="212"/>
      <x:c r="R81" s="212"/>
      <x:c r="S81" s="213"/>
      <x:c r="T81" s="212"/>
      <x:c r="U81" s="212"/>
      <x:c r="V81" s="212"/>
      <x:c r="W81" s="212"/>
      <x:c r="X81" s="211" t="str">
        <x:f t="shared" si="7"/>
      </x:c>
      <x:c r="Y81" s="212"/>
      <x:c r="Z81" s="212"/>
      <x:c r="AA81" s="211" t="str">
        <x:f t="shared" si="8"/>
      </x:c>
      <x:c r="AB81" s="210"/>
      <x:c r="AC81" s="210"/>
      <x:c r="AD81" s="210"/>
      <x:c r="AE81" s="209"/>
    </x:row>
    <x:row r="82">
      <x:c r="A82" s="210"/>
      <x:c r="B82" s="215"/>
      <x:c r="C82" s="214"/>
      <x:c r="D82" s="210"/>
      <x:c r="E82" s="210"/>
      <x:c r="F82" s="210"/>
      <x:c r="G82" s="212"/>
      <x:c r="H82" s="212"/>
      <x:c r="I82" s="212"/>
      <x:c r="J82" s="212"/>
      <x:c r="K82" s="212"/>
      <x:c r="L82" s="212"/>
      <x:c r="M82" s="211" t="str">
        <x:f t="shared" si="6"/>
      </x:c>
      <x:c r="N82" s="212"/>
      <x:c r="O82" s="212"/>
      <x:c r="P82" s="212"/>
      <x:c r="Q82" s="212"/>
      <x:c r="R82" s="212"/>
      <x:c r="S82" s="213"/>
      <x:c r="T82" s="212"/>
      <x:c r="U82" s="212"/>
      <x:c r="V82" s="212"/>
      <x:c r="W82" s="212"/>
      <x:c r="X82" s="211" t="str">
        <x:f t="shared" si="7"/>
      </x:c>
      <x:c r="Y82" s="212"/>
      <x:c r="Z82" s="212"/>
      <x:c r="AA82" s="211" t="str">
        <x:f t="shared" si="8"/>
      </x:c>
      <x:c r="AB82" s="210"/>
      <x:c r="AC82" s="210"/>
      <x:c r="AD82" s="210"/>
      <x:c r="AE82" s="209"/>
    </x:row>
    <x:row r="83">
      <x:c r="A83" s="210"/>
      <x:c r="B83" s="215"/>
      <x:c r="C83" s="214"/>
      <x:c r="D83" s="210"/>
      <x:c r="E83" s="210"/>
      <x:c r="F83" s="210"/>
      <x:c r="G83" s="212"/>
      <x:c r="H83" s="212"/>
      <x:c r="I83" s="212"/>
      <x:c r="J83" s="212"/>
      <x:c r="K83" s="212"/>
      <x:c r="L83" s="212"/>
      <x:c r="M83" s="211" t="str">
        <x:f t="shared" si="6"/>
      </x:c>
      <x:c r="N83" s="212"/>
      <x:c r="O83" s="212"/>
      <x:c r="P83" s="212"/>
      <x:c r="Q83" s="212"/>
      <x:c r="R83" s="212"/>
      <x:c r="S83" s="213"/>
      <x:c r="T83" s="212"/>
      <x:c r="U83" s="212"/>
      <x:c r="V83" s="212"/>
      <x:c r="W83" s="212"/>
      <x:c r="X83" s="211" t="str">
        <x:f t="shared" si="7"/>
      </x:c>
      <x:c r="Y83" s="212"/>
      <x:c r="Z83" s="212"/>
      <x:c r="AA83" s="211" t="str">
        <x:f t="shared" si="8"/>
      </x:c>
      <x:c r="AB83" s="210"/>
      <x:c r="AC83" s="210"/>
      <x:c r="AD83" s="210"/>
      <x:c r="AE83" s="209"/>
    </x:row>
    <x:row r="84">
      <x:c r="A84" s="210"/>
      <x:c r="B84" s="215"/>
      <x:c r="C84" s="214"/>
      <x:c r="D84" s="210"/>
      <x:c r="E84" s="210"/>
      <x:c r="F84" s="210"/>
      <x:c r="G84" s="212"/>
      <x:c r="H84" s="212"/>
      <x:c r="I84" s="212"/>
      <x:c r="J84" s="212"/>
      <x:c r="K84" s="212"/>
      <x:c r="L84" s="212"/>
      <x:c r="M84" s="211" t="str">
        <x:f t="shared" si="6"/>
      </x:c>
      <x:c r="N84" s="212"/>
      <x:c r="O84" s="212"/>
      <x:c r="P84" s="212"/>
      <x:c r="Q84" s="212"/>
      <x:c r="R84" s="212"/>
      <x:c r="S84" s="213"/>
      <x:c r="T84" s="212"/>
      <x:c r="U84" s="212"/>
      <x:c r="V84" s="212"/>
      <x:c r="W84" s="212"/>
      <x:c r="X84" s="211" t="str">
        <x:f t="shared" si="7"/>
      </x:c>
      <x:c r="Y84" s="212"/>
      <x:c r="Z84" s="212"/>
      <x:c r="AA84" s="211" t="str">
        <x:f t="shared" si="8"/>
      </x:c>
      <x:c r="AB84" s="210"/>
      <x:c r="AC84" s="210"/>
      <x:c r="AD84" s="210"/>
      <x:c r="AE84" s="209"/>
    </x:row>
    <x:row r="85">
      <x:c r="A85" s="210"/>
      <x:c r="B85" s="215"/>
      <x:c r="C85" s="214"/>
      <x:c r="D85" s="210"/>
      <x:c r="E85" s="210"/>
      <x:c r="F85" s="210"/>
      <x:c r="G85" s="212"/>
      <x:c r="H85" s="212"/>
      <x:c r="I85" s="212"/>
      <x:c r="J85" s="212"/>
      <x:c r="K85" s="212"/>
      <x:c r="L85" s="212"/>
      <x:c r="M85" s="211" t="str">
        <x:f t="shared" si="6"/>
      </x:c>
      <x:c r="N85" s="212"/>
      <x:c r="O85" s="212"/>
      <x:c r="P85" s="212"/>
      <x:c r="Q85" s="212"/>
      <x:c r="R85" s="212"/>
      <x:c r="S85" s="213"/>
      <x:c r="T85" s="212"/>
      <x:c r="U85" s="212"/>
      <x:c r="V85" s="212"/>
      <x:c r="W85" s="212"/>
      <x:c r="X85" s="211" t="str">
        <x:f t="shared" si="7"/>
      </x:c>
      <x:c r="Y85" s="212"/>
      <x:c r="Z85" s="212"/>
      <x:c r="AA85" s="211" t="str">
        <x:f t="shared" si="8"/>
      </x:c>
      <x:c r="AB85" s="210"/>
      <x:c r="AC85" s="210"/>
      <x:c r="AD85" s="210"/>
      <x:c r="AE85" s="209"/>
    </x:row>
    <x:row r="86">
      <x:c r="A86" s="210"/>
      <x:c r="B86" s="215"/>
      <x:c r="C86" s="214"/>
      <x:c r="D86" s="210"/>
      <x:c r="E86" s="210"/>
      <x:c r="F86" s="210"/>
      <x:c r="G86" s="212"/>
      <x:c r="H86" s="212"/>
      <x:c r="I86" s="212"/>
      <x:c r="J86" s="212"/>
      <x:c r="K86" s="212"/>
      <x:c r="L86" s="212"/>
      <x:c r="M86" s="211" t="str">
        <x:f t="shared" si="6"/>
      </x:c>
      <x:c r="N86" s="212"/>
      <x:c r="O86" s="212"/>
      <x:c r="P86" s="212"/>
      <x:c r="Q86" s="212"/>
      <x:c r="R86" s="212"/>
      <x:c r="S86" s="213"/>
      <x:c r="T86" s="212"/>
      <x:c r="U86" s="212"/>
      <x:c r="V86" s="212"/>
      <x:c r="W86" s="212"/>
      <x:c r="X86" s="211" t="str">
        <x:f t="shared" si="7"/>
      </x:c>
      <x:c r="Y86" s="212"/>
      <x:c r="Z86" s="212"/>
      <x:c r="AA86" s="211" t="str">
        <x:f t="shared" si="8"/>
      </x:c>
      <x:c r="AB86" s="210"/>
      <x:c r="AC86" s="210"/>
      <x:c r="AD86" s="210"/>
      <x:c r="AE86" s="209"/>
    </x:row>
    <x:row r="87">
      <x:c r="A87" s="210"/>
      <x:c r="B87" s="215"/>
      <x:c r="C87" s="214"/>
      <x:c r="D87" s="210"/>
      <x:c r="E87" s="210"/>
      <x:c r="F87" s="210"/>
      <x:c r="G87" s="212"/>
      <x:c r="H87" s="212"/>
      <x:c r="I87" s="212"/>
      <x:c r="J87" s="212"/>
      <x:c r="K87" s="212"/>
      <x:c r="L87" s="212"/>
      <x:c r="M87" s="211" t="str">
        <x:f t="shared" si="6"/>
      </x:c>
      <x:c r="N87" s="212"/>
      <x:c r="O87" s="212"/>
      <x:c r="P87" s="212"/>
      <x:c r="Q87" s="212"/>
      <x:c r="R87" s="212"/>
      <x:c r="S87" s="213"/>
      <x:c r="T87" s="212"/>
      <x:c r="U87" s="212"/>
      <x:c r="V87" s="212"/>
      <x:c r="W87" s="212"/>
      <x:c r="X87" s="211" t="str">
        <x:f t="shared" si="7"/>
      </x:c>
      <x:c r="Y87" s="212"/>
      <x:c r="Z87" s="212"/>
      <x:c r="AA87" s="211" t="str">
        <x:f t="shared" si="8"/>
      </x:c>
      <x:c r="AB87" s="210"/>
      <x:c r="AC87" s="210"/>
      <x:c r="AD87" s="210"/>
      <x:c r="AE87" s="209"/>
    </x:row>
    <x:row r="88">
      <x:c r="A88" s="210"/>
      <x:c r="B88" s="215"/>
      <x:c r="C88" s="214"/>
      <x:c r="D88" s="210"/>
      <x:c r="E88" s="210"/>
      <x:c r="F88" s="210"/>
      <x:c r="G88" s="212"/>
      <x:c r="H88" s="212"/>
      <x:c r="I88" s="212"/>
      <x:c r="J88" s="212"/>
      <x:c r="K88" s="212"/>
      <x:c r="L88" s="212"/>
      <x:c r="M88" s="211" t="str">
        <x:f t="shared" si="6"/>
      </x:c>
      <x:c r="N88" s="212"/>
      <x:c r="O88" s="212"/>
      <x:c r="P88" s="212"/>
      <x:c r="Q88" s="212"/>
      <x:c r="R88" s="212"/>
      <x:c r="S88" s="213"/>
      <x:c r="T88" s="212"/>
      <x:c r="U88" s="212"/>
      <x:c r="V88" s="212"/>
      <x:c r="W88" s="212"/>
      <x:c r="X88" s="211" t="str">
        <x:f t="shared" si="7"/>
      </x:c>
      <x:c r="Y88" s="212"/>
      <x:c r="Z88" s="212"/>
      <x:c r="AA88" s="211" t="str">
        <x:f t="shared" si="8"/>
      </x:c>
      <x:c r="AB88" s="210"/>
      <x:c r="AC88" s="210"/>
      <x:c r="AD88" s="210"/>
      <x:c r="AE88" s="209"/>
    </x:row>
    <x:row r="89">
      <x:c r="A89" s="210"/>
      <x:c r="B89" s="215"/>
      <x:c r="C89" s="214"/>
      <x:c r="D89" s="210"/>
      <x:c r="E89" s="210"/>
      <x:c r="F89" s="210"/>
      <x:c r="G89" s="212"/>
      <x:c r="H89" s="212"/>
      <x:c r="I89" s="212"/>
      <x:c r="J89" s="212"/>
      <x:c r="K89" s="212"/>
      <x:c r="L89" s="212"/>
      <x:c r="M89" s="211" t="str">
        <x:f t="shared" si="6"/>
      </x:c>
      <x:c r="N89" s="212"/>
      <x:c r="O89" s="212"/>
      <x:c r="P89" s="212"/>
      <x:c r="Q89" s="212"/>
      <x:c r="R89" s="212"/>
      <x:c r="S89" s="213"/>
      <x:c r="T89" s="212"/>
      <x:c r="U89" s="212"/>
      <x:c r="V89" s="212"/>
      <x:c r="W89" s="212"/>
      <x:c r="X89" s="211" t="str">
        <x:f t="shared" si="7"/>
      </x:c>
      <x:c r="Y89" s="212"/>
      <x:c r="Z89" s="212"/>
      <x:c r="AA89" s="211" t="str">
        <x:f t="shared" si="8"/>
      </x:c>
      <x:c r="AB89" s="210"/>
      <x:c r="AC89" s="210"/>
      <x:c r="AD89" s="210"/>
      <x:c r="AE89" s="209"/>
    </x:row>
    <x:row r="90">
      <x:c r="A90" s="210"/>
      <x:c r="B90" s="215"/>
      <x:c r="C90" s="214"/>
      <x:c r="D90" s="210"/>
      <x:c r="E90" s="210"/>
      <x:c r="F90" s="210"/>
      <x:c r="G90" s="212"/>
      <x:c r="H90" s="212"/>
      <x:c r="I90" s="212"/>
      <x:c r="J90" s="212"/>
      <x:c r="K90" s="212"/>
      <x:c r="L90" s="212"/>
      <x:c r="M90" s="211" t="str">
        <x:f t="shared" si="6"/>
      </x:c>
      <x:c r="N90" s="212"/>
      <x:c r="O90" s="212"/>
      <x:c r="P90" s="212"/>
      <x:c r="Q90" s="212"/>
      <x:c r="R90" s="212"/>
      <x:c r="S90" s="213"/>
      <x:c r="T90" s="212"/>
      <x:c r="U90" s="212"/>
      <x:c r="V90" s="212"/>
      <x:c r="W90" s="212"/>
      <x:c r="X90" s="211" t="str">
        <x:f t="shared" si="7"/>
      </x:c>
      <x:c r="Y90" s="212"/>
      <x:c r="Z90" s="212"/>
      <x:c r="AA90" s="211" t="str">
        <x:f t="shared" si="8"/>
      </x:c>
      <x:c r="AB90" s="210"/>
      <x:c r="AC90" s="210"/>
      <x:c r="AD90" s="210"/>
      <x:c r="AE90" s="209"/>
    </x:row>
    <x:row r="91">
      <x:c r="A91" s="210"/>
      <x:c r="B91" s="215"/>
      <x:c r="C91" s="214"/>
      <x:c r="D91" s="210"/>
      <x:c r="E91" s="210"/>
      <x:c r="F91" s="210"/>
      <x:c r="G91" s="212"/>
      <x:c r="H91" s="212"/>
      <x:c r="I91" s="212"/>
      <x:c r="J91" s="212"/>
      <x:c r="K91" s="212"/>
      <x:c r="L91" s="212"/>
      <x:c r="M91" s="211" t="str">
        <x:f t="shared" si="6"/>
      </x:c>
      <x:c r="N91" s="212"/>
      <x:c r="O91" s="212"/>
      <x:c r="P91" s="212"/>
      <x:c r="Q91" s="212"/>
      <x:c r="R91" s="212"/>
      <x:c r="S91" s="213"/>
      <x:c r="T91" s="212"/>
      <x:c r="U91" s="212"/>
      <x:c r="V91" s="212"/>
      <x:c r="W91" s="212"/>
      <x:c r="X91" s="211" t="str">
        <x:f t="shared" si="7"/>
      </x:c>
      <x:c r="Y91" s="212"/>
      <x:c r="Z91" s="212"/>
      <x:c r="AA91" s="211" t="str">
        <x:f t="shared" si="8"/>
      </x:c>
      <x:c r="AB91" s="210"/>
      <x:c r="AC91" s="210"/>
      <x:c r="AD91" s="210"/>
      <x:c r="AE91" s="209"/>
    </x:row>
    <x:row r="92">
      <x:c r="A92" s="210"/>
      <x:c r="B92" s="215"/>
      <x:c r="C92" s="214"/>
      <x:c r="D92" s="210"/>
      <x:c r="E92" s="210"/>
      <x:c r="F92" s="210"/>
      <x:c r="G92" s="212"/>
      <x:c r="H92" s="212"/>
      <x:c r="I92" s="212"/>
      <x:c r="J92" s="212"/>
      <x:c r="K92" s="212"/>
      <x:c r="L92" s="212"/>
      <x:c r="M92" s="211" t="str">
        <x:f t="shared" si="6"/>
      </x:c>
      <x:c r="N92" s="212"/>
      <x:c r="O92" s="212"/>
      <x:c r="P92" s="212"/>
      <x:c r="Q92" s="212"/>
      <x:c r="R92" s="212"/>
      <x:c r="S92" s="213"/>
      <x:c r="T92" s="212"/>
      <x:c r="U92" s="212"/>
      <x:c r="V92" s="212"/>
      <x:c r="W92" s="212"/>
      <x:c r="X92" s="211" t="str">
        <x:f t="shared" si="7"/>
      </x:c>
      <x:c r="Y92" s="212"/>
      <x:c r="Z92" s="212"/>
      <x:c r="AA92" s="211" t="str">
        <x:f t="shared" si="8"/>
      </x:c>
      <x:c r="AB92" s="210"/>
      <x:c r="AC92" s="210"/>
      <x:c r="AD92" s="210"/>
      <x:c r="AE92" s="209"/>
    </x:row>
    <x:row r="93">
      <x:c r="A93" s="210"/>
      <x:c r="B93" s="215"/>
      <x:c r="C93" s="214"/>
      <x:c r="D93" s="210"/>
      <x:c r="E93" s="210"/>
      <x:c r="F93" s="210"/>
      <x:c r="G93" s="212"/>
      <x:c r="H93" s="212"/>
      <x:c r="I93" s="212"/>
      <x:c r="J93" s="212"/>
      <x:c r="K93" s="212"/>
      <x:c r="L93" s="212"/>
      <x:c r="M93" s="211" t="str">
        <x:f t="shared" si="6"/>
      </x:c>
      <x:c r="N93" s="212"/>
      <x:c r="O93" s="212"/>
      <x:c r="P93" s="212"/>
      <x:c r="Q93" s="212"/>
      <x:c r="R93" s="212"/>
      <x:c r="S93" s="213"/>
      <x:c r="T93" s="212"/>
      <x:c r="U93" s="212"/>
      <x:c r="V93" s="212"/>
      <x:c r="W93" s="212"/>
      <x:c r="X93" s="211" t="str">
        <x:f t="shared" si="7"/>
      </x:c>
      <x:c r="Y93" s="212"/>
      <x:c r="Z93" s="212"/>
      <x:c r="AA93" s="211" t="str">
        <x:f t="shared" si="8"/>
      </x:c>
      <x:c r="AB93" s="210"/>
      <x:c r="AC93" s="210"/>
      <x:c r="AD93" s="210"/>
      <x:c r="AE93" s="209"/>
    </x:row>
    <x:row r="94">
      <x:c r="A94" s="210"/>
      <x:c r="B94" s="215"/>
      <x:c r="C94" s="214"/>
      <x:c r="D94" s="210"/>
      <x:c r="E94" s="210"/>
      <x:c r="F94" s="210"/>
      <x:c r="G94" s="212"/>
      <x:c r="H94" s="212"/>
      <x:c r="I94" s="212"/>
      <x:c r="J94" s="212"/>
      <x:c r="K94" s="212"/>
      <x:c r="L94" s="212"/>
      <x:c r="M94" s="211" t="str">
        <x:f t="shared" si="6"/>
      </x:c>
      <x:c r="N94" s="212"/>
      <x:c r="O94" s="212"/>
      <x:c r="P94" s="212"/>
      <x:c r="Q94" s="212"/>
      <x:c r="R94" s="212"/>
      <x:c r="S94" s="213"/>
      <x:c r="T94" s="212"/>
      <x:c r="U94" s="212"/>
      <x:c r="V94" s="212"/>
      <x:c r="W94" s="212"/>
      <x:c r="X94" s="211" t="str">
        <x:f t="shared" si="7"/>
      </x:c>
      <x:c r="Y94" s="212"/>
      <x:c r="Z94" s="212"/>
      <x:c r="AA94" s="211" t="str">
        <x:f t="shared" si="8"/>
      </x:c>
      <x:c r="AB94" s="210"/>
      <x:c r="AC94" s="210"/>
      <x:c r="AD94" s="210"/>
      <x:c r="AE94" s="209"/>
    </x:row>
    <x:row r="95">
      <x:c r="A95" s="210"/>
      <x:c r="B95" s="215"/>
      <x:c r="C95" s="214"/>
      <x:c r="D95" s="210"/>
      <x:c r="E95" s="210"/>
      <x:c r="F95" s="210"/>
      <x:c r="G95" s="212"/>
      <x:c r="H95" s="212"/>
      <x:c r="I95" s="212"/>
      <x:c r="J95" s="212"/>
      <x:c r="K95" s="212"/>
      <x:c r="L95" s="212"/>
      <x:c r="M95" s="211" t="str">
        <x:f t="shared" si="6"/>
      </x:c>
      <x:c r="N95" s="212"/>
      <x:c r="O95" s="212"/>
      <x:c r="P95" s="212"/>
      <x:c r="Q95" s="212"/>
      <x:c r="R95" s="212"/>
      <x:c r="S95" s="213"/>
      <x:c r="T95" s="212"/>
      <x:c r="U95" s="212"/>
      <x:c r="V95" s="212"/>
      <x:c r="W95" s="212"/>
      <x:c r="X95" s="211" t="str">
        <x:f t="shared" si="7"/>
      </x:c>
      <x:c r="Y95" s="212"/>
      <x:c r="Z95" s="212"/>
      <x:c r="AA95" s="211" t="str">
        <x:f t="shared" si="8"/>
      </x:c>
      <x:c r="AB95" s="210"/>
      <x:c r="AC95" s="210"/>
      <x:c r="AD95" s="210"/>
      <x:c r="AE95" s="209"/>
    </x:row>
    <x:row r="96">
      <x:c r="A96" s="210"/>
      <x:c r="B96" s="215"/>
      <x:c r="C96" s="214"/>
      <x:c r="D96" s="210"/>
      <x:c r="E96" s="210"/>
      <x:c r="F96" s="210"/>
      <x:c r="G96" s="212"/>
      <x:c r="H96" s="212"/>
      <x:c r="I96" s="212"/>
      <x:c r="J96" s="212"/>
      <x:c r="K96" s="212"/>
      <x:c r="L96" s="212"/>
      <x:c r="M96" s="211" t="str">
        <x:f t="shared" si="6"/>
      </x:c>
      <x:c r="N96" s="212"/>
      <x:c r="O96" s="212"/>
      <x:c r="P96" s="212"/>
      <x:c r="Q96" s="212"/>
      <x:c r="R96" s="212"/>
      <x:c r="S96" s="213"/>
      <x:c r="T96" s="212"/>
      <x:c r="U96" s="212"/>
      <x:c r="V96" s="212"/>
      <x:c r="W96" s="212"/>
      <x:c r="X96" s="211" t="str">
        <x:f t="shared" si="7"/>
      </x:c>
      <x:c r="Y96" s="212"/>
      <x:c r="Z96" s="212"/>
      <x:c r="AA96" s="211" t="str">
        <x:f t="shared" si="8"/>
      </x:c>
      <x:c r="AB96" s="210"/>
      <x:c r="AC96" s="210"/>
      <x:c r="AD96" s="210"/>
      <x:c r="AE96" s="209"/>
    </x:row>
    <x:row r="97">
      <x:c r="A97" s="210"/>
      <x:c r="B97" s="215"/>
      <x:c r="C97" s="214"/>
      <x:c r="D97" s="210"/>
      <x:c r="E97" s="210"/>
      <x:c r="F97" s="210"/>
      <x:c r="G97" s="212"/>
      <x:c r="H97" s="212"/>
      <x:c r="I97" s="212"/>
      <x:c r="J97" s="212"/>
      <x:c r="K97" s="212"/>
      <x:c r="L97" s="212"/>
      <x:c r="M97" s="211" t="str">
        <x:f t="shared" si="6"/>
      </x:c>
      <x:c r="N97" s="212"/>
      <x:c r="O97" s="212"/>
      <x:c r="P97" s="212"/>
      <x:c r="Q97" s="212"/>
      <x:c r="R97" s="212"/>
      <x:c r="S97" s="213"/>
      <x:c r="T97" s="212"/>
      <x:c r="U97" s="212"/>
      <x:c r="V97" s="212"/>
      <x:c r="W97" s="212"/>
      <x:c r="X97" s="211" t="str">
        <x:f t="shared" si="7"/>
      </x:c>
      <x:c r="Y97" s="212"/>
      <x:c r="Z97" s="212"/>
      <x:c r="AA97" s="211" t="str">
        <x:f t="shared" si="8"/>
      </x:c>
      <x:c r="AB97" s="210"/>
      <x:c r="AC97" s="210"/>
      <x:c r="AD97" s="210"/>
      <x:c r="AE97" s="209"/>
    </x:row>
    <x:row r="98">
      <x:c r="A98" s="210"/>
      <x:c r="B98" s="215"/>
      <x:c r="C98" s="214"/>
      <x:c r="D98" s="210"/>
      <x:c r="E98" s="210"/>
      <x:c r="F98" s="210"/>
      <x:c r="G98" s="212"/>
      <x:c r="H98" s="212"/>
      <x:c r="I98" s="212"/>
      <x:c r="J98" s="212"/>
      <x:c r="K98" s="212"/>
      <x:c r="L98" s="212"/>
      <x:c r="M98" s="211" t="str">
        <x:f t="shared" si="6"/>
      </x:c>
      <x:c r="N98" s="212"/>
      <x:c r="O98" s="212"/>
      <x:c r="P98" s="212"/>
      <x:c r="Q98" s="212"/>
      <x:c r="R98" s="212"/>
      <x:c r="S98" s="213"/>
      <x:c r="T98" s="212"/>
      <x:c r="U98" s="212"/>
      <x:c r="V98" s="212"/>
      <x:c r="W98" s="212"/>
      <x:c r="X98" s="211" t="str">
        <x:f t="shared" si="7"/>
      </x:c>
      <x:c r="Y98" s="212"/>
      <x:c r="Z98" s="212"/>
      <x:c r="AA98" s="211" t="str">
        <x:f t="shared" si="8"/>
      </x:c>
      <x:c r="AB98" s="210"/>
      <x:c r="AC98" s="210"/>
      <x:c r="AD98" s="210"/>
      <x:c r="AE98" s="209"/>
    </x:row>
    <x:row r="99">
      <x:c r="A99" s="210"/>
      <x:c r="B99" s="215"/>
      <x:c r="C99" s="214"/>
      <x:c r="D99" s="210"/>
      <x:c r="E99" s="210"/>
      <x:c r="F99" s="210"/>
      <x:c r="G99" s="212"/>
      <x:c r="H99" s="212"/>
      <x:c r="I99" s="212"/>
      <x:c r="J99" s="212"/>
      <x:c r="K99" s="212"/>
      <x:c r="L99" s="212"/>
      <x:c r="M99" s="211" t="str">
        <x:f t="shared" si="6"/>
      </x:c>
      <x:c r="N99" s="212"/>
      <x:c r="O99" s="212"/>
      <x:c r="P99" s="212"/>
      <x:c r="Q99" s="212"/>
      <x:c r="R99" s="212"/>
      <x:c r="S99" s="213"/>
      <x:c r="T99" s="212"/>
      <x:c r="U99" s="212"/>
      <x:c r="V99" s="212"/>
      <x:c r="W99" s="212"/>
      <x:c r="X99" s="211" t="str">
        <x:f t="shared" si="7"/>
      </x:c>
      <x:c r="Y99" s="212"/>
      <x:c r="Z99" s="212"/>
      <x:c r="AA99" s="211" t="str">
        <x:f t="shared" si="8"/>
      </x:c>
      <x:c r="AB99" s="210"/>
      <x:c r="AC99" s="210"/>
      <x:c r="AD99" s="210"/>
      <x:c r="AE99" s="209"/>
    </x:row>
    <x:row r="100">
      <x:c r="A100" s="210"/>
      <x:c r="B100" s="215"/>
      <x:c r="C100" s="214"/>
      <x:c r="D100" s="210"/>
      <x:c r="E100" s="210"/>
      <x:c r="F100" s="210"/>
      <x:c r="G100" s="212"/>
      <x:c r="H100" s="212"/>
      <x:c r="I100" s="212"/>
      <x:c r="J100" s="212"/>
      <x:c r="K100" s="212"/>
      <x:c r="L100" s="212"/>
      <x:c r="M100" s="211" t="str">
        <x:f t="shared" si="6"/>
      </x:c>
      <x:c r="N100" s="212"/>
      <x:c r="O100" s="212"/>
      <x:c r="P100" s="212"/>
      <x:c r="Q100" s="212"/>
      <x:c r="R100" s="212"/>
      <x:c r="S100" s="213"/>
      <x:c r="T100" s="212"/>
      <x:c r="U100" s="212"/>
      <x:c r="V100" s="212"/>
      <x:c r="W100" s="212"/>
      <x:c r="X100" s="211" t="str">
        <x:f t="shared" si="7"/>
      </x:c>
      <x:c r="Y100" s="212"/>
      <x:c r="Z100" s="212"/>
      <x:c r="AA100" s="211" t="str">
        <x:f t="shared" si="8"/>
      </x:c>
      <x:c r="AB100" s="210"/>
      <x:c r="AC100" s="210"/>
      <x:c r="AD100" s="210"/>
      <x:c r="AE100" s="209"/>
    </x:row>
    <x:row r="101">
      <x:c r="A101" s="210"/>
      <x:c r="B101" s="215"/>
      <x:c r="C101" s="214"/>
      <x:c r="D101" s="210"/>
      <x:c r="E101" s="210"/>
      <x:c r="F101" s="210"/>
      <x:c r="G101" s="212"/>
      <x:c r="H101" s="212"/>
      <x:c r="I101" s="212"/>
      <x:c r="J101" s="212"/>
      <x:c r="K101" s="212"/>
      <x:c r="L101" s="212"/>
      <x:c r="M101" s="211" t="str">
        <x:f t="shared" si="6"/>
      </x:c>
      <x:c r="N101" s="212"/>
      <x:c r="O101" s="212"/>
      <x:c r="P101" s="212"/>
      <x:c r="Q101" s="212"/>
      <x:c r="R101" s="212"/>
      <x:c r="S101" s="213"/>
      <x:c r="T101" s="212"/>
      <x:c r="U101" s="212"/>
      <x:c r="V101" s="212"/>
      <x:c r="W101" s="212"/>
      <x:c r="X101" s="211" t="str">
        <x:f t="shared" si="7"/>
      </x:c>
      <x:c r="Y101" s="212"/>
      <x:c r="Z101" s="212"/>
      <x:c r="AA101" s="211" t="str">
        <x:f t="shared" si="8"/>
      </x:c>
      <x:c r="AB101" s="210"/>
      <x:c r="AC101" s="210"/>
      <x:c r="AD101" s="210"/>
      <x:c r="AE101" s="209"/>
    </x:row>
    <x:row r="102">
      <x:c r="A102" s="210"/>
      <x:c r="B102" s="215"/>
      <x:c r="C102" s="214"/>
      <x:c r="D102" s="210"/>
      <x:c r="E102" s="210"/>
      <x:c r="F102" s="210"/>
      <x:c r="G102" s="212"/>
      <x:c r="H102" s="212"/>
      <x:c r="I102" s="212"/>
      <x:c r="J102" s="212"/>
      <x:c r="K102" s="212"/>
      <x:c r="L102" s="212"/>
      <x:c r="M102" s="211" t="str">
        <x:f t="shared" ref="M102:M133" si="9">IF(OR($A102="",$G102=0),"",$K102/$G102)</x:f>
      </x:c>
      <x:c r="N102" s="212"/>
      <x:c r="O102" s="212"/>
      <x:c r="P102" s="212"/>
      <x:c r="Q102" s="212"/>
      <x:c r="R102" s="212"/>
      <x:c r="S102" s="213"/>
      <x:c r="T102" s="212"/>
      <x:c r="U102" s="212"/>
      <x:c r="V102" s="212"/>
      <x:c r="W102" s="212"/>
      <x:c r="X102" s="211" t="str">
        <x:f t="shared" ref="X102:X133" si="10">IF(OR($A102="",$T102=0),"",$U102/$T102)</x:f>
      </x:c>
      <x:c r="Y102" s="212"/>
      <x:c r="Z102" s="212"/>
      <x:c r="AA102" s="211" t="str">
        <x:f t="shared" ref="AA102:AA133" si="11">IF(OR($A102="",$Y102=0),"",$Z102/$Y102)</x:f>
      </x:c>
      <x:c r="AB102" s="210"/>
      <x:c r="AC102" s="210"/>
      <x:c r="AD102" s="210"/>
      <x:c r="AE102" s="209"/>
    </x:row>
    <x:row r="103">
      <x:c r="A103" s="210"/>
      <x:c r="B103" s="215"/>
      <x:c r="C103" s="214"/>
      <x:c r="D103" s="210"/>
      <x:c r="E103" s="210"/>
      <x:c r="F103" s="210"/>
      <x:c r="G103" s="212"/>
      <x:c r="H103" s="212"/>
      <x:c r="I103" s="212"/>
      <x:c r="J103" s="212"/>
      <x:c r="K103" s="212"/>
      <x:c r="L103" s="212"/>
      <x:c r="M103" s="211" t="str">
        <x:f t="shared" si="9"/>
      </x:c>
      <x:c r="N103" s="212"/>
      <x:c r="O103" s="212"/>
      <x:c r="P103" s="212"/>
      <x:c r="Q103" s="212"/>
      <x:c r="R103" s="212"/>
      <x:c r="S103" s="213"/>
      <x:c r="T103" s="212"/>
      <x:c r="U103" s="212"/>
      <x:c r="V103" s="212"/>
      <x:c r="W103" s="212"/>
      <x:c r="X103" s="211" t="str">
        <x:f t="shared" si="10"/>
      </x:c>
      <x:c r="Y103" s="212"/>
      <x:c r="Z103" s="212"/>
      <x:c r="AA103" s="211" t="str">
        <x:f t="shared" si="11"/>
      </x:c>
      <x:c r="AB103" s="210"/>
      <x:c r="AC103" s="210"/>
      <x:c r="AD103" s="210"/>
      <x:c r="AE103" s="209"/>
    </x:row>
    <x:row r="104">
      <x:c r="A104" s="210"/>
      <x:c r="B104" s="215"/>
      <x:c r="C104" s="214"/>
      <x:c r="D104" s="210"/>
      <x:c r="E104" s="210"/>
      <x:c r="F104" s="210"/>
      <x:c r="G104" s="212"/>
      <x:c r="H104" s="212"/>
      <x:c r="I104" s="212"/>
      <x:c r="J104" s="212"/>
      <x:c r="K104" s="212"/>
      <x:c r="L104" s="212"/>
      <x:c r="M104" s="211" t="str">
        <x:f t="shared" si="9"/>
      </x:c>
      <x:c r="N104" s="212"/>
      <x:c r="O104" s="212"/>
      <x:c r="P104" s="212"/>
      <x:c r="Q104" s="212"/>
      <x:c r="R104" s="212"/>
      <x:c r="S104" s="213"/>
      <x:c r="T104" s="212"/>
      <x:c r="U104" s="212"/>
      <x:c r="V104" s="212"/>
      <x:c r="W104" s="212"/>
      <x:c r="X104" s="211" t="str">
        <x:f t="shared" si="10"/>
      </x:c>
      <x:c r="Y104" s="212"/>
      <x:c r="Z104" s="212"/>
      <x:c r="AA104" s="211" t="str">
        <x:f t="shared" si="11"/>
      </x:c>
      <x:c r="AB104" s="210"/>
      <x:c r="AC104" s="210"/>
      <x:c r="AD104" s="210"/>
      <x:c r="AE104" s="209"/>
    </x:row>
    <x:row r="105">
      <x:c r="A105" s="210"/>
      <x:c r="B105" s="215"/>
      <x:c r="C105" s="214"/>
      <x:c r="D105" s="210"/>
      <x:c r="E105" s="210"/>
      <x:c r="F105" s="210"/>
      <x:c r="G105" s="212"/>
      <x:c r="H105" s="212"/>
      <x:c r="I105" s="212"/>
      <x:c r="J105" s="212"/>
      <x:c r="K105" s="212"/>
      <x:c r="L105" s="212"/>
      <x:c r="M105" s="211" t="str">
        <x:f t="shared" si="9"/>
      </x:c>
      <x:c r="N105" s="212"/>
      <x:c r="O105" s="212"/>
      <x:c r="P105" s="212"/>
      <x:c r="Q105" s="212"/>
      <x:c r="R105" s="212"/>
      <x:c r="S105" s="213"/>
      <x:c r="T105" s="212"/>
      <x:c r="U105" s="212"/>
      <x:c r="V105" s="212"/>
      <x:c r="W105" s="212"/>
      <x:c r="X105" s="211" t="str">
        <x:f t="shared" si="10"/>
      </x:c>
      <x:c r="Y105" s="212"/>
      <x:c r="Z105" s="212"/>
      <x:c r="AA105" s="211" t="str">
        <x:f t="shared" si="11"/>
      </x:c>
      <x:c r="AB105" s="210"/>
      <x:c r="AC105" s="210"/>
      <x:c r="AD105" s="210"/>
      <x:c r="AE105" s="209"/>
    </x:row>
    <x:row r="106">
      <x:c r="A106" s="210"/>
      <x:c r="B106" s="215"/>
      <x:c r="C106" s="214"/>
      <x:c r="D106" s="210"/>
      <x:c r="E106" s="210"/>
      <x:c r="F106" s="210"/>
      <x:c r="G106" s="212"/>
      <x:c r="H106" s="212"/>
      <x:c r="I106" s="212"/>
      <x:c r="J106" s="212"/>
      <x:c r="K106" s="212"/>
      <x:c r="L106" s="212"/>
      <x:c r="M106" s="211" t="str">
        <x:f t="shared" si="9"/>
      </x:c>
      <x:c r="N106" s="212"/>
      <x:c r="O106" s="212"/>
      <x:c r="P106" s="212"/>
      <x:c r="Q106" s="212"/>
      <x:c r="R106" s="212"/>
      <x:c r="S106" s="213"/>
      <x:c r="T106" s="212"/>
      <x:c r="U106" s="212"/>
      <x:c r="V106" s="212"/>
      <x:c r="W106" s="212"/>
      <x:c r="X106" s="211" t="str">
        <x:f t="shared" si="10"/>
      </x:c>
      <x:c r="Y106" s="212"/>
      <x:c r="Z106" s="212"/>
      <x:c r="AA106" s="211" t="str">
        <x:f t="shared" si="11"/>
      </x:c>
      <x:c r="AB106" s="210"/>
      <x:c r="AC106" s="210"/>
      <x:c r="AD106" s="210"/>
      <x:c r="AE106" s="209"/>
    </x:row>
    <x:row r="107">
      <x:c r="A107" s="210"/>
      <x:c r="B107" s="215"/>
      <x:c r="C107" s="214"/>
      <x:c r="D107" s="210"/>
      <x:c r="E107" s="210"/>
      <x:c r="F107" s="210"/>
      <x:c r="G107" s="212"/>
      <x:c r="H107" s="212"/>
      <x:c r="I107" s="212"/>
      <x:c r="J107" s="212"/>
      <x:c r="K107" s="212"/>
      <x:c r="L107" s="212"/>
      <x:c r="M107" s="211" t="str">
        <x:f t="shared" si="9"/>
      </x:c>
      <x:c r="N107" s="212"/>
      <x:c r="O107" s="212"/>
      <x:c r="P107" s="212"/>
      <x:c r="Q107" s="212"/>
      <x:c r="R107" s="212"/>
      <x:c r="S107" s="213"/>
      <x:c r="T107" s="212"/>
      <x:c r="U107" s="212"/>
      <x:c r="V107" s="212"/>
      <x:c r="W107" s="212"/>
      <x:c r="X107" s="211" t="str">
        <x:f t="shared" si="10"/>
      </x:c>
      <x:c r="Y107" s="212"/>
      <x:c r="Z107" s="212"/>
      <x:c r="AA107" s="211" t="str">
        <x:f t="shared" si="11"/>
      </x:c>
      <x:c r="AB107" s="210"/>
      <x:c r="AC107" s="210"/>
      <x:c r="AD107" s="210"/>
      <x:c r="AE107" s="209"/>
    </x:row>
    <x:row r="108">
      <x:c r="A108" s="210"/>
      <x:c r="B108" s="215"/>
      <x:c r="C108" s="214"/>
      <x:c r="D108" s="210"/>
      <x:c r="E108" s="210"/>
      <x:c r="F108" s="210"/>
      <x:c r="G108" s="212"/>
      <x:c r="H108" s="212"/>
      <x:c r="I108" s="212"/>
      <x:c r="J108" s="212"/>
      <x:c r="K108" s="212"/>
      <x:c r="L108" s="212"/>
      <x:c r="M108" s="211" t="str">
        <x:f t="shared" si="9"/>
      </x:c>
      <x:c r="N108" s="212"/>
      <x:c r="O108" s="212"/>
      <x:c r="P108" s="212"/>
      <x:c r="Q108" s="212"/>
      <x:c r="R108" s="212"/>
      <x:c r="S108" s="213"/>
      <x:c r="T108" s="212"/>
      <x:c r="U108" s="212"/>
      <x:c r="V108" s="212"/>
      <x:c r="W108" s="212"/>
      <x:c r="X108" s="211" t="str">
        <x:f t="shared" si="10"/>
      </x:c>
      <x:c r="Y108" s="212"/>
      <x:c r="Z108" s="212"/>
      <x:c r="AA108" s="211" t="str">
        <x:f t="shared" si="11"/>
      </x:c>
      <x:c r="AB108" s="210"/>
      <x:c r="AC108" s="210"/>
      <x:c r="AD108" s="210"/>
      <x:c r="AE108" s="209"/>
    </x:row>
    <x:row r="109">
      <x:c r="A109" s="210"/>
      <x:c r="B109" s="215"/>
      <x:c r="C109" s="214"/>
      <x:c r="D109" s="210"/>
      <x:c r="E109" s="210"/>
      <x:c r="F109" s="210"/>
      <x:c r="G109" s="212"/>
      <x:c r="H109" s="212"/>
      <x:c r="I109" s="212"/>
      <x:c r="J109" s="212"/>
      <x:c r="K109" s="212"/>
      <x:c r="L109" s="212"/>
      <x:c r="M109" s="211" t="str">
        <x:f t="shared" si="9"/>
      </x:c>
      <x:c r="N109" s="212"/>
      <x:c r="O109" s="212"/>
      <x:c r="P109" s="212"/>
      <x:c r="Q109" s="212"/>
      <x:c r="R109" s="212"/>
      <x:c r="S109" s="213"/>
      <x:c r="T109" s="212"/>
      <x:c r="U109" s="212"/>
      <x:c r="V109" s="212"/>
      <x:c r="W109" s="212"/>
      <x:c r="X109" s="211" t="str">
        <x:f t="shared" si="10"/>
      </x:c>
      <x:c r="Y109" s="212"/>
      <x:c r="Z109" s="212"/>
      <x:c r="AA109" s="211" t="str">
        <x:f t="shared" si="11"/>
      </x:c>
      <x:c r="AB109" s="210"/>
      <x:c r="AC109" s="210"/>
      <x:c r="AD109" s="210"/>
      <x:c r="AE109" s="209"/>
    </x:row>
    <x:row r="110">
      <x:c r="A110" s="210"/>
      <x:c r="B110" s="215"/>
      <x:c r="C110" s="214"/>
      <x:c r="D110" s="210"/>
      <x:c r="E110" s="210"/>
      <x:c r="F110" s="210"/>
      <x:c r="G110" s="212"/>
      <x:c r="H110" s="212"/>
      <x:c r="I110" s="212"/>
      <x:c r="J110" s="212"/>
      <x:c r="K110" s="212"/>
      <x:c r="L110" s="212"/>
      <x:c r="M110" s="211" t="str">
        <x:f t="shared" si="9"/>
      </x:c>
      <x:c r="N110" s="212"/>
      <x:c r="O110" s="212"/>
      <x:c r="P110" s="212"/>
      <x:c r="Q110" s="212"/>
      <x:c r="R110" s="212"/>
      <x:c r="S110" s="213"/>
      <x:c r="T110" s="212"/>
      <x:c r="U110" s="212"/>
      <x:c r="V110" s="212"/>
      <x:c r="W110" s="212"/>
      <x:c r="X110" s="211" t="str">
        <x:f t="shared" si="10"/>
      </x:c>
      <x:c r="Y110" s="212"/>
      <x:c r="Z110" s="212"/>
      <x:c r="AA110" s="211" t="str">
        <x:f t="shared" si="11"/>
      </x:c>
      <x:c r="AB110" s="210"/>
      <x:c r="AC110" s="210"/>
      <x:c r="AD110" s="210"/>
      <x:c r="AE110" s="209"/>
    </x:row>
    <x:row r="111">
      <x:c r="A111" s="210"/>
      <x:c r="B111" s="215"/>
      <x:c r="C111" s="214"/>
      <x:c r="D111" s="210"/>
      <x:c r="E111" s="210"/>
      <x:c r="F111" s="210"/>
      <x:c r="G111" s="212"/>
      <x:c r="H111" s="212"/>
      <x:c r="I111" s="212"/>
      <x:c r="J111" s="212"/>
      <x:c r="K111" s="212"/>
      <x:c r="L111" s="212"/>
      <x:c r="M111" s="211" t="str">
        <x:f t="shared" si="9"/>
      </x:c>
      <x:c r="N111" s="212"/>
      <x:c r="O111" s="212"/>
      <x:c r="P111" s="212"/>
      <x:c r="Q111" s="212"/>
      <x:c r="R111" s="212"/>
      <x:c r="S111" s="213"/>
      <x:c r="T111" s="212"/>
      <x:c r="U111" s="212"/>
      <x:c r="V111" s="212"/>
      <x:c r="W111" s="212"/>
      <x:c r="X111" s="211" t="str">
        <x:f t="shared" si="10"/>
      </x:c>
      <x:c r="Y111" s="212"/>
      <x:c r="Z111" s="212"/>
      <x:c r="AA111" s="211" t="str">
        <x:f t="shared" si="11"/>
      </x:c>
      <x:c r="AB111" s="210"/>
      <x:c r="AC111" s="210"/>
      <x:c r="AD111" s="210"/>
      <x:c r="AE111" s="209"/>
    </x:row>
    <x:row r="112">
      <x:c r="A112" s="210"/>
      <x:c r="B112" s="215"/>
      <x:c r="C112" s="214"/>
      <x:c r="D112" s="210"/>
      <x:c r="E112" s="210"/>
      <x:c r="F112" s="210"/>
      <x:c r="G112" s="212"/>
      <x:c r="H112" s="212"/>
      <x:c r="I112" s="212"/>
      <x:c r="J112" s="212"/>
      <x:c r="K112" s="212"/>
      <x:c r="L112" s="212"/>
      <x:c r="M112" s="211" t="str">
        <x:f t="shared" si="9"/>
      </x:c>
      <x:c r="N112" s="212"/>
      <x:c r="O112" s="212"/>
      <x:c r="P112" s="212"/>
      <x:c r="Q112" s="212"/>
      <x:c r="R112" s="212"/>
      <x:c r="S112" s="213"/>
      <x:c r="T112" s="212"/>
      <x:c r="U112" s="212"/>
      <x:c r="V112" s="212"/>
      <x:c r="W112" s="212"/>
      <x:c r="X112" s="211" t="str">
        <x:f t="shared" si="10"/>
      </x:c>
      <x:c r="Y112" s="212"/>
      <x:c r="Z112" s="212"/>
      <x:c r="AA112" s="211" t="str">
        <x:f t="shared" si="11"/>
      </x:c>
      <x:c r="AB112" s="210"/>
      <x:c r="AC112" s="210"/>
      <x:c r="AD112" s="210"/>
      <x:c r="AE112" s="209"/>
    </x:row>
    <x:row r="113">
      <x:c r="A113" s="210"/>
      <x:c r="B113" s="215"/>
      <x:c r="C113" s="214"/>
      <x:c r="D113" s="210"/>
      <x:c r="E113" s="210"/>
      <x:c r="F113" s="210"/>
      <x:c r="G113" s="212"/>
      <x:c r="H113" s="212"/>
      <x:c r="I113" s="212"/>
      <x:c r="J113" s="212"/>
      <x:c r="K113" s="212"/>
      <x:c r="L113" s="212"/>
      <x:c r="M113" s="211" t="str">
        <x:f t="shared" si="9"/>
      </x:c>
      <x:c r="N113" s="212"/>
      <x:c r="O113" s="212"/>
      <x:c r="P113" s="212"/>
      <x:c r="Q113" s="212"/>
      <x:c r="R113" s="212"/>
      <x:c r="S113" s="213"/>
      <x:c r="T113" s="212"/>
      <x:c r="U113" s="212"/>
      <x:c r="V113" s="212"/>
      <x:c r="W113" s="212"/>
      <x:c r="X113" s="211" t="str">
        <x:f t="shared" si="10"/>
      </x:c>
      <x:c r="Y113" s="212"/>
      <x:c r="Z113" s="212"/>
      <x:c r="AA113" s="211" t="str">
        <x:f t="shared" si="11"/>
      </x:c>
      <x:c r="AB113" s="210"/>
      <x:c r="AC113" s="210"/>
      <x:c r="AD113" s="210"/>
      <x:c r="AE113" s="209"/>
    </x:row>
    <x:row r="114">
      <x:c r="A114" s="210"/>
      <x:c r="B114" s="215"/>
      <x:c r="C114" s="214"/>
      <x:c r="D114" s="210"/>
      <x:c r="E114" s="210"/>
      <x:c r="F114" s="210"/>
      <x:c r="G114" s="212"/>
      <x:c r="H114" s="212"/>
      <x:c r="I114" s="212"/>
      <x:c r="J114" s="212"/>
      <x:c r="K114" s="212"/>
      <x:c r="L114" s="212"/>
      <x:c r="M114" s="211" t="str">
        <x:f t="shared" si="9"/>
      </x:c>
      <x:c r="N114" s="212"/>
      <x:c r="O114" s="212"/>
      <x:c r="P114" s="212"/>
      <x:c r="Q114" s="212"/>
      <x:c r="R114" s="212"/>
      <x:c r="S114" s="213"/>
      <x:c r="T114" s="212"/>
      <x:c r="U114" s="212"/>
      <x:c r="V114" s="212"/>
      <x:c r="W114" s="212"/>
      <x:c r="X114" s="211" t="str">
        <x:f t="shared" si="10"/>
      </x:c>
      <x:c r="Y114" s="212"/>
      <x:c r="Z114" s="212"/>
      <x:c r="AA114" s="211" t="str">
        <x:f t="shared" si="11"/>
      </x:c>
      <x:c r="AB114" s="210"/>
      <x:c r="AC114" s="210"/>
      <x:c r="AD114" s="210"/>
      <x:c r="AE114" s="209"/>
    </x:row>
    <x:row r="115">
      <x:c r="A115" s="210"/>
      <x:c r="B115" s="215"/>
      <x:c r="C115" s="214"/>
      <x:c r="D115" s="210"/>
      <x:c r="E115" s="210"/>
      <x:c r="F115" s="210"/>
      <x:c r="G115" s="212"/>
      <x:c r="H115" s="212"/>
      <x:c r="I115" s="212"/>
      <x:c r="J115" s="212"/>
      <x:c r="K115" s="212"/>
      <x:c r="L115" s="212"/>
      <x:c r="M115" s="211" t="str">
        <x:f t="shared" si="9"/>
      </x:c>
      <x:c r="N115" s="212"/>
      <x:c r="O115" s="212"/>
      <x:c r="P115" s="212"/>
      <x:c r="Q115" s="212"/>
      <x:c r="R115" s="212"/>
      <x:c r="S115" s="213"/>
      <x:c r="T115" s="212"/>
      <x:c r="U115" s="212"/>
      <x:c r="V115" s="212"/>
      <x:c r="W115" s="212"/>
      <x:c r="X115" s="211" t="str">
        <x:f t="shared" si="10"/>
      </x:c>
      <x:c r="Y115" s="212"/>
      <x:c r="Z115" s="212"/>
      <x:c r="AA115" s="211" t="str">
        <x:f t="shared" si="11"/>
      </x:c>
      <x:c r="AB115" s="210"/>
      <x:c r="AC115" s="210"/>
      <x:c r="AD115" s="210"/>
      <x:c r="AE115" s="209"/>
    </x:row>
    <x:row r="116">
      <x:c r="A116" s="210"/>
      <x:c r="B116" s="215"/>
      <x:c r="C116" s="214"/>
      <x:c r="D116" s="210"/>
      <x:c r="E116" s="210"/>
      <x:c r="F116" s="210"/>
      <x:c r="G116" s="212"/>
      <x:c r="H116" s="212"/>
      <x:c r="I116" s="212"/>
      <x:c r="J116" s="212"/>
      <x:c r="K116" s="212"/>
      <x:c r="L116" s="212"/>
      <x:c r="M116" s="211" t="str">
        <x:f t="shared" si="9"/>
      </x:c>
      <x:c r="N116" s="212"/>
      <x:c r="O116" s="212"/>
      <x:c r="P116" s="212"/>
      <x:c r="Q116" s="212"/>
      <x:c r="R116" s="212"/>
      <x:c r="S116" s="213"/>
      <x:c r="T116" s="212"/>
      <x:c r="U116" s="212"/>
      <x:c r="V116" s="212"/>
      <x:c r="W116" s="212"/>
      <x:c r="X116" s="211" t="str">
        <x:f t="shared" si="10"/>
      </x:c>
      <x:c r="Y116" s="212"/>
      <x:c r="Z116" s="212"/>
      <x:c r="AA116" s="211" t="str">
        <x:f t="shared" si="11"/>
      </x:c>
      <x:c r="AB116" s="210"/>
      <x:c r="AC116" s="210"/>
      <x:c r="AD116" s="210"/>
      <x:c r="AE116" s="209"/>
    </x:row>
    <x:row r="117">
      <x:c r="A117" s="210"/>
      <x:c r="B117" s="215"/>
      <x:c r="C117" s="214"/>
      <x:c r="D117" s="210"/>
      <x:c r="E117" s="210"/>
      <x:c r="F117" s="210"/>
      <x:c r="G117" s="212"/>
      <x:c r="H117" s="212"/>
      <x:c r="I117" s="212"/>
      <x:c r="J117" s="212"/>
      <x:c r="K117" s="212"/>
      <x:c r="L117" s="212"/>
      <x:c r="M117" s="211" t="str">
        <x:f t="shared" si="9"/>
      </x:c>
      <x:c r="N117" s="212"/>
      <x:c r="O117" s="212"/>
      <x:c r="P117" s="212"/>
      <x:c r="Q117" s="212"/>
      <x:c r="R117" s="212"/>
      <x:c r="S117" s="213"/>
      <x:c r="T117" s="212"/>
      <x:c r="U117" s="212"/>
      <x:c r="V117" s="212"/>
      <x:c r="W117" s="212"/>
      <x:c r="X117" s="211" t="str">
        <x:f t="shared" si="10"/>
      </x:c>
      <x:c r="Y117" s="212"/>
      <x:c r="Z117" s="212"/>
      <x:c r="AA117" s="211" t="str">
        <x:f t="shared" si="11"/>
      </x:c>
      <x:c r="AB117" s="210"/>
      <x:c r="AC117" s="210"/>
      <x:c r="AD117" s="210"/>
      <x:c r="AE117" s="209"/>
    </x:row>
    <x:row r="118">
      <x:c r="A118" s="210"/>
      <x:c r="B118" s="215"/>
      <x:c r="C118" s="214"/>
      <x:c r="D118" s="210"/>
      <x:c r="E118" s="210"/>
      <x:c r="F118" s="210"/>
      <x:c r="G118" s="212"/>
      <x:c r="H118" s="212"/>
      <x:c r="I118" s="212"/>
      <x:c r="J118" s="212"/>
      <x:c r="K118" s="212"/>
      <x:c r="L118" s="212"/>
      <x:c r="M118" s="211" t="str">
        <x:f t="shared" si="9"/>
      </x:c>
      <x:c r="N118" s="212"/>
      <x:c r="O118" s="212"/>
      <x:c r="P118" s="212"/>
      <x:c r="Q118" s="212"/>
      <x:c r="R118" s="212"/>
      <x:c r="S118" s="213"/>
      <x:c r="T118" s="212"/>
      <x:c r="U118" s="212"/>
      <x:c r="V118" s="212"/>
      <x:c r="W118" s="212"/>
      <x:c r="X118" s="211" t="str">
        <x:f t="shared" si="10"/>
      </x:c>
      <x:c r="Y118" s="212"/>
      <x:c r="Z118" s="212"/>
      <x:c r="AA118" s="211" t="str">
        <x:f t="shared" si="11"/>
      </x:c>
      <x:c r="AB118" s="210"/>
      <x:c r="AC118" s="210"/>
      <x:c r="AD118" s="210"/>
      <x:c r="AE118" s="209"/>
    </x:row>
    <x:row r="119">
      <x:c r="A119" s="210"/>
      <x:c r="B119" s="215"/>
      <x:c r="C119" s="214"/>
      <x:c r="D119" s="210"/>
      <x:c r="E119" s="210"/>
      <x:c r="F119" s="210"/>
      <x:c r="G119" s="212"/>
      <x:c r="H119" s="212"/>
      <x:c r="I119" s="212"/>
      <x:c r="J119" s="212"/>
      <x:c r="K119" s="212"/>
      <x:c r="L119" s="212"/>
      <x:c r="M119" s="211" t="str">
        <x:f t="shared" si="9"/>
      </x:c>
      <x:c r="N119" s="212"/>
      <x:c r="O119" s="212"/>
      <x:c r="P119" s="212"/>
      <x:c r="Q119" s="212"/>
      <x:c r="R119" s="212"/>
      <x:c r="S119" s="213"/>
      <x:c r="T119" s="212"/>
      <x:c r="U119" s="212"/>
      <x:c r="V119" s="212"/>
      <x:c r="W119" s="212"/>
      <x:c r="X119" s="211" t="str">
        <x:f t="shared" si="10"/>
      </x:c>
      <x:c r="Y119" s="212"/>
      <x:c r="Z119" s="212"/>
      <x:c r="AA119" s="211" t="str">
        <x:f t="shared" si="11"/>
      </x:c>
      <x:c r="AB119" s="210"/>
      <x:c r="AC119" s="210"/>
      <x:c r="AD119" s="210"/>
      <x:c r="AE119" s="209"/>
    </x:row>
    <x:row r="120">
      <x:c r="A120" s="210"/>
      <x:c r="B120" s="215"/>
      <x:c r="C120" s="214"/>
      <x:c r="D120" s="210"/>
      <x:c r="E120" s="210"/>
      <x:c r="F120" s="210"/>
      <x:c r="G120" s="212"/>
      <x:c r="H120" s="212"/>
      <x:c r="I120" s="212"/>
      <x:c r="J120" s="212"/>
      <x:c r="K120" s="212"/>
      <x:c r="L120" s="212"/>
      <x:c r="M120" s="211" t="str">
        <x:f t="shared" si="9"/>
      </x:c>
      <x:c r="N120" s="212"/>
      <x:c r="O120" s="212"/>
      <x:c r="P120" s="212"/>
      <x:c r="Q120" s="212"/>
      <x:c r="R120" s="212"/>
      <x:c r="S120" s="213"/>
      <x:c r="T120" s="212"/>
      <x:c r="U120" s="212"/>
      <x:c r="V120" s="212"/>
      <x:c r="W120" s="212"/>
      <x:c r="X120" s="211" t="str">
        <x:f t="shared" si="10"/>
      </x:c>
      <x:c r="Y120" s="212"/>
      <x:c r="Z120" s="212"/>
      <x:c r="AA120" s="211" t="str">
        <x:f t="shared" si="11"/>
      </x:c>
      <x:c r="AB120" s="210"/>
      <x:c r="AC120" s="210"/>
      <x:c r="AD120" s="210"/>
      <x:c r="AE120" s="209"/>
    </x:row>
    <x:row r="121">
      <x:c r="A121" s="210"/>
      <x:c r="B121" s="215"/>
      <x:c r="C121" s="214"/>
      <x:c r="D121" s="210"/>
      <x:c r="E121" s="210"/>
      <x:c r="F121" s="210"/>
      <x:c r="G121" s="212"/>
      <x:c r="H121" s="212"/>
      <x:c r="I121" s="212"/>
      <x:c r="J121" s="212"/>
      <x:c r="K121" s="212"/>
      <x:c r="L121" s="212"/>
      <x:c r="M121" s="211" t="str">
        <x:f t="shared" si="9"/>
      </x:c>
      <x:c r="N121" s="212"/>
      <x:c r="O121" s="212"/>
      <x:c r="P121" s="212"/>
      <x:c r="Q121" s="212"/>
      <x:c r="R121" s="212"/>
      <x:c r="S121" s="213"/>
      <x:c r="T121" s="212"/>
      <x:c r="U121" s="212"/>
      <x:c r="V121" s="212"/>
      <x:c r="W121" s="212"/>
      <x:c r="X121" s="211" t="str">
        <x:f t="shared" si="10"/>
      </x:c>
      <x:c r="Y121" s="212"/>
      <x:c r="Z121" s="212"/>
      <x:c r="AA121" s="211" t="str">
        <x:f t="shared" si="11"/>
      </x:c>
      <x:c r="AB121" s="210"/>
      <x:c r="AC121" s="210"/>
      <x:c r="AD121" s="210"/>
      <x:c r="AE121" s="209"/>
    </x:row>
    <x:row r="122">
      <x:c r="A122" s="210"/>
      <x:c r="B122" s="215"/>
      <x:c r="C122" s="214"/>
      <x:c r="D122" s="210"/>
      <x:c r="E122" s="210"/>
      <x:c r="F122" s="210"/>
      <x:c r="G122" s="212"/>
      <x:c r="H122" s="212"/>
      <x:c r="I122" s="212"/>
      <x:c r="J122" s="212"/>
      <x:c r="K122" s="212"/>
      <x:c r="L122" s="212"/>
      <x:c r="M122" s="211" t="str">
        <x:f t="shared" si="9"/>
      </x:c>
      <x:c r="N122" s="212"/>
      <x:c r="O122" s="212"/>
      <x:c r="P122" s="212"/>
      <x:c r="Q122" s="212"/>
      <x:c r="R122" s="212"/>
      <x:c r="S122" s="213"/>
      <x:c r="T122" s="212"/>
      <x:c r="U122" s="212"/>
      <x:c r="V122" s="212"/>
      <x:c r="W122" s="212"/>
      <x:c r="X122" s="211" t="str">
        <x:f t="shared" si="10"/>
      </x:c>
      <x:c r="Y122" s="212"/>
      <x:c r="Z122" s="212"/>
      <x:c r="AA122" s="211" t="str">
        <x:f t="shared" si="11"/>
      </x:c>
      <x:c r="AB122" s="210"/>
      <x:c r="AC122" s="210"/>
      <x:c r="AD122" s="210"/>
      <x:c r="AE122" s="209"/>
    </x:row>
    <x:row r="123">
      <x:c r="A123" s="210"/>
      <x:c r="B123" s="215"/>
      <x:c r="C123" s="214"/>
      <x:c r="D123" s="210"/>
      <x:c r="E123" s="210"/>
      <x:c r="F123" s="210"/>
      <x:c r="G123" s="212"/>
      <x:c r="H123" s="212"/>
      <x:c r="I123" s="212"/>
      <x:c r="J123" s="212"/>
      <x:c r="K123" s="212"/>
      <x:c r="L123" s="212"/>
      <x:c r="M123" s="211" t="str">
        <x:f t="shared" si="9"/>
      </x:c>
      <x:c r="N123" s="212"/>
      <x:c r="O123" s="212"/>
      <x:c r="P123" s="212"/>
      <x:c r="Q123" s="212"/>
      <x:c r="R123" s="212"/>
      <x:c r="S123" s="213"/>
      <x:c r="T123" s="212"/>
      <x:c r="U123" s="212"/>
      <x:c r="V123" s="212"/>
      <x:c r="W123" s="212"/>
      <x:c r="X123" s="211" t="str">
        <x:f t="shared" si="10"/>
      </x:c>
      <x:c r="Y123" s="212"/>
      <x:c r="Z123" s="212"/>
      <x:c r="AA123" s="211" t="str">
        <x:f t="shared" si="11"/>
      </x:c>
      <x:c r="AB123" s="210"/>
      <x:c r="AC123" s="210"/>
      <x:c r="AD123" s="210"/>
      <x:c r="AE123" s="209"/>
    </x:row>
    <x:row r="124">
      <x:c r="A124" s="210"/>
      <x:c r="B124" s="215"/>
      <x:c r="C124" s="214"/>
      <x:c r="D124" s="210"/>
      <x:c r="E124" s="210"/>
      <x:c r="F124" s="210"/>
      <x:c r="G124" s="212"/>
      <x:c r="H124" s="212"/>
      <x:c r="I124" s="212"/>
      <x:c r="J124" s="212"/>
      <x:c r="K124" s="212"/>
      <x:c r="L124" s="212"/>
      <x:c r="M124" s="211" t="str">
        <x:f t="shared" si="9"/>
      </x:c>
      <x:c r="N124" s="212"/>
      <x:c r="O124" s="212"/>
      <x:c r="P124" s="212"/>
      <x:c r="Q124" s="212"/>
      <x:c r="R124" s="212"/>
      <x:c r="S124" s="213"/>
      <x:c r="T124" s="212"/>
      <x:c r="U124" s="212"/>
      <x:c r="V124" s="212"/>
      <x:c r="W124" s="212"/>
      <x:c r="X124" s="211" t="str">
        <x:f t="shared" si="10"/>
      </x:c>
      <x:c r="Y124" s="212"/>
      <x:c r="Z124" s="212"/>
      <x:c r="AA124" s="211" t="str">
        <x:f t="shared" si="11"/>
      </x:c>
      <x:c r="AB124" s="210"/>
      <x:c r="AC124" s="210"/>
      <x:c r="AD124" s="210"/>
      <x:c r="AE124" s="209"/>
    </x:row>
    <x:row r="125">
      <x:c r="A125" s="210"/>
      <x:c r="B125" s="215"/>
      <x:c r="C125" s="214"/>
      <x:c r="D125" s="210"/>
      <x:c r="E125" s="210"/>
      <x:c r="F125" s="210"/>
      <x:c r="G125" s="212"/>
      <x:c r="H125" s="212"/>
      <x:c r="I125" s="212"/>
      <x:c r="J125" s="212"/>
      <x:c r="K125" s="212"/>
      <x:c r="L125" s="212"/>
      <x:c r="M125" s="211" t="str">
        <x:f t="shared" si="9"/>
      </x:c>
      <x:c r="N125" s="212"/>
      <x:c r="O125" s="212"/>
      <x:c r="P125" s="212"/>
      <x:c r="Q125" s="212"/>
      <x:c r="R125" s="212"/>
      <x:c r="S125" s="213"/>
      <x:c r="T125" s="212"/>
      <x:c r="U125" s="212"/>
      <x:c r="V125" s="212"/>
      <x:c r="W125" s="212"/>
      <x:c r="X125" s="211" t="str">
        <x:f t="shared" si="10"/>
      </x:c>
      <x:c r="Y125" s="212"/>
      <x:c r="Z125" s="212"/>
      <x:c r="AA125" s="211" t="str">
        <x:f t="shared" si="11"/>
      </x:c>
      <x:c r="AB125" s="210"/>
      <x:c r="AC125" s="210"/>
      <x:c r="AD125" s="210"/>
      <x:c r="AE125" s="209"/>
    </x:row>
    <x:row r="126">
      <x:c r="A126" s="210"/>
      <x:c r="B126" s="215"/>
      <x:c r="C126" s="214"/>
      <x:c r="D126" s="210"/>
      <x:c r="E126" s="210"/>
      <x:c r="F126" s="210"/>
      <x:c r="G126" s="212"/>
      <x:c r="H126" s="212"/>
      <x:c r="I126" s="212"/>
      <x:c r="J126" s="212"/>
      <x:c r="K126" s="212"/>
      <x:c r="L126" s="212"/>
      <x:c r="M126" s="211" t="str">
        <x:f t="shared" si="9"/>
      </x:c>
      <x:c r="N126" s="212"/>
      <x:c r="O126" s="212"/>
      <x:c r="P126" s="212"/>
      <x:c r="Q126" s="212"/>
      <x:c r="R126" s="212"/>
      <x:c r="S126" s="213"/>
      <x:c r="T126" s="212"/>
      <x:c r="U126" s="212"/>
      <x:c r="V126" s="212"/>
      <x:c r="W126" s="212"/>
      <x:c r="X126" s="211" t="str">
        <x:f t="shared" si="10"/>
      </x:c>
      <x:c r="Y126" s="212"/>
      <x:c r="Z126" s="212"/>
      <x:c r="AA126" s="211" t="str">
        <x:f t="shared" si="11"/>
      </x:c>
      <x:c r="AB126" s="210"/>
      <x:c r="AC126" s="210"/>
      <x:c r="AD126" s="210"/>
      <x:c r="AE126" s="209"/>
    </x:row>
    <x:row r="127">
      <x:c r="A127" s="210"/>
      <x:c r="B127" s="215"/>
      <x:c r="C127" s="214"/>
      <x:c r="D127" s="210"/>
      <x:c r="E127" s="210"/>
      <x:c r="F127" s="210"/>
      <x:c r="G127" s="212"/>
      <x:c r="H127" s="212"/>
      <x:c r="I127" s="212"/>
      <x:c r="J127" s="212"/>
      <x:c r="K127" s="212"/>
      <x:c r="L127" s="212"/>
      <x:c r="M127" s="211" t="str">
        <x:f t="shared" si="9"/>
      </x:c>
      <x:c r="N127" s="212"/>
      <x:c r="O127" s="212"/>
      <x:c r="P127" s="212"/>
      <x:c r="Q127" s="212"/>
      <x:c r="R127" s="212"/>
      <x:c r="S127" s="213"/>
      <x:c r="T127" s="212"/>
      <x:c r="U127" s="212"/>
      <x:c r="V127" s="212"/>
      <x:c r="W127" s="212"/>
      <x:c r="X127" s="211" t="str">
        <x:f t="shared" si="10"/>
      </x:c>
      <x:c r="Y127" s="212"/>
      <x:c r="Z127" s="212"/>
      <x:c r="AA127" s="211" t="str">
        <x:f t="shared" si="11"/>
      </x:c>
      <x:c r="AB127" s="210"/>
      <x:c r="AC127" s="210"/>
      <x:c r="AD127" s="210"/>
      <x:c r="AE127" s="209"/>
    </x:row>
    <x:row r="128">
      <x:c r="A128" s="210"/>
      <x:c r="B128" s="215"/>
      <x:c r="C128" s="214"/>
      <x:c r="D128" s="210"/>
      <x:c r="E128" s="210"/>
      <x:c r="F128" s="210"/>
      <x:c r="G128" s="212"/>
      <x:c r="H128" s="212"/>
      <x:c r="I128" s="212"/>
      <x:c r="J128" s="212"/>
      <x:c r="K128" s="212"/>
      <x:c r="L128" s="212"/>
      <x:c r="M128" s="211" t="str">
        <x:f t="shared" si="9"/>
      </x:c>
      <x:c r="N128" s="212"/>
      <x:c r="O128" s="212"/>
      <x:c r="P128" s="212"/>
      <x:c r="Q128" s="212"/>
      <x:c r="R128" s="212"/>
      <x:c r="S128" s="213"/>
      <x:c r="T128" s="212"/>
      <x:c r="U128" s="212"/>
      <x:c r="V128" s="212"/>
      <x:c r="W128" s="212"/>
      <x:c r="X128" s="211" t="str">
        <x:f t="shared" si="10"/>
      </x:c>
      <x:c r="Y128" s="212"/>
      <x:c r="Z128" s="212"/>
      <x:c r="AA128" s="211" t="str">
        <x:f t="shared" si="11"/>
      </x:c>
      <x:c r="AB128" s="210"/>
      <x:c r="AC128" s="210"/>
      <x:c r="AD128" s="210"/>
      <x:c r="AE128" s="209"/>
    </x:row>
    <x:row r="129">
      <x:c r="A129" s="210"/>
      <x:c r="B129" s="215"/>
      <x:c r="C129" s="214"/>
      <x:c r="D129" s="210"/>
      <x:c r="E129" s="210"/>
      <x:c r="F129" s="210"/>
      <x:c r="G129" s="212"/>
      <x:c r="H129" s="212"/>
      <x:c r="I129" s="212"/>
      <x:c r="J129" s="212"/>
      <x:c r="K129" s="212"/>
      <x:c r="L129" s="212"/>
      <x:c r="M129" s="211" t="str">
        <x:f t="shared" si="9"/>
      </x:c>
      <x:c r="N129" s="212"/>
      <x:c r="O129" s="212"/>
      <x:c r="P129" s="212"/>
      <x:c r="Q129" s="212"/>
      <x:c r="R129" s="212"/>
      <x:c r="S129" s="213"/>
      <x:c r="T129" s="212"/>
      <x:c r="U129" s="212"/>
      <x:c r="V129" s="212"/>
      <x:c r="W129" s="212"/>
      <x:c r="X129" s="211" t="str">
        <x:f t="shared" si="10"/>
      </x:c>
      <x:c r="Y129" s="212"/>
      <x:c r="Z129" s="212"/>
      <x:c r="AA129" s="211" t="str">
        <x:f t="shared" si="11"/>
      </x:c>
      <x:c r="AB129" s="210"/>
      <x:c r="AC129" s="210"/>
      <x:c r="AD129" s="210"/>
      <x:c r="AE129" s="209"/>
    </x:row>
    <x:row r="130">
      <x:c r="A130" s="210"/>
      <x:c r="B130" s="215"/>
      <x:c r="C130" s="214"/>
      <x:c r="D130" s="210"/>
      <x:c r="E130" s="210"/>
      <x:c r="F130" s="210"/>
      <x:c r="G130" s="212"/>
      <x:c r="H130" s="212"/>
      <x:c r="I130" s="212"/>
      <x:c r="J130" s="212"/>
      <x:c r="K130" s="212"/>
      <x:c r="L130" s="212"/>
      <x:c r="M130" s="211" t="str">
        <x:f t="shared" si="9"/>
      </x:c>
      <x:c r="N130" s="212"/>
      <x:c r="O130" s="212"/>
      <x:c r="P130" s="212"/>
      <x:c r="Q130" s="212"/>
      <x:c r="R130" s="212"/>
      <x:c r="S130" s="213"/>
      <x:c r="T130" s="212"/>
      <x:c r="U130" s="212"/>
      <x:c r="V130" s="212"/>
      <x:c r="W130" s="212"/>
      <x:c r="X130" s="211" t="str">
        <x:f t="shared" si="10"/>
      </x:c>
      <x:c r="Y130" s="212"/>
      <x:c r="Z130" s="212"/>
      <x:c r="AA130" s="211" t="str">
        <x:f t="shared" si="11"/>
      </x:c>
      <x:c r="AB130" s="210"/>
      <x:c r="AC130" s="210"/>
      <x:c r="AD130" s="210"/>
      <x:c r="AE130" s="209"/>
    </x:row>
    <x:row r="131">
      <x:c r="A131" s="210"/>
      <x:c r="B131" s="215"/>
      <x:c r="C131" s="214"/>
      <x:c r="D131" s="210"/>
      <x:c r="E131" s="210"/>
      <x:c r="F131" s="210"/>
      <x:c r="G131" s="212"/>
      <x:c r="H131" s="212"/>
      <x:c r="I131" s="212"/>
      <x:c r="J131" s="212"/>
      <x:c r="K131" s="212"/>
      <x:c r="L131" s="212"/>
      <x:c r="M131" s="211" t="str">
        <x:f t="shared" si="9"/>
      </x:c>
      <x:c r="N131" s="212"/>
      <x:c r="O131" s="212"/>
      <x:c r="P131" s="212"/>
      <x:c r="Q131" s="212"/>
      <x:c r="R131" s="212"/>
      <x:c r="S131" s="213"/>
      <x:c r="T131" s="212"/>
      <x:c r="U131" s="212"/>
      <x:c r="V131" s="212"/>
      <x:c r="W131" s="212"/>
      <x:c r="X131" s="211" t="str">
        <x:f t="shared" si="10"/>
      </x:c>
      <x:c r="Y131" s="212"/>
      <x:c r="Z131" s="212"/>
      <x:c r="AA131" s="211" t="str">
        <x:f t="shared" si="11"/>
      </x:c>
      <x:c r="AB131" s="210"/>
      <x:c r="AC131" s="210"/>
      <x:c r="AD131" s="210"/>
      <x:c r="AE131" s="209"/>
    </x:row>
    <x:row r="132">
      <x:c r="A132" s="210"/>
      <x:c r="B132" s="215"/>
      <x:c r="C132" s="214"/>
      <x:c r="D132" s="210"/>
      <x:c r="E132" s="210"/>
      <x:c r="F132" s="210"/>
      <x:c r="G132" s="212"/>
      <x:c r="H132" s="212"/>
      <x:c r="I132" s="212"/>
      <x:c r="J132" s="212"/>
      <x:c r="K132" s="212"/>
      <x:c r="L132" s="212"/>
      <x:c r="M132" s="211" t="str">
        <x:f t="shared" si="9"/>
      </x:c>
      <x:c r="N132" s="212"/>
      <x:c r="O132" s="212"/>
      <x:c r="P132" s="212"/>
      <x:c r="Q132" s="212"/>
      <x:c r="R132" s="212"/>
      <x:c r="S132" s="213"/>
      <x:c r="T132" s="212"/>
      <x:c r="U132" s="212"/>
      <x:c r="V132" s="212"/>
      <x:c r="W132" s="212"/>
      <x:c r="X132" s="211" t="str">
        <x:f t="shared" si="10"/>
      </x:c>
      <x:c r="Y132" s="212"/>
      <x:c r="Z132" s="212"/>
      <x:c r="AA132" s="211" t="str">
        <x:f t="shared" si="11"/>
      </x:c>
      <x:c r="AB132" s="210"/>
      <x:c r="AC132" s="210"/>
      <x:c r="AD132" s="210"/>
      <x:c r="AE132" s="209"/>
    </x:row>
    <x:row r="133">
      <x:c r="A133" s="210"/>
      <x:c r="B133" s="215"/>
      <x:c r="C133" s="214"/>
      <x:c r="D133" s="210"/>
      <x:c r="E133" s="210"/>
      <x:c r="F133" s="210"/>
      <x:c r="G133" s="212"/>
      <x:c r="H133" s="212"/>
      <x:c r="I133" s="212"/>
      <x:c r="J133" s="212"/>
      <x:c r="K133" s="212"/>
      <x:c r="L133" s="212"/>
      <x:c r="M133" s="211" t="str">
        <x:f t="shared" si="9"/>
      </x:c>
      <x:c r="N133" s="212"/>
      <x:c r="O133" s="212"/>
      <x:c r="P133" s="212"/>
      <x:c r="Q133" s="212"/>
      <x:c r="R133" s="212"/>
      <x:c r="S133" s="213"/>
      <x:c r="T133" s="212"/>
      <x:c r="U133" s="212"/>
      <x:c r="V133" s="212"/>
      <x:c r="W133" s="212"/>
      <x:c r="X133" s="211" t="str">
        <x:f t="shared" si="10"/>
      </x:c>
      <x:c r="Y133" s="212"/>
      <x:c r="Z133" s="212"/>
      <x:c r="AA133" s="211" t="str">
        <x:f t="shared" si="11"/>
      </x:c>
      <x:c r="AB133" s="210"/>
      <x:c r="AC133" s="210"/>
      <x:c r="AD133" s="210"/>
      <x:c r="AE133" s="209"/>
    </x:row>
    <x:row r="134">
      <x:c r="A134" s="210"/>
      <x:c r="B134" s="215"/>
      <x:c r="C134" s="214"/>
      <x:c r="D134" s="210"/>
      <x:c r="E134" s="210"/>
      <x:c r="F134" s="210"/>
      <x:c r="G134" s="212"/>
      <x:c r="H134" s="212"/>
      <x:c r="I134" s="212"/>
      <x:c r="J134" s="212"/>
      <x:c r="K134" s="212"/>
      <x:c r="L134" s="212"/>
      <x:c r="M134" s="211" t="str">
        <x:f t="shared" ref="M134:M165" si="12">IF(OR($A134="",$G134=0),"",$K134/$G134)</x:f>
      </x:c>
      <x:c r="N134" s="212"/>
      <x:c r="O134" s="212"/>
      <x:c r="P134" s="212"/>
      <x:c r="Q134" s="212"/>
      <x:c r="R134" s="212"/>
      <x:c r="S134" s="213"/>
      <x:c r="T134" s="212"/>
      <x:c r="U134" s="212"/>
      <x:c r="V134" s="212"/>
      <x:c r="W134" s="212"/>
      <x:c r="X134" s="211" t="str">
        <x:f t="shared" ref="X134:X165" si="13">IF(OR($A134="",$T134=0),"",$U134/$T134)</x:f>
      </x:c>
      <x:c r="Y134" s="212"/>
      <x:c r="Z134" s="212"/>
      <x:c r="AA134" s="211" t="str">
        <x:f t="shared" ref="AA134:AA165" si="14">IF(OR($A134="",$Y134=0),"",$Z134/$Y134)</x:f>
      </x:c>
      <x:c r="AB134" s="210"/>
      <x:c r="AC134" s="210"/>
      <x:c r="AD134" s="210"/>
      <x:c r="AE134" s="209"/>
    </x:row>
    <x:row r="135">
      <x:c r="A135" s="210"/>
      <x:c r="B135" s="215"/>
      <x:c r="C135" s="214"/>
      <x:c r="D135" s="210"/>
      <x:c r="E135" s="210"/>
      <x:c r="F135" s="210"/>
      <x:c r="G135" s="212"/>
      <x:c r="H135" s="212"/>
      <x:c r="I135" s="212"/>
      <x:c r="J135" s="212"/>
      <x:c r="K135" s="212"/>
      <x:c r="L135" s="212"/>
      <x:c r="M135" s="211" t="str">
        <x:f t="shared" si="12"/>
      </x:c>
      <x:c r="N135" s="212"/>
      <x:c r="O135" s="212"/>
      <x:c r="P135" s="212"/>
      <x:c r="Q135" s="212"/>
      <x:c r="R135" s="212"/>
      <x:c r="S135" s="213"/>
      <x:c r="T135" s="212"/>
      <x:c r="U135" s="212"/>
      <x:c r="V135" s="212"/>
      <x:c r="W135" s="212"/>
      <x:c r="X135" s="211" t="str">
        <x:f t="shared" si="13"/>
      </x:c>
      <x:c r="Y135" s="212"/>
      <x:c r="Z135" s="212"/>
      <x:c r="AA135" s="211" t="str">
        <x:f t="shared" si="14"/>
      </x:c>
      <x:c r="AB135" s="210"/>
      <x:c r="AC135" s="210"/>
      <x:c r="AD135" s="210"/>
      <x:c r="AE135" s="209"/>
    </x:row>
    <x:row r="136">
      <x:c r="A136" s="210"/>
      <x:c r="B136" s="215"/>
      <x:c r="C136" s="214"/>
      <x:c r="D136" s="210"/>
      <x:c r="E136" s="210"/>
      <x:c r="F136" s="210"/>
      <x:c r="G136" s="212"/>
      <x:c r="H136" s="212"/>
      <x:c r="I136" s="212"/>
      <x:c r="J136" s="212"/>
      <x:c r="K136" s="212"/>
      <x:c r="L136" s="212"/>
      <x:c r="M136" s="211" t="str">
        <x:f t="shared" si="12"/>
      </x:c>
      <x:c r="N136" s="212"/>
      <x:c r="O136" s="212"/>
      <x:c r="P136" s="212"/>
      <x:c r="Q136" s="212"/>
      <x:c r="R136" s="212"/>
      <x:c r="S136" s="213"/>
      <x:c r="T136" s="212"/>
      <x:c r="U136" s="212"/>
      <x:c r="V136" s="212"/>
      <x:c r="W136" s="212"/>
      <x:c r="X136" s="211" t="str">
        <x:f t="shared" si="13"/>
      </x:c>
      <x:c r="Y136" s="212"/>
      <x:c r="Z136" s="212"/>
      <x:c r="AA136" s="211" t="str">
        <x:f t="shared" si="14"/>
      </x:c>
      <x:c r="AB136" s="210"/>
      <x:c r="AC136" s="210"/>
      <x:c r="AD136" s="210"/>
      <x:c r="AE136" s="209"/>
    </x:row>
    <x:row r="137">
      <x:c r="A137" s="210"/>
      <x:c r="B137" s="215"/>
      <x:c r="C137" s="214"/>
      <x:c r="D137" s="210"/>
      <x:c r="E137" s="210"/>
      <x:c r="F137" s="210"/>
      <x:c r="G137" s="212"/>
      <x:c r="H137" s="212"/>
      <x:c r="I137" s="212"/>
      <x:c r="J137" s="212"/>
      <x:c r="K137" s="212"/>
      <x:c r="L137" s="212"/>
      <x:c r="M137" s="211" t="str">
        <x:f t="shared" si="12"/>
      </x:c>
      <x:c r="N137" s="212"/>
      <x:c r="O137" s="212"/>
      <x:c r="P137" s="212"/>
      <x:c r="Q137" s="212"/>
      <x:c r="R137" s="212"/>
      <x:c r="S137" s="213"/>
      <x:c r="T137" s="212"/>
      <x:c r="U137" s="212"/>
      <x:c r="V137" s="212"/>
      <x:c r="W137" s="212"/>
      <x:c r="X137" s="211" t="str">
        <x:f t="shared" si="13"/>
      </x:c>
      <x:c r="Y137" s="212"/>
      <x:c r="Z137" s="212"/>
      <x:c r="AA137" s="211" t="str">
        <x:f t="shared" si="14"/>
      </x:c>
      <x:c r="AB137" s="210"/>
      <x:c r="AC137" s="210"/>
      <x:c r="AD137" s="210"/>
      <x:c r="AE137" s="209"/>
    </x:row>
    <x:row r="138">
      <x:c r="A138" s="210"/>
      <x:c r="B138" s="215"/>
      <x:c r="C138" s="214"/>
      <x:c r="D138" s="210"/>
      <x:c r="E138" s="210"/>
      <x:c r="F138" s="210"/>
      <x:c r="G138" s="212"/>
      <x:c r="H138" s="212"/>
      <x:c r="I138" s="212"/>
      <x:c r="J138" s="212"/>
      <x:c r="K138" s="212"/>
      <x:c r="L138" s="212"/>
      <x:c r="M138" s="211" t="str">
        <x:f t="shared" si="12"/>
      </x:c>
      <x:c r="N138" s="212"/>
      <x:c r="O138" s="212"/>
      <x:c r="P138" s="212"/>
      <x:c r="Q138" s="212"/>
      <x:c r="R138" s="212"/>
      <x:c r="S138" s="213"/>
      <x:c r="T138" s="212"/>
      <x:c r="U138" s="212"/>
      <x:c r="V138" s="212"/>
      <x:c r="W138" s="212"/>
      <x:c r="X138" s="211" t="str">
        <x:f t="shared" si="13"/>
      </x:c>
      <x:c r="Y138" s="212"/>
      <x:c r="Z138" s="212"/>
      <x:c r="AA138" s="211" t="str">
        <x:f t="shared" si="14"/>
      </x:c>
      <x:c r="AB138" s="210"/>
      <x:c r="AC138" s="210"/>
      <x:c r="AD138" s="210"/>
      <x:c r="AE138" s="209"/>
    </x:row>
    <x:row r="139">
      <x:c r="A139" s="210"/>
      <x:c r="B139" s="215"/>
      <x:c r="C139" s="214"/>
      <x:c r="D139" s="210"/>
      <x:c r="E139" s="210"/>
      <x:c r="F139" s="210"/>
      <x:c r="G139" s="212"/>
      <x:c r="H139" s="212"/>
      <x:c r="I139" s="212"/>
      <x:c r="J139" s="212"/>
      <x:c r="K139" s="212"/>
      <x:c r="L139" s="212"/>
      <x:c r="M139" s="211" t="str">
        <x:f t="shared" si="12"/>
      </x:c>
      <x:c r="N139" s="212"/>
      <x:c r="O139" s="212"/>
      <x:c r="P139" s="212"/>
      <x:c r="Q139" s="212"/>
      <x:c r="R139" s="212"/>
      <x:c r="S139" s="213"/>
      <x:c r="T139" s="212"/>
      <x:c r="U139" s="212"/>
      <x:c r="V139" s="212"/>
      <x:c r="W139" s="212"/>
      <x:c r="X139" s="211" t="str">
        <x:f t="shared" si="13"/>
      </x:c>
      <x:c r="Y139" s="212"/>
      <x:c r="Z139" s="212"/>
      <x:c r="AA139" s="211" t="str">
        <x:f t="shared" si="14"/>
      </x:c>
      <x:c r="AB139" s="210"/>
      <x:c r="AC139" s="210"/>
      <x:c r="AD139" s="210"/>
      <x:c r="AE139" s="209"/>
    </x:row>
    <x:row r="140">
      <x:c r="A140" s="210"/>
      <x:c r="B140" s="215"/>
      <x:c r="C140" s="214"/>
      <x:c r="D140" s="210"/>
      <x:c r="E140" s="210"/>
      <x:c r="F140" s="210"/>
      <x:c r="G140" s="212"/>
      <x:c r="H140" s="212"/>
      <x:c r="I140" s="212"/>
      <x:c r="J140" s="212"/>
      <x:c r="K140" s="212"/>
      <x:c r="L140" s="212"/>
      <x:c r="M140" s="211" t="str">
        <x:f t="shared" si="12"/>
      </x:c>
      <x:c r="N140" s="212"/>
      <x:c r="O140" s="212"/>
      <x:c r="P140" s="212"/>
      <x:c r="Q140" s="212"/>
      <x:c r="R140" s="212"/>
      <x:c r="S140" s="213"/>
      <x:c r="T140" s="212"/>
      <x:c r="U140" s="212"/>
      <x:c r="V140" s="212"/>
      <x:c r="W140" s="212"/>
      <x:c r="X140" s="211" t="str">
        <x:f t="shared" si="13"/>
      </x:c>
      <x:c r="Y140" s="212"/>
      <x:c r="Z140" s="212"/>
      <x:c r="AA140" s="211" t="str">
        <x:f t="shared" si="14"/>
      </x:c>
      <x:c r="AB140" s="210"/>
      <x:c r="AC140" s="210"/>
      <x:c r="AD140" s="210"/>
      <x:c r="AE140" s="209"/>
    </x:row>
    <x:row r="141">
      <x:c r="A141" s="210"/>
      <x:c r="B141" s="215"/>
      <x:c r="C141" s="214"/>
      <x:c r="D141" s="210"/>
      <x:c r="E141" s="210"/>
      <x:c r="F141" s="210"/>
      <x:c r="G141" s="212"/>
      <x:c r="H141" s="212"/>
      <x:c r="I141" s="212"/>
      <x:c r="J141" s="212"/>
      <x:c r="K141" s="212"/>
      <x:c r="L141" s="212"/>
      <x:c r="M141" s="211" t="str">
        <x:f t="shared" si="12"/>
      </x:c>
      <x:c r="N141" s="212"/>
      <x:c r="O141" s="212"/>
      <x:c r="P141" s="212"/>
      <x:c r="Q141" s="212"/>
      <x:c r="R141" s="212"/>
      <x:c r="S141" s="213"/>
      <x:c r="T141" s="212"/>
      <x:c r="U141" s="212"/>
      <x:c r="V141" s="212"/>
      <x:c r="W141" s="212"/>
      <x:c r="X141" s="211" t="str">
        <x:f t="shared" si="13"/>
      </x:c>
      <x:c r="Y141" s="212"/>
      <x:c r="Z141" s="212"/>
      <x:c r="AA141" s="211" t="str">
        <x:f t="shared" si="14"/>
      </x:c>
      <x:c r="AB141" s="210"/>
      <x:c r="AC141" s="210"/>
      <x:c r="AD141" s="210"/>
      <x:c r="AE141" s="209"/>
    </x:row>
    <x:row r="142">
      <x:c r="A142" s="210"/>
      <x:c r="B142" s="215"/>
      <x:c r="C142" s="214"/>
      <x:c r="D142" s="210"/>
      <x:c r="E142" s="210"/>
      <x:c r="F142" s="210"/>
      <x:c r="G142" s="212"/>
      <x:c r="H142" s="212"/>
      <x:c r="I142" s="212"/>
      <x:c r="J142" s="212"/>
      <x:c r="K142" s="212"/>
      <x:c r="L142" s="212"/>
      <x:c r="M142" s="211" t="str">
        <x:f t="shared" si="12"/>
      </x:c>
      <x:c r="N142" s="212"/>
      <x:c r="O142" s="212"/>
      <x:c r="P142" s="212"/>
      <x:c r="Q142" s="212"/>
      <x:c r="R142" s="212"/>
      <x:c r="S142" s="213"/>
      <x:c r="T142" s="212"/>
      <x:c r="U142" s="212"/>
      <x:c r="V142" s="212"/>
      <x:c r="W142" s="212"/>
      <x:c r="X142" s="211" t="str">
        <x:f t="shared" si="13"/>
      </x:c>
      <x:c r="Y142" s="212"/>
      <x:c r="Z142" s="212"/>
      <x:c r="AA142" s="211" t="str">
        <x:f t="shared" si="14"/>
      </x:c>
      <x:c r="AB142" s="210"/>
      <x:c r="AC142" s="210"/>
      <x:c r="AD142" s="210"/>
      <x:c r="AE142" s="209"/>
    </x:row>
    <x:row r="143">
      <x:c r="A143" s="210"/>
      <x:c r="B143" s="215"/>
      <x:c r="C143" s="214"/>
      <x:c r="D143" s="210"/>
      <x:c r="E143" s="210"/>
      <x:c r="F143" s="210"/>
      <x:c r="G143" s="212"/>
      <x:c r="H143" s="212"/>
      <x:c r="I143" s="212"/>
      <x:c r="J143" s="212"/>
      <x:c r="K143" s="212"/>
      <x:c r="L143" s="212"/>
      <x:c r="M143" s="211" t="str">
        <x:f t="shared" si="12"/>
      </x:c>
      <x:c r="N143" s="212"/>
      <x:c r="O143" s="212"/>
      <x:c r="P143" s="212"/>
      <x:c r="Q143" s="212"/>
      <x:c r="R143" s="212"/>
      <x:c r="S143" s="213"/>
      <x:c r="T143" s="212"/>
      <x:c r="U143" s="212"/>
      <x:c r="V143" s="212"/>
      <x:c r="W143" s="212"/>
      <x:c r="X143" s="211" t="str">
        <x:f t="shared" si="13"/>
      </x:c>
      <x:c r="Y143" s="212"/>
      <x:c r="Z143" s="212"/>
      <x:c r="AA143" s="211" t="str">
        <x:f t="shared" si="14"/>
      </x:c>
      <x:c r="AB143" s="210"/>
      <x:c r="AC143" s="210"/>
      <x:c r="AD143" s="210"/>
      <x:c r="AE143" s="209"/>
    </x:row>
    <x:row r="144">
      <x:c r="A144" s="210"/>
      <x:c r="B144" s="215"/>
      <x:c r="C144" s="214"/>
      <x:c r="D144" s="210"/>
      <x:c r="E144" s="210"/>
      <x:c r="F144" s="210"/>
      <x:c r="G144" s="212"/>
      <x:c r="H144" s="212"/>
      <x:c r="I144" s="212"/>
      <x:c r="J144" s="212"/>
      <x:c r="K144" s="212"/>
      <x:c r="L144" s="212"/>
      <x:c r="M144" s="211" t="str">
        <x:f t="shared" si="12"/>
      </x:c>
      <x:c r="N144" s="212"/>
      <x:c r="O144" s="212"/>
      <x:c r="P144" s="212"/>
      <x:c r="Q144" s="212"/>
      <x:c r="R144" s="212"/>
      <x:c r="S144" s="213"/>
      <x:c r="T144" s="212"/>
      <x:c r="U144" s="212"/>
      <x:c r="V144" s="212"/>
      <x:c r="W144" s="212"/>
      <x:c r="X144" s="211" t="str">
        <x:f t="shared" si="13"/>
      </x:c>
      <x:c r="Y144" s="212"/>
      <x:c r="Z144" s="212"/>
      <x:c r="AA144" s="211" t="str">
        <x:f t="shared" si="14"/>
      </x:c>
      <x:c r="AB144" s="210"/>
      <x:c r="AC144" s="210"/>
      <x:c r="AD144" s="210"/>
      <x:c r="AE144" s="209"/>
    </x:row>
    <x:row r="145">
      <x:c r="A145" s="210"/>
      <x:c r="B145" s="215"/>
      <x:c r="C145" s="214"/>
      <x:c r="D145" s="210"/>
      <x:c r="E145" s="210"/>
      <x:c r="F145" s="210"/>
      <x:c r="G145" s="212"/>
      <x:c r="H145" s="212"/>
      <x:c r="I145" s="212"/>
      <x:c r="J145" s="212"/>
      <x:c r="K145" s="212"/>
      <x:c r="L145" s="212"/>
      <x:c r="M145" s="211" t="str">
        <x:f t="shared" si="12"/>
      </x:c>
      <x:c r="N145" s="212"/>
      <x:c r="O145" s="212"/>
      <x:c r="P145" s="212"/>
      <x:c r="Q145" s="212"/>
      <x:c r="R145" s="212"/>
      <x:c r="S145" s="213"/>
      <x:c r="T145" s="212"/>
      <x:c r="U145" s="212"/>
      <x:c r="V145" s="212"/>
      <x:c r="W145" s="212"/>
      <x:c r="X145" s="211" t="str">
        <x:f t="shared" si="13"/>
      </x:c>
      <x:c r="Y145" s="212"/>
      <x:c r="Z145" s="212"/>
      <x:c r="AA145" s="211" t="str">
        <x:f t="shared" si="14"/>
      </x:c>
      <x:c r="AB145" s="210"/>
      <x:c r="AC145" s="210"/>
      <x:c r="AD145" s="210"/>
      <x:c r="AE145" s="209"/>
    </x:row>
    <x:row r="146">
      <x:c r="A146" s="210"/>
      <x:c r="B146" s="215"/>
      <x:c r="C146" s="214"/>
      <x:c r="D146" s="210"/>
      <x:c r="E146" s="210"/>
      <x:c r="F146" s="210"/>
      <x:c r="G146" s="212"/>
      <x:c r="H146" s="212"/>
      <x:c r="I146" s="212"/>
      <x:c r="J146" s="212"/>
      <x:c r="K146" s="212"/>
      <x:c r="L146" s="212"/>
      <x:c r="M146" s="211" t="str">
        <x:f t="shared" si="12"/>
      </x:c>
      <x:c r="N146" s="212"/>
      <x:c r="O146" s="212"/>
      <x:c r="P146" s="212"/>
      <x:c r="Q146" s="212"/>
      <x:c r="R146" s="212"/>
      <x:c r="S146" s="213"/>
      <x:c r="T146" s="212"/>
      <x:c r="U146" s="212"/>
      <x:c r="V146" s="212"/>
      <x:c r="W146" s="212"/>
      <x:c r="X146" s="211" t="str">
        <x:f t="shared" si="13"/>
      </x:c>
      <x:c r="Y146" s="212"/>
      <x:c r="Z146" s="212"/>
      <x:c r="AA146" s="211" t="str">
        <x:f t="shared" si="14"/>
      </x:c>
      <x:c r="AB146" s="210"/>
      <x:c r="AC146" s="210"/>
      <x:c r="AD146" s="210"/>
      <x:c r="AE146" s="209"/>
    </x:row>
    <x:row r="147">
      <x:c r="A147" s="210"/>
      <x:c r="B147" s="215"/>
      <x:c r="C147" s="214"/>
      <x:c r="D147" s="210"/>
      <x:c r="E147" s="210"/>
      <x:c r="F147" s="210"/>
      <x:c r="G147" s="212"/>
      <x:c r="H147" s="212"/>
      <x:c r="I147" s="212"/>
      <x:c r="J147" s="212"/>
      <x:c r="K147" s="212"/>
      <x:c r="L147" s="212"/>
      <x:c r="M147" s="211" t="str">
        <x:f t="shared" si="12"/>
      </x:c>
      <x:c r="N147" s="212"/>
      <x:c r="O147" s="212"/>
      <x:c r="P147" s="212"/>
      <x:c r="Q147" s="212"/>
      <x:c r="R147" s="212"/>
      <x:c r="S147" s="213"/>
      <x:c r="T147" s="212"/>
      <x:c r="U147" s="212"/>
      <x:c r="V147" s="212"/>
      <x:c r="W147" s="212"/>
      <x:c r="X147" s="211" t="str">
        <x:f t="shared" si="13"/>
      </x:c>
      <x:c r="Y147" s="212"/>
      <x:c r="Z147" s="212"/>
      <x:c r="AA147" s="211" t="str">
        <x:f t="shared" si="14"/>
      </x:c>
      <x:c r="AB147" s="210"/>
      <x:c r="AC147" s="210"/>
      <x:c r="AD147" s="210"/>
      <x:c r="AE147" s="209"/>
    </x:row>
    <x:row r="148">
      <x:c r="A148" s="210"/>
      <x:c r="B148" s="215"/>
      <x:c r="C148" s="214"/>
      <x:c r="D148" s="210"/>
      <x:c r="E148" s="210"/>
      <x:c r="F148" s="210"/>
      <x:c r="G148" s="212"/>
      <x:c r="H148" s="212"/>
      <x:c r="I148" s="212"/>
      <x:c r="J148" s="212"/>
      <x:c r="K148" s="212"/>
      <x:c r="L148" s="212"/>
      <x:c r="M148" s="211" t="str">
        <x:f t="shared" si="12"/>
      </x:c>
      <x:c r="N148" s="212"/>
      <x:c r="O148" s="212"/>
      <x:c r="P148" s="212"/>
      <x:c r="Q148" s="212"/>
      <x:c r="R148" s="212"/>
      <x:c r="S148" s="213"/>
      <x:c r="T148" s="212"/>
      <x:c r="U148" s="212"/>
      <x:c r="V148" s="212"/>
      <x:c r="W148" s="212"/>
      <x:c r="X148" s="211" t="str">
        <x:f t="shared" si="13"/>
      </x:c>
      <x:c r="Y148" s="212"/>
      <x:c r="Z148" s="212"/>
      <x:c r="AA148" s="211" t="str">
        <x:f t="shared" si="14"/>
      </x:c>
      <x:c r="AB148" s="210"/>
      <x:c r="AC148" s="210"/>
      <x:c r="AD148" s="210"/>
      <x:c r="AE148" s="209"/>
    </x:row>
    <x:row r="149">
      <x:c r="A149" s="210"/>
      <x:c r="B149" s="215"/>
      <x:c r="C149" s="214"/>
      <x:c r="D149" s="210"/>
      <x:c r="E149" s="210"/>
      <x:c r="F149" s="210"/>
      <x:c r="G149" s="212"/>
      <x:c r="H149" s="212"/>
      <x:c r="I149" s="212"/>
      <x:c r="J149" s="212"/>
      <x:c r="K149" s="212"/>
      <x:c r="L149" s="212"/>
      <x:c r="M149" s="211" t="str">
        <x:f t="shared" si="12"/>
      </x:c>
      <x:c r="N149" s="212"/>
      <x:c r="O149" s="212"/>
      <x:c r="P149" s="212"/>
      <x:c r="Q149" s="212"/>
      <x:c r="R149" s="212"/>
      <x:c r="S149" s="213"/>
      <x:c r="T149" s="212"/>
      <x:c r="U149" s="212"/>
      <x:c r="V149" s="212"/>
      <x:c r="W149" s="212"/>
      <x:c r="X149" s="211" t="str">
        <x:f t="shared" si="13"/>
      </x:c>
      <x:c r="Y149" s="212"/>
      <x:c r="Z149" s="212"/>
      <x:c r="AA149" s="211" t="str">
        <x:f t="shared" si="14"/>
      </x:c>
      <x:c r="AB149" s="210"/>
      <x:c r="AC149" s="210"/>
      <x:c r="AD149" s="210"/>
      <x:c r="AE149" s="209"/>
    </x:row>
    <x:row r="150">
      <x:c r="A150" s="210"/>
      <x:c r="B150" s="215"/>
      <x:c r="C150" s="214"/>
      <x:c r="D150" s="210"/>
      <x:c r="E150" s="210"/>
      <x:c r="F150" s="210"/>
      <x:c r="G150" s="212"/>
      <x:c r="H150" s="212"/>
      <x:c r="I150" s="212"/>
      <x:c r="J150" s="212"/>
      <x:c r="K150" s="212"/>
      <x:c r="L150" s="212"/>
      <x:c r="M150" s="211" t="str">
        <x:f t="shared" si="12"/>
      </x:c>
      <x:c r="N150" s="212"/>
      <x:c r="O150" s="212"/>
      <x:c r="P150" s="212"/>
      <x:c r="Q150" s="212"/>
      <x:c r="R150" s="212"/>
      <x:c r="S150" s="213"/>
      <x:c r="T150" s="212"/>
      <x:c r="U150" s="212"/>
      <x:c r="V150" s="212"/>
      <x:c r="W150" s="212"/>
      <x:c r="X150" s="211" t="str">
        <x:f t="shared" si="13"/>
      </x:c>
      <x:c r="Y150" s="212"/>
      <x:c r="Z150" s="212"/>
      <x:c r="AA150" s="211" t="str">
        <x:f t="shared" si="14"/>
      </x:c>
      <x:c r="AB150" s="210"/>
      <x:c r="AC150" s="210"/>
      <x:c r="AD150" s="210"/>
      <x:c r="AE150" s="209"/>
    </x:row>
    <x:row r="151">
      <x:c r="A151" s="210"/>
      <x:c r="B151" s="215"/>
      <x:c r="C151" s="214"/>
      <x:c r="D151" s="210"/>
      <x:c r="E151" s="210"/>
      <x:c r="F151" s="210"/>
      <x:c r="G151" s="212"/>
      <x:c r="H151" s="212"/>
      <x:c r="I151" s="212"/>
      <x:c r="J151" s="212"/>
      <x:c r="K151" s="212"/>
      <x:c r="L151" s="212"/>
      <x:c r="M151" s="211" t="str">
        <x:f t="shared" si="12"/>
      </x:c>
      <x:c r="N151" s="212"/>
      <x:c r="O151" s="212"/>
      <x:c r="P151" s="212"/>
      <x:c r="Q151" s="212"/>
      <x:c r="R151" s="212"/>
      <x:c r="S151" s="213"/>
      <x:c r="T151" s="212"/>
      <x:c r="U151" s="212"/>
      <x:c r="V151" s="212"/>
      <x:c r="W151" s="212"/>
      <x:c r="X151" s="211" t="str">
        <x:f t="shared" si="13"/>
      </x:c>
      <x:c r="Y151" s="212"/>
      <x:c r="Z151" s="212"/>
      <x:c r="AA151" s="211" t="str">
        <x:f t="shared" si="14"/>
      </x:c>
      <x:c r="AB151" s="210"/>
      <x:c r="AC151" s="210"/>
      <x:c r="AD151" s="210"/>
      <x:c r="AE151" s="209"/>
    </x:row>
    <x:row r="152">
      <x:c r="A152" s="210"/>
      <x:c r="B152" s="215"/>
      <x:c r="C152" s="214"/>
      <x:c r="D152" s="210"/>
      <x:c r="E152" s="210"/>
      <x:c r="F152" s="210"/>
      <x:c r="G152" s="212"/>
      <x:c r="H152" s="212"/>
      <x:c r="I152" s="212"/>
      <x:c r="J152" s="212"/>
      <x:c r="K152" s="212"/>
      <x:c r="L152" s="212"/>
      <x:c r="M152" s="211" t="str">
        <x:f t="shared" si="12"/>
      </x:c>
      <x:c r="N152" s="212"/>
      <x:c r="O152" s="212"/>
      <x:c r="P152" s="212"/>
      <x:c r="Q152" s="212"/>
      <x:c r="R152" s="212"/>
      <x:c r="S152" s="213"/>
      <x:c r="T152" s="212"/>
      <x:c r="U152" s="212"/>
      <x:c r="V152" s="212"/>
      <x:c r="W152" s="212"/>
      <x:c r="X152" s="211" t="str">
        <x:f t="shared" si="13"/>
      </x:c>
      <x:c r="Y152" s="212"/>
      <x:c r="Z152" s="212"/>
      <x:c r="AA152" s="211" t="str">
        <x:f t="shared" si="14"/>
      </x:c>
      <x:c r="AB152" s="210"/>
      <x:c r="AC152" s="210"/>
      <x:c r="AD152" s="210"/>
      <x:c r="AE152" s="209"/>
    </x:row>
    <x:row r="153">
      <x:c r="A153" s="210"/>
      <x:c r="B153" s="215"/>
      <x:c r="C153" s="214"/>
      <x:c r="D153" s="210"/>
      <x:c r="E153" s="210"/>
      <x:c r="F153" s="210"/>
      <x:c r="G153" s="212"/>
      <x:c r="H153" s="212"/>
      <x:c r="I153" s="212"/>
      <x:c r="J153" s="212"/>
      <x:c r="K153" s="212"/>
      <x:c r="L153" s="212"/>
      <x:c r="M153" s="211" t="str">
        <x:f t="shared" si="12"/>
      </x:c>
      <x:c r="N153" s="212"/>
      <x:c r="O153" s="212"/>
      <x:c r="P153" s="212"/>
      <x:c r="Q153" s="212"/>
      <x:c r="R153" s="212"/>
      <x:c r="S153" s="213"/>
      <x:c r="T153" s="212"/>
      <x:c r="U153" s="212"/>
      <x:c r="V153" s="212"/>
      <x:c r="W153" s="212"/>
      <x:c r="X153" s="211" t="str">
        <x:f t="shared" si="13"/>
      </x:c>
      <x:c r="Y153" s="212"/>
      <x:c r="Z153" s="212"/>
      <x:c r="AA153" s="211" t="str">
        <x:f t="shared" si="14"/>
      </x:c>
      <x:c r="AB153" s="210"/>
      <x:c r="AC153" s="210"/>
      <x:c r="AD153" s="210"/>
      <x:c r="AE153" s="209"/>
    </x:row>
    <x:row r="154">
      <x:c r="A154" s="210"/>
      <x:c r="B154" s="215"/>
      <x:c r="C154" s="214"/>
      <x:c r="D154" s="210"/>
      <x:c r="E154" s="210"/>
      <x:c r="F154" s="210"/>
      <x:c r="G154" s="212"/>
      <x:c r="H154" s="212"/>
      <x:c r="I154" s="212"/>
      <x:c r="J154" s="212"/>
      <x:c r="K154" s="212"/>
      <x:c r="L154" s="212"/>
      <x:c r="M154" s="211" t="str">
        <x:f t="shared" si="12"/>
      </x:c>
      <x:c r="N154" s="212"/>
      <x:c r="O154" s="212"/>
      <x:c r="P154" s="212"/>
      <x:c r="Q154" s="212"/>
      <x:c r="R154" s="212"/>
      <x:c r="S154" s="213"/>
      <x:c r="T154" s="212"/>
      <x:c r="U154" s="212"/>
      <x:c r="V154" s="212"/>
      <x:c r="W154" s="212"/>
      <x:c r="X154" s="211" t="str">
        <x:f t="shared" si="13"/>
      </x:c>
      <x:c r="Y154" s="212"/>
      <x:c r="Z154" s="212"/>
      <x:c r="AA154" s="211" t="str">
        <x:f t="shared" si="14"/>
      </x:c>
      <x:c r="AB154" s="210"/>
      <x:c r="AC154" s="210"/>
      <x:c r="AD154" s="210"/>
      <x:c r="AE154" s="209"/>
    </x:row>
    <x:row r="155">
      <x:c r="A155" s="210"/>
      <x:c r="B155" s="215"/>
      <x:c r="C155" s="214"/>
      <x:c r="D155" s="210"/>
      <x:c r="E155" s="210"/>
      <x:c r="F155" s="210"/>
      <x:c r="G155" s="212"/>
      <x:c r="H155" s="212"/>
      <x:c r="I155" s="212"/>
      <x:c r="J155" s="212"/>
      <x:c r="K155" s="212"/>
      <x:c r="L155" s="212"/>
      <x:c r="M155" s="211" t="str">
        <x:f t="shared" si="12"/>
      </x:c>
      <x:c r="N155" s="212"/>
      <x:c r="O155" s="212"/>
      <x:c r="P155" s="212"/>
      <x:c r="Q155" s="212"/>
      <x:c r="R155" s="212"/>
      <x:c r="S155" s="213"/>
      <x:c r="T155" s="212"/>
      <x:c r="U155" s="212"/>
      <x:c r="V155" s="212"/>
      <x:c r="W155" s="212"/>
      <x:c r="X155" s="211" t="str">
        <x:f t="shared" si="13"/>
      </x:c>
      <x:c r="Y155" s="212"/>
      <x:c r="Z155" s="212"/>
      <x:c r="AA155" s="211" t="str">
        <x:f t="shared" si="14"/>
      </x:c>
      <x:c r="AB155" s="210"/>
      <x:c r="AC155" s="210"/>
      <x:c r="AD155" s="210"/>
      <x:c r="AE155" s="209"/>
    </x:row>
    <x:row r="156">
      <x:c r="A156" s="210"/>
      <x:c r="B156" s="215"/>
      <x:c r="C156" s="214"/>
      <x:c r="D156" s="210"/>
      <x:c r="E156" s="210"/>
      <x:c r="F156" s="210"/>
      <x:c r="G156" s="212"/>
      <x:c r="H156" s="212"/>
      <x:c r="I156" s="212"/>
      <x:c r="J156" s="212"/>
      <x:c r="K156" s="212"/>
      <x:c r="L156" s="212"/>
      <x:c r="M156" s="211" t="str">
        <x:f t="shared" si="12"/>
      </x:c>
      <x:c r="N156" s="212"/>
      <x:c r="O156" s="212"/>
      <x:c r="P156" s="212"/>
      <x:c r="Q156" s="212"/>
      <x:c r="R156" s="212"/>
      <x:c r="S156" s="213"/>
      <x:c r="T156" s="212"/>
      <x:c r="U156" s="212"/>
      <x:c r="V156" s="212"/>
      <x:c r="W156" s="212"/>
      <x:c r="X156" s="211" t="str">
        <x:f t="shared" si="13"/>
      </x:c>
      <x:c r="Y156" s="212"/>
      <x:c r="Z156" s="212"/>
      <x:c r="AA156" s="211" t="str">
        <x:f t="shared" si="14"/>
      </x:c>
      <x:c r="AB156" s="210"/>
      <x:c r="AC156" s="210"/>
      <x:c r="AD156" s="210"/>
      <x:c r="AE156" s="209"/>
    </x:row>
    <x:row r="157">
      <x:c r="A157" s="210"/>
      <x:c r="B157" s="215"/>
      <x:c r="C157" s="214"/>
      <x:c r="D157" s="210"/>
      <x:c r="E157" s="210"/>
      <x:c r="F157" s="210"/>
      <x:c r="G157" s="212"/>
      <x:c r="H157" s="212"/>
      <x:c r="I157" s="212"/>
      <x:c r="J157" s="212"/>
      <x:c r="K157" s="212"/>
      <x:c r="L157" s="212"/>
      <x:c r="M157" s="211" t="str">
        <x:f t="shared" si="12"/>
      </x:c>
      <x:c r="N157" s="212"/>
      <x:c r="O157" s="212"/>
      <x:c r="P157" s="212"/>
      <x:c r="Q157" s="212"/>
      <x:c r="R157" s="212"/>
      <x:c r="S157" s="213"/>
      <x:c r="T157" s="212"/>
      <x:c r="U157" s="212"/>
      <x:c r="V157" s="212"/>
      <x:c r="W157" s="212"/>
      <x:c r="X157" s="211" t="str">
        <x:f t="shared" si="13"/>
      </x:c>
      <x:c r="Y157" s="212"/>
      <x:c r="Z157" s="212"/>
      <x:c r="AA157" s="211" t="str">
        <x:f t="shared" si="14"/>
      </x:c>
      <x:c r="AB157" s="210"/>
      <x:c r="AC157" s="210"/>
      <x:c r="AD157" s="210"/>
      <x:c r="AE157" s="209"/>
    </x:row>
    <x:row r="158">
      <x:c r="A158" s="210"/>
      <x:c r="B158" s="215"/>
      <x:c r="C158" s="214"/>
      <x:c r="D158" s="210"/>
      <x:c r="E158" s="210"/>
      <x:c r="F158" s="210"/>
      <x:c r="G158" s="212"/>
      <x:c r="H158" s="212"/>
      <x:c r="I158" s="212"/>
      <x:c r="J158" s="212"/>
      <x:c r="K158" s="212"/>
      <x:c r="L158" s="212"/>
      <x:c r="M158" s="211" t="str">
        <x:f t="shared" si="12"/>
      </x:c>
      <x:c r="N158" s="212"/>
      <x:c r="O158" s="212"/>
      <x:c r="P158" s="212"/>
      <x:c r="Q158" s="212"/>
      <x:c r="R158" s="212"/>
      <x:c r="S158" s="213"/>
      <x:c r="T158" s="212"/>
      <x:c r="U158" s="212"/>
      <x:c r="V158" s="212"/>
      <x:c r="W158" s="212"/>
      <x:c r="X158" s="211" t="str">
        <x:f t="shared" si="13"/>
      </x:c>
      <x:c r="Y158" s="212"/>
      <x:c r="Z158" s="212"/>
      <x:c r="AA158" s="211" t="str">
        <x:f t="shared" si="14"/>
      </x:c>
      <x:c r="AB158" s="210"/>
      <x:c r="AC158" s="210"/>
      <x:c r="AD158" s="210"/>
      <x:c r="AE158" s="209"/>
    </x:row>
    <x:row r="159">
      <x:c r="A159" s="210"/>
      <x:c r="B159" s="215"/>
      <x:c r="C159" s="214"/>
      <x:c r="D159" s="210"/>
      <x:c r="E159" s="210"/>
      <x:c r="F159" s="210"/>
      <x:c r="G159" s="212"/>
      <x:c r="H159" s="212"/>
      <x:c r="I159" s="212"/>
      <x:c r="J159" s="212"/>
      <x:c r="K159" s="212"/>
      <x:c r="L159" s="212"/>
      <x:c r="M159" s="211" t="str">
        <x:f t="shared" si="12"/>
      </x:c>
      <x:c r="N159" s="212"/>
      <x:c r="O159" s="212"/>
      <x:c r="P159" s="212"/>
      <x:c r="Q159" s="212"/>
      <x:c r="R159" s="212"/>
      <x:c r="S159" s="213"/>
      <x:c r="T159" s="212"/>
      <x:c r="U159" s="212"/>
      <x:c r="V159" s="212"/>
      <x:c r="W159" s="212"/>
      <x:c r="X159" s="211" t="str">
        <x:f t="shared" si="13"/>
      </x:c>
      <x:c r="Y159" s="212"/>
      <x:c r="Z159" s="212"/>
      <x:c r="AA159" s="211" t="str">
        <x:f t="shared" si="14"/>
      </x:c>
      <x:c r="AB159" s="210"/>
      <x:c r="AC159" s="210"/>
      <x:c r="AD159" s="210"/>
      <x:c r="AE159" s="209"/>
    </x:row>
    <x:row r="160">
      <x:c r="A160" s="210"/>
      <x:c r="B160" s="215"/>
      <x:c r="C160" s="214"/>
      <x:c r="D160" s="210"/>
      <x:c r="E160" s="210"/>
      <x:c r="F160" s="210"/>
      <x:c r="G160" s="212"/>
      <x:c r="H160" s="212"/>
      <x:c r="I160" s="212"/>
      <x:c r="J160" s="212"/>
      <x:c r="K160" s="212"/>
      <x:c r="L160" s="212"/>
      <x:c r="M160" s="211" t="str">
        <x:f t="shared" si="12"/>
      </x:c>
      <x:c r="N160" s="212"/>
      <x:c r="O160" s="212"/>
      <x:c r="P160" s="212"/>
      <x:c r="Q160" s="212"/>
      <x:c r="R160" s="212"/>
      <x:c r="S160" s="213"/>
      <x:c r="T160" s="212"/>
      <x:c r="U160" s="212"/>
      <x:c r="V160" s="212"/>
      <x:c r="W160" s="212"/>
      <x:c r="X160" s="211" t="str">
        <x:f t="shared" si="13"/>
      </x:c>
      <x:c r="Y160" s="212"/>
      <x:c r="Z160" s="212"/>
      <x:c r="AA160" s="211" t="str">
        <x:f t="shared" si="14"/>
      </x:c>
      <x:c r="AB160" s="210"/>
      <x:c r="AC160" s="210"/>
      <x:c r="AD160" s="210"/>
      <x:c r="AE160" s="209"/>
    </x:row>
    <x:row r="161">
      <x:c r="A161" s="210"/>
      <x:c r="B161" s="215"/>
      <x:c r="C161" s="214"/>
      <x:c r="D161" s="210"/>
      <x:c r="E161" s="210"/>
      <x:c r="F161" s="210"/>
      <x:c r="G161" s="212"/>
      <x:c r="H161" s="212"/>
      <x:c r="I161" s="212"/>
      <x:c r="J161" s="212"/>
      <x:c r="K161" s="212"/>
      <x:c r="L161" s="212"/>
      <x:c r="M161" s="211" t="str">
        <x:f t="shared" si="12"/>
      </x:c>
      <x:c r="N161" s="212"/>
      <x:c r="O161" s="212"/>
      <x:c r="P161" s="212"/>
      <x:c r="Q161" s="212"/>
      <x:c r="R161" s="212"/>
      <x:c r="S161" s="213"/>
      <x:c r="T161" s="212"/>
      <x:c r="U161" s="212"/>
      <x:c r="V161" s="212"/>
      <x:c r="W161" s="212"/>
      <x:c r="X161" s="211" t="str">
        <x:f t="shared" si="13"/>
      </x:c>
      <x:c r="Y161" s="212"/>
      <x:c r="Z161" s="212"/>
      <x:c r="AA161" s="211" t="str">
        <x:f t="shared" si="14"/>
      </x:c>
      <x:c r="AB161" s="210"/>
      <x:c r="AC161" s="210"/>
      <x:c r="AD161" s="210"/>
      <x:c r="AE161" s="209"/>
    </x:row>
    <x:row r="162">
      <x:c r="A162" s="210"/>
      <x:c r="B162" s="215"/>
      <x:c r="C162" s="214"/>
      <x:c r="D162" s="210"/>
      <x:c r="E162" s="210"/>
      <x:c r="F162" s="210"/>
      <x:c r="G162" s="212"/>
      <x:c r="H162" s="212"/>
      <x:c r="I162" s="212"/>
      <x:c r="J162" s="212"/>
      <x:c r="K162" s="212"/>
      <x:c r="L162" s="212"/>
      <x:c r="M162" s="211" t="str">
        <x:f t="shared" si="12"/>
      </x:c>
      <x:c r="N162" s="212"/>
      <x:c r="O162" s="212"/>
      <x:c r="P162" s="212"/>
      <x:c r="Q162" s="212"/>
      <x:c r="R162" s="212"/>
      <x:c r="S162" s="213"/>
      <x:c r="T162" s="212"/>
      <x:c r="U162" s="212"/>
      <x:c r="V162" s="212"/>
      <x:c r="W162" s="212"/>
      <x:c r="X162" s="211" t="str">
        <x:f t="shared" si="13"/>
      </x:c>
      <x:c r="Y162" s="212"/>
      <x:c r="Z162" s="212"/>
      <x:c r="AA162" s="211" t="str">
        <x:f t="shared" si="14"/>
      </x:c>
      <x:c r="AB162" s="210"/>
      <x:c r="AC162" s="210"/>
      <x:c r="AD162" s="210"/>
      <x:c r="AE162" s="209"/>
    </x:row>
    <x:row r="163">
      <x:c r="A163" s="210"/>
      <x:c r="B163" s="215"/>
      <x:c r="C163" s="214"/>
      <x:c r="D163" s="210"/>
      <x:c r="E163" s="210"/>
      <x:c r="F163" s="210"/>
      <x:c r="G163" s="212"/>
      <x:c r="H163" s="212"/>
      <x:c r="I163" s="212"/>
      <x:c r="J163" s="212"/>
      <x:c r="K163" s="212"/>
      <x:c r="L163" s="212"/>
      <x:c r="M163" s="211" t="str">
        <x:f t="shared" si="12"/>
      </x:c>
      <x:c r="N163" s="212"/>
      <x:c r="O163" s="212"/>
      <x:c r="P163" s="212"/>
      <x:c r="Q163" s="212"/>
      <x:c r="R163" s="212"/>
      <x:c r="S163" s="213"/>
      <x:c r="T163" s="212"/>
      <x:c r="U163" s="212"/>
      <x:c r="V163" s="212"/>
      <x:c r="W163" s="212"/>
      <x:c r="X163" s="211" t="str">
        <x:f t="shared" si="13"/>
      </x:c>
      <x:c r="Y163" s="212"/>
      <x:c r="Z163" s="212"/>
      <x:c r="AA163" s="211" t="str">
        <x:f t="shared" si="14"/>
      </x:c>
      <x:c r="AB163" s="210"/>
      <x:c r="AC163" s="210"/>
      <x:c r="AD163" s="210"/>
      <x:c r="AE163" s="209"/>
    </x:row>
    <x:row r="164">
      <x:c r="A164" s="210"/>
      <x:c r="B164" s="215"/>
      <x:c r="C164" s="214"/>
      <x:c r="D164" s="210"/>
      <x:c r="E164" s="210"/>
      <x:c r="F164" s="210"/>
      <x:c r="G164" s="212"/>
      <x:c r="H164" s="212"/>
      <x:c r="I164" s="212"/>
      <x:c r="J164" s="212"/>
      <x:c r="K164" s="212"/>
      <x:c r="L164" s="212"/>
      <x:c r="M164" s="211" t="str">
        <x:f t="shared" si="12"/>
      </x:c>
      <x:c r="N164" s="212"/>
      <x:c r="O164" s="212"/>
      <x:c r="P164" s="212"/>
      <x:c r="Q164" s="212"/>
      <x:c r="R164" s="212"/>
      <x:c r="S164" s="213"/>
      <x:c r="T164" s="212"/>
      <x:c r="U164" s="212"/>
      <x:c r="V164" s="212"/>
      <x:c r="W164" s="212"/>
      <x:c r="X164" s="211" t="str">
        <x:f t="shared" si="13"/>
      </x:c>
      <x:c r="Y164" s="212"/>
      <x:c r="Z164" s="212"/>
      <x:c r="AA164" s="211" t="str">
        <x:f t="shared" si="14"/>
      </x:c>
      <x:c r="AB164" s="210"/>
      <x:c r="AC164" s="210"/>
      <x:c r="AD164" s="210"/>
      <x:c r="AE164" s="209"/>
    </x:row>
    <x:row r="165">
      <x:c r="A165" s="210"/>
      <x:c r="B165" s="215"/>
      <x:c r="C165" s="214"/>
      <x:c r="D165" s="210"/>
      <x:c r="E165" s="210"/>
      <x:c r="F165" s="210"/>
      <x:c r="G165" s="212"/>
      <x:c r="H165" s="212"/>
      <x:c r="I165" s="212"/>
      <x:c r="J165" s="212"/>
      <x:c r="K165" s="212"/>
      <x:c r="L165" s="212"/>
      <x:c r="M165" s="211" t="str">
        <x:f t="shared" si="12"/>
      </x:c>
      <x:c r="N165" s="212"/>
      <x:c r="O165" s="212"/>
      <x:c r="P165" s="212"/>
      <x:c r="Q165" s="212"/>
      <x:c r="R165" s="212"/>
      <x:c r="S165" s="213"/>
      <x:c r="T165" s="212"/>
      <x:c r="U165" s="212"/>
      <x:c r="V165" s="212"/>
      <x:c r="W165" s="212"/>
      <x:c r="X165" s="211" t="str">
        <x:f t="shared" si="13"/>
      </x:c>
      <x:c r="Y165" s="212"/>
      <x:c r="Z165" s="212"/>
      <x:c r="AA165" s="211" t="str">
        <x:f t="shared" si="14"/>
      </x:c>
      <x:c r="AB165" s="210"/>
      <x:c r="AC165" s="210"/>
      <x:c r="AD165" s="210"/>
      <x:c r="AE165" s="209"/>
    </x:row>
    <x:row r="166">
      <x:c r="A166" s="210"/>
      <x:c r="B166" s="215"/>
      <x:c r="C166" s="214"/>
      <x:c r="D166" s="210"/>
      <x:c r="E166" s="210"/>
      <x:c r="F166" s="210"/>
      <x:c r="G166" s="212"/>
      <x:c r="H166" s="212"/>
      <x:c r="I166" s="212"/>
      <x:c r="J166" s="212"/>
      <x:c r="K166" s="212"/>
      <x:c r="L166" s="212"/>
      <x:c r="M166" s="211" t="str">
        <x:f t="shared" ref="M166:M197" si="15">IF(OR($A166="",$G166=0),"",$K166/$G166)</x:f>
      </x:c>
      <x:c r="N166" s="212"/>
      <x:c r="O166" s="212"/>
      <x:c r="P166" s="212"/>
      <x:c r="Q166" s="212"/>
      <x:c r="R166" s="212"/>
      <x:c r="S166" s="213"/>
      <x:c r="T166" s="212"/>
      <x:c r="U166" s="212"/>
      <x:c r="V166" s="212"/>
      <x:c r="W166" s="212"/>
      <x:c r="X166" s="211" t="str">
        <x:f t="shared" ref="X166:X197" si="16">IF(OR($A166="",$T166=0),"",$U166/$T166)</x:f>
      </x:c>
      <x:c r="Y166" s="212"/>
      <x:c r="Z166" s="212"/>
      <x:c r="AA166" s="211" t="str">
        <x:f t="shared" ref="AA166:AA197" si="17">IF(OR($A166="",$Y166=0),"",$Z166/$Y166)</x:f>
      </x:c>
      <x:c r="AB166" s="210"/>
      <x:c r="AC166" s="210"/>
      <x:c r="AD166" s="210"/>
      <x:c r="AE166" s="209"/>
    </x:row>
    <x:row r="167">
      <x:c r="A167" s="210"/>
      <x:c r="B167" s="215"/>
      <x:c r="C167" s="214"/>
      <x:c r="D167" s="210"/>
      <x:c r="E167" s="210"/>
      <x:c r="F167" s="210"/>
      <x:c r="G167" s="212"/>
      <x:c r="H167" s="212"/>
      <x:c r="I167" s="212"/>
      <x:c r="J167" s="212"/>
      <x:c r="K167" s="212"/>
      <x:c r="L167" s="212"/>
      <x:c r="M167" s="211" t="str">
        <x:f t="shared" si="15"/>
      </x:c>
      <x:c r="N167" s="212"/>
      <x:c r="O167" s="212"/>
      <x:c r="P167" s="212"/>
      <x:c r="Q167" s="212"/>
      <x:c r="R167" s="212"/>
      <x:c r="S167" s="213"/>
      <x:c r="T167" s="212"/>
      <x:c r="U167" s="212"/>
      <x:c r="V167" s="212"/>
      <x:c r="W167" s="212"/>
      <x:c r="X167" s="211" t="str">
        <x:f t="shared" si="16"/>
      </x:c>
      <x:c r="Y167" s="212"/>
      <x:c r="Z167" s="212"/>
      <x:c r="AA167" s="211" t="str">
        <x:f t="shared" si="17"/>
      </x:c>
      <x:c r="AB167" s="210"/>
      <x:c r="AC167" s="210"/>
      <x:c r="AD167" s="210"/>
      <x:c r="AE167" s="209"/>
    </x:row>
    <x:row r="168">
      <x:c r="A168" s="210"/>
      <x:c r="B168" s="215"/>
      <x:c r="C168" s="214"/>
      <x:c r="D168" s="210"/>
      <x:c r="E168" s="210"/>
      <x:c r="F168" s="210"/>
      <x:c r="G168" s="212"/>
      <x:c r="H168" s="212"/>
      <x:c r="I168" s="212"/>
      <x:c r="J168" s="212"/>
      <x:c r="K168" s="212"/>
      <x:c r="L168" s="212"/>
      <x:c r="M168" s="211" t="str">
        <x:f t="shared" si="15"/>
      </x:c>
      <x:c r="N168" s="212"/>
      <x:c r="O168" s="212"/>
      <x:c r="P168" s="212"/>
      <x:c r="Q168" s="212"/>
      <x:c r="R168" s="212"/>
      <x:c r="S168" s="213"/>
      <x:c r="T168" s="212"/>
      <x:c r="U168" s="212"/>
      <x:c r="V168" s="212"/>
      <x:c r="W168" s="212"/>
      <x:c r="X168" s="211" t="str">
        <x:f t="shared" si="16"/>
      </x:c>
      <x:c r="Y168" s="212"/>
      <x:c r="Z168" s="212"/>
      <x:c r="AA168" s="211" t="str">
        <x:f t="shared" si="17"/>
      </x:c>
      <x:c r="AB168" s="210"/>
      <x:c r="AC168" s="210"/>
      <x:c r="AD168" s="210"/>
      <x:c r="AE168" s="209"/>
    </x:row>
    <x:row r="169">
      <x:c r="A169" s="210"/>
      <x:c r="B169" s="215"/>
      <x:c r="C169" s="214"/>
      <x:c r="D169" s="210"/>
      <x:c r="E169" s="210"/>
      <x:c r="F169" s="210"/>
      <x:c r="G169" s="212"/>
      <x:c r="H169" s="212"/>
      <x:c r="I169" s="212"/>
      <x:c r="J169" s="212"/>
      <x:c r="K169" s="212"/>
      <x:c r="L169" s="212"/>
      <x:c r="M169" s="211" t="str">
        <x:f t="shared" si="15"/>
      </x:c>
      <x:c r="N169" s="212"/>
      <x:c r="O169" s="212"/>
      <x:c r="P169" s="212"/>
      <x:c r="Q169" s="212"/>
      <x:c r="R169" s="212"/>
      <x:c r="S169" s="213"/>
      <x:c r="T169" s="212"/>
      <x:c r="U169" s="212"/>
      <x:c r="V169" s="212"/>
      <x:c r="W169" s="212"/>
      <x:c r="X169" s="211" t="str">
        <x:f t="shared" si="16"/>
      </x:c>
      <x:c r="Y169" s="212"/>
      <x:c r="Z169" s="212"/>
      <x:c r="AA169" s="211" t="str">
        <x:f t="shared" si="17"/>
      </x:c>
      <x:c r="AB169" s="210"/>
      <x:c r="AC169" s="210"/>
      <x:c r="AD169" s="210"/>
      <x:c r="AE169" s="209"/>
    </x:row>
    <x:row r="170">
      <x:c r="A170" s="210"/>
      <x:c r="B170" s="215"/>
      <x:c r="C170" s="214"/>
      <x:c r="D170" s="210"/>
      <x:c r="E170" s="210"/>
      <x:c r="F170" s="210"/>
      <x:c r="G170" s="212"/>
      <x:c r="H170" s="212"/>
      <x:c r="I170" s="212"/>
      <x:c r="J170" s="212"/>
      <x:c r="K170" s="212"/>
      <x:c r="L170" s="212"/>
      <x:c r="M170" s="211" t="str">
        <x:f t="shared" si="15"/>
      </x:c>
      <x:c r="N170" s="212"/>
      <x:c r="O170" s="212"/>
      <x:c r="P170" s="212"/>
      <x:c r="Q170" s="212"/>
      <x:c r="R170" s="212"/>
      <x:c r="S170" s="213"/>
      <x:c r="T170" s="212"/>
      <x:c r="U170" s="212"/>
      <x:c r="V170" s="212"/>
      <x:c r="W170" s="212"/>
      <x:c r="X170" s="211" t="str">
        <x:f t="shared" si="16"/>
      </x:c>
      <x:c r="Y170" s="212"/>
      <x:c r="Z170" s="212"/>
      <x:c r="AA170" s="211" t="str">
        <x:f t="shared" si="17"/>
      </x:c>
      <x:c r="AB170" s="210"/>
      <x:c r="AC170" s="210"/>
      <x:c r="AD170" s="210"/>
      <x:c r="AE170" s="209"/>
    </x:row>
    <x:row r="171">
      <x:c r="A171" s="210"/>
      <x:c r="B171" s="215"/>
      <x:c r="C171" s="214"/>
      <x:c r="D171" s="210"/>
      <x:c r="E171" s="210"/>
      <x:c r="F171" s="210"/>
      <x:c r="G171" s="212"/>
      <x:c r="H171" s="212"/>
      <x:c r="I171" s="212"/>
      <x:c r="J171" s="212"/>
      <x:c r="K171" s="212"/>
      <x:c r="L171" s="212"/>
      <x:c r="M171" s="211" t="str">
        <x:f t="shared" si="15"/>
      </x:c>
      <x:c r="N171" s="212"/>
      <x:c r="O171" s="212"/>
      <x:c r="P171" s="212"/>
      <x:c r="Q171" s="212"/>
      <x:c r="R171" s="212"/>
      <x:c r="S171" s="213"/>
      <x:c r="T171" s="212"/>
      <x:c r="U171" s="212"/>
      <x:c r="V171" s="212"/>
      <x:c r="W171" s="212"/>
      <x:c r="X171" s="211" t="str">
        <x:f t="shared" si="16"/>
      </x:c>
      <x:c r="Y171" s="212"/>
      <x:c r="Z171" s="212"/>
      <x:c r="AA171" s="211" t="str">
        <x:f t="shared" si="17"/>
      </x:c>
      <x:c r="AB171" s="210"/>
      <x:c r="AC171" s="210"/>
      <x:c r="AD171" s="210"/>
      <x:c r="AE171" s="209"/>
    </x:row>
    <x:row r="172">
      <x:c r="A172" s="210"/>
      <x:c r="B172" s="215"/>
      <x:c r="C172" s="214"/>
      <x:c r="D172" s="210"/>
      <x:c r="E172" s="210"/>
      <x:c r="F172" s="210"/>
      <x:c r="G172" s="212"/>
      <x:c r="H172" s="212"/>
      <x:c r="I172" s="212"/>
      <x:c r="J172" s="212"/>
      <x:c r="K172" s="212"/>
      <x:c r="L172" s="212"/>
      <x:c r="M172" s="211" t="str">
        <x:f t="shared" si="15"/>
      </x:c>
      <x:c r="N172" s="212"/>
      <x:c r="O172" s="212"/>
      <x:c r="P172" s="212"/>
      <x:c r="Q172" s="212"/>
      <x:c r="R172" s="212"/>
      <x:c r="S172" s="213"/>
      <x:c r="T172" s="212"/>
      <x:c r="U172" s="212"/>
      <x:c r="V172" s="212"/>
      <x:c r="W172" s="212"/>
      <x:c r="X172" s="211" t="str">
        <x:f t="shared" si="16"/>
      </x:c>
      <x:c r="Y172" s="212"/>
      <x:c r="Z172" s="212"/>
      <x:c r="AA172" s="211" t="str">
        <x:f t="shared" si="17"/>
      </x:c>
      <x:c r="AB172" s="210"/>
      <x:c r="AC172" s="210"/>
      <x:c r="AD172" s="210"/>
      <x:c r="AE172" s="209"/>
    </x:row>
    <x:row r="173">
      <x:c r="A173" s="210"/>
      <x:c r="B173" s="215"/>
      <x:c r="C173" s="214"/>
      <x:c r="D173" s="210"/>
      <x:c r="E173" s="210"/>
      <x:c r="F173" s="210"/>
      <x:c r="G173" s="212"/>
      <x:c r="H173" s="212"/>
      <x:c r="I173" s="212"/>
      <x:c r="J173" s="212"/>
      <x:c r="K173" s="212"/>
      <x:c r="L173" s="212"/>
      <x:c r="M173" s="211" t="str">
        <x:f t="shared" si="15"/>
      </x:c>
      <x:c r="N173" s="212"/>
      <x:c r="O173" s="212"/>
      <x:c r="P173" s="212"/>
      <x:c r="Q173" s="212"/>
      <x:c r="R173" s="212"/>
      <x:c r="S173" s="213"/>
      <x:c r="T173" s="212"/>
      <x:c r="U173" s="212"/>
      <x:c r="V173" s="212"/>
      <x:c r="W173" s="212"/>
      <x:c r="X173" s="211" t="str">
        <x:f t="shared" si="16"/>
      </x:c>
      <x:c r="Y173" s="212"/>
      <x:c r="Z173" s="212"/>
      <x:c r="AA173" s="211" t="str">
        <x:f t="shared" si="17"/>
      </x:c>
      <x:c r="AB173" s="210"/>
      <x:c r="AC173" s="210"/>
      <x:c r="AD173" s="210"/>
      <x:c r="AE173" s="209"/>
    </x:row>
    <x:row r="174">
      <x:c r="A174" s="210"/>
      <x:c r="B174" s="215"/>
      <x:c r="C174" s="214"/>
      <x:c r="D174" s="210"/>
      <x:c r="E174" s="210"/>
      <x:c r="F174" s="210"/>
      <x:c r="G174" s="212"/>
      <x:c r="H174" s="212"/>
      <x:c r="I174" s="212"/>
      <x:c r="J174" s="212"/>
      <x:c r="K174" s="212"/>
      <x:c r="L174" s="212"/>
      <x:c r="M174" s="211" t="str">
        <x:f t="shared" si="15"/>
      </x:c>
      <x:c r="N174" s="212"/>
      <x:c r="O174" s="212"/>
      <x:c r="P174" s="212"/>
      <x:c r="Q174" s="212"/>
      <x:c r="R174" s="212"/>
      <x:c r="S174" s="213"/>
      <x:c r="T174" s="212"/>
      <x:c r="U174" s="212"/>
      <x:c r="V174" s="212"/>
      <x:c r="W174" s="212"/>
      <x:c r="X174" s="211" t="str">
        <x:f t="shared" si="16"/>
      </x:c>
      <x:c r="Y174" s="212"/>
      <x:c r="Z174" s="212"/>
      <x:c r="AA174" s="211" t="str">
        <x:f t="shared" si="17"/>
      </x:c>
      <x:c r="AB174" s="210"/>
      <x:c r="AC174" s="210"/>
      <x:c r="AD174" s="210"/>
      <x:c r="AE174" s="209"/>
    </x:row>
    <x:row r="175">
      <x:c r="A175" s="210"/>
      <x:c r="B175" s="215"/>
      <x:c r="C175" s="214"/>
      <x:c r="D175" s="210"/>
      <x:c r="E175" s="210"/>
      <x:c r="F175" s="210"/>
      <x:c r="G175" s="212"/>
      <x:c r="H175" s="212"/>
      <x:c r="I175" s="212"/>
      <x:c r="J175" s="212"/>
      <x:c r="K175" s="212"/>
      <x:c r="L175" s="212"/>
      <x:c r="M175" s="211" t="str">
        <x:f t="shared" si="15"/>
      </x:c>
      <x:c r="N175" s="212"/>
      <x:c r="O175" s="212"/>
      <x:c r="P175" s="212"/>
      <x:c r="Q175" s="212"/>
      <x:c r="R175" s="212"/>
      <x:c r="S175" s="213"/>
      <x:c r="T175" s="212"/>
      <x:c r="U175" s="212"/>
      <x:c r="V175" s="212"/>
      <x:c r="W175" s="212"/>
      <x:c r="X175" s="211" t="str">
        <x:f t="shared" si="16"/>
      </x:c>
      <x:c r="Y175" s="212"/>
      <x:c r="Z175" s="212"/>
      <x:c r="AA175" s="211" t="str">
        <x:f t="shared" si="17"/>
      </x:c>
      <x:c r="AB175" s="210"/>
      <x:c r="AC175" s="210"/>
      <x:c r="AD175" s="210"/>
      <x:c r="AE175" s="209"/>
    </x:row>
    <x:row r="176">
      <x:c r="A176" s="210"/>
      <x:c r="B176" s="215"/>
      <x:c r="C176" s="214"/>
      <x:c r="D176" s="210"/>
      <x:c r="E176" s="210"/>
      <x:c r="F176" s="210"/>
      <x:c r="G176" s="212"/>
      <x:c r="H176" s="212"/>
      <x:c r="I176" s="212"/>
      <x:c r="J176" s="212"/>
      <x:c r="K176" s="212"/>
      <x:c r="L176" s="212"/>
      <x:c r="M176" s="211" t="str">
        <x:f t="shared" si="15"/>
      </x:c>
      <x:c r="N176" s="212"/>
      <x:c r="O176" s="212"/>
      <x:c r="P176" s="212"/>
      <x:c r="Q176" s="212"/>
      <x:c r="R176" s="212"/>
      <x:c r="S176" s="213"/>
      <x:c r="T176" s="212"/>
      <x:c r="U176" s="212"/>
      <x:c r="V176" s="212"/>
      <x:c r="W176" s="212"/>
      <x:c r="X176" s="211" t="str">
        <x:f t="shared" si="16"/>
      </x:c>
      <x:c r="Y176" s="212"/>
      <x:c r="Z176" s="212"/>
      <x:c r="AA176" s="211" t="str">
        <x:f t="shared" si="17"/>
      </x:c>
      <x:c r="AB176" s="210"/>
      <x:c r="AC176" s="210"/>
      <x:c r="AD176" s="210"/>
      <x:c r="AE176" s="209"/>
    </x:row>
    <x:row r="177">
      <x:c r="A177" s="210"/>
      <x:c r="B177" s="215"/>
      <x:c r="C177" s="214"/>
      <x:c r="D177" s="210"/>
      <x:c r="E177" s="210"/>
      <x:c r="F177" s="210"/>
      <x:c r="G177" s="212"/>
      <x:c r="H177" s="212"/>
      <x:c r="I177" s="212"/>
      <x:c r="J177" s="212"/>
      <x:c r="K177" s="212"/>
      <x:c r="L177" s="212"/>
      <x:c r="M177" s="211" t="str">
        <x:f t="shared" si="15"/>
      </x:c>
      <x:c r="N177" s="212"/>
      <x:c r="O177" s="212"/>
      <x:c r="P177" s="212"/>
      <x:c r="Q177" s="212"/>
      <x:c r="R177" s="212"/>
      <x:c r="S177" s="213"/>
      <x:c r="T177" s="212"/>
      <x:c r="U177" s="212"/>
      <x:c r="V177" s="212"/>
      <x:c r="W177" s="212"/>
      <x:c r="X177" s="211" t="str">
        <x:f t="shared" si="16"/>
      </x:c>
      <x:c r="Y177" s="212"/>
      <x:c r="Z177" s="212"/>
      <x:c r="AA177" s="211" t="str">
        <x:f t="shared" si="17"/>
      </x:c>
      <x:c r="AB177" s="210"/>
      <x:c r="AC177" s="210"/>
      <x:c r="AD177" s="210"/>
      <x:c r="AE177" s="209"/>
    </x:row>
    <x:row r="178">
      <x:c r="A178" s="210"/>
      <x:c r="B178" s="215"/>
      <x:c r="C178" s="214"/>
      <x:c r="D178" s="210"/>
      <x:c r="E178" s="210"/>
      <x:c r="F178" s="210"/>
      <x:c r="G178" s="212"/>
      <x:c r="H178" s="212"/>
      <x:c r="I178" s="212"/>
      <x:c r="J178" s="212"/>
      <x:c r="K178" s="212"/>
      <x:c r="L178" s="212"/>
      <x:c r="M178" s="211" t="str">
        <x:f t="shared" si="15"/>
      </x:c>
      <x:c r="N178" s="212"/>
      <x:c r="O178" s="212"/>
      <x:c r="P178" s="212"/>
      <x:c r="Q178" s="212"/>
      <x:c r="R178" s="212"/>
      <x:c r="S178" s="213"/>
      <x:c r="T178" s="212"/>
      <x:c r="U178" s="212"/>
      <x:c r="V178" s="212"/>
      <x:c r="W178" s="212"/>
      <x:c r="X178" s="211" t="str">
        <x:f t="shared" si="16"/>
      </x:c>
      <x:c r="Y178" s="212"/>
      <x:c r="Z178" s="212"/>
      <x:c r="AA178" s="211" t="str">
        <x:f t="shared" si="17"/>
      </x:c>
      <x:c r="AB178" s="210"/>
      <x:c r="AC178" s="210"/>
      <x:c r="AD178" s="210"/>
      <x:c r="AE178" s="209"/>
    </x:row>
    <x:row r="179">
      <x:c r="A179" s="210"/>
      <x:c r="B179" s="215"/>
      <x:c r="C179" s="214"/>
      <x:c r="D179" s="210"/>
      <x:c r="E179" s="210"/>
      <x:c r="F179" s="210"/>
      <x:c r="G179" s="212"/>
      <x:c r="H179" s="212"/>
      <x:c r="I179" s="212"/>
      <x:c r="J179" s="212"/>
      <x:c r="K179" s="212"/>
      <x:c r="L179" s="212"/>
      <x:c r="M179" s="211" t="str">
        <x:f t="shared" si="15"/>
      </x:c>
      <x:c r="N179" s="212"/>
      <x:c r="O179" s="212"/>
      <x:c r="P179" s="212"/>
      <x:c r="Q179" s="212"/>
      <x:c r="R179" s="212"/>
      <x:c r="S179" s="213"/>
      <x:c r="T179" s="212"/>
      <x:c r="U179" s="212"/>
      <x:c r="V179" s="212"/>
      <x:c r="W179" s="212"/>
      <x:c r="X179" s="211" t="str">
        <x:f t="shared" si="16"/>
      </x:c>
      <x:c r="Y179" s="212"/>
      <x:c r="Z179" s="212"/>
      <x:c r="AA179" s="211" t="str">
        <x:f t="shared" si="17"/>
      </x:c>
      <x:c r="AB179" s="210"/>
      <x:c r="AC179" s="210"/>
      <x:c r="AD179" s="210"/>
      <x:c r="AE179" s="209"/>
    </x:row>
    <x:row r="180">
      <x:c r="A180" s="210"/>
      <x:c r="B180" s="215"/>
      <x:c r="C180" s="214"/>
      <x:c r="D180" s="210"/>
      <x:c r="E180" s="210"/>
      <x:c r="F180" s="210"/>
      <x:c r="G180" s="212"/>
      <x:c r="H180" s="212"/>
      <x:c r="I180" s="212"/>
      <x:c r="J180" s="212"/>
      <x:c r="K180" s="212"/>
      <x:c r="L180" s="212"/>
      <x:c r="M180" s="211" t="str">
        <x:f t="shared" si="15"/>
      </x:c>
      <x:c r="N180" s="212"/>
      <x:c r="O180" s="212"/>
      <x:c r="P180" s="212"/>
      <x:c r="Q180" s="212"/>
      <x:c r="R180" s="212"/>
      <x:c r="S180" s="213"/>
      <x:c r="T180" s="212"/>
      <x:c r="U180" s="212"/>
      <x:c r="V180" s="212"/>
      <x:c r="W180" s="212"/>
      <x:c r="X180" s="211" t="str">
        <x:f t="shared" si="16"/>
      </x:c>
      <x:c r="Y180" s="212"/>
      <x:c r="Z180" s="212"/>
      <x:c r="AA180" s="211" t="str">
        <x:f t="shared" si="17"/>
      </x:c>
      <x:c r="AB180" s="210"/>
      <x:c r="AC180" s="210"/>
      <x:c r="AD180" s="210"/>
      <x:c r="AE180" s="209"/>
    </x:row>
    <x:row r="181">
      <x:c r="A181" s="210"/>
      <x:c r="B181" s="215"/>
      <x:c r="C181" s="214"/>
      <x:c r="D181" s="210"/>
      <x:c r="E181" s="210"/>
      <x:c r="F181" s="210"/>
      <x:c r="G181" s="212"/>
      <x:c r="H181" s="212"/>
      <x:c r="I181" s="212"/>
      <x:c r="J181" s="212"/>
      <x:c r="K181" s="212"/>
      <x:c r="L181" s="212"/>
      <x:c r="M181" s="211" t="str">
        <x:f t="shared" si="15"/>
      </x:c>
      <x:c r="N181" s="212"/>
      <x:c r="O181" s="212"/>
      <x:c r="P181" s="212"/>
      <x:c r="Q181" s="212"/>
      <x:c r="R181" s="212"/>
      <x:c r="S181" s="213"/>
      <x:c r="T181" s="212"/>
      <x:c r="U181" s="212"/>
      <x:c r="V181" s="212"/>
      <x:c r="W181" s="212"/>
      <x:c r="X181" s="211" t="str">
        <x:f t="shared" si="16"/>
      </x:c>
      <x:c r="Y181" s="212"/>
      <x:c r="Z181" s="212"/>
      <x:c r="AA181" s="211" t="str">
        <x:f t="shared" si="17"/>
      </x:c>
      <x:c r="AB181" s="210"/>
      <x:c r="AC181" s="210"/>
      <x:c r="AD181" s="210"/>
      <x:c r="AE181" s="209"/>
    </x:row>
    <x:row r="182">
      <x:c r="A182" s="210"/>
      <x:c r="B182" s="215"/>
      <x:c r="C182" s="214"/>
      <x:c r="D182" s="210"/>
      <x:c r="E182" s="210"/>
      <x:c r="F182" s="210"/>
      <x:c r="G182" s="212"/>
      <x:c r="H182" s="212"/>
      <x:c r="I182" s="212"/>
      <x:c r="J182" s="212"/>
      <x:c r="K182" s="212"/>
      <x:c r="L182" s="212"/>
      <x:c r="M182" s="211" t="str">
        <x:f t="shared" si="15"/>
      </x:c>
      <x:c r="N182" s="212"/>
      <x:c r="O182" s="212"/>
      <x:c r="P182" s="212"/>
      <x:c r="Q182" s="212"/>
      <x:c r="R182" s="212"/>
      <x:c r="S182" s="213"/>
      <x:c r="T182" s="212"/>
      <x:c r="U182" s="212"/>
      <x:c r="V182" s="212"/>
      <x:c r="W182" s="212"/>
      <x:c r="X182" s="211" t="str">
        <x:f t="shared" si="16"/>
      </x:c>
      <x:c r="Y182" s="212"/>
      <x:c r="Z182" s="212"/>
      <x:c r="AA182" s="211" t="str">
        <x:f t="shared" si="17"/>
      </x:c>
      <x:c r="AB182" s="210"/>
      <x:c r="AC182" s="210"/>
      <x:c r="AD182" s="210"/>
      <x:c r="AE182" s="209"/>
    </x:row>
    <x:row r="183">
      <x:c r="A183" s="210"/>
      <x:c r="B183" s="215"/>
      <x:c r="C183" s="214"/>
      <x:c r="D183" s="210"/>
      <x:c r="E183" s="210"/>
      <x:c r="F183" s="210"/>
      <x:c r="G183" s="212"/>
      <x:c r="H183" s="212"/>
      <x:c r="I183" s="212"/>
      <x:c r="J183" s="212"/>
      <x:c r="K183" s="212"/>
      <x:c r="L183" s="212"/>
      <x:c r="M183" s="211" t="str">
        <x:f t="shared" si="15"/>
      </x:c>
      <x:c r="N183" s="212"/>
      <x:c r="O183" s="212"/>
      <x:c r="P183" s="212"/>
      <x:c r="Q183" s="212"/>
      <x:c r="R183" s="212"/>
      <x:c r="S183" s="213"/>
      <x:c r="T183" s="212"/>
      <x:c r="U183" s="212"/>
      <x:c r="V183" s="212"/>
      <x:c r="W183" s="212"/>
      <x:c r="X183" s="211" t="str">
        <x:f t="shared" si="16"/>
      </x:c>
      <x:c r="Y183" s="212"/>
      <x:c r="Z183" s="212"/>
      <x:c r="AA183" s="211" t="str">
        <x:f t="shared" si="17"/>
      </x:c>
      <x:c r="AB183" s="210"/>
      <x:c r="AC183" s="210"/>
      <x:c r="AD183" s="210"/>
      <x:c r="AE183" s="209"/>
    </x:row>
    <x:row r="184">
      <x:c r="A184" s="210"/>
      <x:c r="B184" s="215"/>
      <x:c r="C184" s="214"/>
      <x:c r="D184" s="210"/>
      <x:c r="E184" s="210"/>
      <x:c r="F184" s="210"/>
      <x:c r="G184" s="212"/>
      <x:c r="H184" s="212"/>
      <x:c r="I184" s="212"/>
      <x:c r="J184" s="212"/>
      <x:c r="K184" s="212"/>
      <x:c r="L184" s="212"/>
      <x:c r="M184" s="211" t="str">
        <x:f t="shared" si="15"/>
      </x:c>
      <x:c r="N184" s="212"/>
      <x:c r="O184" s="212"/>
      <x:c r="P184" s="212"/>
      <x:c r="Q184" s="212"/>
      <x:c r="R184" s="212"/>
      <x:c r="S184" s="213"/>
      <x:c r="T184" s="212"/>
      <x:c r="U184" s="212"/>
      <x:c r="V184" s="212"/>
      <x:c r="W184" s="212"/>
      <x:c r="X184" s="211" t="str">
        <x:f t="shared" si="16"/>
      </x:c>
      <x:c r="Y184" s="212"/>
      <x:c r="Z184" s="212"/>
      <x:c r="AA184" s="211" t="str">
        <x:f t="shared" si="17"/>
      </x:c>
      <x:c r="AB184" s="210"/>
      <x:c r="AC184" s="210"/>
      <x:c r="AD184" s="210"/>
      <x:c r="AE184" s="209"/>
    </x:row>
    <x:row r="185">
      <x:c r="A185" s="210"/>
      <x:c r="B185" s="215"/>
      <x:c r="C185" s="214"/>
      <x:c r="D185" s="210"/>
      <x:c r="E185" s="210"/>
      <x:c r="F185" s="210"/>
      <x:c r="G185" s="212"/>
      <x:c r="H185" s="212"/>
      <x:c r="I185" s="212"/>
      <x:c r="J185" s="212"/>
      <x:c r="K185" s="212"/>
      <x:c r="L185" s="212"/>
      <x:c r="M185" s="211" t="str">
        <x:f t="shared" si="15"/>
      </x:c>
      <x:c r="N185" s="212"/>
      <x:c r="O185" s="212"/>
      <x:c r="P185" s="212"/>
      <x:c r="Q185" s="212"/>
      <x:c r="R185" s="212"/>
      <x:c r="S185" s="213"/>
      <x:c r="T185" s="212"/>
      <x:c r="U185" s="212"/>
      <x:c r="V185" s="212"/>
      <x:c r="W185" s="212"/>
      <x:c r="X185" s="211" t="str">
        <x:f t="shared" si="16"/>
      </x:c>
      <x:c r="Y185" s="212"/>
      <x:c r="Z185" s="212"/>
      <x:c r="AA185" s="211" t="str">
        <x:f t="shared" si="17"/>
      </x:c>
      <x:c r="AB185" s="210"/>
      <x:c r="AC185" s="210"/>
      <x:c r="AD185" s="210"/>
      <x:c r="AE185" s="209"/>
    </x:row>
    <x:row r="186">
      <x:c r="A186" s="210"/>
      <x:c r="B186" s="215"/>
      <x:c r="C186" s="214"/>
      <x:c r="D186" s="210"/>
      <x:c r="E186" s="210"/>
      <x:c r="F186" s="210"/>
      <x:c r="G186" s="212"/>
      <x:c r="H186" s="212"/>
      <x:c r="I186" s="212"/>
      <x:c r="J186" s="212"/>
      <x:c r="K186" s="212"/>
      <x:c r="L186" s="212"/>
      <x:c r="M186" s="211" t="str">
        <x:f t="shared" si="15"/>
      </x:c>
      <x:c r="N186" s="212"/>
      <x:c r="O186" s="212"/>
      <x:c r="P186" s="212"/>
      <x:c r="Q186" s="212"/>
      <x:c r="R186" s="212"/>
      <x:c r="S186" s="213"/>
      <x:c r="T186" s="212"/>
      <x:c r="U186" s="212"/>
      <x:c r="V186" s="212"/>
      <x:c r="W186" s="212"/>
      <x:c r="X186" s="211" t="str">
        <x:f t="shared" si="16"/>
      </x:c>
      <x:c r="Y186" s="212"/>
      <x:c r="Z186" s="212"/>
      <x:c r="AA186" s="211" t="str">
        <x:f t="shared" si="17"/>
      </x:c>
      <x:c r="AB186" s="210"/>
      <x:c r="AC186" s="210"/>
      <x:c r="AD186" s="210"/>
      <x:c r="AE186" s="209"/>
    </x:row>
    <x:row r="187">
      <x:c r="A187" s="210"/>
      <x:c r="B187" s="215"/>
      <x:c r="C187" s="214"/>
      <x:c r="D187" s="210"/>
      <x:c r="E187" s="210"/>
      <x:c r="F187" s="210"/>
      <x:c r="G187" s="212"/>
      <x:c r="H187" s="212"/>
      <x:c r="I187" s="212"/>
      <x:c r="J187" s="212"/>
      <x:c r="K187" s="212"/>
      <x:c r="L187" s="212"/>
      <x:c r="M187" s="211" t="str">
        <x:f t="shared" si="15"/>
      </x:c>
      <x:c r="N187" s="212"/>
      <x:c r="O187" s="212"/>
      <x:c r="P187" s="212"/>
      <x:c r="Q187" s="212"/>
      <x:c r="R187" s="212"/>
      <x:c r="S187" s="213"/>
      <x:c r="T187" s="212"/>
      <x:c r="U187" s="212"/>
      <x:c r="V187" s="212"/>
      <x:c r="W187" s="212"/>
      <x:c r="X187" s="211" t="str">
        <x:f t="shared" si="16"/>
      </x:c>
      <x:c r="Y187" s="212"/>
      <x:c r="Z187" s="212"/>
      <x:c r="AA187" s="211" t="str">
        <x:f t="shared" si="17"/>
      </x:c>
      <x:c r="AB187" s="210"/>
      <x:c r="AC187" s="210"/>
      <x:c r="AD187" s="210"/>
      <x:c r="AE187" s="209"/>
    </x:row>
    <x:row r="188">
      <x:c r="A188" s="210"/>
      <x:c r="B188" s="215"/>
      <x:c r="C188" s="214"/>
      <x:c r="D188" s="210"/>
      <x:c r="E188" s="210"/>
      <x:c r="F188" s="210"/>
      <x:c r="G188" s="212"/>
      <x:c r="H188" s="212"/>
      <x:c r="I188" s="212"/>
      <x:c r="J188" s="212"/>
      <x:c r="K188" s="212"/>
      <x:c r="L188" s="212"/>
      <x:c r="M188" s="211" t="str">
        <x:f t="shared" si="15"/>
      </x:c>
      <x:c r="N188" s="212"/>
      <x:c r="O188" s="212"/>
      <x:c r="P188" s="212"/>
      <x:c r="Q188" s="212"/>
      <x:c r="R188" s="212"/>
      <x:c r="S188" s="213"/>
      <x:c r="T188" s="212"/>
      <x:c r="U188" s="212"/>
      <x:c r="V188" s="212"/>
      <x:c r="W188" s="212"/>
      <x:c r="X188" s="211" t="str">
        <x:f t="shared" si="16"/>
      </x:c>
      <x:c r="Y188" s="212"/>
      <x:c r="Z188" s="212"/>
      <x:c r="AA188" s="211" t="str">
        <x:f t="shared" si="17"/>
      </x:c>
      <x:c r="AB188" s="210"/>
      <x:c r="AC188" s="210"/>
      <x:c r="AD188" s="210"/>
      <x:c r="AE188" s="209"/>
    </x:row>
    <x:row r="189">
      <x:c r="A189" s="210"/>
      <x:c r="B189" s="215"/>
      <x:c r="C189" s="214"/>
      <x:c r="D189" s="210"/>
      <x:c r="E189" s="210"/>
      <x:c r="F189" s="210"/>
      <x:c r="G189" s="212"/>
      <x:c r="H189" s="212"/>
      <x:c r="I189" s="212"/>
      <x:c r="J189" s="212"/>
      <x:c r="K189" s="212"/>
      <x:c r="L189" s="212"/>
      <x:c r="M189" s="211" t="str">
        <x:f t="shared" si="15"/>
      </x:c>
      <x:c r="N189" s="212"/>
      <x:c r="O189" s="212"/>
      <x:c r="P189" s="212"/>
      <x:c r="Q189" s="212"/>
      <x:c r="R189" s="212"/>
      <x:c r="S189" s="213"/>
      <x:c r="T189" s="212"/>
      <x:c r="U189" s="212"/>
      <x:c r="V189" s="212"/>
      <x:c r="W189" s="212"/>
      <x:c r="X189" s="211" t="str">
        <x:f t="shared" si="16"/>
      </x:c>
      <x:c r="Y189" s="212"/>
      <x:c r="Z189" s="212"/>
      <x:c r="AA189" s="211" t="str">
        <x:f t="shared" si="17"/>
      </x:c>
      <x:c r="AB189" s="210"/>
      <x:c r="AC189" s="210"/>
      <x:c r="AD189" s="210"/>
      <x:c r="AE189" s="209"/>
    </x:row>
    <x:row r="190">
      <x:c r="A190" s="210"/>
      <x:c r="B190" s="215"/>
      <x:c r="C190" s="214"/>
      <x:c r="D190" s="210"/>
      <x:c r="E190" s="210"/>
      <x:c r="F190" s="210"/>
      <x:c r="G190" s="212"/>
      <x:c r="H190" s="212"/>
      <x:c r="I190" s="212"/>
      <x:c r="J190" s="212"/>
      <x:c r="K190" s="212"/>
      <x:c r="L190" s="212"/>
      <x:c r="M190" s="211" t="str">
        <x:f t="shared" si="15"/>
      </x:c>
      <x:c r="N190" s="212"/>
      <x:c r="O190" s="212"/>
      <x:c r="P190" s="212"/>
      <x:c r="Q190" s="212"/>
      <x:c r="R190" s="212"/>
      <x:c r="S190" s="213"/>
      <x:c r="T190" s="212"/>
      <x:c r="U190" s="212"/>
      <x:c r="V190" s="212"/>
      <x:c r="W190" s="212"/>
      <x:c r="X190" s="211" t="str">
        <x:f t="shared" si="16"/>
      </x:c>
      <x:c r="Y190" s="212"/>
      <x:c r="Z190" s="212"/>
      <x:c r="AA190" s="211" t="str">
        <x:f t="shared" si="17"/>
      </x:c>
      <x:c r="AB190" s="210"/>
      <x:c r="AC190" s="210"/>
      <x:c r="AD190" s="210"/>
      <x:c r="AE190" s="209"/>
    </x:row>
    <x:row r="191">
      <x:c r="A191" s="210"/>
      <x:c r="B191" s="215"/>
      <x:c r="C191" s="214"/>
      <x:c r="D191" s="210"/>
      <x:c r="E191" s="210"/>
      <x:c r="F191" s="210"/>
      <x:c r="G191" s="212"/>
      <x:c r="H191" s="212"/>
      <x:c r="I191" s="212"/>
      <x:c r="J191" s="212"/>
      <x:c r="K191" s="212"/>
      <x:c r="L191" s="212"/>
      <x:c r="M191" s="211" t="str">
        <x:f t="shared" si="15"/>
      </x:c>
      <x:c r="N191" s="212"/>
      <x:c r="O191" s="212"/>
      <x:c r="P191" s="212"/>
      <x:c r="Q191" s="212"/>
      <x:c r="R191" s="212"/>
      <x:c r="S191" s="213"/>
      <x:c r="T191" s="212"/>
      <x:c r="U191" s="212"/>
      <x:c r="V191" s="212"/>
      <x:c r="W191" s="212"/>
      <x:c r="X191" s="211" t="str">
        <x:f t="shared" si="16"/>
      </x:c>
      <x:c r="Y191" s="212"/>
      <x:c r="Z191" s="212"/>
      <x:c r="AA191" s="211" t="str">
        <x:f t="shared" si="17"/>
      </x:c>
      <x:c r="AB191" s="210"/>
      <x:c r="AC191" s="210"/>
      <x:c r="AD191" s="210"/>
      <x:c r="AE191" s="209"/>
    </x:row>
    <x:row r="192">
      <x:c r="A192" s="210"/>
      <x:c r="B192" s="215"/>
      <x:c r="C192" s="214"/>
      <x:c r="D192" s="210"/>
      <x:c r="E192" s="210"/>
      <x:c r="F192" s="210"/>
      <x:c r="G192" s="212"/>
      <x:c r="H192" s="212"/>
      <x:c r="I192" s="212"/>
      <x:c r="J192" s="212"/>
      <x:c r="K192" s="212"/>
      <x:c r="L192" s="212"/>
      <x:c r="M192" s="211" t="str">
        <x:f t="shared" si="15"/>
      </x:c>
      <x:c r="N192" s="212"/>
      <x:c r="O192" s="212"/>
      <x:c r="P192" s="212"/>
      <x:c r="Q192" s="212"/>
      <x:c r="R192" s="212"/>
      <x:c r="S192" s="213"/>
      <x:c r="T192" s="212"/>
      <x:c r="U192" s="212"/>
      <x:c r="V192" s="212"/>
      <x:c r="W192" s="212"/>
      <x:c r="X192" s="211" t="str">
        <x:f t="shared" si="16"/>
      </x:c>
      <x:c r="Y192" s="212"/>
      <x:c r="Z192" s="212"/>
      <x:c r="AA192" s="211" t="str">
        <x:f t="shared" si="17"/>
      </x:c>
      <x:c r="AB192" s="210"/>
      <x:c r="AC192" s="210"/>
      <x:c r="AD192" s="210"/>
      <x:c r="AE192" s="209"/>
    </x:row>
    <x:row r="193">
      <x:c r="A193" s="210"/>
      <x:c r="B193" s="215"/>
      <x:c r="C193" s="214"/>
      <x:c r="D193" s="210"/>
      <x:c r="E193" s="210"/>
      <x:c r="F193" s="210"/>
      <x:c r="G193" s="212"/>
      <x:c r="H193" s="212"/>
      <x:c r="I193" s="212"/>
      <x:c r="J193" s="212"/>
      <x:c r="K193" s="212"/>
      <x:c r="L193" s="212"/>
      <x:c r="M193" s="211" t="str">
        <x:f t="shared" si="15"/>
      </x:c>
      <x:c r="N193" s="212"/>
      <x:c r="O193" s="212"/>
      <x:c r="P193" s="212"/>
      <x:c r="Q193" s="212"/>
      <x:c r="R193" s="212"/>
      <x:c r="S193" s="213"/>
      <x:c r="T193" s="212"/>
      <x:c r="U193" s="212"/>
      <x:c r="V193" s="212"/>
      <x:c r="W193" s="212"/>
      <x:c r="X193" s="211" t="str">
        <x:f t="shared" si="16"/>
      </x:c>
      <x:c r="Y193" s="212"/>
      <x:c r="Z193" s="212"/>
      <x:c r="AA193" s="211" t="str">
        <x:f t="shared" si="17"/>
      </x:c>
      <x:c r="AB193" s="210"/>
      <x:c r="AC193" s="210"/>
      <x:c r="AD193" s="210"/>
      <x:c r="AE193" s="209"/>
    </x:row>
    <x:row r="194">
      <x:c r="A194" s="210"/>
      <x:c r="B194" s="215"/>
      <x:c r="C194" s="214"/>
      <x:c r="D194" s="210"/>
      <x:c r="E194" s="210"/>
      <x:c r="F194" s="210"/>
      <x:c r="G194" s="212"/>
      <x:c r="H194" s="212"/>
      <x:c r="I194" s="212"/>
      <x:c r="J194" s="212"/>
      <x:c r="K194" s="212"/>
      <x:c r="L194" s="212"/>
      <x:c r="M194" s="211" t="str">
        <x:f t="shared" si="15"/>
      </x:c>
      <x:c r="N194" s="212"/>
      <x:c r="O194" s="212"/>
      <x:c r="P194" s="212"/>
      <x:c r="Q194" s="212"/>
      <x:c r="R194" s="212"/>
      <x:c r="S194" s="213"/>
      <x:c r="T194" s="212"/>
      <x:c r="U194" s="212"/>
      <x:c r="V194" s="212"/>
      <x:c r="W194" s="212"/>
      <x:c r="X194" s="211" t="str">
        <x:f t="shared" si="16"/>
      </x:c>
      <x:c r="Y194" s="212"/>
      <x:c r="Z194" s="212"/>
      <x:c r="AA194" s="211" t="str">
        <x:f t="shared" si="17"/>
      </x:c>
      <x:c r="AB194" s="210"/>
      <x:c r="AC194" s="210"/>
      <x:c r="AD194" s="210"/>
      <x:c r="AE194" s="209"/>
    </x:row>
    <x:row r="195">
      <x:c r="A195" s="210"/>
      <x:c r="B195" s="215"/>
      <x:c r="C195" s="214"/>
      <x:c r="D195" s="210"/>
      <x:c r="E195" s="210"/>
      <x:c r="F195" s="210"/>
      <x:c r="G195" s="212"/>
      <x:c r="H195" s="212"/>
      <x:c r="I195" s="212"/>
      <x:c r="J195" s="212"/>
      <x:c r="K195" s="212"/>
      <x:c r="L195" s="212"/>
      <x:c r="M195" s="211" t="str">
        <x:f t="shared" si="15"/>
      </x:c>
      <x:c r="N195" s="212"/>
      <x:c r="O195" s="212"/>
      <x:c r="P195" s="212"/>
      <x:c r="Q195" s="212"/>
      <x:c r="R195" s="212"/>
      <x:c r="S195" s="213"/>
      <x:c r="T195" s="212"/>
      <x:c r="U195" s="212"/>
      <x:c r="V195" s="212"/>
      <x:c r="W195" s="212"/>
      <x:c r="X195" s="211" t="str">
        <x:f t="shared" si="16"/>
      </x:c>
      <x:c r="Y195" s="212"/>
      <x:c r="Z195" s="212"/>
      <x:c r="AA195" s="211" t="str">
        <x:f t="shared" si="17"/>
      </x:c>
      <x:c r="AB195" s="210"/>
      <x:c r="AC195" s="210"/>
      <x:c r="AD195" s="210"/>
      <x:c r="AE195" s="209"/>
    </x:row>
    <x:row r="196">
      <x:c r="A196" s="210"/>
      <x:c r="B196" s="215"/>
      <x:c r="C196" s="214"/>
      <x:c r="D196" s="210"/>
      <x:c r="E196" s="210"/>
      <x:c r="F196" s="210"/>
      <x:c r="G196" s="212"/>
      <x:c r="H196" s="212"/>
      <x:c r="I196" s="212"/>
      <x:c r="J196" s="212"/>
      <x:c r="K196" s="212"/>
      <x:c r="L196" s="212"/>
      <x:c r="M196" s="211" t="str">
        <x:f t="shared" si="15"/>
      </x:c>
      <x:c r="N196" s="212"/>
      <x:c r="O196" s="212"/>
      <x:c r="P196" s="212"/>
      <x:c r="Q196" s="212"/>
      <x:c r="R196" s="212"/>
      <x:c r="S196" s="213"/>
      <x:c r="T196" s="212"/>
      <x:c r="U196" s="212"/>
      <x:c r="V196" s="212"/>
      <x:c r="W196" s="212"/>
      <x:c r="X196" s="211" t="str">
        <x:f t="shared" si="16"/>
      </x:c>
      <x:c r="Y196" s="212"/>
      <x:c r="Z196" s="212"/>
      <x:c r="AA196" s="211" t="str">
        <x:f t="shared" si="17"/>
      </x:c>
      <x:c r="AB196" s="210"/>
      <x:c r="AC196" s="210"/>
      <x:c r="AD196" s="210"/>
      <x:c r="AE196" s="209"/>
    </x:row>
    <x:row r="197">
      <x:c r="A197" s="210"/>
      <x:c r="B197" s="215"/>
      <x:c r="C197" s="214"/>
      <x:c r="D197" s="210"/>
      <x:c r="E197" s="210"/>
      <x:c r="F197" s="210"/>
      <x:c r="G197" s="212"/>
      <x:c r="H197" s="212"/>
      <x:c r="I197" s="212"/>
      <x:c r="J197" s="212"/>
      <x:c r="K197" s="212"/>
      <x:c r="L197" s="212"/>
      <x:c r="M197" s="211" t="str">
        <x:f t="shared" si="15"/>
      </x:c>
      <x:c r="N197" s="212"/>
      <x:c r="O197" s="212"/>
      <x:c r="P197" s="212"/>
      <x:c r="Q197" s="212"/>
      <x:c r="R197" s="212"/>
      <x:c r="S197" s="213"/>
      <x:c r="T197" s="212"/>
      <x:c r="U197" s="212"/>
      <x:c r="V197" s="212"/>
      <x:c r="W197" s="212"/>
      <x:c r="X197" s="211" t="str">
        <x:f t="shared" si="16"/>
      </x:c>
      <x:c r="Y197" s="212"/>
      <x:c r="Z197" s="212"/>
      <x:c r="AA197" s="211" t="str">
        <x:f t="shared" si="17"/>
      </x:c>
      <x:c r="AB197" s="210"/>
      <x:c r="AC197" s="210"/>
      <x:c r="AD197" s="210"/>
      <x:c r="AE197" s="209"/>
    </x:row>
    <x:row r="198">
      <x:c r="A198" s="210"/>
      <x:c r="B198" s="215"/>
      <x:c r="C198" s="214"/>
      <x:c r="D198" s="210"/>
      <x:c r="E198" s="210"/>
      <x:c r="F198" s="210"/>
      <x:c r="G198" s="212"/>
      <x:c r="H198" s="212"/>
      <x:c r="I198" s="212"/>
      <x:c r="J198" s="212"/>
      <x:c r="K198" s="212"/>
      <x:c r="L198" s="212"/>
      <x:c r="M198" s="211" t="str">
        <x:f t="shared" ref="M198:M205" si="18">IF(OR($A198="",$G198=0),"",$K198/$G198)</x:f>
      </x:c>
      <x:c r="N198" s="212"/>
      <x:c r="O198" s="212"/>
      <x:c r="P198" s="212"/>
      <x:c r="Q198" s="212"/>
      <x:c r="R198" s="212"/>
      <x:c r="S198" s="213"/>
      <x:c r="T198" s="212"/>
      <x:c r="U198" s="212"/>
      <x:c r="V198" s="212"/>
      <x:c r="W198" s="212"/>
      <x:c r="X198" s="211" t="str">
        <x:f t="shared" ref="X198:X205" si="19">IF(OR($A198="",$T198=0),"",$U198/$T198)</x:f>
      </x:c>
      <x:c r="Y198" s="212"/>
      <x:c r="Z198" s="212"/>
      <x:c r="AA198" s="211" t="str">
        <x:f t="shared" ref="AA198:AA205" si="20">IF(OR($A198="",$Y198=0),"",$Z198/$Y198)</x:f>
      </x:c>
      <x:c r="AB198" s="210"/>
      <x:c r="AC198" s="210"/>
      <x:c r="AD198" s="210"/>
      <x:c r="AE198" s="209"/>
    </x:row>
    <x:row r="199">
      <x:c r="A199" s="210"/>
      <x:c r="B199" s="215"/>
      <x:c r="C199" s="214"/>
      <x:c r="D199" s="210"/>
      <x:c r="E199" s="210"/>
      <x:c r="F199" s="210"/>
      <x:c r="G199" s="212"/>
      <x:c r="H199" s="212"/>
      <x:c r="I199" s="212"/>
      <x:c r="J199" s="212"/>
      <x:c r="K199" s="212"/>
      <x:c r="L199" s="212"/>
      <x:c r="M199" s="211" t="str">
        <x:f t="shared" si="18"/>
      </x:c>
      <x:c r="N199" s="212"/>
      <x:c r="O199" s="212"/>
      <x:c r="P199" s="212"/>
      <x:c r="Q199" s="212"/>
      <x:c r="R199" s="212"/>
      <x:c r="S199" s="213"/>
      <x:c r="T199" s="212"/>
      <x:c r="U199" s="212"/>
      <x:c r="V199" s="212"/>
      <x:c r="W199" s="212"/>
      <x:c r="X199" s="211" t="str">
        <x:f t="shared" si="19"/>
      </x:c>
      <x:c r="Y199" s="212"/>
      <x:c r="Z199" s="212"/>
      <x:c r="AA199" s="211" t="str">
        <x:f t="shared" si="20"/>
      </x:c>
      <x:c r="AB199" s="210"/>
      <x:c r="AC199" s="210"/>
      <x:c r="AD199" s="210"/>
      <x:c r="AE199" s="209"/>
    </x:row>
    <x:row r="200">
      <x:c r="A200" s="210"/>
      <x:c r="B200" s="215"/>
      <x:c r="C200" s="214"/>
      <x:c r="D200" s="210"/>
      <x:c r="E200" s="210"/>
      <x:c r="F200" s="210"/>
      <x:c r="G200" s="212"/>
      <x:c r="H200" s="212"/>
      <x:c r="I200" s="212"/>
      <x:c r="J200" s="212"/>
      <x:c r="K200" s="212"/>
      <x:c r="L200" s="212"/>
      <x:c r="M200" s="211" t="str">
        <x:f t="shared" si="18"/>
      </x:c>
      <x:c r="N200" s="212"/>
      <x:c r="O200" s="212"/>
      <x:c r="P200" s="212"/>
      <x:c r="Q200" s="212"/>
      <x:c r="R200" s="212"/>
      <x:c r="S200" s="213"/>
      <x:c r="T200" s="212"/>
      <x:c r="U200" s="212"/>
      <x:c r="V200" s="212"/>
      <x:c r="W200" s="212"/>
      <x:c r="X200" s="211" t="str">
        <x:f t="shared" si="19"/>
      </x:c>
      <x:c r="Y200" s="212"/>
      <x:c r="Z200" s="212"/>
      <x:c r="AA200" s="211" t="str">
        <x:f t="shared" si="20"/>
      </x:c>
      <x:c r="AB200" s="210"/>
      <x:c r="AC200" s="210"/>
      <x:c r="AD200" s="210"/>
      <x:c r="AE200" s="209"/>
    </x:row>
    <x:row r="201">
      <x:c r="A201" s="210"/>
      <x:c r="B201" s="215"/>
      <x:c r="C201" s="214"/>
      <x:c r="D201" s="210"/>
      <x:c r="E201" s="210"/>
      <x:c r="F201" s="210"/>
      <x:c r="G201" s="212"/>
      <x:c r="H201" s="212"/>
      <x:c r="I201" s="212"/>
      <x:c r="J201" s="212"/>
      <x:c r="K201" s="212"/>
      <x:c r="L201" s="212"/>
      <x:c r="M201" s="211" t="str">
        <x:f t="shared" si="18"/>
      </x:c>
      <x:c r="N201" s="212"/>
      <x:c r="O201" s="212"/>
      <x:c r="P201" s="212"/>
      <x:c r="Q201" s="212"/>
      <x:c r="R201" s="212"/>
      <x:c r="S201" s="213"/>
      <x:c r="T201" s="212"/>
      <x:c r="U201" s="212"/>
      <x:c r="V201" s="212"/>
      <x:c r="W201" s="212"/>
      <x:c r="X201" s="211" t="str">
        <x:f t="shared" si="19"/>
      </x:c>
      <x:c r="Y201" s="212"/>
      <x:c r="Z201" s="212"/>
      <x:c r="AA201" s="211" t="str">
        <x:f t="shared" si="20"/>
      </x:c>
      <x:c r="AB201" s="210"/>
      <x:c r="AC201" s="210"/>
      <x:c r="AD201" s="210"/>
      <x:c r="AE201" s="209"/>
    </x:row>
    <x:row r="202">
      <x:c r="A202" s="210"/>
      <x:c r="B202" s="215"/>
      <x:c r="C202" s="214"/>
      <x:c r="D202" s="210"/>
      <x:c r="E202" s="210"/>
      <x:c r="F202" s="210"/>
      <x:c r="G202" s="212"/>
      <x:c r="H202" s="212"/>
      <x:c r="I202" s="212"/>
      <x:c r="J202" s="212"/>
      <x:c r="K202" s="212"/>
      <x:c r="L202" s="212"/>
      <x:c r="M202" s="211" t="str">
        <x:f t="shared" si="18"/>
      </x:c>
      <x:c r="N202" s="212"/>
      <x:c r="O202" s="212"/>
      <x:c r="P202" s="212"/>
      <x:c r="Q202" s="212"/>
      <x:c r="R202" s="212"/>
      <x:c r="S202" s="213"/>
      <x:c r="T202" s="212"/>
      <x:c r="U202" s="212"/>
      <x:c r="V202" s="212"/>
      <x:c r="W202" s="212"/>
      <x:c r="X202" s="211" t="str">
        <x:f t="shared" si="19"/>
      </x:c>
      <x:c r="Y202" s="212"/>
      <x:c r="Z202" s="212"/>
      <x:c r="AA202" s="211" t="str">
        <x:f t="shared" si="20"/>
      </x:c>
      <x:c r="AB202" s="210"/>
      <x:c r="AC202" s="210"/>
      <x:c r="AD202" s="210"/>
      <x:c r="AE202" s="209"/>
    </x:row>
    <x:row r="203">
      <x:c r="A203" s="210"/>
      <x:c r="B203" s="215"/>
      <x:c r="C203" s="214"/>
      <x:c r="D203" s="210"/>
      <x:c r="E203" s="210"/>
      <x:c r="F203" s="210"/>
      <x:c r="G203" s="212"/>
      <x:c r="H203" s="212"/>
      <x:c r="I203" s="212"/>
      <x:c r="J203" s="212"/>
      <x:c r="K203" s="212"/>
      <x:c r="L203" s="212"/>
      <x:c r="M203" s="211" t="str">
        <x:f t="shared" si="18"/>
      </x:c>
      <x:c r="N203" s="212"/>
      <x:c r="O203" s="212"/>
      <x:c r="P203" s="212"/>
      <x:c r="Q203" s="212"/>
      <x:c r="R203" s="212"/>
      <x:c r="S203" s="213"/>
      <x:c r="T203" s="212"/>
      <x:c r="U203" s="212"/>
      <x:c r="V203" s="212"/>
      <x:c r="W203" s="212"/>
      <x:c r="X203" s="211" t="str">
        <x:f t="shared" si="19"/>
      </x:c>
      <x:c r="Y203" s="212"/>
      <x:c r="Z203" s="212"/>
      <x:c r="AA203" s="211" t="str">
        <x:f t="shared" si="20"/>
      </x:c>
      <x:c r="AB203" s="210"/>
      <x:c r="AC203" s="210"/>
      <x:c r="AD203" s="210"/>
      <x:c r="AE203" s="209"/>
    </x:row>
    <x:row r="204">
      <x:c r="A204" s="210"/>
      <x:c r="B204" s="215"/>
      <x:c r="C204" s="214"/>
      <x:c r="D204" s="210"/>
      <x:c r="E204" s="210"/>
      <x:c r="F204" s="210"/>
      <x:c r="G204" s="212"/>
      <x:c r="H204" s="212"/>
      <x:c r="I204" s="212"/>
      <x:c r="J204" s="212"/>
      <x:c r="K204" s="212"/>
      <x:c r="L204" s="212"/>
      <x:c r="M204" s="211" t="str">
        <x:f t="shared" si="18"/>
      </x:c>
      <x:c r="N204" s="212"/>
      <x:c r="O204" s="212"/>
      <x:c r="P204" s="212"/>
      <x:c r="Q204" s="212"/>
      <x:c r="R204" s="212"/>
      <x:c r="S204" s="213"/>
      <x:c r="T204" s="212"/>
      <x:c r="U204" s="212"/>
      <x:c r="V204" s="212"/>
      <x:c r="W204" s="212"/>
      <x:c r="X204" s="211" t="str">
        <x:f t="shared" si="19"/>
      </x:c>
      <x:c r="Y204" s="212"/>
      <x:c r="Z204" s="212"/>
      <x:c r="AA204" s="211" t="str">
        <x:f t="shared" si="20"/>
      </x:c>
      <x:c r="AB204" s="210"/>
      <x:c r="AC204" s="210"/>
      <x:c r="AD204" s="210"/>
      <x:c r="AE204" s="209"/>
    </x:row>
    <x:row r="205">
      <x:c r="A205" s="203"/>
      <x:c r="B205" s="208"/>
      <x:c r="C205" s="207"/>
      <x:c r="D205" s="203"/>
      <x:c r="E205" s="203"/>
      <x:c r="F205" s="203"/>
      <x:c r="G205" s="205"/>
      <x:c r="H205" s="205"/>
      <x:c r="I205" s="205"/>
      <x:c r="J205" s="205"/>
      <x:c r="K205" s="205"/>
      <x:c r="L205" s="205"/>
      <x:c r="M205" s="204" t="str">
        <x:f t="shared" si="18"/>
      </x:c>
      <x:c r="N205" s="205"/>
      <x:c r="O205" s="205"/>
      <x:c r="P205" s="205"/>
      <x:c r="Q205" s="205"/>
      <x:c r="R205" s="205"/>
      <x:c r="S205" s="206"/>
      <x:c r="T205" s="205"/>
      <x:c r="U205" s="205"/>
      <x:c r="V205" s="205"/>
      <x:c r="W205" s="205"/>
      <x:c r="X205" s="204" t="str">
        <x:f t="shared" si="19"/>
      </x:c>
      <x:c r="Y205" s="205"/>
      <x:c r="Z205" s="205"/>
      <x:c r="AA205" s="204" t="str">
        <x:f t="shared" si="20"/>
      </x:c>
      <x:c r="AB205" s="203"/>
      <x:c r="AC205" s="203"/>
      <x:c r="AD205" s="203"/>
      <x:c r="AE205" s="202"/>
    </x:row>
  </x:sheetData>
  <x:mergeCells>
    <x:mergeCell ref="A1:AE1"/>
    <x:mergeCell ref="A2:AE2"/>
    <x:mergeCell ref="A3:AE3"/>
  </x:mergeCells>
  <x:conditionalFormatting sqref="F6:F205">
    <x:cfRule type="expression" dxfId="1" priority="1">
      <x:formula>F6="FINAL"</x:formula>
    </x:cfRule>
    <x:cfRule type="expression" dxfId="0" priority="2">
      <x:formula>F6="DRAFT"</x:formula>
    </x:cfRule>
  </x:conditionalFormatting>
  <x:dataValidations count="2">
    <x:dataValidation type="list" sqref="F6:F205">
      <x:formula1>"DRAFT,FINAL"</x:formula1>
    </x:dataValidation>
    <x:dataValidation type="list" sqref="D6:D205">
      <x:formula1>"KOTA,KECAMATAN"</x:formula1>
    </x:dataValidation>
  </x:dataValidations>
  <x:pageMargins left="0.7" right="0.7" top="0.75" bottom="0.75" header="0.3" footer="0.3"/>
</x:worksheet>
</file>